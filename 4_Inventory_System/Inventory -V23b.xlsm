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Cclgulf\Desktop\VBA_Programming\4_Inventory_System\"/>
    </mc:Choice>
  </mc:AlternateContent>
  <bookViews>
    <workbookView xWindow="255" yWindow="120" windowWidth="19125" windowHeight="11550" tabRatio="617" firstSheet="4" activeTab="8"/>
  </bookViews>
  <sheets>
    <sheet name="Code_Expense" sheetId="12" state="hidden" r:id="rId1"/>
    <sheet name="Code_SubExpense" sheetId="11" state="hidden" r:id="rId2"/>
    <sheet name="Code_Equipment" sheetId="10" state="hidden" r:id="rId3"/>
    <sheet name="Codes_Status" sheetId="9" state="hidden" r:id="rId4"/>
    <sheet name="PR" sheetId="17" r:id="rId5"/>
    <sheet name="PURCHASE SYSTEM" sheetId="16" r:id="rId6"/>
    <sheet name="CONTACT REFERENCE" sheetId="15" r:id="rId7"/>
    <sheet name="Sheet1" sheetId="18" state="hidden" r:id="rId8"/>
    <sheet name="Parts_List" sheetId="2" r:id="rId9"/>
    <sheet name="Transactions" sheetId="3" r:id="rId10"/>
    <sheet name="Category" sheetId="7" state="hidden" r:id="rId11"/>
    <sheet name="LocationsParts" sheetId="4" state="hidden" r:id="rId12"/>
    <sheet name="Machine Ref" sheetId="19" state="hidden" r:id="rId13"/>
    <sheet name="CurrencyRates" sheetId="8" state="hidden" r:id="rId14"/>
    <sheet name="Units" sheetId="21" state="hidden" r:id="rId15"/>
  </sheets>
  <functionGroups builtInGroupCount="18"/>
  <definedNames>
    <definedName name="_xlnm._FilterDatabase" localSheetId="6" hidden="1">'CONTACT REFERENCE'!$B$1:$B$179</definedName>
    <definedName name="_xlnm._FilterDatabase" localSheetId="5" hidden="1">'PURCHASE SYSTEM'!$B$2:$V$3</definedName>
    <definedName name="Code_Equipment">Code_Equipment!$A$1:$B$70</definedName>
    <definedName name="Code_Equipment_Dropdown">Code_Equipment!$B$1:$B$70</definedName>
    <definedName name="Code_Expense">Code_Expense!$A$1:$B$10</definedName>
    <definedName name="Code_Status">Codes_Status!$A$1:$B$6</definedName>
    <definedName name="Code_SubExpense">Code_SubExpense!$A$1:$B$20</definedName>
    <definedName name="Dropdown_Equipment">Code_Equipment!$B$1:$B$70</definedName>
    <definedName name="Dropdown_Expense">Code_Expense!$A$1:$A$10</definedName>
    <definedName name="Dropdown_Status">Codes_Status!$A$1:$A$16</definedName>
    <definedName name="Dropdown_SubExpense">Code_SubExpense!$A$1:$A$20</definedName>
    <definedName name="Equipment_Code_Range" localSheetId="5">'PURCHASE SYSTEM'!$G$4:$G$4254</definedName>
    <definedName name="Expense_Code_Range" localSheetId="5">'PURCHASE SYSTEM'!$E$4:$E$4254</definedName>
    <definedName name="myItem">OFFSET(myItemList,0,0,COUNTA(myItemList),1)</definedName>
    <definedName name="Part_catagory">Table_Cat[#Headers]</definedName>
    <definedName name="Part_subcatagory">OFFSET(Part_subcatagory_list,0,0,COUNTA(Part_subcatagory_list),1)</definedName>
    <definedName name="Part_subcatagory_list">INDEX(Table_Cat[],0,MATCH(Parts_List!XFD1,Table_Cat[#Headers],0))</definedName>
    <definedName name="Partno_cat">Category!$C$2:$O$2</definedName>
    <definedName name="Partno_count">Category!$C$37:$O$37</definedName>
    <definedName name="_xlnm.Print_Area" localSheetId="8">Parts_List!$F$876:$F$895</definedName>
    <definedName name="_xlnm.Print_Area" localSheetId="4">PR!$A$1:$J$48</definedName>
    <definedName name="Range_Status" localSheetId="5">'PURCHASE SYSTEM'!$W$4:$W$4254</definedName>
    <definedName name="SubExpense_Code_Range" localSheetId="5">'PURCHASE SYSTEM'!$F$4:$F$4254</definedName>
    <definedName name="Units">Units!$B$2:$B$13</definedName>
  </definedNames>
  <calcPr calcId="162913"/>
  <pivotCaches>
    <pivotCache cacheId="1" r:id="rId16"/>
  </pivotCaches>
  <extLst>
    <ext xmlns:mx="http://schemas.microsoft.com/office/mac/excel/2008/main" uri="{7523E5D3-25F3-A5E0-1632-64F254C22452}">
      <mx:ArchID Flags="2"/>
    </ext>
  </extLst>
</workbook>
</file>

<file path=xl/calcChain.xml><?xml version="1.0" encoding="utf-8"?>
<calcChain xmlns="http://schemas.openxmlformats.org/spreadsheetml/2006/main">
  <c r="O23" i="2" l="1"/>
  <c r="O24" i="2"/>
  <c r="E6" i="3"/>
  <c r="B6" i="3"/>
  <c r="O3" i="2"/>
  <c r="O4" i="2"/>
  <c r="O5" i="2"/>
  <c r="O6" i="2"/>
  <c r="O7" i="2"/>
  <c r="O8" i="2"/>
  <c r="O9" i="2"/>
  <c r="O10" i="2"/>
  <c r="O11" i="2"/>
  <c r="O12" i="2"/>
  <c r="O13" i="2"/>
  <c r="O14" i="2"/>
  <c r="O15" i="2"/>
  <c r="O16" i="2"/>
  <c r="O17" i="2"/>
  <c r="O18" i="2"/>
  <c r="O19" i="2"/>
  <c r="O20" i="2"/>
  <c r="O21" i="2"/>
  <c r="O22" i="2"/>
  <c r="O2" i="2"/>
  <c r="M1814" i="2"/>
  <c r="Q1814" i="2"/>
  <c r="O620" i="16"/>
  <c r="J620" i="16"/>
  <c r="O618" i="16"/>
  <c r="J619" i="16"/>
  <c r="E22" i="17"/>
  <c r="E21" i="17"/>
  <c r="O616" i="16"/>
  <c r="C20" i="17" s="1"/>
  <c r="J618" i="16"/>
  <c r="J617" i="16"/>
  <c r="E20" i="17"/>
  <c r="B5" i="3" l="1"/>
  <c r="E5" i="3"/>
  <c r="B4" i="3"/>
  <c r="E4" i="3"/>
  <c r="B3" i="3"/>
  <c r="E3" i="3"/>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Q1802" i="2"/>
  <c r="Q1801" i="2"/>
  <c r="Q1800" i="2"/>
  <c r="Q1799" i="2"/>
  <c r="Q1798" i="2"/>
  <c r="Q1797" i="2"/>
  <c r="Q1796" i="2"/>
  <c r="Q1795" i="2"/>
  <c r="Q1794" i="2"/>
  <c r="Q1793" i="2"/>
  <c r="Q1792" i="2"/>
  <c r="Q1791" i="2"/>
  <c r="Q1790" i="2"/>
  <c r="Q1789" i="2"/>
  <c r="Q1788" i="2"/>
  <c r="Q1787" i="2"/>
  <c r="Q1786" i="2"/>
  <c r="Q1785" i="2"/>
  <c r="Q1784" i="2"/>
  <c r="Q1783" i="2"/>
  <c r="Q1782" i="2"/>
  <c r="Q1781" i="2"/>
  <c r="Q1780" i="2"/>
  <c r="Q1779" i="2"/>
  <c r="Q1778" i="2"/>
  <c r="Q1777" i="2"/>
  <c r="Q1776" i="2"/>
  <c r="Q1775" i="2"/>
  <c r="Q1774" i="2"/>
  <c r="Q1773" i="2"/>
  <c r="Q1772" i="2"/>
  <c r="Q1771" i="2"/>
  <c r="Q1770" i="2"/>
  <c r="Q1769" i="2"/>
  <c r="Q1768" i="2"/>
  <c r="Q1767" i="2"/>
  <c r="Q1766" i="2"/>
  <c r="Q1765" i="2"/>
  <c r="Q1764" i="2"/>
  <c r="Q1763" i="2"/>
  <c r="Q1762" i="2"/>
  <c r="Q1761" i="2"/>
  <c r="Q1760" i="2"/>
  <c r="Q1759" i="2"/>
  <c r="Q1758" i="2"/>
  <c r="Q1757" i="2"/>
  <c r="Q1756" i="2"/>
  <c r="Q1693" i="2"/>
  <c r="Q1692" i="2"/>
  <c r="Q1691" i="2"/>
  <c r="Q1690" i="2"/>
  <c r="Q1689" i="2"/>
  <c r="Q1688" i="2"/>
  <c r="Q1687" i="2"/>
  <c r="Q1686" i="2"/>
  <c r="Q1685" i="2"/>
  <c r="Q1684" i="2"/>
  <c r="Q1683" i="2"/>
  <c r="Q1682" i="2"/>
  <c r="Q1681" i="2"/>
  <c r="Q1680" i="2"/>
  <c r="Q1679" i="2"/>
  <c r="Q1678" i="2"/>
  <c r="Q1677" i="2"/>
  <c r="Q1676" i="2"/>
  <c r="Q1675"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M2" i="2"/>
  <c r="B2" i="3" l="1"/>
  <c r="E2" i="3"/>
  <c r="M1813" i="2"/>
  <c r="Q1813" i="2" s="1"/>
  <c r="M1812" i="2"/>
  <c r="Q1812" i="2" s="1"/>
  <c r="M1811" i="2"/>
  <c r="Q1811" i="2" s="1"/>
  <c r="M1810" i="2"/>
  <c r="Q1810" i="2" s="1"/>
  <c r="M1809" i="2"/>
  <c r="Q1809" i="2" s="1"/>
  <c r="M1808" i="2"/>
  <c r="Q1808" i="2" s="1"/>
  <c r="M1807" i="2"/>
  <c r="Q1807" i="2" s="1"/>
  <c r="M1806" i="2"/>
  <c r="Q1806" i="2" s="1"/>
  <c r="M1805" i="2"/>
  <c r="Q1805" i="2" s="1"/>
  <c r="M1804" i="2"/>
  <c r="Q1804" i="2" s="1"/>
  <c r="M1803" i="2"/>
  <c r="Q1803" i="2" s="1"/>
  <c r="M1703" i="2" l="1"/>
  <c r="Q1703" i="2" s="1"/>
  <c r="M1704" i="2"/>
  <c r="Q1704" i="2" s="1"/>
  <c r="M1705" i="2"/>
  <c r="Q1705" i="2" s="1"/>
  <c r="M1706" i="2"/>
  <c r="Q1706" i="2" s="1"/>
  <c r="M1707" i="2"/>
  <c r="Q1707" i="2" s="1"/>
  <c r="M1708" i="2"/>
  <c r="Q1708" i="2" s="1"/>
  <c r="M1709" i="2"/>
  <c r="Q1709" i="2" s="1"/>
  <c r="M1710" i="2"/>
  <c r="Q1710" i="2" s="1"/>
  <c r="M1711" i="2"/>
  <c r="Q1711" i="2" s="1"/>
  <c r="M1712" i="2"/>
  <c r="Q1712" i="2" s="1"/>
  <c r="M1713" i="2"/>
  <c r="Q1713" i="2" s="1"/>
  <c r="M1714" i="2"/>
  <c r="Q1714" i="2" s="1"/>
  <c r="M1715" i="2"/>
  <c r="Q1715" i="2" s="1"/>
  <c r="M1716" i="2"/>
  <c r="Q1716" i="2" s="1"/>
  <c r="M1717" i="2"/>
  <c r="Q1717" i="2" s="1"/>
  <c r="M1718" i="2"/>
  <c r="Q1718" i="2" s="1"/>
  <c r="M1719" i="2"/>
  <c r="Q1719" i="2" s="1"/>
  <c r="M1720" i="2"/>
  <c r="Q1720" i="2" s="1"/>
  <c r="M1721" i="2"/>
  <c r="Q1721" i="2" s="1"/>
  <c r="M1722" i="2"/>
  <c r="Q1722" i="2" s="1"/>
  <c r="M1723" i="2"/>
  <c r="Q1723" i="2" s="1"/>
  <c r="M1724" i="2"/>
  <c r="Q1724" i="2" s="1"/>
  <c r="M1725" i="2"/>
  <c r="Q1725" i="2" s="1"/>
  <c r="M1726" i="2"/>
  <c r="Q1726" i="2" s="1"/>
  <c r="M1727" i="2"/>
  <c r="Q1727" i="2" s="1"/>
  <c r="M1728" i="2"/>
  <c r="Q1728" i="2" s="1"/>
  <c r="M1729" i="2"/>
  <c r="Q1729" i="2" s="1"/>
  <c r="M1730" i="2"/>
  <c r="Q1730" i="2" s="1"/>
  <c r="M1731" i="2"/>
  <c r="Q1731" i="2" s="1"/>
  <c r="M1732" i="2"/>
  <c r="Q1732" i="2" s="1"/>
  <c r="M1733" i="2"/>
  <c r="Q1733" i="2" s="1"/>
  <c r="M1734" i="2"/>
  <c r="Q1734" i="2" s="1"/>
  <c r="M1735" i="2"/>
  <c r="Q1735" i="2" s="1"/>
  <c r="M1736" i="2"/>
  <c r="Q1736" i="2" s="1"/>
  <c r="M1737" i="2"/>
  <c r="Q1737" i="2" s="1"/>
  <c r="M1738" i="2"/>
  <c r="Q1738" i="2" s="1"/>
  <c r="M1739" i="2"/>
  <c r="Q1739" i="2" s="1"/>
  <c r="M1740" i="2"/>
  <c r="Q1740" i="2" s="1"/>
  <c r="M1741" i="2"/>
  <c r="Q1741" i="2" s="1"/>
  <c r="M1742" i="2"/>
  <c r="Q1742" i="2" s="1"/>
  <c r="M1743" i="2"/>
  <c r="Q1743" i="2" s="1"/>
  <c r="M1744" i="2"/>
  <c r="Q1744" i="2" s="1"/>
  <c r="M1745" i="2"/>
  <c r="Q1745" i="2" s="1"/>
  <c r="M1746" i="2"/>
  <c r="Q1746" i="2" s="1"/>
  <c r="M1747" i="2"/>
  <c r="Q1747" i="2" s="1"/>
  <c r="M1748" i="2"/>
  <c r="Q1748" i="2" s="1"/>
  <c r="M1749" i="2"/>
  <c r="Q1749" i="2" s="1"/>
  <c r="M1750" i="2"/>
  <c r="Q1750" i="2" s="1"/>
  <c r="M1751" i="2"/>
  <c r="Q1751" i="2" s="1"/>
  <c r="M1752" i="2"/>
  <c r="Q1752" i="2" s="1"/>
  <c r="M1753" i="2"/>
  <c r="Q1753" i="2" s="1"/>
  <c r="M1754" i="2"/>
  <c r="Q1754" i="2" s="1"/>
  <c r="M1755" i="2"/>
  <c r="Q1755" i="2" s="1"/>
  <c r="S37" i="7" l="1"/>
  <c r="R37" i="7"/>
  <c r="M1702" i="2" l="1"/>
  <c r="Q1702" i="2" s="1"/>
  <c r="M1701" i="2"/>
  <c r="Q1701" i="2" s="1"/>
  <c r="M1700" i="2"/>
  <c r="Q1700" i="2" s="1"/>
  <c r="M1699" i="2"/>
  <c r="Q1699" i="2" s="1"/>
  <c r="M1698" i="2"/>
  <c r="Q1698" i="2" s="1"/>
  <c r="M1697" i="2"/>
  <c r="Q1697" i="2" s="1"/>
  <c r="M1695" i="2"/>
  <c r="Q1695" i="2" s="1"/>
  <c r="M1696" i="2"/>
  <c r="Q1696" i="2" s="1"/>
  <c r="M1694" i="2"/>
  <c r="Q1694" i="2" s="1"/>
  <c r="M1633" i="2" l="1"/>
  <c r="Q1633" i="2" s="1"/>
  <c r="M1634" i="2"/>
  <c r="Q1634" i="2" s="1"/>
  <c r="M1635" i="2"/>
  <c r="Q1635" i="2" s="1"/>
  <c r="M1636" i="2"/>
  <c r="Q1636" i="2" s="1"/>
  <c r="M1637" i="2"/>
  <c r="Q1637" i="2" s="1"/>
  <c r="M1638" i="2"/>
  <c r="Q1638" i="2" s="1"/>
  <c r="M1639" i="2"/>
  <c r="Q1639" i="2" s="1"/>
  <c r="M1640" i="2"/>
  <c r="Q1640" i="2" s="1"/>
  <c r="M1641" i="2"/>
  <c r="Q1641" i="2" s="1"/>
  <c r="M1642" i="2"/>
  <c r="Q1642" i="2" s="1"/>
  <c r="M1643" i="2"/>
  <c r="Q1643" i="2" s="1"/>
  <c r="M1644" i="2"/>
  <c r="Q1644" i="2" s="1"/>
  <c r="M1645" i="2"/>
  <c r="Q1645" i="2" s="1"/>
  <c r="M1632" i="2"/>
  <c r="Q1632" i="2" s="1"/>
  <c r="M1631" i="2"/>
  <c r="Q1631" i="2" s="1"/>
  <c r="M1630" i="2"/>
  <c r="Q1630" i="2" s="1"/>
  <c r="M1592" i="2"/>
  <c r="Q1592" i="2" s="1"/>
  <c r="M1593" i="2"/>
  <c r="Q1593" i="2" s="1"/>
  <c r="M1594" i="2"/>
  <c r="Q1594" i="2" s="1"/>
  <c r="M1595" i="2"/>
  <c r="Q1595" i="2" s="1"/>
  <c r="M1596" i="2"/>
  <c r="Q1596" i="2" s="1"/>
  <c r="M1597" i="2"/>
  <c r="Q1597" i="2" s="1"/>
  <c r="M1598" i="2"/>
  <c r="Q1598" i="2" s="1"/>
  <c r="M1599" i="2"/>
  <c r="Q1599" i="2" s="1"/>
  <c r="M1600" i="2"/>
  <c r="Q1600" i="2" s="1"/>
  <c r="M1601" i="2"/>
  <c r="Q1601" i="2" s="1"/>
  <c r="M1602" i="2"/>
  <c r="Q1602" i="2" s="1"/>
  <c r="M1603" i="2"/>
  <c r="Q1603" i="2" s="1"/>
  <c r="M1604" i="2"/>
  <c r="Q1604" i="2" s="1"/>
  <c r="M1605" i="2"/>
  <c r="Q1605" i="2" s="1"/>
  <c r="M1606" i="2"/>
  <c r="Q1606" i="2" s="1"/>
  <c r="M1607" i="2"/>
  <c r="Q1607" i="2" s="1"/>
  <c r="M1608" i="2"/>
  <c r="Q1608" i="2" s="1"/>
  <c r="M1609" i="2"/>
  <c r="Q1609" i="2" s="1"/>
  <c r="M1610" i="2"/>
  <c r="Q1610" i="2" s="1"/>
  <c r="M1611" i="2"/>
  <c r="Q1611" i="2" s="1"/>
  <c r="M1612" i="2"/>
  <c r="Q1612" i="2" s="1"/>
  <c r="M1613" i="2"/>
  <c r="Q1613" i="2" s="1"/>
  <c r="M1614" i="2"/>
  <c r="Q1614" i="2" s="1"/>
  <c r="M1615" i="2"/>
  <c r="Q1615" i="2" s="1"/>
  <c r="M1616" i="2"/>
  <c r="Q1616" i="2" s="1"/>
  <c r="M1617" i="2"/>
  <c r="Q1617" i="2" s="1"/>
  <c r="M1618" i="2"/>
  <c r="Q1618" i="2" s="1"/>
  <c r="M1619" i="2"/>
  <c r="Q1619" i="2" s="1"/>
  <c r="M1620" i="2"/>
  <c r="Q1620" i="2" s="1"/>
  <c r="M1621" i="2"/>
  <c r="Q1621" i="2" s="1"/>
  <c r="M1622" i="2"/>
  <c r="Q1622" i="2" s="1"/>
  <c r="M1623" i="2"/>
  <c r="Q1623" i="2" s="1"/>
  <c r="M1624" i="2"/>
  <c r="Q1624" i="2" s="1"/>
  <c r="M1625" i="2"/>
  <c r="Q1625" i="2" s="1"/>
  <c r="M1626" i="2"/>
  <c r="Q1626" i="2" s="1"/>
  <c r="M1627" i="2"/>
  <c r="Q1627" i="2" s="1"/>
  <c r="M1628" i="2"/>
  <c r="Q1628" i="2" s="1"/>
  <c r="M1629" i="2"/>
  <c r="Q1629" i="2" s="1"/>
  <c r="M1591" i="2"/>
  <c r="Q1591" i="2" s="1"/>
  <c r="M1588" i="2"/>
  <c r="Q1588" i="2" s="1"/>
  <c r="M1589" i="2"/>
  <c r="Q1589" i="2" s="1"/>
  <c r="M1590" i="2"/>
  <c r="Q1590" i="2" s="1"/>
  <c r="M1587" i="2"/>
  <c r="Q1587" i="2" s="1"/>
  <c r="M1586" i="2"/>
  <c r="Q1586" i="2" s="1"/>
  <c r="M1585" i="2"/>
  <c r="Q1585" i="2" s="1"/>
  <c r="M1584" i="2"/>
  <c r="Q1584" i="2" s="1"/>
  <c r="M1583" i="2"/>
  <c r="Q1583" i="2" s="1"/>
  <c r="M1582" i="2"/>
  <c r="Q1582" i="2" s="1"/>
  <c r="M1581" i="2"/>
  <c r="Q1581" i="2" s="1"/>
  <c r="M1580" i="2"/>
  <c r="Q1580" i="2" s="1"/>
  <c r="M1579" i="2"/>
  <c r="Q1579" i="2" s="1"/>
  <c r="M1578" i="2"/>
  <c r="Q1578" i="2" s="1"/>
  <c r="M1577" i="2"/>
  <c r="Q1577" i="2" s="1"/>
  <c r="M1576" i="2"/>
  <c r="Q1576" i="2" s="1"/>
  <c r="M1575" i="2"/>
  <c r="Q1575" i="2" s="1"/>
  <c r="M1574" i="2"/>
  <c r="Q1574" i="2" s="1"/>
  <c r="M1573" i="2"/>
  <c r="Q1573" i="2" s="1"/>
  <c r="M1562" i="2"/>
  <c r="Q1562" i="2" s="1"/>
  <c r="M1563" i="2"/>
  <c r="Q1563" i="2" s="1"/>
  <c r="M1564" i="2"/>
  <c r="Q1564" i="2" s="1"/>
  <c r="M1565" i="2"/>
  <c r="Q1565" i="2" s="1"/>
  <c r="M1566" i="2"/>
  <c r="Q1566" i="2" s="1"/>
  <c r="M1567" i="2"/>
  <c r="Q1567" i="2" s="1"/>
  <c r="M1568" i="2"/>
  <c r="Q1568" i="2" s="1"/>
  <c r="M1569" i="2"/>
  <c r="Q1569" i="2" s="1"/>
  <c r="M1570" i="2"/>
  <c r="Q1570" i="2" s="1"/>
  <c r="M1571" i="2"/>
  <c r="Q1571" i="2" s="1"/>
  <c r="M1572" i="2"/>
  <c r="Q1572" i="2" s="1"/>
  <c r="M1561" i="2"/>
  <c r="Q1561" i="2" s="1"/>
  <c r="M1560" i="2"/>
  <c r="Q1560" i="2" s="1"/>
  <c r="M1559" i="2"/>
  <c r="Q1559" i="2" s="1"/>
  <c r="M1558" i="2"/>
  <c r="Q1558" i="2" s="1"/>
  <c r="M1557" i="2"/>
  <c r="Q1557" i="2" s="1"/>
  <c r="M1556" i="2"/>
  <c r="Q1556" i="2" s="1"/>
  <c r="M1555" i="2"/>
  <c r="Q1555" i="2" s="1"/>
  <c r="M1554" i="2"/>
  <c r="Q1554" i="2" s="1"/>
  <c r="M1553" i="2"/>
  <c r="Q1553" i="2" s="1"/>
  <c r="M1552" i="2"/>
  <c r="Q1552" i="2" s="1"/>
  <c r="M1551" i="2"/>
  <c r="Q1551" i="2" s="1"/>
  <c r="M1550" i="2"/>
  <c r="Q1550" i="2" s="1"/>
  <c r="M1549" i="2"/>
  <c r="Q1549" i="2" s="1"/>
  <c r="M1548" i="2"/>
  <c r="Q1548" i="2" s="1"/>
  <c r="M1547" i="2"/>
  <c r="Q1547" i="2" s="1"/>
  <c r="M1546" i="2"/>
  <c r="Q1546" i="2" s="1"/>
  <c r="M1545" i="2"/>
  <c r="Q1545" i="2" s="1"/>
  <c r="M1544" i="2"/>
  <c r="Q1544" i="2" s="1"/>
  <c r="M1543" i="2"/>
  <c r="Q1543" i="2" s="1"/>
  <c r="M1542" i="2"/>
  <c r="Q1542" i="2" s="1"/>
  <c r="M1541" i="2"/>
  <c r="Q1541" i="2" s="1"/>
  <c r="M1540" i="2" l="1"/>
  <c r="Q1540" i="2" s="1"/>
  <c r="M1539" i="2"/>
  <c r="Q1539" i="2" s="1"/>
  <c r="M1538" i="2"/>
  <c r="Q1538" i="2" s="1"/>
  <c r="M1537" i="2" l="1"/>
  <c r="Q1537" i="2" s="1"/>
  <c r="M1536" i="2"/>
  <c r="Q1536" i="2" s="1"/>
  <c r="M1535" i="2"/>
  <c r="Q1535" i="2" s="1"/>
  <c r="M1529" i="2"/>
  <c r="Q1529" i="2" s="1"/>
  <c r="M1530" i="2"/>
  <c r="Q1530" i="2" s="1"/>
  <c r="M1531" i="2"/>
  <c r="Q1531" i="2" s="1"/>
  <c r="M1532" i="2"/>
  <c r="Q1532" i="2" s="1"/>
  <c r="M1533" i="2"/>
  <c r="Q1533" i="2" s="1"/>
  <c r="M1534" i="2"/>
  <c r="Q1534" i="2" s="1"/>
  <c r="M1528" i="2"/>
  <c r="Q1528" i="2" s="1"/>
  <c r="M1527" i="2"/>
  <c r="Q1527" i="2" s="1"/>
  <c r="M1526" i="2"/>
  <c r="Q1526" i="2" s="1"/>
  <c r="M1525" i="2"/>
  <c r="Q1525" i="2" s="1"/>
  <c r="M1524" i="2"/>
  <c r="Q1524" i="2" s="1"/>
  <c r="M1523" i="2"/>
  <c r="Q1523" i="2" s="1"/>
  <c r="M1522" i="2"/>
  <c r="Q1522" i="2" s="1"/>
  <c r="M1521" i="2"/>
  <c r="Q1521" i="2" s="1"/>
  <c r="M1520" i="2"/>
  <c r="Q1520" i="2" s="1"/>
  <c r="M1519" i="2"/>
  <c r="Q1519" i="2" s="1"/>
  <c r="M1518" i="2"/>
  <c r="Q1518" i="2" s="1"/>
  <c r="M1517" i="2"/>
  <c r="Q1517" i="2" s="1"/>
  <c r="M1516" i="2"/>
  <c r="Q1516" i="2" s="1"/>
  <c r="M1515" i="2"/>
  <c r="Q1515" i="2" s="1"/>
  <c r="M1514" i="2"/>
  <c r="Q1514" i="2" s="1"/>
  <c r="M1513" i="2"/>
  <c r="Q1513" i="2" s="1"/>
  <c r="M1512" i="2"/>
  <c r="Q1512" i="2" s="1"/>
  <c r="M1511" i="2"/>
  <c r="Q1511" i="2" s="1"/>
  <c r="M1510" i="2"/>
  <c r="Q1510" i="2" s="1"/>
  <c r="M1509" i="2"/>
  <c r="Q1509" i="2" s="1"/>
  <c r="M1508" i="2"/>
  <c r="Q1508" i="2" s="1"/>
  <c r="M1507" i="2"/>
  <c r="Q1507" i="2" s="1"/>
  <c r="M1506" i="2"/>
  <c r="Q1506" i="2" s="1"/>
  <c r="M1505" i="2"/>
  <c r="Q1505" i="2" s="1"/>
  <c r="M1504" i="2"/>
  <c r="Q1504" i="2" s="1"/>
  <c r="M1503" i="2"/>
  <c r="Q1503" i="2" s="1"/>
  <c r="M1502" i="2"/>
  <c r="Q1502" i="2" s="1"/>
  <c r="M1501" i="2"/>
  <c r="Q1501" i="2" s="1"/>
  <c r="M1500" i="2"/>
  <c r="Q1500" i="2" s="1"/>
  <c r="M1499" i="2"/>
  <c r="Q1499" i="2" s="1"/>
  <c r="M1498" i="2"/>
  <c r="Q1498" i="2" s="1"/>
  <c r="M1497" i="2"/>
  <c r="Q1497" i="2" s="1"/>
  <c r="M1496" i="2"/>
  <c r="Q1496" i="2" s="1"/>
  <c r="M1495" i="2"/>
  <c r="Q1495" i="2" s="1"/>
  <c r="M1494" i="2"/>
  <c r="Q1494" i="2" s="1"/>
  <c r="M1493" i="2"/>
  <c r="Q1493" i="2" s="1"/>
  <c r="M1492" i="2"/>
  <c r="Q1492" i="2" s="1"/>
  <c r="M1491" i="2"/>
  <c r="Q1491" i="2" s="1"/>
  <c r="M1490" i="2"/>
  <c r="Q1490" i="2" s="1"/>
  <c r="M1489" i="2"/>
  <c r="Q1489" i="2" s="1"/>
  <c r="M1488" i="2"/>
  <c r="Q1488" i="2" s="1"/>
  <c r="M1487" i="2"/>
  <c r="Q1487" i="2" s="1"/>
  <c r="M1486" i="2"/>
  <c r="Q1486" i="2" s="1"/>
  <c r="M1485" i="2"/>
  <c r="Q1485" i="2" s="1"/>
  <c r="M1484" i="2"/>
  <c r="Q1484" i="2" s="1"/>
  <c r="M1483" i="2"/>
  <c r="Q1483" i="2" s="1"/>
  <c r="M1478" i="2"/>
  <c r="Q1478" i="2" s="1"/>
  <c r="M1479" i="2"/>
  <c r="Q1479" i="2" s="1"/>
  <c r="M1480" i="2"/>
  <c r="Q1480" i="2" s="1"/>
  <c r="M1481" i="2"/>
  <c r="Q1481" i="2" s="1"/>
  <c r="M1482" i="2"/>
  <c r="Q1482" i="2" s="1"/>
  <c r="M1477" i="2"/>
  <c r="Q1477" i="2" s="1"/>
  <c r="M1476" i="2"/>
  <c r="Q1476" i="2" s="1"/>
  <c r="M1475" i="2"/>
  <c r="Q1475" i="2" s="1"/>
  <c r="M1474" i="2"/>
  <c r="Q1474" i="2" s="1"/>
  <c r="M1473" i="2"/>
  <c r="Q1473" i="2" s="1"/>
  <c r="M1472" i="2"/>
  <c r="Q1472" i="2" s="1"/>
  <c r="M1471" i="2"/>
  <c r="Q1471" i="2" s="1"/>
  <c r="M1470" i="2"/>
  <c r="Q1470" i="2" s="1"/>
  <c r="M1469" i="2"/>
  <c r="Q1469" i="2" s="1"/>
  <c r="M1468" i="2"/>
  <c r="Q1468" i="2" s="1"/>
  <c r="M1467" i="2"/>
  <c r="Q1467" i="2" s="1"/>
  <c r="M1466" i="2"/>
  <c r="Q1466" i="2" s="1"/>
  <c r="M1465" i="2"/>
  <c r="Q1465" i="2" s="1"/>
  <c r="M1464" i="2" l="1"/>
  <c r="Q1464" i="2" s="1"/>
  <c r="M1463" i="2"/>
  <c r="Q1463" i="2" s="1"/>
  <c r="M1462" i="2"/>
  <c r="Q1462" i="2" s="1"/>
  <c r="M1461" i="2"/>
  <c r="Q1461" i="2" s="1"/>
  <c r="M1458" i="2"/>
  <c r="Q1458" i="2" s="1"/>
  <c r="M1459" i="2"/>
  <c r="Q1459" i="2" s="1"/>
  <c r="M1460" i="2"/>
  <c r="Q1460" i="2" s="1"/>
  <c r="M1457" i="2"/>
  <c r="Q1457" i="2" s="1"/>
  <c r="M1456" i="2"/>
  <c r="Q1456" i="2" s="1"/>
  <c r="M1443" i="2" l="1"/>
  <c r="Q1443" i="2" s="1"/>
  <c r="M1444" i="2"/>
  <c r="Q1444" i="2" s="1"/>
  <c r="M1445" i="2"/>
  <c r="Q1445" i="2" s="1"/>
  <c r="M1446" i="2"/>
  <c r="Q1446" i="2" s="1"/>
  <c r="M1447" i="2"/>
  <c r="Q1447" i="2" s="1"/>
  <c r="M1448" i="2"/>
  <c r="Q1448" i="2" s="1"/>
  <c r="M1449" i="2"/>
  <c r="Q1449" i="2" s="1"/>
  <c r="M1450" i="2"/>
  <c r="Q1450" i="2" s="1"/>
  <c r="M1451" i="2"/>
  <c r="Q1451" i="2" s="1"/>
  <c r="M1452" i="2"/>
  <c r="Q1452" i="2" s="1"/>
  <c r="M1453" i="2"/>
  <c r="Q1453" i="2" s="1"/>
  <c r="M1454" i="2"/>
  <c r="Q1454" i="2" s="1"/>
  <c r="M1455" i="2"/>
  <c r="Q1455" i="2" s="1"/>
  <c r="N37" i="7" l="1"/>
  <c r="Q37" i="7" l="1"/>
  <c r="P37" i="7"/>
  <c r="O37" i="7"/>
  <c r="M37" i="7"/>
  <c r="L37" i="7"/>
  <c r="K37" i="7"/>
  <c r="J37" i="7"/>
  <c r="I37" i="7"/>
  <c r="H37" i="7"/>
  <c r="G37" i="7"/>
  <c r="F37" i="7"/>
  <c r="E37" i="7"/>
  <c r="D37" i="7"/>
  <c r="C37" i="7"/>
  <c r="M1390" i="2" l="1"/>
  <c r="Q1390" i="2" s="1"/>
  <c r="M1395" i="2"/>
  <c r="Q1395" i="2" s="1"/>
  <c r="M1396" i="2"/>
  <c r="Q1396" i="2" s="1"/>
  <c r="M1397" i="2"/>
  <c r="Q1397" i="2" s="1"/>
  <c r="M1398" i="2"/>
  <c r="Q1398" i="2" s="1"/>
  <c r="M1399" i="2"/>
  <c r="Q1399" i="2" s="1"/>
  <c r="M1400" i="2"/>
  <c r="Q1400" i="2" s="1"/>
  <c r="M1401" i="2"/>
  <c r="Q1401" i="2" s="1"/>
  <c r="M1391" i="2"/>
  <c r="Q1391" i="2" s="1"/>
  <c r="M1392" i="2"/>
  <c r="Q1392" i="2" s="1"/>
  <c r="M1393" i="2"/>
  <c r="Q1393" i="2" s="1"/>
  <c r="M1394" i="2"/>
  <c r="Q1394" i="2" s="1"/>
  <c r="M1402" i="2"/>
  <c r="Q1402" i="2" s="1"/>
  <c r="M1413" i="2"/>
  <c r="Q1413" i="2" s="1"/>
  <c r="M1424" i="2"/>
  <c r="Q1424" i="2" s="1"/>
  <c r="M1433" i="2"/>
  <c r="Q1433" i="2" s="1"/>
  <c r="M1438" i="2"/>
  <c r="Q1438" i="2" s="1"/>
  <c r="M1439" i="2"/>
  <c r="Q1439" i="2" s="1"/>
  <c r="M1440" i="2"/>
  <c r="Q1440" i="2" s="1"/>
  <c r="M1441" i="2"/>
  <c r="Q1441" i="2" s="1"/>
  <c r="M1442" i="2"/>
  <c r="Q1442" i="2" s="1"/>
  <c r="M1403" i="2"/>
  <c r="Q1403" i="2" s="1"/>
  <c r="M1404" i="2"/>
  <c r="Q1404" i="2" s="1"/>
  <c r="M1405" i="2"/>
  <c r="Q1405" i="2" s="1"/>
  <c r="M1406" i="2"/>
  <c r="Q1406" i="2" s="1"/>
  <c r="M1407" i="2"/>
  <c r="Q1407" i="2" s="1"/>
  <c r="M1408" i="2"/>
  <c r="Q1408" i="2" s="1"/>
  <c r="M1409" i="2"/>
  <c r="Q1409" i="2" s="1"/>
  <c r="M1410" i="2"/>
  <c r="Q1410" i="2" s="1"/>
  <c r="M1411" i="2"/>
  <c r="Q1411" i="2" s="1"/>
  <c r="M1412" i="2"/>
  <c r="Q1412" i="2" s="1"/>
  <c r="M1414" i="2"/>
  <c r="Q1414" i="2" s="1"/>
  <c r="M1415" i="2"/>
  <c r="Q1415" i="2" s="1"/>
  <c r="M1416" i="2"/>
  <c r="Q1416" i="2" s="1"/>
  <c r="M1417" i="2"/>
  <c r="Q1417" i="2" s="1"/>
  <c r="M1418" i="2"/>
  <c r="Q1418" i="2" s="1"/>
  <c r="M1419" i="2"/>
  <c r="Q1419" i="2" s="1"/>
  <c r="M1420" i="2"/>
  <c r="Q1420" i="2" s="1"/>
  <c r="M1421" i="2"/>
  <c r="Q1421" i="2" s="1"/>
  <c r="M1422" i="2"/>
  <c r="Q1422" i="2" s="1"/>
  <c r="M1423" i="2"/>
  <c r="Q1423" i="2" s="1"/>
  <c r="M1425" i="2"/>
  <c r="Q1425" i="2" s="1"/>
  <c r="M1426" i="2"/>
  <c r="Q1426" i="2" s="1"/>
  <c r="M1427" i="2"/>
  <c r="Q1427" i="2" s="1"/>
  <c r="M1428" i="2"/>
  <c r="Q1428" i="2" s="1"/>
  <c r="M1429" i="2"/>
  <c r="Q1429" i="2" s="1"/>
  <c r="M1430" i="2"/>
  <c r="Q1430" i="2" s="1"/>
  <c r="M1431" i="2"/>
  <c r="Q1431" i="2" s="1"/>
  <c r="M1432" i="2"/>
  <c r="Q1432" i="2" s="1"/>
  <c r="M1434" i="2"/>
  <c r="Q1434" i="2" s="1"/>
  <c r="M1435" i="2"/>
  <c r="Q1435" i="2" s="1"/>
  <c r="M1436" i="2"/>
  <c r="Q1436" i="2" s="1"/>
  <c r="M1437" i="2"/>
  <c r="Q1437" i="2" s="1"/>
  <c r="M1250" i="2" l="1"/>
  <c r="Q1250" i="2" s="1"/>
  <c r="M1261" i="2"/>
  <c r="Q1261" i="2" s="1"/>
  <c r="M1272" i="2"/>
  <c r="Q1272" i="2" s="1"/>
  <c r="M1274" i="2"/>
  <c r="Q1274" i="2" s="1"/>
  <c r="M1275" i="2"/>
  <c r="Q1275" i="2" s="1"/>
  <c r="M1276" i="2"/>
  <c r="Q1276" i="2" s="1"/>
  <c r="M1277" i="2"/>
  <c r="Q1277" i="2" s="1"/>
  <c r="M1278" i="2"/>
  <c r="Q1278" i="2" s="1"/>
  <c r="M1279" i="2"/>
  <c r="Q1279" i="2" s="1"/>
  <c r="M1251" i="2"/>
  <c r="Q1251" i="2" s="1"/>
  <c r="M1252" i="2"/>
  <c r="Q1252" i="2" s="1"/>
  <c r="M1253" i="2"/>
  <c r="Q1253" i="2" s="1"/>
  <c r="M1254" i="2"/>
  <c r="Q1254" i="2" s="1"/>
  <c r="M1255" i="2"/>
  <c r="Q1255" i="2" s="1"/>
  <c r="M1256" i="2"/>
  <c r="Q1256" i="2" s="1"/>
  <c r="M1257" i="2"/>
  <c r="Q1257" i="2" s="1"/>
  <c r="M1258" i="2"/>
  <c r="Q1258" i="2" s="1"/>
  <c r="M1259" i="2"/>
  <c r="Q1259" i="2" s="1"/>
  <c r="M1260" i="2"/>
  <c r="Q1260" i="2" s="1"/>
  <c r="M1262" i="2"/>
  <c r="Q1262" i="2" s="1"/>
  <c r="M1263" i="2"/>
  <c r="Q1263" i="2" s="1"/>
  <c r="M1264" i="2"/>
  <c r="Q1264" i="2" s="1"/>
  <c r="M1265" i="2"/>
  <c r="Q1265" i="2" s="1"/>
  <c r="M1266" i="2"/>
  <c r="Q1266" i="2" s="1"/>
  <c r="M1267" i="2"/>
  <c r="Q1267" i="2" s="1"/>
  <c r="M1268" i="2"/>
  <c r="Q1268" i="2" s="1"/>
  <c r="M1269" i="2"/>
  <c r="Q1269" i="2" s="1"/>
  <c r="M1270" i="2"/>
  <c r="Q1270" i="2" s="1"/>
  <c r="M1271" i="2"/>
  <c r="Q1271" i="2" s="1"/>
  <c r="M1273" i="2"/>
  <c r="Q1273" i="2" s="1"/>
  <c r="M1280" i="2"/>
  <c r="Q1280" i="2" s="1"/>
  <c r="M1291" i="2"/>
  <c r="Q1291" i="2" s="1"/>
  <c r="M1300" i="2"/>
  <c r="Q1300" i="2" s="1"/>
  <c r="M1310" i="2"/>
  <c r="Q1310" i="2" s="1"/>
  <c r="M1321" i="2"/>
  <c r="Q1321" i="2" s="1"/>
  <c r="M1332" i="2"/>
  <c r="Q1332" i="2" s="1"/>
  <c r="M1343" i="2"/>
  <c r="Q1343" i="2" s="1"/>
  <c r="M1347" i="2"/>
  <c r="Q1347" i="2" s="1"/>
  <c r="M1348" i="2"/>
  <c r="Q1348" i="2" s="1"/>
  <c r="M1281" i="2"/>
  <c r="Q1281" i="2" s="1"/>
  <c r="M1282" i="2"/>
  <c r="Q1282" i="2" s="1"/>
  <c r="M1283" i="2"/>
  <c r="Q1283" i="2" s="1"/>
  <c r="M1284" i="2"/>
  <c r="Q1284" i="2" s="1"/>
  <c r="M1285" i="2"/>
  <c r="Q1285" i="2" s="1"/>
  <c r="M1286" i="2"/>
  <c r="Q1286" i="2" s="1"/>
  <c r="M1287" i="2"/>
  <c r="Q1287" i="2" s="1"/>
  <c r="M1288" i="2"/>
  <c r="Q1288" i="2" s="1"/>
  <c r="M1289" i="2"/>
  <c r="Q1289" i="2" s="1"/>
  <c r="M1290" i="2"/>
  <c r="Q1290" i="2" s="1"/>
  <c r="M1292" i="2"/>
  <c r="Q1292" i="2" s="1"/>
  <c r="M1293" i="2"/>
  <c r="Q1293" i="2" s="1"/>
  <c r="M1294" i="2"/>
  <c r="Q1294" i="2" s="1"/>
  <c r="M1295" i="2"/>
  <c r="Q1295" i="2" s="1"/>
  <c r="M1296" i="2"/>
  <c r="Q1296" i="2" s="1"/>
  <c r="M1297" i="2"/>
  <c r="Q1297" i="2" s="1"/>
  <c r="M1298" i="2"/>
  <c r="Q1298" i="2" s="1"/>
  <c r="M1299" i="2"/>
  <c r="Q1299" i="2" s="1"/>
  <c r="M1301" i="2"/>
  <c r="Q1301" i="2" s="1"/>
  <c r="M1302" i="2"/>
  <c r="Q1302" i="2" s="1"/>
  <c r="M1303" i="2"/>
  <c r="Q1303" i="2" s="1"/>
  <c r="M1304" i="2"/>
  <c r="Q1304" i="2" s="1"/>
  <c r="M1305" i="2"/>
  <c r="Q1305" i="2" s="1"/>
  <c r="M1306" i="2"/>
  <c r="Q1306" i="2" s="1"/>
  <c r="M1307" i="2"/>
  <c r="Q1307" i="2" s="1"/>
  <c r="M1308" i="2"/>
  <c r="Q1308" i="2" s="1"/>
  <c r="M1309" i="2"/>
  <c r="Q1309" i="2" s="1"/>
  <c r="M1311" i="2"/>
  <c r="Q1311" i="2" s="1"/>
  <c r="M1312" i="2"/>
  <c r="Q1312" i="2" s="1"/>
  <c r="M1313" i="2"/>
  <c r="Q1313" i="2" s="1"/>
  <c r="M1314" i="2"/>
  <c r="Q1314" i="2" s="1"/>
  <c r="M1315" i="2"/>
  <c r="Q1315" i="2" s="1"/>
  <c r="M1316" i="2"/>
  <c r="Q1316" i="2" s="1"/>
  <c r="M1317" i="2"/>
  <c r="Q1317" i="2" s="1"/>
  <c r="M1318" i="2"/>
  <c r="Q1318" i="2" s="1"/>
  <c r="M1319" i="2"/>
  <c r="Q1319" i="2" s="1"/>
  <c r="M1320" i="2"/>
  <c r="Q1320" i="2" s="1"/>
  <c r="M1322" i="2"/>
  <c r="Q1322" i="2" s="1"/>
  <c r="M1323" i="2"/>
  <c r="Q1323" i="2" s="1"/>
  <c r="M1324" i="2"/>
  <c r="Q1324" i="2" s="1"/>
  <c r="M1325" i="2"/>
  <c r="Q1325" i="2" s="1"/>
  <c r="M1326" i="2"/>
  <c r="Q1326" i="2" s="1"/>
  <c r="M1327" i="2"/>
  <c r="Q1327" i="2" s="1"/>
  <c r="M1328" i="2"/>
  <c r="Q1328" i="2" s="1"/>
  <c r="M1329" i="2"/>
  <c r="Q1329" i="2" s="1"/>
  <c r="M1330" i="2"/>
  <c r="Q1330" i="2" s="1"/>
  <c r="M1331" i="2"/>
  <c r="Q1331" i="2" s="1"/>
  <c r="M1333" i="2"/>
  <c r="Q1333" i="2" s="1"/>
  <c r="M1334" i="2"/>
  <c r="Q1334" i="2" s="1"/>
  <c r="M1335" i="2"/>
  <c r="Q1335" i="2" s="1"/>
  <c r="M1336" i="2"/>
  <c r="Q1336" i="2" s="1"/>
  <c r="M1337" i="2"/>
  <c r="Q1337" i="2" s="1"/>
  <c r="M1338" i="2"/>
  <c r="Q1338" i="2" s="1"/>
  <c r="M1339" i="2"/>
  <c r="Q1339" i="2" s="1"/>
  <c r="M1340" i="2"/>
  <c r="Q1340" i="2" s="1"/>
  <c r="M1341" i="2"/>
  <c r="Q1341" i="2" s="1"/>
  <c r="M1342" i="2"/>
  <c r="Q1342" i="2" s="1"/>
  <c r="M1344" i="2"/>
  <c r="Q1344" i="2" s="1"/>
  <c r="M1345" i="2"/>
  <c r="Q1345" i="2" s="1"/>
  <c r="M1346" i="2"/>
  <c r="Q1346" i="2" s="1"/>
  <c r="M1349" i="2"/>
  <c r="Q1349" i="2" s="1"/>
  <c r="M1350" i="2"/>
  <c r="Q1350" i="2" s="1"/>
  <c r="M1351" i="2"/>
  <c r="Q1351" i="2" s="1"/>
  <c r="M1361" i="2"/>
  <c r="Q1361" i="2" s="1"/>
  <c r="M1373" i="2"/>
  <c r="Q1373" i="2" s="1"/>
  <c r="M1374" i="2"/>
  <c r="Q1374" i="2" s="1"/>
  <c r="M1375" i="2"/>
  <c r="Q1375" i="2" s="1"/>
  <c r="M1376" i="2"/>
  <c r="Q1376" i="2" s="1"/>
  <c r="M1377" i="2"/>
  <c r="Q1377" i="2" s="1"/>
  <c r="M1378" i="2"/>
  <c r="Q1378" i="2" s="1"/>
  <c r="M1352" i="2"/>
  <c r="Q1352" i="2" s="1"/>
  <c r="M1353" i="2"/>
  <c r="Q1353" i="2" s="1"/>
  <c r="M1354" i="2"/>
  <c r="Q1354" i="2" s="1"/>
  <c r="M1355" i="2"/>
  <c r="Q1355" i="2" s="1"/>
  <c r="M1356" i="2"/>
  <c r="Q1356" i="2" s="1"/>
  <c r="M1357" i="2"/>
  <c r="Q1357" i="2" s="1"/>
  <c r="M1358" i="2"/>
  <c r="Q1358" i="2" s="1"/>
  <c r="M1359" i="2"/>
  <c r="Q1359" i="2" s="1"/>
  <c r="M1360" i="2"/>
  <c r="Q1360" i="2" s="1"/>
  <c r="M1362" i="2"/>
  <c r="Q1362" i="2" s="1"/>
  <c r="M1363" i="2"/>
  <c r="Q1363" i="2" s="1"/>
  <c r="M1364" i="2"/>
  <c r="Q1364" i="2" s="1"/>
  <c r="M1365" i="2"/>
  <c r="Q1365" i="2" s="1"/>
  <c r="M1366" i="2"/>
  <c r="Q1366" i="2" s="1"/>
  <c r="M1367" i="2"/>
  <c r="Q1367" i="2" s="1"/>
  <c r="M1368" i="2"/>
  <c r="Q1368" i="2" s="1"/>
  <c r="M1369" i="2"/>
  <c r="Q1369" i="2" s="1"/>
  <c r="M1370" i="2"/>
  <c r="Q1370" i="2" s="1"/>
  <c r="M1371" i="2"/>
  <c r="Q1371" i="2" s="1"/>
  <c r="M1372" i="2"/>
  <c r="Q1372" i="2" s="1"/>
  <c r="M1379" i="2"/>
  <c r="Q1379" i="2" s="1"/>
  <c r="M1382" i="2"/>
  <c r="Q1382" i="2" s="1"/>
  <c r="M1383" i="2"/>
  <c r="Q1383" i="2" s="1"/>
  <c r="M1384" i="2"/>
  <c r="Q1384" i="2" s="1"/>
  <c r="M1385" i="2"/>
  <c r="Q1385" i="2" s="1"/>
  <c r="M1386" i="2"/>
  <c r="Q1386" i="2" s="1"/>
  <c r="M1387" i="2"/>
  <c r="Q1387" i="2" s="1"/>
  <c r="M1388" i="2"/>
  <c r="Q1388" i="2" s="1"/>
  <c r="M1389" i="2"/>
  <c r="Q1389" i="2" s="1"/>
  <c r="M1380" i="2"/>
  <c r="Q1380" i="2" s="1"/>
  <c r="M1381" i="2"/>
  <c r="Q1381" i="2" s="1"/>
  <c r="M1203" i="2" l="1"/>
  <c r="Q1203" i="2" s="1"/>
  <c r="M1204" i="2"/>
  <c r="Q1204" i="2" s="1"/>
  <c r="M1205" i="2"/>
  <c r="Q1205" i="2" s="1"/>
  <c r="M1206" i="2"/>
  <c r="Q1206" i="2" s="1"/>
  <c r="M1207" i="2"/>
  <c r="Q1207" i="2" s="1"/>
  <c r="M1208" i="2"/>
  <c r="Q1208" i="2" s="1"/>
  <c r="M1209" i="2"/>
  <c r="Q1209" i="2" s="1"/>
  <c r="M1210" i="2"/>
  <c r="Q1210" i="2" s="1"/>
  <c r="M1211" i="2"/>
  <c r="Q1211" i="2" s="1"/>
  <c r="M1215" i="2"/>
  <c r="Q1215" i="2" s="1"/>
  <c r="M1216" i="2"/>
  <c r="Q1216" i="2" s="1"/>
  <c r="M1217" i="2"/>
  <c r="Q1217" i="2" s="1"/>
  <c r="M1218" i="2"/>
  <c r="Q1218" i="2" s="1"/>
  <c r="M1219" i="2"/>
  <c r="Q1219" i="2" s="1"/>
  <c r="M1220" i="2"/>
  <c r="Q1220" i="2" s="1"/>
  <c r="M1221" i="2"/>
  <c r="Q1221" i="2" s="1"/>
  <c r="M1222" i="2"/>
  <c r="Q1222" i="2" s="1"/>
  <c r="M1212" i="2"/>
  <c r="Q1212" i="2" s="1"/>
  <c r="M1213" i="2"/>
  <c r="Q1213" i="2" s="1"/>
  <c r="M1214" i="2"/>
  <c r="Q1214" i="2" s="1"/>
  <c r="M1223" i="2"/>
  <c r="Q1223" i="2" s="1"/>
  <c r="M1233" i="2"/>
  <c r="Q1233" i="2" s="1"/>
  <c r="M1234" i="2"/>
  <c r="Q1234" i="2" s="1"/>
  <c r="M1235" i="2"/>
  <c r="Q1235" i="2" s="1"/>
  <c r="M1236" i="2"/>
  <c r="Q1236" i="2" s="1"/>
  <c r="M1237" i="2"/>
  <c r="Q1237" i="2" s="1"/>
  <c r="M1238" i="2"/>
  <c r="Q1238" i="2" s="1"/>
  <c r="M1239" i="2"/>
  <c r="Q1239" i="2" s="1"/>
  <c r="M1240" i="2"/>
  <c r="Q1240" i="2" s="1"/>
  <c r="M1224" i="2"/>
  <c r="Q1224" i="2" s="1"/>
  <c r="M1225" i="2"/>
  <c r="Q1225" i="2" s="1"/>
  <c r="M1226" i="2"/>
  <c r="Q1226" i="2" s="1"/>
  <c r="M1227" i="2"/>
  <c r="Q1227" i="2" s="1"/>
  <c r="M1228" i="2"/>
  <c r="Q1228" i="2" s="1"/>
  <c r="M1229" i="2"/>
  <c r="Q1229" i="2" s="1"/>
  <c r="M1230" i="2"/>
  <c r="Q1230" i="2" s="1"/>
  <c r="M1231" i="2"/>
  <c r="Q1231" i="2" s="1"/>
  <c r="M1232" i="2"/>
  <c r="Q1232" i="2" s="1"/>
  <c r="M1241" i="2"/>
  <c r="Q1241" i="2" s="1"/>
  <c r="M1242" i="2"/>
  <c r="Q1242" i="2" s="1"/>
  <c r="M1243" i="2"/>
  <c r="Q1243" i="2" s="1"/>
  <c r="M1244" i="2"/>
  <c r="Q1244" i="2" s="1"/>
  <c r="M1245" i="2"/>
  <c r="Q1245" i="2" s="1"/>
  <c r="M1246" i="2"/>
  <c r="Q1246" i="2" s="1"/>
  <c r="M1247" i="2"/>
  <c r="Q1247" i="2" s="1"/>
  <c r="M1248" i="2"/>
  <c r="Q1248" i="2" s="1"/>
  <c r="M1249" i="2"/>
  <c r="Q1249" i="2" s="1"/>
  <c r="M1195" i="2" l="1"/>
  <c r="Q1195" i="2" s="1"/>
  <c r="M1196" i="2"/>
  <c r="Q1196" i="2" s="1"/>
  <c r="M1197" i="2"/>
  <c r="Q1197" i="2" s="1"/>
  <c r="M1198" i="2"/>
  <c r="Q1198" i="2" s="1"/>
  <c r="M1199" i="2"/>
  <c r="Q1199" i="2" s="1"/>
  <c r="M1200" i="2"/>
  <c r="Q1200" i="2" s="1"/>
  <c r="M1201" i="2"/>
  <c r="Q1201" i="2" s="1"/>
  <c r="M1202" i="2"/>
  <c r="Q1202" i="2" s="1"/>
  <c r="M1150" i="2" l="1"/>
  <c r="Q1150" i="2" s="1"/>
  <c r="M1151" i="2"/>
  <c r="Q1151" i="2" s="1"/>
  <c r="M1152" i="2"/>
  <c r="Q1152" i="2" s="1"/>
  <c r="M1153" i="2"/>
  <c r="Q1153" i="2" s="1"/>
  <c r="M1154" i="2"/>
  <c r="Q1154" i="2" s="1"/>
  <c r="M1155" i="2"/>
  <c r="Q1155" i="2" s="1"/>
  <c r="M1156" i="2"/>
  <c r="Q1156" i="2" s="1"/>
  <c r="M1157" i="2"/>
  <c r="Q1157" i="2" s="1"/>
  <c r="M1158" i="2"/>
  <c r="Q1158" i="2" s="1"/>
  <c r="M1159" i="2"/>
  <c r="Q1159" i="2" s="1"/>
  <c r="M1160" i="2"/>
  <c r="Q1160" i="2" s="1"/>
  <c r="M1161" i="2"/>
  <c r="Q1161" i="2" s="1"/>
  <c r="M1162" i="2"/>
  <c r="Q1162" i="2" s="1"/>
  <c r="M1163" i="2"/>
  <c r="Q1163" i="2" s="1"/>
  <c r="M1164" i="2"/>
  <c r="Q1164" i="2" s="1"/>
  <c r="M1165" i="2"/>
  <c r="Q1165" i="2" s="1"/>
  <c r="M1166" i="2"/>
  <c r="Q1166" i="2" s="1"/>
  <c r="M1167" i="2"/>
  <c r="Q1167" i="2" s="1"/>
  <c r="M1168" i="2"/>
  <c r="Q1168" i="2" s="1"/>
  <c r="M1169" i="2"/>
  <c r="Q1169" i="2" s="1"/>
  <c r="M1170" i="2"/>
  <c r="Q1170" i="2" s="1"/>
  <c r="M1171" i="2"/>
  <c r="Q1171" i="2" s="1"/>
  <c r="M1172" i="2"/>
  <c r="Q1172" i="2" s="1"/>
  <c r="M1173" i="2"/>
  <c r="Q1173" i="2" s="1"/>
  <c r="M1182" i="2"/>
  <c r="Q1182" i="2" s="1"/>
  <c r="M1183" i="2"/>
  <c r="Q1183" i="2" s="1"/>
  <c r="M1184" i="2"/>
  <c r="Q1184" i="2" s="1"/>
  <c r="M1185" i="2"/>
  <c r="Q1185" i="2" s="1"/>
  <c r="M1186" i="2"/>
  <c r="Q1186" i="2" s="1"/>
  <c r="M1187" i="2"/>
  <c r="Q1187" i="2" s="1"/>
  <c r="M1188" i="2"/>
  <c r="Q1188" i="2" s="1"/>
  <c r="M1189" i="2"/>
  <c r="Q1189" i="2" s="1"/>
  <c r="M1174" i="2"/>
  <c r="Q1174" i="2" s="1"/>
  <c r="M1175" i="2"/>
  <c r="Q1175" i="2" s="1"/>
  <c r="M1176" i="2"/>
  <c r="Q1176" i="2" s="1"/>
  <c r="M1177" i="2"/>
  <c r="Q1177" i="2" s="1"/>
  <c r="M1178" i="2"/>
  <c r="Q1178" i="2" s="1"/>
  <c r="M1179" i="2"/>
  <c r="Q1179" i="2" s="1"/>
  <c r="M1180" i="2"/>
  <c r="Q1180" i="2" s="1"/>
  <c r="M1181" i="2"/>
  <c r="Q1181" i="2" s="1"/>
  <c r="M1190" i="2"/>
  <c r="Q1190" i="2" s="1"/>
  <c r="M1191" i="2"/>
  <c r="Q1191" i="2" s="1"/>
  <c r="M1192" i="2"/>
  <c r="Q1192" i="2" s="1"/>
  <c r="M1193" i="2"/>
  <c r="Q1193" i="2" s="1"/>
  <c r="M1194" i="2"/>
  <c r="Q1194" i="2" s="1"/>
  <c r="M1056" i="2" l="1"/>
  <c r="Q1056" i="2" s="1"/>
  <c r="M1067" i="2"/>
  <c r="Q1067" i="2" s="1"/>
  <c r="M1078" i="2"/>
  <c r="Q1078" i="2" s="1"/>
  <c r="M1082" i="2"/>
  <c r="Q1082" i="2" s="1"/>
  <c r="M1083" i="2"/>
  <c r="Q1083" i="2" s="1"/>
  <c r="M1084" i="2"/>
  <c r="Q1084" i="2" s="1"/>
  <c r="M1085" i="2"/>
  <c r="Q1085" i="2" s="1"/>
  <c r="M1086" i="2"/>
  <c r="Q1086" i="2" s="1"/>
  <c r="M1087" i="2"/>
  <c r="Q1087" i="2" s="1"/>
  <c r="M1057" i="2"/>
  <c r="Q1057" i="2" s="1"/>
  <c r="M1058" i="2"/>
  <c r="Q1058" i="2" s="1"/>
  <c r="M1059" i="2"/>
  <c r="Q1059" i="2" s="1"/>
  <c r="M1060" i="2"/>
  <c r="Q1060" i="2" s="1"/>
  <c r="M1061" i="2"/>
  <c r="Q1061" i="2" s="1"/>
  <c r="M1062" i="2"/>
  <c r="Q1062" i="2" s="1"/>
  <c r="M1063" i="2"/>
  <c r="Q1063" i="2" s="1"/>
  <c r="M1064" i="2"/>
  <c r="Q1064" i="2" s="1"/>
  <c r="M1065" i="2"/>
  <c r="Q1065" i="2" s="1"/>
  <c r="M1066" i="2"/>
  <c r="Q1066" i="2" s="1"/>
  <c r="M1068" i="2"/>
  <c r="Q1068" i="2" s="1"/>
  <c r="M1069" i="2"/>
  <c r="Q1069" i="2" s="1"/>
  <c r="M1070" i="2"/>
  <c r="Q1070" i="2" s="1"/>
  <c r="M1071" i="2"/>
  <c r="Q1071" i="2" s="1"/>
  <c r="M1072" i="2"/>
  <c r="Q1072" i="2" s="1"/>
  <c r="M1073" i="2"/>
  <c r="Q1073" i="2" s="1"/>
  <c r="M1074" i="2"/>
  <c r="Q1074" i="2" s="1"/>
  <c r="M1075" i="2"/>
  <c r="Q1075" i="2" s="1"/>
  <c r="M1076" i="2"/>
  <c r="Q1076" i="2" s="1"/>
  <c r="M1077" i="2"/>
  <c r="Q1077" i="2" s="1"/>
  <c r="M1079" i="2"/>
  <c r="Q1079" i="2" s="1"/>
  <c r="M1080" i="2"/>
  <c r="Q1080" i="2" s="1"/>
  <c r="M1081" i="2"/>
  <c r="Q1081" i="2" s="1"/>
  <c r="M1088" i="2"/>
  <c r="Q1088" i="2" s="1"/>
  <c r="M1098" i="2"/>
  <c r="Q1098" i="2" s="1"/>
  <c r="M1103" i="2"/>
  <c r="Q1103" i="2" s="1"/>
  <c r="M1104" i="2"/>
  <c r="Q1104" i="2" s="1"/>
  <c r="M1105" i="2"/>
  <c r="Q1105" i="2" s="1"/>
  <c r="M1106" i="2"/>
  <c r="Q1106" i="2" s="1"/>
  <c r="M1107" i="2"/>
  <c r="Q1107" i="2" s="1"/>
  <c r="M1108" i="2"/>
  <c r="Q1108" i="2" s="1"/>
  <c r="M1109" i="2"/>
  <c r="Q1109" i="2" s="1"/>
  <c r="M1089" i="2"/>
  <c r="Q1089" i="2" s="1"/>
  <c r="M1090" i="2"/>
  <c r="Q1090" i="2" s="1"/>
  <c r="M1091" i="2"/>
  <c r="Q1091" i="2" s="1"/>
  <c r="M1092" i="2"/>
  <c r="Q1092" i="2" s="1"/>
  <c r="M1093" i="2"/>
  <c r="Q1093" i="2" s="1"/>
  <c r="M1094" i="2"/>
  <c r="Q1094" i="2" s="1"/>
  <c r="M1095" i="2"/>
  <c r="Q1095" i="2" s="1"/>
  <c r="M1096" i="2"/>
  <c r="Q1096" i="2" s="1"/>
  <c r="M1097" i="2"/>
  <c r="Q1097" i="2" s="1"/>
  <c r="M1099" i="2"/>
  <c r="Q1099" i="2" s="1"/>
  <c r="M1100" i="2"/>
  <c r="Q1100" i="2" s="1"/>
  <c r="M1101" i="2"/>
  <c r="Q1101" i="2" s="1"/>
  <c r="M1102" i="2"/>
  <c r="Q1102" i="2" s="1"/>
  <c r="M1110" i="2"/>
  <c r="Q1110" i="2" s="1"/>
  <c r="M1120" i="2"/>
  <c r="Q1120" i="2" s="1"/>
  <c r="M1130" i="2"/>
  <c r="Q1130" i="2" s="1"/>
  <c r="M1139" i="2"/>
  <c r="Q1139" i="2" s="1"/>
  <c r="M1145" i="2"/>
  <c r="Q1145" i="2" s="1"/>
  <c r="M1146" i="2"/>
  <c r="Q1146" i="2" s="1"/>
  <c r="M1147" i="2"/>
  <c r="Q1147" i="2" s="1"/>
  <c r="M1148" i="2"/>
  <c r="Q1148" i="2" s="1"/>
  <c r="M1149" i="2"/>
  <c r="Q1149" i="2" s="1"/>
  <c r="M1111" i="2"/>
  <c r="Q1111" i="2" s="1"/>
  <c r="M1112" i="2"/>
  <c r="Q1112" i="2" s="1"/>
  <c r="M1113" i="2"/>
  <c r="Q1113" i="2" s="1"/>
  <c r="M1114" i="2"/>
  <c r="Q1114" i="2" s="1"/>
  <c r="M1115" i="2"/>
  <c r="Q1115" i="2" s="1"/>
  <c r="M1116" i="2"/>
  <c r="Q1116" i="2" s="1"/>
  <c r="M1117" i="2"/>
  <c r="Q1117" i="2" s="1"/>
  <c r="M1118" i="2"/>
  <c r="Q1118" i="2" s="1"/>
  <c r="M1119" i="2"/>
  <c r="Q1119" i="2" s="1"/>
  <c r="M1121" i="2"/>
  <c r="Q1121" i="2" s="1"/>
  <c r="M1122" i="2"/>
  <c r="Q1122" i="2" s="1"/>
  <c r="M1123" i="2"/>
  <c r="Q1123" i="2" s="1"/>
  <c r="M1124" i="2"/>
  <c r="Q1124" i="2" s="1"/>
  <c r="M1125" i="2"/>
  <c r="Q1125" i="2" s="1"/>
  <c r="M1126" i="2"/>
  <c r="Q1126" i="2" s="1"/>
  <c r="M1127" i="2"/>
  <c r="Q1127" i="2" s="1"/>
  <c r="M1128" i="2"/>
  <c r="Q1128" i="2" s="1"/>
  <c r="M1129" i="2"/>
  <c r="Q1129" i="2" s="1"/>
  <c r="M1131" i="2"/>
  <c r="Q1131" i="2" s="1"/>
  <c r="M1132" i="2"/>
  <c r="Q1132" i="2" s="1"/>
  <c r="M1133" i="2"/>
  <c r="Q1133" i="2" s="1"/>
  <c r="M1134" i="2"/>
  <c r="Q1134" i="2" s="1"/>
  <c r="M1135" i="2"/>
  <c r="Q1135" i="2" s="1"/>
  <c r="M1136" i="2"/>
  <c r="Q1136" i="2" s="1"/>
  <c r="M1137" i="2"/>
  <c r="Q1137" i="2" s="1"/>
  <c r="M1138" i="2"/>
  <c r="Q1138" i="2" s="1"/>
  <c r="M1140" i="2"/>
  <c r="Q1140" i="2" s="1"/>
  <c r="M1141" i="2"/>
  <c r="Q1141" i="2" s="1"/>
  <c r="M1142" i="2"/>
  <c r="Q1142" i="2" s="1"/>
  <c r="M1143" i="2"/>
  <c r="Q1143" i="2" s="1"/>
  <c r="M1144" i="2"/>
  <c r="Q1144" i="2" s="1"/>
  <c r="M906" i="2" l="1"/>
  <c r="Q906" i="2" s="1"/>
  <c r="M927" i="2"/>
  <c r="Q927" i="2" s="1"/>
  <c r="M940" i="2"/>
  <c r="Q940" i="2" s="1"/>
  <c r="M941" i="2"/>
  <c r="Q941" i="2" s="1"/>
  <c r="M942" i="2"/>
  <c r="Q942" i="2" s="1"/>
  <c r="M943" i="2"/>
  <c r="Q943" i="2" s="1"/>
  <c r="M944" i="2"/>
  <c r="Q944" i="2" s="1"/>
  <c r="M907" i="2"/>
  <c r="Q907" i="2" s="1"/>
  <c r="M908" i="2"/>
  <c r="Q908" i="2" s="1"/>
  <c r="M909" i="2"/>
  <c r="Q909" i="2" s="1"/>
  <c r="M910" i="2"/>
  <c r="Q910" i="2" s="1"/>
  <c r="M911" i="2"/>
  <c r="Q911" i="2" s="1"/>
  <c r="M912" i="2"/>
  <c r="Q912" i="2" s="1"/>
  <c r="M913" i="2"/>
  <c r="Q913" i="2" s="1"/>
  <c r="M914" i="2"/>
  <c r="Q914" i="2" s="1"/>
  <c r="M915" i="2"/>
  <c r="Q915" i="2" s="1"/>
  <c r="M916" i="2"/>
  <c r="Q916" i="2" s="1"/>
  <c r="M917" i="2"/>
  <c r="Q917" i="2" s="1"/>
  <c r="M918" i="2"/>
  <c r="Q918" i="2" s="1"/>
  <c r="M919" i="2"/>
  <c r="Q919" i="2" s="1"/>
  <c r="M920" i="2"/>
  <c r="Q920" i="2" s="1"/>
  <c r="M921" i="2"/>
  <c r="Q921" i="2" s="1"/>
  <c r="M922" i="2"/>
  <c r="Q922" i="2" s="1"/>
  <c r="M923" i="2"/>
  <c r="Q923" i="2" s="1"/>
  <c r="M924" i="2"/>
  <c r="Q924" i="2" s="1"/>
  <c r="M925" i="2"/>
  <c r="Q925" i="2" s="1"/>
  <c r="M926" i="2"/>
  <c r="Q926" i="2" s="1"/>
  <c r="M928" i="2"/>
  <c r="Q928" i="2" s="1"/>
  <c r="M929" i="2"/>
  <c r="Q929" i="2" s="1"/>
  <c r="M930" i="2"/>
  <c r="Q930" i="2" s="1"/>
  <c r="M931" i="2"/>
  <c r="Q931" i="2" s="1"/>
  <c r="M932" i="2"/>
  <c r="Q932" i="2" s="1"/>
  <c r="M933" i="2"/>
  <c r="Q933" i="2" s="1"/>
  <c r="M934" i="2"/>
  <c r="Q934" i="2" s="1"/>
  <c r="M935" i="2"/>
  <c r="Q935" i="2" s="1"/>
  <c r="M936" i="2"/>
  <c r="Q936" i="2" s="1"/>
  <c r="M937" i="2"/>
  <c r="Q937" i="2" s="1"/>
  <c r="M938" i="2"/>
  <c r="Q938" i="2" s="1"/>
  <c r="M939" i="2"/>
  <c r="Q939" i="2" s="1"/>
  <c r="M945" i="2"/>
  <c r="Q945" i="2" s="1"/>
  <c r="M956" i="2"/>
  <c r="Q956" i="2" s="1"/>
  <c r="M967" i="2"/>
  <c r="Q967" i="2" s="1"/>
  <c r="M968" i="2"/>
  <c r="Q968" i="2" s="1"/>
  <c r="M969" i="2"/>
  <c r="Q969" i="2" s="1"/>
  <c r="M970" i="2"/>
  <c r="Q970" i="2" s="1"/>
  <c r="M971" i="2"/>
  <c r="Q971" i="2" s="1"/>
  <c r="M972" i="2"/>
  <c r="Q972" i="2" s="1"/>
  <c r="M946" i="2"/>
  <c r="Q946" i="2" s="1"/>
  <c r="M947" i="2"/>
  <c r="Q947" i="2" s="1"/>
  <c r="M948" i="2"/>
  <c r="Q948" i="2" s="1"/>
  <c r="M949" i="2"/>
  <c r="Q949" i="2" s="1"/>
  <c r="M950" i="2"/>
  <c r="Q950" i="2" s="1"/>
  <c r="M951" i="2"/>
  <c r="Q951" i="2" s="1"/>
  <c r="M952" i="2"/>
  <c r="Q952" i="2" s="1"/>
  <c r="M953" i="2"/>
  <c r="Q953" i="2" s="1"/>
  <c r="M954" i="2"/>
  <c r="Q954" i="2" s="1"/>
  <c r="M955" i="2"/>
  <c r="Q955" i="2" s="1"/>
  <c r="M957" i="2"/>
  <c r="Q957" i="2" s="1"/>
  <c r="M958" i="2"/>
  <c r="Q958" i="2" s="1"/>
  <c r="M959" i="2"/>
  <c r="Q959" i="2" s="1"/>
  <c r="M960" i="2"/>
  <c r="Q960" i="2" s="1"/>
  <c r="M961" i="2"/>
  <c r="Q961" i="2" s="1"/>
  <c r="M962" i="2"/>
  <c r="Q962" i="2" s="1"/>
  <c r="M963" i="2"/>
  <c r="Q963" i="2" s="1"/>
  <c r="M964" i="2"/>
  <c r="Q964" i="2" s="1"/>
  <c r="M965" i="2"/>
  <c r="Q965" i="2" s="1"/>
  <c r="M966" i="2"/>
  <c r="Q966" i="2" s="1"/>
  <c r="M973" i="2"/>
  <c r="Q973" i="2" s="1"/>
  <c r="M974" i="2"/>
  <c r="Q974" i="2" s="1"/>
  <c r="M975" i="2"/>
  <c r="Q975" i="2" s="1"/>
  <c r="M976" i="2"/>
  <c r="Q976" i="2" s="1"/>
  <c r="M977" i="2"/>
  <c r="Q977" i="2" s="1"/>
  <c r="M978" i="2"/>
  <c r="Q978" i="2" s="1"/>
  <c r="M979" i="2"/>
  <c r="Q979" i="2" s="1"/>
  <c r="M980" i="2"/>
  <c r="Q980" i="2" s="1"/>
  <c r="M988" i="2"/>
  <c r="Q988" i="2" s="1"/>
  <c r="M992" i="2"/>
  <c r="Q992" i="2" s="1"/>
  <c r="M1000" i="2"/>
  <c r="Q1000" i="2" s="1"/>
  <c r="M1009" i="2"/>
  <c r="Q1009" i="2" s="1"/>
  <c r="M1018" i="2"/>
  <c r="Q1018" i="2" s="1"/>
  <c r="M1029" i="2"/>
  <c r="Q1029" i="2" s="1"/>
  <c r="M1040" i="2"/>
  <c r="Q1040" i="2" s="1"/>
  <c r="M1050" i="2"/>
  <c r="Q1050" i="2" s="1"/>
  <c r="M981" i="2"/>
  <c r="Q981" i="2" s="1"/>
  <c r="M982" i="2"/>
  <c r="Q982" i="2" s="1"/>
  <c r="M983" i="2"/>
  <c r="Q983" i="2" s="1"/>
  <c r="M984" i="2"/>
  <c r="Q984" i="2" s="1"/>
  <c r="M985" i="2"/>
  <c r="Q985" i="2" s="1"/>
  <c r="M986" i="2"/>
  <c r="Q986" i="2" s="1"/>
  <c r="M987" i="2"/>
  <c r="Q987" i="2" s="1"/>
  <c r="M989" i="2"/>
  <c r="Q989" i="2" s="1"/>
  <c r="M990" i="2"/>
  <c r="Q990" i="2" s="1"/>
  <c r="M991" i="2"/>
  <c r="Q991" i="2" s="1"/>
  <c r="M993" i="2"/>
  <c r="Q993" i="2" s="1"/>
  <c r="M994" i="2"/>
  <c r="Q994" i="2" s="1"/>
  <c r="M995" i="2"/>
  <c r="Q995" i="2" s="1"/>
  <c r="M996" i="2"/>
  <c r="Q996" i="2" s="1"/>
  <c r="M997" i="2"/>
  <c r="Q997" i="2" s="1"/>
  <c r="M998" i="2"/>
  <c r="Q998" i="2" s="1"/>
  <c r="M999" i="2"/>
  <c r="Q999" i="2" s="1"/>
  <c r="M1001" i="2"/>
  <c r="Q1001" i="2" s="1"/>
  <c r="M1002" i="2"/>
  <c r="Q1002" i="2" s="1"/>
  <c r="M1003" i="2"/>
  <c r="Q1003" i="2" s="1"/>
  <c r="M1004" i="2"/>
  <c r="Q1004" i="2" s="1"/>
  <c r="M1005" i="2"/>
  <c r="Q1005" i="2" s="1"/>
  <c r="M1006" i="2"/>
  <c r="Q1006" i="2" s="1"/>
  <c r="M1007" i="2"/>
  <c r="Q1007" i="2" s="1"/>
  <c r="M1008" i="2"/>
  <c r="Q1008" i="2" s="1"/>
  <c r="M1010" i="2"/>
  <c r="Q1010" i="2" s="1"/>
  <c r="M1011" i="2"/>
  <c r="Q1011" i="2" s="1"/>
  <c r="M1012" i="2"/>
  <c r="Q1012" i="2" s="1"/>
  <c r="M1013" i="2"/>
  <c r="Q1013" i="2" s="1"/>
  <c r="M1014" i="2"/>
  <c r="Q1014" i="2" s="1"/>
  <c r="M1015" i="2"/>
  <c r="Q1015" i="2" s="1"/>
  <c r="M1016" i="2"/>
  <c r="Q1016" i="2" s="1"/>
  <c r="M1017" i="2"/>
  <c r="Q1017" i="2" s="1"/>
  <c r="M1019" i="2"/>
  <c r="Q1019" i="2" s="1"/>
  <c r="M1020" i="2"/>
  <c r="Q1020" i="2" s="1"/>
  <c r="M1021" i="2"/>
  <c r="Q1021" i="2" s="1"/>
  <c r="M1022" i="2"/>
  <c r="Q1022" i="2" s="1"/>
  <c r="M1023" i="2"/>
  <c r="Q1023" i="2" s="1"/>
  <c r="M1024" i="2"/>
  <c r="Q1024" i="2" s="1"/>
  <c r="M1025" i="2"/>
  <c r="Q1025" i="2" s="1"/>
  <c r="M1026" i="2"/>
  <c r="Q1026" i="2" s="1"/>
  <c r="M1027" i="2"/>
  <c r="Q1027" i="2" s="1"/>
  <c r="M1028" i="2"/>
  <c r="Q1028" i="2" s="1"/>
  <c r="M1030" i="2"/>
  <c r="Q1030" i="2" s="1"/>
  <c r="M1031" i="2"/>
  <c r="Q1031" i="2" s="1"/>
  <c r="M1032" i="2"/>
  <c r="Q1032" i="2" s="1"/>
  <c r="M1033" i="2"/>
  <c r="Q1033" i="2" s="1"/>
  <c r="M1034" i="2"/>
  <c r="Q1034" i="2" s="1"/>
  <c r="M1035" i="2"/>
  <c r="Q1035" i="2" s="1"/>
  <c r="M1036" i="2"/>
  <c r="Q1036" i="2" s="1"/>
  <c r="M1037" i="2"/>
  <c r="Q1037" i="2" s="1"/>
  <c r="M1038" i="2"/>
  <c r="Q1038" i="2" s="1"/>
  <c r="M1039" i="2"/>
  <c r="Q1039" i="2" s="1"/>
  <c r="M1041" i="2"/>
  <c r="Q1041" i="2" s="1"/>
  <c r="M1042" i="2"/>
  <c r="Q1042" i="2" s="1"/>
  <c r="M1043" i="2"/>
  <c r="Q1043" i="2" s="1"/>
  <c r="M1044" i="2"/>
  <c r="Q1044" i="2" s="1"/>
  <c r="M1045" i="2"/>
  <c r="Q1045" i="2" s="1"/>
  <c r="M1046" i="2"/>
  <c r="Q1046" i="2" s="1"/>
  <c r="M1047" i="2"/>
  <c r="Q1047" i="2" s="1"/>
  <c r="M1048" i="2"/>
  <c r="Q1048" i="2" s="1"/>
  <c r="M1049" i="2"/>
  <c r="Q1049" i="2" s="1"/>
  <c r="M1051" i="2"/>
  <c r="Q1051" i="2" s="1"/>
  <c r="M1052" i="2"/>
  <c r="Q1052" i="2" s="1"/>
  <c r="M1053" i="2"/>
  <c r="Q1053" i="2" s="1"/>
  <c r="M1054" i="2"/>
  <c r="Q1054" i="2" s="1"/>
  <c r="M1055" i="2"/>
  <c r="Q1055" i="2" s="1"/>
  <c r="M762" i="2"/>
  <c r="Q762" i="2" s="1"/>
  <c r="M770" i="2"/>
  <c r="Q770" i="2" s="1"/>
  <c r="M779" i="2"/>
  <c r="Q779" i="2" s="1"/>
  <c r="M781" i="2"/>
  <c r="Q781" i="2" s="1"/>
  <c r="M782" i="2"/>
  <c r="Q782" i="2" s="1"/>
  <c r="M783" i="2"/>
  <c r="Q783" i="2" s="1"/>
  <c r="M784" i="2"/>
  <c r="Q784" i="2" s="1"/>
  <c r="M785" i="2"/>
  <c r="Q785" i="2" s="1"/>
  <c r="M786" i="2"/>
  <c r="Q786" i="2" s="1"/>
  <c r="M763" i="2"/>
  <c r="Q763" i="2" s="1"/>
  <c r="M764" i="2"/>
  <c r="Q764" i="2" s="1"/>
  <c r="M765" i="2"/>
  <c r="Q765" i="2" s="1"/>
  <c r="M766" i="2"/>
  <c r="Q766" i="2" s="1"/>
  <c r="M767" i="2"/>
  <c r="Q767" i="2" s="1"/>
  <c r="M768" i="2"/>
  <c r="Q768" i="2" s="1"/>
  <c r="M769" i="2"/>
  <c r="Q769" i="2" s="1"/>
  <c r="M771" i="2"/>
  <c r="Q771" i="2" s="1"/>
  <c r="M772" i="2"/>
  <c r="Q772" i="2" s="1"/>
  <c r="M773" i="2"/>
  <c r="Q773" i="2" s="1"/>
  <c r="M774" i="2"/>
  <c r="Q774" i="2" s="1"/>
  <c r="M775" i="2"/>
  <c r="Q775" i="2" s="1"/>
  <c r="M776" i="2"/>
  <c r="Q776" i="2" s="1"/>
  <c r="M777" i="2"/>
  <c r="Q777" i="2" s="1"/>
  <c r="M778" i="2"/>
  <c r="Q778" i="2" s="1"/>
  <c r="M780" i="2"/>
  <c r="Q780" i="2" s="1"/>
  <c r="M787" i="2"/>
  <c r="Q787" i="2" s="1"/>
  <c r="M793" i="2"/>
  <c r="Q793" i="2" s="1"/>
  <c r="M795" i="2"/>
  <c r="Q795" i="2" s="1"/>
  <c r="M796" i="2"/>
  <c r="Q796" i="2" s="1"/>
  <c r="M797" i="2"/>
  <c r="Q797" i="2" s="1"/>
  <c r="M798" i="2"/>
  <c r="Q798" i="2" s="1"/>
  <c r="M799" i="2"/>
  <c r="Q799" i="2" s="1"/>
  <c r="M788" i="2"/>
  <c r="Q788" i="2" s="1"/>
  <c r="M789" i="2"/>
  <c r="Q789" i="2" s="1"/>
  <c r="M790" i="2"/>
  <c r="Q790" i="2" s="1"/>
  <c r="M791" i="2"/>
  <c r="Q791" i="2" s="1"/>
  <c r="M792" i="2"/>
  <c r="Q792" i="2" s="1"/>
  <c r="M794" i="2"/>
  <c r="Q794" i="2" s="1"/>
  <c r="M800" i="2"/>
  <c r="Q800" i="2" s="1"/>
  <c r="M811" i="2"/>
  <c r="Q811" i="2" s="1"/>
  <c r="M816" i="2"/>
  <c r="Q816" i="2" s="1"/>
  <c r="M817" i="2"/>
  <c r="Q817" i="2" s="1"/>
  <c r="M818" i="2"/>
  <c r="Q818" i="2" s="1"/>
  <c r="M819" i="2"/>
  <c r="Q819" i="2" s="1"/>
  <c r="M820" i="2"/>
  <c r="Q820" i="2" s="1"/>
  <c r="M821" i="2"/>
  <c r="Q821" i="2" s="1"/>
  <c r="M801" i="2"/>
  <c r="Q801" i="2" s="1"/>
  <c r="M802" i="2"/>
  <c r="Q802" i="2" s="1"/>
  <c r="M803" i="2"/>
  <c r="Q803" i="2" s="1"/>
  <c r="M804" i="2"/>
  <c r="Q804" i="2" s="1"/>
  <c r="M805" i="2"/>
  <c r="Q805" i="2" s="1"/>
  <c r="M806" i="2"/>
  <c r="Q806" i="2" s="1"/>
  <c r="M807" i="2"/>
  <c r="Q807" i="2" s="1"/>
  <c r="M808" i="2"/>
  <c r="Q808" i="2" s="1"/>
  <c r="M809" i="2"/>
  <c r="Q809" i="2" s="1"/>
  <c r="M810" i="2"/>
  <c r="Q810" i="2" s="1"/>
  <c r="M812" i="2"/>
  <c r="Q812" i="2" s="1"/>
  <c r="M813" i="2"/>
  <c r="Q813" i="2" s="1"/>
  <c r="M814" i="2"/>
  <c r="Q814" i="2" s="1"/>
  <c r="M815" i="2"/>
  <c r="Q815" i="2" s="1"/>
  <c r="M822" i="2"/>
  <c r="Q822" i="2" s="1"/>
  <c r="M832" i="2"/>
  <c r="Q832" i="2" s="1"/>
  <c r="M842" i="2"/>
  <c r="Q842" i="2" s="1"/>
  <c r="M847" i="2"/>
  <c r="Q847" i="2" s="1"/>
  <c r="M848" i="2"/>
  <c r="Q848" i="2" s="1"/>
  <c r="M849" i="2"/>
  <c r="Q849" i="2" s="1"/>
  <c r="M850" i="2"/>
  <c r="Q850" i="2" s="1"/>
  <c r="M851" i="2"/>
  <c r="Q851" i="2" s="1"/>
  <c r="M852" i="2"/>
  <c r="Q852" i="2" s="1"/>
  <c r="M823" i="2"/>
  <c r="Q823" i="2" s="1"/>
  <c r="M824" i="2"/>
  <c r="Q824" i="2" s="1"/>
  <c r="M825" i="2"/>
  <c r="Q825" i="2" s="1"/>
  <c r="M826" i="2"/>
  <c r="Q826" i="2" s="1"/>
  <c r="M827" i="2"/>
  <c r="Q827" i="2" s="1"/>
  <c r="M828" i="2"/>
  <c r="Q828" i="2" s="1"/>
  <c r="M829" i="2"/>
  <c r="Q829" i="2" s="1"/>
  <c r="M830" i="2"/>
  <c r="Q830" i="2" s="1"/>
  <c r="M831" i="2"/>
  <c r="Q831" i="2" s="1"/>
  <c r="M833" i="2"/>
  <c r="Q833" i="2" s="1"/>
  <c r="M834" i="2"/>
  <c r="Q834" i="2" s="1"/>
  <c r="M835" i="2"/>
  <c r="Q835" i="2" s="1"/>
  <c r="M836" i="2"/>
  <c r="Q836" i="2" s="1"/>
  <c r="M837" i="2"/>
  <c r="Q837" i="2" s="1"/>
  <c r="M838" i="2"/>
  <c r="Q838" i="2" s="1"/>
  <c r="M839" i="2"/>
  <c r="Q839" i="2" s="1"/>
  <c r="M840" i="2"/>
  <c r="Q840" i="2" s="1"/>
  <c r="M841" i="2"/>
  <c r="Q841" i="2" s="1"/>
  <c r="M843" i="2"/>
  <c r="Q843" i="2" s="1"/>
  <c r="M844" i="2"/>
  <c r="Q844" i="2" s="1"/>
  <c r="M845" i="2"/>
  <c r="Q845" i="2" s="1"/>
  <c r="M846" i="2"/>
  <c r="Q846" i="2" s="1"/>
  <c r="M853" i="2"/>
  <c r="Q853" i="2" s="1"/>
  <c r="M864" i="2"/>
  <c r="Q864" i="2" s="1"/>
  <c r="M874" i="2"/>
  <c r="Q874" i="2" s="1"/>
  <c r="M877" i="2"/>
  <c r="Q877" i="2" s="1"/>
  <c r="M884" i="2"/>
  <c r="Q884" i="2" s="1"/>
  <c r="M885" i="2"/>
  <c r="Q885" i="2" s="1"/>
  <c r="M886" i="2"/>
  <c r="Q886" i="2" s="1"/>
  <c r="M887" i="2"/>
  <c r="Q887" i="2" s="1"/>
  <c r="M888" i="2"/>
  <c r="Q888" i="2" s="1"/>
  <c r="M854" i="2"/>
  <c r="Q854" i="2" s="1"/>
  <c r="M855" i="2"/>
  <c r="Q855" i="2" s="1"/>
  <c r="M856" i="2"/>
  <c r="Q856" i="2" s="1"/>
  <c r="M857" i="2"/>
  <c r="Q857" i="2" s="1"/>
  <c r="M858" i="2"/>
  <c r="Q858" i="2" s="1"/>
  <c r="M859" i="2"/>
  <c r="Q859" i="2" s="1"/>
  <c r="M860" i="2"/>
  <c r="Q860" i="2" s="1"/>
  <c r="M861" i="2"/>
  <c r="Q861" i="2" s="1"/>
  <c r="M862" i="2"/>
  <c r="Q862" i="2" s="1"/>
  <c r="M863" i="2"/>
  <c r="Q863" i="2" s="1"/>
  <c r="M865" i="2"/>
  <c r="Q865" i="2" s="1"/>
  <c r="M866" i="2"/>
  <c r="Q866" i="2" s="1"/>
  <c r="M867" i="2"/>
  <c r="Q867" i="2" s="1"/>
  <c r="M868" i="2"/>
  <c r="Q868" i="2" s="1"/>
  <c r="M869" i="2"/>
  <c r="Q869" i="2" s="1"/>
  <c r="M870" i="2"/>
  <c r="Q870" i="2" s="1"/>
  <c r="M871" i="2"/>
  <c r="Q871" i="2" s="1"/>
  <c r="M872" i="2"/>
  <c r="Q872" i="2" s="1"/>
  <c r="M873" i="2"/>
  <c r="Q873" i="2" s="1"/>
  <c r="M875" i="2"/>
  <c r="Q875" i="2" s="1"/>
  <c r="M876" i="2"/>
  <c r="Q876" i="2" s="1"/>
  <c r="M878" i="2"/>
  <c r="Q878" i="2" s="1"/>
  <c r="M879" i="2"/>
  <c r="Q879" i="2" s="1"/>
  <c r="M880" i="2"/>
  <c r="Q880" i="2" s="1"/>
  <c r="M881" i="2"/>
  <c r="Q881" i="2" s="1"/>
  <c r="M882" i="2"/>
  <c r="Q882" i="2" s="1"/>
  <c r="M883" i="2"/>
  <c r="Q883" i="2" s="1"/>
  <c r="M889" i="2"/>
  <c r="Q889" i="2" s="1"/>
  <c r="M898" i="2"/>
  <c r="Q898" i="2" s="1"/>
  <c r="M900" i="2"/>
  <c r="Q900" i="2" s="1"/>
  <c r="M901" i="2"/>
  <c r="Q901" i="2" s="1"/>
  <c r="M902" i="2"/>
  <c r="Q902" i="2" s="1"/>
  <c r="M903" i="2"/>
  <c r="Q903" i="2" s="1"/>
  <c r="M904" i="2"/>
  <c r="Q904" i="2" s="1"/>
  <c r="M905" i="2"/>
  <c r="Q905" i="2" s="1"/>
  <c r="M890" i="2"/>
  <c r="Q890" i="2" s="1"/>
  <c r="M891" i="2"/>
  <c r="Q891" i="2" s="1"/>
  <c r="M892" i="2"/>
  <c r="Q892" i="2" s="1"/>
  <c r="M893" i="2"/>
  <c r="Q893" i="2" s="1"/>
  <c r="M894" i="2"/>
  <c r="Q894" i="2" s="1"/>
  <c r="M895" i="2"/>
  <c r="Q895" i="2" s="1"/>
  <c r="M896" i="2"/>
  <c r="Q896" i="2" s="1"/>
  <c r="M897" i="2"/>
  <c r="Q897" i="2" s="1"/>
  <c r="M899" i="2"/>
  <c r="Q899" i="2" s="1"/>
  <c r="M723" i="2"/>
  <c r="Q723" i="2" s="1"/>
  <c r="M724" i="2"/>
  <c r="Q724" i="2" s="1"/>
  <c r="M725" i="2"/>
  <c r="Q725" i="2" s="1"/>
  <c r="M726" i="2"/>
  <c r="Q726" i="2" s="1"/>
  <c r="M730" i="2"/>
  <c r="Q730" i="2" s="1"/>
  <c r="M731" i="2"/>
  <c r="Q731" i="2" s="1"/>
  <c r="M732" i="2"/>
  <c r="Q732" i="2" s="1"/>
  <c r="M733" i="2"/>
  <c r="Q733" i="2" s="1"/>
  <c r="M734" i="2"/>
  <c r="Q734" i="2" s="1"/>
  <c r="M735" i="2"/>
  <c r="Q735" i="2" s="1"/>
  <c r="M736" i="2"/>
  <c r="Q736" i="2" s="1"/>
  <c r="M737" i="2"/>
  <c r="Q737" i="2" s="1"/>
  <c r="M727" i="2"/>
  <c r="Q727" i="2" s="1"/>
  <c r="M728" i="2"/>
  <c r="Q728" i="2" s="1"/>
  <c r="M729" i="2"/>
  <c r="Q729" i="2" s="1"/>
  <c r="M738" i="2"/>
  <c r="Q738" i="2" s="1"/>
  <c r="M747" i="2"/>
  <c r="Q747" i="2" s="1"/>
  <c r="M748" i="2"/>
  <c r="Q748" i="2" s="1"/>
  <c r="M749" i="2"/>
  <c r="Q749" i="2" s="1"/>
  <c r="M750" i="2"/>
  <c r="Q750" i="2" s="1"/>
  <c r="M751" i="2"/>
  <c r="Q751" i="2" s="1"/>
  <c r="M752" i="2"/>
  <c r="Q752" i="2" s="1"/>
  <c r="M753" i="2"/>
  <c r="Q753" i="2" s="1"/>
  <c r="M754" i="2"/>
  <c r="Q754" i="2" s="1"/>
  <c r="M739" i="2"/>
  <c r="Q739" i="2" s="1"/>
  <c r="M740" i="2"/>
  <c r="Q740" i="2" s="1"/>
  <c r="M741" i="2"/>
  <c r="Q741" i="2" s="1"/>
  <c r="M742" i="2"/>
  <c r="Q742" i="2" s="1"/>
  <c r="M743" i="2"/>
  <c r="Q743" i="2" s="1"/>
  <c r="M744" i="2"/>
  <c r="Q744" i="2" s="1"/>
  <c r="M745" i="2"/>
  <c r="Q745" i="2" s="1"/>
  <c r="M746" i="2"/>
  <c r="Q746" i="2" s="1"/>
  <c r="M755" i="2"/>
  <c r="Q755" i="2" s="1"/>
  <c r="M756" i="2"/>
  <c r="Q756" i="2" s="1"/>
  <c r="M757" i="2"/>
  <c r="Q757" i="2" s="1"/>
  <c r="M758" i="2"/>
  <c r="Q758" i="2" s="1"/>
  <c r="M759" i="2"/>
  <c r="Q759" i="2" s="1"/>
  <c r="M760" i="2"/>
  <c r="Q760" i="2" s="1"/>
  <c r="M761" i="2"/>
  <c r="Q761" i="2" s="1"/>
  <c r="M633" i="2" l="1"/>
  <c r="Q633" i="2" s="1"/>
  <c r="M644" i="2"/>
  <c r="Q644" i="2" s="1"/>
  <c r="M651" i="2"/>
  <c r="Q651" i="2" s="1"/>
  <c r="M652" i="2"/>
  <c r="Q652" i="2" s="1"/>
  <c r="M653" i="2"/>
  <c r="Q653" i="2" s="1"/>
  <c r="M654" i="2"/>
  <c r="Q654" i="2" s="1"/>
  <c r="M655" i="2"/>
  <c r="Q655" i="2" s="1"/>
  <c r="M634" i="2"/>
  <c r="Q634" i="2" s="1"/>
  <c r="M635" i="2"/>
  <c r="Q635" i="2" s="1"/>
  <c r="M636" i="2"/>
  <c r="Q636" i="2" s="1"/>
  <c r="M637" i="2"/>
  <c r="Q637" i="2" s="1"/>
  <c r="M638" i="2"/>
  <c r="Q638" i="2" s="1"/>
  <c r="M639" i="2"/>
  <c r="Q639" i="2" s="1"/>
  <c r="M640" i="2"/>
  <c r="Q640" i="2" s="1"/>
  <c r="M641" i="2"/>
  <c r="Q641" i="2" s="1"/>
  <c r="M642" i="2"/>
  <c r="Q642" i="2" s="1"/>
  <c r="M643" i="2"/>
  <c r="Q643" i="2" s="1"/>
  <c r="M645" i="2"/>
  <c r="Q645" i="2" s="1"/>
  <c r="M646" i="2"/>
  <c r="Q646" i="2" s="1"/>
  <c r="M647" i="2"/>
  <c r="Q647" i="2" s="1"/>
  <c r="M648" i="2"/>
  <c r="Q648" i="2" s="1"/>
  <c r="M649" i="2"/>
  <c r="Q649" i="2" s="1"/>
  <c r="M650" i="2"/>
  <c r="Q650" i="2" s="1"/>
  <c r="M656" i="2"/>
  <c r="Q656" i="2" s="1"/>
  <c r="M667" i="2"/>
  <c r="Q667" i="2" s="1"/>
  <c r="M670" i="2"/>
  <c r="Q670" i="2" s="1"/>
  <c r="M671" i="2"/>
  <c r="Q671" i="2" s="1"/>
  <c r="M672" i="2"/>
  <c r="Q672" i="2" s="1"/>
  <c r="M673" i="2"/>
  <c r="Q673" i="2" s="1"/>
  <c r="M674" i="2"/>
  <c r="Q674" i="2" s="1"/>
  <c r="M675" i="2"/>
  <c r="Q675" i="2" s="1"/>
  <c r="M676" i="2"/>
  <c r="Q676" i="2" s="1"/>
  <c r="M657" i="2"/>
  <c r="Q657" i="2" s="1"/>
  <c r="M658" i="2"/>
  <c r="Q658" i="2" s="1"/>
  <c r="M659" i="2"/>
  <c r="Q659" i="2" s="1"/>
  <c r="M660" i="2"/>
  <c r="Q660" i="2" s="1"/>
  <c r="M661" i="2"/>
  <c r="Q661" i="2" s="1"/>
  <c r="M662" i="2"/>
  <c r="Q662" i="2" s="1"/>
  <c r="M663" i="2"/>
  <c r="Q663" i="2" s="1"/>
  <c r="M664" i="2"/>
  <c r="Q664" i="2" s="1"/>
  <c r="M665" i="2"/>
  <c r="Q665" i="2" s="1"/>
  <c r="M666" i="2"/>
  <c r="Q666" i="2" s="1"/>
  <c r="M668" i="2"/>
  <c r="Q668" i="2" s="1"/>
  <c r="M669" i="2"/>
  <c r="Q669" i="2" s="1"/>
  <c r="M677" i="2"/>
  <c r="Q677" i="2" s="1"/>
  <c r="M688" i="2"/>
  <c r="Q688" i="2" s="1"/>
  <c r="M689" i="2"/>
  <c r="Q689" i="2" s="1"/>
  <c r="M690" i="2"/>
  <c r="Q690" i="2" s="1"/>
  <c r="M691" i="2"/>
  <c r="Q691" i="2" s="1"/>
  <c r="M692" i="2"/>
  <c r="Q692" i="2" s="1"/>
  <c r="M693" i="2"/>
  <c r="Q693" i="2" s="1"/>
  <c r="M694" i="2"/>
  <c r="Q694" i="2" s="1"/>
  <c r="M678" i="2"/>
  <c r="Q678" i="2" s="1"/>
  <c r="M679" i="2"/>
  <c r="Q679" i="2" s="1"/>
  <c r="M680" i="2"/>
  <c r="Q680" i="2" s="1"/>
  <c r="M681" i="2"/>
  <c r="Q681" i="2" s="1"/>
  <c r="M682" i="2"/>
  <c r="Q682" i="2" s="1"/>
  <c r="M683" i="2"/>
  <c r="Q683" i="2" s="1"/>
  <c r="M684" i="2"/>
  <c r="Q684" i="2" s="1"/>
  <c r="M685" i="2"/>
  <c r="Q685" i="2" s="1"/>
  <c r="M686" i="2"/>
  <c r="Q686" i="2" s="1"/>
  <c r="M687" i="2"/>
  <c r="Q687" i="2" s="1"/>
  <c r="M695" i="2"/>
  <c r="Q695" i="2" s="1"/>
  <c r="M705" i="2"/>
  <c r="Q705" i="2" s="1"/>
  <c r="M713" i="2"/>
  <c r="Q713" i="2" s="1"/>
  <c r="M717" i="2"/>
  <c r="Q717" i="2" s="1"/>
  <c r="M718" i="2"/>
  <c r="Q718" i="2" s="1"/>
  <c r="M719" i="2"/>
  <c r="Q719" i="2" s="1"/>
  <c r="M720" i="2"/>
  <c r="Q720" i="2" s="1"/>
  <c r="M721" i="2"/>
  <c r="Q721" i="2" s="1"/>
  <c r="M722" i="2"/>
  <c r="Q722" i="2" s="1"/>
  <c r="M696" i="2"/>
  <c r="Q696" i="2" s="1"/>
  <c r="M697" i="2"/>
  <c r="Q697" i="2" s="1"/>
  <c r="M698" i="2"/>
  <c r="Q698" i="2" s="1"/>
  <c r="M699" i="2"/>
  <c r="Q699" i="2" s="1"/>
  <c r="M700" i="2"/>
  <c r="Q700" i="2" s="1"/>
  <c r="M701" i="2"/>
  <c r="Q701" i="2" s="1"/>
  <c r="M702" i="2"/>
  <c r="Q702" i="2" s="1"/>
  <c r="M703" i="2"/>
  <c r="Q703" i="2" s="1"/>
  <c r="M704" i="2"/>
  <c r="Q704" i="2" s="1"/>
  <c r="M706" i="2"/>
  <c r="Q706" i="2" s="1"/>
  <c r="M707" i="2"/>
  <c r="Q707" i="2" s="1"/>
  <c r="M708" i="2"/>
  <c r="Q708" i="2" s="1"/>
  <c r="M709" i="2"/>
  <c r="Q709" i="2" s="1"/>
  <c r="M710" i="2"/>
  <c r="Q710" i="2" s="1"/>
  <c r="M711" i="2"/>
  <c r="Q711" i="2" s="1"/>
  <c r="M712" i="2"/>
  <c r="Q712" i="2" s="1"/>
  <c r="M714" i="2"/>
  <c r="Q714" i="2" s="1"/>
  <c r="M715" i="2"/>
  <c r="Q715" i="2" s="1"/>
  <c r="M716" i="2"/>
  <c r="Q716" i="2" s="1"/>
  <c r="M525" i="2"/>
  <c r="Q525" i="2" s="1"/>
  <c r="M532" i="2"/>
  <c r="Q532" i="2" s="1"/>
  <c r="M543" i="2"/>
  <c r="Q543" i="2" s="1"/>
  <c r="M546" i="2"/>
  <c r="Q546" i="2" s="1"/>
  <c r="M547" i="2"/>
  <c r="Q547" i="2" s="1"/>
  <c r="M548" i="2"/>
  <c r="Q548" i="2" s="1"/>
  <c r="M526" i="2"/>
  <c r="Q526" i="2" s="1"/>
  <c r="M527" i="2"/>
  <c r="Q527" i="2" s="1"/>
  <c r="M528" i="2"/>
  <c r="Q528" i="2" s="1"/>
  <c r="M529" i="2"/>
  <c r="Q529" i="2" s="1"/>
  <c r="M530" i="2"/>
  <c r="Q530" i="2" s="1"/>
  <c r="M531" i="2"/>
  <c r="Q531" i="2" s="1"/>
  <c r="M533" i="2"/>
  <c r="Q533" i="2" s="1"/>
  <c r="M534" i="2"/>
  <c r="Q534" i="2" s="1"/>
  <c r="M535" i="2"/>
  <c r="Q535" i="2" s="1"/>
  <c r="M536" i="2"/>
  <c r="Q536" i="2" s="1"/>
  <c r="M537" i="2"/>
  <c r="Q537" i="2" s="1"/>
  <c r="M538" i="2"/>
  <c r="Q538" i="2" s="1"/>
  <c r="M539" i="2"/>
  <c r="Q539" i="2" s="1"/>
  <c r="M540" i="2"/>
  <c r="Q540" i="2" s="1"/>
  <c r="M541" i="2"/>
  <c r="Q541" i="2" s="1"/>
  <c r="M542" i="2"/>
  <c r="Q542" i="2" s="1"/>
  <c r="M544" i="2"/>
  <c r="Q544" i="2" s="1"/>
  <c r="M545" i="2"/>
  <c r="Q545" i="2" s="1"/>
  <c r="M549" i="2"/>
  <c r="Q549" i="2" s="1"/>
  <c r="M556" i="2"/>
  <c r="Q556" i="2" s="1"/>
  <c r="M567" i="2"/>
  <c r="Q567" i="2" s="1"/>
  <c r="M576" i="2"/>
  <c r="Q576" i="2" s="1"/>
  <c r="M577" i="2"/>
  <c r="Q577" i="2" s="1"/>
  <c r="M578" i="2"/>
  <c r="Q578" i="2" s="1"/>
  <c r="M579" i="2"/>
  <c r="Q579" i="2" s="1"/>
  <c r="M580" i="2"/>
  <c r="Q580" i="2" s="1"/>
  <c r="M550" i="2"/>
  <c r="Q550" i="2" s="1"/>
  <c r="M551" i="2"/>
  <c r="Q551" i="2" s="1"/>
  <c r="M552" i="2"/>
  <c r="Q552" i="2" s="1"/>
  <c r="M553" i="2"/>
  <c r="Q553" i="2" s="1"/>
  <c r="M554" i="2"/>
  <c r="Q554" i="2" s="1"/>
  <c r="M555" i="2"/>
  <c r="Q555" i="2" s="1"/>
  <c r="M557" i="2"/>
  <c r="Q557" i="2" s="1"/>
  <c r="M558" i="2"/>
  <c r="Q558" i="2" s="1"/>
  <c r="M559" i="2"/>
  <c r="Q559" i="2" s="1"/>
  <c r="M560" i="2"/>
  <c r="Q560" i="2" s="1"/>
  <c r="M561" i="2"/>
  <c r="Q561" i="2" s="1"/>
  <c r="M562" i="2"/>
  <c r="Q562" i="2" s="1"/>
  <c r="M563" i="2"/>
  <c r="Q563" i="2" s="1"/>
  <c r="M564" i="2"/>
  <c r="Q564" i="2" s="1"/>
  <c r="M565" i="2"/>
  <c r="Q565" i="2" s="1"/>
  <c r="M566" i="2"/>
  <c r="Q566" i="2" s="1"/>
  <c r="M568" i="2"/>
  <c r="Q568" i="2" s="1"/>
  <c r="M569" i="2"/>
  <c r="Q569" i="2" s="1"/>
  <c r="M570" i="2"/>
  <c r="Q570" i="2" s="1"/>
  <c r="M571" i="2"/>
  <c r="Q571" i="2" s="1"/>
  <c r="M572" i="2"/>
  <c r="Q572" i="2" s="1"/>
  <c r="M573" i="2"/>
  <c r="Q573" i="2" s="1"/>
  <c r="M574" i="2"/>
  <c r="Q574" i="2" s="1"/>
  <c r="M575" i="2"/>
  <c r="Q575" i="2" s="1"/>
  <c r="M581" i="2"/>
  <c r="Q581" i="2" s="1"/>
  <c r="M585" i="2"/>
  <c r="Q585" i="2" s="1"/>
  <c r="M600" i="2"/>
  <c r="Q600" i="2" s="1"/>
  <c r="M601" i="2"/>
  <c r="Q601" i="2" s="1"/>
  <c r="M602" i="2"/>
  <c r="Q602" i="2" s="1"/>
  <c r="M603" i="2"/>
  <c r="Q603" i="2" s="1"/>
  <c r="M582" i="2"/>
  <c r="Q582" i="2" s="1"/>
  <c r="M583" i="2"/>
  <c r="Q583" i="2" s="1"/>
  <c r="M584" i="2"/>
  <c r="Q584" i="2" s="1"/>
  <c r="M586" i="2"/>
  <c r="Q586" i="2" s="1"/>
  <c r="M587" i="2"/>
  <c r="Q587" i="2" s="1"/>
  <c r="M588" i="2"/>
  <c r="Q588" i="2" s="1"/>
  <c r="M589" i="2"/>
  <c r="Q589" i="2" s="1"/>
  <c r="M590" i="2"/>
  <c r="Q590" i="2" s="1"/>
  <c r="M591" i="2"/>
  <c r="Q591" i="2" s="1"/>
  <c r="M592" i="2"/>
  <c r="Q592" i="2" s="1"/>
  <c r="M593" i="2"/>
  <c r="Q593" i="2" s="1"/>
  <c r="M594" i="2"/>
  <c r="Q594" i="2" s="1"/>
  <c r="M595" i="2"/>
  <c r="Q595" i="2" s="1"/>
  <c r="M596" i="2"/>
  <c r="Q596" i="2" s="1"/>
  <c r="M597" i="2"/>
  <c r="Q597" i="2" s="1"/>
  <c r="M598" i="2"/>
  <c r="Q598" i="2" s="1"/>
  <c r="M599" i="2"/>
  <c r="Q599" i="2" s="1"/>
  <c r="M604" i="2"/>
  <c r="Q604" i="2" s="1"/>
  <c r="M615" i="2"/>
  <c r="Q615" i="2" s="1"/>
  <c r="M617" i="2"/>
  <c r="Q617" i="2" s="1"/>
  <c r="M618" i="2"/>
  <c r="Q618" i="2" s="1"/>
  <c r="M619" i="2"/>
  <c r="Q619" i="2" s="1"/>
  <c r="M620" i="2"/>
  <c r="Q620" i="2" s="1"/>
  <c r="M621" i="2"/>
  <c r="Q621" i="2" s="1"/>
  <c r="M622" i="2"/>
  <c r="Q622" i="2" s="1"/>
  <c r="M623" i="2"/>
  <c r="Q623" i="2" s="1"/>
  <c r="M605" i="2"/>
  <c r="Q605" i="2" s="1"/>
  <c r="M606" i="2"/>
  <c r="Q606" i="2" s="1"/>
  <c r="M607" i="2"/>
  <c r="Q607" i="2" s="1"/>
  <c r="M608" i="2"/>
  <c r="Q608" i="2" s="1"/>
  <c r="M609" i="2"/>
  <c r="Q609" i="2" s="1"/>
  <c r="M610" i="2"/>
  <c r="Q610" i="2" s="1"/>
  <c r="M611" i="2"/>
  <c r="Q611" i="2" s="1"/>
  <c r="M612" i="2"/>
  <c r="Q612" i="2" s="1"/>
  <c r="M613" i="2"/>
  <c r="Q613" i="2" s="1"/>
  <c r="M614" i="2"/>
  <c r="Q614" i="2" s="1"/>
  <c r="M616" i="2"/>
  <c r="Q616" i="2" s="1"/>
  <c r="M624" i="2"/>
  <c r="Q624" i="2" s="1"/>
  <c r="M625" i="2"/>
  <c r="Q625" i="2" s="1"/>
  <c r="M626" i="2"/>
  <c r="Q626" i="2" s="1"/>
  <c r="M627" i="2"/>
  <c r="Q627" i="2" s="1"/>
  <c r="M628" i="2"/>
  <c r="Q628" i="2" s="1"/>
  <c r="M629" i="2"/>
  <c r="Q629" i="2" s="1"/>
  <c r="M630" i="2"/>
  <c r="Q630" i="2" s="1"/>
  <c r="M631" i="2"/>
  <c r="Q631" i="2" s="1"/>
  <c r="M632" i="2"/>
  <c r="Q632" i="2" s="1"/>
  <c r="M461" i="2"/>
  <c r="Q461" i="2" s="1"/>
  <c r="M466" i="2"/>
  <c r="Q466" i="2" s="1"/>
  <c r="M467" i="2"/>
  <c r="Q467" i="2" s="1"/>
  <c r="M468" i="2"/>
  <c r="Q468" i="2" s="1"/>
  <c r="M469" i="2"/>
  <c r="Q469" i="2" s="1"/>
  <c r="M470" i="2"/>
  <c r="Q470" i="2" s="1"/>
  <c r="M471" i="2"/>
  <c r="Q471" i="2" s="1"/>
  <c r="M472" i="2"/>
  <c r="Q472" i="2" s="1"/>
  <c r="M462" i="2"/>
  <c r="Q462" i="2" s="1"/>
  <c r="M473" i="2"/>
  <c r="Q473" i="2" s="1"/>
  <c r="M463" i="2"/>
  <c r="Q463" i="2" s="1"/>
  <c r="M464" i="2"/>
  <c r="Q464" i="2" s="1"/>
  <c r="M465" i="2"/>
  <c r="Q465" i="2" s="1"/>
  <c r="M474" i="2"/>
  <c r="Q474" i="2" s="1"/>
  <c r="M475" i="2"/>
  <c r="Q475" i="2" s="1"/>
  <c r="M476" i="2"/>
  <c r="Q476" i="2" s="1"/>
  <c r="M477" i="2"/>
  <c r="Q477" i="2" s="1"/>
  <c r="M478" i="2"/>
  <c r="Q478" i="2" s="1"/>
  <c r="M479" i="2"/>
  <c r="Q479" i="2" s="1"/>
  <c r="M480" i="2"/>
  <c r="Q480" i="2" s="1"/>
  <c r="M481" i="2"/>
  <c r="Q481" i="2" s="1"/>
  <c r="M482" i="2"/>
  <c r="Q482" i="2" s="1"/>
  <c r="M483" i="2"/>
  <c r="Q483" i="2" s="1"/>
  <c r="M484" i="2"/>
  <c r="Q484" i="2" s="1"/>
  <c r="M485" i="2"/>
  <c r="Q485" i="2" s="1"/>
  <c r="M494" i="2"/>
  <c r="Q494" i="2" s="1"/>
  <c r="M497" i="2"/>
  <c r="Q497" i="2" s="1"/>
  <c r="M498" i="2"/>
  <c r="Q498" i="2" s="1"/>
  <c r="M499" i="2"/>
  <c r="Q499" i="2" s="1"/>
  <c r="M500" i="2"/>
  <c r="Q500" i="2" s="1"/>
  <c r="M501" i="2"/>
  <c r="Q501" i="2" s="1"/>
  <c r="M502" i="2"/>
  <c r="Q502" i="2" s="1"/>
  <c r="M486" i="2"/>
  <c r="Q486" i="2" s="1"/>
  <c r="M487" i="2"/>
  <c r="Q487" i="2" s="1"/>
  <c r="M488" i="2"/>
  <c r="Q488" i="2" s="1"/>
  <c r="M489" i="2"/>
  <c r="Q489" i="2" s="1"/>
  <c r="M490" i="2"/>
  <c r="Q490" i="2" s="1"/>
  <c r="M491" i="2"/>
  <c r="Q491" i="2" s="1"/>
  <c r="M492" i="2"/>
  <c r="Q492" i="2" s="1"/>
  <c r="M493" i="2"/>
  <c r="Q493" i="2" s="1"/>
  <c r="M495" i="2"/>
  <c r="Q495" i="2" s="1"/>
  <c r="M496" i="2"/>
  <c r="Q496" i="2" s="1"/>
  <c r="M511" i="2"/>
  <c r="Q511" i="2" s="1"/>
  <c r="M512" i="2"/>
  <c r="Q512" i="2" s="1"/>
  <c r="M513" i="2"/>
  <c r="Q513" i="2" s="1"/>
  <c r="M514" i="2"/>
  <c r="Q514" i="2" s="1"/>
  <c r="M515" i="2"/>
  <c r="Q515" i="2" s="1"/>
  <c r="M516" i="2"/>
  <c r="Q516" i="2" s="1"/>
  <c r="M503" i="2"/>
  <c r="Q503" i="2" s="1"/>
  <c r="M504" i="2"/>
  <c r="Q504" i="2" s="1"/>
  <c r="M505" i="2"/>
  <c r="Q505" i="2" s="1"/>
  <c r="M506" i="2"/>
  <c r="Q506" i="2" s="1"/>
  <c r="M507" i="2"/>
  <c r="Q507" i="2" s="1"/>
  <c r="M508" i="2"/>
  <c r="Q508" i="2" s="1"/>
  <c r="M509" i="2"/>
  <c r="Q509" i="2" s="1"/>
  <c r="M510" i="2"/>
  <c r="Q510" i="2" s="1"/>
  <c r="M518" i="2"/>
  <c r="Q518" i="2" s="1"/>
  <c r="M519" i="2"/>
  <c r="Q519" i="2" s="1"/>
  <c r="M520" i="2"/>
  <c r="Q520" i="2" s="1"/>
  <c r="M521" i="2"/>
  <c r="Q521" i="2" s="1"/>
  <c r="M522" i="2"/>
  <c r="Q522" i="2" s="1"/>
  <c r="M523" i="2"/>
  <c r="Q523" i="2" s="1"/>
  <c r="M524" i="2"/>
  <c r="Q524" i="2" s="1"/>
  <c r="M517" i="2"/>
  <c r="Q517" i="2" s="1"/>
  <c r="M291" i="2"/>
  <c r="Q291" i="2" s="1"/>
  <c r="M301" i="2"/>
  <c r="Q301" i="2" s="1"/>
  <c r="M310" i="2"/>
  <c r="Q310" i="2" s="1"/>
  <c r="M319" i="2"/>
  <c r="Q319" i="2" s="1"/>
  <c r="M324" i="2"/>
  <c r="Q324" i="2" s="1"/>
  <c r="M332" i="2"/>
  <c r="Q332" i="2" s="1"/>
  <c r="M341" i="2"/>
  <c r="Q341" i="2" s="1"/>
  <c r="M342" i="2"/>
  <c r="Q342" i="2" s="1"/>
  <c r="M343" i="2"/>
  <c r="Q343" i="2" s="1"/>
  <c r="M292" i="2"/>
  <c r="Q292" i="2" s="1"/>
  <c r="M293" i="2"/>
  <c r="Q293" i="2" s="1"/>
  <c r="M294" i="2"/>
  <c r="Q294" i="2" s="1"/>
  <c r="M295" i="2"/>
  <c r="Q295" i="2" s="1"/>
  <c r="M296" i="2"/>
  <c r="Q296" i="2" s="1"/>
  <c r="M297" i="2"/>
  <c r="Q297" i="2" s="1"/>
  <c r="M298" i="2"/>
  <c r="Q298" i="2" s="1"/>
  <c r="M299" i="2"/>
  <c r="Q299" i="2" s="1"/>
  <c r="M300" i="2"/>
  <c r="Q300" i="2" s="1"/>
  <c r="M302" i="2"/>
  <c r="Q302" i="2" s="1"/>
  <c r="M303" i="2"/>
  <c r="Q303" i="2" s="1"/>
  <c r="M304" i="2"/>
  <c r="Q304" i="2" s="1"/>
  <c r="M305" i="2"/>
  <c r="Q305" i="2" s="1"/>
  <c r="M306" i="2"/>
  <c r="Q306" i="2" s="1"/>
  <c r="M307" i="2"/>
  <c r="Q307" i="2" s="1"/>
  <c r="M308" i="2"/>
  <c r="Q308" i="2" s="1"/>
  <c r="M309" i="2"/>
  <c r="Q309" i="2" s="1"/>
  <c r="M311" i="2"/>
  <c r="Q311" i="2" s="1"/>
  <c r="M312" i="2"/>
  <c r="Q312" i="2" s="1"/>
  <c r="M313" i="2"/>
  <c r="Q313" i="2" s="1"/>
  <c r="M314" i="2"/>
  <c r="Q314" i="2" s="1"/>
  <c r="M315" i="2"/>
  <c r="Q315" i="2" s="1"/>
  <c r="M316" i="2"/>
  <c r="Q316" i="2" s="1"/>
  <c r="M317" i="2"/>
  <c r="Q317" i="2" s="1"/>
  <c r="M318" i="2"/>
  <c r="Q318" i="2" s="1"/>
  <c r="M320" i="2"/>
  <c r="Q320" i="2" s="1"/>
  <c r="M321" i="2"/>
  <c r="Q321" i="2" s="1"/>
  <c r="M322" i="2"/>
  <c r="Q322" i="2" s="1"/>
  <c r="M323" i="2"/>
  <c r="Q323" i="2" s="1"/>
  <c r="M325" i="2"/>
  <c r="Q325" i="2" s="1"/>
  <c r="M326" i="2"/>
  <c r="Q326" i="2" s="1"/>
  <c r="M327" i="2"/>
  <c r="Q327" i="2" s="1"/>
  <c r="M328" i="2"/>
  <c r="Q328" i="2" s="1"/>
  <c r="M329" i="2"/>
  <c r="Q329" i="2" s="1"/>
  <c r="M330" i="2"/>
  <c r="Q330" i="2" s="1"/>
  <c r="M331" i="2"/>
  <c r="Q331" i="2" s="1"/>
  <c r="M333" i="2"/>
  <c r="Q333" i="2" s="1"/>
  <c r="M334" i="2"/>
  <c r="Q334" i="2" s="1"/>
  <c r="M335" i="2"/>
  <c r="Q335" i="2" s="1"/>
  <c r="M336" i="2"/>
  <c r="Q336" i="2" s="1"/>
  <c r="M337" i="2"/>
  <c r="Q337" i="2" s="1"/>
  <c r="M338" i="2"/>
  <c r="Q338" i="2" s="1"/>
  <c r="M339" i="2"/>
  <c r="Q339" i="2" s="1"/>
  <c r="M340" i="2"/>
  <c r="Q340" i="2" s="1"/>
  <c r="M344" i="2"/>
  <c r="Q344" i="2" s="1"/>
  <c r="M355" i="2"/>
  <c r="Q355" i="2" s="1"/>
  <c r="M366" i="2"/>
  <c r="Q366" i="2" s="1"/>
  <c r="M377" i="2"/>
  <c r="Q377" i="2" s="1"/>
  <c r="M386" i="2"/>
  <c r="Q386" i="2" s="1"/>
  <c r="M387" i="2"/>
  <c r="Q387" i="2" s="1"/>
  <c r="M388" i="2"/>
  <c r="Q388" i="2" s="1"/>
  <c r="M389" i="2"/>
  <c r="Q389" i="2" s="1"/>
  <c r="M390" i="2"/>
  <c r="Q390" i="2" s="1"/>
  <c r="M345" i="2"/>
  <c r="Q345" i="2" s="1"/>
  <c r="M346" i="2"/>
  <c r="Q346" i="2" s="1"/>
  <c r="M347" i="2"/>
  <c r="Q347" i="2" s="1"/>
  <c r="M348" i="2"/>
  <c r="Q348" i="2" s="1"/>
  <c r="M349" i="2"/>
  <c r="Q349" i="2" s="1"/>
  <c r="M350" i="2"/>
  <c r="Q350" i="2" s="1"/>
  <c r="M351" i="2"/>
  <c r="Q351" i="2" s="1"/>
  <c r="M352" i="2"/>
  <c r="Q352" i="2" s="1"/>
  <c r="M353" i="2"/>
  <c r="Q353" i="2" s="1"/>
  <c r="M354" i="2"/>
  <c r="Q354" i="2" s="1"/>
  <c r="M356" i="2"/>
  <c r="Q356" i="2" s="1"/>
  <c r="M357" i="2"/>
  <c r="Q357" i="2" s="1"/>
  <c r="M358" i="2"/>
  <c r="Q358" i="2" s="1"/>
  <c r="M359" i="2"/>
  <c r="Q359" i="2" s="1"/>
  <c r="M360" i="2"/>
  <c r="Q360" i="2" s="1"/>
  <c r="M361" i="2"/>
  <c r="Q361" i="2" s="1"/>
  <c r="M362" i="2"/>
  <c r="Q362" i="2" s="1"/>
  <c r="M363" i="2"/>
  <c r="Q363" i="2" s="1"/>
  <c r="M364" i="2"/>
  <c r="Q364" i="2" s="1"/>
  <c r="M365" i="2"/>
  <c r="Q365" i="2" s="1"/>
  <c r="M367" i="2"/>
  <c r="Q367" i="2" s="1"/>
  <c r="M368" i="2"/>
  <c r="Q368" i="2" s="1"/>
  <c r="M369" i="2"/>
  <c r="Q369" i="2" s="1"/>
  <c r="M370" i="2"/>
  <c r="Q370" i="2" s="1"/>
  <c r="M371" i="2"/>
  <c r="Q371" i="2" s="1"/>
  <c r="M372" i="2"/>
  <c r="Q372" i="2" s="1"/>
  <c r="M373" i="2"/>
  <c r="Q373" i="2" s="1"/>
  <c r="M374" i="2"/>
  <c r="Q374" i="2" s="1"/>
  <c r="M375" i="2"/>
  <c r="Q375" i="2" s="1"/>
  <c r="M376" i="2"/>
  <c r="Q376" i="2" s="1"/>
  <c r="M378" i="2"/>
  <c r="Q378" i="2" s="1"/>
  <c r="M379" i="2"/>
  <c r="Q379" i="2" s="1"/>
  <c r="M380" i="2"/>
  <c r="Q380" i="2" s="1"/>
  <c r="M381" i="2"/>
  <c r="Q381" i="2" s="1"/>
  <c r="M382" i="2"/>
  <c r="Q382" i="2" s="1"/>
  <c r="M383" i="2"/>
  <c r="Q383" i="2" s="1"/>
  <c r="M384" i="2"/>
  <c r="Q384" i="2" s="1"/>
  <c r="M385" i="2"/>
  <c r="Q385" i="2" s="1"/>
  <c r="M391" i="2"/>
  <c r="Q391" i="2" s="1"/>
  <c r="M402" i="2"/>
  <c r="Q402" i="2" s="1"/>
  <c r="M412" i="2"/>
  <c r="Q412" i="2" s="1"/>
  <c r="M419" i="2"/>
  <c r="Q419" i="2" s="1"/>
  <c r="M424" i="2"/>
  <c r="Q424" i="2" s="1"/>
  <c r="M428" i="2"/>
  <c r="Q428" i="2" s="1"/>
  <c r="M429" i="2"/>
  <c r="Q429" i="2" s="1"/>
  <c r="M430" i="2"/>
  <c r="Q430" i="2" s="1"/>
  <c r="M431" i="2"/>
  <c r="Q431" i="2" s="1"/>
  <c r="M392" i="2"/>
  <c r="Q392" i="2" s="1"/>
  <c r="M393" i="2"/>
  <c r="Q393" i="2" s="1"/>
  <c r="M394" i="2"/>
  <c r="Q394" i="2" s="1"/>
  <c r="M395" i="2"/>
  <c r="Q395" i="2" s="1"/>
  <c r="M396" i="2"/>
  <c r="Q396" i="2" s="1"/>
  <c r="M397" i="2"/>
  <c r="Q397" i="2" s="1"/>
  <c r="M398" i="2"/>
  <c r="Q398" i="2" s="1"/>
  <c r="M399" i="2"/>
  <c r="Q399" i="2" s="1"/>
  <c r="M400" i="2"/>
  <c r="Q400" i="2" s="1"/>
  <c r="M401" i="2"/>
  <c r="Q401" i="2" s="1"/>
  <c r="M403" i="2"/>
  <c r="Q403" i="2" s="1"/>
  <c r="M404" i="2"/>
  <c r="Q404" i="2" s="1"/>
  <c r="M405" i="2"/>
  <c r="Q405" i="2" s="1"/>
  <c r="M406" i="2"/>
  <c r="Q406" i="2" s="1"/>
  <c r="M407" i="2"/>
  <c r="Q407" i="2" s="1"/>
  <c r="M408" i="2"/>
  <c r="Q408" i="2" s="1"/>
  <c r="M409" i="2"/>
  <c r="Q409" i="2" s="1"/>
  <c r="M410" i="2"/>
  <c r="Q410" i="2" s="1"/>
  <c r="M411" i="2"/>
  <c r="Q411" i="2" s="1"/>
  <c r="M413" i="2"/>
  <c r="Q413" i="2" s="1"/>
  <c r="M414" i="2"/>
  <c r="Q414" i="2" s="1"/>
  <c r="M415" i="2"/>
  <c r="Q415" i="2" s="1"/>
  <c r="M416" i="2"/>
  <c r="Q416" i="2" s="1"/>
  <c r="M417" i="2"/>
  <c r="Q417" i="2" s="1"/>
  <c r="M418" i="2"/>
  <c r="Q418" i="2" s="1"/>
  <c r="M420" i="2"/>
  <c r="Q420" i="2" s="1"/>
  <c r="M421" i="2"/>
  <c r="Q421" i="2" s="1"/>
  <c r="M422" i="2"/>
  <c r="Q422" i="2" s="1"/>
  <c r="M423" i="2"/>
  <c r="Q423" i="2" s="1"/>
  <c r="M425" i="2"/>
  <c r="Q425" i="2" s="1"/>
  <c r="M426" i="2"/>
  <c r="Q426" i="2" s="1"/>
  <c r="M427" i="2"/>
  <c r="Q427" i="2" s="1"/>
  <c r="M432" i="2"/>
  <c r="Q432" i="2" s="1"/>
  <c r="M453" i="2"/>
  <c r="Q453" i="2" s="1"/>
  <c r="M455" i="2"/>
  <c r="Q455" i="2" s="1"/>
  <c r="M456" i="2"/>
  <c r="Q456" i="2" s="1"/>
  <c r="M457" i="2"/>
  <c r="Q457" i="2" s="1"/>
  <c r="M458" i="2"/>
  <c r="Q458" i="2" s="1"/>
  <c r="M459" i="2"/>
  <c r="Q459" i="2" s="1"/>
  <c r="M460" i="2"/>
  <c r="Q460" i="2" s="1"/>
  <c r="M433" i="2"/>
  <c r="Q433" i="2" s="1"/>
  <c r="M434" i="2"/>
  <c r="Q434" i="2" s="1"/>
  <c r="M435" i="2"/>
  <c r="Q435" i="2" s="1"/>
  <c r="M436" i="2"/>
  <c r="Q436" i="2" s="1"/>
  <c r="M437" i="2"/>
  <c r="Q437" i="2" s="1"/>
  <c r="M438" i="2"/>
  <c r="Q438" i="2" s="1"/>
  <c r="M439" i="2"/>
  <c r="Q439" i="2" s="1"/>
  <c r="M440" i="2"/>
  <c r="Q440" i="2" s="1"/>
  <c r="M441" i="2"/>
  <c r="Q441" i="2" s="1"/>
  <c r="M442" i="2"/>
  <c r="Q442" i="2" s="1"/>
  <c r="M443" i="2"/>
  <c r="Q443" i="2" s="1"/>
  <c r="M444" i="2"/>
  <c r="Q444" i="2" s="1"/>
  <c r="M445" i="2"/>
  <c r="Q445" i="2" s="1"/>
  <c r="M446" i="2"/>
  <c r="Q446" i="2" s="1"/>
  <c r="M447" i="2"/>
  <c r="Q447" i="2" s="1"/>
  <c r="M448" i="2"/>
  <c r="Q448" i="2" s="1"/>
  <c r="M449" i="2"/>
  <c r="Q449" i="2" s="1"/>
  <c r="M450" i="2"/>
  <c r="Q450" i="2" s="1"/>
  <c r="M451" i="2"/>
  <c r="Q451" i="2" s="1"/>
  <c r="M452" i="2"/>
  <c r="Q452" i="2" s="1"/>
  <c r="M454" i="2"/>
  <c r="Q454" i="2" s="1"/>
  <c r="M207" i="2" l="1"/>
  <c r="Q207" i="2" s="1"/>
  <c r="M205" i="2"/>
  <c r="Q205" i="2" s="1"/>
  <c r="M239" i="2"/>
  <c r="Q239" i="2" s="1"/>
  <c r="M278" i="2"/>
  <c r="Q278" i="2" s="1"/>
  <c r="M267" i="2"/>
  <c r="Q267" i="2" s="1"/>
  <c r="M290" i="2"/>
  <c r="Q290" i="2" s="1"/>
  <c r="M215" i="2"/>
  <c r="Q215" i="2" s="1"/>
  <c r="M257" i="2"/>
  <c r="Q257" i="2" s="1"/>
  <c r="M211" i="2"/>
  <c r="Q211" i="2" s="1"/>
  <c r="M250" i="2"/>
  <c r="Q250" i="2" s="1"/>
  <c r="M217" i="2"/>
  <c r="Q217" i="2" s="1"/>
  <c r="M273" i="2"/>
  <c r="Q273" i="2" s="1"/>
  <c r="M210" i="2"/>
  <c r="Q210" i="2" s="1"/>
  <c r="M204" i="2"/>
  <c r="Q204" i="2" s="1"/>
  <c r="M206" i="2"/>
  <c r="Q206" i="2" s="1"/>
  <c r="M271" i="2"/>
  <c r="Q271" i="2" s="1"/>
  <c r="M253" i="2"/>
  <c r="Q253" i="2" s="1"/>
  <c r="M254" i="2"/>
  <c r="Q254" i="2" s="1"/>
  <c r="M255" i="2"/>
  <c r="Q255" i="2" s="1"/>
  <c r="M256" i="2"/>
  <c r="Q256" i="2" s="1"/>
  <c r="M212" i="2"/>
  <c r="Q212" i="2" s="1"/>
  <c r="M214" i="2"/>
  <c r="Q214" i="2" s="1"/>
  <c r="M284" i="2"/>
  <c r="Q284" i="2" s="1"/>
  <c r="M220" i="2"/>
  <c r="Q220" i="2" s="1"/>
  <c r="M230" i="2"/>
  <c r="Q230" i="2" s="1"/>
  <c r="M245" i="2"/>
  <c r="Q245" i="2" s="1"/>
  <c r="M227" i="2"/>
  <c r="Q227" i="2" s="1"/>
  <c r="M228" i="2"/>
  <c r="Q228" i="2" s="1"/>
  <c r="M226" i="2"/>
  <c r="Q226" i="2" s="1"/>
  <c r="M223" i="2"/>
  <c r="Q223" i="2" s="1"/>
  <c r="M224" i="2"/>
  <c r="Q224" i="2" s="1"/>
  <c r="M229" i="2"/>
  <c r="Q229" i="2" s="1"/>
  <c r="M225" i="2"/>
  <c r="Q225" i="2" s="1"/>
  <c r="M233" i="2"/>
  <c r="Q233" i="2" s="1"/>
  <c r="M234" i="2"/>
  <c r="Q234" i="2" s="1"/>
  <c r="M222" i="2"/>
  <c r="Q222" i="2" s="1"/>
  <c r="M283" i="2"/>
  <c r="Q283" i="2" s="1"/>
  <c r="M265" i="2"/>
  <c r="Q265" i="2" s="1"/>
  <c r="M236" i="2"/>
  <c r="Q236" i="2" s="1"/>
  <c r="M237" i="2"/>
  <c r="Q237" i="2" s="1"/>
  <c r="M238" i="2"/>
  <c r="Q238" i="2" s="1"/>
  <c r="M221" i="2"/>
  <c r="Q221" i="2" s="1"/>
  <c r="M274" i="2"/>
  <c r="Q274" i="2" s="1"/>
  <c r="M288" i="2"/>
  <c r="Q288" i="2" s="1"/>
  <c r="M289" i="2"/>
  <c r="Q289" i="2" s="1"/>
  <c r="M242" i="2"/>
  <c r="Q242" i="2" s="1"/>
  <c r="M251" i="2"/>
  <c r="Q251" i="2" s="1"/>
  <c r="M252" i="2"/>
  <c r="Q252" i="2" s="1"/>
  <c r="M258" i="2"/>
  <c r="Q258" i="2" s="1"/>
  <c r="M279" i="2"/>
  <c r="Q279" i="2" s="1"/>
  <c r="M213" i="2"/>
  <c r="Q213" i="2" s="1"/>
  <c r="M216" i="2"/>
  <c r="Q216" i="2" s="1"/>
  <c r="M248" i="2"/>
  <c r="Q248" i="2" s="1"/>
  <c r="M198" i="2"/>
  <c r="Q198" i="2" s="1"/>
  <c r="M241" i="2"/>
  <c r="Q241" i="2" s="1"/>
  <c r="M269" i="2"/>
  <c r="Q269" i="2" s="1"/>
  <c r="M268" i="2"/>
  <c r="Q268" i="2" s="1"/>
  <c r="M286" i="2"/>
  <c r="Q286" i="2" s="1"/>
  <c r="M235" i="2"/>
  <c r="Q235" i="2" s="1"/>
  <c r="M276" i="2"/>
  <c r="Q276" i="2" s="1"/>
  <c r="M275" i="2"/>
  <c r="Q275" i="2" s="1"/>
  <c r="M277" i="2"/>
  <c r="Q277" i="2" s="1"/>
  <c r="M240" i="2"/>
  <c r="Q240" i="2" s="1"/>
  <c r="M219" i="2"/>
  <c r="Q219" i="2" s="1"/>
  <c r="M209" i="2"/>
  <c r="Q209" i="2" s="1"/>
  <c r="M203" i="2"/>
  <c r="Q203" i="2" s="1"/>
  <c r="M246" i="2"/>
  <c r="Q246" i="2" s="1"/>
  <c r="M247" i="2"/>
  <c r="Q247" i="2" s="1"/>
  <c r="M282" i="2"/>
  <c r="Q282" i="2" s="1"/>
  <c r="M244" i="2"/>
  <c r="Q244" i="2" s="1"/>
  <c r="M200" i="2"/>
  <c r="Q200" i="2" s="1"/>
  <c r="M281" i="2"/>
  <c r="Q281" i="2" s="1"/>
  <c r="M218" i="2"/>
  <c r="Q218" i="2" s="1"/>
  <c r="M259" i="2"/>
  <c r="Q259" i="2" s="1"/>
  <c r="M260" i="2"/>
  <c r="Q260" i="2" s="1"/>
  <c r="M261" i="2"/>
  <c r="Q261" i="2" s="1"/>
  <c r="M262" i="2"/>
  <c r="Q262" i="2" s="1"/>
  <c r="M266" i="2"/>
  <c r="Q266" i="2" s="1"/>
  <c r="M272" i="2"/>
  <c r="Q272" i="2" s="1"/>
  <c r="M199" i="2"/>
  <c r="Q199" i="2" s="1"/>
  <c r="M201" i="2"/>
  <c r="Q201" i="2" s="1"/>
  <c r="M287" i="2"/>
  <c r="Q287" i="2" s="1"/>
  <c r="M208" i="2"/>
  <c r="Q208" i="2" s="1"/>
  <c r="M264" i="2"/>
  <c r="Q264" i="2" s="1"/>
  <c r="M280" i="2"/>
  <c r="Q280" i="2" s="1"/>
  <c r="M270" i="2"/>
  <c r="Q270" i="2" s="1"/>
  <c r="M231" i="2"/>
  <c r="Q231" i="2" s="1"/>
  <c r="M263" i="2"/>
  <c r="Q263" i="2" s="1"/>
  <c r="M232" i="2"/>
  <c r="Q232" i="2" s="1"/>
  <c r="M243" i="2"/>
  <c r="Q243" i="2" s="1"/>
  <c r="M249" i="2"/>
  <c r="Q249" i="2" s="1"/>
  <c r="M285" i="2"/>
  <c r="Q285" i="2" s="1"/>
  <c r="M202" i="2"/>
  <c r="Q202" i="2" s="1"/>
  <c r="M26" i="2"/>
  <c r="Q26" i="2" s="1"/>
  <c r="M4" i="2"/>
  <c r="M29" i="2"/>
  <c r="Q29" i="2" s="1"/>
  <c r="M31" i="2"/>
  <c r="Q31" i="2" s="1"/>
  <c r="M28" i="2"/>
  <c r="Q28" i="2" s="1"/>
  <c r="M13" i="2"/>
  <c r="M24" i="2"/>
  <c r="M35" i="2"/>
  <c r="Q35" i="2" s="1"/>
  <c r="M37" i="2"/>
  <c r="Q37" i="2" s="1"/>
  <c r="M38" i="2"/>
  <c r="Q38" i="2" s="1"/>
  <c r="M39" i="2"/>
  <c r="Q39" i="2" s="1"/>
  <c r="M40" i="2"/>
  <c r="Q40" i="2" s="1"/>
  <c r="M41" i="2"/>
  <c r="Q41" i="2" s="1"/>
  <c r="M3" i="2"/>
  <c r="M36" i="2"/>
  <c r="Q36" i="2" s="1"/>
  <c r="M5" i="2"/>
  <c r="M6" i="2"/>
  <c r="M7" i="2"/>
  <c r="M8" i="2"/>
  <c r="M9" i="2"/>
  <c r="M10" i="2"/>
  <c r="M11" i="2"/>
  <c r="M12" i="2"/>
  <c r="M87" i="2"/>
  <c r="Q87" i="2" s="1"/>
  <c r="M14" i="2"/>
  <c r="M15" i="2"/>
  <c r="M23" i="2"/>
  <c r="M25" i="2"/>
  <c r="O25" i="2" s="1"/>
  <c r="M16" i="2"/>
  <c r="M17" i="2"/>
  <c r="M18" i="2"/>
  <c r="M19" i="2"/>
  <c r="M20" i="2"/>
  <c r="M21" i="2"/>
  <c r="M22" i="2"/>
  <c r="M34" i="2"/>
  <c r="Q34" i="2" s="1"/>
  <c r="M32" i="2"/>
  <c r="Q32" i="2" s="1"/>
  <c r="M27" i="2"/>
  <c r="Q27" i="2" s="1"/>
  <c r="M33" i="2"/>
  <c r="Q33" i="2" s="1"/>
  <c r="M30" i="2"/>
  <c r="Q30" i="2" s="1"/>
  <c r="M193" i="2"/>
  <c r="Q193" i="2" s="1"/>
  <c r="M151" i="2"/>
  <c r="Q151" i="2" s="1"/>
  <c r="M158" i="2"/>
  <c r="Q158" i="2" s="1"/>
  <c r="M167" i="2"/>
  <c r="Q167" i="2" s="1"/>
  <c r="M178" i="2"/>
  <c r="Q178" i="2" s="1"/>
  <c r="M161" i="2"/>
  <c r="Q161" i="2" s="1"/>
  <c r="M187" i="2"/>
  <c r="Q187" i="2" s="1"/>
  <c r="M194" i="2"/>
  <c r="Q194" i="2" s="1"/>
  <c r="M195" i="2"/>
  <c r="Q195" i="2" s="1"/>
  <c r="M196" i="2"/>
  <c r="Q196" i="2" s="1"/>
  <c r="M163" i="2"/>
  <c r="Q163" i="2" s="1"/>
  <c r="M155" i="2"/>
  <c r="Q155" i="2" s="1"/>
  <c r="M160" i="2"/>
  <c r="Q160" i="2" s="1"/>
  <c r="M162" i="2"/>
  <c r="Q162" i="2" s="1"/>
  <c r="M164" i="2"/>
  <c r="Q164" i="2" s="1"/>
  <c r="M165" i="2"/>
  <c r="Q165" i="2" s="1"/>
  <c r="M166" i="2"/>
  <c r="Q166" i="2" s="1"/>
  <c r="M169" i="2"/>
  <c r="Q169" i="2" s="1"/>
  <c r="M171" i="2"/>
  <c r="Q171" i="2" s="1"/>
  <c r="M172" i="2"/>
  <c r="Q172" i="2" s="1"/>
  <c r="M173" i="2"/>
  <c r="Q173" i="2" s="1"/>
  <c r="M175" i="2"/>
  <c r="Q175" i="2" s="1"/>
  <c r="M176" i="2"/>
  <c r="Q176" i="2" s="1"/>
  <c r="M182" i="2"/>
  <c r="Q182" i="2" s="1"/>
  <c r="M183" i="2"/>
  <c r="Q183" i="2" s="1"/>
  <c r="M42" i="2"/>
  <c r="Q42" i="2" s="1"/>
  <c r="M53" i="2"/>
  <c r="Q53" i="2" s="1"/>
  <c r="M64" i="2"/>
  <c r="Q64" i="2" s="1"/>
  <c r="M66" i="2"/>
  <c r="Q66" i="2" s="1"/>
  <c r="M67" i="2"/>
  <c r="Q67" i="2" s="1"/>
  <c r="M68" i="2"/>
  <c r="Q68" i="2" s="1"/>
  <c r="M69" i="2"/>
  <c r="Q69" i="2" s="1"/>
  <c r="M70" i="2"/>
  <c r="Q70" i="2" s="1"/>
  <c r="M71" i="2"/>
  <c r="Q71" i="2" s="1"/>
  <c r="M43" i="2"/>
  <c r="Q43" i="2" s="1"/>
  <c r="M44" i="2"/>
  <c r="Q44" i="2" s="1"/>
  <c r="M45" i="2"/>
  <c r="Q45" i="2" s="1"/>
  <c r="M46" i="2"/>
  <c r="Q46" i="2" s="1"/>
  <c r="M57" i="2"/>
  <c r="Q57" i="2" s="1"/>
  <c r="M47" i="2"/>
  <c r="Q47" i="2" s="1"/>
  <c r="M48" i="2"/>
  <c r="Q48" i="2" s="1"/>
  <c r="M49" i="2"/>
  <c r="Q49" i="2" s="1"/>
  <c r="M50" i="2"/>
  <c r="Q50" i="2" s="1"/>
  <c r="M51" i="2"/>
  <c r="Q51" i="2" s="1"/>
  <c r="M52" i="2"/>
  <c r="Q52" i="2" s="1"/>
  <c r="M54" i="2"/>
  <c r="Q54" i="2" s="1"/>
  <c r="M55" i="2"/>
  <c r="Q55" i="2" s="1"/>
  <c r="M56" i="2"/>
  <c r="Q56" i="2" s="1"/>
  <c r="M58" i="2"/>
  <c r="Q58" i="2" s="1"/>
  <c r="M59" i="2"/>
  <c r="Q59" i="2" s="1"/>
  <c r="M60" i="2"/>
  <c r="Q60" i="2" s="1"/>
  <c r="M61" i="2"/>
  <c r="Q61" i="2" s="1"/>
  <c r="M62" i="2"/>
  <c r="Q62" i="2" s="1"/>
  <c r="M63" i="2"/>
  <c r="Q63" i="2" s="1"/>
  <c r="M65" i="2"/>
  <c r="Q65" i="2" s="1"/>
  <c r="M72" i="2"/>
  <c r="Q72" i="2" s="1"/>
  <c r="M83" i="2"/>
  <c r="Q83" i="2" s="1"/>
  <c r="M93" i="2"/>
  <c r="Q93" i="2" s="1"/>
  <c r="M104" i="2"/>
  <c r="Q104" i="2" s="1"/>
  <c r="M108" i="2"/>
  <c r="Q108" i="2" s="1"/>
  <c r="M109" i="2"/>
  <c r="Q109" i="2" s="1"/>
  <c r="M110" i="2"/>
  <c r="Q110" i="2" s="1"/>
  <c r="M111" i="2"/>
  <c r="Q111" i="2" s="1"/>
  <c r="M112" i="2"/>
  <c r="Q112" i="2" s="1"/>
  <c r="M73" i="2"/>
  <c r="Q73" i="2" s="1"/>
  <c r="M74" i="2"/>
  <c r="Q74" i="2" s="1"/>
  <c r="M75" i="2"/>
  <c r="Q75" i="2" s="1"/>
  <c r="M76" i="2"/>
  <c r="Q76" i="2" s="1"/>
  <c r="M77" i="2"/>
  <c r="Q77" i="2" s="1"/>
  <c r="M78" i="2"/>
  <c r="Q78" i="2" s="1"/>
  <c r="M79" i="2"/>
  <c r="Q79" i="2" s="1"/>
  <c r="M80" i="2"/>
  <c r="Q80" i="2" s="1"/>
  <c r="M81" i="2"/>
  <c r="Q81" i="2" s="1"/>
  <c r="M82" i="2"/>
  <c r="Q82" i="2" s="1"/>
  <c r="M84" i="2"/>
  <c r="Q84" i="2" s="1"/>
  <c r="M85" i="2"/>
  <c r="Q85" i="2" s="1"/>
  <c r="M86" i="2"/>
  <c r="Q86" i="2" s="1"/>
  <c r="M88" i="2"/>
  <c r="Q88" i="2" s="1"/>
  <c r="M89" i="2"/>
  <c r="Q89" i="2" s="1"/>
  <c r="M90" i="2"/>
  <c r="Q90" i="2" s="1"/>
  <c r="M91" i="2"/>
  <c r="Q91" i="2" s="1"/>
  <c r="M92" i="2"/>
  <c r="Q92" i="2" s="1"/>
  <c r="M94" i="2"/>
  <c r="Q94" i="2" s="1"/>
  <c r="M95" i="2"/>
  <c r="Q95" i="2" s="1"/>
  <c r="M96" i="2"/>
  <c r="Q96" i="2" s="1"/>
  <c r="M97" i="2"/>
  <c r="Q97" i="2" s="1"/>
  <c r="M98" i="2"/>
  <c r="Q98" i="2" s="1"/>
  <c r="M99" i="2"/>
  <c r="Q99" i="2" s="1"/>
  <c r="M100" i="2"/>
  <c r="Q100" i="2" s="1"/>
  <c r="M102" i="2"/>
  <c r="Q102" i="2" s="1"/>
  <c r="M101" i="2"/>
  <c r="Q101" i="2" s="1"/>
  <c r="M103" i="2"/>
  <c r="Q103" i="2" s="1"/>
  <c r="M105" i="2"/>
  <c r="Q105" i="2" s="1"/>
  <c r="M106" i="2"/>
  <c r="Q106" i="2" s="1"/>
  <c r="M107" i="2"/>
  <c r="Q107" i="2" s="1"/>
  <c r="M123" i="2"/>
  <c r="Q123" i="2" s="1"/>
  <c r="M134" i="2"/>
  <c r="Q134" i="2" s="1"/>
  <c r="M145" i="2"/>
  <c r="Q145" i="2" s="1"/>
  <c r="M148" i="2"/>
  <c r="Q148" i="2" s="1"/>
  <c r="M149" i="2"/>
  <c r="Q149" i="2" s="1"/>
  <c r="M150" i="2"/>
  <c r="Q150" i="2" s="1"/>
  <c r="M113" i="2"/>
  <c r="Q113" i="2" s="1"/>
  <c r="M114" i="2"/>
  <c r="Q114" i="2" s="1"/>
  <c r="M115" i="2"/>
  <c r="Q115" i="2" s="1"/>
  <c r="M116" i="2"/>
  <c r="Q116" i="2" s="1"/>
  <c r="M117" i="2"/>
  <c r="Q117" i="2" s="1"/>
  <c r="M118" i="2"/>
  <c r="Q118" i="2" s="1"/>
  <c r="M119" i="2"/>
  <c r="Q119" i="2" s="1"/>
  <c r="M120" i="2"/>
  <c r="Q120" i="2" s="1"/>
  <c r="M121" i="2"/>
  <c r="Q121" i="2" s="1"/>
  <c r="M122" i="2"/>
  <c r="Q122" i="2" s="1"/>
  <c r="M124" i="2"/>
  <c r="Q124" i="2" s="1"/>
  <c r="M125" i="2"/>
  <c r="Q125" i="2" s="1"/>
  <c r="M126" i="2"/>
  <c r="Q126" i="2" s="1"/>
  <c r="M127" i="2"/>
  <c r="Q127" i="2" s="1"/>
  <c r="M128" i="2"/>
  <c r="Q128" i="2" s="1"/>
  <c r="M129" i="2"/>
  <c r="Q129" i="2" s="1"/>
  <c r="M130" i="2"/>
  <c r="Q130" i="2" s="1"/>
  <c r="M131" i="2"/>
  <c r="Q131" i="2" s="1"/>
  <c r="M132" i="2"/>
  <c r="Q132" i="2" s="1"/>
  <c r="M133" i="2"/>
  <c r="Q133" i="2" s="1"/>
  <c r="M135" i="2"/>
  <c r="Q135" i="2" s="1"/>
  <c r="M136" i="2"/>
  <c r="Q136" i="2" s="1"/>
  <c r="M137" i="2"/>
  <c r="Q137" i="2" s="1"/>
  <c r="M138" i="2"/>
  <c r="Q138" i="2" s="1"/>
  <c r="M139" i="2"/>
  <c r="Q139" i="2" s="1"/>
  <c r="M140" i="2"/>
  <c r="Q140" i="2" s="1"/>
  <c r="M141" i="2"/>
  <c r="Q141" i="2" s="1"/>
  <c r="M142" i="2"/>
  <c r="Q142" i="2" s="1"/>
  <c r="M143" i="2"/>
  <c r="Q143" i="2" s="1"/>
  <c r="M144" i="2"/>
  <c r="Q144" i="2" s="1"/>
  <c r="M146" i="2"/>
  <c r="Q146" i="2" s="1"/>
  <c r="M147" i="2"/>
  <c r="Q147" i="2" s="1"/>
  <c r="M197" i="2"/>
  <c r="Q197" i="2" s="1"/>
  <c r="M152" i="2"/>
  <c r="Q152" i="2" s="1"/>
  <c r="M153" i="2"/>
  <c r="Q153" i="2" s="1"/>
  <c r="M154" i="2"/>
  <c r="Q154" i="2" s="1"/>
  <c r="M156" i="2"/>
  <c r="Q156" i="2" s="1"/>
  <c r="M159" i="2"/>
  <c r="Q159" i="2" s="1"/>
  <c r="M157" i="2"/>
  <c r="Q157" i="2" s="1"/>
  <c r="M168" i="2"/>
  <c r="Q168" i="2" s="1"/>
  <c r="M170" i="2"/>
  <c r="Q170" i="2" s="1"/>
  <c r="M174" i="2"/>
  <c r="Q174" i="2" s="1"/>
  <c r="M177" i="2"/>
  <c r="Q177" i="2" s="1"/>
  <c r="M179" i="2"/>
  <c r="Q179" i="2" s="1"/>
  <c r="M180" i="2"/>
  <c r="Q180" i="2" s="1"/>
  <c r="M181" i="2"/>
  <c r="Q181" i="2" s="1"/>
  <c r="M184" i="2"/>
  <c r="Q184" i="2" s="1"/>
  <c r="M185" i="2"/>
  <c r="Q185" i="2" s="1"/>
  <c r="M186" i="2"/>
  <c r="Q186" i="2" s="1"/>
  <c r="M188" i="2"/>
  <c r="Q188" i="2" s="1"/>
  <c r="M189" i="2"/>
  <c r="Q189" i="2" s="1"/>
  <c r="M190" i="2"/>
  <c r="Q190" i="2" s="1"/>
  <c r="M191" i="2"/>
  <c r="Q191" i="2" s="1"/>
  <c r="M192" i="2"/>
  <c r="Q192" i="2" s="1"/>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21" i="16"/>
  <c r="J622" i="16"/>
  <c r="J623" i="16"/>
  <c r="J624" i="16"/>
  <c r="J625" i="16"/>
  <c r="J626" i="16"/>
  <c r="J627" i="16"/>
  <c r="J628" i="16"/>
  <c r="J629" i="16"/>
  <c r="J630" i="16"/>
  <c r="J631" i="16"/>
  <c r="J632" i="16"/>
  <c r="J633"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J701" i="16"/>
  <c r="J702" i="16"/>
  <c r="J703" i="16"/>
  <c r="J704" i="16"/>
  <c r="J705" i="16"/>
  <c r="J706" i="16"/>
  <c r="J707" i="16"/>
  <c r="J708" i="16"/>
  <c r="J709" i="16"/>
  <c r="J710" i="16"/>
  <c r="J711" i="16"/>
  <c r="J712" i="16"/>
  <c r="J713" i="16"/>
  <c r="J714" i="16"/>
  <c r="J715" i="16"/>
  <c r="J716" i="16"/>
  <c r="J717" i="16"/>
  <c r="J718" i="16"/>
  <c r="J719" i="16"/>
  <c r="J720" i="16"/>
  <c r="J721" i="16"/>
  <c r="J722" i="16"/>
  <c r="J723" i="16"/>
  <c r="J724" i="16"/>
  <c r="J725" i="16"/>
  <c r="J726" i="16"/>
  <c r="J727" i="16"/>
  <c r="J728" i="16"/>
  <c r="J729" i="16"/>
  <c r="J730" i="16"/>
  <c r="J731" i="16"/>
  <c r="J732" i="16"/>
  <c r="J733" i="16"/>
  <c r="J734" i="16"/>
  <c r="J735" i="16"/>
  <c r="J736" i="16"/>
  <c r="J737" i="16"/>
  <c r="J738" i="16"/>
  <c r="J739" i="16"/>
  <c r="J740" i="16"/>
  <c r="J741" i="16"/>
  <c r="J742" i="16"/>
  <c r="J743" i="16"/>
  <c r="J744" i="16"/>
  <c r="J745" i="16"/>
  <c r="J746" i="16"/>
  <c r="J747" i="16"/>
  <c r="J748" i="16"/>
  <c r="J749" i="16"/>
  <c r="J750" i="16"/>
  <c r="J751" i="16"/>
  <c r="J752" i="16"/>
  <c r="J753" i="16"/>
  <c r="J754" i="16"/>
  <c r="J755" i="16"/>
  <c r="J756" i="16"/>
  <c r="J757" i="16"/>
  <c r="J758" i="16"/>
  <c r="J759" i="16"/>
  <c r="J760" i="16"/>
  <c r="J761" i="16"/>
  <c r="J762" i="16"/>
  <c r="J763" i="16"/>
  <c r="J764" i="16"/>
  <c r="J765" i="16"/>
  <c r="J766" i="16"/>
  <c r="J767" i="16"/>
  <c r="J4" i="16"/>
  <c r="D16" i="17"/>
  <c r="C4" i="17"/>
  <c r="H12" i="17"/>
  <c r="H9" i="17" s="1"/>
  <c r="H11" i="17"/>
  <c r="C22" i="17"/>
  <c r="C23" i="17"/>
  <c r="C24" i="17"/>
  <c r="C25" i="17"/>
  <c r="C26" i="17"/>
  <c r="C27" i="17"/>
  <c r="C28" i="17"/>
  <c r="C29" i="17"/>
  <c r="C30" i="17"/>
  <c r="C31" i="17"/>
  <c r="C32" i="17"/>
  <c r="C33" i="17"/>
  <c r="C34" i="17"/>
  <c r="C35" i="17"/>
  <c r="F22" i="17"/>
  <c r="F23" i="17"/>
  <c r="F24" i="17"/>
  <c r="F25" i="17"/>
  <c r="F26" i="17"/>
  <c r="F27" i="17"/>
  <c r="F28" i="17"/>
  <c r="F29" i="17"/>
  <c r="F30" i="17"/>
  <c r="F31" i="17"/>
  <c r="F32" i="17"/>
  <c r="F33" i="17"/>
  <c r="F34" i="17"/>
  <c r="F35" i="17"/>
  <c r="F21" i="17"/>
  <c r="G22" i="17"/>
  <c r="G23" i="17"/>
  <c r="G24" i="17"/>
  <c r="G25" i="17"/>
  <c r="G26" i="17"/>
  <c r="G27" i="17"/>
  <c r="G28" i="17"/>
  <c r="G29" i="17"/>
  <c r="G30" i="17"/>
  <c r="G31" i="17"/>
  <c r="G32" i="17"/>
  <c r="G33" i="17"/>
  <c r="G34" i="17"/>
  <c r="G35" i="17"/>
  <c r="G21" i="17"/>
  <c r="H22" i="17"/>
  <c r="H23" i="17"/>
  <c r="H24" i="17"/>
  <c r="H25" i="17"/>
  <c r="H26" i="17"/>
  <c r="H27" i="17"/>
  <c r="H28" i="17"/>
  <c r="H29" i="17"/>
  <c r="H30" i="17"/>
  <c r="H31" i="17"/>
  <c r="H32" i="17"/>
  <c r="H33" i="17"/>
  <c r="H34" i="17"/>
  <c r="H35" i="17"/>
  <c r="H21" i="17"/>
  <c r="I22" i="17"/>
  <c r="I23" i="17"/>
  <c r="I24" i="17"/>
  <c r="I25" i="17"/>
  <c r="I26" i="17"/>
  <c r="I27" i="17"/>
  <c r="I28" i="17"/>
  <c r="I29" i="17"/>
  <c r="I30" i="17"/>
  <c r="I31" i="17"/>
  <c r="I32" i="17"/>
  <c r="I33" i="17"/>
  <c r="I34" i="17"/>
  <c r="I35" i="17"/>
  <c r="I21" i="17"/>
  <c r="I20" i="17"/>
  <c r="H20" i="17"/>
  <c r="G20" i="17"/>
  <c r="F20" i="17"/>
  <c r="C21" i="17"/>
  <c r="I3" i="17"/>
  <c r="Z767" i="16"/>
  <c r="Z766" i="16"/>
  <c r="Z765" i="16"/>
  <c r="Z764" i="16"/>
  <c r="Z763" i="16"/>
  <c r="Z762" i="16"/>
  <c r="Z761" i="16"/>
  <c r="Z760" i="16"/>
  <c r="Z759" i="16"/>
  <c r="Z758" i="16"/>
  <c r="Z757" i="16"/>
  <c r="Z756" i="16"/>
  <c r="Z755" i="16"/>
  <c r="Z754" i="16"/>
  <c r="Z753" i="16"/>
  <c r="Z752" i="16"/>
  <c r="Z751" i="16"/>
  <c r="Z750" i="16"/>
  <c r="Z749" i="16"/>
  <c r="Z748" i="16"/>
  <c r="Z747" i="16"/>
  <c r="Z746" i="16"/>
  <c r="Z745" i="16"/>
  <c r="Z744" i="16"/>
  <c r="Z743" i="16"/>
  <c r="Z742" i="16"/>
  <c r="Z741" i="16"/>
  <c r="Z740" i="16"/>
  <c r="Z739" i="16"/>
  <c r="Z738" i="16"/>
  <c r="Z737" i="16"/>
  <c r="Z736" i="16"/>
  <c r="Z735" i="16"/>
  <c r="Z734" i="16"/>
  <c r="Z733" i="16"/>
  <c r="Z732" i="16"/>
  <c r="Z731" i="16"/>
  <c r="Z730" i="16"/>
  <c r="Z729" i="16"/>
  <c r="Z728" i="16"/>
  <c r="Z727" i="16"/>
  <c r="Z726" i="16"/>
  <c r="Z725" i="16"/>
  <c r="Z724" i="16"/>
  <c r="Z723" i="16"/>
  <c r="Z722" i="16"/>
  <c r="Z721" i="16"/>
  <c r="Z720" i="16"/>
  <c r="Z719" i="16"/>
  <c r="Z718" i="16"/>
  <c r="Z717" i="16"/>
  <c r="Z716" i="16"/>
  <c r="Z715" i="16"/>
  <c r="Z714" i="16"/>
  <c r="Z713" i="16"/>
  <c r="Z712" i="16"/>
  <c r="Z711" i="16"/>
  <c r="Z710" i="16"/>
  <c r="Z709" i="16"/>
  <c r="Z708" i="16"/>
  <c r="Z707" i="16"/>
  <c r="Z706" i="16"/>
  <c r="Z705" i="16"/>
  <c r="Z704" i="16"/>
  <c r="Z703" i="16"/>
  <c r="Z702" i="16"/>
  <c r="Z701" i="16"/>
  <c r="Z700" i="16"/>
  <c r="Z699" i="16"/>
  <c r="Z698" i="16"/>
  <c r="Z697" i="16"/>
  <c r="Z696" i="16"/>
  <c r="Z695" i="16"/>
  <c r="Z694" i="16"/>
  <c r="Z693" i="16"/>
  <c r="Z692" i="16"/>
  <c r="Z691" i="16"/>
  <c r="Z690" i="16"/>
  <c r="Z689" i="16"/>
  <c r="Z688" i="16"/>
  <c r="Z687" i="16"/>
  <c r="Z686" i="16"/>
  <c r="Z685" i="16"/>
  <c r="Z684" i="16"/>
  <c r="Z683" i="16"/>
  <c r="Z682" i="16"/>
  <c r="Z681" i="16"/>
  <c r="Z680" i="16"/>
  <c r="Z679" i="16"/>
  <c r="Z678" i="16"/>
  <c r="Z677" i="16"/>
  <c r="Z676" i="16"/>
  <c r="Z675" i="16"/>
  <c r="Z674" i="16"/>
  <c r="Z673" i="16"/>
  <c r="Z672" i="16"/>
  <c r="Z671" i="16"/>
  <c r="Z670" i="16"/>
  <c r="Z669" i="16"/>
  <c r="Z668" i="16"/>
  <c r="Z667" i="16"/>
  <c r="Z666" i="16"/>
  <c r="Z665" i="16"/>
  <c r="Z664" i="16"/>
  <c r="Z663" i="16"/>
  <c r="Z662" i="16"/>
  <c r="Z661" i="16"/>
  <c r="Z660" i="16"/>
  <c r="Z659" i="16"/>
  <c r="Z658" i="16"/>
  <c r="Z657" i="16"/>
  <c r="Z656" i="16"/>
  <c r="Z655" i="16"/>
  <c r="Z654" i="16"/>
  <c r="Z653" i="16"/>
  <c r="Z652" i="16"/>
  <c r="Z651" i="16"/>
  <c r="Z650" i="16"/>
  <c r="Z649" i="16"/>
  <c r="Z648" i="16"/>
  <c r="Z647" i="16"/>
  <c r="Z646" i="16"/>
  <c r="Z645" i="16"/>
  <c r="Z644" i="16"/>
  <c r="Z643" i="16"/>
  <c r="Z642" i="16"/>
  <c r="Z641" i="16"/>
  <c r="Z640" i="16"/>
  <c r="Z639" i="16"/>
  <c r="Z638" i="16"/>
  <c r="Z637" i="16"/>
  <c r="Z636" i="16"/>
  <c r="Z635" i="16"/>
  <c r="Z634" i="16"/>
  <c r="Z633" i="16"/>
  <c r="Z632" i="16"/>
  <c r="Z631" i="16"/>
  <c r="Z630" i="16"/>
  <c r="Z629" i="16"/>
  <c r="Z628" i="16"/>
  <c r="Z627" i="16"/>
  <c r="Z626" i="16"/>
  <c r="Z625" i="16"/>
  <c r="Z624" i="16"/>
  <c r="Z623" i="16"/>
  <c r="Z622" i="16"/>
  <c r="Z621" i="16"/>
  <c r="Z620" i="16"/>
  <c r="Z619" i="16"/>
  <c r="Z618" i="16"/>
  <c r="Z617" i="16"/>
  <c r="Z616" i="16"/>
  <c r="Z615" i="16"/>
  <c r="Z614" i="16"/>
  <c r="Z613" i="16"/>
  <c r="R613" i="16"/>
  <c r="Z612" i="16"/>
  <c r="Z611" i="16"/>
  <c r="R611" i="16"/>
  <c r="Z610" i="16"/>
  <c r="R610" i="16"/>
  <c r="Z609" i="16"/>
  <c r="R609" i="16"/>
  <c r="Z608" i="16"/>
  <c r="Z607" i="16"/>
  <c r="Z606" i="16"/>
  <c r="Z605" i="16"/>
  <c r="Z604" i="16"/>
  <c r="Z603" i="16"/>
  <c r="Z602" i="16"/>
  <c r="Z601" i="16"/>
  <c r="Z600" i="16"/>
  <c r="Z599" i="16"/>
  <c r="Z598" i="16"/>
  <c r="Z597" i="16"/>
  <c r="Z596" i="16"/>
  <c r="Z595" i="16"/>
  <c r="Z594" i="16"/>
  <c r="Z593" i="16"/>
  <c r="R593" i="16"/>
  <c r="Z592" i="16"/>
  <c r="R592" i="16"/>
  <c r="Z591" i="16"/>
  <c r="R591" i="16"/>
  <c r="Z590" i="16"/>
  <c r="Z589" i="16"/>
  <c r="Z588" i="16"/>
  <c r="Z587" i="16"/>
  <c r="Z586" i="16"/>
  <c r="Z585" i="16"/>
  <c r="Z584" i="16"/>
  <c r="Z583" i="16"/>
  <c r="Z582" i="16"/>
  <c r="R582" i="16"/>
  <c r="Z581" i="16"/>
  <c r="Z580" i="16"/>
  <c r="Z579" i="16"/>
  <c r="Z578" i="16"/>
  <c r="R578" i="16"/>
  <c r="Z577" i="16"/>
  <c r="R577" i="16"/>
  <c r="Z576" i="16"/>
  <c r="Z575" i="16"/>
  <c r="R575" i="16"/>
  <c r="Z574" i="16"/>
  <c r="Z573" i="16"/>
  <c r="Z572" i="16"/>
  <c r="Z571" i="16"/>
  <c r="R571" i="16"/>
  <c r="Z570" i="16"/>
  <c r="R570" i="16"/>
  <c r="Z569" i="16"/>
  <c r="R569" i="16"/>
  <c r="Z568" i="16"/>
  <c r="Z567" i="16"/>
  <c r="Z566" i="16"/>
  <c r="Z565" i="16"/>
  <c r="Z564" i="16"/>
  <c r="Z563" i="16"/>
  <c r="Z562" i="16"/>
  <c r="Z561" i="16"/>
  <c r="Z560" i="16"/>
  <c r="Z559" i="16"/>
  <c r="Z558" i="16"/>
  <c r="Z557" i="16"/>
  <c r="Z556" i="16"/>
  <c r="Z555" i="16"/>
  <c r="Z554" i="16"/>
  <c r="Z553" i="16"/>
  <c r="Z552" i="16"/>
  <c r="Z551" i="16"/>
  <c r="Z550" i="16"/>
  <c r="Z549" i="16"/>
  <c r="Z548" i="16"/>
  <c r="Z547" i="16"/>
  <c r="Z546" i="16"/>
  <c r="R546" i="16"/>
  <c r="Z545" i="16"/>
  <c r="R545" i="16"/>
  <c r="Z544" i="16"/>
  <c r="R544" i="16"/>
  <c r="Z543" i="16"/>
  <c r="R543" i="16"/>
  <c r="Z542" i="16"/>
  <c r="R542" i="16"/>
  <c r="Z541" i="16"/>
  <c r="R541" i="16"/>
  <c r="Z540" i="16"/>
  <c r="R540" i="16"/>
  <c r="Z539" i="16"/>
  <c r="Z538" i="16"/>
  <c r="Z537" i="16"/>
  <c r="R537" i="16"/>
  <c r="Z536" i="16"/>
  <c r="R536" i="16"/>
  <c r="Z535" i="16"/>
  <c r="R535" i="16"/>
  <c r="Z534" i="16"/>
  <c r="R534" i="16"/>
  <c r="Z533" i="16"/>
  <c r="Z532" i="16"/>
  <c r="Z531" i="16"/>
  <c r="R531" i="16"/>
  <c r="Z530" i="16"/>
  <c r="R530" i="16"/>
  <c r="Z529" i="16"/>
  <c r="Z528" i="16"/>
  <c r="Z527" i="16"/>
  <c r="Z526" i="16"/>
  <c r="Z525" i="16"/>
  <c r="Z524" i="16"/>
  <c r="Z523" i="16"/>
  <c r="Z522" i="16"/>
  <c r="Z521" i="16"/>
  <c r="Z520" i="16"/>
  <c r="Z519" i="16"/>
  <c r="Z518" i="16"/>
  <c r="Z517" i="16"/>
  <c r="Z516" i="16"/>
  <c r="Z515" i="16"/>
  <c r="Z514" i="16"/>
  <c r="Z513" i="16"/>
  <c r="Z512" i="16"/>
  <c r="Z511" i="16"/>
  <c r="Z510" i="16"/>
  <c r="R510" i="16"/>
  <c r="Z509" i="16"/>
  <c r="Z508" i="16"/>
  <c r="Z507" i="16"/>
  <c r="Z506" i="16"/>
  <c r="Z505" i="16"/>
  <c r="Z504" i="16"/>
  <c r="Z503" i="16"/>
  <c r="R503" i="16"/>
  <c r="Z502" i="16"/>
  <c r="Z501" i="16"/>
  <c r="Z500" i="16"/>
  <c r="Z499" i="16"/>
  <c r="Z498" i="16"/>
  <c r="R498" i="16"/>
  <c r="Z497" i="16"/>
  <c r="Z496" i="16"/>
  <c r="Z495" i="16"/>
  <c r="R495" i="16"/>
  <c r="Z494" i="16"/>
  <c r="Z493" i="16"/>
  <c r="Z492" i="16"/>
  <c r="Z491" i="16"/>
  <c r="Z490" i="16"/>
  <c r="Z489" i="16"/>
  <c r="Z488" i="16"/>
  <c r="Z487" i="16"/>
  <c r="Z486" i="16"/>
  <c r="R486" i="16"/>
  <c r="Z485" i="16"/>
  <c r="R485" i="16"/>
  <c r="Z484" i="16"/>
  <c r="Z483" i="16"/>
  <c r="Z482" i="16"/>
  <c r="Z481" i="16"/>
  <c r="Z480" i="16"/>
  <c r="R480" i="16"/>
  <c r="Z479" i="16"/>
  <c r="R479" i="16"/>
  <c r="Z478" i="16"/>
  <c r="Z477" i="16"/>
  <c r="R477" i="16"/>
  <c r="Z476" i="16"/>
  <c r="R476" i="16"/>
  <c r="Z475" i="16"/>
  <c r="R475" i="16"/>
  <c r="Z474" i="16"/>
  <c r="R474" i="16"/>
  <c r="Z473" i="16"/>
  <c r="Z472" i="16"/>
  <c r="Z471" i="16"/>
  <c r="Z470" i="16"/>
  <c r="R470" i="16"/>
  <c r="Z469" i="16"/>
  <c r="R469" i="16"/>
  <c r="Z468" i="16"/>
  <c r="R468" i="16"/>
  <c r="Z467" i="16"/>
  <c r="R467" i="16"/>
  <c r="Z466" i="16"/>
  <c r="R466" i="16"/>
  <c r="Z465" i="16"/>
  <c r="R465" i="16"/>
  <c r="Z464" i="16"/>
  <c r="R464" i="16"/>
  <c r="Z463" i="16"/>
  <c r="R463" i="16"/>
  <c r="Z462" i="16"/>
  <c r="Z461" i="16"/>
  <c r="R461" i="16"/>
  <c r="Z460" i="16"/>
  <c r="Z459" i="16"/>
  <c r="Z458" i="16"/>
  <c r="Z457" i="16"/>
  <c r="Z456" i="16"/>
  <c r="Z455" i="16"/>
  <c r="R455" i="16"/>
  <c r="Z454" i="16"/>
  <c r="R454" i="16"/>
  <c r="Z453" i="16"/>
  <c r="R453" i="16"/>
  <c r="Z452" i="16"/>
  <c r="R452" i="16"/>
  <c r="Z451" i="16"/>
  <c r="R451" i="16"/>
  <c r="Z450" i="16"/>
  <c r="Z449" i="16"/>
  <c r="Z448" i="16"/>
  <c r="R448" i="16"/>
  <c r="Z447" i="16"/>
  <c r="Z446" i="16"/>
  <c r="R446" i="16"/>
  <c r="Z445" i="16"/>
  <c r="Z444" i="16"/>
  <c r="Z443" i="16"/>
  <c r="Z442" i="16"/>
  <c r="Z441" i="16"/>
  <c r="Z440" i="16"/>
  <c r="Z439" i="16"/>
  <c r="Z438" i="16"/>
  <c r="Z437" i="16"/>
  <c r="Z436" i="16"/>
  <c r="Z435" i="16"/>
  <c r="Z434" i="16"/>
  <c r="Z433" i="16"/>
  <c r="Z432" i="16"/>
  <c r="Z431" i="16"/>
  <c r="Z430" i="16"/>
  <c r="Z429" i="16"/>
  <c r="Z428" i="16"/>
  <c r="Z427" i="16"/>
  <c r="Z426" i="16"/>
  <c r="R426" i="16"/>
  <c r="Z425" i="16"/>
  <c r="Z424" i="16"/>
  <c r="Z423" i="16"/>
  <c r="Z422" i="16"/>
  <c r="Z421" i="16"/>
  <c r="R421" i="16"/>
  <c r="Z420" i="16"/>
  <c r="R420" i="16"/>
  <c r="Z419" i="16"/>
  <c r="R419" i="16"/>
  <c r="Z418" i="16"/>
  <c r="R418" i="16"/>
  <c r="Z417" i="16"/>
  <c r="Z416" i="16"/>
  <c r="Z415" i="16"/>
  <c r="Z414" i="16"/>
  <c r="Z413" i="16"/>
  <c r="Z412" i="16"/>
  <c r="Z411" i="16"/>
  <c r="Z410" i="16"/>
  <c r="Z409" i="16"/>
  <c r="Z408" i="16"/>
  <c r="R408" i="16"/>
  <c r="Z407" i="16"/>
  <c r="R407" i="16"/>
  <c r="Z406" i="16"/>
  <c r="R406" i="16"/>
  <c r="Z405" i="16"/>
  <c r="R405" i="16"/>
  <c r="Z404" i="16"/>
  <c r="R404" i="16"/>
  <c r="Z403" i="16"/>
  <c r="Z402" i="16"/>
  <c r="Z401" i="16"/>
  <c r="Z400" i="16"/>
  <c r="Z399" i="16"/>
  <c r="R399" i="16"/>
  <c r="Z398" i="16"/>
  <c r="R398" i="16"/>
  <c r="Z397" i="16"/>
  <c r="Z396" i="16"/>
  <c r="Z395" i="16"/>
  <c r="R395" i="16"/>
  <c r="Z394" i="16"/>
  <c r="Z393" i="16"/>
  <c r="Z392" i="16"/>
  <c r="R392" i="16"/>
  <c r="Z391" i="16"/>
  <c r="R391" i="16"/>
  <c r="Z390" i="16"/>
  <c r="R390" i="16"/>
  <c r="Z389" i="16"/>
  <c r="R389" i="16"/>
  <c r="Z388" i="16"/>
  <c r="R388" i="16"/>
  <c r="Z387" i="16"/>
  <c r="Z386" i="16"/>
  <c r="Z385" i="16"/>
  <c r="Z384" i="16"/>
  <c r="Z383" i="16"/>
  <c r="Z382" i="16"/>
  <c r="Z381" i="16"/>
  <c r="Z380" i="16"/>
  <c r="Z379" i="16"/>
  <c r="Z378" i="16"/>
  <c r="Z377" i="16"/>
  <c r="Z376" i="16"/>
  <c r="Z375" i="16"/>
  <c r="Z374" i="16"/>
  <c r="Z373" i="16"/>
  <c r="Z372" i="16"/>
  <c r="Z371" i="16"/>
  <c r="Z370" i="16"/>
  <c r="Z369" i="16"/>
  <c r="Z368" i="16"/>
  <c r="Z367" i="16"/>
  <c r="Z366" i="16"/>
  <c r="Z365" i="16"/>
  <c r="Z364" i="16"/>
  <c r="Z363" i="16"/>
  <c r="Z362" i="16"/>
  <c r="Z361" i="16"/>
  <c r="Z360" i="16"/>
  <c r="Z359" i="16"/>
  <c r="Z358" i="16"/>
  <c r="Z357" i="16"/>
  <c r="Z356" i="16"/>
  <c r="Z355" i="16"/>
  <c r="Z354" i="16"/>
  <c r="R354" i="16"/>
  <c r="Z353" i="16"/>
  <c r="Z352" i="16"/>
  <c r="R352" i="16"/>
  <c r="Z351" i="16"/>
  <c r="Z350" i="16"/>
  <c r="Z349" i="16"/>
  <c r="Z348" i="16"/>
  <c r="Z347" i="16"/>
  <c r="Z346" i="16"/>
  <c r="Z345" i="16"/>
  <c r="Z344" i="16"/>
  <c r="Z343" i="16"/>
  <c r="Z342" i="16"/>
  <c r="Z341" i="16"/>
  <c r="Z340" i="16"/>
  <c r="Z339" i="16"/>
  <c r="Z338" i="16"/>
  <c r="Z337" i="16"/>
  <c r="Z336" i="16"/>
  <c r="R336" i="16"/>
  <c r="Z335" i="16"/>
  <c r="Z334" i="16"/>
  <c r="Z333" i="16"/>
  <c r="Z332" i="16"/>
  <c r="Z331" i="16"/>
  <c r="Z330" i="16"/>
  <c r="R330" i="16"/>
  <c r="Z329" i="16"/>
  <c r="Z328" i="16"/>
  <c r="Z327" i="16"/>
  <c r="Z326" i="16"/>
  <c r="Z325" i="16"/>
  <c r="Z324" i="16"/>
  <c r="Z323" i="16"/>
  <c r="Z322" i="16"/>
  <c r="Z321" i="16"/>
  <c r="Z320" i="16"/>
  <c r="Z319" i="16"/>
  <c r="Z318" i="16"/>
  <c r="Z317" i="16"/>
  <c r="Z316" i="16"/>
  <c r="R316" i="16"/>
  <c r="Z315" i="16"/>
  <c r="R315" i="16"/>
  <c r="Z314" i="16"/>
  <c r="Z313" i="16"/>
  <c r="Z312" i="16"/>
  <c r="Z311" i="16"/>
  <c r="Z310" i="16"/>
  <c r="Z309" i="16"/>
  <c r="Z308" i="16"/>
  <c r="Z307" i="16"/>
  <c r="Z306" i="16"/>
  <c r="Z305" i="16"/>
  <c r="Z304" i="16"/>
  <c r="Z303" i="16"/>
  <c r="R303" i="16"/>
  <c r="Z302" i="16"/>
  <c r="R302" i="16"/>
  <c r="Z301" i="16"/>
  <c r="Z300" i="16"/>
  <c r="Z299" i="16"/>
  <c r="Z298" i="16"/>
  <c r="Z297" i="16"/>
  <c r="Z296" i="16"/>
  <c r="R296" i="16"/>
  <c r="Z295" i="16"/>
  <c r="Z294" i="16"/>
  <c r="Z293" i="16"/>
  <c r="Z292" i="16"/>
  <c r="Z291" i="16"/>
  <c r="Z290" i="16"/>
  <c r="Z289" i="16"/>
  <c r="Z288" i="16"/>
  <c r="Z287" i="16"/>
  <c r="Z286" i="16"/>
  <c r="Z285" i="16"/>
  <c r="Z284" i="16"/>
  <c r="Z283" i="16"/>
  <c r="R283" i="16"/>
  <c r="Z282" i="16"/>
  <c r="Z281" i="16"/>
  <c r="Z280" i="16"/>
  <c r="Z279" i="16"/>
  <c r="Z278" i="16"/>
  <c r="Z277" i="16"/>
  <c r="Z276" i="16"/>
  <c r="Z275" i="16"/>
  <c r="Z274" i="16"/>
  <c r="Z273" i="16"/>
  <c r="Z272" i="16"/>
  <c r="Z271" i="16"/>
  <c r="Z270" i="16"/>
  <c r="Z269" i="16"/>
  <c r="Z268" i="16"/>
  <c r="Z267" i="16"/>
  <c r="Z266" i="16"/>
  <c r="Z265" i="16"/>
  <c r="Z264" i="16"/>
  <c r="Z263" i="16"/>
  <c r="Z262" i="16"/>
  <c r="Z261" i="16"/>
  <c r="Z260" i="16"/>
  <c r="Z259" i="16"/>
  <c r="Z258" i="16"/>
  <c r="Z257" i="16"/>
  <c r="Z256" i="16"/>
  <c r="Z255" i="16"/>
  <c r="Z254" i="16"/>
  <c r="Z253" i="16"/>
  <c r="Z252" i="16"/>
  <c r="Z251" i="16"/>
  <c r="Z250" i="16"/>
  <c r="Z249" i="16"/>
  <c r="Z248" i="16"/>
  <c r="Z247" i="16"/>
  <c r="Z246" i="16"/>
  <c r="Z245" i="16"/>
  <c r="Z244" i="16"/>
  <c r="Z243" i="16"/>
  <c r="Z242" i="16"/>
  <c r="Z241" i="16"/>
  <c r="Z240" i="16"/>
  <c r="Z239" i="16"/>
  <c r="Z238" i="16"/>
  <c r="Z237" i="16"/>
  <c r="Z236" i="16"/>
  <c r="Z235" i="16"/>
  <c r="Z234" i="16"/>
  <c r="Z233" i="16"/>
  <c r="Z232" i="16"/>
  <c r="Z231" i="16"/>
  <c r="R231" i="16"/>
  <c r="Z230" i="16"/>
  <c r="Z229" i="16"/>
  <c r="Z228" i="16"/>
  <c r="Z227" i="16"/>
  <c r="Z226" i="16"/>
  <c r="Z225" i="16"/>
  <c r="Z224" i="16"/>
  <c r="Z223" i="16"/>
  <c r="Z222" i="16"/>
  <c r="Z221" i="16"/>
  <c r="Z220" i="16"/>
  <c r="Z219" i="16"/>
  <c r="Z218" i="16"/>
  <c r="Z217" i="16"/>
  <c r="Z216" i="16"/>
  <c r="R216" i="16"/>
  <c r="Z215" i="16"/>
  <c r="R215" i="16"/>
  <c r="Z214" i="16"/>
  <c r="Z213" i="16"/>
  <c r="Z212" i="16"/>
  <c r="Z211" i="16"/>
  <c r="R211" i="16"/>
  <c r="Z210" i="16"/>
  <c r="Z209" i="16"/>
  <c r="Z208" i="16"/>
  <c r="Z207" i="16"/>
  <c r="Z206" i="16"/>
  <c r="Z205" i="16"/>
  <c r="Z204" i="16"/>
  <c r="R204" i="16"/>
  <c r="Z203" i="16"/>
  <c r="Z202" i="16"/>
  <c r="R202" i="16"/>
  <c r="Z201" i="16"/>
  <c r="Z200" i="16"/>
  <c r="Z199" i="16"/>
  <c r="Z198" i="16"/>
  <c r="Z197" i="16"/>
  <c r="R197" i="16"/>
  <c r="Z196" i="16"/>
  <c r="R196" i="16"/>
  <c r="Z195" i="16"/>
  <c r="R195" i="16"/>
  <c r="Z194" i="16"/>
  <c r="Z193" i="16"/>
  <c r="R193" i="16"/>
  <c r="Z192" i="16"/>
  <c r="R192" i="16"/>
  <c r="Z191" i="16"/>
  <c r="R191" i="16"/>
  <c r="Z190" i="16"/>
  <c r="R190" i="16"/>
  <c r="Z189" i="16"/>
  <c r="R189" i="16"/>
  <c r="Z188" i="16"/>
  <c r="R188" i="16"/>
  <c r="Z187" i="16"/>
  <c r="Z186" i="16"/>
  <c r="Z185" i="16"/>
  <c r="Z184" i="16"/>
  <c r="Z183" i="16"/>
  <c r="Z182" i="16"/>
  <c r="Z181" i="16"/>
  <c r="Z180" i="16"/>
  <c r="R180" i="16"/>
  <c r="Z179" i="16"/>
  <c r="Z178" i="16"/>
  <c r="Z177" i="16"/>
  <c r="Z176" i="16"/>
  <c r="Z175" i="16"/>
  <c r="Z174" i="16"/>
  <c r="Z173" i="16"/>
  <c r="Z172" i="16"/>
  <c r="Z171" i="16"/>
  <c r="Z170" i="16"/>
  <c r="Z169" i="16"/>
  <c r="Z168" i="16"/>
  <c r="Z167" i="16"/>
  <c r="Z166" i="16"/>
  <c r="Z165" i="16"/>
  <c r="Z164" i="16"/>
  <c r="Z163" i="16"/>
  <c r="Z162" i="16"/>
  <c r="Z161" i="16"/>
  <c r="Z160" i="16"/>
  <c r="Z159" i="16"/>
  <c r="Z158" i="16"/>
  <c r="Z157" i="16"/>
  <c r="Z156" i="16"/>
  <c r="Z155" i="16"/>
  <c r="Z154" i="16"/>
  <c r="Z153" i="16"/>
  <c r="Z152" i="16"/>
  <c r="Z151" i="16"/>
  <c r="Z150" i="16"/>
  <c r="Z149" i="16"/>
  <c r="Z148" i="16"/>
  <c r="Z147" i="16"/>
  <c r="Z146" i="16"/>
  <c r="Z145" i="16"/>
  <c r="Z144" i="16"/>
  <c r="Z143" i="16"/>
  <c r="R143" i="16"/>
  <c r="Z142" i="16"/>
  <c r="R142" i="16"/>
  <c r="Z141" i="16"/>
  <c r="R141" i="16"/>
  <c r="Z140" i="16"/>
  <c r="R140" i="16"/>
  <c r="Z139" i="16"/>
  <c r="R139" i="16"/>
  <c r="Z138" i="16"/>
  <c r="R138" i="16"/>
  <c r="Z137" i="16"/>
  <c r="Z136" i="16"/>
  <c r="Z135" i="16"/>
  <c r="Z134" i="16"/>
  <c r="Z133" i="16"/>
  <c r="Z132" i="16"/>
  <c r="Z131" i="16"/>
  <c r="Z130" i="16"/>
  <c r="Z129" i="16"/>
  <c r="Z128" i="16"/>
  <c r="Z127" i="16"/>
  <c r="Z126" i="16"/>
  <c r="Z125" i="16"/>
  <c r="Z124" i="16"/>
  <c r="Z123" i="16"/>
  <c r="Z122" i="16"/>
  <c r="Z121" i="16"/>
  <c r="Z120" i="16"/>
  <c r="Z119" i="16"/>
  <c r="Z118" i="16"/>
  <c r="Z117" i="16"/>
  <c r="Z116" i="16"/>
  <c r="R116" i="16"/>
  <c r="Z115" i="16"/>
  <c r="R115" i="16"/>
  <c r="Z114" i="16"/>
  <c r="R114" i="16"/>
  <c r="Z113" i="16"/>
  <c r="R113" i="16"/>
  <c r="Z112" i="16"/>
  <c r="Z111" i="16"/>
  <c r="Z110" i="16"/>
  <c r="R110" i="16"/>
  <c r="Z109" i="16"/>
  <c r="R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R80" i="16"/>
  <c r="Z79" i="16"/>
  <c r="Z78" i="16"/>
  <c r="Z77" i="16"/>
  <c r="R77" i="16"/>
  <c r="Z76" i="16"/>
  <c r="R76" i="16"/>
  <c r="Z75" i="16"/>
  <c r="Z74" i="16"/>
  <c r="Z73" i="16"/>
  <c r="Z72" i="16"/>
  <c r="Z71" i="16"/>
  <c r="Z70" i="16"/>
  <c r="Z69" i="16"/>
  <c r="Z68" i="16"/>
  <c r="Z67" i="16"/>
  <c r="Z66" i="16"/>
  <c r="Z65" i="16"/>
  <c r="Z64" i="16"/>
  <c r="Z63" i="16"/>
  <c r="Z62" i="16"/>
  <c r="Z61" i="16"/>
  <c r="Z60" i="16"/>
  <c r="Z59" i="16"/>
  <c r="Z58" i="16"/>
  <c r="Z57" i="16"/>
  <c r="Z56" i="16"/>
  <c r="Z55" i="16"/>
  <c r="Z54" i="16"/>
  <c r="Z53" i="16"/>
  <c r="Z52" i="16"/>
  <c r="Z51" i="16"/>
  <c r="R51" i="16"/>
  <c r="Z50" i="16"/>
  <c r="R50" i="16"/>
  <c r="Z49" i="16"/>
  <c r="R49" i="16"/>
  <c r="Z48" i="16"/>
  <c r="R48" i="16"/>
  <c r="Z47" i="16"/>
  <c r="R47" i="16"/>
  <c r="Z46" i="16"/>
  <c r="R46" i="16"/>
  <c r="Z45" i="16"/>
  <c r="Z44" i="16"/>
  <c r="R44" i="16"/>
  <c r="Z43" i="16"/>
  <c r="R43" i="16"/>
  <c r="Z42" i="16"/>
  <c r="R42" i="16"/>
  <c r="Z41" i="16"/>
  <c r="Z40" i="16"/>
  <c r="Z39" i="16"/>
  <c r="Z38" i="16"/>
  <c r="Z37" i="16"/>
  <c r="Z36" i="16"/>
  <c r="Z35" i="16"/>
  <c r="Z34" i="16"/>
  <c r="Z33" i="16"/>
  <c r="Z32" i="16"/>
  <c r="R32" i="16"/>
  <c r="Z31" i="16"/>
  <c r="R31" i="16"/>
  <c r="Z30" i="16"/>
  <c r="R30" i="16"/>
  <c r="Z29" i="16"/>
  <c r="R29" i="16"/>
  <c r="Z28" i="16"/>
  <c r="Z27" i="16"/>
  <c r="R27" i="16"/>
  <c r="Z26" i="16"/>
  <c r="R26" i="16"/>
  <c r="Z25" i="16"/>
  <c r="R25" i="16"/>
  <c r="Z24" i="16"/>
  <c r="Z23" i="16"/>
  <c r="R23" i="16"/>
  <c r="Z22" i="16"/>
  <c r="R22" i="16"/>
  <c r="Z21" i="16"/>
  <c r="R21" i="16"/>
  <c r="Z20" i="16"/>
  <c r="Z19" i="16"/>
  <c r="Z18" i="16"/>
  <c r="Z17" i="16"/>
  <c r="Z16" i="16"/>
  <c r="Z15" i="16"/>
  <c r="Z14" i="16"/>
  <c r="Z13" i="16"/>
  <c r="Z12" i="16"/>
  <c r="Z11" i="16"/>
  <c r="Z10" i="16"/>
  <c r="Z9" i="16"/>
  <c r="Z8" i="16"/>
  <c r="Z7" i="16"/>
  <c r="Z6" i="16"/>
  <c r="Z5" i="16"/>
  <c r="Z4" i="16"/>
  <c r="Q25" i="2" l="1"/>
  <c r="H8" i="17"/>
  <c r="H36" i="17"/>
  <c r="H7" i="17"/>
  <c r="H6" i="17"/>
  <c r="H10" i="17"/>
  <c r="H5" i="17"/>
  <c r="Q14" i="2"/>
  <c r="Q23" i="2"/>
  <c r="Q22" i="2"/>
  <c r="Q12" i="2"/>
  <c r="Q9" i="2"/>
  <c r="Q15" i="2"/>
  <c r="Q6" i="2"/>
  <c r="Q3" i="2"/>
  <c r="Q24" i="2"/>
  <c r="Q13" i="2"/>
  <c r="Q18" i="2"/>
  <c r="Q8" i="2"/>
  <c r="Q17" i="2"/>
  <c r="Q21" i="2"/>
  <c r="Q10" i="2"/>
  <c r="Q11" i="2"/>
  <c r="Q5" i="2"/>
  <c r="Q2" i="2"/>
  <c r="Q7" i="2"/>
  <c r="Q4" i="2"/>
  <c r="Q20" i="2"/>
  <c r="Q19" i="2"/>
  <c r="Q16" i="2"/>
</calcChain>
</file>

<file path=xl/comments1.xml><?xml version="1.0" encoding="utf-8"?>
<comments xmlns="http://schemas.openxmlformats.org/spreadsheetml/2006/main">
  <authors>
    <author>Author</author>
  </authors>
  <commentList>
    <comment ref="O582" authorId="0" shapeId="0">
      <text>
        <r>
          <rPr>
            <b/>
            <sz val="8"/>
            <color indexed="81"/>
            <rFont val="Tahoma"/>
            <family val="2"/>
          </rPr>
          <t xml:space="preserve">HD-MT-8PaH-TxGr
</t>
        </r>
      </text>
    </comment>
  </commentList>
</comments>
</file>

<file path=xl/sharedStrings.xml><?xml version="1.0" encoding="utf-8"?>
<sst xmlns="http://schemas.openxmlformats.org/spreadsheetml/2006/main" count="31921" uniqueCount="8774">
  <si>
    <t>Electrical</t>
  </si>
  <si>
    <t>Mechanical</t>
  </si>
  <si>
    <t>Part Number</t>
  </si>
  <si>
    <t>Catagory</t>
  </si>
  <si>
    <t>Sub Catagory</t>
  </si>
  <si>
    <t>Description</t>
  </si>
  <si>
    <t>Minimum Stock Level</t>
  </si>
  <si>
    <t>Minimum order quantity</t>
  </si>
  <si>
    <t>Quantity Initial</t>
  </si>
  <si>
    <t>Quantity Total</t>
  </si>
  <si>
    <t>Default Location</t>
  </si>
  <si>
    <t>ELC</t>
  </si>
  <si>
    <t>MEH</t>
  </si>
  <si>
    <t>PNU</t>
  </si>
  <si>
    <t>BLT</t>
  </si>
  <si>
    <t>BRG</t>
  </si>
  <si>
    <t>KNV</t>
  </si>
  <si>
    <t>RLS</t>
  </si>
  <si>
    <t>TPE</t>
  </si>
  <si>
    <t>LUB</t>
  </si>
  <si>
    <t>CHN</t>
  </si>
  <si>
    <t>MSC</t>
  </si>
  <si>
    <t>Location Reference</t>
  </si>
  <si>
    <t>Part number</t>
  </si>
  <si>
    <t>Type of transaction</t>
  </si>
  <si>
    <t>Quantity</t>
  </si>
  <si>
    <t>Unit of Measure</t>
  </si>
  <si>
    <t>Dollar</t>
  </si>
  <si>
    <t>USD</t>
  </si>
  <si>
    <t>AED</t>
  </si>
  <si>
    <t>EUR</t>
  </si>
  <si>
    <t>Dirham</t>
  </si>
  <si>
    <t>Euro</t>
  </si>
  <si>
    <t>Audit Catagory</t>
  </si>
  <si>
    <t>Machine</t>
  </si>
  <si>
    <t>Date</t>
  </si>
  <si>
    <t>Request for quotation(RFQ)</t>
  </si>
  <si>
    <t>A</t>
  </si>
  <si>
    <t>Waiting for quote approval</t>
  </si>
  <si>
    <t>B</t>
  </si>
  <si>
    <t>Order placed</t>
  </si>
  <si>
    <t>C</t>
  </si>
  <si>
    <t>Received(waiting for Invoice)</t>
  </si>
  <si>
    <t>D</t>
  </si>
  <si>
    <t>Invoice submitted to Accounts</t>
  </si>
  <si>
    <t>E</t>
  </si>
  <si>
    <t>Cancelled</t>
  </si>
  <si>
    <t>F</t>
  </si>
  <si>
    <t>38R-1</t>
  </si>
  <si>
    <t>38R-2</t>
  </si>
  <si>
    <t>38R-3</t>
  </si>
  <si>
    <t>MOH</t>
  </si>
  <si>
    <t>327G</t>
  </si>
  <si>
    <t>97G</t>
  </si>
  <si>
    <t>99G</t>
  </si>
  <si>
    <t>MOZ-E</t>
  </si>
  <si>
    <t>GTO-52</t>
  </si>
  <si>
    <t>B &amp; B</t>
  </si>
  <si>
    <t>POLAR</t>
  </si>
  <si>
    <t>DIE CUTTING PRESS # 1</t>
  </si>
  <si>
    <t>DIE CUTTING PRESS # 2</t>
  </si>
  <si>
    <t>DIE CUTTING PRESS # 3</t>
  </si>
  <si>
    <t>SHEETER</t>
  </si>
  <si>
    <t>CHEETA</t>
  </si>
  <si>
    <t>B2S/HK</t>
  </si>
  <si>
    <t>PACKING # 1 (SMALL BANKER)</t>
  </si>
  <si>
    <t>PACKING # 2 (BIG BANKER)</t>
  </si>
  <si>
    <t>PACKING # 3 (P&amp;S SEAL)</t>
  </si>
  <si>
    <t>SHRINK WRAPPING</t>
  </si>
  <si>
    <t>AIR COMPRESSOR/VACUUM</t>
  </si>
  <si>
    <t>STOCK ITEM</t>
  </si>
  <si>
    <t>DIES</t>
  </si>
  <si>
    <t>COMMON</t>
  </si>
  <si>
    <t>PACKING PFANKUCH</t>
  </si>
  <si>
    <t>MOW</t>
  </si>
  <si>
    <t>SO</t>
  </si>
  <si>
    <t>IMAGE SETTER</t>
  </si>
  <si>
    <t>PLATE/STENCIL MAKER</t>
  </si>
  <si>
    <t>PATCHER</t>
  </si>
  <si>
    <t>PUNCHER</t>
  </si>
  <si>
    <t>DIAMOND PRINTING PRESS</t>
  </si>
  <si>
    <t>CLASP MACHINE</t>
  </si>
  <si>
    <t>DRILL MACHINE</t>
  </si>
  <si>
    <t>6 COLOR PRINTING M/C SM-74</t>
  </si>
  <si>
    <t xml:space="preserve">SHANKLIN SHRINK WRAPPING </t>
  </si>
  <si>
    <t>Flexible Knives</t>
  </si>
  <si>
    <t>Hard Knives 327G</t>
  </si>
  <si>
    <t>High Dies</t>
  </si>
  <si>
    <t>Miscellaneous</t>
  </si>
  <si>
    <t>Capital Expense</t>
  </si>
  <si>
    <t>R &amp; M</t>
  </si>
  <si>
    <t>Prod Supply</t>
  </si>
  <si>
    <t>Stock</t>
  </si>
  <si>
    <t>SUMMARY OF PURCHASE ORDER</t>
  </si>
  <si>
    <t>SOURCE</t>
  </si>
  <si>
    <t>VENDOR'S DOCUMENT REF</t>
  </si>
  <si>
    <t>Disp</t>
  </si>
  <si>
    <t>SR NO</t>
  </si>
  <si>
    <t>DATE</t>
  </si>
  <si>
    <t>IMPORT / LOCAL</t>
  </si>
  <si>
    <t>Expense Code</t>
  </si>
  <si>
    <t>Sub expense Code</t>
  </si>
  <si>
    <t>Machine Ref</t>
  </si>
  <si>
    <t>P.R NUMBER</t>
  </si>
  <si>
    <t>Supplier Number</t>
  </si>
  <si>
    <t>VENDOR</t>
  </si>
  <si>
    <t>QUOTATION REF</t>
  </si>
  <si>
    <t>INVOICE REF</t>
  </si>
  <si>
    <t>MANUFACTURER PART NO</t>
  </si>
  <si>
    <t>DESCRIPTION</t>
  </si>
  <si>
    <t>QTY</t>
  </si>
  <si>
    <t>UOM</t>
  </si>
  <si>
    <t>TOTAL INVOICE VALUE</t>
  </si>
  <si>
    <t>CURRENCY</t>
  </si>
  <si>
    <t>COMPLETION DATE</t>
  </si>
  <si>
    <t>SHIPMENT DOC</t>
  </si>
  <si>
    <t>REMARKS</t>
  </si>
  <si>
    <t>Status</t>
  </si>
  <si>
    <t>LOCAL</t>
  </si>
  <si>
    <t>SA8026</t>
  </si>
  <si>
    <t>PC</t>
  </si>
  <si>
    <t>AL BONY PRINTING PRESS</t>
  </si>
  <si>
    <t>IMPORT</t>
  </si>
  <si>
    <t>38R</t>
  </si>
  <si>
    <t>01</t>
  </si>
  <si>
    <t>EURO</t>
  </si>
  <si>
    <t>05</t>
  </si>
  <si>
    <t>HEIDELBERG GULF EST</t>
  </si>
  <si>
    <t>08</t>
  </si>
  <si>
    <t>CURTIUS TRADING INC</t>
  </si>
  <si>
    <t>06</t>
  </si>
  <si>
    <t>AIR COMPRESSOR</t>
  </si>
  <si>
    <t>B2S</t>
  </si>
  <si>
    <t>BOND MOUNT 820T38A</t>
  </si>
  <si>
    <t>CUSHIONING BOND TAPE</t>
  </si>
  <si>
    <t>ROLL</t>
  </si>
  <si>
    <t>02</t>
  </si>
  <si>
    <t>03</t>
  </si>
  <si>
    <t>MUHAMMAD IQBAL WOOD WORKS</t>
  </si>
  <si>
    <t>AL HAMAR GULF EST</t>
  </si>
  <si>
    <t>SET</t>
  </si>
  <si>
    <t>04</t>
  </si>
  <si>
    <t>A-1 ENGINEERING</t>
  </si>
  <si>
    <t>STOCK</t>
  </si>
  <si>
    <t>12</t>
  </si>
  <si>
    <t>VISION GATE ELECTRONICS</t>
  </si>
  <si>
    <t>07</t>
  </si>
  <si>
    <t>AL SHIRAWI ENTERPRISES LLC</t>
  </si>
  <si>
    <t>GRAINGER INC</t>
  </si>
  <si>
    <t>TESA 4863 EMBOSSED ROLLER GRIP TAPE</t>
  </si>
  <si>
    <t>P/N: 1318</t>
  </si>
  <si>
    <t>PRINTING MACHINE SERVICES</t>
  </si>
  <si>
    <t>NEWART LIMITED</t>
  </si>
  <si>
    <t>SHARPENING OF CORNER CUTTER</t>
  </si>
  <si>
    <t>GBP</t>
  </si>
  <si>
    <t>162 X 240 MM</t>
  </si>
  <si>
    <t>COMPRESSOR</t>
  </si>
  <si>
    <t>DIE PRESS</t>
  </si>
  <si>
    <t>16 X 12</t>
  </si>
  <si>
    <t>BOODAI TRADING COMPANY LLC</t>
  </si>
  <si>
    <t>144046-005</t>
  </si>
  <si>
    <t>BOLT</t>
  </si>
  <si>
    <t>3</t>
  </si>
  <si>
    <t>114 X 234 MM</t>
  </si>
  <si>
    <t>110 X 220 MM</t>
  </si>
  <si>
    <t>E-MAIL</t>
  </si>
  <si>
    <t>TRANSIT CHANNEL SIDE</t>
  </si>
  <si>
    <t>TRANSIT CHANNEL FRONT</t>
  </si>
  <si>
    <t>STRAIGHT CUT OFF KNIFE</t>
  </si>
  <si>
    <t>PROFILE KNIFE</t>
  </si>
  <si>
    <t>SHARPENING OF ENVELOPE DIE</t>
  </si>
  <si>
    <t>TESA 4863</t>
  </si>
  <si>
    <t>50</t>
  </si>
  <si>
    <t>FAMCO</t>
  </si>
  <si>
    <t>DRUM</t>
  </si>
  <si>
    <t>FREIGHT</t>
  </si>
  <si>
    <t>DIRECT ORDER</t>
  </si>
  <si>
    <t>PRINTECH MIDDLE EAST LLC</t>
  </si>
  <si>
    <t>BIO CLEAN GEL 750ml</t>
  </si>
  <si>
    <t>11</t>
  </si>
  <si>
    <t>24</t>
  </si>
  <si>
    <t>18</t>
  </si>
  <si>
    <t>CORNER BLOCK</t>
  </si>
  <si>
    <t>MSFG-24VDC/42AC SOLENOID COIL</t>
  </si>
  <si>
    <t>IDEAL SERVICES LLC</t>
  </si>
  <si>
    <t>PEST CONTROL</t>
  </si>
  <si>
    <t>PACKING</t>
  </si>
  <si>
    <t>CHAUDHARY BROTHERS ENGINEERING WORKS</t>
  </si>
  <si>
    <t>PROBE MANUFACTURING LLC</t>
  </si>
  <si>
    <t>AMERICAN HOLT CORP</t>
  </si>
  <si>
    <t>MOTION INDUSTRIES</t>
  </si>
  <si>
    <t>FORKLIFT</t>
  </si>
  <si>
    <t>NEW ENVELOPE DIE WITH CROSS BAR</t>
  </si>
  <si>
    <t>REFILLING OF FIRE EXTINGUISHERS</t>
  </si>
  <si>
    <t>110 X 232 MM</t>
  </si>
  <si>
    <t>PAIR</t>
  </si>
  <si>
    <t>BANK CHARGES</t>
  </si>
  <si>
    <t>10 X 7</t>
  </si>
  <si>
    <t>FUTURE SKY EQUIPMENT LLC</t>
  </si>
  <si>
    <t>OVERNIGHT SHIPPING CHARGES</t>
  </si>
  <si>
    <t>SHARPENING OF KNIVES</t>
  </si>
  <si>
    <t>S-229</t>
  </si>
  <si>
    <t>ULTRA MOLY SYNTHATIC EP RED BEARING GREASE NLGI"0"</t>
  </si>
  <si>
    <t>KG</t>
  </si>
  <si>
    <t>MOTA</t>
  </si>
  <si>
    <t>TESA 4204 CLEAR TAPE</t>
  </si>
  <si>
    <t>PERFECT TOOLS MOULDS FACTORY LLC</t>
  </si>
  <si>
    <t>SM-74</t>
  </si>
  <si>
    <t>PAIL</t>
  </si>
  <si>
    <t>17.5 X 14.5</t>
  </si>
  <si>
    <t>CASH PAID</t>
  </si>
  <si>
    <t>101111252020</t>
  </si>
  <si>
    <t>20/11/2011</t>
  </si>
  <si>
    <t>201111274060</t>
  </si>
  <si>
    <t>REFILLING OF DP 4.5 KG</t>
  </si>
  <si>
    <t>Supplier No</t>
  </si>
  <si>
    <t xml:space="preserve"> LOCAL / IMPORT</t>
  </si>
  <si>
    <t>ACTIVITY</t>
  </si>
  <si>
    <t>COMPANY NAME</t>
  </si>
  <si>
    <t>DISTRIBUTORS</t>
  </si>
  <si>
    <t>DETAIL OF PARTS</t>
  </si>
  <si>
    <t>CONTACT PERSON</t>
  </si>
  <si>
    <t>TEL NO</t>
  </si>
  <si>
    <t>MOBILE NO</t>
  </si>
  <si>
    <t>FAX NO</t>
  </si>
  <si>
    <t>POSTAL ADDRESS</t>
  </si>
  <si>
    <t>E-MAIL ADDRESS</t>
  </si>
  <si>
    <t>WEBSITE ADDRESS</t>
  </si>
  <si>
    <t>CITY</t>
  </si>
  <si>
    <t>COUNTRY</t>
  </si>
  <si>
    <t>SA8001</t>
  </si>
  <si>
    <t>DISTRIBUTORS &amp; SERVICE (PNEUMATICS)</t>
  </si>
  <si>
    <t>MECHATRONICS INDUSTRIAL EQUIPMENT LLC</t>
  </si>
  <si>
    <t>STABILUS, OMI, LINAK, FESTO, INDUAIR, JORC, TRELLEBROG</t>
  </si>
  <si>
    <t>PNEUMATIC PARTS, AIR COMPRESSORS, FILTERS, DRYERS, VLAVES, CYLINDERS, AUTOMATION</t>
  </si>
  <si>
    <t>+971-4-2674311</t>
  </si>
  <si>
    <t>+971-50-9191728    +971-50-6781749     +971-50-1817423</t>
  </si>
  <si>
    <t>+971-4-2674312</t>
  </si>
  <si>
    <t>P.O BOX: 19104, DUBAI</t>
  </si>
  <si>
    <t>mechtron@emirates.net.ae</t>
  </si>
  <si>
    <t>www.mechatronics.ae</t>
  </si>
  <si>
    <t>DUBAI</t>
  </si>
  <si>
    <t>UAE</t>
  </si>
  <si>
    <t>SA8002</t>
  </si>
  <si>
    <t>ENGINEERS &amp; CONTRACTORS (MECHANICAL)</t>
  </si>
  <si>
    <t>FITWELL METAL INDUSTRIES LLC</t>
  </si>
  <si>
    <t xml:space="preserve">STRUCTURAL DESIGN, SHEET METAL WORKS, MACHINE SHOP, FABRICATION, PAINTING &amp; BLASTING, ERECTION WORK, </t>
  </si>
  <si>
    <t>+971-4-3337442</t>
  </si>
  <si>
    <t>+971+50-4503027        +971-50-5595109              +971-50-8429679          +971-50-4503028</t>
  </si>
  <si>
    <t>+971-4-3337443</t>
  </si>
  <si>
    <t>P.O. BOX: 27457, DUBAI</t>
  </si>
  <si>
    <t>fitwel@emirates.net.ae</t>
  </si>
  <si>
    <t>www.fitwellmetal.com</t>
  </si>
  <si>
    <t>SB8003</t>
  </si>
  <si>
    <t>SURE TACK SYSTEMS (DIVISION OF CRIST CO)</t>
  </si>
  <si>
    <t>ALL TYPE OF GLUE SYSTEM SUPPLIERS</t>
  </si>
  <si>
    <t>001 770 926 3419</t>
  </si>
  <si>
    <t>001 770 926 4856</t>
  </si>
  <si>
    <t>201F BELL PLACE, WOODSTOCK, GA 30188-1672</t>
  </si>
  <si>
    <t>info@suretacksystems.com</t>
  </si>
  <si>
    <t>www.suretacksystems.com</t>
  </si>
  <si>
    <t>USA</t>
  </si>
  <si>
    <t>SB8004</t>
  </si>
  <si>
    <t>TRADING COMPANY</t>
  </si>
  <si>
    <t>Mrs. MYRIAM SOLIS</t>
  </si>
  <si>
    <t>001 404 352 1000</t>
  </si>
  <si>
    <t>001 404 352 9330</t>
  </si>
  <si>
    <t>486 MANGET STREET, MARIETTA, GA 30060 USA</t>
  </si>
  <si>
    <t>curtius@curtius.com</t>
  </si>
  <si>
    <t>SB8005</t>
  </si>
  <si>
    <t>ELECTRONICS</t>
  </si>
  <si>
    <t>TEK SUPPLY INC</t>
  </si>
  <si>
    <t>001 815 334 1688</t>
  </si>
  <si>
    <t>001 815 334 1370</t>
  </si>
  <si>
    <t>935C DIECMAN STREET, WOODSTOCK, IL 60098</t>
  </si>
  <si>
    <t>www.tek-supply.com</t>
  </si>
  <si>
    <t>SB8006</t>
  </si>
  <si>
    <t>BEST CUTTING DIE COMPANY</t>
  </si>
  <si>
    <t>MANUFACTURERS OF FLEXIBLE KNIVES FOR ENVELOPES INDUSTRY</t>
  </si>
  <si>
    <t>Mrs. TERI KORAB</t>
  </si>
  <si>
    <t>001 847 675 5522</t>
  </si>
  <si>
    <t>001 847 675 5617</t>
  </si>
  <si>
    <t>8080 McCORMICK BOULEVARD, SKOKIE, IL 60076-2982 USA</t>
  </si>
  <si>
    <t>info@bestcuttingdie.com</t>
  </si>
  <si>
    <t>SB8007</t>
  </si>
  <si>
    <t xml:space="preserve">MANUFACTURERS OF HARD KNIVES </t>
  </si>
  <si>
    <t>0044 (0) 8707 591 650</t>
  </si>
  <si>
    <t>0044 (0) 8707 591 651</t>
  </si>
  <si>
    <t>22 MANDERVELL ROAD, OADBY, LEICESTER LE2 5LQ, ENGLAND</t>
  </si>
  <si>
    <t>sales@newartltd.com</t>
  </si>
  <si>
    <t>www.newartltd.com</t>
  </si>
  <si>
    <t>UK</t>
  </si>
  <si>
    <t>SB8008</t>
  </si>
  <si>
    <t>WINDY CITY CUTTING DIE</t>
  </si>
  <si>
    <t>Mr. JANUSZ</t>
  </si>
  <si>
    <t>001 630 521 9410</t>
  </si>
  <si>
    <t>001 630 521 9420</t>
  </si>
  <si>
    <t>104-W-FOSTER AVE, BENSENVILLE, IL 60106, CHICAGO OHARE, USA</t>
  </si>
  <si>
    <t>SB8009</t>
  </si>
  <si>
    <t>WINKLER+DUNNEBIER AG</t>
  </si>
  <si>
    <t>MANUFACTURERS OF ENVELOPE MAKING MACHINES</t>
  </si>
  <si>
    <t>0049  263 184 577</t>
  </si>
  <si>
    <t>SOHLER WEG 65, 56564 NEUWIED, DEUTSCHLAND</t>
  </si>
  <si>
    <t>info@w-d.de</t>
  </si>
  <si>
    <t>www.w-d.de</t>
  </si>
  <si>
    <t>GERMAN</t>
  </si>
  <si>
    <t>SB8010</t>
  </si>
  <si>
    <t>001 847 588 5000</t>
  </si>
  <si>
    <t>001 847 588 5004</t>
  </si>
  <si>
    <t>DCOF FOUNTAIN INN, 101 SOUTHCHASE BLVD, FOUNTAIN INN SC 29644-9019, USA</t>
  </si>
  <si>
    <t>www.grainger.co</t>
  </si>
  <si>
    <t>SB8011</t>
  </si>
  <si>
    <t>UNICAST ENGINEERED URETHANE PRODUCTS</t>
  </si>
  <si>
    <t>MANUFACTURERS OF ALL TYPE OF RUBBER ROLLS AND FEED SEGMENTS FOR ENVELOPE MACHINES</t>
  </si>
  <si>
    <t>001 800 275 0818</t>
  </si>
  <si>
    <t>001 610 559 9010</t>
  </si>
  <si>
    <t>P.O. BOX 4627, EASTON, PA 18043, USA</t>
  </si>
  <si>
    <t>SB8012</t>
  </si>
  <si>
    <t>GARLAND MANUFACTURING COMPANY</t>
  </si>
  <si>
    <t>001 207 283 3693</t>
  </si>
  <si>
    <t>001 207 283 4834</t>
  </si>
  <si>
    <t>P.O BOX 538, SACO, MAINE 04072-0538, USA</t>
  </si>
  <si>
    <t>garland@garlandmfg.com</t>
  </si>
  <si>
    <t>www.garlandmfg.com</t>
  </si>
  <si>
    <t>SB8013</t>
  </si>
  <si>
    <t>McMASTER-CARR SUPPLY CO</t>
  </si>
  <si>
    <t>001 630 600 3600</t>
  </si>
  <si>
    <t>001 630 834 9427</t>
  </si>
  <si>
    <t>P.O. BOX 7690, CHICAGO, IL 60680-7690, USA</t>
  </si>
  <si>
    <t>chi.sales@mcmaster.com</t>
  </si>
  <si>
    <t>www.mcmaster.com</t>
  </si>
  <si>
    <t>SB8014</t>
  </si>
  <si>
    <t>service@motadistribution.com</t>
  </si>
  <si>
    <t>SB8015</t>
  </si>
  <si>
    <t>CHESHIRE ANILOX TECHNOLOGY LIMITED</t>
  </si>
  <si>
    <t>CHEMICAL FOR ANILOX ROLLER CLEANING</t>
  </si>
  <si>
    <t>0044 (0) 161 344 5558</t>
  </si>
  <si>
    <t>0044 (0) 161 330 9766</t>
  </si>
  <si>
    <t>FIFTH AVENUE, TAMESIDE PARK INDUSTRIAL ESTATE, DUKINFIELD, CHESHIRE, UK SK 16 4PP</t>
  </si>
  <si>
    <t>sales@cheshireengraving.co.uk</t>
  </si>
  <si>
    <t>www.cheshireengraving.com</t>
  </si>
  <si>
    <t>SA8016</t>
  </si>
  <si>
    <t>HABASIT</t>
  </si>
  <si>
    <t>DEALERS OF HABASIT BELTS &amp; EQUIPMENTS</t>
  </si>
  <si>
    <t>Mr. ABDUL BARI KHALID</t>
  </si>
  <si>
    <t>00971-6-5344225</t>
  </si>
  <si>
    <t>00971-55-4721672</t>
  </si>
  <si>
    <t>00971-6-5344226</t>
  </si>
  <si>
    <t>SHARJAH INDUSTRIAL AREA II, P.O. BOX 41050, UAE</t>
  </si>
  <si>
    <t>www.habasit.com , www.sedis.com</t>
  </si>
  <si>
    <t>SHARJAH</t>
  </si>
  <si>
    <t>SA8017</t>
  </si>
  <si>
    <t>HAND CLEANING GEL, LUBRICANTS, GREASE</t>
  </si>
  <si>
    <t>Mr. AYUB</t>
  </si>
  <si>
    <t>00971-4-3434202</t>
  </si>
  <si>
    <t>00971-50-6570165</t>
  </si>
  <si>
    <t>00971-4-3434272</t>
  </si>
  <si>
    <t>P.O. BOX 6426, DUBAI, UAE</t>
  </si>
  <si>
    <t>malhamar@emirates.net.ae</t>
  </si>
  <si>
    <t>SA8018</t>
  </si>
  <si>
    <t>UNISAFE FIRE PROTECTION SPECIALISTS LLC</t>
  </si>
  <si>
    <t>FIRE &amp; SAFETY CONTRACTING COMPANY</t>
  </si>
  <si>
    <t>Mr. ANDU</t>
  </si>
  <si>
    <t>00971-4-3339977</t>
  </si>
  <si>
    <t>00971-50-4760936,    00971-50-6540239</t>
  </si>
  <si>
    <t>00971-4-3339358</t>
  </si>
  <si>
    <t>P.O BOX: 31568, DUBAI, UAE</t>
  </si>
  <si>
    <t>unisafe@emirates.net.ae</t>
  </si>
  <si>
    <t>www.unisafedxb.com</t>
  </si>
  <si>
    <t>SA8019</t>
  </si>
  <si>
    <t>SERVICE OF FORK LIFT</t>
  </si>
  <si>
    <t>Mr. BABU</t>
  </si>
  <si>
    <t>00971-4-3718585</t>
  </si>
  <si>
    <t>00971-4-3389559</t>
  </si>
  <si>
    <t>P.O BOX: 7427, DUBAI, UAE</t>
  </si>
  <si>
    <t>ase@ase.ae</t>
  </si>
  <si>
    <t>www.alshirawienterprises.com</t>
  </si>
  <si>
    <t>SA8020</t>
  </si>
  <si>
    <t>EURO PACK TRADING EST LTD</t>
  </si>
  <si>
    <t>PACKAGING SOLUTION</t>
  </si>
  <si>
    <t>STOCKIST &amp; DISTRIBUTORS OF PACKING MACHINES, SYSTEM &amp; MATERIALS</t>
  </si>
  <si>
    <t>Mr. ALLWYN</t>
  </si>
  <si>
    <t>00971-4 -934468</t>
  </si>
  <si>
    <t>00971-50-5529738</t>
  </si>
  <si>
    <t xml:space="preserve">00971-4-3934406 </t>
  </si>
  <si>
    <t>P.O BOX: 52549, DUBAI, UAE</t>
  </si>
  <si>
    <t>europack@emirates.net.ae</t>
  </si>
  <si>
    <t>www.europackdubai.com</t>
  </si>
  <si>
    <t>SA8021</t>
  </si>
  <si>
    <t xml:space="preserve">ELECRICAL &amp; ELECTRONICS SERVICE AND TRADING </t>
  </si>
  <si>
    <t>AL MENHALI H.E. TRADING</t>
  </si>
  <si>
    <t>PARKER, REGEANT, ATB MOTORS, Emk, SEW, FLENDER, BUAER/NOR GEAR MOTOR, ALLEN BRADLY, INVERTERS(DANFOS, OMRON, TELEMACHANIQUE), FLAMCO PRESSURE VESSELS, SIEMENS AUTOMATION PRODUCTS, LENZE, SICK, ENDRESS+HAUSER, HONEY WELL, IFM/SICK (ELECTRONIC FLUID SENSOR, POSITION SENSOR), BOILER ACCESSORIES (SAACKE, WEISHAUPT)</t>
  </si>
  <si>
    <t>ELECTRICAL &amp; ELECTRONICS SERVICES FOR TROUBLE SHOOTING. TRADING</t>
  </si>
  <si>
    <t>Mr. IQBAL</t>
  </si>
  <si>
    <t>00971-4-2353641</t>
  </si>
  <si>
    <t>00971-50-8501202      00971-50-9274840</t>
  </si>
  <si>
    <t>00971-4-2353642</t>
  </si>
  <si>
    <t>P.O BOX: 96179, DUBAI, UAE</t>
  </si>
  <si>
    <t>SA8022</t>
  </si>
  <si>
    <t>MACHINE SHOP, FOUNDRY, FABRICATION</t>
  </si>
  <si>
    <t>FRONT LINE ENGINEERING TURNING LLC</t>
  </si>
  <si>
    <t>MACHINE SHOP</t>
  </si>
  <si>
    <t>Mr. AHMAD</t>
  </si>
  <si>
    <t>00971-6-5583712</t>
  </si>
  <si>
    <t>00971-50-3862426</t>
  </si>
  <si>
    <t>00971-6-5583713</t>
  </si>
  <si>
    <t>P.O BOX: 73060, SHARJA, UAE</t>
  </si>
  <si>
    <t>frontlinellc@gmail.com</t>
  </si>
  <si>
    <t>www.frontlinellc.com</t>
  </si>
  <si>
    <t>SA8023</t>
  </si>
  <si>
    <t>RELIANT GENERAL MAINTENANCE</t>
  </si>
  <si>
    <t>GENERAL CONTRACTING</t>
  </si>
  <si>
    <t>Mr. SHAHAB</t>
  </si>
  <si>
    <t>00971-4-3936402</t>
  </si>
  <si>
    <t>00971-50-7585763</t>
  </si>
  <si>
    <t>00971-4-3936427</t>
  </si>
  <si>
    <t>P.O BOX: 60859, DUBAI, UAE</t>
  </si>
  <si>
    <t>SA8024</t>
  </si>
  <si>
    <t>KNIFE SHARPENING</t>
  </si>
  <si>
    <t>Mr. MONCY</t>
  </si>
  <si>
    <t>00971-6-5331101</t>
  </si>
  <si>
    <t>00971-50-5973977</t>
  </si>
  <si>
    <t>00971-6-5322833</t>
  </si>
  <si>
    <t>P.O BOX: 33429, SHARJA, UAE</t>
  </si>
  <si>
    <t>albonypp@yahoo.com</t>
  </si>
  <si>
    <t>SA8025</t>
  </si>
  <si>
    <t>AL HOTY STANGER LABORATORIES</t>
  </si>
  <si>
    <t>LABORATORY</t>
  </si>
  <si>
    <t>Mr. ANOP</t>
  </si>
  <si>
    <t>00971-4-3472201</t>
  </si>
  <si>
    <t>00971-4-3472727</t>
  </si>
  <si>
    <t>P.O BOX: 16756, DUBAI, UAE</t>
  </si>
  <si>
    <t>AL DOBOWI TYRE COMPANY LLC</t>
  </si>
  <si>
    <t>RUBBERISATION</t>
  </si>
  <si>
    <t>Mr. ASHWIN</t>
  </si>
  <si>
    <t>00971-4-2225165</t>
  </si>
  <si>
    <t>00971-50-8554685</t>
  </si>
  <si>
    <t>00971-4-2285044</t>
  </si>
  <si>
    <t>P.O BOX: 5576, DUBAI, UAE</t>
  </si>
  <si>
    <t>rubber@aldobowi.com</t>
  </si>
  <si>
    <t>www.aldobowi.com</t>
  </si>
  <si>
    <t>SA8027</t>
  </si>
  <si>
    <t>Mr. ASIF</t>
  </si>
  <si>
    <t>00971-4-3441314</t>
  </si>
  <si>
    <t>00971-50-8608894</t>
  </si>
  <si>
    <t>00971-4-3491382</t>
  </si>
  <si>
    <t>P.O BOX: 23672, SATWA, DUBAI</t>
  </si>
  <si>
    <t>idealdxb@eim.ae</t>
  </si>
  <si>
    <t>SA8028</t>
  </si>
  <si>
    <t>00971-4-3960639</t>
  </si>
  <si>
    <t>00971-50-6785113</t>
  </si>
  <si>
    <t>00971-4-3960496</t>
  </si>
  <si>
    <t>P.O BOX: 28839, DUBAI, UAE</t>
  </si>
  <si>
    <t>vgedubai@eim.ae</t>
  </si>
  <si>
    <t>SA8029</t>
  </si>
  <si>
    <t>MECHANICAL ENGINEER FOR PRINTING MACHINES</t>
  </si>
  <si>
    <t>Mr. AFZAL AHMED</t>
  </si>
  <si>
    <t>00971-50-6986904</t>
  </si>
  <si>
    <t>P.O BOX: 7823, DUBAI, UAE</t>
  </si>
  <si>
    <t>afzalahmed703@hotmail.com</t>
  </si>
  <si>
    <t>SA8030</t>
  </si>
  <si>
    <t>Mr. SAKHAWAT</t>
  </si>
  <si>
    <t>00971-4-3204282</t>
  </si>
  <si>
    <t>00971-50-1754141</t>
  </si>
  <si>
    <t>00971-4-3204283</t>
  </si>
  <si>
    <t>P.O BOX: 36475, AWEER, DUBAI</t>
  </si>
  <si>
    <t>a1engg@yahoo.com</t>
  </si>
  <si>
    <t>SA8031</t>
  </si>
  <si>
    <t>DYNAGRAPH FOR PRINTING INUSTRY LLC</t>
  </si>
  <si>
    <t>PRODUCTION SUPPLIES FOR PRINTING INDUSTRIES</t>
  </si>
  <si>
    <t>00971-4-3476761</t>
  </si>
  <si>
    <t>P.O BOX: 35495, DUBAI, UAE</t>
  </si>
  <si>
    <t>info@dynagraph.net</t>
  </si>
  <si>
    <t>www.dynagraph.net</t>
  </si>
  <si>
    <t>SA8032</t>
  </si>
  <si>
    <t>00971-50-2742054       00971-50-3084900</t>
  </si>
  <si>
    <t>AJMAN</t>
  </si>
  <si>
    <t>SA8033</t>
  </si>
  <si>
    <t>AL MABROOK PASSENGER TRANSPORT LLC</t>
  </si>
  <si>
    <t>RENT A VEHICLE</t>
  </si>
  <si>
    <t>00971-4-2735401</t>
  </si>
  <si>
    <t>00971-4-2735402</t>
  </si>
  <si>
    <t>P.O BOX: 79224, DUBAI, UAE</t>
  </si>
  <si>
    <t>www.almabrooktransport.com</t>
  </si>
  <si>
    <t>SA8034</t>
  </si>
  <si>
    <t>OMAN INKS AND PRINTING MATERIAL TRADING</t>
  </si>
  <si>
    <t>TESA</t>
  </si>
  <si>
    <t>PRINTING INKS &amp; PRINTING MATERIALS AND ADHESIVE TAPES</t>
  </si>
  <si>
    <t>00971-6-5326282</t>
  </si>
  <si>
    <t>00971-6-5329303</t>
  </si>
  <si>
    <t>P.O BOX: 68324, SHARJA, UAE</t>
  </si>
  <si>
    <t>omaninks@eim.ae</t>
  </si>
  <si>
    <t>SA8035</t>
  </si>
  <si>
    <t>AL RIZQ INDUSTRIAL SUPPLIES EST</t>
  </si>
  <si>
    <t>TEK BELT</t>
  </si>
  <si>
    <t>ALL TYPE OF BELTS</t>
  </si>
  <si>
    <t>Mr. KONAIN RANGWALA</t>
  </si>
  <si>
    <t>00971-4-2627975</t>
  </si>
  <si>
    <t>00971-50-3069778</t>
  </si>
  <si>
    <t>00971-4-2627832</t>
  </si>
  <si>
    <t>P.O BOX: 81962, DUBAI, UAE</t>
  </si>
  <si>
    <t>tekbelt@alrizq.com</t>
  </si>
  <si>
    <t>SA8036</t>
  </si>
  <si>
    <t>AGENT FOR HEIDELBERG MACHINES</t>
  </si>
  <si>
    <t>Mr. BOBBY</t>
  </si>
  <si>
    <t>00971-4-3477720</t>
  </si>
  <si>
    <t>00971-50-92691010</t>
  </si>
  <si>
    <t>00971-4-3477995</t>
  </si>
  <si>
    <t>P.O BOX: 34133, DUBAI, UAE</t>
  </si>
  <si>
    <t>hdgulf@emirates.net.ae</t>
  </si>
  <si>
    <t>SA8037</t>
  </si>
  <si>
    <t>RELIABLE HEATERS AND ELECTRICALS (F.Z.C)</t>
  </si>
  <si>
    <t>PARTS FOR PACKING MACHINES, HEATERS, ELECTRICAL COMPONENTS</t>
  </si>
  <si>
    <t>Mr. SHADAB</t>
  </si>
  <si>
    <t>00971-6-7445801</t>
  </si>
  <si>
    <t>00971-50-4625156        00971-50-5177981</t>
  </si>
  <si>
    <t>00971-6-7445809</t>
  </si>
  <si>
    <t>P.O BOX: 3076, AJMAN, UAE</t>
  </si>
  <si>
    <t>rheat@emirates.net.ae</t>
  </si>
  <si>
    <t>www.reliableheaters.com</t>
  </si>
  <si>
    <t>SA8038</t>
  </si>
  <si>
    <t>GALADARI ENGINEERING WORKS LTD CO (LLC)</t>
  </si>
  <si>
    <t>ELECTROPLATING, HARD CHROMING</t>
  </si>
  <si>
    <t>00971-4-2660936</t>
  </si>
  <si>
    <r>
      <t xml:space="preserve">00971-50-9505994, 00971-50-4527581, </t>
    </r>
    <r>
      <rPr>
        <sz val="11"/>
        <color rgb="FFFF0000"/>
        <rFont val="Calibri"/>
        <family val="2"/>
        <scheme val="minor"/>
      </rPr>
      <t>00971-50-5445409</t>
    </r>
  </si>
  <si>
    <r>
      <t xml:space="preserve">00971-4-2662151       </t>
    </r>
    <r>
      <rPr>
        <sz val="11"/>
        <color rgb="FFFF0000"/>
        <rFont val="Calibri"/>
        <family val="2"/>
        <scheme val="minor"/>
      </rPr>
      <t>00971-4-2628854</t>
    </r>
  </si>
  <si>
    <t>P.O BOX: 355, DUBAI, UAE</t>
  </si>
  <si>
    <t>galenem@emirates.net.ae</t>
  </si>
  <si>
    <t>SA8039</t>
  </si>
  <si>
    <t>GULF SCALES (FZC)</t>
  </si>
  <si>
    <t>WEIGHING SCALES</t>
  </si>
  <si>
    <t>ABDUL RASHEED</t>
  </si>
  <si>
    <t>00971-6-5574738</t>
  </si>
  <si>
    <t>00971-55-7619215</t>
  </si>
  <si>
    <t>00971-6-5574739</t>
  </si>
  <si>
    <t>P.O BOX: 120579, SHARJA, UAE</t>
  </si>
  <si>
    <t>gulfscales@gulfscales.net</t>
  </si>
  <si>
    <t>www.gulfscales.net</t>
  </si>
  <si>
    <t>SA8040</t>
  </si>
  <si>
    <t>AGENT FOR QUINCY COMPRESSOR &amp; VACUUM PUMPS &amp; GENERAL TRADING</t>
  </si>
  <si>
    <t>THOMAS JOSEPH</t>
  </si>
  <si>
    <t>00971-4-2690080</t>
  </si>
  <si>
    <t>00971-50-5485642</t>
  </si>
  <si>
    <t>00971-4-2661361</t>
  </si>
  <si>
    <t>P.O BOX: 5108, DUBAI, UAE</t>
  </si>
  <si>
    <t>sales@btcuae.com</t>
  </si>
  <si>
    <t>SA8041</t>
  </si>
  <si>
    <t xml:space="preserve">SUPER TECHNICAL ENTERPRISES </t>
  </si>
  <si>
    <t>PARKER, SANDVIK, APOLLO, BONNEY FORGE, RACOR, NUOVA FIMA, ZANDER, ELORA, WRIGHT TOOL, GREENLEE, STERTIL KONI, SIMPLEX</t>
  </si>
  <si>
    <t>HYDRAULIC &amp; PNEUMATIC SPECIALISTS</t>
  </si>
  <si>
    <t>Mr. JOSEPH</t>
  </si>
  <si>
    <t>00971-4-3387111</t>
  </si>
  <si>
    <t>00971-4-3383940</t>
  </si>
  <si>
    <t>P.O BOX: 2828, DUBAI, UAE</t>
  </si>
  <si>
    <t>sales@supertech.ae</t>
  </si>
  <si>
    <t>www.supertechnical.com</t>
  </si>
  <si>
    <t>SA8042</t>
  </si>
  <si>
    <t>AL RAHMANI BUILDING MATERIALS TRADING</t>
  </si>
  <si>
    <t>BUILDING MATERIAL</t>
  </si>
  <si>
    <t>00971-4-2221444</t>
  </si>
  <si>
    <t>vishwanathan@alrahmani.com</t>
  </si>
  <si>
    <t>SA8043</t>
  </si>
  <si>
    <t>DANUB GROUP</t>
  </si>
  <si>
    <t>A. SHAHJAHAN</t>
  </si>
  <si>
    <t>00971-4-2280900</t>
  </si>
  <si>
    <t>00971-50-6941353</t>
  </si>
  <si>
    <t>00971-4-2280950</t>
  </si>
  <si>
    <t>P.O. BOX: 18022, JEBEL ALI</t>
  </si>
  <si>
    <t>shajahan@aldanube.com</t>
  </si>
  <si>
    <t>www.aldanube.com</t>
  </si>
  <si>
    <t>SA8044</t>
  </si>
  <si>
    <t>WSM MAINTENANCE</t>
  </si>
  <si>
    <t>BUILDING MATERIAL, HYDRAULIC EQUIPMENT REPAIRING</t>
  </si>
  <si>
    <t>00971-4-3415474</t>
  </si>
  <si>
    <t>00971-50-5656738</t>
  </si>
  <si>
    <t>00971-4-34155477</t>
  </si>
  <si>
    <t>P.O. BOX: 53291</t>
  </si>
  <si>
    <t>unniwsm@gmail.com</t>
  </si>
  <si>
    <t>www.wsmmachinery.com</t>
  </si>
  <si>
    <t>SA8045</t>
  </si>
  <si>
    <t>INSTALLATIONS MIDDLE EAST CO LLC</t>
  </si>
  <si>
    <t xml:space="preserve">ELECTRONICS, ELECTRICAL, MECHANICAL, SAFETY, I.T, PNEUMATIC, HYDRAULIC, PPE, TOOLS, SECURITY, TRANSFORMER, CONTACTORS, PLUMBING, </t>
  </si>
  <si>
    <t>00971-4-3433444</t>
  </si>
  <si>
    <t>00971-4-3437788</t>
  </si>
  <si>
    <t>P.O. BOX: 5253</t>
  </si>
  <si>
    <t>ime@emirates.net.ae</t>
  </si>
  <si>
    <t>www.rsuae.com</t>
  </si>
  <si>
    <t>SA8046</t>
  </si>
  <si>
    <t>GILGAL BUILDING MAINTENANCE LLC</t>
  </si>
  <si>
    <t>00971-4-2642004</t>
  </si>
  <si>
    <t>00971-50-2508495</t>
  </si>
  <si>
    <t>00971-4-2642115</t>
  </si>
  <si>
    <t>P.O. BOX: 232680</t>
  </si>
  <si>
    <t>gilgalil@hotmail.com</t>
  </si>
  <si>
    <t>SA8047</t>
  </si>
  <si>
    <t>IBRAHIM ABBAS ALI TRADING EST</t>
  </si>
  <si>
    <t>GENERAL TRADER, PRESSURE GAUGES, THERMOMETER, TEFLON &amp; NYLON SHEETS / ROD, INDUSTRIAL SUPPLIES</t>
  </si>
  <si>
    <t>00971-4-2239951</t>
  </si>
  <si>
    <t>00971-50-2248012</t>
  </si>
  <si>
    <t>00971-4-2277254</t>
  </si>
  <si>
    <t>P.O. BOX: 13729</t>
  </si>
  <si>
    <t>iaate.dxb@gmail.com</t>
  </si>
  <si>
    <t>SA8048</t>
  </si>
  <si>
    <t>AL SAEEDI ELECTRICAL EQUIPMENT CO LLC</t>
  </si>
  <si>
    <t>SUPPLIERS OF ELECTRICAL &amp; ELECTRONICS CABLES</t>
  </si>
  <si>
    <t>00971-4-2228684</t>
  </si>
  <si>
    <t>00971-50-5513514</t>
  </si>
  <si>
    <t>00971-4-2220607</t>
  </si>
  <si>
    <t>P.O. BOX: 29203</t>
  </si>
  <si>
    <t>asee@emirates.net.ae</t>
  </si>
  <si>
    <t>www.see.co.ae</t>
  </si>
  <si>
    <t>SA8049</t>
  </si>
  <si>
    <t>AUTONICS, SAMWON ENG, MEYLE, SENTRY, DATEXEL, SENSOPART</t>
  </si>
  <si>
    <t>SUPPLIERS OF ELECTRICAL &amp; ELECTRONICS COMPONENTS</t>
  </si>
  <si>
    <t>00971-4-2731388</t>
  </si>
  <si>
    <t>00971-4-2736930</t>
  </si>
  <si>
    <t>sales1@fse-automation.com</t>
  </si>
  <si>
    <t>SA8050</t>
  </si>
  <si>
    <t>MANBAA AL ANWAR TRADING LLC</t>
  </si>
  <si>
    <t>ALL TYPE OF ADHESIVE TAPES, MASKING, WARNING, CAUTION, DUCT, DOUBLE SIDED TAPE, COLOR TAPES, PACKING TAPES, ALUMINIUM FOIL TAPES</t>
  </si>
  <si>
    <t>00971-4-2272216</t>
  </si>
  <si>
    <t>00971-50-6765496</t>
  </si>
  <si>
    <t>00971-4-2272259</t>
  </si>
  <si>
    <t>P.O. BOX: 1487</t>
  </si>
  <si>
    <t>juzer52@eim.ae</t>
  </si>
  <si>
    <t>SA8051</t>
  </si>
  <si>
    <t>SCHAFFERS</t>
  </si>
  <si>
    <t>DEALER OF LUBRICANTS, INDUSTRIAL EQUIPMENT, CHEMICALS, BUILDING MATERIALS</t>
  </si>
  <si>
    <t>00971-6-5352464</t>
  </si>
  <si>
    <t>00971-503426062</t>
  </si>
  <si>
    <t>00971-6-5352465</t>
  </si>
  <si>
    <t>P.O. BOX: 70946</t>
  </si>
  <si>
    <t>mahboob0@eim.ae</t>
  </si>
  <si>
    <t>SA8052</t>
  </si>
  <si>
    <t>LIAN ZHONG GREAT WALL ELECTRICS LLC</t>
  </si>
  <si>
    <t>PNEUMATIC, HYDRAULIC, VALVE, FITTING</t>
  </si>
  <si>
    <t>00971-42242899</t>
  </si>
  <si>
    <t>00971-50-2029019</t>
  </si>
  <si>
    <t>00971-4-2242889</t>
  </si>
  <si>
    <t>P.O. BOX: 41656</t>
  </si>
  <si>
    <t>lizoge@emirates.net.ae</t>
  </si>
  <si>
    <t>SA8053</t>
  </si>
  <si>
    <t>ARAB SUPPLIERS CO</t>
  </si>
  <si>
    <t>00971-4-2213756</t>
  </si>
  <si>
    <t>00971-55-3916947</t>
  </si>
  <si>
    <t>00971-4-2213748</t>
  </si>
  <si>
    <t>P.O. BOX: 2894</t>
  </si>
  <si>
    <t>asco2@emirates.net.ae</t>
  </si>
  <si>
    <t>SA8054</t>
  </si>
  <si>
    <t>UNITED TRADING COMPANY  (TOOL DIVISION)</t>
  </si>
  <si>
    <t>STANLEY, ROTHENBERGER, SUPER-EGO, KAPRIOL, ATRO</t>
  </si>
  <si>
    <t>TOOLS &amp; EQUIPMENT</t>
  </si>
  <si>
    <t>00971-4-2223456</t>
  </si>
  <si>
    <t>00971-4-2286031</t>
  </si>
  <si>
    <t>P.O. BOX: 1835</t>
  </si>
  <si>
    <t>stanley@emrates.net.ae</t>
  </si>
  <si>
    <t>www.unitedtradingcompany.com</t>
  </si>
  <si>
    <t>SA8055</t>
  </si>
  <si>
    <t>TAIZHOU YIAN TRADING CO LTD</t>
  </si>
  <si>
    <t>PNEUMATIC COMPONENTS</t>
  </si>
  <si>
    <t>00971-4-3687290</t>
  </si>
  <si>
    <t>00971-50-9678110</t>
  </si>
  <si>
    <t>DRAGON MART</t>
  </si>
  <si>
    <t>yianmaoyi@126.com</t>
  </si>
  <si>
    <t>SA8056</t>
  </si>
  <si>
    <t>AL MIRATH TYRE TRADING &amp; MOBILE SERVICE</t>
  </si>
  <si>
    <t>MOBILE SERVICE FOR VEHICLE TYRE &amp; TUBE</t>
  </si>
  <si>
    <t>00971-4-2862835</t>
  </si>
  <si>
    <t>00971-50-5691799</t>
  </si>
  <si>
    <t>00971-4-2844035</t>
  </si>
  <si>
    <t>P.O. BOX: 36103, RASHIDIYA</t>
  </si>
  <si>
    <t>almirathtyre@gmail.com</t>
  </si>
  <si>
    <t>SA8057</t>
  </si>
  <si>
    <t>AL MAHARA MACHINERY &amp; EQUIPMENT RENTAL</t>
  </si>
  <si>
    <t>TOOLS &amp; EQUIPMENT ON RENT</t>
  </si>
  <si>
    <t>00971-4-3496845</t>
  </si>
  <si>
    <t>00971-50-4569025</t>
  </si>
  <si>
    <t>00971-4-3446057</t>
  </si>
  <si>
    <t>P.O. BOX: 24602</t>
  </si>
  <si>
    <t>info@AdroitGroupME.com</t>
  </si>
  <si>
    <t>www.AdroitGroupMe.com</t>
  </si>
  <si>
    <t>SA8058</t>
  </si>
  <si>
    <t>DOSTAN GROUP (FIRE PROTECTION DIVISION)</t>
  </si>
  <si>
    <t>FIRE &amp; SAFETY EQUIPMENT</t>
  </si>
  <si>
    <t>00971-4-2678873</t>
  </si>
  <si>
    <t>00971-50-2955812</t>
  </si>
  <si>
    <t>00971-4-2678874</t>
  </si>
  <si>
    <t>P.O. BOX: 120087, SHARJAH</t>
  </si>
  <si>
    <t>dostan@emirates.net.ae</t>
  </si>
  <si>
    <t>www.dostangroup.com</t>
  </si>
  <si>
    <t>SA8059</t>
  </si>
  <si>
    <t>GREAT TRUST BEARING TRADING CO LLC</t>
  </si>
  <si>
    <t>BEARING DISTRIBUTOR</t>
  </si>
  <si>
    <t>00971-4-2285789</t>
  </si>
  <si>
    <t>00971-50-8391670</t>
  </si>
  <si>
    <t>00971-4-2289234</t>
  </si>
  <si>
    <t>P.O. BOX: 376044</t>
  </si>
  <si>
    <t>bearings_man@yahoo.co, gttrad@eim.ae</t>
  </si>
  <si>
    <t>SA8060</t>
  </si>
  <si>
    <t>ACME INDUSTRIAL HARDWARE TRADING LLC</t>
  </si>
  <si>
    <t>PNEUMATIC, AUTOMATION, COPPER TUBING, MATERIAL HANDLING, STORAGE SYSTEMS, GLAND PACKING, GASKET, IT SOLUTION, SHELVING &amp; RACKING SYSTEM</t>
  </si>
  <si>
    <t>00971-4-2238897</t>
  </si>
  <si>
    <t>00971-4-2216698</t>
  </si>
  <si>
    <t>P.O. BOX: 3636</t>
  </si>
  <si>
    <t>www.acme-world.com</t>
  </si>
  <si>
    <t>SA8061</t>
  </si>
  <si>
    <t>COSMOPLAST INDUSTRIAL CO LLC</t>
  </si>
  <si>
    <t>PIPING SYSTEM &amp; PLASTIC MOLDED PRODUCTS</t>
  </si>
  <si>
    <t>00971-6-5331212</t>
  </si>
  <si>
    <t>00971-6-5331917</t>
  </si>
  <si>
    <t>P.O. BOX: 6032, SHARJAH</t>
  </si>
  <si>
    <t>www.cosmoplast.com</t>
  </si>
  <si>
    <t>SA8062</t>
  </si>
  <si>
    <t>HEPWORTH P.M.E LLC</t>
  </si>
  <si>
    <t>00971-4-2894670</t>
  </si>
  <si>
    <t>00971-50-6500232</t>
  </si>
  <si>
    <t>00971-4-2894620</t>
  </si>
  <si>
    <t>P.O. BOX: 2345</t>
  </si>
  <si>
    <t>jaleel@hepworthpme.com</t>
  </si>
  <si>
    <t>www.hepworthpme.com</t>
  </si>
  <si>
    <t>SA8063</t>
  </si>
  <si>
    <t>NILS &amp; ABBAS TRADING CO LLC</t>
  </si>
  <si>
    <t>COMPARE, RIETSCHLE, NORGREN, ROSS, LOOS INTERNANTION, DONALDSON, BURKERT, BEKO, ULTRAFILTER, MTA, ARMATUREN</t>
  </si>
  <si>
    <t>COMPRESSOR, PNEUMATICS, AUTOMATION, PUMPS,</t>
  </si>
  <si>
    <t>00971-4-3390044</t>
  </si>
  <si>
    <t>00971-50-5595354</t>
  </si>
  <si>
    <t>00971-4-3388732</t>
  </si>
  <si>
    <t>P.O. BOX: 26564</t>
  </si>
  <si>
    <t>brilliant@nilsabbas.com</t>
  </si>
  <si>
    <t>www.nilsabbas.com</t>
  </si>
  <si>
    <t>SA8064</t>
  </si>
  <si>
    <t>HUSSAIN ALUMINIUM CO. LLC</t>
  </si>
  <si>
    <t>STOCKIST OF ALUMINUM, BRASS, GI, COPPER, NYLON, TEFLON RODS, ANGLE IRON, PIPE, S.S, FLAT BARS</t>
  </si>
  <si>
    <t>Mr. ASGHAR</t>
  </si>
  <si>
    <t>00971-4-3411752</t>
  </si>
  <si>
    <t>00971-50-8652351</t>
  </si>
  <si>
    <t>00971-4-3411753</t>
  </si>
  <si>
    <t>AL QUOZ</t>
  </si>
  <si>
    <t>hussainalum@yahoo.com, husainal@yahoo.com</t>
  </si>
  <si>
    <t>SA8065</t>
  </si>
  <si>
    <t>POWER &amp; TECHNOLOGY TRADING CO LLC</t>
  </si>
  <si>
    <t>HYDRAULIC, PNEUMATIC, ELECTRIC</t>
  </si>
  <si>
    <t>Mr. AHMAD ALI</t>
  </si>
  <si>
    <t>00971-6-5421300</t>
  </si>
  <si>
    <t>00971-50-2710121</t>
  </si>
  <si>
    <t>00971-6-5423700</t>
  </si>
  <si>
    <t>PO BOX 33372, SHARJAH</t>
  </si>
  <si>
    <t>ahmed.ali@powertech.ae</t>
  </si>
  <si>
    <t>www.powertech.ae</t>
  </si>
  <si>
    <t>SA8066</t>
  </si>
  <si>
    <t>AL MARAR TRADING CO LLC</t>
  </si>
  <si>
    <t>WATER PROOFING EXPERT</t>
  </si>
  <si>
    <t>00971-4-2737540</t>
  </si>
  <si>
    <t>00971-50-8742560</t>
  </si>
  <si>
    <t>00971-4-2737520</t>
  </si>
  <si>
    <t>PO BOX 119540, DUBAI</t>
  </si>
  <si>
    <t>munawar.almarar@gmail.com</t>
  </si>
  <si>
    <t>SA8067</t>
  </si>
  <si>
    <t>BLUE BUILDING MAINT EST</t>
  </si>
  <si>
    <t>Mr. KHALEEL</t>
  </si>
  <si>
    <t>00971-6-7651005</t>
  </si>
  <si>
    <t>00971-50-5939774</t>
  </si>
  <si>
    <t>00971-6-7651223</t>
  </si>
  <si>
    <t>PO BOX 5214 UM UL QUEEN</t>
  </si>
  <si>
    <t>SA8068</t>
  </si>
  <si>
    <t>FREEHANDS ELECTRONIC INSTRUMENT REPAIRS</t>
  </si>
  <si>
    <t>REPAIRING OF ELECTRONIC CARDS</t>
  </si>
  <si>
    <t>Mr. QADEER</t>
  </si>
  <si>
    <t>00971-6-7439891</t>
  </si>
  <si>
    <t>00971-50-4974241</t>
  </si>
  <si>
    <t>00971-6-7447358</t>
  </si>
  <si>
    <t>PO BOX 6720, AJMAN</t>
  </si>
  <si>
    <t>freehands.uae@gmail.com</t>
  </si>
  <si>
    <t>SA8069</t>
  </si>
  <si>
    <t>USMAN BUTT ELECTRO MECHANICAL SERVICES CENTER</t>
  </si>
  <si>
    <t>CARRIER, TRANE, CAPELAND QUALITY, YORK, BITZAR, SIEMENS, ABB, GRANDFOS, HAYWARD</t>
  </si>
  <si>
    <t>ELECTRO MECHANICAL SERVICES CENTER. (REWINDING AC &amp; DC MOTORS, GENERATOR &amp; COMPRESSOR, STEEL FABRICATION, LATHE WORK, A/C CONTRACTOR</t>
  </si>
  <si>
    <t>Mr. BILAL BUTT</t>
  </si>
  <si>
    <t>00971-4-8851645</t>
  </si>
  <si>
    <t>00971-55-6935598</t>
  </si>
  <si>
    <t>00971-4-8851646</t>
  </si>
  <si>
    <t>P.O BOX 22084, WARE HOUSE NO 12, DUBAI INVESTMENT PARK</t>
  </si>
  <si>
    <t>hamarex@hotmail.com</t>
  </si>
  <si>
    <t>SA8070</t>
  </si>
  <si>
    <t>ALCHEMY METAL COATING</t>
  </si>
  <si>
    <t>HARD CHROME PLATING, HYDRAULIC REPAIRING, HYDRAULIC SPARES</t>
  </si>
  <si>
    <t>Mr. YOGESH RAVAL</t>
  </si>
  <si>
    <t>00971-6-5336237</t>
  </si>
  <si>
    <t>00971-50-3536234</t>
  </si>
  <si>
    <t>00971-6-5336273</t>
  </si>
  <si>
    <t>P.O BOX 33006</t>
  </si>
  <si>
    <t>amcgulf@eim.ae</t>
  </si>
  <si>
    <t>SA8071</t>
  </si>
  <si>
    <t>A. RAUF ELECTRIC TRADING CO LLC</t>
  </si>
  <si>
    <t>MEGA (CARBON PRODUCTS), DONG (ELECTRIC PRODUCTS, FUJI (CAPACITORS), KERT (POWER SUPPLIES EPS/UPS), SEMIKORN (SEMICONDUCTORS)</t>
  </si>
  <si>
    <t>INDUSTRIAL ELECTROMECHANICAL &amp; ELECTRONICS. MANUFACTURERS OF CARBON BRUSHES</t>
  </si>
  <si>
    <t>Mr. RAUF</t>
  </si>
  <si>
    <t>00971-4-2222815</t>
  </si>
  <si>
    <t>00971-50-6247059</t>
  </si>
  <si>
    <t>00971-4-2279404</t>
  </si>
  <si>
    <t>P.O BOX 21436</t>
  </si>
  <si>
    <t>rauftrd@eim.ae</t>
  </si>
  <si>
    <t>www.arauf.com</t>
  </si>
  <si>
    <t>SA8072</t>
  </si>
  <si>
    <t>RELIABLE STEEL TRADERS LLC</t>
  </si>
  <si>
    <t>STOCKIST OF TOOL STEEL, ALLOY STEEL, MILD STEEL, CARBON STEEL, HIGH SPEED STEEL, WPS, OHNS, SPRING STEEL, SILVER STEEL, AL EN SERIES</t>
  </si>
  <si>
    <t>Mr. TEEVARI</t>
  </si>
  <si>
    <t>00971-6-5332611</t>
  </si>
  <si>
    <t>00971-6-5332721</t>
  </si>
  <si>
    <t>P.O BOX 23720, INDUSTRIAL AREA NO1 B.M.W ROAD</t>
  </si>
  <si>
    <t>SA8073</t>
  </si>
  <si>
    <t>MOHD ISHAQ FOUNDRY LLC</t>
  </si>
  <si>
    <t>COMPLETE FOUNDRY &amp; MECHANICAL ENGINEERING SOLUTION. FOUNDRY SECTION (CAST IRON, BRASS, BRONZE, ALUMINUM ALLOY &amp; ZINC), MACHINE SHOP, MILLLING SHOP (GEAR MANUFACTURING), FABRICATION, ELECTRICAL REWINDING, PUMP SECTION</t>
  </si>
  <si>
    <t>Mr. ABID</t>
  </si>
  <si>
    <t>00971-6-5422716</t>
  </si>
  <si>
    <t>00971-50-6323110</t>
  </si>
  <si>
    <t>00971-6-5423416</t>
  </si>
  <si>
    <t>P.O BOX 35106, INDUSTRIAL AREA-3</t>
  </si>
  <si>
    <t>mifllc@emirates.net.ae</t>
  </si>
  <si>
    <t>SA8074</t>
  </si>
  <si>
    <t>IDEAL DESIGN</t>
  </si>
  <si>
    <t>RACKING SYSTEM</t>
  </si>
  <si>
    <t>Mr. JOSEPH KUNJUVARED</t>
  </si>
  <si>
    <t>00971-4-2670525</t>
  </si>
  <si>
    <t>00971-50-4507256</t>
  </si>
  <si>
    <t>00971-4-2670755</t>
  </si>
  <si>
    <t>P.O BOX 20592</t>
  </si>
  <si>
    <t>joseph@idealdesign.ae</t>
  </si>
  <si>
    <t>www.idealdesign.com</t>
  </si>
  <si>
    <t>SA8075</t>
  </si>
  <si>
    <t>ENERSYS</t>
  </si>
  <si>
    <t>AN ENERGEY EFFICEICNY &amp; MANAGEMENT SOLUTIONS COMPANY. THE ENERGY SAVING BUSINESS</t>
  </si>
  <si>
    <t>Mr. ASAD ZAIDI</t>
  </si>
  <si>
    <t>00971-4-2692127</t>
  </si>
  <si>
    <t>00971-50-3026539</t>
  </si>
  <si>
    <t>00971-4-2692128</t>
  </si>
  <si>
    <t>P.O BOX 111041</t>
  </si>
  <si>
    <t>asadzaidi@enersys.ae</t>
  </si>
  <si>
    <t>SA8076</t>
  </si>
  <si>
    <t>SPARETECHNIC LLC</t>
  </si>
  <si>
    <t>TIMKEN, RHP BEARINGS</t>
  </si>
  <si>
    <t>DEALERS OF ALL TYPE OF BEARINGS, RHP BEARINGS, DAYCO BELTS, HOSES, SPRINGS, OIL SEALS</t>
  </si>
  <si>
    <t>00971-4-2283130</t>
  </si>
  <si>
    <t>00971-4-2273654</t>
  </si>
  <si>
    <t>P.O BOX 8624</t>
  </si>
  <si>
    <t>sparetec@emirates.net.ae</t>
  </si>
  <si>
    <t>SA8077</t>
  </si>
  <si>
    <t>AL KHALIJ ENTERPRISES LLC</t>
  </si>
  <si>
    <t xml:space="preserve">TIMKEN, SNR, IKO, ASAHI, DUNLOP (BELTS 7 HOSES), FLEETGUARD (FILTERS), GEE LIMITED (WELDING CONSUMABLES) ROCOL (INDUSTRIAL LUBRICANTS), </t>
  </si>
  <si>
    <t xml:space="preserve">DEALERS OF ALL TYPE OF BEARINGS </t>
  </si>
  <si>
    <t>Mr. DANESH BHATIA</t>
  </si>
  <si>
    <t>00971-4-3332869</t>
  </si>
  <si>
    <t>00971-50-6944095</t>
  </si>
  <si>
    <t>00971-4-3339452</t>
  </si>
  <si>
    <t>P.O BOX 3320</t>
  </si>
  <si>
    <t>aweer@alkhalij.com</t>
  </si>
  <si>
    <t>www.alkhalij.com</t>
  </si>
  <si>
    <t>SA8078</t>
  </si>
  <si>
    <t>M.G. TECHNICAL ENTERPRISES</t>
  </si>
  <si>
    <t>STOCKISTS OF SPROCKETS, CHAINS, PNEUMATIC &amp; HYDRAULIC PARTS, AUTO PARTS, UNIVERSAL CROSES</t>
  </si>
  <si>
    <t>Mr. PRASHANTH</t>
  </si>
  <si>
    <t>00971-4-2226728</t>
  </si>
  <si>
    <t>00971-4-2238131</t>
  </si>
  <si>
    <t>P.O BOX 8327</t>
  </si>
  <si>
    <t>morsetec@emirates.net.ae</t>
  </si>
  <si>
    <t>mgtech@emirates.net.ae</t>
  </si>
  <si>
    <t>SA8079</t>
  </si>
  <si>
    <t>MORSE TECHNICAL LLC</t>
  </si>
  <si>
    <t>Mr. NEVILLE</t>
  </si>
  <si>
    <t>00971-4-3331075</t>
  </si>
  <si>
    <t>00971-50-8585435</t>
  </si>
  <si>
    <t>00971-4-3331206</t>
  </si>
  <si>
    <t>P.O BOX 2256</t>
  </si>
  <si>
    <t>SA8080</t>
  </si>
  <si>
    <t>GOLDEN SCREW TRADING</t>
  </si>
  <si>
    <t>STOCKISTS OF BOLTS &amp; NUTS, AND OTHER FASTENER</t>
  </si>
  <si>
    <t>Mr. QUTUBUDINN</t>
  </si>
  <si>
    <t>00971-4-3339534</t>
  </si>
  <si>
    <t>00971-50-5689300</t>
  </si>
  <si>
    <t>00971-4-3339536</t>
  </si>
  <si>
    <t>P.O BOX 57158</t>
  </si>
  <si>
    <t>qutbudin@emirates.net.ae</t>
  </si>
  <si>
    <t>SA8081</t>
  </si>
  <si>
    <t>STANDARD TECHNICAL PARTS CO LLC</t>
  </si>
  <si>
    <t>INDUSTRIAL AND HYDRAULIC EQUIPMENT SPARES</t>
  </si>
  <si>
    <t>Mr. JASHPAL SINGH</t>
  </si>
  <si>
    <t>00971-4-3335667</t>
  </si>
  <si>
    <t>00971-50-6319894</t>
  </si>
  <si>
    <t>00971-4-3335654</t>
  </si>
  <si>
    <t>P.O BOX 7481, AL AWEER</t>
  </si>
  <si>
    <t>stantech@emirates.net.ae</t>
  </si>
  <si>
    <t>SA8082</t>
  </si>
  <si>
    <t>SENOK TRADING CO LLC</t>
  </si>
  <si>
    <t>TAKE ORDER FOR ALL TYPE RUBBER, ELASTIC AND PLASTIC PARTS</t>
  </si>
  <si>
    <t>OIL SEALS, O-RINGS, CLOSE RING O-RING, O RING KIT, GUM PADS FOR CHEETAH, RUBBER SHEETS, AND PACKING WITH SILICON, VITON, SBR, EPDM, NBR, NR AND POLYTHENE MATERIALS, WATER HOSE, CLEAR HOSE, ANTI PETROL HOSE, HYDRAULIC HOSE, CIRCLIPS, JUBILEE CLIPS, ALUMINUM &amp; COPPER WASHERS</t>
  </si>
  <si>
    <t>00971-4-2274740</t>
  </si>
  <si>
    <t>00971-50-2456752</t>
  </si>
  <si>
    <t>00971-4-2456752</t>
  </si>
  <si>
    <t>P.O BOX 86831, LILLY CENTER DEIRA</t>
  </si>
  <si>
    <t>senoktrd@emirates.net.ae</t>
  </si>
  <si>
    <t>SA8083</t>
  </si>
  <si>
    <t>ARAS INDUSTRIAL EQUIPMENT TRADING</t>
  </si>
  <si>
    <t>Mr. ZAHID Y.K</t>
  </si>
  <si>
    <t>00971-4-2679091</t>
  </si>
  <si>
    <t>00971-50-6522379</t>
  </si>
  <si>
    <t>00971-4-2679092</t>
  </si>
  <si>
    <t>P.O BOX 1589</t>
  </si>
  <si>
    <t>arasequp@emirates.net.ae</t>
  </si>
  <si>
    <t>www.arasengineering.com</t>
  </si>
  <si>
    <t>SA8084</t>
  </si>
  <si>
    <t>FINE TOOLS TRADING LLC</t>
  </si>
  <si>
    <t>DEWALT, MAKITTA</t>
  </si>
  <si>
    <t>HARDWARE ITEMS</t>
  </si>
  <si>
    <t>Mr. MUJEEB</t>
  </si>
  <si>
    <t>00971-4-8859240</t>
  </si>
  <si>
    <t>00971-4-8859241</t>
  </si>
  <si>
    <t>P.O BOX 30139</t>
  </si>
  <si>
    <t>SA8085</t>
  </si>
  <si>
    <t>A.P EQUIPMENT TRADING LLC</t>
  </si>
  <si>
    <t>BEARING, OIL SEAL, O-RING, V-BELTS, HARDWARE MATERIALS</t>
  </si>
  <si>
    <t>Mr. JAFARULLAH</t>
  </si>
  <si>
    <t>00971-4-3335575</t>
  </si>
  <si>
    <t>00971-50-7341175</t>
  </si>
  <si>
    <t>00971-4-3335376</t>
  </si>
  <si>
    <t>P.O BOX 28453</t>
  </si>
  <si>
    <t>apequi@hotmail.com</t>
  </si>
  <si>
    <t>SA8086</t>
  </si>
  <si>
    <t>SANA TRADING LLC</t>
  </si>
  <si>
    <t>JAC, KIWO, MARABU, SEFAR</t>
  </si>
  <si>
    <t>ADHESIVE TAPES, PRINTING INKS</t>
  </si>
  <si>
    <t>00971-4-2236223</t>
  </si>
  <si>
    <t>00971-4-2237416</t>
  </si>
  <si>
    <t>P.O BOX 13621</t>
  </si>
  <si>
    <t>blath@emirates.net.ae</t>
  </si>
  <si>
    <t>SA8087</t>
  </si>
  <si>
    <t>ZENITH RUBBER PVT LTD</t>
  </si>
  <si>
    <t>A MEMBER OF ZENITH WORLWIDE FLORIDA USA</t>
  </si>
  <si>
    <t>Mr. HORMIS GEORGE</t>
  </si>
  <si>
    <t>00971-6-5574350</t>
  </si>
  <si>
    <t>00971-50-5255208</t>
  </si>
  <si>
    <t>00971-6-5574351</t>
  </si>
  <si>
    <t>P.O BOX 9704</t>
  </si>
  <si>
    <t>zenroler@eim.ae</t>
  </si>
  <si>
    <t>www.zenithrollerss.com</t>
  </si>
  <si>
    <t>SA8088</t>
  </si>
  <si>
    <t>SPAN</t>
  </si>
  <si>
    <t>Mr. JOHNNY ANTOUN</t>
  </si>
  <si>
    <t>00971-4-2895111</t>
  </si>
  <si>
    <t>00971-50-4515218</t>
  </si>
  <si>
    <t>00971-4-2895110</t>
  </si>
  <si>
    <t>P.O BOX 55397</t>
  </si>
  <si>
    <t>johnny.antoun@span-group.com</t>
  </si>
  <si>
    <t>www.span-group.com</t>
  </si>
  <si>
    <t>SA8089</t>
  </si>
  <si>
    <t>AL NAESAR TRADING CO LLC</t>
  </si>
  <si>
    <t>OERLIKON, WELDLINE, KOCO</t>
  </si>
  <si>
    <t>WELDING CONSUMABLES</t>
  </si>
  <si>
    <t>Mr. JOSHY GEORGE</t>
  </si>
  <si>
    <t>00971-4-3338611</t>
  </si>
  <si>
    <t>00971-50-4573890</t>
  </si>
  <si>
    <t>00971-4-3339370</t>
  </si>
  <si>
    <t>P.O BOX 36168</t>
  </si>
  <si>
    <t>antco@emirates.net.at</t>
  </si>
  <si>
    <t>www.alnaesar.ae</t>
  </si>
  <si>
    <t>SA8090</t>
  </si>
  <si>
    <t>TECHNO KING TRADING CO LLC</t>
  </si>
  <si>
    <t>INDUSTRIAL EQUIPMENT &amp; MACHINERY, HARDWARE, POWER TOOLS &amp; GENERAL MARCHENDISE SUPPLIERS</t>
  </si>
  <si>
    <t>Mr. ABDUL RASAK</t>
  </si>
  <si>
    <t>00971-4-3203353</t>
  </si>
  <si>
    <t>00971-4-3203533</t>
  </si>
  <si>
    <t>P.O BOX 78632</t>
  </si>
  <si>
    <t>technok@emirates.net.ae</t>
  </si>
  <si>
    <t>SA8091</t>
  </si>
  <si>
    <t>AL RUWAIS ENGINEERING &amp; STEEL WORKS LLC</t>
  </si>
  <si>
    <t>STEEL STRUCTURE</t>
  </si>
  <si>
    <t>00971-4-3326226</t>
  </si>
  <si>
    <t>00971-50-8918133</t>
  </si>
  <si>
    <t>00971-4-3327557</t>
  </si>
  <si>
    <t>P.O BOX 29909</t>
  </si>
  <si>
    <t>vinvish@eim.ae</t>
  </si>
  <si>
    <t>SA8092</t>
  </si>
  <si>
    <t>PHOENIX</t>
  </si>
  <si>
    <t>WEIGHING SCALES, FORM FILL &amp; SEAL MACHINES, AUTO DOOR, AUTO GATES, BARRIERS, ACCESS CONTROL</t>
  </si>
  <si>
    <t>Mr. MITESH UPADHYAY</t>
  </si>
  <si>
    <t>00971-6-5349919</t>
  </si>
  <si>
    <t>00971-50-5697168</t>
  </si>
  <si>
    <t>00971-6-5349909</t>
  </si>
  <si>
    <t>P.O BOX 29170</t>
  </si>
  <si>
    <t>phoenixxv@eim.ae</t>
  </si>
  <si>
    <t>www.phoenixweighing.com</t>
  </si>
  <si>
    <t>SA8093</t>
  </si>
  <si>
    <t>SNOW WHITE A/C SYSTEM CONTRACTING</t>
  </si>
  <si>
    <t>AIR CONDITIONING CONTRACTORS</t>
  </si>
  <si>
    <t>Mr. ABHILASH</t>
  </si>
  <si>
    <t>00971-6-7406784</t>
  </si>
  <si>
    <t>00971-50-5809822</t>
  </si>
  <si>
    <t>00971-6-7406785</t>
  </si>
  <si>
    <t>P.O BOX 466</t>
  </si>
  <si>
    <t>snowwhite466@gmail.com</t>
  </si>
  <si>
    <t>SA8094</t>
  </si>
  <si>
    <t>SALEH JUMA TRADING LLC</t>
  </si>
  <si>
    <t>BEARINGS, V-BELTS, ROLLER CHAINS, SPROCKETS, OIL SEALS, MECHANICAL &amp; HYDRAULIC SEALS, INDUSTRIAL ITEMS</t>
  </si>
  <si>
    <t>Mr. THOMAS</t>
  </si>
  <si>
    <t>00971-4-2242731</t>
  </si>
  <si>
    <t>00971-4-2213361</t>
  </si>
  <si>
    <t>P.O BOX 14603</t>
  </si>
  <si>
    <t>SA8095</t>
  </si>
  <si>
    <t>AL NAURAS RUBBER FACTORY LLC</t>
  </si>
  <si>
    <t>MANUFACTURERS OF RUBBER ROLLES, P.U ROLLERS, PRINTING ROLLERS, MOULDED ITEMS</t>
  </si>
  <si>
    <t>Mr. KAMATH</t>
  </si>
  <si>
    <t>00971-4-8851815</t>
  </si>
  <si>
    <t>00971-50-4506379</t>
  </si>
  <si>
    <t>00971-4-8851819</t>
  </si>
  <si>
    <t>P.O BOX 52106</t>
  </si>
  <si>
    <t>thimmapa@emirates.net.ae</t>
  </si>
  <si>
    <t>www.alnaurasrubber.com</t>
  </si>
  <si>
    <t>SA8096</t>
  </si>
  <si>
    <t>KAIZAR TAHER TRD CO LLC</t>
  </si>
  <si>
    <t>ALL TYPE OF CARBON BRUSHES, SPRINGS, HARDWARE TOOLS, FASTENERS, BUILDING &amp; INDUSTRIAL ELECTRICAL ITEMS</t>
  </si>
  <si>
    <t>Mr. KAIZAR</t>
  </si>
  <si>
    <t>00971-6-5424952</t>
  </si>
  <si>
    <t>00971-50-2453621</t>
  </si>
  <si>
    <t>00971-6-5431472</t>
  </si>
  <si>
    <t>P.O BOX 69497</t>
  </si>
  <si>
    <t>motiwalakaizar@hotmail.com</t>
  </si>
  <si>
    <t>SA8097</t>
  </si>
  <si>
    <t>ARABNEON</t>
  </si>
  <si>
    <t>SIGN SOLUTIONS</t>
  </si>
  <si>
    <t>Mr. SALEEM</t>
  </si>
  <si>
    <t>00971-6-5329100</t>
  </si>
  <si>
    <t>00971-50-5995449</t>
  </si>
  <si>
    <t>00971-6-5394840</t>
  </si>
  <si>
    <t>P.O BOX 23167</t>
  </si>
  <si>
    <t>sales@arabneon.com</t>
  </si>
  <si>
    <t>www.arabneon.com</t>
  </si>
  <si>
    <t>SA8098</t>
  </si>
  <si>
    <t>UNITED TECHNOLOGIES</t>
  </si>
  <si>
    <t>HOT MELT &amp; PNEUMATIC ITEMS</t>
  </si>
  <si>
    <t>Mr. JAVEED</t>
  </si>
  <si>
    <t>00971-6-5261822</t>
  </si>
  <si>
    <t>00971-50-7965086</t>
  </si>
  <si>
    <t>00971-6-5261823</t>
  </si>
  <si>
    <t>P.O BOX 42869</t>
  </si>
  <si>
    <t>info@unitecfze.com</t>
  </si>
  <si>
    <t>www.unitecfze.com</t>
  </si>
  <si>
    <t>SA8099</t>
  </si>
  <si>
    <t>MONA TRADING LLC</t>
  </si>
  <si>
    <t>MILLER, TRI-MARK, HOBART, BLUE ARC, BERNARD, WESCOL, YANGTONG GROUP</t>
  </si>
  <si>
    <t>Mr. SAMEER</t>
  </si>
  <si>
    <t>00971-4-2821451</t>
  </si>
  <si>
    <t>00971-50-7272873</t>
  </si>
  <si>
    <t>00971-4-2865990</t>
  </si>
  <si>
    <t>P.O BOX 5012</t>
  </si>
  <si>
    <t>sameer@aljallaf.ae</t>
  </si>
  <si>
    <t>www.monatrading.ae</t>
  </si>
  <si>
    <t>SA8100</t>
  </si>
  <si>
    <t>SWAIDAN TRADING CO LLC</t>
  </si>
  <si>
    <t>AL NABOODAH</t>
  </si>
  <si>
    <t>COMMERCIAL VEHICLES &amp; HEAVY EQUIPMENT DIV</t>
  </si>
  <si>
    <t>Mr. AFEEZ</t>
  </si>
  <si>
    <t>00971-4-3400033</t>
  </si>
  <si>
    <t>00971-50-7252976</t>
  </si>
  <si>
    <t>00971-4-3400136</t>
  </si>
  <si>
    <t>P.O BOX 1200</t>
  </si>
  <si>
    <t>afeez@alnaboodah.com</t>
  </si>
  <si>
    <t>www.alnaboodah.com</t>
  </si>
  <si>
    <t>SA8101</t>
  </si>
  <si>
    <t>ABUL FAZL TRADING LLC</t>
  </si>
  <si>
    <t>BMTG, TUBESCA, GUYNOEL, FLEXOVIT, AFTON, RISS, NICHER, SEA, RASTA, DORMER, NWS, BOSCH, ECLIPSE, HITACHI, PRODIF, SIDAMO, STANLEY, ACORN</t>
  </si>
  <si>
    <t>SCAFFOLDS, LADDERS, CONSTRUCTION EQUIPMENT, ABRASIVE PAPERS, GARAGE TOOLS, ACCESS MATERIAL, POWER TOOLS, BUILDING TOOLS, HAND TOOLS, PACKAGING TOOLS</t>
  </si>
  <si>
    <t>00971-4-2229126</t>
  </si>
  <si>
    <t>00971-4-2227112</t>
  </si>
  <si>
    <t>P.O BOX 29642</t>
  </si>
  <si>
    <t>abulfazl@eim.ae</t>
  </si>
  <si>
    <t>www.abul-fazl.com</t>
  </si>
  <si>
    <t>SA8102</t>
  </si>
  <si>
    <t>RAINBOW INTERNATIONAL FZC</t>
  </si>
  <si>
    <t>RUBBER ROLLER &amp; SUPPLIERS</t>
  </si>
  <si>
    <t>Mr. BRAYAN</t>
  </si>
  <si>
    <t>00971-4-3615753</t>
  </si>
  <si>
    <t>00971-50-5545874</t>
  </si>
  <si>
    <t>P.O BOX 51160</t>
  </si>
  <si>
    <t>bryan.searle@mailme.ae</t>
  </si>
  <si>
    <t>SA8103</t>
  </si>
  <si>
    <t>HUSSAIN AL BANNAY PIPE TRADING CO LLC</t>
  </si>
  <si>
    <t>HYDRAULIC HOSES, NYLON &amp; PVC TUBING, INDUSTRIAL HOSES, FUEL HOSES, PNEUMATIC ITEMS, SAND BLASTING HOSES, STEEL TUBING, COPPER TUBING, 24 HOURS MOBILE SERVICE FACILITY</t>
  </si>
  <si>
    <t>Mr. CHANDRA RAY</t>
  </si>
  <si>
    <t>00971-4-8859771</t>
  </si>
  <si>
    <t>00971-50-5870522</t>
  </si>
  <si>
    <t>00971-4-8859773</t>
  </si>
  <si>
    <t>P.O BOX 25664</t>
  </si>
  <si>
    <t>habuae01@emirates.net.ae</t>
  </si>
  <si>
    <t>SA8104</t>
  </si>
  <si>
    <t>PRAKASH TRADING COMPANY</t>
  </si>
  <si>
    <t>ABB, PHILIPS, DUCAB, HAGER, NORDEX, GENTRIX, DURATUBE, DAVIS, FLEXICON, GEWISS, TRIDONIC.ATCO, RR KABEL, METRO, HIMEL, ELECTRICO, MARUICHI</t>
  </si>
  <si>
    <t>ELECTRICAL TRADING</t>
  </si>
  <si>
    <t>Mr. ANEEL</t>
  </si>
  <si>
    <t>00971-4-8854404</t>
  </si>
  <si>
    <t>00971-50-2523178</t>
  </si>
  <si>
    <t>00971-4-8850841</t>
  </si>
  <si>
    <t>P.O BOX 778</t>
  </si>
  <si>
    <t>anil.k@ptc.ae</t>
  </si>
  <si>
    <t>www.ptc.ae</t>
  </si>
  <si>
    <t>SA8105</t>
  </si>
  <si>
    <t>CITY SKY INDUSTRIAL MACHINERY TRADING</t>
  </si>
  <si>
    <t>AZ PNEUMATICA, SUSPA, INFRA, NAVAPLAST, FIPA</t>
  </si>
  <si>
    <t>Mr. PRAVEEN KUMAR</t>
  </si>
  <si>
    <t>00971-4-3475207</t>
  </si>
  <si>
    <t>00971-50-8617478</t>
  </si>
  <si>
    <t>00971-4-3475208</t>
  </si>
  <si>
    <t>P.O BOX 49180</t>
  </si>
  <si>
    <t>citysky@emirates.net.ae</t>
  </si>
  <si>
    <t>SA8106</t>
  </si>
  <si>
    <t>TECHNOS MULTILINE</t>
  </si>
  <si>
    <t xml:space="preserve">PISCO, LUDECKE, </t>
  </si>
  <si>
    <t xml:space="preserve">DEALS IN HYDRAULIC &amp; PNEUMATIC SPARES, </t>
  </si>
  <si>
    <t>Mr. SHEHBAZ</t>
  </si>
  <si>
    <t>00971-4-2237116</t>
  </si>
  <si>
    <t>00971-50-6744049</t>
  </si>
  <si>
    <t>00971-4-2279959</t>
  </si>
  <si>
    <t>P.O BOX 8760</t>
  </si>
  <si>
    <t>www.technos-me.com</t>
  </si>
  <si>
    <t>SA8107</t>
  </si>
  <si>
    <t>JUPITER STAR ELECTROMECHANICAL WORKS LLC</t>
  </si>
  <si>
    <t>REPAIRING, REWINDING, REDESIGNING OF H.T &amp; L.T ELECTRIC MOTORS, GENERATORS, TRANSFORMER, COMPRESSOR VARIABLE SPEED, A.C &amp; D.C MOTOR</t>
  </si>
  <si>
    <t>Mr. YADAV</t>
  </si>
  <si>
    <t>00971-4-8859111</t>
  </si>
  <si>
    <t>00971-50-6502193</t>
  </si>
  <si>
    <t>00971-4-8859110</t>
  </si>
  <si>
    <t>P.O BOX 113173</t>
  </si>
  <si>
    <t>jsewllc@yahoo.com</t>
  </si>
  <si>
    <t>SA8108</t>
  </si>
  <si>
    <t>HARDWARE &amp; ELECTRICAL EQUIPMENT CO LLC</t>
  </si>
  <si>
    <t>DUKE, ERA, ZAMIL, ANI ITALY, CHIEN JIN, GUM BOOT, FLOAT SWITCH, VAREM, TAC ITALY RIVETS, THERMEX, KINDES GLASSLINE</t>
  </si>
  <si>
    <t>PRESSURE &amp; Upvc FITTINGS</t>
  </si>
  <si>
    <t>00971-4-2851025</t>
  </si>
  <si>
    <t>00971-50-5246321</t>
  </si>
  <si>
    <t>00971-4-2852821</t>
  </si>
  <si>
    <t>P.O BOX 82641</t>
  </si>
  <si>
    <t>heeco@emirates.net.ae</t>
  </si>
  <si>
    <t>SA8109</t>
  </si>
  <si>
    <t>ABDUL WAHID A KAZIM &amp; SONS LLC</t>
  </si>
  <si>
    <t>Mr. SATISH</t>
  </si>
  <si>
    <t>00971-4-2226419</t>
  </si>
  <si>
    <t>00971-50-5522103</t>
  </si>
  <si>
    <t>00971-4-2234474</t>
  </si>
  <si>
    <t>P.O BOX 5415</t>
  </si>
  <si>
    <t>awaks@emirates.net.ae</t>
  </si>
  <si>
    <t>www.aw-kazim.com</t>
  </si>
  <si>
    <t>SA8110</t>
  </si>
  <si>
    <t>SEDANA TRADING</t>
  </si>
  <si>
    <t>Mr. SAMI</t>
  </si>
  <si>
    <t>00971-4-2895666</t>
  </si>
  <si>
    <t>00971-50-4817734</t>
  </si>
  <si>
    <t>00971-4-2895600</t>
  </si>
  <si>
    <t>P.O BOX 8430</t>
  </si>
  <si>
    <t>sedana@emirates.net.ae</t>
  </si>
  <si>
    <t>www.sedana.com</t>
  </si>
  <si>
    <t>SA8111</t>
  </si>
  <si>
    <t>HIDYATH GROUP</t>
  </si>
  <si>
    <t>SERVICES IN WATER JET CUTTING, POLISHING, BRUSHING</t>
  </si>
  <si>
    <t xml:space="preserve">METALLIC SHEET 7 RODS, ANGLE IRON, </t>
  </si>
  <si>
    <t>Mr. MUMTAZ</t>
  </si>
  <si>
    <t>00971-4-3337786</t>
  </si>
  <si>
    <t>00971-50-3440485</t>
  </si>
  <si>
    <t>00971-4-3337172</t>
  </si>
  <si>
    <t>P.O BOX 13650</t>
  </si>
  <si>
    <t>nonferos@emirates.net.ae</t>
  </si>
  <si>
    <t>www.hidayath.com</t>
  </si>
  <si>
    <t>SA8112</t>
  </si>
  <si>
    <t>EAGLE TRADING CO LLC</t>
  </si>
  <si>
    <t>Mr. TAHER ALVI</t>
  </si>
  <si>
    <t>00971-4-2280420</t>
  </si>
  <si>
    <t>00971-50-4535766</t>
  </si>
  <si>
    <t>00971-4-2280387</t>
  </si>
  <si>
    <t>P.O BOX 3634</t>
  </si>
  <si>
    <t>eagletra@emirates.net.ae</t>
  </si>
  <si>
    <t>www.alawigroup.com</t>
  </si>
  <si>
    <t>SA8113</t>
  </si>
  <si>
    <t>INDER MOHAN VIG ENGINEERING WORKSHOP</t>
  </si>
  <si>
    <t>HYDRAULIC REPAIRS, CHROME SHAFT, CASTINGS, MOULDING</t>
  </si>
  <si>
    <t>Mr. AJAY</t>
  </si>
  <si>
    <t>00971-6-5348995</t>
  </si>
  <si>
    <t>00971-50-5498003</t>
  </si>
  <si>
    <t>00971-6-5348068</t>
  </si>
  <si>
    <t>P.O BOX 47423</t>
  </si>
  <si>
    <t>info@imvengineering.com</t>
  </si>
  <si>
    <t>www.imvengineering.com</t>
  </si>
  <si>
    <t>SA8114</t>
  </si>
  <si>
    <t>A.F HUSSAIN LLC</t>
  </si>
  <si>
    <t>MITUTOYO, KOKON, BDS, RECOIL, TAEGUTEC, BOROMAX, LAXEAL, GROZ, VERTEX, PRECISION BRAND, TEKU, SGS, NEDO, MAYKESTAG, BAHCO, RIPPER CUT, MAX TORQ, VOLKEL, STARRET, ULTRA PRAZISION, SCHUNAR, BMI</t>
  </si>
  <si>
    <t>DISTRIBUTORS OF ALL KIND OF MACHINE TOOLS</t>
  </si>
  <si>
    <t>Mr. FAYAZ</t>
  </si>
  <si>
    <t>00971-4-2220807</t>
  </si>
  <si>
    <t>00971-50-89354045</t>
  </si>
  <si>
    <t>00971-4-3400811</t>
  </si>
  <si>
    <t>P.O BOX 4007</t>
  </si>
  <si>
    <t>fayaz@afh-tools.com</t>
  </si>
  <si>
    <t>www.afh-tools.com</t>
  </si>
  <si>
    <t>SA8115</t>
  </si>
  <si>
    <t>FAKHARUDDIN KADERBHAI TRADING CO LLC</t>
  </si>
  <si>
    <t>IRWIN, DORMER, CLARKE, DEWALT, ECLIPSE, STARRET, BAND, ACORN, VITAL, NICHOLSON, BRITOOL, BROOKE, TRUMPH, BMI, ARALDITE, NHN, KNIPEX, 3 KEEGO</t>
  </si>
  <si>
    <t>DISTRIBUTORS OF HARDWARE ITEMS, MEASURING TOOLS, MACHINE TOOLS………..etc</t>
  </si>
  <si>
    <t>Mr.YUSUF</t>
  </si>
  <si>
    <t>00971-4-2222664</t>
  </si>
  <si>
    <t>00971-50-5453021</t>
  </si>
  <si>
    <t>00971-4-2218430</t>
  </si>
  <si>
    <t>P.O BOX 1043</t>
  </si>
  <si>
    <t>fkabbas@emirates.net.ae</t>
  </si>
  <si>
    <t>www.fkdubai.com</t>
  </si>
  <si>
    <t>SA8116</t>
  </si>
  <si>
    <t>AKA TRADE BUILDING TOOLS</t>
  </si>
  <si>
    <t>SWARFEGA, PRESTO, TAM-TEK, BRITOOL, FISCO, LUDECKE, BRANNAN, BAHCO, BANDIMEX, LANFLEX, KUKKO, HUNTER HAMBURG, JCS, MITUTOYO</t>
  </si>
  <si>
    <t>DISTRIBUTORS OF HARDWARE ITEMS &amp; MACHINE TOOLS</t>
  </si>
  <si>
    <t>Mr. QAEED TAMBAWALA</t>
  </si>
  <si>
    <t>00971-4-2231607</t>
  </si>
  <si>
    <t>00971-50-6229607</t>
  </si>
  <si>
    <t>00971-4-2231547</t>
  </si>
  <si>
    <t>P.O BOX 51248</t>
  </si>
  <si>
    <t>akatrade@eim.ae</t>
  </si>
  <si>
    <t>SA8117</t>
  </si>
  <si>
    <t>COMPLETE SOLUTION FOR PRINTING INDUSTRIES</t>
  </si>
  <si>
    <t>Mr. JAY</t>
  </si>
  <si>
    <t>00971-4-2678385</t>
  </si>
  <si>
    <t>00971-50-4544702</t>
  </si>
  <si>
    <t>00971-4-2678386</t>
  </si>
  <si>
    <t>P.O BOX 48251</t>
  </si>
  <si>
    <t>jay.chawda@printechme.com</t>
  </si>
  <si>
    <t>www.printechme.com</t>
  </si>
  <si>
    <t>SA8118</t>
  </si>
  <si>
    <t>A BRANCH OF MECHATRONICS</t>
  </si>
  <si>
    <t>FLOWLINES TECHNOLOGY LLC</t>
  </si>
  <si>
    <t>DUPLOMATIC HYDRAULIC, MOBILE PUMP, PETERS</t>
  </si>
  <si>
    <t>HYDRAULIC CYLINDER, POWER RACK, PRESSES, PUMP VALVES, PRESSURE SWITCHES, HONED TUBES, CHROME RODS, FITTINGS, AUTOMATION &amp; SPMs, PNEUMATIC, ELECTRIC, SERVICING &amp; AMCs</t>
  </si>
  <si>
    <t>Mr. ALIM</t>
  </si>
  <si>
    <t>00971-4-2676286</t>
  </si>
  <si>
    <t>00971-50-2410358</t>
  </si>
  <si>
    <t>00971-4-2676285</t>
  </si>
  <si>
    <t>P.O BOX 47559</t>
  </si>
  <si>
    <t>flowline@emirates.net.ae</t>
  </si>
  <si>
    <t>www.flowlines.ae</t>
  </si>
  <si>
    <t>SA8119</t>
  </si>
  <si>
    <t>CENTRAL TRADING COMPANY LLC</t>
  </si>
  <si>
    <t>COWAY</t>
  </si>
  <si>
    <t>DRINKING WATER PURIFICATION</t>
  </si>
  <si>
    <t>Mr. JOSE</t>
  </si>
  <si>
    <t>00971-4-2661600</t>
  </si>
  <si>
    <t>00971-50-4942662</t>
  </si>
  <si>
    <t>00971-4-2685529</t>
  </si>
  <si>
    <t>P.O BOX 812</t>
  </si>
  <si>
    <t>josem@alrostamanicgroup.ae</t>
  </si>
  <si>
    <t>www.ctc-uae.com</t>
  </si>
  <si>
    <t>SA8120</t>
  </si>
  <si>
    <t>FAQIHI BROTHERS GENERAL TRADING LLC</t>
  </si>
  <si>
    <t>GENERAL MERCHANTS</t>
  </si>
  <si>
    <t>Mr. MAHMOOD</t>
  </si>
  <si>
    <t>00971-4-2225609</t>
  </si>
  <si>
    <t>00971-50-35331273</t>
  </si>
  <si>
    <t>00971-4-2221205</t>
  </si>
  <si>
    <t>P.O BOX 64043</t>
  </si>
  <si>
    <t>faqihibr@eim.ae</t>
  </si>
  <si>
    <t>www.faqihigroup.com</t>
  </si>
  <si>
    <t>SA8121</t>
  </si>
  <si>
    <t>YAMIN TRADING CO LLC</t>
  </si>
  <si>
    <t>DEALERS IN GENERAL HARDWARE ITEMS, MACHINE TOOLS, HAND TOOLS, PRECISION TOOLS, CARPENTRY TOOLS, POWER TOOLS, FASTENERS</t>
  </si>
  <si>
    <t>Mr. MAZAHIR</t>
  </si>
  <si>
    <t>00971-4-2228013</t>
  </si>
  <si>
    <t>00971-50-6531925</t>
  </si>
  <si>
    <t>00971-4-2214985</t>
  </si>
  <si>
    <t>P.O BOX 3813</t>
  </si>
  <si>
    <t>yamin786@emirates.net.ae</t>
  </si>
  <si>
    <t>SA8122</t>
  </si>
  <si>
    <t>RAJAY INTERNATIONAL LLC</t>
  </si>
  <si>
    <t>Mr. SHAM KUMAR</t>
  </si>
  <si>
    <t>00971-6-5584200</t>
  </si>
  <si>
    <t>00971-50-6860351</t>
  </si>
  <si>
    <t>00971-6-5584201</t>
  </si>
  <si>
    <t>P.O BOX 47500</t>
  </si>
  <si>
    <t>shamkumar@rajay-intl.com</t>
  </si>
  <si>
    <t>SA8123</t>
  </si>
  <si>
    <t>AL MAZMI ENTERPRISES</t>
  </si>
  <si>
    <t>STOCKIST OF CARBON STEEL &amp; STEEL PIPE FITTINGS, SANITARYWARE SUPPLIERS</t>
  </si>
  <si>
    <t>Mr. HASHIM</t>
  </si>
  <si>
    <t>00971-4-2281105</t>
  </si>
  <si>
    <t>00971-50-6587313</t>
  </si>
  <si>
    <t>00971-4-2281104</t>
  </si>
  <si>
    <t>P.O BOX 77637</t>
  </si>
  <si>
    <t>mazmi786@emirates.net.ae</t>
  </si>
  <si>
    <t>SA8124</t>
  </si>
  <si>
    <t>AL SAEED EQUIPMENT TRADING EST</t>
  </si>
  <si>
    <t>Mr. FARSHID</t>
  </si>
  <si>
    <t>00971-4-2212001</t>
  </si>
  <si>
    <t>00971-50-3433149</t>
  </si>
  <si>
    <t>00971-4-2212005</t>
  </si>
  <si>
    <t>P.O BOX 15751</t>
  </si>
  <si>
    <t>farshid@alsaeedkingtony.com</t>
  </si>
  <si>
    <t>www.alsaeedkingtony.com</t>
  </si>
  <si>
    <t>SA8125</t>
  </si>
  <si>
    <t>JIJIBLA TRADING LLC</t>
  </si>
  <si>
    <t>WIKA, ASHCROFT, MOLYKOTE, REOTEMP, KYOWA, LUWIG, DWYER, BECK-CRESPEL, NORGREN</t>
  </si>
  <si>
    <t>PRESSURE GAUGES</t>
  </si>
  <si>
    <t>Mr. MUSTAFA</t>
  </si>
  <si>
    <t>00971-4-2227045</t>
  </si>
  <si>
    <t>00971-50-6585139</t>
  </si>
  <si>
    <t>00971-4-2227098</t>
  </si>
  <si>
    <t>P.O BOX 19349</t>
  </si>
  <si>
    <t>jijibla@emirates.net.ae</t>
  </si>
  <si>
    <t>SA8126</t>
  </si>
  <si>
    <t>NAMI GENERAL TRADING LLC</t>
  </si>
  <si>
    <t>HAND 7 POWER TOOLS, WELDING EQUIPMENT</t>
  </si>
  <si>
    <t>Mr. HAJJU</t>
  </si>
  <si>
    <t>00971-4-2233033</t>
  </si>
  <si>
    <t>00971-56-6930342</t>
  </si>
  <si>
    <t>00971-4-2286969</t>
  </si>
  <si>
    <t>P.O BOX 113130</t>
  </si>
  <si>
    <t>namigt@emirates.net.ae</t>
  </si>
  <si>
    <t>www.namidubai.com</t>
  </si>
  <si>
    <t>SA8127</t>
  </si>
  <si>
    <t>ABDULLA HASSAN SWITCHGEAR TRADING LLC</t>
  </si>
  <si>
    <t>SCHRACK TECHNIK</t>
  </si>
  <si>
    <t>ELECTRICAL COMPONENTS</t>
  </si>
  <si>
    <t>Mr. RAFI</t>
  </si>
  <si>
    <t>00971-4-2228785</t>
  </si>
  <si>
    <t>00971-4-2211613</t>
  </si>
  <si>
    <t>P.O BOX 51610</t>
  </si>
  <si>
    <t>info@abdullahassan.ae</t>
  </si>
  <si>
    <t>www.abdullahassan.ae</t>
  </si>
  <si>
    <t>SA8128</t>
  </si>
  <si>
    <t>AL RAHLA ENG TURNING WORKSHOP</t>
  </si>
  <si>
    <t>MECHANICAL WORKSHOP</t>
  </si>
  <si>
    <t>Mr. DILAWAR</t>
  </si>
  <si>
    <t>00971-6-5321729</t>
  </si>
  <si>
    <t>00971-55-9980817</t>
  </si>
  <si>
    <t>00971-4-5321729</t>
  </si>
  <si>
    <t>P.O BOX 34961</t>
  </si>
  <si>
    <t>alrahla@emirates.net.ae</t>
  </si>
  <si>
    <t>SA8129</t>
  </si>
  <si>
    <t>WB DIAMOND TOOLS &amp; MACHINERY CO LTD</t>
  </si>
  <si>
    <t>MANUFACTURER FOR DIAMOND TOOLS</t>
  </si>
  <si>
    <t>Mr. JANE</t>
  </si>
  <si>
    <t>00971-4-3687292</t>
  </si>
  <si>
    <t>00971-50-8868210</t>
  </si>
  <si>
    <t>00971-4-3623157</t>
  </si>
  <si>
    <t>P.O BOX 299225</t>
  </si>
  <si>
    <t>janeluo1@hotmail.com</t>
  </si>
  <si>
    <t>www.wb-diamondtools.com</t>
  </si>
  <si>
    <t>SA8130</t>
  </si>
  <si>
    <t>SALEH ISHAQ TRADING CO LLC</t>
  </si>
  <si>
    <t>HARDWARE ITEMS, MACHINE TOOLS</t>
  </si>
  <si>
    <t>Mr. HAIDER</t>
  </si>
  <si>
    <t>00971-4-2247144</t>
  </si>
  <si>
    <t>00971-50-5459858</t>
  </si>
  <si>
    <t>00971-4-2247388</t>
  </si>
  <si>
    <t>P.O BOX 27845</t>
  </si>
  <si>
    <t>SA8131</t>
  </si>
  <si>
    <t>GOODWILL AUTO CARE</t>
  </si>
  <si>
    <t>GARAGE</t>
  </si>
  <si>
    <t>Mr. REJI</t>
  </si>
  <si>
    <t>00971-4-8850426</t>
  </si>
  <si>
    <t>00971-50-4536431</t>
  </si>
  <si>
    <t>00971-4-8850427</t>
  </si>
  <si>
    <t>P.O BOX 78171</t>
  </si>
  <si>
    <t>goodwillauto@ymail.com</t>
  </si>
  <si>
    <t>SA8132</t>
  </si>
  <si>
    <t>DUMECH ELECTROMECHANICAL CO LLC</t>
  </si>
  <si>
    <t>REPAIRING OF MOTOR, PUMP, DIESEL ENGINE, &amp; ELECTROMECHANICAL SERVICES</t>
  </si>
  <si>
    <t>Mr. MARWAN</t>
  </si>
  <si>
    <t>00971-4-3475523</t>
  </si>
  <si>
    <t>00971-56-1344113</t>
  </si>
  <si>
    <t>00971-4-3475529</t>
  </si>
  <si>
    <t>P.O BOX 26115</t>
  </si>
  <si>
    <t>dumech11@dumech.ae</t>
  </si>
  <si>
    <t>www.dumech.ae</t>
  </si>
  <si>
    <t>SA8133</t>
  </si>
  <si>
    <t>SEVEN SEA TRADING CO LLC</t>
  </si>
  <si>
    <t>STEEL ROD, ANGLE IRON, SHEETS, CHANNELS</t>
  </si>
  <si>
    <t>Mr. AHUJA</t>
  </si>
  <si>
    <t>00971-4-8853663</t>
  </si>
  <si>
    <t>00971-50-4543966</t>
  </si>
  <si>
    <t>00971-4-8853662</t>
  </si>
  <si>
    <t>P.O BOX 30365</t>
  </si>
  <si>
    <t>ahuja@theocmgroup.com</t>
  </si>
  <si>
    <t>SA8134</t>
  </si>
  <si>
    <t>SIRAJCO INTERNATIONAL TRADING LLC</t>
  </si>
  <si>
    <t>AUTHORISED AGENT FOR EXCEL POLYCARBONATE SHEETS</t>
  </si>
  <si>
    <t>SUPPLIER OF ALUMINUM PROFILES, TUBES, ANGLES, FLATBARS, SOLIDBARS, CHANNELS,…….etc. STOCKIST OF ALUMINUM SHEETS, STUCCO SHEET, &amp; ALUMINUM COMPOSITE PANNELS………etc.</t>
  </si>
  <si>
    <t>00971-4-3334533</t>
  </si>
  <si>
    <t>00971-50-4689822</t>
  </si>
  <si>
    <t>00971-4-3334359</t>
  </si>
  <si>
    <t>P.O BOX 26737</t>
  </si>
  <si>
    <t>sirajco@emirates.net.ae</t>
  </si>
  <si>
    <t>SA8135</t>
  </si>
  <si>
    <t>HUSSAINI BROTHERS LLC</t>
  </si>
  <si>
    <t>SPECIALISTS ENGINEERING FASTENERS</t>
  </si>
  <si>
    <t>Mr. SHABBIR</t>
  </si>
  <si>
    <t>00971-4-2274781</t>
  </si>
  <si>
    <t>00971-50-4530013</t>
  </si>
  <si>
    <t>00971-4-2237675</t>
  </si>
  <si>
    <t>P.O BOX 3990</t>
  </si>
  <si>
    <t>hbrosllc@emirates.net.ae</t>
  </si>
  <si>
    <t>www.hussainibros.com</t>
  </si>
  <si>
    <t>SA8136</t>
  </si>
  <si>
    <t>BIN HAM ELECTRICAL EQUIPMENT TRADING</t>
  </si>
  <si>
    <t>GENERAL ELECTRICAL, THEBEN, CROUZET, SYRELEC, ELFIN</t>
  </si>
  <si>
    <t>Mr. NANDA</t>
  </si>
  <si>
    <t>00971-4-2273939</t>
  </si>
  <si>
    <t>00971-50-3588697</t>
  </si>
  <si>
    <t>00971-4-2217619</t>
  </si>
  <si>
    <t>P.O BOX 4301</t>
  </si>
  <si>
    <t>bheet@emirates.net.ae</t>
  </si>
  <si>
    <t>SA8137</t>
  </si>
  <si>
    <t>IR (INGERSOLL RAND), FENNER, PROTO</t>
  </si>
  <si>
    <t>ARO PUMPS</t>
  </si>
  <si>
    <t>Mr. AMIR</t>
  </si>
  <si>
    <t>00971-4-2135100</t>
  </si>
  <si>
    <t>00971-50-3635945</t>
  </si>
  <si>
    <t>00971-4-2135622</t>
  </si>
  <si>
    <t>P.O BOX 5502</t>
  </si>
  <si>
    <t>amirali.khan@alfuttaim.ae</t>
  </si>
  <si>
    <t>www.famcouae.com</t>
  </si>
  <si>
    <t>SA8138</t>
  </si>
  <si>
    <t>AL WUJOOD SPARE PARTS TRADING LLC</t>
  </si>
  <si>
    <t>DEALERS OF BEARINGS</t>
  </si>
  <si>
    <t>Mr. JAMIL</t>
  </si>
  <si>
    <t>00971-4-2276199</t>
  </si>
  <si>
    <t>00971-50-5356148</t>
  </si>
  <si>
    <t>00971-4-2276190</t>
  </si>
  <si>
    <t>P.O BOX 42272</t>
  </si>
  <si>
    <t>wujood@emirates.net.ae</t>
  </si>
  <si>
    <t>SA8139</t>
  </si>
  <si>
    <t>LIBERTY MOTORS</t>
  </si>
  <si>
    <t>MORSE, M.G TECH</t>
  </si>
  <si>
    <t xml:space="preserve">HARDWARE ITEMS </t>
  </si>
  <si>
    <t>Mr. AZEEM</t>
  </si>
  <si>
    <t>00971-4-3389494</t>
  </si>
  <si>
    <t>00971-4-3389595</t>
  </si>
  <si>
    <t>SA8140</t>
  </si>
  <si>
    <t>TECHNICAL ELECTRONICS EQUIPMENT MAINTENANCE CO</t>
  </si>
  <si>
    <t>LINCOLN ELECTRIC (WELDING EXPERTS)</t>
  </si>
  <si>
    <t>Mr. ROBY</t>
  </si>
  <si>
    <t>00971-4-2896066</t>
  </si>
  <si>
    <t>00971-50-6745747</t>
  </si>
  <si>
    <t>00971-4-2896067</t>
  </si>
  <si>
    <t>P.O BOX 50001</t>
  </si>
  <si>
    <t>robykk@eim.ae</t>
  </si>
  <si>
    <t>SA8141</t>
  </si>
  <si>
    <t>INDEL SYSTEMS &amp; SOLUTIONS</t>
  </si>
  <si>
    <t>00971-4-2895722</t>
  </si>
  <si>
    <t>00971-55-7762572</t>
  </si>
  <si>
    <t>00971-4-2895227</t>
  </si>
  <si>
    <t>P.O BOX 127464</t>
  </si>
  <si>
    <t>thomas@indelsys.com</t>
  </si>
  <si>
    <t>www.indelsys.com</t>
  </si>
  <si>
    <t>SA8142</t>
  </si>
  <si>
    <t>ANDELI TRADING LLC</t>
  </si>
  <si>
    <t>CHINA</t>
  </si>
  <si>
    <t>Mr. YUAN</t>
  </si>
  <si>
    <t>00971-4-2228398</t>
  </si>
  <si>
    <t>00971-50-3563129</t>
  </si>
  <si>
    <t>00971-4-2228397</t>
  </si>
  <si>
    <t>P.O BOX 41578</t>
  </si>
  <si>
    <t>andelidubai@hotmail.com</t>
  </si>
  <si>
    <t>SA8143</t>
  </si>
  <si>
    <t>AHUJA ELECTRICAL APPLIANCES CO LLC</t>
  </si>
  <si>
    <t>HAGER</t>
  </si>
  <si>
    <t>00971-4-2282450</t>
  </si>
  <si>
    <t>00971-4-2218625</t>
  </si>
  <si>
    <t>P.O BOX 11074</t>
  </si>
  <si>
    <t>ahujaele@eim.ae</t>
  </si>
  <si>
    <t>www.ahujaelectricals.com</t>
  </si>
  <si>
    <t>SA8144</t>
  </si>
  <si>
    <t>ALFA ELECTRIC MATERIAL LLC</t>
  </si>
  <si>
    <t>TRANSFORMERS, CABLES, ELECTRICAL COMPONENTS</t>
  </si>
  <si>
    <t>00971-4-2270860</t>
  </si>
  <si>
    <t>00971-50-5259604</t>
  </si>
  <si>
    <t>00971-4-2270747</t>
  </si>
  <si>
    <t>P.O BOX 51352</t>
  </si>
  <si>
    <t>alfaelec@emirates.net.ae</t>
  </si>
  <si>
    <t>SA8145</t>
  </si>
  <si>
    <t>LOKMAN DIESEL SUPPLIER</t>
  </si>
  <si>
    <t>DIESEL SUPPLIERS</t>
  </si>
  <si>
    <t>Mr. LUKMAN</t>
  </si>
  <si>
    <t>00971-50-4661929</t>
  </si>
  <si>
    <t>SA8146</t>
  </si>
  <si>
    <t>GULF TRAD INNOVATION LLC</t>
  </si>
  <si>
    <t>DUPLOMATIC, AIGNEP, FATEK, CDC PNEUMATICS</t>
  </si>
  <si>
    <t>ELECTRICAL TIMERS, COUNTER, RELAYS, LIMIT SWITCHES, HYDRAULIC &amp; PNEUMATIC PRODUCTS, INDUSTRIAL HEATERS, BELTS</t>
  </si>
  <si>
    <t>Mr. SHAMSUDHEEN</t>
  </si>
  <si>
    <t>00971-6-5442741</t>
  </si>
  <si>
    <t>00971-50-7750719</t>
  </si>
  <si>
    <t>00971-4-5442743</t>
  </si>
  <si>
    <t>P.O BOX 96726</t>
  </si>
  <si>
    <t>www.omrandubai.com</t>
  </si>
  <si>
    <t>SA8147</t>
  </si>
  <si>
    <t>A.M TRADING CO LLC</t>
  </si>
  <si>
    <t>GENERAL ITEMS (LOCTITE, SILICON, GASKET, HARDWRE ITEMS)</t>
  </si>
  <si>
    <t>Mr. ANIL</t>
  </si>
  <si>
    <t>00971-4-2232811</t>
  </si>
  <si>
    <t>00971-50-2039880</t>
  </si>
  <si>
    <t>00971-4-2279439</t>
  </si>
  <si>
    <t>P.O BOX 6215</t>
  </si>
  <si>
    <t>amtradco@emirates.net.ae</t>
  </si>
  <si>
    <t>SA8148</t>
  </si>
  <si>
    <t>GOLDEN METAL TRADING LLC</t>
  </si>
  <si>
    <t>ALL TYPE OF BOLTS, NUTS, STUDS, GRUB BOLT, ANCHOR BOLTS, WASHERS, SPRING PINS, SOLID PINS, PLASTIC BOLTS, BRASS WASHERS, THREADED BUSHES, AND OTHER FASTENERS</t>
  </si>
  <si>
    <t>Mr. HUSSAIN</t>
  </si>
  <si>
    <t>00971-4-2287365</t>
  </si>
  <si>
    <t>00971-50-1734352      00971-55-8744285</t>
  </si>
  <si>
    <t>00971-4-2287367</t>
  </si>
  <si>
    <t>P.O BOX 55858</t>
  </si>
  <si>
    <t>gmtsales@live.com</t>
  </si>
  <si>
    <t>www.goldenmetal.org</t>
  </si>
  <si>
    <t>SA8149</t>
  </si>
  <si>
    <t>GOLDEN BRIDGE BUILDING MATERIAL TRADING</t>
  </si>
  <si>
    <t>A BRANCH OF GOLDEN METAL TRADING LLC</t>
  </si>
  <si>
    <t>ALL TYPE OF ELECTRICAL ACCESSORIES, G.I, COPPER, AND PVC PIPES, FITTINGS, BOLTS &amp; NUTS &amp; SCREWS</t>
  </si>
  <si>
    <t>00971-4-3384282</t>
  </si>
  <si>
    <t>00971-4-3393421</t>
  </si>
  <si>
    <t>fastener@eim.ae</t>
  </si>
  <si>
    <t>SA8150</t>
  </si>
  <si>
    <t>AL AZHAR BUILDING MATERIAL TRADING</t>
  </si>
  <si>
    <t>STOCKIST OF PPR FITTINGS, FURNITURE FITTINGS, AND SANITARY FITTINGS</t>
  </si>
  <si>
    <t>00971-4-3392501</t>
  </si>
  <si>
    <t>00971-4-3395639</t>
  </si>
  <si>
    <t>SA8151</t>
  </si>
  <si>
    <t>GOLDEN CASTLE ALUMINIUM AND GLASS</t>
  </si>
  <si>
    <t>SPECIALISTS OF FRAMELESS GLASS, SHOP FRONTS, STAINED GLASS, SAND BLASTING, ETCHING, DOUBLE GLAZZING, AIR BRUSHING, POLISHING, DECORATIVE GLASS, MIRROR</t>
  </si>
  <si>
    <t>00971-4-2581311</t>
  </si>
  <si>
    <t>00971-4-2581211</t>
  </si>
  <si>
    <t>P.O BOX 15611</t>
  </si>
  <si>
    <t>glcastle@eim.ae</t>
  </si>
  <si>
    <t>SA8152</t>
  </si>
  <si>
    <t>AL KORTBAWI TRADING CO</t>
  </si>
  <si>
    <t>MOELLER (AUTOMATION &amp; POWER DISTRIBUTION), DEL (OZONE WATER PURIFICATION), DETAIL PLUS (CAR APPEARANCE SYSTEM)</t>
  </si>
  <si>
    <t>ELECRTICAL &amp; ELECTRONICS COMPONENTS</t>
  </si>
  <si>
    <t>00971-6-5397300</t>
  </si>
  <si>
    <t>00971-6-5397301</t>
  </si>
  <si>
    <t>P.O BOX 2897</t>
  </si>
  <si>
    <t>kortbawi@emirates.net.ae</t>
  </si>
  <si>
    <t>SA8153</t>
  </si>
  <si>
    <t>ASHOKA ELECTRICAL &amp; MECHANICAL EQUIPMENT CO LLC</t>
  </si>
  <si>
    <t>Mr. LAXMAN</t>
  </si>
  <si>
    <t>00971-4-2220354</t>
  </si>
  <si>
    <t>00971-50-5011955</t>
  </si>
  <si>
    <t>00971-4-2271135</t>
  </si>
  <si>
    <t>P.O BOX 4738</t>
  </si>
  <si>
    <t>ashokael@eim.ae</t>
  </si>
  <si>
    <t>SA8154</t>
  </si>
  <si>
    <t xml:space="preserve">CHANKO TRADING </t>
  </si>
  <si>
    <t>00971-4-2233850</t>
  </si>
  <si>
    <t>00971-4-2280486</t>
  </si>
  <si>
    <t>P.O BOX 42391</t>
  </si>
  <si>
    <t>chanko-1@hotmail.com</t>
  </si>
  <si>
    <t>SA8155</t>
  </si>
  <si>
    <t>WATT ELECTRICALS LLC</t>
  </si>
  <si>
    <t>00971-4-2218533</t>
  </si>
  <si>
    <t>00971-4-2273968</t>
  </si>
  <si>
    <t>P.O BOX 35165</t>
  </si>
  <si>
    <t>info@wattelectrical.com</t>
  </si>
  <si>
    <t>SA8156</t>
  </si>
  <si>
    <t>STANDARD FABRICATION &amp; ENGINEERING WORKS</t>
  </si>
  <si>
    <t>MORRIS MATERIAL HANDLING</t>
  </si>
  <si>
    <t>FABRICATION AND ENGINEERING</t>
  </si>
  <si>
    <t>Mr. KURUP</t>
  </si>
  <si>
    <t>00971-4-3331818</t>
  </si>
  <si>
    <t>00971-50-7957883</t>
  </si>
  <si>
    <t>00971-4-3331320</t>
  </si>
  <si>
    <t>P.O BOX 7432</t>
  </si>
  <si>
    <t>stdengg@emirates.net.ae</t>
  </si>
  <si>
    <t>SA8157</t>
  </si>
  <si>
    <t>INSTRUMENTATION MIDDLE EAST LLC</t>
  </si>
  <si>
    <t>INSTRUMENTATION</t>
  </si>
  <si>
    <t>Mr. ABDUL HALEEM</t>
  </si>
  <si>
    <t>00971-4-8849616</t>
  </si>
  <si>
    <t>00971-50-8847156</t>
  </si>
  <si>
    <t>00971-4-8849626</t>
  </si>
  <si>
    <t>P.O BOX 61626</t>
  </si>
  <si>
    <t>abdul.haleem@instrumentation.com</t>
  </si>
  <si>
    <t>www.instrumentation.com</t>
  </si>
  <si>
    <t>SB8158</t>
  </si>
  <si>
    <t>BANNER ENGINEERING CORPORATE</t>
  </si>
  <si>
    <t>PROCESS AUTOMATION &amp; INDUSTRIAL AUTOMATION</t>
  </si>
  <si>
    <t>PHOTOCELLS</t>
  </si>
  <si>
    <t>www.bannerengineering.com</t>
  </si>
  <si>
    <t>SA8159</t>
  </si>
  <si>
    <t xml:space="preserve">SPECIALIST OF ALL TYPE OF AC &amp; DC MOTOR REWINDING </t>
  </si>
  <si>
    <t>Mr. HUSSAIN KHALID</t>
  </si>
  <si>
    <t>00971-4-2844491</t>
  </si>
  <si>
    <t>00971-55-9604142     00971-55-9604122</t>
  </si>
  <si>
    <t>00971-4-2844479</t>
  </si>
  <si>
    <t>P.O BOX 3657, 10429</t>
  </si>
  <si>
    <t>SA8160</t>
  </si>
  <si>
    <t>NABIL AL SHAIKH SAFETY EQUIPMENT TRD CO (LLC)</t>
  </si>
  <si>
    <t>SPECIALISTS IN SAFETY CLOTHING &amp; SAFETY ACCESSORIES. COVERALL, SAFETY SHOES, EAR PLUGS, PPE</t>
  </si>
  <si>
    <t>Mr. NADIM</t>
  </si>
  <si>
    <t>00971-4-2272862</t>
  </si>
  <si>
    <t>00971-50-5451355</t>
  </si>
  <si>
    <t>00971-4-2273239</t>
  </si>
  <si>
    <t>P.O BOX 65266</t>
  </si>
  <si>
    <t>nshaikhs@eim.ae</t>
  </si>
  <si>
    <t>SA8161</t>
  </si>
  <si>
    <t>AL RASHIDIYA COMPUTERS</t>
  </si>
  <si>
    <t>SALES &amp; SERVICE OF COMPUTERS &amp; ACCESSORIES, WEB DESIGNING, WEB HOSTING &amp; NETWORKING</t>
  </si>
  <si>
    <t>00971-4-2844786</t>
  </si>
  <si>
    <t>00971-4-2858711</t>
  </si>
  <si>
    <t>P.O BOX 55164</t>
  </si>
  <si>
    <t>alracom@emirates.net.ae</t>
  </si>
  <si>
    <t>SA8162</t>
  </si>
  <si>
    <t>AL MINAA AL ARABI PUMP SPARE PARTS TRD LLC</t>
  </si>
  <si>
    <t>MANUFACTURER OF ALL TYPE OF PULLEYS, SPROCKETS &amp; GEARS. POWER TRANSMISSION EQUIPMENT. CHAINS, COUPLINGS, RUBBER COMPONENTS.</t>
  </si>
  <si>
    <t>00971-6-5424870</t>
  </si>
  <si>
    <t>00971-50-6349537</t>
  </si>
  <si>
    <t>00971-6-5424871</t>
  </si>
  <si>
    <t>P.O BOX 37769</t>
  </si>
  <si>
    <t>jimuka@eim.ae</t>
  </si>
  <si>
    <t>SA8163</t>
  </si>
  <si>
    <t>GAMA ELECTRICAL TRADING CO LLC</t>
  </si>
  <si>
    <t>CONTACTORS, OVERLOAD RELAY (SIEMENS), CIRCUIT BREAKER (CUTLER HAMMER), CIRCUIT BREAKER (L&amp;T), COPPER SOLID &amp; FLEXIBLE BUSBAR (GINDRE), CAPACITORS, HAMRMONIC FILTER REACTORS ( EPCOS), CONTROL RELAYS, TIMERS, VOLTAGE MONITORING RELAYS (CARLO GAVAZZI), MEASURING INSTRUMENTS (ZIEGLER), CURRENT &amp; VOLTAGE TRANSFORMER (MBS, K FACTOR), TERMINAL BLOCKS, INTERFACE MODULES (CONNECTWELL), INDICATORS, PUSH BUTTONS, SELECTOR SWITCH (TEKNIC), PANEL FAN, THERMOSTAT, HEATERS (ALFA), POWER SUPPLY &amp; BATTERY CHARGER (ADEL SYSTEM), CABLE TRUNKING &amp; WIRING ACCESSORIES (QUINTELA), FLEX CABLES (RR KABEL), FUSE BASE &amp; FUSES (ETI), ISOLATOR/CHANGEOVER SWITCHES (TELERGON)</t>
  </si>
  <si>
    <t>Mr. NAVIN KUMAR</t>
  </si>
  <si>
    <t>00971-6-5335453</t>
  </si>
  <si>
    <t>00971-50-9515934</t>
  </si>
  <si>
    <t>00971-6-5338182</t>
  </si>
  <si>
    <t>P.O BOX 22185</t>
  </si>
  <si>
    <t>www.gama.ae</t>
  </si>
  <si>
    <t>SA8164</t>
  </si>
  <si>
    <t>POLO COURIER SERVICE</t>
  </si>
  <si>
    <t>00971-50-6176789</t>
  </si>
  <si>
    <t>Issuance</t>
  </si>
  <si>
    <t>Currency</t>
  </si>
  <si>
    <t>Accounts Code</t>
  </si>
  <si>
    <t>Name</t>
  </si>
  <si>
    <t>Abb</t>
  </si>
  <si>
    <t>Conv Rate AED</t>
  </si>
  <si>
    <t>Total Value AED</t>
  </si>
  <si>
    <t>Unit Price AED</t>
  </si>
  <si>
    <t>Total Cost AED</t>
  </si>
  <si>
    <t>Mr. DAVID</t>
  </si>
  <si>
    <t>Mr. SHAJI</t>
  </si>
  <si>
    <t>Ms. KELLY</t>
  </si>
  <si>
    <t>janusz.i@windycitycuttingdie.com</t>
  </si>
  <si>
    <t>Ms. NINA STRUNK</t>
  </si>
  <si>
    <t>Mrs. TARA BORIS</t>
  </si>
  <si>
    <t>TBoris@unicastinc.com</t>
  </si>
  <si>
    <t>www.unicastinc.com</t>
  </si>
  <si>
    <t>ADVANCE TECHNOLOGY BELTING TRD EST</t>
  </si>
  <si>
    <t>info@adtech-trading.com</t>
  </si>
  <si>
    <t>qureshi_mi@hotmail.com</t>
  </si>
  <si>
    <t>Mr. PRAVEEN</t>
  </si>
  <si>
    <t>Abdul Basit Chaudhry</t>
  </si>
  <si>
    <t>00971-508515034</t>
  </si>
  <si>
    <t>Mr. RENJU THOMAS</t>
  </si>
  <si>
    <t>Mr. AMEER</t>
  </si>
  <si>
    <t>Ms. SHABNAM</t>
  </si>
  <si>
    <t>Mr. UNNI</t>
  </si>
  <si>
    <t>Mr. SUNAJ RAFEEQ</t>
  </si>
  <si>
    <t>Mr. THOMAS JOSEPH</t>
  </si>
  <si>
    <t>Mr. VIJAY KUMAR</t>
  </si>
  <si>
    <t>Mr. JIMMY</t>
  </si>
  <si>
    <t xml:space="preserve">Mr. JUZER HATIM FAZAL </t>
  </si>
  <si>
    <t>AL MAHBOOB OIL &amp; INDUSTRIAL PROD TRD EST</t>
  </si>
  <si>
    <t>Mr.NAUFEL</t>
  </si>
  <si>
    <t>Mr. YANG</t>
  </si>
  <si>
    <t>Mr. IRFAN</t>
  </si>
  <si>
    <t>Ms. CHEN ZAIHUA</t>
  </si>
  <si>
    <t>Mr. DILIP</t>
  </si>
  <si>
    <t>Mr. SOHAIL</t>
  </si>
  <si>
    <t>Mr. ABEDALLAH ELTAYYEB</t>
  </si>
  <si>
    <t>Mr. N. KANNAN</t>
  </si>
  <si>
    <t>00971-55-8019835</t>
  </si>
  <si>
    <t>kannan@acme-world.com</t>
  </si>
  <si>
    <t>Mr. MUKESH MAHARJAN</t>
  </si>
  <si>
    <t>09971-56-6808288</t>
  </si>
  <si>
    <t>mukesh@cosmoplast.com</t>
  </si>
  <si>
    <t>Mr. JALEEL KALIYADAN</t>
  </si>
  <si>
    <t>Mr. BRILLIANT THANKACHAN</t>
  </si>
  <si>
    <t>Mr. SYED ALEEM</t>
  </si>
  <si>
    <t>00971-55-6646990</t>
  </si>
  <si>
    <t>Mr. RASHEED/NAUFAL</t>
  </si>
  <si>
    <t>Mr. MURALI</t>
  </si>
  <si>
    <t>info@gama.ae</t>
  </si>
  <si>
    <t>SB8165</t>
  </si>
  <si>
    <t>AccuWeb, Inc</t>
  </si>
  <si>
    <t>WEB GUIDE TECHNOLOGY</t>
  </si>
  <si>
    <t>Mr. JASON VANDERPOEL</t>
  </si>
  <si>
    <t>001-608-223-0625</t>
  </si>
  <si>
    <t>001-608-223-0074</t>
  </si>
  <si>
    <t>P.O BOX 7816, MADISON, WI 53707</t>
  </si>
  <si>
    <t>jav@accuweb.com</t>
  </si>
  <si>
    <t>www.accuweb.com</t>
  </si>
  <si>
    <t>SB8166</t>
  </si>
  <si>
    <t>DROPCO MULTILUBE SYSTEM PVT LTD</t>
  </si>
  <si>
    <t>LUBRICATION PUMP</t>
  </si>
  <si>
    <t>Mr. R.K GULATI</t>
  </si>
  <si>
    <t>0129-4191800</t>
  </si>
  <si>
    <t>0129-4191869</t>
  </si>
  <si>
    <t>PLOT # 152, SECTOR-58, BEHIND JCB INDIA LTD, FARIDABAD, HARYANA</t>
  </si>
  <si>
    <t>dropco@ndf.vsnl.net.in</t>
  </si>
  <si>
    <t>www.dropco.com</t>
  </si>
  <si>
    <t>HARYANA</t>
  </si>
  <si>
    <t>INDIA</t>
  </si>
  <si>
    <t>SA8167</t>
  </si>
  <si>
    <t>BRASS FLAT BAR</t>
  </si>
  <si>
    <t>06-5433799</t>
  </si>
  <si>
    <t>06-5433299</t>
  </si>
  <si>
    <t>P.O BOX 23713,</t>
  </si>
  <si>
    <t>hussainalum@yahoo.com</t>
  </si>
  <si>
    <t>SA8168</t>
  </si>
  <si>
    <t>RELIANCE ALUMINIUM &amp; COPPER PRODUCTS TRD LLC</t>
  </si>
  <si>
    <t>BRASS FLAT BAR, NON-FERROUS METALS</t>
  </si>
  <si>
    <t>06-5329457</t>
  </si>
  <si>
    <t>06-5396698</t>
  </si>
  <si>
    <t>06-5329458</t>
  </si>
  <si>
    <t>P.O BOX 31364, BMW ROAD</t>
  </si>
  <si>
    <t>rac@emirates.net.ae</t>
  </si>
  <si>
    <t>www.reliance-technical.com</t>
  </si>
  <si>
    <t>SB8169</t>
  </si>
  <si>
    <t>205-251-7522</t>
  </si>
  <si>
    <t>205-250-5577</t>
  </si>
  <si>
    <t>824 NORTH 31ST STREET BRIMINGHAM AL 35203</t>
  </si>
  <si>
    <t>www.motionindustries.com</t>
  </si>
  <si>
    <t>SB8170</t>
  </si>
  <si>
    <t>ENVELOPE MACHINE PARTS SUPPLIER</t>
  </si>
  <si>
    <t>Mr. CHRIS PITTMAN</t>
  </si>
  <si>
    <t>781-440-9993</t>
  </si>
  <si>
    <t>781-440-9994</t>
  </si>
  <si>
    <t>203 CARNEGIE ROW NORWOOD, MA 02062</t>
  </si>
  <si>
    <t>Chrisp@americanholt.com</t>
  </si>
  <si>
    <t>www.americanholt.com</t>
  </si>
  <si>
    <t>SA8171</t>
  </si>
  <si>
    <t>FALCON MECHANICAL SERVICES LLC</t>
  </si>
  <si>
    <t>Mr. Prabhu B</t>
  </si>
  <si>
    <t>04-8856490</t>
  </si>
  <si>
    <t>00971-552252690</t>
  </si>
  <si>
    <t>04-8856001</t>
  </si>
  <si>
    <t>P.O BOX: 28210, DIP</t>
  </si>
  <si>
    <t>prabhu@fmsdubai.com</t>
  </si>
  <si>
    <t>www.fmsdubai.com</t>
  </si>
  <si>
    <t>SA8172</t>
  </si>
  <si>
    <t>SAKET GARMENTS &amp; TEXTILE TRD</t>
  </si>
  <si>
    <t>SAFETY SHOES &amp; UNIFORM</t>
  </si>
  <si>
    <t>Mr. RAJESH</t>
  </si>
  <si>
    <t>06-7431461</t>
  </si>
  <si>
    <t>00971-50-4856745</t>
  </si>
  <si>
    <t>06-7431486</t>
  </si>
  <si>
    <t>P.O BOX 12642</t>
  </si>
  <si>
    <t>saketgarments@yahoo.com</t>
  </si>
  <si>
    <t>SA8173</t>
  </si>
  <si>
    <t>DAR AL SALAM ENG TURN WORKS</t>
  </si>
  <si>
    <t>06-5350865</t>
  </si>
  <si>
    <t>06-5351865</t>
  </si>
  <si>
    <t>P.O BOX 34356</t>
  </si>
  <si>
    <t>SB8174</t>
  </si>
  <si>
    <t>Solberg International, Ltd.</t>
  </si>
  <si>
    <t>Filters Vacuum Pump</t>
  </si>
  <si>
    <t>Ms. Francesca Rizzo</t>
  </si>
  <si>
    <t>001-630-616-4900</t>
  </si>
  <si>
    <t>001-630-773-2643</t>
  </si>
  <si>
    <t>1151 Ardmore Ave. 1st FL
Itasca, IL 60143</t>
  </si>
  <si>
    <t>francesca.rizzo@solbergmfg.com</t>
  </si>
  <si>
    <t>www.solbergmfg.com</t>
  </si>
  <si>
    <t>SA8175</t>
  </si>
  <si>
    <t>Danway Industrial &amp; Retail Systems</t>
  </si>
  <si>
    <t>Mr. Rajaji</t>
  </si>
  <si>
    <t>+971509155253</t>
  </si>
  <si>
    <t>PO Box 118446 Dubai, UAE</t>
  </si>
  <si>
    <t>info@danwayirs.com</t>
  </si>
  <si>
    <t>www.danwayirs.com</t>
  </si>
  <si>
    <t>SA8176</t>
  </si>
  <si>
    <t>SAFE STAR CONSULTANT</t>
  </si>
  <si>
    <t>SAFETY &amp; SECURITY CONSULTANTS</t>
  </si>
  <si>
    <t>Mr. YASSER GHANDOUR</t>
  </si>
  <si>
    <t>00971-4-2682855</t>
  </si>
  <si>
    <t>00971-4-2682632</t>
  </si>
  <si>
    <t>P.O BOX: 55066, DUBAI, UAE</t>
  </si>
  <si>
    <t>safestar@emirates.net.ae</t>
  </si>
  <si>
    <t>SA8177</t>
  </si>
  <si>
    <t>Mr. RAJA GOPAL</t>
  </si>
  <si>
    <t>00971-4-3475202</t>
  </si>
  <si>
    <t>00971-55-7859752</t>
  </si>
  <si>
    <t>00971-4-3475262</t>
  </si>
  <si>
    <t>P.O BOX: 37580, DUBAI, UAE</t>
  </si>
  <si>
    <t>rajagopal@perfecttools.ae</t>
  </si>
  <si>
    <t>www.perfecttools.ae</t>
  </si>
  <si>
    <t>SA8178</t>
  </si>
  <si>
    <t>ALL KIND OF BELTS TRADER</t>
  </si>
  <si>
    <t>Mr. IDRIS</t>
  </si>
  <si>
    <t>00971-4-3394052</t>
  </si>
  <si>
    <t>00971-55-2217863</t>
  </si>
  <si>
    <t>00971-4-3394051</t>
  </si>
  <si>
    <t>P.O BOX: 390383, DUBAI, UAE</t>
  </si>
  <si>
    <t>idris@probe.ae</t>
  </si>
  <si>
    <t>SB8179</t>
  </si>
  <si>
    <t>TRESU ROYSE INC</t>
  </si>
  <si>
    <t>SA8180</t>
  </si>
  <si>
    <t>LOYAL A/C &amp; ELECTRICAL SERVICES</t>
  </si>
  <si>
    <t>A/C CONTRACTOR</t>
  </si>
  <si>
    <t>Mr. ROBINSON</t>
  </si>
  <si>
    <t>00971-4-3415153</t>
  </si>
  <si>
    <t>00971-50-5355154</t>
  </si>
  <si>
    <t>00971-4-3415152</t>
  </si>
  <si>
    <t>P.O BOX: 115412, DUBAI, UAE</t>
  </si>
  <si>
    <t>alikh12@eim.ae</t>
  </si>
  <si>
    <t>www.loyalgrp.com</t>
  </si>
  <si>
    <t>SA8181</t>
  </si>
  <si>
    <t>MOHD ABUBAKAR TANKER SERVICE (DRAINAGE)</t>
  </si>
  <si>
    <t>DISPOSAL OF TRADE WASTE</t>
  </si>
  <si>
    <t>00971-50-5154743</t>
  </si>
  <si>
    <t>00971-55-6870066</t>
  </si>
  <si>
    <t>SA8182</t>
  </si>
  <si>
    <t>Blue Diamond General Maintenance LLC</t>
  </si>
  <si>
    <t>Manpower Rental</t>
  </si>
  <si>
    <t>Mr. Syed Ameen</t>
  </si>
  <si>
    <t>00971 55 2320442</t>
  </si>
  <si>
    <t>00971 4 8850833</t>
  </si>
  <si>
    <t>00971 4 8850834</t>
  </si>
  <si>
    <t xml:space="preserve">PO Box. 63607, </t>
  </si>
  <si>
    <t>bluedia@emirates.net.ae</t>
  </si>
  <si>
    <t>www.bluediamonduae.com</t>
  </si>
  <si>
    <t>SA8183</t>
  </si>
  <si>
    <t>MILL MECHANICAL SERVICES</t>
  </si>
  <si>
    <t>FLOOR COATING</t>
  </si>
  <si>
    <t>Fakrudheen Ali Ahmed</t>
  </si>
  <si>
    <t>00971 50 3828150</t>
  </si>
  <si>
    <t>00971 55 2244035</t>
  </si>
  <si>
    <t>00971 4 3478082</t>
  </si>
  <si>
    <t>ali@millmechanical.com</t>
  </si>
  <si>
    <t>SA8184</t>
  </si>
  <si>
    <t>GEO ELECTRICALS CONTRACTING TRD CO LLC</t>
  </si>
  <si>
    <t>AIR CONDITION SUPPLIERS</t>
  </si>
  <si>
    <t>Mr. SREE KUMAR</t>
  </si>
  <si>
    <t>00971-6-542337</t>
  </si>
  <si>
    <t>00971-55-4147993</t>
  </si>
  <si>
    <t>00971-6-5432245</t>
  </si>
  <si>
    <t>sreekumar@geogroupglobal.com</t>
  </si>
  <si>
    <t>SB8185</t>
  </si>
  <si>
    <t>ARC INTERNATIONAL</t>
  </si>
  <si>
    <t>ANILOX ROLLER</t>
  </si>
  <si>
    <t>Ms. MARY SIMMONS</t>
  </si>
  <si>
    <t>972-472-3555</t>
  </si>
  <si>
    <t>972-472-3511</t>
  </si>
  <si>
    <t>10955 WITHERS COVE PARK DRIVE CHARLOTTE, NC 28278</t>
  </si>
  <si>
    <t>msimmons@arcinternational.com</t>
  </si>
  <si>
    <t>www.arcinternational.com</t>
  </si>
  <si>
    <t>SA8186</t>
  </si>
  <si>
    <t>FIMX MECHANICAL SERVICES</t>
  </si>
  <si>
    <t>Mr. NAIZIL KAREEM</t>
  </si>
  <si>
    <t>00971-4-2844449</t>
  </si>
  <si>
    <t>00971-55-8771671</t>
  </si>
  <si>
    <t>00971-4-2850006</t>
  </si>
  <si>
    <t xml:space="preserve">P.O BOX: 79169, </t>
  </si>
  <si>
    <t>info@fimx.ae</t>
  </si>
  <si>
    <t>www.fimx.ae</t>
  </si>
  <si>
    <t>SB8187</t>
  </si>
  <si>
    <t>CMS AIR COMPRESSORS</t>
  </si>
  <si>
    <t>SA8188</t>
  </si>
  <si>
    <t>WSM MACHINERY</t>
  </si>
  <si>
    <t>MATERIAL HANDLING EQUIPMENT</t>
  </si>
  <si>
    <t>Mr. LAL N.W</t>
  </si>
  <si>
    <t>00971-4-3404481</t>
  </si>
  <si>
    <t>00971-50-4202190</t>
  </si>
  <si>
    <t>00971-4-3404482</t>
  </si>
  <si>
    <t>P.O BOX: 53291</t>
  </si>
  <si>
    <t>sales@wsmmachinery.com</t>
  </si>
  <si>
    <t>MACHINE REF2</t>
  </si>
  <si>
    <t>Week No</t>
  </si>
  <si>
    <t>LPO #</t>
  </si>
  <si>
    <t>135 G</t>
  </si>
  <si>
    <t>10</t>
  </si>
  <si>
    <t>60</t>
  </si>
  <si>
    <t>MTR-3102</t>
  </si>
  <si>
    <t>WEB ALIGNER MOTOR, MODEL: MTR-3102</t>
  </si>
  <si>
    <t>214-4COLOR</t>
  </si>
  <si>
    <t>010112331020</t>
  </si>
  <si>
    <t>020112331020</t>
  </si>
  <si>
    <t>020112252020</t>
  </si>
  <si>
    <t>P/N: 1666, HA2 MODULES FOR BAR ASSEMBLIES</t>
  </si>
  <si>
    <t>30/1/2012</t>
  </si>
  <si>
    <t>PART # 146397-08, AIR FILTER FOR QUINCY COMPRESSOR</t>
  </si>
  <si>
    <t>120112252020</t>
  </si>
  <si>
    <t>REPAIRING OF HA2 MODULE FOR BAR ASSEMBLY, P/N: 1666</t>
  </si>
  <si>
    <t>28/01/2012</t>
  </si>
  <si>
    <t>7931 5160 0338</t>
  </si>
  <si>
    <t>MANUFACTURING OF SHAFT &amp; BRASS ROLLER FOR WINDOW GUM UNIT</t>
  </si>
  <si>
    <t>14/1/2012</t>
  </si>
  <si>
    <t>130112252020</t>
  </si>
  <si>
    <t>M-800</t>
  </si>
  <si>
    <t>MULTI PURPOSE BEARING GREASE NLGI 2</t>
  </si>
  <si>
    <t>SC01584</t>
  </si>
  <si>
    <t>REFILLING OF CYLINDER + FIXING OF HORN</t>
  </si>
  <si>
    <t>20/1/2012</t>
  </si>
  <si>
    <t>200112252020</t>
  </si>
  <si>
    <t>HABASIT HNB-5E, B=50MM, L=590MM, T=1.3MM</t>
  </si>
  <si>
    <t>16/1/2012</t>
  </si>
  <si>
    <t>200112261050</t>
  </si>
  <si>
    <t>NEW ENVELOPE DIE 75 X 170 MM WITH CROSS BAR</t>
  </si>
  <si>
    <t>5041 6037 6055</t>
  </si>
  <si>
    <t>HOT MELT</t>
  </si>
  <si>
    <t>P/N: 1733, HA2 8 INCH SLOT COATER SHIM, 0.005"</t>
  </si>
  <si>
    <t>7979 2804 4590</t>
  </si>
  <si>
    <t>090112253030</t>
  </si>
  <si>
    <t>FLEXIBLE KNIVES</t>
  </si>
  <si>
    <t>5097 6983 3360</t>
  </si>
  <si>
    <t>22/1/2012</t>
  </si>
  <si>
    <t>240112252020</t>
  </si>
  <si>
    <t>AV1-30115</t>
  </si>
  <si>
    <t>IMPCO LPG PROPANE VALVE ASSEMBLY FOR MITSUBISHI FORKLIFT</t>
  </si>
  <si>
    <t>4333 9374 1188</t>
  </si>
  <si>
    <t>25/1/2012</t>
  </si>
  <si>
    <t>AMC-492-CAPITAL-IP-DN-11-12-REV01</t>
  </si>
  <si>
    <t>SC01572</t>
  </si>
  <si>
    <t>50% ADVANCE PAYMENT AGAINST ANNUAL CONTRACT FOR FIRE &amp; SAFETY</t>
  </si>
  <si>
    <t>16/01/2012</t>
  </si>
  <si>
    <t>250112252020</t>
  </si>
  <si>
    <t>030588</t>
  </si>
  <si>
    <t>MFH-5-1/4 SOLENOID VALVE + COIL + EZ1-1/2-230VAC-16B DRAIN VALVE</t>
  </si>
  <si>
    <t>250112112020</t>
  </si>
  <si>
    <t>MANUFACTURING OF CREASING ROLLER AS PER SAMPLE</t>
  </si>
  <si>
    <t>13/2/2012</t>
  </si>
  <si>
    <t>250112172020</t>
  </si>
  <si>
    <t>MANUFACTURING OF STUD AS PER SAMPLE. EXTEND THREAD ON ONE SIDE</t>
  </si>
  <si>
    <t>250112011020</t>
  </si>
  <si>
    <t>MODIFICATION OF FLEXIBLE COUPLING FOR SERVO MOTOR</t>
  </si>
  <si>
    <t>020212252020</t>
  </si>
  <si>
    <t>P/N: 1318, 24VDC SOLENOID VALVE, HIGH SPEED</t>
  </si>
  <si>
    <t>20/2/2012</t>
  </si>
  <si>
    <t>7980 7223 4571</t>
  </si>
  <si>
    <t>P/N: 3202, #4-40 X 3/8" SOCKET HEAD CAP SCREW</t>
  </si>
  <si>
    <t>100</t>
  </si>
  <si>
    <t>P/N: 1642, HA2 1.25" SLOT COATER KNIFE FOR UP TO 1" PATTERN</t>
  </si>
  <si>
    <t>P/N: 1673-010, HA2 1.25" SLOT COATER SHIM</t>
  </si>
  <si>
    <t>P/N: 200 MESH SCREEN REPLACEMENT</t>
  </si>
  <si>
    <t>P/N: 1558-08, 8" APLLICATOR AIR LINE ASSEMBLY, 1/8" FITTINGS BOTH END</t>
  </si>
  <si>
    <t>P/N: 1643, HA2 1.25" SLOT NOZZLE &amp; SEAT</t>
  </si>
  <si>
    <t>P/N: 1625, HA2 SPRAY NOZZLE ADAPTER WITH SEAT</t>
  </si>
  <si>
    <t>P/N: 3507, VITON O-RING, 037</t>
  </si>
  <si>
    <t>P/N: 3521, VITON O-RING, 145</t>
  </si>
  <si>
    <t>P/N: 3510, VITON O-RING, 015</t>
  </si>
  <si>
    <t>PROTOTYPE 200 MESH PUMP FILTER ASSEMBLY WITH SUPPORT</t>
  </si>
  <si>
    <t>26/1/2012</t>
  </si>
  <si>
    <t>260112042020</t>
  </si>
  <si>
    <t>MANUFACTURING OF PULLING LENGTH SPUR GEAR WITH 38 TEETH, WITH HARDENING, APS</t>
  </si>
  <si>
    <t>25/2/12</t>
  </si>
  <si>
    <t>260112292020</t>
  </si>
  <si>
    <t>MANUFACTURING OF PULLING LENGTH SPUR GEAR WITH 54 TEETH, WITH HARDENING, APS</t>
  </si>
  <si>
    <t>260112072020</t>
  </si>
  <si>
    <t>ADL/2355/2012/AR</t>
  </si>
  <si>
    <t>RUBBERISATION OF INK ROLLER 103 X 60 X 280 MM. RUBBER SHOULD BE SOLVENT RESISTANT AS DONE LAST TIME.</t>
  </si>
  <si>
    <t>RUBBERISATION OF INK ROLLER 103 X 60 X 285 MM. RUBBER SHOULD BE SOLVENT RESISTANT AS DONE LAST TIME.</t>
  </si>
  <si>
    <t>260112053040</t>
  </si>
  <si>
    <t>SOLID WINDOW KNIFE, CORNER CUTTING KNIVES, P&amp;S KNIFE</t>
  </si>
  <si>
    <t>5041 6037 6526</t>
  </si>
  <si>
    <t>020212162020</t>
  </si>
  <si>
    <t xml:space="preserve">MANUFACTURING OF BRAKE BLOCK </t>
  </si>
  <si>
    <t>010212162020</t>
  </si>
  <si>
    <t>FIXING OF BRAKE LINER TO BLOCKS</t>
  </si>
  <si>
    <t>020212193060</t>
  </si>
  <si>
    <t>MANUFACTURING OF GLUE STICKS</t>
  </si>
  <si>
    <t>P/N: 2381, HIGH PRESSURE PUMP ASSEMBLY</t>
  </si>
  <si>
    <t>P/N: 2080, FLOW VALVE ADJUSTER</t>
  </si>
  <si>
    <t>P/N: 2110, FLOW VALVE SPRING, 1.400"</t>
  </si>
  <si>
    <t>P/N: 2475, STANDARD METERING PIN</t>
  </si>
  <si>
    <t>020212253060</t>
  </si>
  <si>
    <t>BRAKE BRUSH, V 87.02.000.0</t>
  </si>
  <si>
    <t>PROTECTIVE FOIL, K 7.118.17</t>
  </si>
  <si>
    <t>McMASTER REF: 6280K621, SPROCKET # 41</t>
  </si>
  <si>
    <t>4333 9374 1317</t>
  </si>
  <si>
    <t>020212302020</t>
  </si>
  <si>
    <t>McMASTER REF: 6261K152, CHAIN # 41</t>
  </si>
  <si>
    <t>McMASTER REF: 6261K262, ADD-AND-CONNECT CHAIN LINK # 41</t>
  </si>
  <si>
    <t>9333 9374 1317</t>
  </si>
  <si>
    <t>McMASTER REF: 6261K192, CONNECTING LINK # 41</t>
  </si>
  <si>
    <t>LINK, PART NO OS-12400-2</t>
  </si>
  <si>
    <t>18/2/2012</t>
  </si>
  <si>
    <t>4333 9374 1339</t>
  </si>
  <si>
    <t>020212383060</t>
  </si>
  <si>
    <t>PRINTING BLANKETS</t>
  </si>
  <si>
    <t>7931 6547 3106</t>
  </si>
  <si>
    <t>070212242020</t>
  </si>
  <si>
    <t>PART # 144046-005, QUINSYN-PLUS SYNTHETIC COMPRESSOR OIL</t>
  </si>
  <si>
    <t>080212042020</t>
  </si>
  <si>
    <t>MANUFACTURING OF SHAFT WITH GRINDING. EN-8, DIA=1-3/8", L=1200MM</t>
  </si>
  <si>
    <t>21/3/2012</t>
  </si>
  <si>
    <t>090212172020</t>
  </si>
  <si>
    <t>DROPCO MANUAL GREASE PUMP MODELDMH-GP-1000-4, RESERVOIR CAPACITY-1000 cc, DISCHARGE-4 cc PER STROKE, MAX PRESSURE-80Kg/Sq Cm</t>
  </si>
  <si>
    <t>22/2/12</t>
  </si>
  <si>
    <t>8763 1396 7250</t>
  </si>
  <si>
    <t>100212132020</t>
  </si>
  <si>
    <t>5041 6037 6890</t>
  </si>
  <si>
    <t>UPS W4321033945</t>
  </si>
  <si>
    <t>6 X 4</t>
  </si>
  <si>
    <t>13 X 9</t>
  </si>
  <si>
    <t>100212141050</t>
  </si>
  <si>
    <t>115 X 227 MM</t>
  </si>
  <si>
    <t>5041 6037 6868</t>
  </si>
  <si>
    <t>120212172020</t>
  </si>
  <si>
    <t>ADL/2398/2012/AR</t>
  </si>
  <si>
    <t>RUBBERISATION OF TRANSFER SEGMENTS</t>
  </si>
  <si>
    <t>21/3/12</t>
  </si>
  <si>
    <t>120212042020</t>
  </si>
  <si>
    <t>MANUFACTURING OF PINS AS PER DRAWING FOR DELIVERY TABLE</t>
  </si>
  <si>
    <t>120212252020</t>
  </si>
  <si>
    <t>MANUFACTURING OF STRIP AS PER DRAWING FOR DELIVERY TABLE</t>
  </si>
  <si>
    <t>120212012020</t>
  </si>
  <si>
    <t>MANUFACTURING OF GLUE ADJUSTING BOLT FOR HOTMELT PUMP</t>
  </si>
  <si>
    <t>MACHINING OF PROJECTED AREA ON BIG CYLINDER FOR RIGHT ANGLE UNIT</t>
  </si>
  <si>
    <t>120212151050</t>
  </si>
  <si>
    <t>NEW ENVELOPE DIE 114 X 229 MM</t>
  </si>
  <si>
    <t>5041 6037 7030</t>
  </si>
  <si>
    <t>120212292040</t>
  </si>
  <si>
    <t>MODIFICATION OF MOW OLD KNIVES TO NEW DRAWING REF</t>
  </si>
  <si>
    <t>120212062020</t>
  </si>
  <si>
    <t>REPAIRING OF INK TANK</t>
  </si>
  <si>
    <t>120212072020</t>
  </si>
  <si>
    <t>MANUFACTURING OF ALUMINIUM STOPPER AS PER SAMPLE</t>
  </si>
  <si>
    <t>120212253030</t>
  </si>
  <si>
    <t>5181 8464 8425</t>
  </si>
  <si>
    <t>120212042040</t>
  </si>
  <si>
    <t xml:space="preserve">STRAIGHT P&amp;S KNIFE FOR MOH </t>
  </si>
  <si>
    <t>130212062020</t>
  </si>
  <si>
    <t>ADL/2416/2012/AR</t>
  </si>
  <si>
    <t>RUBBERISATION OF ROLLER 52.2 X 37 X 327 MM</t>
  </si>
  <si>
    <t>26/2/12</t>
  </si>
  <si>
    <t>RUBBERISATION OF ROLLER 36.5 X 18 X 326 MM</t>
  </si>
  <si>
    <t>RUBBERISATION OF WHEEL 50.2 X 38 X 20 MM</t>
  </si>
  <si>
    <t>RUBBERISATION OF WHEEL 50.2 X 38 X 9 MM</t>
  </si>
  <si>
    <t>14/2/2012</t>
  </si>
  <si>
    <t>140212252020</t>
  </si>
  <si>
    <t>McMASTER REF: 2595A367, SPECIAL THREAD TAP 3/4"-24, BOTTOMING</t>
  </si>
  <si>
    <t>18/2/201</t>
  </si>
  <si>
    <t>4333 9374 1340</t>
  </si>
  <si>
    <t>16/2/2012</t>
  </si>
  <si>
    <t>160212252020</t>
  </si>
  <si>
    <t>Q 12021608</t>
  </si>
  <si>
    <t>PERFORATED CONVEYOR BELT HABASIT MAM-04H, B=195, L=405, T=1.45MM</t>
  </si>
  <si>
    <t>160212022020</t>
  </si>
  <si>
    <t>FW/ET/11692/2012</t>
  </si>
  <si>
    <t>MANUFACTURING OF BRASS BUSHING, ID=10, OD=14, L=12 MM</t>
  </si>
  <si>
    <t>160212042020</t>
  </si>
  <si>
    <t>MANUFACTURING OF SLOTTED PINS FOR DELIVERY TABLE</t>
  </si>
  <si>
    <t>160212292020</t>
  </si>
  <si>
    <t>MANUFACTURING OF BRASS BUSH &amp; PIN FOR IDLE SPROCKET ON REFEEDER</t>
  </si>
  <si>
    <t>160212253060</t>
  </si>
  <si>
    <t>180212272020</t>
  </si>
  <si>
    <t>282/2012/1</t>
  </si>
  <si>
    <t>RAMP REPAIRING AS PER AGREED TERMS IN QUOTATION</t>
  </si>
  <si>
    <t>24/3/2012</t>
  </si>
  <si>
    <t>ECU 91165-15800 MITSUBISHI FORKLIFT</t>
  </si>
  <si>
    <t>SHIPPING CHARGES</t>
  </si>
  <si>
    <t>180212042020</t>
  </si>
  <si>
    <t>AL63-771961</t>
  </si>
  <si>
    <t>5323-111-034 ARMATURE SPLINE DRIVE 1225</t>
  </si>
  <si>
    <t>15/2/2012</t>
  </si>
  <si>
    <t>6614 0045 3002</t>
  </si>
  <si>
    <t>5313-631-001 MAGNET IM 90V LK FACING</t>
  </si>
  <si>
    <t>9614 0045 3002</t>
  </si>
  <si>
    <t>6011-448-001 CONTROLLER</t>
  </si>
  <si>
    <t>220212062020</t>
  </si>
  <si>
    <t>MANUFACTURING OF SPUR GEAR APS, MAT = FIBER</t>
  </si>
  <si>
    <t>22/2/2012</t>
  </si>
  <si>
    <t>220212102020</t>
  </si>
  <si>
    <t>REPAIRING OF BEARING SEAT OF ROLLER</t>
  </si>
  <si>
    <t>220212302020</t>
  </si>
  <si>
    <t>FW/ET/11702/2012</t>
  </si>
  <si>
    <t>FW/9209</t>
  </si>
  <si>
    <t>NEW SHAFT MANUFACTURING FOR IDLER SPROCKET # 41-1</t>
  </si>
  <si>
    <t>MODIFICATION OF SPROCKET # 41-1-24 NOT</t>
  </si>
  <si>
    <t>MANUFACTURING OF COLLAR</t>
  </si>
  <si>
    <t xml:space="preserve">MANUFACTURING OF COLLAR PIN </t>
  </si>
  <si>
    <t>23/2/2012</t>
  </si>
  <si>
    <t>230212252020</t>
  </si>
  <si>
    <t>66573, 66575</t>
  </si>
  <si>
    <t>S327.0029710M, ALIGNER CHAIN PIN (MODIFIED BOSS)</t>
  </si>
  <si>
    <t>29/2/2012</t>
  </si>
  <si>
    <t>8736 8097 0610</t>
  </si>
  <si>
    <t>23/2/12</t>
  </si>
  <si>
    <t>230212302020</t>
  </si>
  <si>
    <t>5MM SS ROD FOR CONVEYOR CHAIN</t>
  </si>
  <si>
    <t>230212022020</t>
  </si>
  <si>
    <t>FW/9221</t>
  </si>
  <si>
    <t>MANUFACTURING OF THREADED PIN FOR ALIGNER SECTION</t>
  </si>
  <si>
    <t>23/3/2012</t>
  </si>
  <si>
    <t>MANUFACTURING OF BRASS CONNECTORS FOR HOTMELT GLUE, APD</t>
  </si>
  <si>
    <t>230212042020</t>
  </si>
  <si>
    <t>MO-8249, SKID BRUSH</t>
  </si>
  <si>
    <t>MO-6799, DRYER CHAIN MASTER LINK</t>
  </si>
  <si>
    <t>B244.360, 360MM LONG 12MM ROUND CERAMIC BAR (10.28.250.00.00)</t>
  </si>
  <si>
    <t>P/N: 3522, VITON O-RING, 016</t>
  </si>
  <si>
    <t>7933 4385 6480</t>
  </si>
  <si>
    <t>P/N: 3519, VITON O-RING, 119</t>
  </si>
  <si>
    <t>25/2/2012</t>
  </si>
  <si>
    <t>250212252020</t>
  </si>
  <si>
    <t>PART # 9372000700, SENSOR FOR MITSUBISHI FORKLIFT</t>
  </si>
  <si>
    <t>290212272060</t>
  </si>
  <si>
    <t>SER-REC-QN-2012-0419-CAPITAL-M1742-DA-DN</t>
  </si>
  <si>
    <t>SC02031</t>
  </si>
  <si>
    <t>REFILLING OF CO2 CYLINDER</t>
  </si>
  <si>
    <t>18/3/12</t>
  </si>
  <si>
    <t>REPLACEMENT OF BELL 8"</t>
  </si>
  <si>
    <t>290212252020</t>
  </si>
  <si>
    <t>VGQ12/176</t>
  </si>
  <si>
    <t>12N24</t>
  </si>
  <si>
    <t>TACHOMETER/STROBOSCOPE 2 IN 1, DIGITAL TACHOMETER WITH DIGITAL STROBOSCOPE. MODEL: DT-2259</t>
  </si>
  <si>
    <t>290212102020</t>
  </si>
  <si>
    <t>K 4.717.15, REFLECTION-LIGHT SCANNER</t>
  </si>
  <si>
    <t>7981 1851 3810</t>
  </si>
  <si>
    <t>010312042020</t>
  </si>
  <si>
    <t>P/N: 2097, MOTOR</t>
  </si>
  <si>
    <t>P/N: 2109, CAPACITOR</t>
  </si>
  <si>
    <t>010312032020</t>
  </si>
  <si>
    <t>MANUFACTURING OF GEAR WITH BACKLASH SETTING OPTION. APS AND INSTRUCTIONS</t>
  </si>
  <si>
    <t>MANUFACTURING OF CHAIN SPROCKET # 25-1, NOT 25</t>
  </si>
  <si>
    <t>MANUAL GRINDING OF CHAIN GUIDES FOR ALIGNER SECTION</t>
  </si>
  <si>
    <t>010312062020</t>
  </si>
  <si>
    <t>MANUFACTURING OF DE-CURL PLATE</t>
  </si>
  <si>
    <t>050312252020</t>
  </si>
  <si>
    <t>5041 6037 7706</t>
  </si>
  <si>
    <t>P&amp;S KNIFE FOR 38R</t>
  </si>
  <si>
    <t>P&amp;S KNIFE FOR 135</t>
  </si>
  <si>
    <t>SOLID WINDOW KNIFE 45 X 100 MM</t>
  </si>
  <si>
    <t>050312252010</t>
  </si>
  <si>
    <t>5VDC POWER SUPPLY</t>
  </si>
  <si>
    <t>LCD14008 CONTACTOR, CONTACT 3NO-1NC, 110VAC</t>
  </si>
  <si>
    <t>050312253030</t>
  </si>
  <si>
    <t>5181 8464 9671</t>
  </si>
  <si>
    <t>PROFILE KNIFE 114 X 234 MM</t>
  </si>
  <si>
    <t>PROFILE KNIFE 114 X 162 MM</t>
  </si>
  <si>
    <t>060312252020</t>
  </si>
  <si>
    <t>PART # 15-3113, FEED ROLL</t>
  </si>
  <si>
    <t>7933 1134 0129</t>
  </si>
  <si>
    <t>PART # 15-1126T, SEGMENT</t>
  </si>
  <si>
    <t>PART # 10-1278, CONE ROLL</t>
  </si>
  <si>
    <t>PART # 10-1312 (MO-818), OSCILLATING ROLL</t>
  </si>
  <si>
    <t>PART # 10-1069SYS, CARRIAGE ROLL ASSEMBLY</t>
  </si>
  <si>
    <t>PART # 15-1122AT, SEGMENT</t>
  </si>
  <si>
    <t>8736 8097 0620</t>
  </si>
  <si>
    <t>RA-90609, PERFORATED TAPE</t>
  </si>
  <si>
    <t>LO-1300-01, PUSHER PIN w/PLATE</t>
  </si>
  <si>
    <t>RA-71106-SG, ALIGNER PIN, UNIVERSAL (AH-3480)</t>
  </si>
  <si>
    <t>100312021020</t>
  </si>
  <si>
    <t>McMASTER REF: 8240A613, FLAP SANDING TOOL FOR INTERNAL SANDING</t>
  </si>
  <si>
    <t>4333 9374 1410</t>
  </si>
  <si>
    <t>McMASTER REF: 8240A38, MANDREL FOR 3-FLAP 5/8"-1"</t>
  </si>
  <si>
    <t>McMASTER REF: 8240A22, FLAP SANDING TOOL</t>
  </si>
  <si>
    <t>McMASTER REF: A41, MANDREL 4-FLAP, 1" TO 4", ID FLAP</t>
  </si>
  <si>
    <t>McMASTER REF: 8240A643, FLAP SANDING TOOL FOR INTERNAL SANDING</t>
  </si>
  <si>
    <t>McMASTER REF: 8240A25, FLAP SANDING TOOL FOR INTERNAL SANDING</t>
  </si>
  <si>
    <t>McMASTER REF: 4576A68, AIR POWERED ANGLE GRINDER FOR BITS &amp; BURS</t>
  </si>
  <si>
    <t xml:space="preserve">McMASTER REF: 4701A95, HOLDER FOR 2" &amp; 3" </t>
  </si>
  <si>
    <t>McMASTER REF: 4701A355, QUICK CHANGE ALUMINIUM OXIDE CLOTH</t>
  </si>
  <si>
    <t>McMASTER REF: 4701A366, QUICK CHANGE ALUMINIUM OXIDE CLOTH</t>
  </si>
  <si>
    <t>McMASTER REF: 4701A61, QUICK-CHANGE ALUNMINIUM OXIDE</t>
  </si>
  <si>
    <t>McMASTER REF: 6495K43, 14 TEETH TIMING BELT PULLEY</t>
  </si>
  <si>
    <t>NEXT DAY DELIVERY SUPPLIER TO CURTIUS</t>
  </si>
  <si>
    <t>100312022020</t>
  </si>
  <si>
    <t>MANUFACTURING OF WINDOW GUM ROLLER, APS</t>
  </si>
  <si>
    <t>100312253060</t>
  </si>
  <si>
    <t>STEEL DOCTOR BLADE, 217204-1200-0 (0.0059 X 0.75 X 1200 INCH)</t>
  </si>
  <si>
    <t>4333 9374 1453</t>
  </si>
  <si>
    <t>MANUFACTURING OF WINDOW GUM PAD HOLDER AS PER DRAWING</t>
  </si>
  <si>
    <t>MANUFACTURING OF ALUMINIUM WINDOW GUM RING AS PER DRAWING</t>
  </si>
  <si>
    <t>100312112020</t>
  </si>
  <si>
    <t>ADL/2497/2012/AR</t>
  </si>
  <si>
    <t>RUBBERISATION OF ROLLER, 22 X 14 X 195 MM, HARDNESS = 60 SHORE</t>
  </si>
  <si>
    <t>RUBBERISATION OF ROLLER, 22 X 14 X 235 MM, HARDNESS = 60 SHORE</t>
  </si>
  <si>
    <t>GRINDING &amp; POLISHING OF RUBBER ROLLER, 27 X 225 MM</t>
  </si>
  <si>
    <t>120312252020</t>
  </si>
  <si>
    <t>S-229, ULTRA MOLY SYNTHETIC EP RED BEARING GREASE NLGI 0</t>
  </si>
  <si>
    <t>120312021010</t>
  </si>
  <si>
    <t>12N34</t>
  </si>
  <si>
    <t>TC73 HCRR, ELECTRONIC COUNTER</t>
  </si>
  <si>
    <t>120312172020</t>
  </si>
  <si>
    <t>135G</t>
  </si>
  <si>
    <t>MANUFACTURING OF 2 SETS OF BRONZE BRACKETS FOR FOLDING SECTION</t>
  </si>
  <si>
    <t>13/3/12</t>
  </si>
  <si>
    <t>130312292020</t>
  </si>
  <si>
    <t>MANUFACTURING OF PARTS FOR P&amp;S, SHAFT, RULON FIXING FOR VALVE</t>
  </si>
  <si>
    <t>14/3/12</t>
  </si>
  <si>
    <t>140312022020</t>
  </si>
  <si>
    <t>COUPLING MACHINING AS PER INSTRUCTIONS</t>
  </si>
  <si>
    <t>BORING, HUB PARTING AND KEYWAY MACHINING</t>
  </si>
  <si>
    <t>BORING AND MACHINING TO SUITE BEARING</t>
  </si>
  <si>
    <t>MANUFACTURING OF SLEEVE AS PER INSTRUCTIONS</t>
  </si>
  <si>
    <t>DICOUNT: 6.25%</t>
  </si>
  <si>
    <t>14/3/2012</t>
  </si>
  <si>
    <t>140312392020</t>
  </si>
  <si>
    <t>SHANKLIN</t>
  </si>
  <si>
    <t xml:space="preserve">BD-0117, ITEM # 11, V-BELT PAIR (Drawing # B08-0111) </t>
  </si>
  <si>
    <t>4333 9374 1464</t>
  </si>
  <si>
    <t>STEEL WIRE, N05-0499-006</t>
  </si>
  <si>
    <t>SIDE SEAL WIRE-TOP, J05-0499-001</t>
  </si>
  <si>
    <t>140312252020</t>
  </si>
  <si>
    <t>IMPCO RK-COBRA REPAIR KIT FOR MITSUBISHI FORKLIFT</t>
  </si>
  <si>
    <t>140312021010</t>
  </si>
  <si>
    <t>031372</t>
  </si>
  <si>
    <t>MFH-3-1/4, SOLENOID VALVE</t>
  </si>
  <si>
    <t>EZ1-1/2-230VAC-16B, AUTO DRAIN SWITCH</t>
  </si>
  <si>
    <t>15/3/12</t>
  </si>
  <si>
    <t>150312042020</t>
  </si>
  <si>
    <t>Q 12031502</t>
  </si>
  <si>
    <t>HABASIT TC-55ER, B=37, L=4000, T=3 MM, ENDLESS FLEXPROOF</t>
  </si>
  <si>
    <t>15/3/2012</t>
  </si>
  <si>
    <t>150312292020</t>
  </si>
  <si>
    <t>HABASIT TC-55ER, B=37, L=2605, T=3 MM, ONLINE JOINING</t>
  </si>
  <si>
    <t>150312172020</t>
  </si>
  <si>
    <t>HABASIT S-10/15, B=17, L=2380, T=1.5 MM, ENDLESS FLEX PROOF</t>
  </si>
  <si>
    <t>150312252020</t>
  </si>
  <si>
    <t>P/N: 1612, PISTON &amp; NEEDLE ASSEMBLY</t>
  </si>
  <si>
    <t>P/N: 1659, HA2 SPRAY MODULE SEAL KIT FOR 1633</t>
  </si>
  <si>
    <t>P/N: 1628-010, SPRAY NOZZLE 0.010" ORIFICE</t>
  </si>
  <si>
    <t>P/N: 3019, # 6-32 X 1/4" SOCKET BUTTON CAP HEAD CAP SCREW</t>
  </si>
  <si>
    <t>P/N: 3111, COPPER WASHER</t>
  </si>
  <si>
    <t>P/N: S-0109, O-RING LUBE, 2 oz TUBE</t>
  </si>
  <si>
    <t>TUBE</t>
  </si>
  <si>
    <t>P/N: 1626, SPRAY NOZZLE AIR CHAMBER</t>
  </si>
  <si>
    <t>P/N: 3097, 50 MESH PUMP FILTER WITH SUPPORT SPRING</t>
  </si>
  <si>
    <t>P/N: 3053, 200 MESH FILTER SCREEN FOR 1/4" SUPPORT</t>
  </si>
  <si>
    <t>48</t>
  </si>
  <si>
    <t>P/N: 3078 , 200 MESH FILTER SCREEN FOR 1/8" SUPPORT</t>
  </si>
  <si>
    <t>P/N: 3059, FILTER ADAPTER ASSEMBLY</t>
  </si>
  <si>
    <t>15/3/120</t>
  </si>
  <si>
    <t>HABASIT TC-55ER, B=37, L=2930, T=3 MM, ONLINE JOINING</t>
  </si>
  <si>
    <t>150312062020</t>
  </si>
  <si>
    <t>FW/ET/11745/2012</t>
  </si>
  <si>
    <t>FW/9223</t>
  </si>
  <si>
    <t>M.S PULLEY FOR TIIMING BELT WITH COLLAR ON ONE SIDE</t>
  </si>
  <si>
    <t>23/3/12</t>
  </si>
  <si>
    <t>150312302020</t>
  </si>
  <si>
    <t>FW/9222</t>
  </si>
  <si>
    <t>ROD FOR CONVEYROR CHAIN</t>
  </si>
  <si>
    <t>35</t>
  </si>
  <si>
    <t>150312102020</t>
  </si>
  <si>
    <t>COUPLING FOR DAMPENING UNIT</t>
  </si>
  <si>
    <t>150312212020</t>
  </si>
  <si>
    <t>MANUFACTURING OF BRACKET FOR 25 &amp; 50 ENVELOPES PACKING</t>
  </si>
  <si>
    <t>210312062020</t>
  </si>
  <si>
    <t>ADL/2538/2012/AR</t>
  </si>
  <si>
    <t>RUBBERISATION OF INK ROLLER, 103 X 62 X 280 MM, (SOLVENT RESISTANT)</t>
  </si>
  <si>
    <t>27/3/2012</t>
  </si>
  <si>
    <t>210312102020</t>
  </si>
  <si>
    <t>RUBBERISATION OF INK ROLLER, 39 X 28 X 430 MM, HARD = 35 SHORE</t>
  </si>
  <si>
    <t>RUBBERISATION OF INK ROLLER, 45 X 33 X 430 MM, HARD = 35 SHORE</t>
  </si>
  <si>
    <t>RUBBERISATION OF INK ROLLER, 58 X 30 X 460 MM, HARD = 30 SHORE</t>
  </si>
  <si>
    <t>RUBBERISATION OF INK ROLLER, 58 X 30 X 430 MM, HARD = 30 SHORE</t>
  </si>
  <si>
    <t>REPAIRING OF BEARING SEAT</t>
  </si>
  <si>
    <t>210312302020</t>
  </si>
  <si>
    <t>22/3/2012</t>
  </si>
  <si>
    <t>230312274060</t>
  </si>
  <si>
    <t>1530 / 2785</t>
  </si>
  <si>
    <t>SAFETY SHOES (ARMSTRONG BRAND)</t>
  </si>
  <si>
    <t>78</t>
  </si>
  <si>
    <t>230312172020</t>
  </si>
  <si>
    <t>MANUFACTURING OF SHAFT AND HELICAL GEARS FOR DRIVE SIDE</t>
  </si>
  <si>
    <t>1 + 3</t>
  </si>
  <si>
    <t>240312242020</t>
  </si>
  <si>
    <t>QUINCY LUBRICANT FOR VACUUM PUMP, 144046-005</t>
  </si>
  <si>
    <t>240312252020</t>
  </si>
  <si>
    <t>P/N: 3078, 200 MESH FILTER SCREEN FOR 1/8" SUPPORT</t>
  </si>
  <si>
    <t>240312151050</t>
  </si>
  <si>
    <t>NEW ENVELOPE HIGH DIE WITH CROSS BAR, SIZE 155 X 220 MM (AS/DRAWING)</t>
  </si>
  <si>
    <t>5041 6037 8757</t>
  </si>
  <si>
    <t>25/3/2012</t>
  </si>
  <si>
    <t>250312382020</t>
  </si>
  <si>
    <t>DUBLIN 9411-200 HYDRO ROTATING UNION</t>
  </si>
  <si>
    <t>250312022020</t>
  </si>
  <si>
    <t>MANUFACTURING OF KNURLED SHAFT 35 X 600 MM</t>
  </si>
  <si>
    <t>250312021020</t>
  </si>
  <si>
    <t>MANUFACTURING OF HOLLOW SPACER</t>
  </si>
  <si>
    <t>250312252020</t>
  </si>
  <si>
    <t>MANUFACTURING OF ROLLERS 35 X 30 MM FOR DELIVERY SECTION OF 38R-2</t>
  </si>
  <si>
    <t>26/3/2012</t>
  </si>
  <si>
    <t>260312253030</t>
  </si>
  <si>
    <t>28/3/12</t>
  </si>
  <si>
    <t>5181 8465 1535</t>
  </si>
  <si>
    <t>PROFILE KNIFE 115 X 225 MM</t>
  </si>
  <si>
    <t>WINDOW KNIFE 40 X 100 MM</t>
  </si>
  <si>
    <t>270312382020</t>
  </si>
  <si>
    <t>Q 12032704</t>
  </si>
  <si>
    <t>HABASIT HNI-5P, PERFORATED BELT, 38 X 217 X 0.9 MM (FOR DELIVERY UNIT)</t>
  </si>
  <si>
    <t>270312252020</t>
  </si>
  <si>
    <t>HABASIT HAT-8P, ENDLESS THERMOFIX, 80 X 1330 X 2 MM</t>
  </si>
  <si>
    <t>020412253060</t>
  </si>
  <si>
    <t>020412292020</t>
  </si>
  <si>
    <t>Sprocket for Modification</t>
  </si>
  <si>
    <t>030412023060</t>
  </si>
  <si>
    <t>Roll</t>
  </si>
  <si>
    <t>030412022020</t>
  </si>
  <si>
    <t>Manufacture of shaft with bush as per sample</t>
  </si>
  <si>
    <t>1</t>
  </si>
  <si>
    <t>Set</t>
  </si>
  <si>
    <t>030412013060</t>
  </si>
  <si>
    <t>217250-1200-0</t>
  </si>
  <si>
    <t>Mylar Doctor Blade,  .014" x 1.00" x 1200"</t>
  </si>
  <si>
    <t>2</t>
  </si>
  <si>
    <t>100412271020</t>
  </si>
  <si>
    <t>Anti-jam mechanism</t>
  </si>
  <si>
    <t>100412222020</t>
  </si>
  <si>
    <t>Manufacture of Bracket for Packing Machine as per Sample Cast Iron</t>
  </si>
  <si>
    <t>100412192020</t>
  </si>
  <si>
    <t xml:space="preserve">Bracket for repairing fixing new bush welding and machining </t>
  </si>
  <si>
    <t>170412044020</t>
  </si>
  <si>
    <t>Score Blades, Flap, 13-1/4' long</t>
  </si>
  <si>
    <t>4</t>
  </si>
  <si>
    <t>Skid Brush</t>
  </si>
  <si>
    <t>Score Blades</t>
  </si>
  <si>
    <t>170412102020</t>
  </si>
  <si>
    <t>RE RUBBERISATION FOD 103 x MOD 69 x LT 395</t>
  </si>
  <si>
    <t>170412192020</t>
  </si>
  <si>
    <t>RE RUBBERISATION FOD 59 x MOD 52 x LT 50</t>
  </si>
  <si>
    <t>170412172020</t>
  </si>
  <si>
    <t>P/U Coating on wheel FOD 54 x MOD 48 x LT 30 mm</t>
  </si>
  <si>
    <t>170412021020</t>
  </si>
  <si>
    <t>Parts for magnetic cylinder with bearings </t>
  </si>
  <si>
    <t>5041 6037 9580</t>
  </si>
  <si>
    <t>170412022020</t>
  </si>
  <si>
    <t>Manufacture of Pins per sample</t>
  </si>
  <si>
    <t>Manufacture of Anvil Extenstion 170 x 41 x 42 mm as per drawing with MS Material and Grinding</t>
  </si>
  <si>
    <t>Manufacture of Anvil Extenstion 170 x 99.45 x 41 mm as per drawing with MS Material with Grinding</t>
  </si>
  <si>
    <t>180412011020</t>
  </si>
  <si>
    <t>98385a214</t>
  </si>
  <si>
    <t>98385a214 dowel pins</t>
  </si>
  <si>
    <t>pkg</t>
  </si>
  <si>
    <t>98385a210</t>
  </si>
  <si>
    <t>98385a210 dowel pins</t>
  </si>
  <si>
    <t>3106a28</t>
  </si>
  <si>
    <t>3106a28 reamer</t>
  </si>
  <si>
    <t>each</t>
  </si>
  <si>
    <t>60235k67</t>
  </si>
  <si>
    <t>60235k67 orange handle</t>
  </si>
  <si>
    <t>15</t>
  </si>
  <si>
    <t>60235k82</t>
  </si>
  <si>
    <t>60235k82 orange handle</t>
  </si>
  <si>
    <t>60235k86</t>
  </si>
  <si>
    <t>60235k86 orange handle</t>
  </si>
  <si>
    <t>6495k43</t>
  </si>
  <si>
    <t>6495k43 pulley 14 t</t>
  </si>
  <si>
    <t>14</t>
  </si>
  <si>
    <t>2807a33</t>
  </si>
  <si>
    <t>2807a33 arbor</t>
  </si>
  <si>
    <t>3061a31</t>
  </si>
  <si>
    <t>3061a31 cutter</t>
  </si>
  <si>
    <t>3061a41</t>
  </si>
  <si>
    <t>3061a41 cutter</t>
  </si>
  <si>
    <t>8945a32</t>
  </si>
  <si>
    <t>8945a32 end mill</t>
  </si>
  <si>
    <t>8945a34</t>
  </si>
  <si>
    <t>8945a34 end mill</t>
  </si>
  <si>
    <t>8854a29</t>
  </si>
  <si>
    <t>8854a29 end mill</t>
  </si>
  <si>
    <t>781xx354</t>
  </si>
  <si>
    <t>781xx354 Installation kit</t>
  </si>
  <si>
    <t>030xx718</t>
  </si>
  <si>
    <t>030xx718 Connector cable</t>
  </si>
  <si>
    <t>180412272020</t>
  </si>
  <si>
    <t>377P</t>
  </si>
  <si>
    <t>Filter for Vacuum - 377P</t>
  </si>
  <si>
    <t>180412271020</t>
  </si>
  <si>
    <t xml:space="preserve"> s-qb-231p-301</t>
  </si>
  <si>
    <t xml:space="preserve"> filter assembly - s-qb-231p-301</t>
  </si>
  <si>
    <t xml:space="preserve">231p </t>
  </si>
  <si>
    <t xml:space="preserve"> polyester filter element - 231p </t>
  </si>
  <si>
    <t>vg-020-013</t>
  </si>
  <si>
    <t xml:space="preserve"> flow guage - vg-020-013</t>
  </si>
  <si>
    <t>280412011020</t>
  </si>
  <si>
    <t>BFPU parts (8 parts) as per drawing and requirement - 1 job</t>
  </si>
  <si>
    <t>8</t>
  </si>
  <si>
    <t>Parts</t>
  </si>
  <si>
    <t>280412302020</t>
  </si>
  <si>
    <t>45894 / 13250</t>
  </si>
  <si>
    <t>Sproket for SO</t>
  </si>
  <si>
    <t xml:space="preserve">1 </t>
  </si>
  <si>
    <t>CASH PAID 13250</t>
  </si>
  <si>
    <t>280412021020</t>
  </si>
  <si>
    <t>Manufacturing spares for 38R-2 machine as per Drawing</t>
  </si>
  <si>
    <t xml:space="preserve">12 </t>
  </si>
  <si>
    <t>280412032020</t>
  </si>
  <si>
    <t>Manufacture of Gumbox Back Plate for 38R Machine</t>
  </si>
  <si>
    <t>Manufacture of Side Scraper Bracket for Gumbox for 38R Machine</t>
  </si>
  <si>
    <t>Manufacture of Lower Scraper Bracket for Gumbox for 38R Machine</t>
  </si>
  <si>
    <t>Manufacture of Gumbox Side Scraper for 38R</t>
  </si>
  <si>
    <t>280412052020</t>
  </si>
  <si>
    <t>Manufacture of folding strip LH &amp; RH for 327 machine as per your drawing</t>
  </si>
  <si>
    <t>280412172020</t>
  </si>
  <si>
    <t xml:space="preserve">Manfacture of Bracket with Bronze Bush as per your sample </t>
  </si>
  <si>
    <t>280412052040</t>
  </si>
  <si>
    <t>37 x 93 window knife for 327</t>
  </si>
  <si>
    <t>280412032040</t>
  </si>
  <si>
    <t xml:space="preserve">P&amp;S Knife. </t>
  </si>
  <si>
    <t>300412192020</t>
  </si>
  <si>
    <t>Re rubberization FOD 58.8 x MOD 45 x LT 40 mm</t>
  </si>
  <si>
    <t>5</t>
  </si>
  <si>
    <t>300412102020</t>
  </si>
  <si>
    <t>Re rubberization FOD 58 x MOD 28 x LT 435 mm</t>
  </si>
  <si>
    <t>Re rubberization FOD 36 x MOD 23 x LT 430 mm</t>
  </si>
  <si>
    <t>Re rubberization FOD 30.5 x MOD 23 x LT 430 mm</t>
  </si>
  <si>
    <t>Re rubberization FOD 39 x MOD 25 x LT 430 mm</t>
  </si>
  <si>
    <t>300412012020</t>
  </si>
  <si>
    <t>Grinding Creasing rollers</t>
  </si>
  <si>
    <t>300412011020</t>
  </si>
  <si>
    <t>Sprokets for Keyway and Setscrews</t>
  </si>
  <si>
    <t>300412024020</t>
  </si>
  <si>
    <t>Belts for P&amp;S unit</t>
  </si>
  <si>
    <t>020512191020</t>
  </si>
  <si>
    <t>New P&amp;S knives for B2S Machine</t>
  </si>
  <si>
    <t>8736 8097 0675,          5041 6037 9570,           5041 6037 9477</t>
  </si>
  <si>
    <t>020512011020</t>
  </si>
  <si>
    <t>New part #1004 transfer vacuum valce (D2 Steel)</t>
  </si>
  <si>
    <t>New part #1005 transfer valve facing rulon maroon</t>
  </si>
  <si>
    <t>020512072040</t>
  </si>
  <si>
    <t>Left corner cutter knive sharpened</t>
  </si>
  <si>
    <t>Right corner cutter knives sharpened</t>
  </si>
  <si>
    <t xml:space="preserve">4 </t>
  </si>
  <si>
    <t>Pc</t>
  </si>
  <si>
    <t>020512052040</t>
  </si>
  <si>
    <t>327G Panel die sharpened 37 x 93 mm</t>
  </si>
  <si>
    <t>020512062040</t>
  </si>
  <si>
    <t>99G carbide anvil sharpened</t>
  </si>
  <si>
    <t>020512032020</t>
  </si>
  <si>
    <t>Slot coater knife for hotmelt unit coated and sharpened</t>
  </si>
  <si>
    <t>Glue nozzle for hotmelt unit sharpened</t>
  </si>
  <si>
    <t xml:space="preserve">P&amp;S profile bottom knife sharpened </t>
  </si>
  <si>
    <t>P&amp;S Profile top knife shimmed and sharpened.</t>
  </si>
  <si>
    <t>050512302060</t>
  </si>
  <si>
    <t>1.355 x 6-1/2 SO ROLL</t>
  </si>
  <si>
    <t>7935 2063 9947</t>
  </si>
  <si>
    <t>060512272060</t>
  </si>
  <si>
    <t>9372000700 Sensor Torson sensor</t>
  </si>
  <si>
    <t>4333 9374 1692</t>
  </si>
  <si>
    <t>070512252020</t>
  </si>
  <si>
    <t>SB0003</t>
  </si>
  <si>
    <t>080512382020</t>
  </si>
  <si>
    <t>ADL/8131/2012/AR</t>
  </si>
  <si>
    <t>RUBBERISATION OF INK ROLLER 75 X 55 X 750 MM</t>
  </si>
  <si>
    <t>RUBBERISATION OF INK ROLLER 85 X 63 X 760 MM</t>
  </si>
  <si>
    <t>RUBBERISATION OF INK ROLLER 51 X 40 X 745 MM</t>
  </si>
  <si>
    <t>080512014020</t>
  </si>
  <si>
    <t>PERFORATED CONVEYOR BELT (SPECIAL SIZES)</t>
  </si>
  <si>
    <t>090512252020</t>
  </si>
  <si>
    <t>7983 7341 0975</t>
  </si>
  <si>
    <t>090512253060</t>
  </si>
  <si>
    <t>FLX/0253-12</t>
  </si>
  <si>
    <t>BOTTLES</t>
  </si>
  <si>
    <t>TEFLON ADHESIVE TAPE 15MM FOR TUNNEL SHRINK WRAPPING MACHINE</t>
  </si>
  <si>
    <t>TEFLON ADHESIVE TAPE 25MM FOR TUNNEL SHRINK WRAPPING MACHINE</t>
  </si>
  <si>
    <t>100512011020</t>
  </si>
  <si>
    <t>MFG OF CYLINDER GUIDE, APD (QUOTE REF: 5853)</t>
  </si>
  <si>
    <t>MFG OF CYLINDER GUIDE, APD (QUOTE REF: 5854)</t>
  </si>
  <si>
    <t>MFG OF CYLINDER GUIDE SHAFT, APD (QUOTE REF: 5855)</t>
  </si>
  <si>
    <t>MFG OF CYLINDER GUIDE HOLDER L&amp;R, APD (QUOTE REF: 5856)</t>
  </si>
  <si>
    <t>MFG OF CYLINDER GUIDE BAR CLAMP, APD (QUOTE REF: 5857)</t>
  </si>
  <si>
    <t>MFG OF CYLINDER GUIDE BAR CLAMP, APD (QUOTE REF: 5858)</t>
  </si>
  <si>
    <t>MFG OF SCORE GUIDE, APD (QUOTE REF: 5859)</t>
  </si>
  <si>
    <t>FW/ET/11835/2012</t>
  </si>
  <si>
    <t>FW/9293</t>
  </si>
  <si>
    <t>MFG OF SHAFT, 690MM LONG</t>
  </si>
  <si>
    <t>LATE SUBMITTED/BLOCK INCORRECT</t>
  </si>
  <si>
    <t>SQUARE BRACKET (SQUARE BLOCK)</t>
  </si>
  <si>
    <t>KNURLED BUSH, 180MM LONG</t>
  </si>
  <si>
    <t>HELICAL GEAR WITH HUB</t>
  </si>
  <si>
    <t>130512011020</t>
  </si>
  <si>
    <t>MFG OF FLOOR BASE, APD (QUOTE REF: 5770</t>
  </si>
  <si>
    <t>MFG OF FEEDER BASE, APD (QUOTE REF: 5771)</t>
  </si>
  <si>
    <t>MFG OF FEEDER UPRIGHT, APD (QUOTE REF: 5772)</t>
  </si>
  <si>
    <t>MFG OF FEEDER UPRIGHT HOLDER, APD (QUOTE REF: 5773)</t>
  </si>
  <si>
    <t>MFG OF SHAFT WITH KNURLING AND BUSHES, APS (QUOTE REF: 5810)</t>
  </si>
  <si>
    <t>MFG OF SHAFT, APS (QUOTE REF: 5811)</t>
  </si>
  <si>
    <t>REPAIRING OF SHAFT, (QUOTE REF: 5812)</t>
  </si>
  <si>
    <t>MFG OF COUPLING KNIFE, APS (QUOTE REF: 5816)</t>
  </si>
  <si>
    <t>140512102020</t>
  </si>
  <si>
    <t>ADL/2003/2012/AR</t>
  </si>
  <si>
    <t>RUBBERISATION OF INK ROLLER, 39 X 20 X 430 MM, HARDNES = 35 SHORE</t>
  </si>
  <si>
    <t>140512011020</t>
  </si>
  <si>
    <t>FW/ET/11849/2012</t>
  </si>
  <si>
    <t>FW/9294</t>
  </si>
  <si>
    <t>MFG OF 740MM LONG SHAFT WITH KEYWAY, APS</t>
  </si>
  <si>
    <t>140512303060</t>
  </si>
  <si>
    <t>32-7603-RC054 SIDE SEAM GLUE (3 PAILS), PREVIOUS INV REF: 20120004</t>
  </si>
  <si>
    <t>PAILS</t>
  </si>
  <si>
    <t>160512012020</t>
  </si>
  <si>
    <t>7935 8194 0701</t>
  </si>
  <si>
    <t>190512272060</t>
  </si>
  <si>
    <t>Q/4057/2012</t>
  </si>
  <si>
    <t>TESTING &amp; INSPECTION OF AIR RESERVOIR</t>
  </si>
  <si>
    <t>TESTING &amp; INSPECTION OF DIESEL FORKLIFT</t>
  </si>
  <si>
    <t>TESTING &amp; INSPECTION OF GAS FUELED FORKLIFT</t>
  </si>
  <si>
    <t>TESTING &amp; INSPECTION OF STACKER (FORKLIFT)</t>
  </si>
  <si>
    <t>200512011020</t>
  </si>
  <si>
    <t>MFG OF SHAFT DIA 20 X 660 MM (APD). TOLERANCE = 0.02 MM</t>
  </si>
  <si>
    <t>210512253060</t>
  </si>
  <si>
    <t>INV-DG-122330</t>
  </si>
  <si>
    <t>BS MOUNT 15.200 PLATINUM ADHESIVE TAPE 457 MM X 23 MTR</t>
  </si>
  <si>
    <t>210512252020</t>
  </si>
  <si>
    <t>PU TIMING BELT 410T5, W=30MM</t>
  </si>
  <si>
    <t>210512381020</t>
  </si>
  <si>
    <t>QDD/1433/2012</t>
  </si>
  <si>
    <t>PRESSURE BOOSTER, MODEL: DPA-40-16 (FESTO)</t>
  </si>
  <si>
    <t>PRESSURE GAUGE KIT, DPA-40-16-MA-SET (FESTO)</t>
  </si>
  <si>
    <t>FLANGE MOUNTING, FDPA-40 (FESTO)</t>
  </si>
  <si>
    <t>HORIZONTAL TANK, 150 LTR, 11 BAR, Incl VALVE + GAUGE (SHAMAL ITALY)</t>
  </si>
  <si>
    <t>220512242020</t>
  </si>
  <si>
    <t>PART # 23681, BUSHING</t>
  </si>
  <si>
    <t>4333 9374 1795</t>
  </si>
  <si>
    <t>PART # 22880, BUSHING</t>
  </si>
  <si>
    <t>PART # 123092, SPRING</t>
  </si>
  <si>
    <t>123549-003</t>
  </si>
  <si>
    <t>PART # 123549-003, GASKET 6.50 O.D X 4.56 I.D</t>
  </si>
  <si>
    <t>PART # 126649, SPRING</t>
  </si>
  <si>
    <t>PART # 126648, INLET VALVE SHAFT</t>
  </si>
  <si>
    <t>PART # 126647, FLAT WASHER 0.56</t>
  </si>
  <si>
    <t>126460-350</t>
  </si>
  <si>
    <t>PART # 126460-350 use 147898-350, PISTON CUP</t>
  </si>
  <si>
    <t>1478-1</t>
  </si>
  <si>
    <t>PART # 1478-1, FLAT WASHER 0.52</t>
  </si>
  <si>
    <t>123478-N12</t>
  </si>
  <si>
    <t>PART # 123478-N12, CAP SCREW 3/8-16 UNC X 1.50, GRADE 5</t>
  </si>
  <si>
    <t>PART # 126645, INLET VALVE COVER PLATE</t>
  </si>
  <si>
    <t>123478-L15</t>
  </si>
  <si>
    <t>PART # 123478-L15, CAP SCREW 3/8-16 UNC X 1.50, GRADE 5</t>
  </si>
  <si>
    <t>PART # 141258, INLET VALVE GASKET</t>
  </si>
  <si>
    <t>123115-06C</t>
  </si>
  <si>
    <t>PART # 123115-06C, LOCK WASHER, 0.38</t>
  </si>
  <si>
    <t>220512011020</t>
  </si>
  <si>
    <t>MFG OF SPUR GEAR APD, SIZE: 42 X 25 X 20</t>
  </si>
  <si>
    <t>MFG OF SPUR GEAR APD, SIZE: 69 X 25 X 32</t>
  </si>
  <si>
    <t>220512042020</t>
  </si>
  <si>
    <t>MFG OF CONVEYOR CHAIN PLATE FOR TABLE # 1, APS</t>
  </si>
  <si>
    <t>220512102020</t>
  </si>
  <si>
    <t>MFG OF BRASS BUSH FOR RIDER ROLLER</t>
  </si>
  <si>
    <t>MFG OF SLIDING BLOCKS FOR BRACKETS OF DAMPENING UNIT</t>
  </si>
  <si>
    <t>220512272010</t>
  </si>
  <si>
    <t>CURRENT CALIBRATOR</t>
  </si>
  <si>
    <t>260512011020</t>
  </si>
  <si>
    <t>MFG OF PAPER GUIDE, APD</t>
  </si>
  <si>
    <t>MFG OF H.S PINS, APD</t>
  </si>
  <si>
    <t>AMENDMENT OF SPROCKET FOR P&amp;S RUBBER ROLLER, 30 MM BORE</t>
  </si>
  <si>
    <t>MACHINING OF SPROCKET FOR P&amp;S RUBBER ROLLER, 30 MM BORE</t>
  </si>
  <si>
    <t>260512252020</t>
  </si>
  <si>
    <t>PART NO: 10-1223, SO SEAL GUM ROLL</t>
  </si>
  <si>
    <t>7936 2478 6071</t>
  </si>
  <si>
    <t>PART NO: 10-2600A, GROOVED SCORE ROLL</t>
  </si>
  <si>
    <t>PART NO: 10-5010C, COLLAR</t>
  </si>
  <si>
    <t>PART NO: 10-5000, SIDE SCORE TUBE</t>
  </si>
  <si>
    <t>5041 6037 9477</t>
  </si>
  <si>
    <t>NEW RUBBER ROLLERS APD # 1057</t>
  </si>
  <si>
    <t>5041 6038 0356</t>
  </si>
  <si>
    <t>NEW GLUE NOZZLE PART # HMN-001 D2 MATERIAL</t>
  </si>
  <si>
    <t>NEW GLUE NOZZLE SHIM "BRASS"</t>
  </si>
  <si>
    <t>260512382020</t>
  </si>
  <si>
    <t>ADL/2048/2012/AR</t>
  </si>
  <si>
    <t>260512172020</t>
  </si>
  <si>
    <t xml:space="preserve">RUBBERISATION OF PULLING ROLLER, 50 X 39 X 52 MM </t>
  </si>
  <si>
    <t>300512252020</t>
  </si>
  <si>
    <t>5041 6037 8600</t>
  </si>
  <si>
    <t>300512102020</t>
  </si>
  <si>
    <t>ANR/06255/05/12</t>
  </si>
  <si>
    <t>35433 / 16985</t>
  </si>
  <si>
    <t>RUBBER MOULDING OF SCRAPER BLADES AS PER INSTRUCTIONS</t>
  </si>
  <si>
    <t>CASH PAID 16985</t>
  </si>
  <si>
    <t>DIE COST</t>
  </si>
  <si>
    <t>300512273060</t>
  </si>
  <si>
    <t>8080C2-07-3346</t>
  </si>
  <si>
    <t>TESTING OF CHEMICAL WATER</t>
  </si>
  <si>
    <t>SHARPENING OF BOTTOM CROSS CUTTING KNIFE</t>
  </si>
  <si>
    <t>5041 6038 0367</t>
  </si>
  <si>
    <t>SHARPENING OF BOTTOM KNIFE FOR WINDOW FILM CUTTING</t>
  </si>
  <si>
    <t>SHARPENING OF UPPER CROSS CUTTING KNIFE</t>
  </si>
  <si>
    <t>SHARPENING OF BOTTOM P&amp;S KNIFE</t>
  </si>
  <si>
    <t>SHARPENING OF UPPER P&amp;S KNIFE</t>
  </si>
  <si>
    <t>SHARPENING OF SOLID WINDOW KNIFE 40 X 90 MM</t>
  </si>
  <si>
    <t>4333 9374 1843</t>
  </si>
  <si>
    <t>McMASTER REF: 14215T11, PANEL MOUNT TACHOMETER</t>
  </si>
  <si>
    <t>010612011020</t>
  </si>
  <si>
    <t xml:space="preserve">CAPEX PRINTING UNIT </t>
  </si>
  <si>
    <t>McMASTER REF: 6498K221, AIR CYLINDER</t>
  </si>
  <si>
    <t>4830 5637 1137</t>
  </si>
  <si>
    <t>McMASTER REF: 6498K44, ROD CLEVIS</t>
  </si>
  <si>
    <t>McMASTER REF: 3798K23, ROD END</t>
  </si>
  <si>
    <t>McMASTER REF: 8491A739, BUSHING</t>
  </si>
  <si>
    <t>McMASTER REF: 9414T15, SHAFT COLLAR</t>
  </si>
  <si>
    <t>040612252020</t>
  </si>
  <si>
    <t>Q 12060314</t>
  </si>
  <si>
    <t>GLUE FIXOL, 40 gm</t>
  </si>
  <si>
    <t>CASH PAID 12425</t>
  </si>
  <si>
    <t>040612253030</t>
  </si>
  <si>
    <t>FLEXIBLE PROFILE KNIFE 162 X 240 MM, ZERO DEG, BEST REF: C-9578</t>
  </si>
  <si>
    <t>5181 8465 7268</t>
  </si>
  <si>
    <t>FLEXIBLE PROFILE KNIFE 115 X 225 MM, ZERO DEG, SEC CUT, BEST REF: C-9781</t>
  </si>
  <si>
    <t>FLEXIBLE PROFILE KNIFE 115 X 225 MM, ZERO DEG, BEST REF: C-8740</t>
  </si>
  <si>
    <t>FLEXIBLE PROFILE KNIFE 110 X 220 MM, ZERO DEG, SEC CUT, BEST REF: D-3394</t>
  </si>
  <si>
    <t>FLEXIBLE WINDOW KNIFE 45 X 105 MM, ZERO DEG, AS PER INSTRUCTIONS</t>
  </si>
  <si>
    <t>FLEXIBLE WINDOW KNIFE 45 X 110 MM, ZERO DEG, BEST REF: 168634</t>
  </si>
  <si>
    <t>040612253060</t>
  </si>
  <si>
    <t>PART # 410-219196-002, FELD END SEAL</t>
  </si>
  <si>
    <t>4333 9374 1784</t>
  </si>
  <si>
    <t>040612011020</t>
  </si>
  <si>
    <t>MFG OF PAPER GUIDE, APD (QUOTE REF: 5921)</t>
  </si>
  <si>
    <t>MFG OF DELIVERY PLATE MOUNT, APD, (QUOTE REF: 5922)</t>
  </si>
  <si>
    <t>MFG OF P&amp;S EXTENSION PLATE, APD, (QUOTE REF: 5923)</t>
  </si>
  <si>
    <t>050612252020</t>
  </si>
  <si>
    <t>7937 2067 9317            7985 1530 8817</t>
  </si>
  <si>
    <t>070612252020</t>
  </si>
  <si>
    <t>7985 1530 8817,            7985 0120 9619</t>
  </si>
  <si>
    <t>M-800, MULTI PURPOSE BEARING GREASE NLGI 2</t>
  </si>
  <si>
    <t>070612382020</t>
  </si>
  <si>
    <t>IMPELLER + FILTER PUCHASED AGAINST Mr. HASAN'S CREDIT CARD</t>
  </si>
  <si>
    <t>5153 7760 9249</t>
  </si>
  <si>
    <t>070612131050</t>
  </si>
  <si>
    <t>NEW ENVELOPE DIE 115 X 235 MM</t>
  </si>
  <si>
    <t>5041 6038 0595</t>
  </si>
  <si>
    <t>070612151050</t>
  </si>
  <si>
    <t>NEW ENVELOPE DIE 60 X 200 MM</t>
  </si>
  <si>
    <t>5041 6038 0426        5041 6038 0676</t>
  </si>
  <si>
    <t>WRONG DIE RECEIVED 24/5/12    CORRECT DIE RECEIVED 2/6/12</t>
  </si>
  <si>
    <t>100612112020</t>
  </si>
  <si>
    <t>Q 12061001</t>
  </si>
  <si>
    <t>HABASIT ENDLESS BELT HD-NUH-5SCn-SMOOTH</t>
  </si>
  <si>
    <t>CASH PAID 12424</t>
  </si>
  <si>
    <t>110612241020</t>
  </si>
  <si>
    <t>MFG OF FILTER HOUSING FOR AIR LINE AS PER INSTRUCTIONS, QUOTE REF: 5945</t>
  </si>
  <si>
    <t>110612192020</t>
  </si>
  <si>
    <t>MFG OF WASHER, APS, (QUOTE REF: 5960)</t>
  </si>
  <si>
    <t>140612303060</t>
  </si>
  <si>
    <t>PART # 32-7603, FIVE GALLON PAIL BACK GUM (PREVIOUS INV # 20120110)</t>
  </si>
  <si>
    <t>170612252020</t>
  </si>
  <si>
    <t>VALCO P/N: 707xx073, SEAT ASSEMBLY 0.3 MM</t>
  </si>
  <si>
    <t>4333 9374 1865</t>
  </si>
  <si>
    <t>VALCO P/N: BAW2149, PLUNGER WITH CERAMIC TIP</t>
  </si>
  <si>
    <t>200612162020</t>
  </si>
  <si>
    <t>NITTA SG 250, GREEN TRANSMISSION BELT, 1425 X 0.8 X 28 MM</t>
  </si>
  <si>
    <t>210612252020</t>
  </si>
  <si>
    <t>Q 12062105</t>
  </si>
  <si>
    <t>HD-MT-5PaH-IGr, PERFORATED BELT, B=195, L=403 MM, ENDLESS FLEXPROOF</t>
  </si>
  <si>
    <t>220612272020</t>
  </si>
  <si>
    <t>A/C REPAIRING</t>
  </si>
  <si>
    <t>220612242020</t>
  </si>
  <si>
    <t>CASH PAID (18203A</t>
  </si>
  <si>
    <t>220612252020</t>
  </si>
  <si>
    <t>5041 6038 1113</t>
  </si>
  <si>
    <t>230612242020</t>
  </si>
  <si>
    <t>Hard Knives</t>
  </si>
  <si>
    <t>230612063040</t>
  </si>
  <si>
    <t>MANUFACTURING OF KNIFE APS, MAT = D2</t>
  </si>
  <si>
    <t>230612112020</t>
  </si>
  <si>
    <t>ADL/2120/2012/AR</t>
  </si>
  <si>
    <t>230612192020</t>
  </si>
  <si>
    <t>MANUFACTURING OF M.S BUSH FOR FEEDER, APS (QUOTE REF: 5983)</t>
  </si>
  <si>
    <t>250612042020</t>
  </si>
  <si>
    <t>MFG OF PIN &amp; SCREW (QUOTE REF: 5961)</t>
  </si>
  <si>
    <t>MFG OF DELIVERY ROLL HOUSING, LEFT, (QUOTE REF: 5961)</t>
  </si>
  <si>
    <t>MFG OF DELVERY ROLL MOUNTING (QUOTE REF: 5962)</t>
  </si>
  <si>
    <t>MFG OF DELIVERY BELT PART (QUOTE REF: 5963)</t>
  </si>
  <si>
    <t>MFG OF DELIVERY ROLL HOUSING, RIGHT, (QUOTE REF: 5964)</t>
  </si>
  <si>
    <t>260612272020</t>
  </si>
  <si>
    <t>83508 / 211755</t>
  </si>
  <si>
    <t>MITSUBISHI FORKLIFT</t>
  </si>
  <si>
    <t>FRONT TIRES CHANGED 21 X 9 X 15, CODE TTTT12251601</t>
  </si>
  <si>
    <t>REAR TIRES CHANGED 16 X 6 X 10-1/2, CODE TTOT06355611</t>
  </si>
  <si>
    <t>270612242020</t>
  </si>
  <si>
    <t>INV # 20120145</t>
  </si>
  <si>
    <t>7937 7593 9785</t>
  </si>
  <si>
    <t>270612112020</t>
  </si>
  <si>
    <t>INV # 1206067</t>
  </si>
  <si>
    <t>CASH PAID 12528</t>
  </si>
  <si>
    <t>280612253060</t>
  </si>
  <si>
    <t>280612042020</t>
  </si>
  <si>
    <t>MFG OF SHOULDER BOLTS FOR REEL SHAFT, AS/INSTRUCTIONS</t>
  </si>
  <si>
    <t>MFG OF TIMING PULLEY FOR VALCO ENCODER, APS</t>
  </si>
  <si>
    <t>280612192020</t>
  </si>
  <si>
    <t>MFG OF BRONZE BUSHING &amp; BRACKET REPAIRING (O.S)</t>
  </si>
  <si>
    <t>REPAIRING OF KNURLED SHAFT # 6 ON FOLDING SECTION</t>
  </si>
  <si>
    <t>020712252020</t>
  </si>
  <si>
    <t>P-600, SPECIAL SUPREME GEAR OIL ISO 150</t>
  </si>
  <si>
    <t>020712192020</t>
  </si>
  <si>
    <t>SQUOT-121903</t>
  </si>
  <si>
    <t>RUBBERIZATION OF ROLLERS, SIZE 58 X 54 X 50 MM. 60 SHORE, BLACK COLOR</t>
  </si>
  <si>
    <t>e-mail</t>
  </si>
  <si>
    <t>P/N: 3048</t>
  </si>
  <si>
    <t>P/N: 3048, 1/4" NPT MALE TO 37 DEG FLARE, STRAIGHT FITTING</t>
  </si>
  <si>
    <t>7987 7065 2604             7985 8349 0339</t>
  </si>
  <si>
    <t>P/N: 1586-08</t>
  </si>
  <si>
    <t>P/N: 1586-08, APPLICATOR AIRLINE ASSEMBLY, 1/8" &amp; 1/16 FITTINGS ON ENDS</t>
  </si>
  <si>
    <t>030712252020</t>
  </si>
  <si>
    <t>H-1-5</t>
  </si>
  <si>
    <t>P/N: 20-3217 SYS, MOH-31069 SCORE ROLL SYSTEM</t>
  </si>
  <si>
    <t>7937 6018 8127</t>
  </si>
  <si>
    <t>H-2-2</t>
  </si>
  <si>
    <t>P/N: 15-1126T, MOH-40205 FEED SEGMENT</t>
  </si>
  <si>
    <t>H-5-20</t>
  </si>
  <si>
    <t>P/N: 15-1073 SYS, RA-50222 TIRE WITH BEARING</t>
  </si>
  <si>
    <t>L-4-5</t>
  </si>
  <si>
    <t>P/N: 15-3115, N010.031 TIRE WITH BEARING</t>
  </si>
  <si>
    <t>L-4-17</t>
  </si>
  <si>
    <t>P/N: 10-1147, N010.215 FEED ROLL</t>
  </si>
  <si>
    <t>J-3-9</t>
  </si>
  <si>
    <t>P/N: 10-1185-38, L038.17.0371.0 SCORE ROLL WITH GROOVES</t>
  </si>
  <si>
    <t>J-3-10</t>
  </si>
  <si>
    <t>P/N: 10-1075, L229.07.0222.0 SEAL GUM ROLL</t>
  </si>
  <si>
    <t>040712273060</t>
  </si>
  <si>
    <t>P-125747</t>
  </si>
  <si>
    <t>SECOND INSTALLMENT TOWARDS THE ANNUAL PEST CONTROL SERVICE 01/11/11 TO 31/10/2012</t>
  </si>
  <si>
    <t>070712273060</t>
  </si>
  <si>
    <t>QTN/BDGM/CE/971/0712</t>
  </si>
  <si>
    <t>Option 1 - Helpers for packing for 1 month.   11:00 AM to 8:00 PM</t>
  </si>
  <si>
    <t>Helpers</t>
  </si>
  <si>
    <t>070712271060</t>
  </si>
  <si>
    <t>MMS/SPD/12?8125/III</t>
  </si>
  <si>
    <t>Epoxy Floor Coating for Main Hall Sika floor 161 Primer, Sikafloor 264 1st Coat,</t>
  </si>
  <si>
    <t>090712271060</t>
  </si>
  <si>
    <t>GEO/MKT-07/SKM/001429</t>
  </si>
  <si>
    <t>SI-T12070370</t>
  </si>
  <si>
    <t>SUPPLY OF GEONAIR 5TON FREE STANDING UNIT</t>
  </si>
  <si>
    <t>VOUCHER 43565 &amp; 43566</t>
  </si>
  <si>
    <t>SI-S12070023</t>
  </si>
  <si>
    <t>INSTALLATION CHARGES</t>
  </si>
  <si>
    <t>090712252020</t>
  </si>
  <si>
    <t>ARO DIAPHGRAM PUMP-3/8IN PD03P-ARS-PAA</t>
  </si>
  <si>
    <t>090712242020</t>
  </si>
  <si>
    <t>AUTO DRAIN VALVE</t>
  </si>
  <si>
    <t>100712241020</t>
  </si>
  <si>
    <t>3" UPVC PIPE, GREY COLOR,  BS3505, CL-E, SS, 6M</t>
  </si>
  <si>
    <t>1" UPVC PIPE, GREY COLOR,  BS3505, CL-E, SS, 6M</t>
  </si>
  <si>
    <t>3" UPVC UNION, GREY COLOR</t>
  </si>
  <si>
    <t>3" 90 DEG ELBOW, GREY COLOR</t>
  </si>
  <si>
    <t>3" TEE, GREY COLOR</t>
  </si>
  <si>
    <t>3" X 1" REDUCING BUSH, GREY COLOR, ASSEMBLY</t>
  </si>
  <si>
    <t>3" END CAP, GREY COLOR</t>
  </si>
  <si>
    <t>2" MALE ADAPTER, GREY COLOR</t>
  </si>
  <si>
    <t>2-1/2" X 2" REDUCING BUSH, GREY COLOR</t>
  </si>
  <si>
    <t>3" X 2-1/2" REDUCING BUSH, GREY COLOR</t>
  </si>
  <si>
    <t>3" UPVC DOUBLE UNION BALL VALVE, GREY COLOR</t>
  </si>
  <si>
    <t>1" UPVC DOUBLE UNION BALL VALVE, GREY COLOR</t>
  </si>
  <si>
    <t>3" GI CLAMP WITH RUBBER</t>
  </si>
  <si>
    <t>473 ML (16 oz) OATHEY CLEAR CLEANER, USA</t>
  </si>
  <si>
    <t>473 ML (16 oz) OATHEY H.D CLEAR CEMENT, USA</t>
  </si>
  <si>
    <t>120712242020</t>
  </si>
  <si>
    <t>120712052020</t>
  </si>
  <si>
    <t>Q 12071103</t>
  </si>
  <si>
    <t>HABASIT BELT HD-NUH-55Cn-SMOOTH, OPEN END, B = 60 MM, L = 3 MTR</t>
  </si>
  <si>
    <t>120712202020</t>
  </si>
  <si>
    <t>MFG OF CLUTCH DISC AS/DRAWING AND INSTRUCTIONS, MAT= BRASS</t>
  </si>
  <si>
    <t>MFG OF COUPLING FOR CLUTCH</t>
  </si>
  <si>
    <t>120712272020</t>
  </si>
  <si>
    <t>MFG OF BOLTS APS</t>
  </si>
  <si>
    <t>120712212020</t>
  </si>
  <si>
    <t>MFG OF RIBBON CUTTING KNIFE</t>
  </si>
  <si>
    <t>120712392020</t>
  </si>
  <si>
    <t>PTFE MECH BELT, 4 X 4 MESH, WITH MECHANICAL FASTENER, B=380, L=3150 MM</t>
  </si>
  <si>
    <t>170712252020</t>
  </si>
  <si>
    <t>HABASIT HAT-8P, ENDLESS THERMOFIX, 80 X 1330 X 2 MM (INV # 1204006)</t>
  </si>
  <si>
    <t>MW-W1000100010</t>
  </si>
  <si>
    <t>CARTRIDGE MICRO-CYLINDER, MW-W1000100010, CRTC-010-0010, METAL WORK</t>
  </si>
  <si>
    <t>180712394060</t>
  </si>
  <si>
    <t>Verbal</t>
  </si>
  <si>
    <t>OLD S.W</t>
  </si>
  <si>
    <t xml:space="preserve">TEFLON TAPE </t>
  </si>
  <si>
    <t>180712013060</t>
  </si>
  <si>
    <t>SQUOT-122379</t>
  </si>
  <si>
    <t>RUBBERISATION OF ROLLER, DIA=103 MM, HARDNESS 60-70 SHORE, BLACK COLOR</t>
  </si>
  <si>
    <t>180712272060</t>
  </si>
  <si>
    <t>SER-REC-QN-561/L663/12-13-M1742-DA-DN</t>
  </si>
  <si>
    <t>REPLACEMENT OF HEAT DETECTOR (WH # 4 MF)</t>
  </si>
  <si>
    <t>REPLACEMENT OF EMERGENCY LIGHT</t>
  </si>
  <si>
    <t>REPLACEMENT OF EXIT LIGHT</t>
  </si>
  <si>
    <t>190712011060</t>
  </si>
  <si>
    <t>84687, 84688, 84689,                       84690, 84691</t>
  </si>
  <si>
    <t>ANILOX ROLLER FOR W&amp;D 38R PRINTING</t>
  </si>
  <si>
    <t>MAWB: 125ATL58758755,                         HAWB: 5427202858</t>
  </si>
  <si>
    <t>220712162020</t>
  </si>
  <si>
    <t>A3372012</t>
  </si>
  <si>
    <t>MFG OF EN8 BLOCK AS/DRAWING</t>
  </si>
  <si>
    <t>240712273060</t>
  </si>
  <si>
    <t>STEEL DOCTOR BLADE ROLL, 217204-1200-0 (0.0059 X 0.75 X 1200 INCH)</t>
  </si>
  <si>
    <t>7938 6465 8045</t>
  </si>
  <si>
    <t>260712252020</t>
  </si>
  <si>
    <t>SQUOT-122619</t>
  </si>
  <si>
    <t>RUBBERIZATION OF ROLLER, DIA = 74 MM</t>
  </si>
  <si>
    <t>RUBBERIZATION OF ROLLER, DIA = 39 MM</t>
  </si>
  <si>
    <t>RUBBERIZATION OF ROLLER, DIA = 45 MM</t>
  </si>
  <si>
    <t>260712272020</t>
  </si>
  <si>
    <t>FIXING OF FREE STANDING A/C THERMISTER</t>
  </si>
  <si>
    <t>FIXING OF FREE STANDING A/C MAGNETIC CONTACTOR</t>
  </si>
  <si>
    <t>FIXING OF FREE STANDING A/C CAPACITOR</t>
  </si>
  <si>
    <t>DISCOUNT</t>
  </si>
  <si>
    <t>260712052020</t>
  </si>
  <si>
    <t>SHARPENING OF PANEL DIE 45 X 90 MM</t>
  </si>
  <si>
    <t>5041 6038 2061</t>
  </si>
  <si>
    <t>260712062020</t>
  </si>
  <si>
    <t>270712273030</t>
  </si>
  <si>
    <t>FLEXIBLE CUT OFF KNIFE 114 X 234 MM, 1 DEG LEFT ANGLE</t>
  </si>
  <si>
    <t>5181 8466 1580</t>
  </si>
  <si>
    <t>FLEXIBLE PROFILE KNIFE 110 X 220 MM, ZERO DEG, BEST REF: D-3983</t>
  </si>
  <si>
    <t>310712232020</t>
  </si>
  <si>
    <t>SEALING BLADE</t>
  </si>
  <si>
    <t>TEMPERATURE CONTROLLER</t>
  </si>
  <si>
    <t>TEFLON TAPE 0.13 X 15 X 10</t>
  </si>
  <si>
    <t>TEFLON TAPE 0.13 X 25 X 10</t>
  </si>
  <si>
    <t>310712272020</t>
  </si>
  <si>
    <t>LAR/CE/3350/12</t>
  </si>
  <si>
    <t>REPAIRING OF A/C UNIT AT TECHNICAL STORE</t>
  </si>
  <si>
    <t>UNIT</t>
  </si>
  <si>
    <t>020812252020</t>
  </si>
  <si>
    <t>Q 12080102</t>
  </si>
  <si>
    <t>HD-MUF-5S-SMW, VACUUM TABLE BELT, B=200, L=3330 MM, WITH HOLES</t>
  </si>
  <si>
    <t>HD-MT-5PaH-Lgr, PERFORATED BELT, B=38, L=217 MM</t>
  </si>
  <si>
    <t>020812272020</t>
  </si>
  <si>
    <t>FIXING OF MAGNETIC CONTACTOR</t>
  </si>
  <si>
    <t>FIXING OF CAPACITOR</t>
  </si>
  <si>
    <t>040812272020</t>
  </si>
  <si>
    <t>FIXING OF REFREGERANT CONTROL FOR A/C. ID # 36</t>
  </si>
  <si>
    <t>050812252020</t>
  </si>
  <si>
    <t>SHARPENING OF PANEL DIE 40 X 90 MM</t>
  </si>
  <si>
    <t>5041 6038 2360</t>
  </si>
  <si>
    <t>SHARPENING OF PANEL DIE 37 X 93 MM</t>
  </si>
  <si>
    <t>P&amp;S KNIFE SHIMMED &amp; SHARPENED</t>
  </si>
  <si>
    <t>070812272020</t>
  </si>
  <si>
    <t>LAR/AS/3327/12</t>
  </si>
  <si>
    <t>CHANGE THE 5 TON A/C COMPRESSOR, REPAIRING, GAS FILLING....FOR SM-74 M/C</t>
  </si>
  <si>
    <t>070812252020</t>
  </si>
  <si>
    <t>PART NO 707xx073, VALCO CERAMIC SEAT 0.3 MM</t>
  </si>
  <si>
    <t>7987 5280 9530</t>
  </si>
  <si>
    <t>PART NO 704xx554, VALCO PLUNGER WITH CERAMIC TIP</t>
  </si>
  <si>
    <t>P/N: 1658, HA2 SEAL KIT FOR P/N: 1601</t>
  </si>
  <si>
    <t>P/N: 3066, FILTER ADAPTER, 37 DEGREE FLARE</t>
  </si>
  <si>
    <t>S-0109T, PARKER SUPER LUBE</t>
  </si>
  <si>
    <t>7987 6727 7265</t>
  </si>
  <si>
    <t>McMASTER REF: 1346K13, STEEL DRIVE SHAFT 3/8" X 36" LONG</t>
  </si>
  <si>
    <t>McMASTER REF: 4125A118, HARD CARBON STEEL BAND SAW BLADE</t>
  </si>
  <si>
    <t>McMASTER REF: 6063K19, SHAFT COLLAR 20MM</t>
  </si>
  <si>
    <t>McMASTER REF: 57445K25, SHAFT COLLAR 10MM</t>
  </si>
  <si>
    <t>McMASTER REF: 57445K26, SHAFT COLLAR 12MM</t>
  </si>
  <si>
    <t>McMASTER REF: 44435K19, FILTER CARTRIDGE</t>
  </si>
  <si>
    <t>070812242020</t>
  </si>
  <si>
    <t>7987 5232 5500</t>
  </si>
  <si>
    <t>070812132020</t>
  </si>
  <si>
    <t>SHARPENING OF ENVELOPE DIE 114 X 234 (W02-X9)</t>
  </si>
  <si>
    <t>SHARPENING OF ENVELOPE DIE 6 X 4 (P20-Y6)</t>
  </si>
  <si>
    <t>5041 6038 2370</t>
  </si>
  <si>
    <t>SHARPENING OF ENVELOPE DIE 9 X 4 (P07-X10)</t>
  </si>
  <si>
    <t>5041 6038 2381</t>
  </si>
  <si>
    <t>SHARPENING OF ENVELOPE DIE 110 X 220 (W41-Y5</t>
  </si>
  <si>
    <t>5041 6038 2392</t>
  </si>
  <si>
    <t>SHARPENING OF ENVELOPE DIE 4 X 3 (P06-X9)</t>
  </si>
  <si>
    <t>5041 6038 2407</t>
  </si>
  <si>
    <t>SHARPENING OF ENVELOPE DIE 9 X 6 (P24-X11)</t>
  </si>
  <si>
    <t>5041 6038 2418</t>
  </si>
  <si>
    <t>SHARPENING OF ENVELOPE DIE 13 X 9 (P11-X10)</t>
  </si>
  <si>
    <t>5041 6038 2429</t>
  </si>
  <si>
    <t>SHARPENING OF ENVELOPE DIE 16 X 12 (P26-X4)</t>
  </si>
  <si>
    <t>5041 6038 2430</t>
  </si>
  <si>
    <t>SHARPENING OF ENVELOPE DIE 17.5 X 14.25 (P02-X3)</t>
  </si>
  <si>
    <t>5041 6038 2440</t>
  </si>
  <si>
    <t>SHARPENING OF ENVELOPE DIE 130 X 190</t>
  </si>
  <si>
    <t>5041 6038 2451</t>
  </si>
  <si>
    <t>SHARPENING OF ENVELOPE DIE 60 X 200 (P33-Y7)</t>
  </si>
  <si>
    <t>090812252020</t>
  </si>
  <si>
    <t>SQUOT-122850</t>
  </si>
  <si>
    <t>RUBBERIZATION OF ROLLER, DIA=103MM, HARDNESS 60-70 SHORE, BLACK COLOR</t>
  </si>
  <si>
    <t>RUBBERIZATION OF ROLLER, DIA=58MM, L=50MM, 60 SHORE, BLACK COLOR</t>
  </si>
  <si>
    <t>RUBBERIZATION OF ROLLER, DIA=58MM, L=40MM, 60 SHORE, BLACK COLOR</t>
  </si>
  <si>
    <t>120812253060</t>
  </si>
  <si>
    <t>120812253030</t>
  </si>
  <si>
    <t>FLEXIBLE CUT OFF KNIFE AS PER YOUR ATTACHED DRAWING, 1 DEG LEFT ANGLE</t>
  </si>
  <si>
    <t>5181 8466 3631</t>
  </si>
  <si>
    <t>FLEXIBLE PROFILE KNIFE AS PER YOUR ATTACHED DRAWING, ZERO DEG ANGLE</t>
  </si>
  <si>
    <t>FLEXIBLE PROFILE KNIFE 115 X 225 MM, SECURITY CUT, BEST REF: C-9781, 0 DEG</t>
  </si>
  <si>
    <t>FLEXIBLE PROFILE KNIFE 110 X 220 MM, SECURITY CUT, BEST REF: D-3394, 0 DEG</t>
  </si>
  <si>
    <t>FLEXIBLE WINDOW KNIFE 40 X 100 MM, BEST REF: 171941, ZERO DEG ANGLE</t>
  </si>
  <si>
    <t>160812252020</t>
  </si>
  <si>
    <t>1782 &amp; 1852</t>
  </si>
  <si>
    <t>TUBE BRUSH, PART NO RA-70335</t>
  </si>
  <si>
    <t>8736 8097 0745</t>
  </si>
  <si>
    <t>SIDE SCORE BLADE, PART NO V 03.00.039.0</t>
  </si>
  <si>
    <t>ROUND CERAMIC BAR, DIA=12MM, L=360MM, PART NO B244.360 (10.28.250.00.00)</t>
  </si>
  <si>
    <t>160812242020</t>
  </si>
  <si>
    <t>12302630 / 18274A</t>
  </si>
  <si>
    <t>QUINCY LUBRICANT FOR VACUUM PUMP, QUINSYN-PG 143808</t>
  </si>
  <si>
    <t>PART NO B 242.360, SQUARE CERAMIC BAR 12 X 12 X 360 MM</t>
  </si>
  <si>
    <t>7987 6513 8582</t>
  </si>
  <si>
    <t>PART NO V 79.89.441.0, GRIPPER PLATE</t>
  </si>
  <si>
    <t>170812341040</t>
  </si>
  <si>
    <t>HARD WINDOW DIE 55 X 90 MM FOR PUNCHING MACHINE</t>
  </si>
  <si>
    <t>240812252020</t>
  </si>
  <si>
    <t>270812162020</t>
  </si>
  <si>
    <t>10999 / 09986</t>
  </si>
  <si>
    <t>280812042020</t>
  </si>
  <si>
    <t>MFG OF SPACERS FOR DELIVERY BELT CARRIAGE</t>
  </si>
  <si>
    <t>MFG OF BRACKETS FOR DELIVERY BELT CARRIAGE</t>
  </si>
  <si>
    <t>280812252020</t>
  </si>
  <si>
    <t>HABASIT HAT-8P, ENDLESS THERMOFIX, 80 X 1330 X 2 MM (INV # 1207129)</t>
  </si>
  <si>
    <t>HD-MT-8PaH-TxGr</t>
  </si>
  <si>
    <t>5041 6038 3057</t>
  </si>
  <si>
    <t>280812054040</t>
  </si>
  <si>
    <t>SOLID PANEL DIE FOR 327G MACHINE, SIZE: 35 X 105 MM, ZERO DEGREE</t>
  </si>
  <si>
    <t>290812273060</t>
  </si>
  <si>
    <t>FLX/0396-12</t>
  </si>
  <si>
    <t>290812382020</t>
  </si>
  <si>
    <t>D28024 / 2086</t>
  </si>
  <si>
    <t>GEAR, PART # M4.005.870 (FOR SM-74 SIX COLOR M/C, Sr # 621845)</t>
  </si>
  <si>
    <t>BEARING, PART # 66.009.092</t>
  </si>
  <si>
    <t>300812242020</t>
  </si>
  <si>
    <t>129618, SHAFT SEAL FOR QUINCY VACUUM PUMP</t>
  </si>
  <si>
    <t>7988 4233 8649</t>
  </si>
  <si>
    <t>020912242020</t>
  </si>
  <si>
    <t>12302785 / 18284A</t>
  </si>
  <si>
    <t>020912042020</t>
  </si>
  <si>
    <t>MFG OF M.S PLATE FOR REFEEDER</t>
  </si>
  <si>
    <t>020912241020</t>
  </si>
  <si>
    <t>THREADING OF 2" M.S PIPE LINES ON BOTH ENDS (11 PC)</t>
  </si>
  <si>
    <t>22</t>
  </si>
  <si>
    <t>THREADING OF 2" M.S PIPE LINES ON BOTH ENDS (13 PC)</t>
  </si>
  <si>
    <t>26</t>
  </si>
  <si>
    <t>THREADING OF 2" M.S PIPE LINES ON BOTH ENDS (16 PC)</t>
  </si>
  <si>
    <t>32</t>
  </si>
  <si>
    <t>030912272060</t>
  </si>
  <si>
    <t>SER-REC-QN-01374/L1593-12-13-M1742-DA-DN</t>
  </si>
  <si>
    <t>RECIFICATION OF ZONE FAULT, WH#2</t>
  </si>
  <si>
    <t>REPLACEMENT OF SMOKE DETECTOR, WH#3</t>
  </si>
  <si>
    <t>REPLACEMENT OF 8" BELL, WH#2</t>
  </si>
  <si>
    <t>REPLACEMENT OF PRESSURE GAUGE</t>
  </si>
  <si>
    <t>REPLACEMENT OF HOSE</t>
  </si>
  <si>
    <t>FIXING OF BRACKET</t>
  </si>
  <si>
    <t>060912242020</t>
  </si>
  <si>
    <t>060912382020</t>
  </si>
  <si>
    <t>SQUOT-123436</t>
  </si>
  <si>
    <t>RUBBERISATION OF INK ROLLER, DIA = 74 MM</t>
  </si>
  <si>
    <t>RUBBERISATION OF INK ROLLER, DIA = 52.3 MM</t>
  </si>
  <si>
    <t>090912023030</t>
  </si>
  <si>
    <t>ENVELOPE SAMPLE RETURNED TO CAPITAL</t>
  </si>
  <si>
    <t>5181 8466 2359</t>
  </si>
  <si>
    <t>090912183060</t>
  </si>
  <si>
    <t>SAMPLES OF TEMPER EVIDENT ROLL</t>
  </si>
  <si>
    <t>7986 8766 2917</t>
  </si>
  <si>
    <t>090912241020</t>
  </si>
  <si>
    <t>026307</t>
  </si>
  <si>
    <t>REPAIRING OF QUINCY QVI-100 AIR END, VACUUM # 2, 1 YEAR WARRANTY</t>
  </si>
  <si>
    <t>UPS 5457140260</t>
  </si>
  <si>
    <t>090912271060</t>
  </si>
  <si>
    <t>GEO/MKT-07/SKM/001717</t>
  </si>
  <si>
    <t>SUPPLY &amp; INSTALLATION OF CARRIER 2 TON SPLIT A/C WITH STAND</t>
  </si>
  <si>
    <t>090912292020</t>
  </si>
  <si>
    <t>Q 12090912</t>
  </si>
  <si>
    <t>HD-MT-04HmE1-FsGr, 38x2320, ENDLESS FLEXPROOF</t>
  </si>
  <si>
    <t>110912252020</t>
  </si>
  <si>
    <t>110912272020</t>
  </si>
  <si>
    <t>LOAD WHEELS (FRONT) FOR OKUTSU HAND PALLET TRUCK</t>
  </si>
  <si>
    <t>120912112020</t>
  </si>
  <si>
    <t>LAST INV # 1207002</t>
  </si>
  <si>
    <t>HABASIT ENDLESS BELT HD-NUH-5SCn-SMOOTH, B=50mm, L=590mm</t>
  </si>
  <si>
    <t>PURCHASE ORDER</t>
  </si>
  <si>
    <t>P.O. #</t>
  </si>
  <si>
    <t>Priority:</t>
  </si>
  <si>
    <t>Shipping and Billing Address:</t>
  </si>
  <si>
    <t>To:</t>
  </si>
  <si>
    <t>Capital Envelopes L.L.C.</t>
  </si>
  <si>
    <t>Attn:</t>
  </si>
  <si>
    <t>Tel No:</t>
  </si>
  <si>
    <t>00971-4-8850833</t>
  </si>
  <si>
    <t>Country:</t>
  </si>
  <si>
    <t>Fax No:</t>
  </si>
  <si>
    <t>00971-4-8850834</t>
  </si>
  <si>
    <t>Dubai Investments Park</t>
  </si>
  <si>
    <t>P.O. Box 60279</t>
  </si>
  <si>
    <t>Prepared by: Mukthar Ahmad</t>
  </si>
  <si>
    <t xml:space="preserve">Ref: </t>
  </si>
  <si>
    <t>E-mail:</t>
  </si>
  <si>
    <t>mukthar@capitalenvelopes.ae</t>
  </si>
  <si>
    <t>Sup No:</t>
  </si>
  <si>
    <t>Dear Sir,</t>
  </si>
  <si>
    <t>We are pleased to confirm an order against your quotations for the following parts,</t>
  </si>
  <si>
    <t>Machine Type:</t>
  </si>
  <si>
    <t>Machine No:</t>
  </si>
  <si>
    <t xml:space="preserve">QTY </t>
  </si>
  <si>
    <t>AMOUNT</t>
  </si>
  <si>
    <t xml:space="preserve">GRAND TOTAL </t>
  </si>
  <si>
    <r>
      <rPr>
        <sz val="11"/>
        <rFont val="Calibri"/>
        <family val="2"/>
      </rPr>
      <t>1) Use Capital Envelopes LLC FedEx Account Number</t>
    </r>
    <r>
      <rPr>
        <b/>
        <sz val="11"/>
        <rFont val="Calibri"/>
        <family val="2"/>
      </rPr>
      <t xml:space="preserve"> 488100521, </t>
    </r>
    <r>
      <rPr>
        <sz val="11"/>
        <rFont val="Calibri"/>
        <family val="2"/>
      </rPr>
      <t xml:space="preserve">and mark </t>
    </r>
    <r>
      <rPr>
        <b/>
        <sz val="11"/>
        <rFont val="Calibri"/>
        <family val="2"/>
      </rPr>
      <t>International Priority Service</t>
    </r>
  </si>
  <si>
    <t>2) Please also let us know the AWB tracking number on dispatching the material.</t>
  </si>
  <si>
    <t>In case of any query, please feel free to contact.</t>
  </si>
  <si>
    <t>Best Regards,</t>
  </si>
  <si>
    <t>Mukthar Ahmad</t>
  </si>
  <si>
    <t>Capital Envelopes L.L.C</t>
  </si>
  <si>
    <t>P.O Box: 60279 DUBAI, U.A.E</t>
  </si>
  <si>
    <t>Location Default</t>
  </si>
  <si>
    <t>Q 13010216</t>
  </si>
  <si>
    <t>HD-RPHa-5Fs-Sm-Blg, B=38, L=1810, T=1.4 MM</t>
  </si>
  <si>
    <t>Size</t>
  </si>
  <si>
    <t>THRUST BEARING</t>
  </si>
  <si>
    <t>NEEDLE BEARING</t>
  </si>
  <si>
    <t>MAIN DRIVE GEAR</t>
  </si>
  <si>
    <t>SPOTTER</t>
  </si>
  <si>
    <t>CYLINDER GEAR</t>
  </si>
  <si>
    <t>PAPER GUIDE</t>
  </si>
  <si>
    <t>FOLDER, SET</t>
  </si>
  <si>
    <t>GLUE PLATE</t>
  </si>
  <si>
    <t>UNIVERSAL JOINT</t>
  </si>
  <si>
    <t>ENGAGING &amp; DISENGAGING PART</t>
  </si>
  <si>
    <t>SPECIAL BOLTS</t>
  </si>
  <si>
    <t>PLASTIC GEAR</t>
  </si>
  <si>
    <t>BASE PLATE, SET</t>
  </si>
  <si>
    <t>SPROCKETS</t>
  </si>
  <si>
    <t>COUNTER GEAR</t>
  </si>
  <si>
    <t>IMPELLER FOR INK PUMP</t>
  </si>
  <si>
    <t>BRASS BUSHING FOR WEB SECTION</t>
  </si>
  <si>
    <t>PRINTING GEAR</t>
  </si>
  <si>
    <t>GEAR</t>
  </si>
  <si>
    <t>SHAFT</t>
  </si>
  <si>
    <t>SELF ALIGNING BEARING</t>
  </si>
  <si>
    <t>RUBBER ROLLER</t>
  </si>
  <si>
    <t>SPUR GEAR</t>
  </si>
  <si>
    <t>HELICAL GEAR</t>
  </si>
  <si>
    <t>CARBON BRUSH</t>
  </si>
  <si>
    <t>SPROCKET</t>
  </si>
  <si>
    <t>Old Part Number</t>
  </si>
  <si>
    <t>A-1-31</t>
  </si>
  <si>
    <t>A-1-11</t>
  </si>
  <si>
    <t>A-1-34</t>
  </si>
  <si>
    <t>A-1-33</t>
  </si>
  <si>
    <t>A-1-1</t>
  </si>
  <si>
    <t>A-1-2</t>
  </si>
  <si>
    <t>A-1-3</t>
  </si>
  <si>
    <t>A-1-4</t>
  </si>
  <si>
    <t>A-1-5</t>
  </si>
  <si>
    <t>A-1-6</t>
  </si>
  <si>
    <t>A-1-7</t>
  </si>
  <si>
    <t>A-1-8</t>
  </si>
  <si>
    <t>A-1-9</t>
  </si>
  <si>
    <t>A-1-10</t>
  </si>
  <si>
    <t>A-1-40</t>
  </si>
  <si>
    <t>A-1-12</t>
  </si>
  <si>
    <t>A-1-13</t>
  </si>
  <si>
    <t>A-1-14</t>
  </si>
  <si>
    <t>A-1-15</t>
  </si>
  <si>
    <t>A-1-16</t>
  </si>
  <si>
    <t>A-1-17</t>
  </si>
  <si>
    <t>A-1-18</t>
  </si>
  <si>
    <t>A-1-19</t>
  </si>
  <si>
    <t>A-3-23</t>
  </si>
  <si>
    <t>A-1-20</t>
  </si>
  <si>
    <t>A-1-21</t>
  </si>
  <si>
    <t>A-1-29</t>
  </si>
  <si>
    <t>A-1-30</t>
  </si>
  <si>
    <t>A-1-22</t>
  </si>
  <si>
    <t>A-1-23</t>
  </si>
  <si>
    <t>A-1-24</t>
  </si>
  <si>
    <t>A-1-25</t>
  </si>
  <si>
    <t>A-1-26</t>
  </si>
  <si>
    <t>A-1-28</t>
  </si>
  <si>
    <t>A-1-39</t>
  </si>
  <si>
    <t>A-1-37</t>
  </si>
  <si>
    <t>A-1-32</t>
  </si>
  <si>
    <t>A-1-38</t>
  </si>
  <si>
    <t>A-1-35</t>
  </si>
  <si>
    <t>A-5-55</t>
  </si>
  <si>
    <t>A-5-1</t>
  </si>
  <si>
    <t>A-5-2</t>
  </si>
  <si>
    <t>A-5-3</t>
  </si>
  <si>
    <t>A-5-4</t>
  </si>
  <si>
    <t>A-5-23</t>
  </si>
  <si>
    <t>A-5-5</t>
  </si>
  <si>
    <t>A-5-6</t>
  </si>
  <si>
    <t>A-5-7</t>
  </si>
  <si>
    <t>A-5-8</t>
  </si>
  <si>
    <t>A-5-25</t>
  </si>
  <si>
    <t>A-5-14</t>
  </si>
  <si>
    <t>A-5-22</t>
  </si>
  <si>
    <t>A-5-24</t>
  </si>
  <si>
    <t>A-5-26</t>
  </si>
  <si>
    <t>A-5-27</t>
  </si>
  <si>
    <t>A-5-28</t>
  </si>
  <si>
    <t>A-5-33</t>
  </si>
  <si>
    <t>A-5-34</t>
  </si>
  <si>
    <t>A-5-35</t>
  </si>
  <si>
    <t>A-5-37</t>
  </si>
  <si>
    <t>A-5-38</t>
  </si>
  <si>
    <t>A-5-45</t>
  </si>
  <si>
    <t>A-2-1</t>
  </si>
  <si>
    <t>A-2-2</t>
  </si>
  <si>
    <t>A-2-3</t>
  </si>
  <si>
    <t>A-2-4</t>
  </si>
  <si>
    <t>A-2-5</t>
  </si>
  <si>
    <t>A-2-6</t>
  </si>
  <si>
    <t>A-2-7</t>
  </si>
  <si>
    <t>A-2-8</t>
  </si>
  <si>
    <t>A-2-9</t>
  </si>
  <si>
    <t>A-2-10</t>
  </si>
  <si>
    <t>A-2-11</t>
  </si>
  <si>
    <t>A-2-12</t>
  </si>
  <si>
    <t>A-2-13</t>
  </si>
  <si>
    <t>A-2-23</t>
  </si>
  <si>
    <t>A-2-14</t>
  </si>
  <si>
    <t>A-2-15</t>
  </si>
  <si>
    <t>A-2-16</t>
  </si>
  <si>
    <t>A-2-17</t>
  </si>
  <si>
    <t>A-2-18</t>
  </si>
  <si>
    <t>A-2-19</t>
  </si>
  <si>
    <t>A-2-20</t>
  </si>
  <si>
    <t>A-2-21</t>
  </si>
  <si>
    <t>A-2-22</t>
  </si>
  <si>
    <t>A-2-24</t>
  </si>
  <si>
    <t>A-2-25</t>
  </si>
  <si>
    <t>A-2-26</t>
  </si>
  <si>
    <t>A-2-28</t>
  </si>
  <si>
    <t>A-2-29</t>
  </si>
  <si>
    <t>A-2-30</t>
  </si>
  <si>
    <t>A-3-1</t>
  </si>
  <si>
    <t>A-3-2</t>
  </si>
  <si>
    <t>A-3-3</t>
  </si>
  <si>
    <t>A-3-4</t>
  </si>
  <si>
    <t>A-3-5</t>
  </si>
  <si>
    <t>A-3-6</t>
  </si>
  <si>
    <t>A-3-7</t>
  </si>
  <si>
    <t>A-3-8</t>
  </si>
  <si>
    <t>A-3-9</t>
  </si>
  <si>
    <t>A-3-10</t>
  </si>
  <si>
    <t>A-3-11</t>
  </si>
  <si>
    <t>A-3-12</t>
  </si>
  <si>
    <t>A-3-13</t>
  </si>
  <si>
    <t>A-3-14</t>
  </si>
  <si>
    <t>A-3-15</t>
  </si>
  <si>
    <t>A-3-16</t>
  </si>
  <si>
    <t>A-3-17</t>
  </si>
  <si>
    <t>A-3-18</t>
  </si>
  <si>
    <t>A-3-19</t>
  </si>
  <si>
    <t>A-3-20</t>
  </si>
  <si>
    <t>A-3-21</t>
  </si>
  <si>
    <t>A-3-22</t>
  </si>
  <si>
    <t>A-3-24</t>
  </si>
  <si>
    <t>A-3-25</t>
  </si>
  <si>
    <t>A-3-26</t>
  </si>
  <si>
    <t>A-3-28</t>
  </si>
  <si>
    <t>A-3-29</t>
  </si>
  <si>
    <t>A-3-30</t>
  </si>
  <si>
    <t>A-3-31</t>
  </si>
  <si>
    <t>A-3-32</t>
  </si>
  <si>
    <t>A-3-33</t>
  </si>
  <si>
    <t>A-3-34</t>
  </si>
  <si>
    <t>A-3-35</t>
  </si>
  <si>
    <t>A-3-36</t>
  </si>
  <si>
    <t>A-3-38</t>
  </si>
  <si>
    <t>A-3-37</t>
  </si>
  <si>
    <t>A-3-39</t>
  </si>
  <si>
    <t>A-3-40</t>
  </si>
  <si>
    <t>A-3-41</t>
  </si>
  <si>
    <t>A-3-42</t>
  </si>
  <si>
    <t>A-4-2</t>
  </si>
  <si>
    <t>A-4-3</t>
  </si>
  <si>
    <t>A-4-4</t>
  </si>
  <si>
    <t>A-4-6</t>
  </si>
  <si>
    <t>A-4-7</t>
  </si>
  <si>
    <t>A-4-8</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</si>
  <si>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</si>
  <si>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</si>
  <si>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</si>
  <si>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</si>
  <si>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</si>
  <si>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</si>
  <si>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</si>
  <si>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</si>
  <si>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</si>
  <si>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</si>
  <si>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</si>
  <si>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</si>
  <si>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</si>
  <si>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</si>
  <si>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</si>
  <si>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</si>
  <si>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</si>
  <si>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</si>
  <si>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</si>
  <si>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</si>
  <si>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</si>
  <si>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</si>
  <si>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</si>
  <si>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A-4-34</t>
  </si>
  <si>
    <t>A-4-35</t>
  </si>
  <si>
    <t>A-4-36</t>
  </si>
  <si>
    <t>A-4-37</t>
  </si>
  <si>
    <t>A-4-38</t>
  </si>
  <si>
    <t>A-4-39</t>
  </si>
  <si>
    <t>A-4-40</t>
  </si>
  <si>
    <t>A-4-42</t>
  </si>
  <si>
    <t>A-5-9</t>
  </si>
  <si>
    <t>A-5-11</t>
  </si>
  <si>
    <t>A-5-12</t>
  </si>
  <si>
    <t>A-5-13</t>
  </si>
  <si>
    <t>A-5-18</t>
  </si>
  <si>
    <t>A-5-21</t>
  </si>
  <si>
    <t>A-5-19</t>
  </si>
  <si>
    <t>A-5-30</t>
  </si>
  <si>
    <t>A-5-32</t>
  </si>
  <si>
    <t>A-5-36</t>
  </si>
  <si>
    <t>A-5-39</t>
  </si>
  <si>
    <t>A-5-42</t>
  </si>
  <si>
    <t>A-5-48</t>
  </si>
  <si>
    <t>A-5-50</t>
  </si>
  <si>
    <t>A-5-51</t>
  </si>
  <si>
    <t>A-5-52</t>
  </si>
  <si>
    <t>A-5-53</t>
  </si>
  <si>
    <t>A-5-54</t>
  </si>
  <si>
    <t>A1</t>
  </si>
  <si>
    <t>Grand Total</t>
  </si>
  <si>
    <t>(All)</t>
  </si>
  <si>
    <t>B-1-18</t>
  </si>
  <si>
    <t>B-1-16</t>
  </si>
  <si>
    <t>BUSH</t>
  </si>
  <si>
    <t>B-2-3</t>
  </si>
  <si>
    <t>B-4-1</t>
  </si>
  <si>
    <t>B-3-3</t>
  </si>
  <si>
    <t>B-5-4</t>
  </si>
  <si>
    <t>B-1-4</t>
  </si>
  <si>
    <t>B-3-2</t>
  </si>
  <si>
    <t>PERFORATED TAPE, RA-90609AH</t>
  </si>
  <si>
    <t>B-1-22</t>
  </si>
  <si>
    <t>B-3-13</t>
  </si>
  <si>
    <t>B-1-6</t>
  </si>
  <si>
    <t>B-4-15</t>
  </si>
  <si>
    <t>B-1-20</t>
  </si>
  <si>
    <t>B-3-7</t>
  </si>
  <si>
    <t>B-1-15</t>
  </si>
  <si>
    <t>B-1-17</t>
  </si>
  <si>
    <t>B-4-11</t>
  </si>
  <si>
    <t>B-3-16</t>
  </si>
  <si>
    <t>B-3-17</t>
  </si>
  <si>
    <t>B-3-18</t>
  </si>
  <si>
    <t>B-1-23</t>
  </si>
  <si>
    <t>CAM FOLLOWER</t>
  </si>
  <si>
    <t>B-1-3</t>
  </si>
  <si>
    <t>B-4-7</t>
  </si>
  <si>
    <t>B-1-9</t>
  </si>
  <si>
    <t>B-2-18</t>
  </si>
  <si>
    <t>B-2-9</t>
  </si>
  <si>
    <t>B-2-15</t>
  </si>
  <si>
    <t>B-2-16</t>
  </si>
  <si>
    <t>B-2-14</t>
  </si>
  <si>
    <t>B-2-11</t>
  </si>
  <si>
    <t>B-2-12</t>
  </si>
  <si>
    <t>B-2-17</t>
  </si>
  <si>
    <t>B-2-13</t>
  </si>
  <si>
    <t>B-2-20</t>
  </si>
  <si>
    <t>B-2-21</t>
  </si>
  <si>
    <t>B-2-10</t>
  </si>
  <si>
    <t>B-3-27</t>
  </si>
  <si>
    <t>B-2-23</t>
  </si>
  <si>
    <t>B-2-24</t>
  </si>
  <si>
    <t>B-2-25</t>
  </si>
  <si>
    <t>B-2-1</t>
  </si>
  <si>
    <t>B-4-16</t>
  </si>
  <si>
    <t>B-5-2</t>
  </si>
  <si>
    <t>B-5-3</t>
  </si>
  <si>
    <t>B-2-6</t>
  </si>
  <si>
    <t>B-3-14</t>
  </si>
  <si>
    <t>B-3-15</t>
  </si>
  <si>
    <t>B-4-22</t>
  </si>
  <si>
    <t>B-1-24</t>
  </si>
  <si>
    <t>B-1-5</t>
  </si>
  <si>
    <t>B-3-11</t>
  </si>
  <si>
    <t>B-1-1</t>
  </si>
  <si>
    <t>B-2-5</t>
  </si>
  <si>
    <t>B-3-8</t>
  </si>
  <si>
    <t>B-3-5</t>
  </si>
  <si>
    <t>B-3-6</t>
  </si>
  <si>
    <t>B-3-4</t>
  </si>
  <si>
    <t>B-4-9</t>
  </si>
  <si>
    <t>B-4-13</t>
  </si>
  <si>
    <t>B-2-22</t>
  </si>
  <si>
    <t>B-4-19</t>
  </si>
  <si>
    <t>B-4-14</t>
  </si>
  <si>
    <t>B-3-9</t>
  </si>
  <si>
    <t>B-2-4</t>
  </si>
  <si>
    <t>B-1-8</t>
  </si>
  <si>
    <t>B-1-2</t>
  </si>
  <si>
    <t>5571K12 AIR FLOW BOOSTER</t>
  </si>
  <si>
    <t>B-1-14</t>
  </si>
  <si>
    <t>ADHESIVE EMERY PAPER ROLL</t>
  </si>
  <si>
    <t>B-3-1</t>
  </si>
  <si>
    <t>AIR PIPE</t>
  </si>
  <si>
    <t>B-4-2</t>
  </si>
  <si>
    <t>BAR</t>
  </si>
  <si>
    <t>B-3-10</t>
  </si>
  <si>
    <t>BRAKE SHOE</t>
  </si>
  <si>
    <t>B-2-8</t>
  </si>
  <si>
    <t>BRASS BUSH</t>
  </si>
  <si>
    <t>B-1-11</t>
  </si>
  <si>
    <t>B-4-4</t>
  </si>
  <si>
    <t>B-1-7</t>
  </si>
  <si>
    <t>CORK TAPE ROLL</t>
  </si>
  <si>
    <t>B-3-28</t>
  </si>
  <si>
    <t>CROSS 22 X 55 MM</t>
  </si>
  <si>
    <t>B-4-12</t>
  </si>
  <si>
    <t>FESTO SVS-3-1/8</t>
  </si>
  <si>
    <t>B-1-10</t>
  </si>
  <si>
    <t>FLEXIBLE PIPE FOR AIR CHUCK</t>
  </si>
  <si>
    <t>B-1-12</t>
  </si>
  <si>
    <t>GEAR OFF SIZE (IN WOODEN BOX)</t>
  </si>
  <si>
    <t>B-5-1</t>
  </si>
  <si>
    <t>GLUE VULCOL</t>
  </si>
  <si>
    <t>B-1-19</t>
  </si>
  <si>
    <t>MIG CONTACT TIP 0.8 MM (M6)</t>
  </si>
  <si>
    <t>B-3-26</t>
  </si>
  <si>
    <t>NOZZLE FOR VACUUM CYLINDER</t>
  </si>
  <si>
    <t>B-4-3</t>
  </si>
  <si>
    <t>RUBBER PAD</t>
  </si>
  <si>
    <t>B-4-10</t>
  </si>
  <si>
    <t>RUPTURE DISC</t>
  </si>
  <si>
    <t>B-2-19</t>
  </si>
  <si>
    <t>B-2-2</t>
  </si>
  <si>
    <t>B-2-7</t>
  </si>
  <si>
    <t>B-3-12</t>
  </si>
  <si>
    <t>SUCKER</t>
  </si>
  <si>
    <t>B-4-8</t>
  </si>
  <si>
    <t>B-1-13</t>
  </si>
  <si>
    <t>Invoice Number</t>
  </si>
  <si>
    <t>Supplier</t>
  </si>
  <si>
    <t>ROLLER BEARING</t>
  </si>
  <si>
    <t>CHEETAH</t>
  </si>
  <si>
    <t>CLASP # 1</t>
  </si>
  <si>
    <t>CTP FUJI 4300</t>
  </si>
  <si>
    <t>W&amp;D 141</t>
  </si>
  <si>
    <t>AIR COMPRESSOR # 1</t>
  </si>
  <si>
    <t>AIR COMPRESSOR # 2</t>
  </si>
  <si>
    <t>VACUUM PUMP # 1</t>
  </si>
  <si>
    <t>VACUUM PUMP # 2</t>
  </si>
  <si>
    <t>VACUUM PUMP # 3</t>
  </si>
  <si>
    <t>CHIP COLLECTOR &amp; BALER</t>
  </si>
  <si>
    <t>FIRE &amp; SAFETY</t>
  </si>
  <si>
    <t>AIR CONDITIONING</t>
  </si>
  <si>
    <t>FACTORY R&amp;M</t>
  </si>
  <si>
    <t>MINIPACK PRATIKA 56</t>
  </si>
  <si>
    <t>STRETCH WRAPPING</t>
  </si>
  <si>
    <t>CLASP # 2</t>
  </si>
  <si>
    <t>MOHW</t>
  </si>
  <si>
    <t>ELECTRICAL</t>
  </si>
  <si>
    <t>MECHANICAL</t>
  </si>
  <si>
    <t>PNEUMATIC</t>
  </si>
  <si>
    <t>BELTS</t>
  </si>
  <si>
    <t>BEARINGS</t>
  </si>
  <si>
    <t>KNIVES</t>
  </si>
  <si>
    <t>ROLLERS</t>
  </si>
  <si>
    <t>VALCO</t>
  </si>
  <si>
    <t>TAPES</t>
  </si>
  <si>
    <t>MISCELLANEOUS</t>
  </si>
  <si>
    <t>LUBRICANT</t>
  </si>
  <si>
    <t>CHAINS</t>
  </si>
  <si>
    <t>PPE</t>
  </si>
  <si>
    <t>CABLE</t>
  </si>
  <si>
    <t>FUSE</t>
  </si>
  <si>
    <t>BREAKER</t>
  </si>
  <si>
    <t>MOTOR</t>
  </si>
  <si>
    <t>CONTACTOR</t>
  </si>
  <si>
    <t>RELAY</t>
  </si>
  <si>
    <t>SENSOR</t>
  </si>
  <si>
    <t>BALL BEARING</t>
  </si>
  <si>
    <t>CYLINDERICAL ROLLER BEARING</t>
  </si>
  <si>
    <t>ONE WAY BEARING</t>
  </si>
  <si>
    <t>BEARING NEEDLES</t>
  </si>
  <si>
    <t>SEGMENT</t>
  </si>
  <si>
    <t>PEEL &amp; SEAL</t>
  </si>
  <si>
    <t>V-BELT</t>
  </si>
  <si>
    <t>FLAT BELT</t>
  </si>
  <si>
    <t>TIMING BELT</t>
  </si>
  <si>
    <t>ROUND BELT</t>
  </si>
  <si>
    <t>CONVEYOR BELT</t>
  </si>
  <si>
    <t>PTFE MESH BELT</t>
  </si>
  <si>
    <t>VARIDRIVE BELT</t>
  </si>
  <si>
    <t>BEVEL GEAR</t>
  </si>
  <si>
    <t>WORM GEAR</t>
  </si>
  <si>
    <t>RACK &amp; PINION</t>
  </si>
  <si>
    <t>PRINTING ROLLER</t>
  </si>
  <si>
    <t>CORNER CUTTER</t>
  </si>
  <si>
    <t>P&amp;S KNIFE</t>
  </si>
  <si>
    <t>SCORING ROLLER</t>
  </si>
  <si>
    <t>OPTICELL LASER ENGRAVED RECONDITIONED ANILOX ROLLER FOR 327G MACHINE, CELL GEOMETRY = 60, LINE SCREEN OF 360 = VOLUME OF 6.5</t>
  </si>
  <si>
    <t>SMC PNEUMATIC CYLINDER, ECQ2B32-15D</t>
  </si>
  <si>
    <t>BELT ADHESIVE, K-2000 CEMENT</t>
  </si>
  <si>
    <t>SQUARE HEAD BOLT, M10 X 50MM</t>
  </si>
  <si>
    <t>GUM ROLLER</t>
  </si>
  <si>
    <t>GUM SEGMENT</t>
  </si>
  <si>
    <t>DOUBLE SIDE TAPE</t>
  </si>
  <si>
    <t>MASKING TAPE</t>
  </si>
  <si>
    <t>SILICON TAPE</t>
  </si>
  <si>
    <t>ADHESIVE TAPE</t>
  </si>
  <si>
    <t>BULB</t>
  </si>
  <si>
    <t>ELECTRONIC COUNTER TC73HCRR</t>
  </si>
  <si>
    <t>RECTIFIER</t>
  </si>
  <si>
    <t>TOGGLE SWITCH</t>
  </si>
  <si>
    <t>BLOWER FOR STENCIL MAKER</t>
  </si>
  <si>
    <t>MINI MICROSWITCH</t>
  </si>
  <si>
    <t>FORKLIFT BULB</t>
  </si>
  <si>
    <t>BULB FOR FORKLIFT</t>
  </si>
  <si>
    <t>STARTER</t>
  </si>
  <si>
    <t>EMERGENCY STOP PUSH BUTTON HEAD 22 MM</t>
  </si>
  <si>
    <t>FLANGE FOR PUSH BUTTON HEAD 22 MM</t>
  </si>
  <si>
    <t>2 POSITION SELECTOR SWITCH HEAD 22 MM</t>
  </si>
  <si>
    <t>BATTERY 9V</t>
  </si>
  <si>
    <t>22 MM SWITCH WITH LIGHT</t>
  </si>
  <si>
    <t>C-1-1</t>
  </si>
  <si>
    <t>C-1-2</t>
  </si>
  <si>
    <t>C-1-3</t>
  </si>
  <si>
    <t>C-1-4</t>
  </si>
  <si>
    <t>C-1-5</t>
  </si>
  <si>
    <t>C-1-6</t>
  </si>
  <si>
    <t>C-1-7</t>
  </si>
  <si>
    <t>C-1-8</t>
  </si>
  <si>
    <t>C-1-9</t>
  </si>
  <si>
    <t>C-1-10</t>
  </si>
  <si>
    <t>C-1-11</t>
  </si>
  <si>
    <t>C-1-12</t>
  </si>
  <si>
    <t>C-1-14</t>
  </si>
  <si>
    <t>C-1-15</t>
  </si>
  <si>
    <t>C-1-16</t>
  </si>
  <si>
    <t>C-1-19</t>
  </si>
  <si>
    <t>C-1-20</t>
  </si>
  <si>
    <t>C-1-22</t>
  </si>
  <si>
    <t>C-1-23</t>
  </si>
  <si>
    <t>C-1-24</t>
  </si>
  <si>
    <t>C-1-25</t>
  </si>
  <si>
    <t>C-1-27</t>
  </si>
  <si>
    <t>C-1-28</t>
  </si>
  <si>
    <t>C-1-29</t>
  </si>
  <si>
    <t>C-1-30</t>
  </si>
  <si>
    <t>C-1-31</t>
  </si>
  <si>
    <t>C-1-32</t>
  </si>
  <si>
    <t>C-1-33</t>
  </si>
  <si>
    <t>C-1-34</t>
  </si>
  <si>
    <t>C-1-38</t>
  </si>
  <si>
    <t>C-1-39</t>
  </si>
  <si>
    <t>C-1-42</t>
  </si>
  <si>
    <t>C-1-43</t>
  </si>
  <si>
    <t>C-1-44</t>
  </si>
  <si>
    <t>C-1-45</t>
  </si>
  <si>
    <t>C-1-51</t>
  </si>
  <si>
    <t>C-1-52</t>
  </si>
  <si>
    <t>C-1-55</t>
  </si>
  <si>
    <t>C-1-56</t>
  </si>
  <si>
    <t>C-1-57</t>
  </si>
  <si>
    <t>C-1-60</t>
  </si>
  <si>
    <t>C-1-61</t>
  </si>
  <si>
    <t>C-1-62</t>
  </si>
  <si>
    <t>C-1-63</t>
  </si>
  <si>
    <t>C-1-64</t>
  </si>
  <si>
    <t>C-1-65</t>
  </si>
  <si>
    <t>C-1-66</t>
  </si>
  <si>
    <t>C-1-67</t>
  </si>
  <si>
    <t>C-2-1</t>
  </si>
  <si>
    <t>C-2-2</t>
  </si>
  <si>
    <t>C-2-3</t>
  </si>
  <si>
    <t>C-2-4</t>
  </si>
  <si>
    <t>C-2-5</t>
  </si>
  <si>
    <t>C-2-6</t>
  </si>
  <si>
    <t>C-2-7</t>
  </si>
  <si>
    <t>C-2-8</t>
  </si>
  <si>
    <t>C-2-9</t>
  </si>
  <si>
    <t>C-2-10</t>
  </si>
  <si>
    <t>C-2-11</t>
  </si>
  <si>
    <t>C-2-12</t>
  </si>
  <si>
    <t>C-2-13</t>
  </si>
  <si>
    <t>C-2-14</t>
  </si>
  <si>
    <t>C-2-16</t>
  </si>
  <si>
    <t>C-2-17</t>
  </si>
  <si>
    <t>C-2-18</t>
  </si>
  <si>
    <t>C-2-19</t>
  </si>
  <si>
    <t>C-2-22</t>
  </si>
  <si>
    <t>C-2-23</t>
  </si>
  <si>
    <t>C-2-24</t>
  </si>
  <si>
    <t>C-2-25</t>
  </si>
  <si>
    <t>C-2-26</t>
  </si>
  <si>
    <t>C-2-30</t>
  </si>
  <si>
    <t>C-2-31</t>
  </si>
  <si>
    <t>C-2-32</t>
  </si>
  <si>
    <t>C-2-33</t>
  </si>
  <si>
    <t>C-2-34</t>
  </si>
  <si>
    <t>C-2-35</t>
  </si>
  <si>
    <t>C-2-36</t>
  </si>
  <si>
    <t>C-2-37</t>
  </si>
  <si>
    <t>C-2-39</t>
  </si>
  <si>
    <t>C-2-40</t>
  </si>
  <si>
    <t>C-2-42</t>
  </si>
  <si>
    <t>C-2-43</t>
  </si>
  <si>
    <t>C-2-45</t>
  </si>
  <si>
    <t>C-2-46</t>
  </si>
  <si>
    <t>C-2-47</t>
  </si>
  <si>
    <t>C-2-48</t>
  </si>
  <si>
    <t>C-2-49</t>
  </si>
  <si>
    <t>C-3-2</t>
  </si>
  <si>
    <t>C-3-3</t>
  </si>
  <si>
    <t>C-3-4</t>
  </si>
  <si>
    <t>C-3-5</t>
  </si>
  <si>
    <t>C-3-6</t>
  </si>
  <si>
    <t>C-3-7</t>
  </si>
  <si>
    <t>C-3-8</t>
  </si>
  <si>
    <t>C-3-9</t>
  </si>
  <si>
    <t>C-3-10</t>
  </si>
  <si>
    <t>C-3-11</t>
  </si>
  <si>
    <t>C-3-12</t>
  </si>
  <si>
    <t>C-3-15</t>
  </si>
  <si>
    <t>C-3-17</t>
  </si>
  <si>
    <t>C-3-18</t>
  </si>
  <si>
    <t>C-3-19</t>
  </si>
  <si>
    <t>C-3-20</t>
  </si>
  <si>
    <t>C-3-21</t>
  </si>
  <si>
    <t>C-3-27</t>
  </si>
  <si>
    <t>C-3-28</t>
  </si>
  <si>
    <t>C-3-29</t>
  </si>
  <si>
    <t>C-3-30</t>
  </si>
  <si>
    <t>C-3-31</t>
  </si>
  <si>
    <t>C-3-32</t>
  </si>
  <si>
    <t>C-3-36</t>
  </si>
  <si>
    <t>C-3-38</t>
  </si>
  <si>
    <t>C-3-46</t>
  </si>
  <si>
    <t>C-3-49</t>
  </si>
  <si>
    <t>C-3-51</t>
  </si>
  <si>
    <t>C-3-52</t>
  </si>
  <si>
    <t>C-4-1</t>
  </si>
  <si>
    <t>C-4-3</t>
  </si>
  <si>
    <t>C-4-4</t>
  </si>
  <si>
    <t>C-4-5</t>
  </si>
  <si>
    <t>C-4-6</t>
  </si>
  <si>
    <t>C-4-7</t>
  </si>
  <si>
    <t>C-4-8</t>
  </si>
  <si>
    <t>C-4-9</t>
  </si>
  <si>
    <t>C-4-11</t>
  </si>
  <si>
    <t>C-4-12</t>
  </si>
  <si>
    <t>C-4-13</t>
  </si>
  <si>
    <t>C-4-14</t>
  </si>
  <si>
    <t>C-4-15</t>
  </si>
  <si>
    <t>C-4-16</t>
  </si>
  <si>
    <t>C-4-17</t>
  </si>
  <si>
    <t>C-4-18</t>
  </si>
  <si>
    <t>C-4-19</t>
  </si>
  <si>
    <t>C-4-20</t>
  </si>
  <si>
    <t>C-4-21</t>
  </si>
  <si>
    <t>C-4-22</t>
  </si>
  <si>
    <t>C-4-23</t>
  </si>
  <si>
    <t>C-4-24</t>
  </si>
  <si>
    <t>C-4-25</t>
  </si>
  <si>
    <t>C-4-26</t>
  </si>
  <si>
    <t>C-4-27</t>
  </si>
  <si>
    <t>C-4-28</t>
  </si>
  <si>
    <t>C-4-29</t>
  </si>
  <si>
    <t>C-4-30</t>
  </si>
  <si>
    <t>CONTACTOR 24V-DC (35A), MOELLER  DILOM-G/11</t>
  </si>
  <si>
    <t>OVER LOAD CUT OUT (MOTOR PROTECTIVE SWITCH) 6---10A, MOELLER  PKZMO-10  (W+D: K4.519.79)</t>
  </si>
  <si>
    <t>INLINE FUSE HOLDER, 32AMP, 600V</t>
  </si>
  <si>
    <t>RELAY 24VAC. 5AMP. 14 PIN, PERRY 1RE 04 05 24VAC, 50/60Hz</t>
  </si>
  <si>
    <t>AUXILIARY CONTACTOR, 2 NO &amp; 2 NC, AC MAX 1 A &amp; DC MAX 10 A</t>
  </si>
  <si>
    <t>ELCB 63 AMP (INTERRUPTOR DIFERENCIAL), ABB FH204 AC-63/0.1</t>
  </si>
  <si>
    <t>PHOTOCELL (PROXIMITY SENSOR). 10-35VDC, SIEMENS OPTO-BERO 3RG 7013.0CC00</t>
  </si>
  <si>
    <t>ROTARY ENCODER, E50S8-2000-6-L-5</t>
  </si>
  <si>
    <t>RELAY 24VDC. 5AMP. 14 PIN, PERRY 1RE 04 05 24VDC</t>
  </si>
  <si>
    <t>EXHAUST FAN, 220-240VAC. 50/60Hz. 0.14A</t>
  </si>
  <si>
    <t>EXHAUST FAN, 24VDC</t>
  </si>
  <si>
    <t>CIRCUIT BREAKER, 32A, 3 POLE</t>
  </si>
  <si>
    <t>CIRCUIT BREAKER, 6A, 3 POLE</t>
  </si>
  <si>
    <t>CIRCUIT BREAKER, 6A, 1 POLE</t>
  </si>
  <si>
    <t>CIRCUIT BREAKER, 10A, 1 POLE</t>
  </si>
  <si>
    <t>CIRCUIT BREAKER, 32A, 1 POLE</t>
  </si>
  <si>
    <t>CONTACTOR, 32A, 24VDC, 3 POLE, 15KW</t>
  </si>
  <si>
    <t>CONTACTOR, 18A, 24VDC, 3 POLE, 7.5KW</t>
  </si>
  <si>
    <t>CONTACTOR, 9A, 24VDC, 3 POLE, 4KW</t>
  </si>
  <si>
    <t>REVERSING CONTACTOR 1NO+1NC, 18A, 24VDC, 3 POLE, 7.5KW</t>
  </si>
  <si>
    <t>CARBON BRUSH FOR SLIPRING OF 327G, 8 X 16 X 25 MM</t>
  </si>
  <si>
    <t>RHEOSTAT VARIABLE RESISTANCE, 100 WATT, 100 OHM</t>
  </si>
  <si>
    <t>MR-J2TBL05M, CABLE FOR 38R P&amp;S SERVO AMPLIFIER</t>
  </si>
  <si>
    <t>LINEAR POTENTIOMETER, MIDORI PRECISION, LP-50F-2 (5KOhm)</t>
  </si>
  <si>
    <t>3 POSITION SWITCH HEAD, 22MM</t>
  </si>
  <si>
    <t>TIMING BELT 28 X 8 X 1000 Li</t>
  </si>
  <si>
    <t>TIMING BELT (604 SYNCHROFLEX DR 153)</t>
  </si>
  <si>
    <t>NON RETURN VALVE</t>
  </si>
  <si>
    <t>GASKET FOR COMPRESSOR</t>
  </si>
  <si>
    <t>PULLEY</t>
  </si>
  <si>
    <t>CARBON PAPER FOR CUTTING KNIFE IMPRESSION</t>
  </si>
  <si>
    <t>BLADE FOR SMALL KNIFE</t>
  </si>
  <si>
    <t>BLADE FOR LARGE KNIFE</t>
  </si>
  <si>
    <t>HOLE PUNCH 8MM</t>
  </si>
  <si>
    <t>SHARPENING STONE</t>
  </si>
  <si>
    <t>RUBBER GLOVES</t>
  </si>
  <si>
    <t>LEATHER GLOVE</t>
  </si>
  <si>
    <t>COTTON GLOVE</t>
  </si>
  <si>
    <t>D-1-1</t>
  </si>
  <si>
    <t>D-1-3</t>
  </si>
  <si>
    <t>D-1-4</t>
  </si>
  <si>
    <t>D-1-5</t>
  </si>
  <si>
    <t>D-1-8</t>
  </si>
  <si>
    <t>D-1-9</t>
  </si>
  <si>
    <t>D-1-10</t>
  </si>
  <si>
    <t>D-1-12</t>
  </si>
  <si>
    <t>D-1-13</t>
  </si>
  <si>
    <t>D-2-16</t>
  </si>
  <si>
    <t>D-2-17</t>
  </si>
  <si>
    <t>D-2-20</t>
  </si>
  <si>
    <t>D-2-22</t>
  </si>
  <si>
    <t>D-2-23</t>
  </si>
  <si>
    <t>D-2-24</t>
  </si>
  <si>
    <t>D-2-28</t>
  </si>
  <si>
    <t>D-2-30</t>
  </si>
  <si>
    <t>D-3-2</t>
  </si>
  <si>
    <t>D-3-3</t>
  </si>
  <si>
    <t>D-3-4</t>
  </si>
  <si>
    <t>D-3-5</t>
  </si>
  <si>
    <t>D-3-6</t>
  </si>
  <si>
    <t>D-3-7</t>
  </si>
  <si>
    <t>D-3-8</t>
  </si>
  <si>
    <t>D-3-9</t>
  </si>
  <si>
    <t>D-3-10</t>
  </si>
  <si>
    <t>D-3-11</t>
  </si>
  <si>
    <t>D-3-13</t>
  </si>
  <si>
    <t>D-3-14</t>
  </si>
  <si>
    <t>D-3-16</t>
  </si>
  <si>
    <t>D-3-17</t>
  </si>
  <si>
    <t>D-3-18</t>
  </si>
  <si>
    <t>D-3-19</t>
  </si>
  <si>
    <t>D-3-20</t>
  </si>
  <si>
    <t>D-3-21</t>
  </si>
  <si>
    <t>D-4-5</t>
  </si>
  <si>
    <t>D-4-6</t>
  </si>
  <si>
    <t>D-4-8</t>
  </si>
  <si>
    <t>D-4-9</t>
  </si>
  <si>
    <t>D-4-10</t>
  </si>
  <si>
    <t>D-4-20</t>
  </si>
  <si>
    <t>D-5-2</t>
  </si>
  <si>
    <t>D-5-3</t>
  </si>
  <si>
    <t>D-5-4</t>
  </si>
  <si>
    <t>TIMING BELT 255H, W=30 MM</t>
  </si>
  <si>
    <t>TIMING BELT 500-5M</t>
  </si>
  <si>
    <t>FESTO AIR LUBRICATOR, LOE-D-MIDI(159587)</t>
  </si>
  <si>
    <t>COMPLETE PAPER CUTTER, LARGE SIZE</t>
  </si>
  <si>
    <t>COUNTER</t>
  </si>
  <si>
    <t>GASKET</t>
  </si>
  <si>
    <t>PAPER GRIPPER</t>
  </si>
  <si>
    <t>SPECIAL BOLT</t>
  </si>
  <si>
    <t>SCALE</t>
  </si>
  <si>
    <t>WASHER</t>
  </si>
  <si>
    <t>OLD PARTS BOX</t>
  </si>
  <si>
    <t xml:space="preserve">SPECIAL GRUB SCREW </t>
  </si>
  <si>
    <t>BRACKET</t>
  </si>
  <si>
    <t>OLD STUD</t>
  </si>
  <si>
    <t>ELECTRIC SWITCH</t>
  </si>
  <si>
    <t>FELT</t>
  </si>
  <si>
    <t>DAMPENING ROLLER</t>
  </si>
  <si>
    <t>KEY</t>
  </si>
  <si>
    <t>FESTO VALVE HGL-1/4-B</t>
  </si>
  <si>
    <t>FESTO FLOW VALVE W-3-3/8</t>
  </si>
  <si>
    <t>SUCKER FOR PRINTING PLATE</t>
  </si>
  <si>
    <t>E-1-1</t>
  </si>
  <si>
    <t>E-1-2</t>
  </si>
  <si>
    <t>E-1-5</t>
  </si>
  <si>
    <t>E-1-6</t>
  </si>
  <si>
    <t>E-1-9</t>
  </si>
  <si>
    <t>E-1-11</t>
  </si>
  <si>
    <t>E-1-15</t>
  </si>
  <si>
    <t>E-1-16</t>
  </si>
  <si>
    <t>E-1-17</t>
  </si>
  <si>
    <t>E-1-18</t>
  </si>
  <si>
    <t>E-1-19</t>
  </si>
  <si>
    <t>E-1-20</t>
  </si>
  <si>
    <t>E-1-21</t>
  </si>
  <si>
    <t>E-1-22</t>
  </si>
  <si>
    <t>E-1-23</t>
  </si>
  <si>
    <t>E-1-24</t>
  </si>
  <si>
    <t>E-1-25</t>
  </si>
  <si>
    <t>E-2-3</t>
  </si>
  <si>
    <t>E-2-4</t>
  </si>
  <si>
    <t>E-2-5</t>
  </si>
  <si>
    <t>E-2-6</t>
  </si>
  <si>
    <t>E-2-12</t>
  </si>
  <si>
    <t>E-2-14</t>
  </si>
  <si>
    <t>E-2-15</t>
  </si>
  <si>
    <t>E-2-16</t>
  </si>
  <si>
    <t>E-2-17</t>
  </si>
  <si>
    <t>E-2-18</t>
  </si>
  <si>
    <t>E-2-19</t>
  </si>
  <si>
    <t>E-2-20</t>
  </si>
  <si>
    <t>E-2-22</t>
  </si>
  <si>
    <t>E-2-24</t>
  </si>
  <si>
    <t>E-2-25</t>
  </si>
  <si>
    <t>E-2-26</t>
  </si>
  <si>
    <t>E-2-27</t>
  </si>
  <si>
    <t>E-2-28</t>
  </si>
  <si>
    <t>E-2-29</t>
  </si>
  <si>
    <t>E-2-30</t>
  </si>
  <si>
    <t>E-2-31</t>
  </si>
  <si>
    <t>E-2-32</t>
  </si>
  <si>
    <t>E-2-33</t>
  </si>
  <si>
    <t>E-2-34</t>
  </si>
  <si>
    <t>E-2-35</t>
  </si>
  <si>
    <t>E-2-36</t>
  </si>
  <si>
    <t>E-3-1</t>
  </si>
  <si>
    <t>E-3-2</t>
  </si>
  <si>
    <t>E-3-6</t>
  </si>
  <si>
    <t>E-3-7</t>
  </si>
  <si>
    <t>E-3-8</t>
  </si>
  <si>
    <t>E-3-9</t>
  </si>
  <si>
    <t>E-3-10</t>
  </si>
  <si>
    <t>E-3-11</t>
  </si>
  <si>
    <t>E-3-13</t>
  </si>
  <si>
    <t>E-3-27</t>
  </si>
  <si>
    <t>E-3-28</t>
  </si>
  <si>
    <t>E-3-29</t>
  </si>
  <si>
    <t>E-3-30</t>
  </si>
  <si>
    <t>E-3-31</t>
  </si>
  <si>
    <t>E-3-32</t>
  </si>
  <si>
    <t>E-3-33</t>
  </si>
  <si>
    <t>E-3-36</t>
  </si>
  <si>
    <t>E-3-37</t>
  </si>
  <si>
    <t>E-3-41</t>
  </si>
  <si>
    <t>E-3-42</t>
  </si>
  <si>
    <t>E-3-43</t>
  </si>
  <si>
    <t>E-3-45</t>
  </si>
  <si>
    <t>E-4-4</t>
  </si>
  <si>
    <t>E-4-8</t>
  </si>
  <si>
    <t>E-4-9</t>
  </si>
  <si>
    <t>E-4-10</t>
  </si>
  <si>
    <t>E-4-11</t>
  </si>
  <si>
    <t>E-4-13</t>
  </si>
  <si>
    <t>E-4-15</t>
  </si>
  <si>
    <t>E-4-20</t>
  </si>
  <si>
    <t>E-5-1</t>
  </si>
  <si>
    <t>E-5-4</t>
  </si>
  <si>
    <t>E-5-5</t>
  </si>
  <si>
    <t>E-5-6</t>
  </si>
  <si>
    <t>E-5-7</t>
  </si>
  <si>
    <t>E-6-1</t>
  </si>
  <si>
    <t>E-6-2</t>
  </si>
  <si>
    <t>E-6-3</t>
  </si>
  <si>
    <t>E-6-4</t>
  </si>
  <si>
    <t>E-6-5</t>
  </si>
  <si>
    <t>E-6-6</t>
  </si>
  <si>
    <t>FLAT PLATE, 01.018.012</t>
  </si>
  <si>
    <t>PIN, 42.017.026/-</t>
  </si>
  <si>
    <t>DISC, MV017.657/-</t>
  </si>
  <si>
    <t>THREADING BUSHING, 42.007.026</t>
  </si>
  <si>
    <t>EYE BOLT (LEFT &amp; RIGHT THREAD), 36.017.038/-</t>
  </si>
  <si>
    <t>ECCENTRIC PIN, 04.017.032/-</t>
  </si>
  <si>
    <t>WASHER, 00.540.0260/-</t>
  </si>
  <si>
    <t>COVER, 42.018.028/-</t>
  </si>
  <si>
    <t>HUELSE, 42.017.007/-</t>
  </si>
  <si>
    <t>PRESSURE PIN, K 1.775.41</t>
  </si>
  <si>
    <t>SUCKER, 419 0486 42016073</t>
  </si>
  <si>
    <t>GRIPPER, 419 0486 43020035F/D</t>
  </si>
  <si>
    <t>ROLLER, 93.033.502/-</t>
  </si>
  <si>
    <t>ZUNGE, V79.06.794.0</t>
  </si>
  <si>
    <t>PLATE SPRING, 58.353.007/-</t>
  </si>
  <si>
    <t>PLAIN WASHER D=5.3, D 0.270.008</t>
  </si>
  <si>
    <t>GRIPPER FOR CYLINDER, V79.89.4580</t>
  </si>
  <si>
    <t>BOLT, POSITION: 13171/32, PART NO: V 77.40.191.1</t>
  </si>
  <si>
    <t>PAPER CARRIER, L212.00.6154.0</t>
  </si>
  <si>
    <t>SLEEVE, V 11.09.025.0</t>
  </si>
  <si>
    <t>PLATE SPRING, 419 0486 42006034/01</t>
  </si>
  <si>
    <t>COVER PLATE, V 79.89.453.0</t>
  </si>
  <si>
    <t>GRIPPER PLATE (NO 2), V 79.89.439.0</t>
  </si>
  <si>
    <t>GRIPPER PLATE (NO 5), V 79.89.443.0</t>
  </si>
  <si>
    <t>HOOKED SPANNER, V87.00.056.0</t>
  </si>
  <si>
    <t>MICRO SWITCH, V4.762.07</t>
  </si>
  <si>
    <t>REFLECTION-LIGHT SCANNER, K 4.717.15</t>
  </si>
  <si>
    <t>NEEDLE BEARING NK 45/30, K 1.310.20</t>
  </si>
  <si>
    <t>NON RETURN VALVE, HGL-1/4-B</t>
  </si>
  <si>
    <t>TIMMER RELAY, K4.493.21</t>
  </si>
  <si>
    <t>THREADED SPACER, V5361.07610</t>
  </si>
  <si>
    <t>MICRO SWITCH PART, K4.262.08</t>
  </si>
  <si>
    <t>LOESCHLOGIK 24-5, K4.731.03</t>
  </si>
  <si>
    <t>SWITCHES, K4.262.16</t>
  </si>
  <si>
    <t>FESTO CONTROL VALVE, GRLA-M5-QS-6RS</t>
  </si>
  <si>
    <t>REFLECTION-LIGHT SCANNER, K4.721.40.04 (REPLACEMENT OF K4.717.95)</t>
  </si>
  <si>
    <t>GEAR MOTOR FOR DAMPENING, K 6.686.12</t>
  </si>
  <si>
    <t>WATER DOSING ROLLER 52  WITH KEY (L212.00.0452.2), DIA=58 MM, L=465 MM, HARDNESS=30 SHORE</t>
  </si>
  <si>
    <t>WATER APPLICATION ROLLER 33 WITHOUT KEY (L 212.00.0133.0), DIA=58 MM, L=430MM, HARDNESS=30 SHORE</t>
  </si>
  <si>
    <t>FORM ROLLER 35 (L212.00.0035.0), DIA=45 MM, L=430 MM, HARDNESS=35 SHORE</t>
  </si>
  <si>
    <t>TRANSFER ROLLER 43 (L212.00.0043.0), DIA=45 MM, L=430 MM, HARDNESS=40 SHORE</t>
  </si>
  <si>
    <t>VIBRATOR 42 (L214.00.0041.0), DIA=36 MM, L=430 MM, HARDNESS=40 SHORE</t>
  </si>
  <si>
    <t>FORM ROLLER 34 (L212.00.0034.0), DIA=39MM, L=430 MM, HARDNESS=35 SHORE</t>
  </si>
  <si>
    <t>TRANSFER ROLLER 41 (L212.00.0041.0), DIA=43 MM, L=430 MM, HARDNESS=40 SHORE</t>
  </si>
  <si>
    <t>INTERMEDIATE ROLLER 44 (L212.00.0044.0), DIA=40 MM, L=430 MM, HARDNESS=40 SHORE</t>
  </si>
  <si>
    <t>VIBERATOR ROLLER</t>
  </si>
  <si>
    <t>INTERMEDIATE ROLLER</t>
  </si>
  <si>
    <t>WATER DOSING ROLLER</t>
  </si>
  <si>
    <t>WATER APPLICATION ROLLER</t>
  </si>
  <si>
    <t>FORM ROLLER</t>
  </si>
  <si>
    <t>TRANSFER ROLLER</t>
  </si>
  <si>
    <t>SIDE SCORING KNIFE</t>
  </si>
  <si>
    <t>5V223 QUARTZ LAMP BULB FOR CHROMALOX</t>
  </si>
  <si>
    <t>FEED ROLL</t>
  </si>
  <si>
    <t>SPLIT SPROCKET</t>
  </si>
  <si>
    <t>HEATER 630 W</t>
  </si>
  <si>
    <t>HEATER 180 W</t>
  </si>
  <si>
    <t>HEATER 280 W</t>
  </si>
  <si>
    <t>HEATER 250 W</t>
  </si>
  <si>
    <t>HEATER 140 W</t>
  </si>
  <si>
    <t>OLD HEATER</t>
  </si>
  <si>
    <t>3 PORT VALVE</t>
  </si>
  <si>
    <t>HINGES</t>
  </si>
  <si>
    <t>TIMING BELT 800H100</t>
  </si>
  <si>
    <t>#SG-3-534-2 AIR CHUCKS</t>
  </si>
  <si>
    <t>HEATING ELEMENT 640 MM LONG</t>
  </si>
  <si>
    <t>OLD SOLENOID VLAVE FOR SHANKLIN</t>
  </si>
  <si>
    <t>D.C MOTOR FOR SHANKLIN</t>
  </si>
  <si>
    <t>"J" TYPE THERMOCOUPLE</t>
  </si>
  <si>
    <t>F-1-1</t>
  </si>
  <si>
    <t>F-1-2</t>
  </si>
  <si>
    <t>F-1-3</t>
  </si>
  <si>
    <t>F-1-4</t>
  </si>
  <si>
    <t>F-1-5</t>
  </si>
  <si>
    <t>F-1-7</t>
  </si>
  <si>
    <t>F-1-10</t>
  </si>
  <si>
    <t>F-1-11</t>
  </si>
  <si>
    <t>F-1-12</t>
  </si>
  <si>
    <t>F-1-13</t>
  </si>
  <si>
    <t>F-1-14</t>
  </si>
  <si>
    <t>F-1-15</t>
  </si>
  <si>
    <t>F-1-16</t>
  </si>
  <si>
    <t>F-1-17</t>
  </si>
  <si>
    <t>F-1-18</t>
  </si>
  <si>
    <t>F-1-19</t>
  </si>
  <si>
    <t>F-1-20</t>
  </si>
  <si>
    <t>F-1-21</t>
  </si>
  <si>
    <t>F-1-23</t>
  </si>
  <si>
    <t>F-1-24</t>
  </si>
  <si>
    <t>F-1-25</t>
  </si>
  <si>
    <t>F-1-26</t>
  </si>
  <si>
    <t>F-2-1</t>
  </si>
  <si>
    <t>F-2-2</t>
  </si>
  <si>
    <t>F-2-3</t>
  </si>
  <si>
    <t>F-2-4</t>
  </si>
  <si>
    <t>F-2-5</t>
  </si>
  <si>
    <t>F-2-6</t>
  </si>
  <si>
    <t>F-2-7</t>
  </si>
  <si>
    <t>F-2-8</t>
  </si>
  <si>
    <t>F-2-9</t>
  </si>
  <si>
    <t>F-2-10</t>
  </si>
  <si>
    <t>F-2-11</t>
  </si>
  <si>
    <t>F-2-12</t>
  </si>
  <si>
    <t>F-2-14</t>
  </si>
  <si>
    <t>F-2-15</t>
  </si>
  <si>
    <t>F-2-18</t>
  </si>
  <si>
    <t>F-2-19</t>
  </si>
  <si>
    <t>F-2-20</t>
  </si>
  <si>
    <t>F-2-21</t>
  </si>
  <si>
    <t>F-3-1</t>
  </si>
  <si>
    <t>F-3-2</t>
  </si>
  <si>
    <t>F-3-3</t>
  </si>
  <si>
    <t>F-3-4</t>
  </si>
  <si>
    <t>F-3-5</t>
  </si>
  <si>
    <t>F-3-6</t>
  </si>
  <si>
    <t>F-3-7</t>
  </si>
  <si>
    <t>F-3-8</t>
  </si>
  <si>
    <t>F-3-9</t>
  </si>
  <si>
    <t>F-3-10</t>
  </si>
  <si>
    <t>F-3-11</t>
  </si>
  <si>
    <t>F-3-12</t>
  </si>
  <si>
    <t>F-3-13</t>
  </si>
  <si>
    <t>F-3-14</t>
  </si>
  <si>
    <t>F-3-15</t>
  </si>
  <si>
    <t>F-3-16</t>
  </si>
  <si>
    <t>F-3-17</t>
  </si>
  <si>
    <t>F-3-18</t>
  </si>
  <si>
    <t>F-3-19</t>
  </si>
  <si>
    <t>F-3-20</t>
  </si>
  <si>
    <t>F-4-1</t>
  </si>
  <si>
    <t>F-4-2</t>
  </si>
  <si>
    <t>F-4-3</t>
  </si>
  <si>
    <t>F-4-4</t>
  </si>
  <si>
    <t>F-4-5</t>
  </si>
  <si>
    <t>F-4-6</t>
  </si>
  <si>
    <t>F-4-7</t>
  </si>
  <si>
    <t>F-4-8</t>
  </si>
  <si>
    <t>F-4-9</t>
  </si>
  <si>
    <t>F-4-10</t>
  </si>
  <si>
    <t>F-4-11</t>
  </si>
  <si>
    <t>F-4-12</t>
  </si>
  <si>
    <t>F-4-13</t>
  </si>
  <si>
    <t>F-4-14</t>
  </si>
  <si>
    <t>F-4-15</t>
  </si>
  <si>
    <t>F-4-16</t>
  </si>
  <si>
    <t>F-4-17</t>
  </si>
  <si>
    <t>F-4-18</t>
  </si>
  <si>
    <t>F-4-19</t>
  </si>
  <si>
    <t>F-4-20</t>
  </si>
  <si>
    <t>F-4-21</t>
  </si>
  <si>
    <t>F-4-22</t>
  </si>
  <si>
    <t>F-4-24</t>
  </si>
  <si>
    <t>F-4-25</t>
  </si>
  <si>
    <t>F-4-26</t>
  </si>
  <si>
    <t>F-4-27</t>
  </si>
  <si>
    <t>F-4-28</t>
  </si>
  <si>
    <t>F-4-29</t>
  </si>
  <si>
    <t>F-4-30</t>
  </si>
  <si>
    <t>F-4-31</t>
  </si>
  <si>
    <t>F-4-32</t>
  </si>
  <si>
    <t>ALIGNER PIN, SA-14L</t>
  </si>
  <si>
    <t>ALIGNER PIN, SA-14R</t>
  </si>
  <si>
    <t>FEED ROLL, UNICAST REF: 15-1070SYS</t>
  </si>
  <si>
    <t>FLAP GUM ROLL 1.375 X 6-1/2, UNICAST REF: 10-1223</t>
  </si>
  <si>
    <t>CROSS SCORING BLADE, OS-1315</t>
  </si>
  <si>
    <t>MOVEABLE SEPARATOR BLADE, OS-5661</t>
  </si>
  <si>
    <t>FLAT BELT 38 X 1460 MM, FD-TG-1030-PaR-YG</t>
  </si>
  <si>
    <t>CARTRIDGE HEATER HIGH DEN, SIZE: 16 X 175 MM, 240 WATT, 220 VOLT</t>
  </si>
  <si>
    <t>CARTRIDGE HEATER (DIA 12.5MM X L=255MM), 300W, 230V</t>
  </si>
  <si>
    <t>CARTRIDGE HEATER HIGH DEN, SIZE: 16 X 160 MM, 630 WATT, 220 VOLT</t>
  </si>
  <si>
    <t>CORNER BLOCK FOR PP1622 MK, WH01-C1A</t>
  </si>
  <si>
    <t>TEMP CONTROLLER FOR PP1812 28, W2-CU3B</t>
  </si>
  <si>
    <t>SIDE SEAM V-BELT (7M850), BD-0117, ITEM # 11</t>
  </si>
  <si>
    <t>GUMMING PAD / FOAM TAPE, 6 X 25 MM</t>
  </si>
  <si>
    <t>PAD, WEAR, FILM CLAMP, N05-1780-001</t>
  </si>
  <si>
    <t>CLAMP, PHENOLIC FILM, CF1, J08-0895-001</t>
  </si>
  <si>
    <t>PHOTOCELL FOR SHANKLING, IN5129-IN-3004-BPKG</t>
  </si>
  <si>
    <t>BALL BUSHING, BC-0025</t>
  </si>
  <si>
    <t>TOLOMATIC BRAKE CALIPER, P/N: 0703-0001</t>
  </si>
  <si>
    <t>MTG, BLOCK-WIRE TERMINAL (TEF), N05-2669-001</t>
  </si>
  <si>
    <t>JAW, TOP SEAL, WIDE FIN, F05-0894-001</t>
  </si>
  <si>
    <t>CUTTING BLADE 22.875", PART # 005-1665-003</t>
  </si>
  <si>
    <t>SHOCK ABSORBER, PART # MA-0021</t>
  </si>
  <si>
    <t>OIL SEAL, MA-0421</t>
  </si>
  <si>
    <t>PIVOT MOUNTING BRACKET, PART # N05-0922-001</t>
  </si>
  <si>
    <t>FILM CLAMP CF-1 HW, PART # J08-0860-001</t>
  </si>
  <si>
    <t>U.P.S</t>
  </si>
  <si>
    <t>GLUE WHEEL</t>
  </si>
  <si>
    <t>NYLON WASHEAR</t>
  </si>
  <si>
    <t>SAFETY SWITCH</t>
  </si>
  <si>
    <t>SQUAR HEAD SCREW</t>
  </si>
  <si>
    <t>SPECIAL SCREW</t>
  </si>
  <si>
    <t>FLANGE NUT</t>
  </si>
  <si>
    <t>CABLE CONNECTOR</t>
  </si>
  <si>
    <t>ROLLER FOR GLUE UNIT</t>
  </si>
  <si>
    <t>FLAT BELT ROLLS</t>
  </si>
  <si>
    <t>G-1-3</t>
  </si>
  <si>
    <t>G-2-2</t>
  </si>
  <si>
    <t>G-3-1</t>
  </si>
  <si>
    <t>G-3-2</t>
  </si>
  <si>
    <t>G-3-4</t>
  </si>
  <si>
    <t>G-3-5</t>
  </si>
  <si>
    <t>G-3-6</t>
  </si>
  <si>
    <t>G-3-7</t>
  </si>
  <si>
    <t>G-3-8</t>
  </si>
  <si>
    <t>G-3-9</t>
  </si>
  <si>
    <t>G-3-10</t>
  </si>
  <si>
    <t>G-3-11</t>
  </si>
  <si>
    <t>G-3-12</t>
  </si>
  <si>
    <t>G-3-13</t>
  </si>
  <si>
    <t>G-4-1</t>
  </si>
  <si>
    <t>G-4-2</t>
  </si>
  <si>
    <t>G-4-3</t>
  </si>
  <si>
    <t>G-4-4</t>
  </si>
  <si>
    <t>G-4-5</t>
  </si>
  <si>
    <t>G-4-6</t>
  </si>
  <si>
    <t>G-4-7</t>
  </si>
  <si>
    <t>G-4-8</t>
  </si>
  <si>
    <t>G-4-9</t>
  </si>
  <si>
    <t>G-4-10</t>
  </si>
  <si>
    <t>G-4-11</t>
  </si>
  <si>
    <t>G-4-12</t>
  </si>
  <si>
    <t>G-4-13</t>
  </si>
  <si>
    <t>G-4-14</t>
  </si>
  <si>
    <t>G-4-15</t>
  </si>
  <si>
    <t>G-4-16</t>
  </si>
  <si>
    <t>G-4-18</t>
  </si>
  <si>
    <t>G-4-19</t>
  </si>
  <si>
    <t>G-5-1</t>
  </si>
  <si>
    <t>G-5-2</t>
  </si>
  <si>
    <t>G-5-3</t>
  </si>
  <si>
    <t>G-5-4</t>
  </si>
  <si>
    <t>G-5-5</t>
  </si>
  <si>
    <t>G-5-6</t>
  </si>
  <si>
    <t>G-5-7</t>
  </si>
  <si>
    <t>BIG GEAR, R2.30.112.403 &amp; R2.30.116.405</t>
  </si>
  <si>
    <t>SPRING HOOK, B200.113</t>
  </si>
  <si>
    <t>COUNTER KICKER, SET, V 05557370</t>
  </si>
  <si>
    <t>FLBER OPTIC SWITCH, K 4.720.21</t>
  </si>
  <si>
    <t>RUBBER ROLLER, DIA 50 MM X L 45 MM</t>
  </si>
  <si>
    <t>OIL SEAL BECKER, 40 X 52 X 7 MM</t>
  </si>
  <si>
    <t>OIL SEAL</t>
  </si>
  <si>
    <t>VALCO PNEUMATIC PUMP</t>
  </si>
  <si>
    <t>H-1-1</t>
  </si>
  <si>
    <t>H-1-2</t>
  </si>
  <si>
    <t>H-1-3</t>
  </si>
  <si>
    <t>H-1-4</t>
  </si>
  <si>
    <t>H-1-6</t>
  </si>
  <si>
    <t>H-1-7</t>
  </si>
  <si>
    <t>H-1-8</t>
  </si>
  <si>
    <t>H-1-9</t>
  </si>
  <si>
    <t>H-1-10</t>
  </si>
  <si>
    <t>H-1-11</t>
  </si>
  <si>
    <t>H-1-12</t>
  </si>
  <si>
    <t>H-1-14</t>
  </si>
  <si>
    <t>H-1-15</t>
  </si>
  <si>
    <t>SCORING UNIT SUPPORT</t>
  </si>
  <si>
    <t>H-1-19</t>
  </si>
  <si>
    <t>H-1-20</t>
  </si>
  <si>
    <t>H-1-23</t>
  </si>
  <si>
    <t>H-1-25</t>
  </si>
  <si>
    <t>H-1-26</t>
  </si>
  <si>
    <t>H-1-29</t>
  </si>
  <si>
    <t>H-1-30</t>
  </si>
  <si>
    <t>H-2-1</t>
  </si>
  <si>
    <t>H-2-3</t>
  </si>
  <si>
    <t>H-2-5</t>
  </si>
  <si>
    <t>H-2-6</t>
  </si>
  <si>
    <t>H-2-8</t>
  </si>
  <si>
    <t>H-2-9</t>
  </si>
  <si>
    <t>H-2-10</t>
  </si>
  <si>
    <t>H-2-12</t>
  </si>
  <si>
    <t>H-2-13</t>
  </si>
  <si>
    <t>H-2-18</t>
  </si>
  <si>
    <t>H-2-20</t>
  </si>
  <si>
    <t>H-3-1</t>
  </si>
  <si>
    <t>H-3-2</t>
  </si>
  <si>
    <t>H-3-3</t>
  </si>
  <si>
    <t>H-3-4</t>
  </si>
  <si>
    <t>H-3-5</t>
  </si>
  <si>
    <t>H-3-6</t>
  </si>
  <si>
    <t>H-3-8</t>
  </si>
  <si>
    <t>H-3-9</t>
  </si>
  <si>
    <t>H-3-10</t>
  </si>
  <si>
    <t>H-3-11</t>
  </si>
  <si>
    <t>H-3-12</t>
  </si>
  <si>
    <t>H-3-13</t>
  </si>
  <si>
    <t>H-3-14</t>
  </si>
  <si>
    <t>ECCENTRIC FEED ROLLS</t>
  </si>
  <si>
    <t>H-3-15</t>
  </si>
  <si>
    <t>STEEL ROLLER FOR DELIVERY</t>
  </si>
  <si>
    <t>H-3-16</t>
  </si>
  <si>
    <t>H-3-17</t>
  </si>
  <si>
    <t xml:space="preserve">MODIFIED STEEL ROLL </t>
  </si>
  <si>
    <t>H-3-18</t>
  </si>
  <si>
    <t>H-3-19</t>
  </si>
  <si>
    <t>H-3-20</t>
  </si>
  <si>
    <t>H-3-21</t>
  </si>
  <si>
    <t>H-3-22</t>
  </si>
  <si>
    <t>H-3-23</t>
  </si>
  <si>
    <t>H-4-1</t>
  </si>
  <si>
    <t>H-4-2</t>
  </si>
  <si>
    <t>H-4-3</t>
  </si>
  <si>
    <t>H-4-4</t>
  </si>
  <si>
    <t>H-4-5</t>
  </si>
  <si>
    <t>H-4-6</t>
  </si>
  <si>
    <t>H-4-7</t>
  </si>
  <si>
    <t>H-4-8</t>
  </si>
  <si>
    <t>H-4-9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</si>
  <si>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</si>
  <si>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</si>
  <si>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</si>
  <si>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</si>
  <si>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</si>
  <si>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</si>
  <si>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</si>
  <si>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</si>
  <si>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</si>
  <si>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</si>
  <si>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</si>
  <si>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</si>
  <si>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</si>
  <si>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</si>
  <si>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</si>
  <si>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</si>
  <si>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</si>
  <si>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</si>
  <si>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</si>
  <si>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</si>
  <si>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</si>
  <si>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</si>
  <si>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</si>
  <si>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</si>
  <si>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</si>
  <si>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H-5-1</t>
  </si>
  <si>
    <t>H-5-2</t>
  </si>
  <si>
    <t>H-5-3</t>
  </si>
  <si>
    <t>H-5-4</t>
  </si>
  <si>
    <t>H-5-5</t>
  </si>
  <si>
    <t>WOODRUFF KEY</t>
  </si>
  <si>
    <t>H-5-6</t>
  </si>
  <si>
    <t>H-5-7</t>
  </si>
  <si>
    <t>H-5-8</t>
  </si>
  <si>
    <t>H-5-9</t>
  </si>
  <si>
    <t>H-5-10</t>
  </si>
  <si>
    <t>H-5-11</t>
  </si>
  <si>
    <t>H-5-12</t>
  </si>
  <si>
    <t>H-5-13</t>
  </si>
  <si>
    <t>H-5-14</t>
  </si>
  <si>
    <t>H-5-15</t>
  </si>
  <si>
    <t>BRAKE BRUSH</t>
  </si>
  <si>
    <t>H-5-16</t>
  </si>
  <si>
    <t>HANDLE</t>
  </si>
  <si>
    <t>H-5-19</t>
  </si>
  <si>
    <t>H-5-21</t>
  </si>
  <si>
    <t>H-5-22</t>
  </si>
  <si>
    <t>H-5-23</t>
  </si>
  <si>
    <t>H-5-24</t>
  </si>
  <si>
    <t>H-5-25</t>
  </si>
  <si>
    <t>H-5-26</t>
  </si>
  <si>
    <t>H-5-27</t>
  </si>
  <si>
    <t>SPIDER FOR SPLICER DRIVE</t>
  </si>
  <si>
    <t>H-5-28</t>
  </si>
  <si>
    <t>GEAR COUPLING</t>
  </si>
  <si>
    <t>H-5-35</t>
  </si>
  <si>
    <t>BUSHING</t>
  </si>
  <si>
    <t>H-5-36</t>
  </si>
  <si>
    <t>H-5-41</t>
  </si>
  <si>
    <t>H-5-42</t>
  </si>
  <si>
    <t>H-5-47</t>
  </si>
  <si>
    <t>H-5-48</t>
  </si>
  <si>
    <t>H-7-1</t>
  </si>
  <si>
    <t>H-7-2</t>
  </si>
  <si>
    <t>H-7-3</t>
  </si>
  <si>
    <t>H-7-4</t>
  </si>
  <si>
    <t>H-7-6</t>
  </si>
  <si>
    <t>BEARING MFCI-1/2</t>
  </si>
  <si>
    <t>H-7-7</t>
  </si>
  <si>
    <t>ELECTRIC CARD FOR GLUE UNIT</t>
  </si>
  <si>
    <t>H-7-9</t>
  </si>
  <si>
    <t>H-7-10</t>
  </si>
  <si>
    <t>H-7-11</t>
  </si>
  <si>
    <t>H-7-12</t>
  </si>
  <si>
    <t>BEARING 77R-24</t>
  </si>
  <si>
    <t>H-7-15</t>
  </si>
  <si>
    <t>H-7-16</t>
  </si>
  <si>
    <t>H-7-19</t>
  </si>
  <si>
    <t>BEARING</t>
  </si>
  <si>
    <t>H-7-20</t>
  </si>
  <si>
    <t>UNICAST SCORE ROLL 20-3217SYS, MOH-31069</t>
  </si>
  <si>
    <t>INTELLIGENT MEMORY CARD, MOH-04002</t>
  </si>
  <si>
    <t>OPTIBELT-VB, Z622Ld/10X600</t>
  </si>
  <si>
    <t>FELT END SEAL, 410-219196-002</t>
  </si>
  <si>
    <t>TACHOMETER, P/N: 14215T11</t>
  </si>
  <si>
    <t>BLUE FELT END SEAL 3.50", S410-219196-008</t>
  </si>
  <si>
    <t>SEG-MOH 40205 7X1"90*, 15-1126T</t>
  </si>
  <si>
    <t>GROOVED SEGMENT (15-1122T), PART-MOW-40346</t>
  </si>
  <si>
    <t>UNICAST CONE ROLL 10-1278, MOH-41190</t>
  </si>
  <si>
    <t>SCORE BLADE, FLAP, 13-1/4" LONG, LO-2106AH</t>
  </si>
  <si>
    <t>UNI-TIRE ASSEMBLY WR51001, 15-1313SYS</t>
  </si>
  <si>
    <t>MOH 41190 CONE ROLL, UNICAST REF: 10-1278</t>
  </si>
  <si>
    <t>ALUMINIUM COUPLING FOR FEED ROLLS, 20-3217SYS</t>
  </si>
  <si>
    <t>SIDE SCORE COUPLING, UNICAST REF: 10-5010C</t>
  </si>
  <si>
    <t>GEAR BOX DRIVE BELT (570H300), RA-92009</t>
  </si>
  <si>
    <t>TIMING BELT 240H100, PART-MOH-30196 (FLS#46286-1)</t>
  </si>
  <si>
    <t>OSCILLATING ROLL (MO-818), PART-MOH-10369</t>
  </si>
  <si>
    <t>BEARINGS, PART-WR-51006</t>
  </si>
  <si>
    <t>VD-AUF-5s-WfW, PERFORATED BELT, 460 X 1800 MM</t>
  </si>
  <si>
    <t>ROLLER BEARING, N205 NE</t>
  </si>
  <si>
    <t>6-32 X 1", FLAT HEAD SCREW</t>
  </si>
  <si>
    <t>ALIGNER PINS</t>
  </si>
  <si>
    <t>PULLEY FOR TIMING BELT</t>
  </si>
  <si>
    <t>TIGHTENING BOLT</t>
  </si>
  <si>
    <t>TIGHTENING BOLT FOR KNIFE CUTTING UNIT</t>
  </si>
  <si>
    <t>BEVEL GEAR FOR MAIN DRIVE OF PRINTING UNITS</t>
  </si>
  <si>
    <t>SHAFT FOR FLAT BELT PULLEY ON DELIVERY UNIT</t>
  </si>
  <si>
    <t>PINS FOR ALIGNER CYLINDER OF 38R</t>
  </si>
  <si>
    <t>PINS FOR 38R PRINTING CLUTCH</t>
  </si>
  <si>
    <t>RUBBER ROLLS</t>
  </si>
  <si>
    <t>LUBRICATION BRUSH</t>
  </si>
  <si>
    <t>CABLE FOR SERVO MOTOR</t>
  </si>
  <si>
    <t>COUPLING WITH STAR FOR P&amp;S SERVO DRIVE</t>
  </si>
  <si>
    <t>MAGNETIC CYLINDER FOR WINDOW KNIFE</t>
  </si>
  <si>
    <t>ELASTIC BELT</t>
  </si>
  <si>
    <t>PLASTIC COUPLING</t>
  </si>
  <si>
    <t>WHEEL</t>
  </si>
  <si>
    <t>MTR-3102, WEB ALIGNER MOTOR</t>
  </si>
  <si>
    <t>V03.00.039.0, SIDE SCORE BLADE</t>
  </si>
  <si>
    <t>X4.105.42, METAL BRISTLES TAPE</t>
  </si>
  <si>
    <t>TIMING BELT 140XL025</t>
  </si>
  <si>
    <t>PRESSURE SEGMENTS # 38DC-1006</t>
  </si>
  <si>
    <t>VACUUM SEGMENTS # 38DC-1007</t>
  </si>
  <si>
    <t>J-1-1</t>
  </si>
  <si>
    <t>J-1-2</t>
  </si>
  <si>
    <t>J-1-3</t>
  </si>
  <si>
    <t>J-1-4</t>
  </si>
  <si>
    <t>J-1-5</t>
  </si>
  <si>
    <t>J-1-6</t>
  </si>
  <si>
    <t>J-1-7</t>
  </si>
  <si>
    <t>J-1-8</t>
  </si>
  <si>
    <t>J-1-9</t>
  </si>
  <si>
    <t>J-1-10</t>
  </si>
  <si>
    <t>J-1-11</t>
  </si>
  <si>
    <t>J-1-12</t>
  </si>
  <si>
    <t>J-1-13</t>
  </si>
  <si>
    <t>J-1-15</t>
  </si>
  <si>
    <t>J-1-16</t>
  </si>
  <si>
    <t>J-1-17</t>
  </si>
  <si>
    <t>J-1-18</t>
  </si>
  <si>
    <t>J-1-21</t>
  </si>
  <si>
    <t>J-1-22</t>
  </si>
  <si>
    <t>J-1-23</t>
  </si>
  <si>
    <t>J-1-24</t>
  </si>
  <si>
    <t>J-1-31</t>
  </si>
  <si>
    <t>J-2-1</t>
  </si>
  <si>
    <t>J-2-2</t>
  </si>
  <si>
    <t>J-2-4</t>
  </si>
  <si>
    <t>J-2-5</t>
  </si>
  <si>
    <t>J-2-6</t>
  </si>
  <si>
    <t>J-2-10</t>
  </si>
  <si>
    <t>J-2-11</t>
  </si>
  <si>
    <t>J-2-12</t>
  </si>
  <si>
    <t>J-2-13</t>
  </si>
  <si>
    <t>J-2-15</t>
  </si>
  <si>
    <t>J-2-17</t>
  </si>
  <si>
    <t>J-2-19</t>
  </si>
  <si>
    <t>J-2-20</t>
  </si>
  <si>
    <t>J-2-22</t>
  </si>
  <si>
    <t>J-2-23</t>
  </si>
  <si>
    <t>J-3-1</t>
  </si>
  <si>
    <t>J-3-2</t>
  </si>
  <si>
    <t>J-3-3</t>
  </si>
  <si>
    <t>J-3-4</t>
  </si>
  <si>
    <t>J-3-5</t>
  </si>
  <si>
    <t>J-3-6</t>
  </si>
  <si>
    <t>J-3-7</t>
  </si>
  <si>
    <t>J-3-8</t>
  </si>
  <si>
    <t>J-3-11</t>
  </si>
  <si>
    <t>J-3-12</t>
  </si>
  <si>
    <t>J-3-13</t>
  </si>
  <si>
    <t>J-3-15</t>
  </si>
  <si>
    <t>J-3-16</t>
  </si>
  <si>
    <t>J-3-17</t>
  </si>
  <si>
    <t>J-3-18</t>
  </si>
  <si>
    <t>J-3-19</t>
  </si>
  <si>
    <t>J-3-20</t>
  </si>
  <si>
    <t>J-3-21</t>
  </si>
  <si>
    <t>J-3-22</t>
  </si>
  <si>
    <t>J-3-24</t>
  </si>
  <si>
    <t>J-3-25</t>
  </si>
  <si>
    <t>J-3-26</t>
  </si>
  <si>
    <t>J-3-27</t>
  </si>
  <si>
    <t>J-3-28</t>
  </si>
  <si>
    <t>J-3-29</t>
  </si>
  <si>
    <t>J-3-30</t>
  </si>
  <si>
    <t>J-3-31</t>
  </si>
  <si>
    <t>J-3-32</t>
  </si>
  <si>
    <t>J-3-33</t>
  </si>
  <si>
    <t>J-3-35</t>
  </si>
  <si>
    <t>J-3-36</t>
  </si>
  <si>
    <t>J-3-39</t>
  </si>
  <si>
    <t>J-3-40</t>
  </si>
  <si>
    <t>J-3-41</t>
  </si>
  <si>
    <t>J-3-42</t>
  </si>
  <si>
    <t>J-3-43</t>
  </si>
  <si>
    <t>J-3-44</t>
  </si>
  <si>
    <t>AIR CYLINDER, Q34-32-8</t>
  </si>
  <si>
    <t>CROSS FLANGE (U.J CROSS FLANGE 30 X 80 MM), # RTB 1110</t>
  </si>
  <si>
    <t>SHOULDER BOLTS, McMASTER REF: 9027A695</t>
  </si>
  <si>
    <t>PLASTIC HEAD SCREW M5 X 20MM, McMASTER REF: 96016A245</t>
  </si>
  <si>
    <t>GEAR, R1.20.065.402</t>
  </si>
  <si>
    <t>GEAR, R1.20.044.405</t>
  </si>
  <si>
    <t>EINSTELLSCHRAUBE, V32.50.009.0</t>
  </si>
  <si>
    <t>TIGHTENING NUT, PART # V 27.09.000.0</t>
  </si>
  <si>
    <t>DE-CURL BARS, 16 X 16 X 450 MM</t>
  </si>
  <si>
    <t>OLD GEAR, R2.15.084.800</t>
  </si>
  <si>
    <t>SHAFT COLLAR, McMASTER REF: 8386K22</t>
  </si>
  <si>
    <t>TESA 4863 (EMBOSSED ROLLER GRIP TAPE), 50MM x 25MTR</t>
  </si>
  <si>
    <t>TESA 4156 (CAMERA RED TAPE), 12MM x 66MTR</t>
  </si>
  <si>
    <t>TESA 4204 (CAMERA CLEAR TAPE), 12MM x 66MTR</t>
  </si>
  <si>
    <t>TESA 51570, 12MM x 66MTR</t>
  </si>
  <si>
    <t>HABASIT MAM-04H ENDLESS FLEXOPROOF BELT FOR VACUUM TABLE OF PEEL &amp; SEAL UNIT (MANUFACTURED AT SWITZERLAND ON REQUEST), B=195, L=405, T=1.45MM. 19 HOLES IN A ROW. HOLE DIA=3MM. HOLE PITCH=21.6, BELT EDGE TO HOLE CENTER=10MM</t>
  </si>
  <si>
    <t>TESA ADHESIVE TAPE, K 7.111.52</t>
  </si>
  <si>
    <t>RUBBER BANDS</t>
  </si>
  <si>
    <t>EAR PLUG</t>
  </si>
  <si>
    <t>HIGH TEMPRATURE RED RTV SILICON GASKET MARKER</t>
  </si>
  <si>
    <t>LOCTITE 638</t>
  </si>
  <si>
    <t>DOUBLE SIDE TAPE 25 MM</t>
  </si>
  <si>
    <t>MASKING TAPE 1 INCH</t>
  </si>
  <si>
    <t>SUPER GLUE</t>
  </si>
  <si>
    <t>L-1-1</t>
  </si>
  <si>
    <t>L-1-2</t>
  </si>
  <si>
    <t>L-1-3</t>
  </si>
  <si>
    <t>L-1-4</t>
  </si>
  <si>
    <t>L-1-6</t>
  </si>
  <si>
    <t>L-1-8</t>
  </si>
  <si>
    <t>L-2-1</t>
  </si>
  <si>
    <t>L-2-2</t>
  </si>
  <si>
    <t>L-2-3</t>
  </si>
  <si>
    <t>L-2-5</t>
  </si>
  <si>
    <t>L-2-6</t>
  </si>
  <si>
    <t>L-2-7</t>
  </si>
  <si>
    <t>L-3-1</t>
  </si>
  <si>
    <t>L-3-3</t>
  </si>
  <si>
    <t>L-3-4</t>
  </si>
  <si>
    <t>L-3-5</t>
  </si>
  <si>
    <t>L-3-6</t>
  </si>
  <si>
    <t>L-3-8</t>
  </si>
  <si>
    <t>L-3-9</t>
  </si>
  <si>
    <t>L-4-1</t>
  </si>
  <si>
    <t>L-4-2</t>
  </si>
  <si>
    <t>L-4-3</t>
  </si>
  <si>
    <t>L-4-4</t>
  </si>
  <si>
    <t>L-4-6</t>
  </si>
  <si>
    <t>L-4-7</t>
  </si>
  <si>
    <t>L-4-8</t>
  </si>
  <si>
    <t>L-4-9</t>
  </si>
  <si>
    <t>L-4-10</t>
  </si>
  <si>
    <t>L-4-11</t>
  </si>
  <si>
    <t>L-4-12</t>
  </si>
  <si>
    <t>L-4-13</t>
  </si>
  <si>
    <t>L-4-14</t>
  </si>
  <si>
    <t>L-4-15</t>
  </si>
  <si>
    <t>L-4-16</t>
  </si>
  <si>
    <t>L-5-1</t>
  </si>
  <si>
    <t>L-5-4</t>
  </si>
  <si>
    <t>L-5-5</t>
  </si>
  <si>
    <t>L-5-6</t>
  </si>
  <si>
    <t>L-5-7</t>
  </si>
  <si>
    <t>L-5-8</t>
  </si>
  <si>
    <t>TESA 4163, GREY TAPE 25MM X 33MTR</t>
  </si>
  <si>
    <t>TESA 4163, YELLOW TAPE 50MM X 33MTR</t>
  </si>
  <si>
    <t>SAFETY SHOE</t>
  </si>
  <si>
    <t>COVERALL</t>
  </si>
  <si>
    <t>UNIFORM</t>
  </si>
  <si>
    <t>GOGGLES</t>
  </si>
  <si>
    <t>GLOVES</t>
  </si>
  <si>
    <t>HELMET</t>
  </si>
  <si>
    <t>HARNESS</t>
  </si>
  <si>
    <t>MASK</t>
  </si>
  <si>
    <t>PNEUMATIC CYLINDER, DNC-63-50-PPV</t>
  </si>
  <si>
    <t>HIGH PRESSURE Y-STRAINER, McMASTER REF: 4385K28</t>
  </si>
  <si>
    <t>SEAL GUM MO-1502, 10 INCH, 35 SHORE, UNICAST REF: 10-1099A</t>
  </si>
  <si>
    <t>M-1-1</t>
  </si>
  <si>
    <t>M-1-2</t>
  </si>
  <si>
    <t>M-1-3</t>
  </si>
  <si>
    <t>M-1-4</t>
  </si>
  <si>
    <t>M-1-6</t>
  </si>
  <si>
    <t>M-2-1</t>
  </si>
  <si>
    <t>M-2-2</t>
  </si>
  <si>
    <t>M-2-3</t>
  </si>
  <si>
    <t>M-2-4</t>
  </si>
  <si>
    <t>M-2-5</t>
  </si>
  <si>
    <t>M-2-6</t>
  </si>
  <si>
    <t>M-2-7</t>
  </si>
  <si>
    <t>HYDRAULIC CYLINDER FOR BALER</t>
  </si>
  <si>
    <t>N-1-2</t>
  </si>
  <si>
    <t>N-1-3</t>
  </si>
  <si>
    <t>N-1-4</t>
  </si>
  <si>
    <t>N-1-5</t>
  </si>
  <si>
    <t>N-1-6</t>
  </si>
  <si>
    <t>N-2-1</t>
  </si>
  <si>
    <t>N-3-1</t>
  </si>
  <si>
    <t>N-3-3</t>
  </si>
  <si>
    <t>N-3-4</t>
  </si>
  <si>
    <t>N-3-5</t>
  </si>
  <si>
    <t>N-3-7</t>
  </si>
  <si>
    <t>N-3-8</t>
  </si>
  <si>
    <t>N-4-1</t>
  </si>
  <si>
    <t>N-4-2</t>
  </si>
  <si>
    <t>N-4-5</t>
  </si>
  <si>
    <t>N-4-6</t>
  </si>
  <si>
    <t>N-5-1</t>
  </si>
  <si>
    <t>N-5-2</t>
  </si>
  <si>
    <t>N-5-3</t>
  </si>
  <si>
    <t>ELECTRIC MOTOR FOR MOH SKID BRUSH, A29-13</t>
  </si>
  <si>
    <t>WHITE ROGER TMST 2STG DIGITAL 179493, 1F83261-24V</t>
  </si>
  <si>
    <t>HARD CARBON STEEL BAND SAW BLADE. (MORSE USA) L = 7' 9", W = 3/4",T = 0.032", 10 TPI, McMASTER REF: 4125A118</t>
  </si>
  <si>
    <t>O-1-1</t>
  </si>
  <si>
    <t>O-1-2</t>
  </si>
  <si>
    <t>O-1-3</t>
  </si>
  <si>
    <t>O-1-4</t>
  </si>
  <si>
    <t>O-1-5</t>
  </si>
  <si>
    <t>O-1-6</t>
  </si>
  <si>
    <t>O-1-7</t>
  </si>
  <si>
    <t>O-1-8</t>
  </si>
  <si>
    <t>NEW NORDSON NOZZLES</t>
  </si>
  <si>
    <t>O-1-9</t>
  </si>
  <si>
    <t>O-1-10</t>
  </si>
  <si>
    <t>O-1-11</t>
  </si>
  <si>
    <t>O-1-12</t>
  </si>
  <si>
    <t>O-1-13</t>
  </si>
  <si>
    <t>O-1-14</t>
  </si>
  <si>
    <t>O-1-15</t>
  </si>
  <si>
    <t>O-1-16</t>
  </si>
  <si>
    <t>O-1-17</t>
  </si>
  <si>
    <t>O-1-18</t>
  </si>
  <si>
    <t>O-1-19</t>
  </si>
  <si>
    <t>O-1-20</t>
  </si>
  <si>
    <t>O-1-21</t>
  </si>
  <si>
    <t>O-1-22</t>
  </si>
  <si>
    <t>O-1-23</t>
  </si>
  <si>
    <t>O-1-24</t>
  </si>
  <si>
    <t>O-1-25</t>
  </si>
  <si>
    <t>O-1-26</t>
  </si>
  <si>
    <t>O-1-27</t>
  </si>
  <si>
    <t>O-1-28</t>
  </si>
  <si>
    <t>O-1-29</t>
  </si>
  <si>
    <t>O-1-30</t>
  </si>
  <si>
    <t>O-2-2</t>
  </si>
  <si>
    <t>O-2-3</t>
  </si>
  <si>
    <t>O-2-4</t>
  </si>
  <si>
    <t>O-2-5</t>
  </si>
  <si>
    <t>O-2-6</t>
  </si>
  <si>
    <t>O-2-7</t>
  </si>
  <si>
    <t>O-2-9</t>
  </si>
  <si>
    <t>O-2-10</t>
  </si>
  <si>
    <t>O-2-11</t>
  </si>
  <si>
    <t>O-2-12</t>
  </si>
  <si>
    <t>O-2-13</t>
  </si>
  <si>
    <t>O-2-14</t>
  </si>
  <si>
    <t>O-2-15</t>
  </si>
  <si>
    <t>O-2-16</t>
  </si>
  <si>
    <t>O-2-17</t>
  </si>
  <si>
    <t>O-2-18</t>
  </si>
  <si>
    <t>O-2-19</t>
  </si>
  <si>
    <t>O-2-20</t>
  </si>
  <si>
    <t>O-2-21</t>
  </si>
  <si>
    <t>O-2-22</t>
  </si>
  <si>
    <t>O-2-23</t>
  </si>
  <si>
    <t>O-2-24</t>
  </si>
  <si>
    <t>O-2-25</t>
  </si>
  <si>
    <t>O-2-26</t>
  </si>
  <si>
    <t>O-2-27</t>
  </si>
  <si>
    <t>O-2-28</t>
  </si>
  <si>
    <t>O-2-29</t>
  </si>
  <si>
    <t>O-2-30</t>
  </si>
  <si>
    <t>O-2-31</t>
  </si>
  <si>
    <t>O-2-32</t>
  </si>
  <si>
    <t>O-2-33</t>
  </si>
  <si>
    <t>ANVIL FOR P&amp;S UNIT OF MOH &amp; MOW</t>
  </si>
  <si>
    <t>O-2-34</t>
  </si>
  <si>
    <t>STRAIGHT KNIFE FOR P&amp;S UNIT OF MOH &amp; MOW</t>
  </si>
  <si>
    <t>O-2-35</t>
  </si>
  <si>
    <t>O-2-36</t>
  </si>
  <si>
    <t>O-2-38</t>
  </si>
  <si>
    <t>SCALLOP P&amp;S KNIFE</t>
  </si>
  <si>
    <t>O-2-39</t>
  </si>
  <si>
    <t>O-2-42</t>
  </si>
  <si>
    <t>O-2-43</t>
  </si>
  <si>
    <t>O-2-44</t>
  </si>
  <si>
    <t>O-2-46</t>
  </si>
  <si>
    <t>O-2-47</t>
  </si>
  <si>
    <t>O-2-48</t>
  </si>
  <si>
    <t>O-2-49</t>
  </si>
  <si>
    <t>O-2-50</t>
  </si>
  <si>
    <t>O-2-51</t>
  </si>
  <si>
    <t>O-2-52</t>
  </si>
  <si>
    <t>O-2-53</t>
  </si>
  <si>
    <t>O-2-54</t>
  </si>
  <si>
    <t>O-2-55</t>
  </si>
  <si>
    <t>O-2-56</t>
  </si>
  <si>
    <t>O-2-57</t>
  </si>
  <si>
    <t>O-2-58</t>
  </si>
  <si>
    <t>O-2-59</t>
  </si>
  <si>
    <t>INHOUSE REBULIT SPRAY MODULE FOR STOCK</t>
  </si>
  <si>
    <t>O-2-60</t>
  </si>
  <si>
    <t>O-2-61</t>
  </si>
  <si>
    <t>O-2-62</t>
  </si>
  <si>
    <t>O-2-63</t>
  </si>
  <si>
    <t>O-2-64</t>
  </si>
  <si>
    <t>O-2-65</t>
  </si>
  <si>
    <t>O-2-66</t>
  </si>
  <si>
    <t>O-2-67</t>
  </si>
  <si>
    <t>O-2-68</t>
  </si>
  <si>
    <t>O-2-69</t>
  </si>
  <si>
    <t>O-2-70</t>
  </si>
  <si>
    <t>O-2-71</t>
  </si>
  <si>
    <t>O-2-72</t>
  </si>
  <si>
    <t>O-2-73</t>
  </si>
  <si>
    <t>O-3-1</t>
  </si>
  <si>
    <t>O-4-1</t>
  </si>
  <si>
    <t>O-4-2</t>
  </si>
  <si>
    <t>O-4-4</t>
  </si>
  <si>
    <t>O-4-5</t>
  </si>
  <si>
    <t>O-4-7</t>
  </si>
  <si>
    <t>O-4-8</t>
  </si>
  <si>
    <t>O-4-9</t>
  </si>
  <si>
    <t>O-4-10</t>
  </si>
  <si>
    <t>O-4-11</t>
  </si>
  <si>
    <t>O-4-12</t>
  </si>
  <si>
    <t>O-4-13</t>
  </si>
  <si>
    <t>O-4-15</t>
  </si>
  <si>
    <t>O-4-16</t>
  </si>
  <si>
    <t>O-4-17</t>
  </si>
  <si>
    <t>O-4-18</t>
  </si>
  <si>
    <t>O-4-20</t>
  </si>
  <si>
    <t>O-4-21</t>
  </si>
  <si>
    <t>O-4-22</t>
  </si>
  <si>
    <t>O-4-23</t>
  </si>
  <si>
    <t>O-4-24</t>
  </si>
  <si>
    <t>O-4-25</t>
  </si>
  <si>
    <t>O-4-26</t>
  </si>
  <si>
    <t>O-4-27</t>
  </si>
  <si>
    <t>O-4-28</t>
  </si>
  <si>
    <t>O-4-29</t>
  </si>
  <si>
    <t>O-4-30</t>
  </si>
  <si>
    <t>MITSUBISHI AC SERVO MOTOR</t>
  </si>
  <si>
    <t>O-5-2</t>
  </si>
  <si>
    <t>O-5-3</t>
  </si>
  <si>
    <t>O-5-6</t>
  </si>
  <si>
    <t>O-5-7</t>
  </si>
  <si>
    <t>O-5-8</t>
  </si>
  <si>
    <t>CONNECTORS FOR SERVO MOTOR</t>
  </si>
  <si>
    <t>O-5-9</t>
  </si>
  <si>
    <t>DYNAPAR ENCODER, HS35R2000K37D</t>
  </si>
  <si>
    <t>O-5-11</t>
  </si>
  <si>
    <t>PART # 125360, NORDSON EXTENSION CORD, 12" GUN 2300</t>
  </si>
  <si>
    <t>P/N: 394769, HIGH TEMPERATURE GREASE (10g can)</t>
  </si>
  <si>
    <t>P/N: 250258, O-RING, 22 X 17 X 2.5 MM</t>
  </si>
  <si>
    <t>PART # 1007234, NORDSON INLINE FILTER</t>
  </si>
  <si>
    <t>PART # 1056296, NORDSON INSULATOR KIT</t>
  </si>
  <si>
    <t>PART # 1028305, NORDSON MELTER FILTER</t>
  </si>
  <si>
    <t>NORDSON 250262, O-RING, 20 X 3 VITON</t>
  </si>
  <si>
    <t>NORDSON 253657, O-RING, 11 X 1.5 VITON 80 SHORE A BLACK</t>
  </si>
  <si>
    <t>NORDSON 940202, O-RING, BUNA N, 0.752 X 0.063</t>
  </si>
  <si>
    <t>NORDSON 401853, QUADRING 8.2 X 1.78</t>
  </si>
  <si>
    <t>NORDSON 250259, O-RING 18 X 2 VITON</t>
  </si>
  <si>
    <t>NORDSON  251764, O-RING 14 X 12 VITON</t>
  </si>
  <si>
    <t>NORDSON 250254, O-RING 12 X 2.5, VITON 70 SHORE A BLACK</t>
  </si>
  <si>
    <t>NORDSON 250257, O-RING 16 X 2, VITON 80 SHORE A BLACK</t>
  </si>
  <si>
    <t>NORDSON 316849, O-RING 12-0.05 + MAX 0.16-0</t>
  </si>
  <si>
    <t>NORDSON 7106945, CONTROL MODULE EP 10 STROKE 0.3 snsr</t>
  </si>
  <si>
    <t>NORDSON 256139, COMPRESSION SPRING 1 X 8 X 13</t>
  </si>
  <si>
    <t>NORDSON 316560, TURCON VARISEAL M D4 INSIDE SEAL</t>
  </si>
  <si>
    <t>NORDSON 404703, SPARE PARTS KIT EP 10 CONTROL MODULE</t>
  </si>
  <si>
    <t>NORDSON 400819, MOLD TOOL EP 10ft NOZZLE STEM</t>
  </si>
  <si>
    <t>NORDSON 316578, SYNTHETIC OIL, RESIN FREE TK002/50.1</t>
  </si>
  <si>
    <t>NORDSON 319988, SETTING GAGE EP 10ft 0.3</t>
  </si>
  <si>
    <t>NORDSON 1007374, 200 MESH FILTERS, PACK=5 FILTER</t>
  </si>
  <si>
    <t>P/N: 250851, HEATER CARTRIDGE (1084290 CE, 135W, 230V, NORDSON G12 E 330841)</t>
  </si>
  <si>
    <t>P/N: 3078, 1/8" FILTER SUPPORT WITH 200 MESH SCREEN, SPECIAL</t>
  </si>
  <si>
    <t>P/N: 1612, HA2 PISTON &amp; NEEDLE ASSEMBLY</t>
  </si>
  <si>
    <t xml:space="preserve">P/N: 1664, CLOSING PLATE </t>
  </si>
  <si>
    <t>P/N: 1627-125, SPRAY AIR CAP (ORIFICE SIZE: 0.125")</t>
  </si>
  <si>
    <t>P/N: 1607, HA2 SEAL RETAINER</t>
  </si>
  <si>
    <t>P/N: 1661, HA2 SLOT NOZZLE SEAT FOR BAR ASSEMBLY</t>
  </si>
  <si>
    <t>P/N: 3053 &amp; P/N: 3061, 200 MESH SCREEN FOR 1/4" FILTER SUPPORT</t>
  </si>
  <si>
    <t>P/N: 1659, HA2 SPRAY MODULE SEAL KIT FOR P/N: 1633</t>
  </si>
  <si>
    <t>P/N: 1628-010, SPRAY NOZZLE. 0.010" ORIFICE</t>
  </si>
  <si>
    <t>P/N: 1643, HA2 1.25 INCH SLOT NOZZLE AND SEAT</t>
  </si>
  <si>
    <t>MODEL: 111B-601CAAA, MAC AIR SOLENOID VALVES 12V-DC (8.5 WATT)</t>
  </si>
  <si>
    <t>P/N: 3066, 1/8" BRASS STRAIGHT GLUE FITTING. 37 DEG FLARE</t>
  </si>
  <si>
    <t>P/N: 1733, HA2 8 INCH SLOT COATER SHIM. 0.005" THICK. BLANK PATTERN FOR P/N: 1731 SLOT NOZZLE</t>
  </si>
  <si>
    <t>P/N: 1625, SPRAY NOZZLE ADAPTER</t>
  </si>
  <si>
    <t>P/N: 1673-005, HA2 1.250" SLOT COATER SHIM FOR 1643 SLOT NOZZLE, 0.005" THICKNESS. BLANK PATTERN</t>
  </si>
  <si>
    <t>P/N: 1626, HA2 AIR CHAMBER SPRAY NOZZLE, 7/8"</t>
  </si>
  <si>
    <t>P/N: 3048, MALE ADAPTER, 1/4" NPT, 37deg FLARE</t>
  </si>
  <si>
    <t>P/N: 3061, 1/4" FILTER SUPPORT</t>
  </si>
  <si>
    <t>P/N: 3097, 50 MESH PUMP FILTER WITH SPRING</t>
  </si>
  <si>
    <t>P/N: 3289, 200 MESH PUMP FILTER WITH SUPPORT SPRING FOR STS SERIES, SPECIAL</t>
  </si>
  <si>
    <t>P/N: 3059, ADAPTER</t>
  </si>
  <si>
    <t>P/N: 4231, SOLID STATE SENSOR</t>
  </si>
  <si>
    <t>SPRING FOR TANK FILTER</t>
  </si>
  <si>
    <t>P/N: 2757-008, 8ft HOSE FOR AUTOMATIC APPLICATOR, SOLID STATE, 230V/60Hz, SINGLE PHASE, SN: 137877, 137878</t>
  </si>
  <si>
    <t>P/N: 1628-020, SPRAY NOZZLE. 0.020" ORIFICE</t>
  </si>
  <si>
    <t>P/N: 1629, HA2 ONE MODULE HEATER BODY</t>
  </si>
  <si>
    <t>Y-1-1</t>
  </si>
  <si>
    <t>Y-1-2</t>
  </si>
  <si>
    <t>Y-1-3</t>
  </si>
  <si>
    <t>Y-1-4</t>
  </si>
  <si>
    <t>Y-1-5</t>
  </si>
  <si>
    <t>Y-1-8</t>
  </si>
  <si>
    <t>Y-1-10</t>
  </si>
  <si>
    <t>Y-1-13</t>
  </si>
  <si>
    <t>HYDRAULIC OIL ISO 46</t>
  </si>
  <si>
    <t>Y-2-1</t>
  </si>
  <si>
    <t>Y-2-2</t>
  </si>
  <si>
    <t>Y-2-3</t>
  </si>
  <si>
    <t>S-229, ULTRA MOLY SYNTHETIC EP RED BEARING GREASE NLGI "0"</t>
  </si>
  <si>
    <t>Y-2-4</t>
  </si>
  <si>
    <t>Y-2-5</t>
  </si>
  <si>
    <t>Y-2-6</t>
  </si>
  <si>
    <t>DISTILLED WATER</t>
  </si>
  <si>
    <t>Y-2-7</t>
  </si>
  <si>
    <t>HYDRAULIC OIL ISO 32</t>
  </si>
  <si>
    <t>Y-2-8</t>
  </si>
  <si>
    <t>P-600, SUPREME GEAR OIL ISO 150</t>
  </si>
  <si>
    <t>Y-2-9</t>
  </si>
  <si>
    <t>P/N: 124487-017, QUINCY OIL/AIR SEPARATOR FILTER FOR VACUUM PUMP</t>
  </si>
  <si>
    <t>Y-2-10</t>
  </si>
  <si>
    <t>NYLON SHEET (4ft X 4ft X 16MM) PRODUCT CODE: PA6 X 12 MM</t>
  </si>
  <si>
    <t>Y-2-11</t>
  </si>
  <si>
    <t>Y-2-12</t>
  </si>
  <si>
    <t>RIDGID THREAD CUTTING OIL</t>
  </si>
  <si>
    <t>Y-2-13</t>
  </si>
  <si>
    <t>Y-2-16</t>
  </si>
  <si>
    <t>EUKALIN 1505, SOLUTION FOR HOTMELT TANK CLEANING</t>
  </si>
  <si>
    <t>Y-2-17</t>
  </si>
  <si>
    <t>Y-2-18</t>
  </si>
  <si>
    <t>P/N: 245P, POLYESTER ELEMENT WITH PRE-FILTER</t>
  </si>
  <si>
    <t>Y-2-19</t>
  </si>
  <si>
    <t>Y-2-25</t>
  </si>
  <si>
    <t>Y-2-27</t>
  </si>
  <si>
    <t>Y-2-29</t>
  </si>
  <si>
    <t>124487-001  (K8275), QUINCY AIR &amp; OIL SEPARATOR FILTER FOR VACUUM PUMP</t>
  </si>
  <si>
    <t>Y-2-30</t>
  </si>
  <si>
    <t>Y-2-34</t>
  </si>
  <si>
    <t>Y-2-35</t>
  </si>
  <si>
    <t>231P, POLYESTER FILTER ELEMENT</t>
  </si>
  <si>
    <t>Y-2-36</t>
  </si>
  <si>
    <t>FLEXIBLE CUT OFF KNIFE</t>
  </si>
  <si>
    <t>FLEXIBLE WINDOW KNIFE</t>
  </si>
  <si>
    <t>FLEXIBLE PROFILE KNIFE</t>
  </si>
  <si>
    <t>SOLID PANEL DIE</t>
  </si>
  <si>
    <t>PUNCH DIE</t>
  </si>
  <si>
    <t>HARD KNIFE</t>
  </si>
  <si>
    <t>ENVELOPE HIGH DIE</t>
  </si>
  <si>
    <t>Code</t>
  </si>
  <si>
    <t>MC</t>
  </si>
  <si>
    <t>Sno</t>
  </si>
  <si>
    <t>GER</t>
  </si>
  <si>
    <t>Product Count</t>
  </si>
  <si>
    <t>Category</t>
  </si>
  <si>
    <t>BLT0001</t>
  </si>
  <si>
    <t>BLT0002</t>
  </si>
  <si>
    <t>MEH0002</t>
  </si>
  <si>
    <t>Sr</t>
  </si>
  <si>
    <t>EA</t>
  </si>
  <si>
    <t>LTR</t>
  </si>
  <si>
    <t>MTR</t>
  </si>
  <si>
    <t>LOT</t>
  </si>
  <si>
    <t>PACK</t>
  </si>
  <si>
    <t>SHEET</t>
  </si>
  <si>
    <t>B-5-5</t>
  </si>
  <si>
    <t>B-5-6</t>
  </si>
  <si>
    <t>B-5-7</t>
  </si>
  <si>
    <t>B-5-8</t>
  </si>
  <si>
    <t>MASTER LINK</t>
  </si>
  <si>
    <t>OFFSET LINK</t>
  </si>
  <si>
    <t>PRODUCTION SUPPLY</t>
  </si>
  <si>
    <t>PRD</t>
  </si>
  <si>
    <t>TRAILING BLADE</t>
  </si>
  <si>
    <t>SEAL</t>
  </si>
  <si>
    <t>DOCTOR BLADE</t>
  </si>
  <si>
    <t>B-5-24</t>
  </si>
  <si>
    <t>24V DC/AC CONTACTOR</t>
  </si>
  <si>
    <t>PHOTO ELECTRIC SENSOR, BM200-DDT</t>
  </si>
  <si>
    <t>C-1-17</t>
  </si>
  <si>
    <t>C-1-36</t>
  </si>
  <si>
    <t>C-1-37</t>
  </si>
  <si>
    <t>LIMIT SWITCH</t>
  </si>
  <si>
    <t>MICRO SWITCH</t>
  </si>
  <si>
    <t>C-2-41</t>
  </si>
  <si>
    <t>C-2-44</t>
  </si>
  <si>
    <t>C-4-31</t>
  </si>
  <si>
    <t>D-1-11</t>
  </si>
  <si>
    <t>D-2-21</t>
  </si>
  <si>
    <t>D-2-25</t>
  </si>
  <si>
    <t>D-2-27</t>
  </si>
  <si>
    <t>BLOCK FOR SO CHAIN</t>
  </si>
  <si>
    <t>F-1-27</t>
  </si>
  <si>
    <t>F-1-28</t>
  </si>
  <si>
    <t>F-1-29</t>
  </si>
  <si>
    <t>F-1-30</t>
  </si>
  <si>
    <t>F-1-31</t>
  </si>
  <si>
    <t>F-1-32</t>
  </si>
  <si>
    <t>F-2-22</t>
  </si>
  <si>
    <t>HEATER</t>
  </si>
  <si>
    <t>F-2-26</t>
  </si>
  <si>
    <t>F-4-23</t>
  </si>
  <si>
    <t>F-4-33</t>
  </si>
  <si>
    <t>F-4-34</t>
  </si>
  <si>
    <t>F-4-35</t>
  </si>
  <si>
    <t>F-4-36</t>
  </si>
  <si>
    <t>F-4-37</t>
  </si>
  <si>
    <t>F-4-38</t>
  </si>
  <si>
    <t>G-5-8</t>
  </si>
  <si>
    <t>H-1-27</t>
  </si>
  <si>
    <t>H-3-24</t>
  </si>
  <si>
    <t>J-2-16</t>
  </si>
  <si>
    <t>NYLON GEAR</t>
  </si>
  <si>
    <t>J-3-14</t>
  </si>
  <si>
    <t>J-3-34</t>
  </si>
  <si>
    <t>BRAKE LINING DISC FOR SPLICER</t>
  </si>
  <si>
    <t>L-1-5</t>
  </si>
  <si>
    <t>L-1-7</t>
  </si>
  <si>
    <t>SPRAY GREASE</t>
  </si>
  <si>
    <t>L-1-9</t>
  </si>
  <si>
    <t>GASKET SHELLAC</t>
  </si>
  <si>
    <t>LOCTITE 242</t>
  </si>
  <si>
    <t>L-2-9</t>
  </si>
  <si>
    <t>L-2-10</t>
  </si>
  <si>
    <t>L-4-19</t>
  </si>
  <si>
    <t>L-4-23</t>
  </si>
  <si>
    <t>L-4-24</t>
  </si>
  <si>
    <t>L-4-25</t>
  </si>
  <si>
    <t>L-4-26</t>
  </si>
  <si>
    <t>L-4-27</t>
  </si>
  <si>
    <t>M-1-5</t>
  </si>
  <si>
    <t>N-2-13</t>
  </si>
  <si>
    <t>TIMING BELT 330H300</t>
  </si>
  <si>
    <t>P/N: 3202, # 4-40 X 3/8" SOCKET HEAD CAP SCREW (McMaster Ref: 91251A108)</t>
  </si>
  <si>
    <t>P/N: 4008, MALE PIN</t>
  </si>
  <si>
    <t>P/N: 2427, FLOW VALVE BODY</t>
  </si>
  <si>
    <t>O-2-75</t>
  </si>
  <si>
    <t>O-1-31</t>
  </si>
  <si>
    <t>O-1-32</t>
  </si>
  <si>
    <t>O-1-33</t>
  </si>
  <si>
    <t>O-1-34</t>
  </si>
  <si>
    <t>O-1-35</t>
  </si>
  <si>
    <t>O-2-76</t>
  </si>
  <si>
    <t>O-2-77</t>
  </si>
  <si>
    <t>O-2-78</t>
  </si>
  <si>
    <t>O-2-79</t>
  </si>
  <si>
    <t>P/N: 4390, MALE GROUNDING PIN</t>
  </si>
  <si>
    <t>O-2-80</t>
  </si>
  <si>
    <t>P/N: 4117, 9-PIN CONNECTOR CONDUIT FITTING</t>
  </si>
  <si>
    <t>O-2-81</t>
  </si>
  <si>
    <t>P/N: 4230, SOLID STATE SENSOR FOR APPLICATOR &amp; HANDGUN</t>
  </si>
  <si>
    <t>O-2-82</t>
  </si>
  <si>
    <t>P/N: 4359, HEATER, 230V, 350W, 2.5" X 1/4"</t>
  </si>
  <si>
    <t>O-2-83</t>
  </si>
  <si>
    <t>O-4-14</t>
  </si>
  <si>
    <t>P/N: 793xx153, SPRING WASHER</t>
  </si>
  <si>
    <t>O-4-31</t>
  </si>
  <si>
    <t>O-4-32</t>
  </si>
  <si>
    <t>A-3-27</t>
  </si>
  <si>
    <t>A-4-5</t>
  </si>
  <si>
    <t>A-4-41</t>
  </si>
  <si>
    <t>B-1-25</t>
  </si>
  <si>
    <t>B-1-26</t>
  </si>
  <si>
    <t>HYDRAULICS</t>
  </si>
  <si>
    <t>ELBOW</t>
  </si>
  <si>
    <t>NIPPLE</t>
  </si>
  <si>
    <t>HOSE</t>
  </si>
  <si>
    <t>HYD</t>
  </si>
  <si>
    <t>C-2-50</t>
  </si>
  <si>
    <t>C-2-51</t>
  </si>
  <si>
    <t>C-4-2</t>
  </si>
  <si>
    <t>D-2-19</t>
  </si>
  <si>
    <t>G-3-14</t>
  </si>
  <si>
    <t>G-3-15</t>
  </si>
  <si>
    <t>G-3-16</t>
  </si>
  <si>
    <t>G-3-17</t>
  </si>
  <si>
    <t>BALL BEARING 6000-2Z (10 x 26 x 8 mm)</t>
  </si>
  <si>
    <t>BALL BEARING 6001-2Z (12 x 28 x 8 mm)</t>
  </si>
  <si>
    <t>BALL BEARING 6002-2Z (15 x 32 x 9 mm)</t>
  </si>
  <si>
    <t>BALL BEARING 6003-2Z (17 x 35 x 10 mm)</t>
  </si>
  <si>
    <t>BALL BEARING 6004-2Z (20 x 42 x 12 mm)</t>
  </si>
  <si>
    <t>BALL BEARING 6005-2Z (25 x 47 x 12 mm)</t>
  </si>
  <si>
    <t>BALL BEARING 6006-2Z (30 x 55 x 13 mm) SKF</t>
  </si>
  <si>
    <t>BALL BEARING 6007-2Z (35 x 62 x 14 mm)</t>
  </si>
  <si>
    <t>BALL BEARING 6008-2Z (40 x 68 x 15 mm)</t>
  </si>
  <si>
    <t>BALL BEARING 6010-2Z (50 x 80 x 16 mm)</t>
  </si>
  <si>
    <t>SELF ALIGNING BEARING 2204 (20 x 47 x 18 mm)</t>
  </si>
  <si>
    <t>BALL BEARING 6200-2Z (10 x 30 x 9 mm)</t>
  </si>
  <si>
    <t>BALL BEARING 6201-2Z (12 x 32 x 10 mm)</t>
  </si>
  <si>
    <t>BALL BEARING 6202-2Z (15 x 35 x 11 mm)</t>
  </si>
  <si>
    <t>BALL BEARING 6203-2Z (17 x 40 x 12 mm)</t>
  </si>
  <si>
    <t>BALL BEARING 6204-2Z (20 x 47 x 14 mm)</t>
  </si>
  <si>
    <t>BALL BEARING 6205-2Z (25 x 52 x 15 mm)</t>
  </si>
  <si>
    <t>BALL BEARING 6206-2Z (30 x 62 x 16 mm) SKF</t>
  </si>
  <si>
    <t>BALL BEARING 6207-2Z (35 x 72 x 17 mm)</t>
  </si>
  <si>
    <t>BALL BEARING 6208-2Z (40 x 80 x 18 mm)</t>
  </si>
  <si>
    <t>BALL BEARING 6210-2Z (50 x 90 x 20 mm)</t>
  </si>
  <si>
    <t>BALL BEARING 6301-2Z (12 x 37 x 12 mm)</t>
  </si>
  <si>
    <t>BALL BEARING 6302-2Z (15 x 42 x 13 mm)</t>
  </si>
  <si>
    <t>BALL BEARING 6303-2Z (17 x 47 x 14 mm)</t>
  </si>
  <si>
    <t>BALL BEARING 6305-2Z (25 x 62 x 17 mm)</t>
  </si>
  <si>
    <t>BALL BEARING 6306-2Z (30 x 72 x 19 mm)</t>
  </si>
  <si>
    <t>BALL BEARING 6308-2Z (40 x 90 x 23 mm)</t>
  </si>
  <si>
    <t>BALL BEARING 626-2Z (6 x 19 x 6 mm)</t>
  </si>
  <si>
    <t>BALL BEARING 627-2Z (7 x 22 x 7 mm)</t>
  </si>
  <si>
    <t>SELF ALIGNING BEARING 2200 (10 x 30 x 14 mm)</t>
  </si>
  <si>
    <t>NEEDLE BEARING 1612</t>
  </si>
  <si>
    <t>AXIAL THRUST BEARING 51111 (55 x 78 x 16 mm)</t>
  </si>
  <si>
    <t>THRUST BEARING FOR CHEETAH</t>
  </si>
  <si>
    <t>NEEDLE BEARING FOR MOH P&amp;S BA-88Z (1/2" X 11/16" X 1/2")</t>
  </si>
  <si>
    <t>NEEDLE ROLLER / ANGULAR CONTACT BEARING FOR W&amp;D 141 (17 x 30 x 18 mm)</t>
  </si>
  <si>
    <t>BEARING 698-2Z (8 x 19 x 6 mm)</t>
  </si>
  <si>
    <t>BEARING 6903-2RS (17 x 30 x 7 mm) FOR STRETCH WRAPPING</t>
  </si>
  <si>
    <t>BEARING 628-2Z (8 X 24 X 8 MM)</t>
  </si>
  <si>
    <t>BEARING 629-2Z (9 X 26 X 8 MM)</t>
  </si>
  <si>
    <t>BEARING 608-2Z (8 X 22 X 7 MM)</t>
  </si>
  <si>
    <t>BEARING 609-2Z (9 X 24 X 7 MM)</t>
  </si>
  <si>
    <t>DOUBLE ROW BALL BEARING 3202 (15 X 35 X 15.9 MM)</t>
  </si>
  <si>
    <t>DOUBLE ROW BALL BEARING 3204 (20 X 47 X 20.6 MM)</t>
  </si>
  <si>
    <t>BEARING 3205-2RS (25 X 52 X 20.6 MM)  FOR SCORE ROLL</t>
  </si>
  <si>
    <t>BEARING FOR WEB ALIGNER 1125-ICG (1" X 52MM X 34MM)</t>
  </si>
  <si>
    <t>SELF ALIGNING BEARING 1200 (10 X 30 X 9 MM)</t>
  </si>
  <si>
    <t>SELF ALIGNING BEARING 1202 (15 X 35 X 11 MM)</t>
  </si>
  <si>
    <t>SELF ALIGNING BEARING 1203 (17 X 40 X 12 MM)</t>
  </si>
  <si>
    <t>SLEF ALIGNING BEARING 1204 (20 X 47 X 14 MM)</t>
  </si>
  <si>
    <t>SELF ALIGNING BEARING 2206 (30 X 62 X 20 MM)</t>
  </si>
  <si>
    <t>SELF ALIGNING BEARING 2203 (17 X 40 X 16 MM)</t>
  </si>
  <si>
    <t>SELF ALIGNING BEARING 2205 (25 X 52 X 18 MM)</t>
  </si>
  <si>
    <t>BEARING R4AA-2Z (1/4" X 3/4" X 9/32")</t>
  </si>
  <si>
    <t>BALL THRUST BEARING 51104 (20 X35 X 10 MM)</t>
  </si>
  <si>
    <t>BALL THRUST BEARING 51105 (25 X 42 X 11 MM)</t>
  </si>
  <si>
    <t>BALL THRUST BEARING 51110 (50 X 70 X 14 MM)</t>
  </si>
  <si>
    <t>BEARING 6901 (12 X 24 X 6 MM)</t>
  </si>
  <si>
    <t>BEARING 62200 (10 X 30 X 14 MM)</t>
  </si>
  <si>
    <t>BEARING 16003 (17 X 35 X 8 MM)</t>
  </si>
  <si>
    <t>BEARING 2206 (30 X 62 X 20 MM)</t>
  </si>
  <si>
    <t>BEARING 625-2Z (5 X 16 X 5 MM)</t>
  </si>
  <si>
    <t>BEARING FC-20</t>
  </si>
  <si>
    <t>ONE WAY NEEDLE BEARING RC-162110 (1" X 1-5/16" X 5/8")</t>
  </si>
  <si>
    <t>NEEDLE BEARING NA 4908 (40 X 62 X 22 MM)</t>
  </si>
  <si>
    <t>BEARING INA 25/20 (TAF293820)</t>
  </si>
  <si>
    <t>BEARING INA 22/20</t>
  </si>
  <si>
    <t>BEARING FOR MOH &amp; MOW ER-207 (1-3/8" X 72MM X 1-11/16") OR (35 X 72 X 42.9 MM)</t>
  </si>
  <si>
    <t>BEARING 696-2Z</t>
  </si>
  <si>
    <t>BEARING INA 17/16</t>
  </si>
  <si>
    <t>BEARING INA 50/55</t>
  </si>
  <si>
    <t>NEEDLE BEARING NA 4900 (14 X 22 X 13 MM)</t>
  </si>
  <si>
    <t>BEARING 7204 (20 X 47 X 14 MM)</t>
  </si>
  <si>
    <t>BEARING R20-2Z FOR DIAMOND MACHINE</t>
  </si>
  <si>
    <t>BEARING INA 40/20</t>
  </si>
  <si>
    <t>BEARING HK 4020</t>
  </si>
  <si>
    <t>BEARING TAF 455520</t>
  </si>
  <si>
    <t>NEEDLE BEARING TAF 354520</t>
  </si>
  <si>
    <t>BEARING NA 4902</t>
  </si>
  <si>
    <t>BEARING NATR 15</t>
  </si>
  <si>
    <t>BEARING NU 2205</t>
  </si>
  <si>
    <t>BEARING RCB 162117</t>
  </si>
  <si>
    <t xml:space="preserve">ONE WAY BEARING FND 459 (30 X 64 X 34 MM) WITH KEY SLOT. FOR WINDOW UNIT </t>
  </si>
  <si>
    <t>BEARING 206PR-C</t>
  </si>
  <si>
    <t>BEARING 205PR-C</t>
  </si>
  <si>
    <t>BEARING 203PR-C</t>
  </si>
  <si>
    <t>BEARING 6209-2Z (45 X 85 X 19 MM)</t>
  </si>
  <si>
    <t>BEARING SLEEVES (35 X 40 X 30 MM)</t>
  </si>
  <si>
    <t>BEARING 1623-2RS</t>
  </si>
  <si>
    <t>NEEDLE BEARING  (24 X 12 X 13 MM)</t>
  </si>
  <si>
    <t>BEARING BB-30-2K</t>
  </si>
  <si>
    <t>NEEDLE BEARING NK 30/20 (30 X 40 X 20)</t>
  </si>
  <si>
    <t>BEARING TAF 253320</t>
  </si>
  <si>
    <t>BEARING HFLF-205317</t>
  </si>
  <si>
    <t>CAM FOLLOWR CF8</t>
  </si>
  <si>
    <t>BEARING 6300-2RS (10 X 35 X 11 MM)</t>
  </si>
  <si>
    <t>BEARING R4-2Z (1/4" X 5/8" X 0.1960")</t>
  </si>
  <si>
    <t>BEARING 6016-2Z (80 X 125 X 22 MM)</t>
  </si>
  <si>
    <t>BEARING F5DD</t>
  </si>
  <si>
    <t>INNER RING 1-3/4" X 1-1/2" X 1" FOR CHEETAH VACUUM CYLINDER</t>
  </si>
  <si>
    <t>BEARING 16004 (20 X 42 X 8 MM)</t>
  </si>
  <si>
    <t>BEARING 6206-DDUNR</t>
  </si>
  <si>
    <t>BEARING 16005 (25 X 47 X 8 MM)</t>
  </si>
  <si>
    <t>BEARING 6203-DDUNR</t>
  </si>
  <si>
    <t>BEARING 6003-DDUNR</t>
  </si>
  <si>
    <t>BEARING 6204-DDUNR</t>
  </si>
  <si>
    <t>BEARING 6900-2Z (10 X 22 X 6 MM)</t>
  </si>
  <si>
    <t>BEARING 6002-DDUNR</t>
  </si>
  <si>
    <t>NEEDLE BEARING HK 4016</t>
  </si>
  <si>
    <t>NEEDLE BEARING BA65 (SCE-65) FOR STS GEAR MOTOR</t>
  </si>
  <si>
    <t>BEARING 6004NR-2Z</t>
  </si>
  <si>
    <t>PRECISION BALL BEARINGS FOR P&amp;S CYLINDER (SET)</t>
  </si>
  <si>
    <t>THRUST TAPERED ROLLER BEARING TIMKING T387 FOR CAT HIGH REACH TRUCK SWIVEL WHEEL, SIZE: 3.875" X 5" X 0.7650" (96.425 X 127 X 17.463 MM)</t>
  </si>
  <si>
    <t>FLANGE BEARING SLFL12</t>
  </si>
  <si>
    <t>FLANGE BEARING UCF208 ASAHI</t>
  </si>
  <si>
    <t>BEARING 8702-2RS (5/8" X 1-3/4" X 5/8")</t>
  </si>
  <si>
    <t>BEARING AS 30 NY (UKCC 30 ZZ)</t>
  </si>
  <si>
    <t>BEARING R8-2Z</t>
  </si>
  <si>
    <t>BEARING (UF-12) (ST-G AE12-S BA (W+D K 1.960.04))</t>
  </si>
  <si>
    <t>NEEDLE BEARING HK1212 (12 X 18 X 12)</t>
  </si>
  <si>
    <t>NEEDLE BEARING B1212 (3/4" x 1" x 3/4")</t>
  </si>
  <si>
    <t>BEARING 7616 (1" X 2" X 1.179")</t>
  </si>
  <si>
    <t>NEEDLE BEARING BHA-812-Z (1/2" x 3/4" x 3/4")</t>
  </si>
  <si>
    <t>CLUTCH ROLLER BEARING ASNU20/USNU20 CTS ITALY</t>
  </si>
  <si>
    <t>BEARING 8708-2RS</t>
  </si>
  <si>
    <t>BEARING 16100-2Z (10 X 28 X 8 MM)</t>
  </si>
  <si>
    <t>SELF ALIGNING BEARING 129 WA (9 X 26 X 8 MM)</t>
  </si>
  <si>
    <t>BEARING 607-2Z (7 X 19 X 6 MM)</t>
  </si>
  <si>
    <t>BEARING 6902 (15 X 28 X 7 MM)</t>
  </si>
  <si>
    <t>BEARING 3308-2Z</t>
  </si>
  <si>
    <t>CAM FOLLOWER CR24</t>
  </si>
  <si>
    <t>BEARING NATR6-PP-A</t>
  </si>
  <si>
    <t>BEARING 7200 BW (10 X 30 X 9 MM)</t>
  </si>
  <si>
    <t>BEARING R6-2Z (3/8" X 7/8" X 9/32")</t>
  </si>
  <si>
    <t>INNER RING 40 X 45 X 40</t>
  </si>
  <si>
    <t>BEARING BA2824Z</t>
  </si>
  <si>
    <t>BEARING 6012 (60 X 95 X 18 MM)</t>
  </si>
  <si>
    <t>BEARING R16-2Z (1" X 2" X 1/2")</t>
  </si>
  <si>
    <t>BEARING EE135-ZZ</t>
  </si>
  <si>
    <t>BEARING 6009-2Z (45 X 75 X 16 MM)</t>
  </si>
  <si>
    <t>BEARING 6304-2Z (20 X 52 X 15 MM)</t>
  </si>
  <si>
    <t>NEEDLE BEARING 20/20</t>
  </si>
  <si>
    <t>BEARING 6908-2Z (40 X 62 X 12 MM)</t>
  </si>
  <si>
    <t>BEARING 1602-2RS</t>
  </si>
  <si>
    <t>BEARING R10-2Z</t>
  </si>
  <si>
    <t>BEARING RC121610</t>
  </si>
  <si>
    <t>BEARING 1616-2RS</t>
  </si>
  <si>
    <t>BEARING 6906-2RS (30 X 47 X 9 MM)</t>
  </si>
  <si>
    <t>BEARING AS20 STEIBER</t>
  </si>
  <si>
    <t>LINEAR BALL BEARING TK20UUST</t>
  </si>
  <si>
    <t>LINEAR BALL BEARING LMES20UU</t>
  </si>
  <si>
    <t>NEEDLE BEARING BA1212Z (3/4" x 1" x 3/4")</t>
  </si>
  <si>
    <t>AXIAL THRUST BEARING 2908 (40 X 60 X 16 MM)</t>
  </si>
  <si>
    <t>NEEDLE BEARING NK45/30</t>
  </si>
  <si>
    <t>RUBBER ROLLER N 010236</t>
  </si>
  <si>
    <t>WINCH TYPE GEAR 144 40 0000</t>
  </si>
  <si>
    <t>SPUR GEAR K1 1009 000 4</t>
  </si>
  <si>
    <t>RUBBER ROLLER DIA=35.6MM, HARD=40SHORE</t>
  </si>
  <si>
    <t>INK ROLLER (103 X 65 X 280 MM) HARD = 60-70 SHORE</t>
  </si>
  <si>
    <t>PULLING SHAFT GEAR</t>
  </si>
  <si>
    <t>INSIDE PRINTING GEAR</t>
  </si>
  <si>
    <t>FIBRE SPUR GEAR, TEEHT=40, DIA=85MM</t>
  </si>
  <si>
    <t>ALIGNER PIN, 1882</t>
  </si>
  <si>
    <t>BELT FOR PAPER, ROLL</t>
  </si>
  <si>
    <t>RUBBER ROLLER, N 010.236</t>
  </si>
  <si>
    <t>SOLENOID FOR BANKER, K2 222.02</t>
  </si>
  <si>
    <t>CYLINDER SCREW WITH HEX M10X40, D 0.030.312</t>
  </si>
  <si>
    <t>NEEDLES FOR CORNER CUTTER UNIT, 2 X 8 MM</t>
  </si>
  <si>
    <t>NEEDLES FOR CORNER CUTTER UNIT, 2.5 X 10 MM</t>
  </si>
  <si>
    <t>NEEDLES FOR CORNER CUTTER UNIT, 6 X 24 MM</t>
  </si>
  <si>
    <t>NEEDLES FOR CORNER CUTTER UNIT, 6 X 40 MM</t>
  </si>
  <si>
    <t>NEEDLE BEARING, K 08 X 11 X 10</t>
  </si>
  <si>
    <t>GEAR, R120027048</t>
  </si>
  <si>
    <t>FITTINGS FOR AIR CHUCK AIR VALVE</t>
  </si>
  <si>
    <t>CAM FOLLOWER, K3.340.78</t>
  </si>
  <si>
    <t>HD-NUH-5sCn-SmGr, REFEEDER BELT, 60 X 3000 MM</t>
  </si>
  <si>
    <t>SPUR GEAR, R1.20.027.048</t>
  </si>
  <si>
    <t>6MM Sq HEAD SCREW, D 075028</t>
  </si>
  <si>
    <t>BULB 24 V</t>
  </si>
  <si>
    <t>FELT DISC, V87.70.000.0</t>
  </si>
  <si>
    <t>SET OF GLUE PAD, LEFT + RIGHT</t>
  </si>
  <si>
    <t>PARTS FOR FLUID SECTION OF ARO PUMP (PILOT PISTON 67382, WAHER 96092, PIN 94874-1, SCREW 93810-7)</t>
  </si>
  <si>
    <t>CHAIN FOR SHEETING MACHINE PIV GEAR BOX</t>
  </si>
  <si>
    <t>SERVICE KIT-FLUID SECTION 637429-AA (15257546)</t>
  </si>
  <si>
    <t>ECCENTRIC BRONZE BUSHING (LHS &amp; RHS)</t>
  </si>
  <si>
    <t>AIR SECTION KIT 637428 (15244304)</t>
  </si>
  <si>
    <t>SHAFT FOR PIV GEAR BOX</t>
  </si>
  <si>
    <t>MILLER ADAPTER CONTACTOR, PART # 169728</t>
  </si>
  <si>
    <t>THREADED NIPPLE</t>
  </si>
  <si>
    <t>90 DEG ELBOW</t>
  </si>
  <si>
    <t>SHAFT COLLAR 2-7/16", McMASTER: 6436K81</t>
  </si>
  <si>
    <t>SET OF SHAFT SOCKET, V 81040180</t>
  </si>
  <si>
    <t>SET OF HELICAL GEAR, R120027048</t>
  </si>
  <si>
    <t>AIR BLOW NOZZLE HOLDER, N 003802</t>
  </si>
  <si>
    <t>ALUMINUM OXIDE SANDING BELT. SIZE: 1/2" X 24". GRADE: 180, McMASTER REF: 4744A831</t>
  </si>
  <si>
    <t>SHAFT COLLAR 15 MM BORE, McMASTER REF: 6063K33</t>
  </si>
  <si>
    <t>SHAFT COLLAR 20 MM BORE, McMASTER REF: 6063K19</t>
  </si>
  <si>
    <t>SHAFT COLLAR 25 MM BORE, McMASTER REF: 6063K21</t>
  </si>
  <si>
    <t>SHAFT COLLAR 35 MM BORE, McMASTER REF: 6063K23</t>
  </si>
  <si>
    <t>RULON SHEET 1/4" X 6" X 6", McMASTER REF: 5824T72</t>
  </si>
  <si>
    <t>SHAFT COLLAR 10 MM BORE, McMASTER REF: 57445K25</t>
  </si>
  <si>
    <t>SHAFT COLLAR 12 MM BORE, McMASTER REF: 57445K26</t>
  </si>
  <si>
    <t>SHAFT COLLAR 30 MM BORE, McMASTER REF: 6063K22</t>
  </si>
  <si>
    <t>SHAFT COLLAR 40 MM BORE, McMASTER REF: 6063K24</t>
  </si>
  <si>
    <t>SHAFT COLLAR 45 MM BORE, McMASTER REF: 6063K25</t>
  </si>
  <si>
    <t>MAGNETIC CYLINDER PART # 9, PLATE LIFTER, SRC-000072</t>
  </si>
  <si>
    <t>REPAIR KIT FOR FLUID SIDE, McMASTER: 3781K23</t>
  </si>
  <si>
    <t>REPAIR KIT FOR MOTOR SIDE, McMASTER: 3781K59</t>
  </si>
  <si>
    <t>RULON SHEET 1/16" X 6" X 6", McMASTER: 5824T77</t>
  </si>
  <si>
    <t>BD-ROUND BELT, DIA=5MM, L=10MTR</t>
  </si>
  <si>
    <t>STEEL ROLLER, 45300140 (2 DIFFERENT ITEMS)</t>
  </si>
  <si>
    <t>SPROCKET, R512014048</t>
  </si>
  <si>
    <t>HELICAL GEAR, R 21048001</t>
  </si>
  <si>
    <t>SPROCKET, R 312017007</t>
  </si>
  <si>
    <t>HELICAL GEAR, R 210031001</t>
  </si>
  <si>
    <t>CAP FOR WELDING TORCH, 169-724</t>
  </si>
  <si>
    <t>PLASMA ELECTRODES, P/N: 802420</t>
  </si>
  <si>
    <t>PLASMA NOZZLES, P/N: 802423</t>
  </si>
  <si>
    <t>CERAMIC BAR, DIA=12MM, L=190MM, B 244.190</t>
  </si>
  <si>
    <t>SPROCKET FOR #40 CHAIN, N.O.T=13, McMASTER REF: 6280K671</t>
  </si>
  <si>
    <t>VALVE # 5 (50 cu mm), K 3.306.08</t>
  </si>
  <si>
    <t>1/16" THICK, 12" X 12", GUM, RUBBER SHEET GASKET, McMASTER REF: 8525T51</t>
  </si>
  <si>
    <t>15N AERO-CASTER ELEMENT (MODEL: 15N, CAP=1927KG, 384MM x 384MM, AEROGO P/N: 49082</t>
  </si>
  <si>
    <t>CAM FOLLOWER, L990.00.0087.8</t>
  </si>
  <si>
    <t>CERAMIC BAR FOR WINDOW, DIA=1/2"</t>
  </si>
  <si>
    <t>CROSS 23.0 X 58.2 MM, GU 1600 (MORSE)</t>
  </si>
  <si>
    <t>UNIVERSAL JOINT 22 X 60 MM, S.56834 UNIVERSAL JOINT</t>
  </si>
  <si>
    <t>CAM FOLLOWER, V 8125.07.30</t>
  </si>
  <si>
    <t>PU ROLLER FOR 327G FEED TABLE, DIA=49.5MM, L=50MM, HARD=60SHORE</t>
  </si>
  <si>
    <t>ZERO DEG ("O") GUMMER, UNICASTE REF: 15-003R/L</t>
  </si>
  <si>
    <t>RUBBER SHEET FOR SHEETER BRAKE DIAPHGRAM</t>
  </si>
  <si>
    <t>TOLOMATIC PNEUMATIC BRAKE, P220SEF, 0733-0220</t>
  </si>
  <si>
    <t>BRONZE TUBE FOR MOH</t>
  </si>
  <si>
    <t>STAINLESS STEEL ROD, DIA= 1/4"</t>
  </si>
  <si>
    <t>LOAD WHEEL FOR CAT NRDR30 HIGH REACH TRUCK</t>
  </si>
  <si>
    <t>PU COATED RUBBER ROLLERS (P/N: N 010.131), DIA=45MM, HARD=60 SHORE</t>
  </si>
  <si>
    <t>PU COATED RUBBER ROLLERS, DIA=58MM, HARD=60 SHORE</t>
  </si>
  <si>
    <t>DRIVE WHEEL FOR NRDR30 HIGH REACH TRUCK, DIA=315MM, WIDTH=150MM</t>
  </si>
  <si>
    <t>SWIVEL WHEEL FOR NRDR30 HIGH REACH TRUCK, DIA=205MM, WIDTH=101MM</t>
  </si>
  <si>
    <t>SCORE ROLL WITH 1 GROOVE FOR 327G &amp; 527 GSV (L126.07.0001.2), P/N: 10-1185</t>
  </si>
  <si>
    <t>PULSE / TACHO METER, MP5S-4N</t>
  </si>
  <si>
    <t>SINGLE SOLENOID VALVE, MFH-3-1/4</t>
  </si>
  <si>
    <t>COUNTERS &amp; TIMERS, CT6S-2P4</t>
  </si>
  <si>
    <t>TIME DELAY RELAY, TNDLY1CO.ZR5MF011 ONDLY TIM.IC/0</t>
  </si>
  <si>
    <t>TELEMECHANIQUE CONTACTOR LC1D12F7.  110V, 25A, 110 V,  5.5KW/400V, 50/60Hz, 7.5HP/480V</t>
  </si>
  <si>
    <t>PHOTO ELECTRIC SENSOR (12-24VDC), BR400-DDT-P</t>
  </si>
  <si>
    <t>REFLECTOR, MS2</t>
  </si>
  <si>
    <t>DATASENSOR (PHOTO EYE), S6-1-C90 (DIF-PROXI 90CM RELAY, 15-264VAC/DC CABLE)</t>
  </si>
  <si>
    <t>PROXIMITY SENSOR, PRL12-4DP</t>
  </si>
  <si>
    <t>PROXIMITY SENSOR, PRL12-4DN</t>
  </si>
  <si>
    <t>PUSH BUTTON, GREEN HEAD</t>
  </si>
  <si>
    <t>MINIATURE CIRCUIT BREAKER. C63, ABB S203-C63 (2CDS 253 001 R 0634) 63A</t>
  </si>
  <si>
    <t>ROTARY ENCODER, E50S8-1000-6-L-5</t>
  </si>
  <si>
    <t>RELAY 110VAC, 8 ROUND PINS</t>
  </si>
  <si>
    <t>MOTOR PROTECTIVE CIRCUIT BREAKER, MOELLER PKZM0-6.3</t>
  </si>
  <si>
    <t>COUNTER &amp; TIMER, CT6Y-2P4</t>
  </si>
  <si>
    <t>OVER LOAD CUT OUT (MOTOR PROTECTIVE SWITCH) 10--16 A, MOELLER PKZMO-16 (W+D: K4.519.80)</t>
  </si>
  <si>
    <t>PID TEMPERATURE CONTROLLER (LPA INDIA), 7 AMP, MODEL: 77LT-3S. SR NO: 1007-413. TYPE: UNIVERSAL . SUPPLY: 85-265VAC</t>
  </si>
  <si>
    <t>63A SWITCH DISCONNECTOR, OT63F3</t>
  </si>
  <si>
    <t>PROXIMITY SENSOR, PRL12-2DP</t>
  </si>
  <si>
    <t>LATCHING RELAY 24VDC (10A), OMRON MY2K</t>
  </si>
  <si>
    <t>TIME DELAY RELAY, ABB PART NO DSTUD3 (9-110VDC)</t>
  </si>
  <si>
    <t>EXHAUST FAN, FD1550A2HBL/Q</t>
  </si>
  <si>
    <t>DILER 40G CONTATCOR, 24VDC</t>
  </si>
  <si>
    <t>OVERLOAD RELAY, SIEMENS 5-8A</t>
  </si>
  <si>
    <t>OVERLOAD RELAY, SIEMENS 5-5A</t>
  </si>
  <si>
    <t>FUSE 50A (100KA, 240VAC)</t>
  </si>
  <si>
    <t>FUSE 10A (500 V-10A)</t>
  </si>
  <si>
    <t>FUSE 16A 500V (DIA 10 X L 38 MM)</t>
  </si>
  <si>
    <t>FUSE 6A, 500V, 10 X 38 MM</t>
  </si>
  <si>
    <t>FUSE 10A, 500V, 10 X 38 MM</t>
  </si>
  <si>
    <t>FUSE 2A 500V, 100KA, 10 X 38 MM</t>
  </si>
  <si>
    <t>FUSE 40A 500VAC</t>
  </si>
  <si>
    <t>FUSE 13A</t>
  </si>
  <si>
    <t>FUSE DC 15A</t>
  </si>
  <si>
    <t>FUSE 15A, 250VAC</t>
  </si>
  <si>
    <t>FUSE AC 4A 500V</t>
  </si>
  <si>
    <t>FUSE 16A 500VAC</t>
  </si>
  <si>
    <t>FUSE 6A 500VAC</t>
  </si>
  <si>
    <t>FERRAZ SHAWMUT FUSE FOR HEAT LAMP CONTROLLER, A50QS80-4, 80AMP, RES 1.411 mOhm 500VAC-200KA IR, 500VDC-87KA IR</t>
  </si>
  <si>
    <t>FUSE 2A, 500V 10 X 38 MM</t>
  </si>
  <si>
    <t>FUSE 3A</t>
  </si>
  <si>
    <t>FUSE 20A 380VAC (100KA)</t>
  </si>
  <si>
    <t>FUSE 5A 380VAC-100KA (10 X 38 MM)</t>
  </si>
  <si>
    <t>FUSE 10A</t>
  </si>
  <si>
    <t>FUSE 4A, 500V, 10 X 38 MM</t>
  </si>
  <si>
    <t>FUSE 12A</t>
  </si>
  <si>
    <t>FUSE 25A 500VAC (DIA 14 X L 51 MM)</t>
  </si>
  <si>
    <t>MICROSWITCH 15 A 250VAC (ROLLER TYPE)</t>
  </si>
  <si>
    <t>FUSE 20A 500VAC</t>
  </si>
  <si>
    <t>FUSE 50A 500VAC</t>
  </si>
  <si>
    <t>RELAY 24VDC (8 FLAT PINS) 5 AMP</t>
  </si>
  <si>
    <t>SOLENOID VALVE MODEL: 3V110-06 SNS (1.5-8kgf/cu cm) FOR MOH</t>
  </si>
  <si>
    <t>R058 CERAMIC FUSE 20A 250V 6 X 30 MM</t>
  </si>
  <si>
    <t>RELAY 24VDC (14 FLAT PINS)</t>
  </si>
  <si>
    <t xml:space="preserve">MICROSWITCH SMALL LEVER, LXW5-11N1  (15A, 250VAC) </t>
  </si>
  <si>
    <t>AMPERE METER 30A, TF-60</t>
  </si>
  <si>
    <t>MICROSWITCH Z-15H24-B (LONG LEVER)</t>
  </si>
  <si>
    <t>LIMIT SWITCH, TEND TZ-5168</t>
  </si>
  <si>
    <t>BULB, FB 12V35/35W</t>
  </si>
  <si>
    <t>FUSE FOR FORKLIFT</t>
  </si>
  <si>
    <t>PITTMAN MOTOR, 24VDC, 5.9:1 RATIO, GM14904S011-R1</t>
  </si>
  <si>
    <t>FUSE 2A</t>
  </si>
  <si>
    <t>FUSE 25A</t>
  </si>
  <si>
    <t>FUSE 10 X 38 MM, 0.5A, 500V</t>
  </si>
  <si>
    <t>FUSE 10 X 38 MM, 1A, 500V</t>
  </si>
  <si>
    <t>FUSE, 63A</t>
  </si>
  <si>
    <t>SMALL SIZE MICROSWITCH</t>
  </si>
  <si>
    <t>GLASS FUSE 5 X 20 MM, 4AMP, 250VAC</t>
  </si>
  <si>
    <t>PULSE METER (AVAILABLE WITH H.A), MP5Y-45</t>
  </si>
  <si>
    <t>BULB, 24V</t>
  </si>
  <si>
    <t>BULB, 220V</t>
  </si>
  <si>
    <t>30MM HEAD PUSH BUTTON</t>
  </si>
  <si>
    <t>BULB, 110V</t>
  </si>
  <si>
    <t>CARBON BRUSH FOR 327G, 8 X 16 X 25 MM</t>
  </si>
  <si>
    <t>CARBON BRUSH, 22 X 15 X 6 MM</t>
  </si>
  <si>
    <t>AUTONICS PHOTO SENSOR, MODEL: BM1M-MDT</t>
  </si>
  <si>
    <t>CARBON BRUSH, 20 X 12 X 5 MM</t>
  </si>
  <si>
    <t>CONTACTOR RELAY, DILER-40, 24VAC, 4 NO, 50/60Hz</t>
  </si>
  <si>
    <t>BULB 30V</t>
  </si>
  <si>
    <t>BULB 24V</t>
  </si>
  <si>
    <t>CARBON BRUSH 6 X 9.5 X 20 MM</t>
  </si>
  <si>
    <t>CONTACTOR RELAY, DILER-22, 24VAC, 2 NO &amp; 2 NC, 50/60Hz</t>
  </si>
  <si>
    <t>INDICATION LAMP 24V-DC, YELLOW COLOR</t>
  </si>
  <si>
    <t>INDICATION LAMP 24V-DC, GREEN COLOR</t>
  </si>
  <si>
    <t>INDICATION LAMP 24V-DC, RED COLOR</t>
  </si>
  <si>
    <t>INDICATION LAMP 24V-DC, BLUE COLOR</t>
  </si>
  <si>
    <t>TIMER MY-1S-2P (1S) 220VAC</t>
  </si>
  <si>
    <t>CARBON BRUSH 6.3 X 10 X 20 MM</t>
  </si>
  <si>
    <t>CAPACITOR CBB61, 4.0, 450VAC, 50/60Hz</t>
  </si>
  <si>
    <t>RHEOSTAT VARIABLE RESISTANCE 200 WATT, 100 OHM</t>
  </si>
  <si>
    <t>SOLID STATE RELAY, HSR-2D-104Z, INPUT 4-32VDC, OUPUT 90-480VAC</t>
  </si>
  <si>
    <t>ABB 40A 3P ISOLATOR (SHD 203/40)</t>
  </si>
  <si>
    <t>ABB CONTACTOR AF-09-30-10-13, 100-250V50/60HZ-DC</t>
  </si>
  <si>
    <t>MICRO SWITCH ME-9101</t>
  </si>
  <si>
    <t>POWER SUPPLY (LRS-350-24), INPUT 200VAC(6.8A) TO 240VAC(3.4A), OUTPUT 24VDC(14.6A)</t>
  </si>
  <si>
    <t>POWER SUPPLY (S-400-24), INPUT 110VAC (3.2A) TO 230VAC (1.6A), OUTPUT 24VDC (16.5A)</t>
  </si>
  <si>
    <t>POWER SUPPLY (ANDELI S-50-24), 110VAC (2A) TO 230VAC (1A), OUTPUT 24VDC (2A)</t>
  </si>
  <si>
    <t>POWER SUPPLY 6.2A (ANDELI S-75-12), INPUT 100-240VAC, 2A-1A, OUTPUT 24VDC (6.25A)</t>
  </si>
  <si>
    <t>TIME DELAY RELAY CROUZET TAR 1</t>
  </si>
  <si>
    <t>POWER SUPPLY 6.2A (ANDELI S-150-24), INPUT 100V-240VAC, 3.2A-1.6A, OUTPUT 24VDC (6.25A)</t>
  </si>
  <si>
    <t>PHOTO ELECTRIC SENSOR, AUTONICS: BTS1M-TDTD</t>
  </si>
  <si>
    <t>CLAMP</t>
  </si>
  <si>
    <t>POWER SUPPLY, MODEL: T-120D (MWKJ), INPUT:100VAC-120VAC(3.2A), INPUT: 200VAC-240AC(1.8A), OUTPUT: 5VDC(8A)+12VDC(2.5A)+24VDC(2A)</t>
  </si>
  <si>
    <t>CYLINDER POSITION SENSOR, AIRTAC MODEL: CS1J020, DC/AC 5-240V, 100mA, 10W</t>
  </si>
  <si>
    <t>RELAY, SCHNEIDER: RXZE2M114M, 12VDC (10A, 250C, 2.5KV)</t>
  </si>
  <si>
    <t>CONTACTOR SCHNEIDER MODEL: LC1D12BD</t>
  </si>
  <si>
    <t>CONTACTOR SCHNEIDER MODEL: LC1D32BD</t>
  </si>
  <si>
    <t>CONTACTOR SCHNEIDER MODEL: LC1D32F7, 110VAC</t>
  </si>
  <si>
    <t>AUXILIARY RELAY, SCHNEIDER MODEL: LADN11</t>
  </si>
  <si>
    <t>PHOTO SENSOR LTS-1180-101 (SCANNER) FOR VALCO SYSTEM</t>
  </si>
  <si>
    <t>LED LIGHT, 10 WATT, ES-BF10</t>
  </si>
  <si>
    <t>TOWER LIGHT 24VDC WITH BUZZER</t>
  </si>
  <si>
    <t>POTENTIOMETER 20K OHM</t>
  </si>
  <si>
    <t>ROUND PUSH BUTTON 22 MM, GREEN HEAD</t>
  </si>
  <si>
    <t>ROUND PUSH BUTTON 22 MM, BLACK HEAD</t>
  </si>
  <si>
    <t>N/C CONTACT ELEMENT FOR 22 MM SWITCH</t>
  </si>
  <si>
    <t>TOWER LIGHT BULB 24V-8W</t>
  </si>
  <si>
    <t>POTENTIOMETER, RV24YN-20S-B502-127C</t>
  </si>
  <si>
    <t>POTENTIOMETER 50K OHM</t>
  </si>
  <si>
    <t>POTENTIOMETER 68K OHM</t>
  </si>
  <si>
    <t xml:space="preserve">MULTI TURN POTENTIOMETER, BOURNS 3590S-2-103L, RES 10K ohm </t>
  </si>
  <si>
    <t>BATTERIES AA-1.5V</t>
  </si>
  <si>
    <t>BATTERIES AAA-1.5V</t>
  </si>
  <si>
    <t xml:space="preserve">MULTI TURN POTENTIOMETER, BOURNS 3590S-2-502L, RES 5K ohm </t>
  </si>
  <si>
    <t>ARCOL RESISTANCE HS 100, 33R FOR 38R MACHINES</t>
  </si>
  <si>
    <t>POTENTIOMETER, BOURNS 3590S-2-102L, RES 1K OHM</t>
  </si>
  <si>
    <t xml:space="preserve">EMERGENCY STOP, 30MM </t>
  </si>
  <si>
    <t>CIRCUIT BREAKER 125A, 50/60Hz, 56.3KW</t>
  </si>
  <si>
    <t>POTENTIOMETER, RES 1K OHM, 100K OHM</t>
  </si>
  <si>
    <t xml:space="preserve">MULTI TURN POTENTIOMETER, RES 1K ohm, BOURNS 35406-1-1022 </t>
  </si>
  <si>
    <t>N/O CONTACT ELEMENT FOR 22MM SWITCH</t>
  </si>
  <si>
    <t>EXHAUST FAN 120VAC, FD1238A1HSL</t>
  </si>
  <si>
    <t>FULLEON SOUNDER, ROLP/SV-R/D/3, 540503FULL-0403X</t>
  </si>
  <si>
    <t>ELECTRIC BOX, 1 HOLE, 22MM</t>
  </si>
  <si>
    <t>ELECTRIC BOX, 2 HOLE, 22MM</t>
  </si>
  <si>
    <t>ELECTRIC BOX, 3 HOLE, 22MM</t>
  </si>
  <si>
    <t>TIMING BELT, T5-280, WIDTH = 40 MM, 56 TEETH, 280MM LONG, 5MM PITCH, W&amp;D REF: N011.412</t>
  </si>
  <si>
    <t>TIMING BELT, T5-500, W = 40 MM, 100 TEETH, 500MM LONG, 5MM PITCH, W&amp;D REF: N O11.430</t>
  </si>
  <si>
    <t>TIMING BELT, T5-690, W = 25 MM, 138 TEETH, 690MM LONG, 5MM PITCH</t>
  </si>
  <si>
    <t>TIMING BELT FOR 38R P&amp;S UNIT, 8M560-30</t>
  </si>
  <si>
    <t>TIMING BELT (237 SYNCHROFLEX DR-186) W&amp;D REF: NO 11.080</t>
  </si>
  <si>
    <t>TIMING BELT (602 SYNCHROFLEX DR 153) W&amp;D REF: NO 11.072</t>
  </si>
  <si>
    <t>SPECIAL TIMING BELT FOR 97G FROM W&amp;D, W&amp;D REF: N 011.150</t>
  </si>
  <si>
    <t>TIMING BELT (9.5 X 715 La) FMX28</t>
  </si>
  <si>
    <t>TIMING BELT, 180 TEETH, 900H100</t>
  </si>
  <si>
    <t>TIMING BELT, 48 TEETH, 240L100</t>
  </si>
  <si>
    <t>TIMING BELT (DR-186)</t>
  </si>
  <si>
    <t>TIMING BELT FOR LABEL PRINTER (128XL), 128MXL</t>
  </si>
  <si>
    <t>VARIABLE SPEED BELT 1422V330</t>
  </si>
  <si>
    <t>TIMING BELT (508 SYNCHROFLEX V620/6)</t>
  </si>
  <si>
    <t>TIMING BELT, 120 TEETH, 600H100</t>
  </si>
  <si>
    <t>TIMING BELT FOR SHANKLIN, 130MXL</t>
  </si>
  <si>
    <t>TIMING BELT 630H200, L=63"(1600MM), NOT=126</t>
  </si>
  <si>
    <t>TIMING BELT 30T5/410, N 011.420, 82 TEETH, 30MM WIDTH, 410MM LONG, 5MM PITCH</t>
  </si>
  <si>
    <t>TIMING BELT 1680H100 FOR MOH</t>
  </si>
  <si>
    <t>PRESSURE SWITCH, PEV-1/4-B</t>
  </si>
  <si>
    <t>PRESSURE SWITCH, NE-MA SPA</t>
  </si>
  <si>
    <t>FLITER ELEMENT LFMAP-D-MIDI, MAT # 162675 (0.01 MICRON)</t>
  </si>
  <si>
    <t>FILTER ELEMENT LFMBP-D-MIDI, MAT # 162678 (1.0 MICRON)</t>
  </si>
  <si>
    <t>FILTER ELEMENT LFP-D-MIDI (40 MICRON)</t>
  </si>
  <si>
    <t>FILTER ELEMENT LFP-D-MIDI-5M</t>
  </si>
  <si>
    <t>VACUUM SWITCH, VPEV-1/8</t>
  </si>
  <si>
    <t>AIR REGULATOR LR-1/4-D-MINI</t>
  </si>
  <si>
    <t>FLEXIBLE STANDARD LABELING TAPE CASSETTE, 12MM, BR-TZe-FX231</t>
  </si>
  <si>
    <t>WEARING KIT FOR OLD STARK SPLICER, MFH/MOFH-3-1/8</t>
  </si>
  <si>
    <t>WEARING KIT FOR OLD STARK SPLICER, MFH/VL-5-1/8BISE6</t>
  </si>
  <si>
    <t>RIBBON S-8000A, FOR TIME &amp; DATE STAMPING</t>
  </si>
  <si>
    <t>REPLACEMENT INK PAD S-400-7B (FOR S-420 &amp; S-826), BLUE COLOR</t>
  </si>
  <si>
    <t>COMPLETE PAPER CUTTER, SMALL SIZE</t>
  </si>
  <si>
    <t>1" PVC DOUBLE UNION BALL VALVE, COSMOPLAST</t>
  </si>
  <si>
    <t>GEAR (04.017.029/) 131135369/0010</t>
  </si>
  <si>
    <t>HEX NUT (01.232.023/) 131234539/0210</t>
  </si>
  <si>
    <t xml:space="preserve">BALL CAGE, 42.018.027/- </t>
  </si>
  <si>
    <t>CHAIN SHOE, S 214.00.0259.9</t>
  </si>
  <si>
    <t>RUBBER SUCKER FOR VACUUM CYLINDER, V 87.51.003.0</t>
  </si>
  <si>
    <t>ZUNGE, V 79.06.793.0</t>
  </si>
  <si>
    <t>PACKING RING  (SD 45 X 55 X 4 MM), K 1.392.53</t>
  </si>
  <si>
    <t>GRIPPER PLATES (NO 3) V 79.89.441.0</t>
  </si>
  <si>
    <t>POLYAMIDE FLAT BELT 1.55 X 1420 X 30 MM, L500</t>
  </si>
  <si>
    <t>POLYAMIDE FLAT BELT 1.55 X 1300 X 35 MM, L500</t>
  </si>
  <si>
    <t>POLYAMIDE FLAT BELT 1.55 X 1495 X 28 MM, L500</t>
  </si>
  <si>
    <t>CAM FOLLOWER, KR-19</t>
  </si>
  <si>
    <t>DC INPUT MODULE 24V DC, 1746-IB16 (ALLEN BRADLEY)</t>
  </si>
  <si>
    <t>DC OUTPUT MODULE 24V DC, 1746-OB16 (ALLEN BRADLEY)</t>
  </si>
  <si>
    <t>Z 5 32X25X12 PERB, REBUILT KIT FOR COMPACT CYLINDER FOR 214 MACHINE</t>
  </si>
  <si>
    <t>VASITOR, K4.731.31</t>
  </si>
  <si>
    <t>ELECTRICAL PLUG, K4.224.26</t>
  </si>
  <si>
    <t>ELECTRICAL ITEM, K4.262.41</t>
  </si>
  <si>
    <t>ECCENTRIC BOLT (CAM FOLLOWER) L214.00.4500.0. (REPLACEMENT FOR V 21.84.015.0)</t>
  </si>
  <si>
    <t>FESTO COMPACT CYLINDER, ADVC-20-10-I-P</t>
  </si>
  <si>
    <t>RUBBER ROLLS, NO 10.010</t>
  </si>
  <si>
    <t>RUBBER ROLLS, NO 10.020 (UNICAST REF: 15-3113)</t>
  </si>
  <si>
    <t>RUBBER ROLLS, N O10.022</t>
  </si>
  <si>
    <t>V-BELT, K 1.820.15 (050-SPZ-1047)</t>
  </si>
  <si>
    <t>TIMING BELT (HTD 2800-8M-B07083) K 1.825.81</t>
  </si>
  <si>
    <t>SIDE SCORE ROLLER, DIA=80MM, L=600MM, HARD=60SHORE (W+D REF: L 249.00.2520.0)</t>
  </si>
  <si>
    <t>BOTTOM FLAP GUM ROLLER, DIA=87.5MM, L=560MM, HARD=60 SHORE (W+D REF: L 027.41.0332.0)</t>
  </si>
  <si>
    <t>GROOVED ROLLER FOR B&amp;B, 22 X 14 X 235 MM</t>
  </si>
  <si>
    <t>CAM FOR B&amp;B</t>
  </si>
  <si>
    <t>FD-NUH-5SCr-SmG ENDLESS BELT FOR B&amp;B DELIVERY TABLE, W=50MM, L=590MM, T=1.3MM</t>
  </si>
  <si>
    <t>HALOGEN LAMP 1000W</t>
  </si>
  <si>
    <t>ROLLER (BEARING 625-2Z) 22 X 14 X 195 MM</t>
  </si>
  <si>
    <t>SIDE SCORE FOR SO 1.8" X 4" LONG, UNICAST REF: 10-5005</t>
  </si>
  <si>
    <t>SCORING ROLL WITH GROOVE FOR SO, UNICAST REF: 10-2600A</t>
  </si>
  <si>
    <t>CHAIN LINK # 41 FOR CONVEYOR ROD, OS-12400-2</t>
  </si>
  <si>
    <t>USED GRIPPERS FOR SO</t>
  </si>
  <si>
    <t>TRANSFER ROLLER, DIA = 29 MM X L = 227 MM, HARD = 60 SHORE</t>
  </si>
  <si>
    <t>PU COATED SCORE ROLLER FOR B&amp;B, DIA= 27 MM, L = 20 MM, HARDNESS = 80 SHORE</t>
  </si>
  <si>
    <t>FLAT CLAMPING BAR FOR SO</t>
  </si>
  <si>
    <t>ROD FOR CONVEYOR CHAIN # 41-1 FOR SO MACHINE</t>
  </si>
  <si>
    <t>BRONZE BUSH FOR FLAP GUM ROLLER FOR SO</t>
  </si>
  <si>
    <t>FD-NUF-4SCN-MtCb, CONVEYOR BELT FOR SO MACHINE, 145 X 14490 X 1.3 MM</t>
  </si>
  <si>
    <t>ROLLER CHAIN ATTACHMENT LINK, SK-1 TAB STYLE FOR ANSI # 40 CHAIN</t>
  </si>
  <si>
    <t>5/8" DIA LOW CARBON STEEL BALL</t>
  </si>
  <si>
    <t>GLUE STICK HOLDER FOR B&amp;B</t>
  </si>
  <si>
    <t>FD-RPT-14/30-RuTx-GB1, FLAT BELT, 40 X 1785 X 3 MM</t>
  </si>
  <si>
    <t>FD-RPT-14/30-RuTx-GB1, FLAT BELT, 40 X 1620 X 3 MM</t>
  </si>
  <si>
    <t>SELF LUBRICATED BUSHING 20 X 23 X 20 MM</t>
  </si>
  <si>
    <t>SELF LUBRICATED BUSHING 20 X 23 X 30 MM</t>
  </si>
  <si>
    <t>CARTRIDGE HEATER HIGH DEN, DIA = 12.5 MM, L = 260 MM, 300 WATT, 230 VOLT</t>
  </si>
  <si>
    <t>BN SILICON PASTE KS64, BNSPT100G</t>
  </si>
  <si>
    <t>FF TEFLON TAPE, W=25MM, L=10Mtr, FFTT216.13AD25</t>
  </si>
  <si>
    <t>SET OF KNIFE FOR FILM CUTTING</t>
  </si>
  <si>
    <t>KNIFE FOR RIBBON CUTTING</t>
  </si>
  <si>
    <t>PTFE HIGH TEMPERATURE TEFLON TAPE, 0.13X25X10</t>
  </si>
  <si>
    <t>PUSHING FINGER FOR DELIVERY UNIT (HESSER PACKING MACHINE)</t>
  </si>
  <si>
    <t>PIN FOR CAM FOLLOWR FOR HESSER MACHINE</t>
  </si>
  <si>
    <t>LP MP TRANSMISSION ROLLER FOR PRATIKA-56, DIA=25MM, L=423MM</t>
  </si>
  <si>
    <t>CARTRIDGE HEATER HIGH DEN, SIZE: 16 X 250 MM, AC 220 VOLT, 1000 WATT</t>
  </si>
  <si>
    <t>HD-RPR-10/30-RuRu-YG, FLAT BELT FOR CLASP, 20 X 2520 X 3 MM</t>
  </si>
  <si>
    <t>PU COATED RUBBER ROLLER FOR CHEETAH, DIA = 38 MM, FOR RELEASE LINER</t>
  </si>
  <si>
    <t>GUMMING PAD / FOAM TAPE, 4 X 25 MM</t>
  </si>
  <si>
    <t>TIMING BELT, 210L100</t>
  </si>
  <si>
    <t>TIMING BELT, 750H100</t>
  </si>
  <si>
    <t>TIMING BELT 1400H100 (280 TEETH)</t>
  </si>
  <si>
    <t>TIMING BELT 210L (WIDTH = 20 MM) (3/8" PITCH, 56 TEETH)</t>
  </si>
  <si>
    <t>RUBBER PACKING FOR SEALER</t>
  </si>
  <si>
    <t>MP PUSHER FOR PRATIKA, H=54MM, KR991499</t>
  </si>
  <si>
    <t>SET OF SPRINGS</t>
  </si>
  <si>
    <t>SILICON TUBE FOR CHEETAH VACUUM CYLINDER</t>
  </si>
  <si>
    <t>O-RING FOR FILM REWINDER FOR PRATIKA-56, DIA=180MM, CORD DIA=10MM</t>
  </si>
  <si>
    <t>TIMING BELT, 450L075 (3/8" PITCH, 120 TEETH)</t>
  </si>
  <si>
    <t>HEATER WIRES FOR BAGGING MACHINE</t>
  </si>
  <si>
    <t>JAW TOP SEAL SET WIDE FIN, F05-0894-001</t>
  </si>
  <si>
    <t>DC GEAR MOTOR FOR SHANKLIN, N05-2990-001</t>
  </si>
  <si>
    <t>PULLEY FOR 210L100 TIMING BELT FOR SHANKLING FIRST TABLE BELT, 16L100</t>
  </si>
  <si>
    <t>CONVEYOR BELT FOR PRATIKA TABLE</t>
  </si>
  <si>
    <t>RUBBER, SILICONE, RU-0065, 1/2" X 7/8"</t>
  </si>
  <si>
    <t>THOMPSON SHAFT PB-0171, 1/2 X 23-9/16"</t>
  </si>
  <si>
    <t>LOCALLY PTFE RE-COATED SEALING KNIFE FOR PRATIKA</t>
  </si>
  <si>
    <t>SHOCK ABSORBER, MA-0019</t>
  </si>
  <si>
    <t>SILICONE RUBBER PART # RU-0055, 1/4" X 7/8"</t>
  </si>
  <si>
    <t>FILM CLAMP, FIBERGLASS</t>
  </si>
  <si>
    <t>UNIVERSAL JOINT/YOKE P/N: CR-22-1120</t>
  </si>
  <si>
    <t>UNIVERSAL JOINT/YOKE P/N: CR-22-1118</t>
  </si>
  <si>
    <t>MP CHAIN ROLLER TUN-50, AS250047</t>
  </si>
  <si>
    <t>MP HEATER FOR LONG SEALING BLADE AM56T/PRATIKA56, FE380053</t>
  </si>
  <si>
    <t>MP CHAIN ROLLER TUN-50, AS250049</t>
  </si>
  <si>
    <t>WASHER FOR CHAIN ROLLERS, 4MM</t>
  </si>
  <si>
    <t>CIRCLIP/SNAP RING FOR CHAIN ROLLERS, 4MM</t>
  </si>
  <si>
    <t>COMB KNIFE FOR PRATIKA</t>
  </si>
  <si>
    <t>CONVEYOR BELT 19.5", SPA-0239-001</t>
  </si>
  <si>
    <t>HEATER TUBULAR 240V/1050W, SPA-0210-001</t>
  </si>
  <si>
    <t>PROBE THERMOCOUPLE 96" LONG, SPA-0230-003</t>
  </si>
  <si>
    <t>SEAL BLADE 23-1/8" TEF CF-1, J08-1068-004</t>
  </si>
  <si>
    <t>JAW SUPPORT-HK, N05-1055-001</t>
  </si>
  <si>
    <t>JAW SUPPORT-HK WITH SLOT, N05-1054-001</t>
  </si>
  <si>
    <t>SLOTTED PLATES FOR SHANKLIN HEATING TUNNEL</t>
  </si>
  <si>
    <t>YS BELT 1867MM FOR CARTON SEALER</t>
  </si>
  <si>
    <t>CABLE INDRAMAT IKG0112</t>
  </si>
  <si>
    <t>SQUARE HEAD BOLT 10 X 50 MM</t>
  </si>
  <si>
    <t>SPUR GEAR, R120.029.410 (N.O.T = 29)</t>
  </si>
  <si>
    <t>COMPRESSION SPRING, WIRE DIA=1.5MM, OD=10MM, ID=7MM, L=48MM</t>
  </si>
  <si>
    <t>PIN FOR 15-3117 RUBBER ROLLS</t>
  </si>
  <si>
    <t>HEATING CONTACTOR K 4.341.45 (24V, 12AMP)</t>
  </si>
  <si>
    <t>SPECIAL WASHER FOR RUBBER ROLL PIN</t>
  </si>
  <si>
    <t>SETTING GAUGE FOR VACUUM CYLINDER, V 79.23.036.0</t>
  </si>
  <si>
    <t>SETTING GAUGE FOR THE FEED, V 79.23.229.0</t>
  </si>
  <si>
    <t>TONGUE V79.06.768.0</t>
  </si>
  <si>
    <t>VACUUM BUSHING FOR PERFORATED HOLE ROLLER</t>
  </si>
  <si>
    <t>BUSHING FOR RUBBER ROLLER HOLDER, ID=8MM, OD=10MM, L=6.5MM</t>
  </si>
  <si>
    <t>SET OF BRONZE BUSHING FOR FLAP GUM ROLLER (QTY=2+2), TO BE BORED LATER ON</t>
  </si>
  <si>
    <t>CONTROL VALVE V45.07.074.0</t>
  </si>
  <si>
    <t>PRESSURE SPRING 3.5/15.0/35.0, D0.600.702</t>
  </si>
  <si>
    <t xml:space="preserve">BUSHING FOR CONTROL VALVE, V45.08.242.0 </t>
  </si>
  <si>
    <t>SPUR GEAR R120.090.417(N.O.T = 90)</t>
  </si>
  <si>
    <t>SPUR GEAR, MR 1.2.015.002 (N.O.T = 15)</t>
  </si>
  <si>
    <t>SPUR GEAR, MR 1.2.030.013 (N.O.T = 23)</t>
  </si>
  <si>
    <t>RUBBER ROLLER DIA=58 MM, L=50 MM (60 SHORE) (MV 44.008.0) (L990.00.0116.5) (12287/04)</t>
  </si>
  <si>
    <t>PU COATING ON SCORE ROLL FOR SHAFT # 8, V45.83.022.0 (MV 36.011.0) (DIA=80.3MM, L=525MM, 65 SHORE)</t>
  </si>
  <si>
    <t>RUBBER ROLL DIA=60 MM, L=30 MM, 85 SHORE (ML 14.046.0) (V 45.86.141.0) (126012/06)</t>
  </si>
  <si>
    <t>FLAP SCORE BLADES, V 03.02.435.0 or MV 09.012.0(POS # 12602/25)</t>
  </si>
  <si>
    <t>RUBBER ROLLER DIA=58 MM, L=40 MM (60 SHORE) (MV 44.007.0) (L 990.00.0116.4) (12287/03)</t>
  </si>
  <si>
    <t>BRONZE BUSHING FOR VACUUM VALVE ID=45MM, OD=55MM, L=70MM (UNFINISHED SIZES)</t>
  </si>
  <si>
    <t>SCORE BLADES, MV 10.126.0 (12610/06)</t>
  </si>
  <si>
    <t>BLOWING NOZZLE, PART # V 79.06.260.0 (POS # 12287/31-MV 68.034.0)</t>
  </si>
  <si>
    <t>GUIDE PLATE, V 65.50.799.0 (12604/13-MV 60.126.0)</t>
  </si>
  <si>
    <t>6MM S.S HEX NUT FOR RUBBER ROLLER 15-3115</t>
  </si>
  <si>
    <t>SHOULDER BOLTS, 8MM X 16MMX M6</t>
  </si>
  <si>
    <t>FIBER DISC FOR GLUE APPLICATION (ID=120MM, OD=180MM, T=5MM)</t>
  </si>
  <si>
    <t>TIMING BELT PULLEYS, FOR 32T3100 BELT</t>
  </si>
  <si>
    <t>6MM M.S PLAIN WASHER</t>
  </si>
  <si>
    <t>SQUARE HEAD BOLT 12 X 25 MM</t>
  </si>
  <si>
    <t>L. KEY BOLT 6 X 16 MM FOR 15-3115 RUBBER ROLLS</t>
  </si>
  <si>
    <t>PLATE, PART # V 63.06.868.0</t>
  </si>
  <si>
    <t>PLATE, PART # V 63.06.869.0</t>
  </si>
  <si>
    <t>STOP, PART # V 77.06.330.0</t>
  </si>
  <si>
    <t>BUSHING FOR P&amp;S CYLINDER</t>
  </si>
  <si>
    <t xml:space="preserve">GUIDE PLATE, V 65.50.798.0 </t>
  </si>
  <si>
    <t>CLAMPING HOLDER P/N: V 79.18.881.0 (POS # 12287/24, P/N: MV 86.045.0)</t>
  </si>
  <si>
    <t>ROLLER FOR SHAFT # 11, V45.83.025.0 (ML25.086.0), DIA = 30.3-0.1+0 (HARDNESS = 55-60 SHORE)</t>
  </si>
  <si>
    <t>FIBER STICK FOR GLUE APPLICATION  (H=26MM, T=5MM, L=460MM)</t>
  </si>
  <si>
    <t>TIMING BELT, 32T10-3100</t>
  </si>
  <si>
    <t>ROLLER FOR SHAFT # 20, V45.85.017.0 (ML25.080.0), DIA # 25-0.1+0, HARDNESS = 60 SHORE</t>
  </si>
  <si>
    <t>P/U COATED PERFORATED ROLLER FOR SHAFT # 20, V45.83.0230 (ML 25.081.0), BLACK, 60 SHORE, 29.9-3+0, X 21 X 520 MM (18 HOLES)</t>
  </si>
  <si>
    <t>GUIDE, V59.69.525.0</t>
  </si>
  <si>
    <t>RUBBER ROLL FOR SHAFT # 12 DIA=50.8MM, HARD=40SHORE (V45.83.024.0)</t>
  </si>
  <si>
    <t>PNEUMATIC PUMP, SERIAL NO 1582890-7BAR (SANDPIPER SO5B2PUTPNS000)</t>
  </si>
  <si>
    <t>PNEUMATIC PUMP PART NO D32955 (SMALL SIZE) (GRACO HUSKY 307)</t>
  </si>
  <si>
    <t>SEAL MASTER BEARING, ER-22TC 1 1/2"</t>
  </si>
  <si>
    <t>STEEL DOCTOR BLADE. 217204-1200-0, SIZE 0.0059 X 0.75 X 1200 INCH ROLL</t>
  </si>
  <si>
    <t>MYLAR TRAILING BLADE , 217240-1200-0, SIZE 0.0075 X 1.125 X 1200 INCH ROLL</t>
  </si>
  <si>
    <t>SEAL MASTER BEARINGS, ER-22TC 1 3/8"</t>
  </si>
  <si>
    <t>OUT PUT CARD ELECTRICAL PART NO RA-93078 (FLS # 47096)</t>
  </si>
  <si>
    <t>INPUT CARD ELECTRICAL RA-92903 (FLS # 51403)</t>
  </si>
  <si>
    <t>SCORE ROLL, 20-3113SYS, LO/MO # 13 SYSTEM</t>
  </si>
  <si>
    <t>RUBBER DIAPHRAGM, PU-H29-10, FOR PNEUMO HYDRAULIC TRANDUCER FOR BS 410 (BST P/N: 605934) FOR MOH WEB ALIGNER</t>
  </si>
  <si>
    <t>SWITCH</t>
  </si>
  <si>
    <t>GUIDE FOR MICROSWITCH AT SCORING ROLLER</t>
  </si>
  <si>
    <t>TIMING PULLEY FOR ENCODER</t>
  </si>
  <si>
    <t>SUPPORT MO3923AH</t>
  </si>
  <si>
    <t>SANDPIPER PUMP, PB1/4, TS3PP, McMASTER REF: 4157K72</t>
  </si>
  <si>
    <t>SPLIT SEGMENT, PART-MO-1001-PL</t>
  </si>
  <si>
    <t>SEGMENT, MOH- 40027</t>
  </si>
  <si>
    <t>SEGMENT (15-1146T), PART-MOH-30462</t>
  </si>
  <si>
    <t>PANEL MOUNT TACHOMETER, McMASTER REF: 14215T11</t>
  </si>
  <si>
    <t>SEGMENT MOW30860 - 7.5" X 2-7/8" (15-1378)</t>
  </si>
  <si>
    <t>SEGMENT (UNICAST # 15-1122AT)</t>
  </si>
  <si>
    <t>SEGMENT, MOW-30033 (UNICAST REF: 15-1314T)</t>
  </si>
  <si>
    <t>FLAP GLUE SEGMENT</t>
  </si>
  <si>
    <t>SEGMENT (15-1173T), PART NO 1146L</t>
  </si>
  <si>
    <t>COUNTER, McMASTER REF: 7959T42</t>
  </si>
  <si>
    <t>SEGMENT, PART-MO-4262-&amp;A</t>
  </si>
  <si>
    <t>BITE SEGMENT (MOW30861. 7.5X2-7/8 20* INCH), UNICAST REF: 15-1321</t>
  </si>
  <si>
    <t>FEED ROLL FOR CARRIAGE (1-1/4" X 3/4" X 1-1/2"), MOH-31004</t>
  </si>
  <si>
    <t>FEED ROLL FOR CARRIAGE (1-1/8" X 3/4" X 1-1/2"), MOH-31003</t>
  </si>
  <si>
    <t>FEED ROLL, SW-30417</t>
  </si>
  <si>
    <t>MICRO SWITCH FOR REEL BRAKE, Z15G1308 (15A, 125/250VAC)</t>
  </si>
  <si>
    <t>FEED ROLL, 1.74" X 5/8"  (PART-SYM-34126), 10-1236 (FLS # 46038  ITEM # 5)</t>
  </si>
  <si>
    <t>FEED ROLL, OS-3372</t>
  </si>
  <si>
    <t>FEED ROLL (3.76 X 3/4 INCH. MP2416 NEW), UNICAST REF: 10-1081</t>
  </si>
  <si>
    <t>FEED ROLL, 10-1260</t>
  </si>
  <si>
    <t>RUBBER ROLL (3.50 X 1/2 INCH. MO8424) (8500), UNICAST REF: 10-1082</t>
  </si>
  <si>
    <t>SIDE SCORE TUBE. (MO 2.100 X 6 INCH), UNICAST REF: 10-5000</t>
  </si>
  <si>
    <t>SCORE BLADES FOR MOW</t>
  </si>
  <si>
    <t xml:space="preserve">MOH-30604,  SCORE BLADES WITH DOUBLE BEVEL FOR MOH </t>
  </si>
  <si>
    <t>SCORE BLADES, MOH-30485 FOR MOH</t>
  </si>
  <si>
    <t>TIMING BELT, MOW-20088</t>
  </si>
  <si>
    <t>TIMING BELT (1700H200), PART-MOH-40947</t>
  </si>
  <si>
    <t>TIMING BELT (850H200), PART-MOW-30607</t>
  </si>
  <si>
    <t>TIMING BELT (700H300), PART-MOW-20086</t>
  </si>
  <si>
    <t>TIMING BELT (360H200) (72 TEETH), PART-MOH-10019</t>
  </si>
  <si>
    <t>FLAT BELT FOR FEEDER, 17 X 605 X 2 MM</t>
  </si>
  <si>
    <t>V-BELT A-22</t>
  </si>
  <si>
    <t>TIMING BELT, PART-MOW-30018</t>
  </si>
  <si>
    <t>TIMING BELT FOR MOW (112 TEETH), 420L050</t>
  </si>
  <si>
    <t>FLAT BELT FOR FEEDER, B=210MM, L=1460MM</t>
  </si>
  <si>
    <t>TIMING BELT (450H200), PART-MOH-30193</t>
  </si>
  <si>
    <t>V-BELT A-41</t>
  </si>
  <si>
    <t>DOUBLE SIDE TIMING BELT, 420DL100</t>
  </si>
  <si>
    <t>HABASIT TC-55ER (37 X4000X3MM), PART-MOH-21009 (REFEEDER INNER BELT  (FLS # 43593, ITEM # 21))</t>
  </si>
  <si>
    <t>TIMING BELT, 480H200</t>
  </si>
  <si>
    <t>TIMING BLET, 510L100</t>
  </si>
  <si>
    <t>TIMING BELT, 1000H200</t>
  </si>
  <si>
    <t>ENDLESS BELT, B=38MM, L=1810MM, T=1.4MM FOR MOH P&amp;S CARRIAGE</t>
  </si>
  <si>
    <t>TIMING BELT, 900H150</t>
  </si>
  <si>
    <t>TIMING BELT, 490L150</t>
  </si>
  <si>
    <t>TIMING BELT, 450H150</t>
  </si>
  <si>
    <t>TIMING BELT, 1700H100</t>
  </si>
  <si>
    <t>REX OMEGA COUPLING ELE WE-3 TBWOODS</t>
  </si>
  <si>
    <t>TIMING BELT, 225L050</t>
  </si>
  <si>
    <t>TIMING BELT, 250XL (W=9MM)</t>
  </si>
  <si>
    <t>ENDLESS BELT, B=38MM, L=2320MM, T=1.4MM FOR MOW FOLDING CARRIAGE</t>
  </si>
  <si>
    <t>TIMING BELT, 950H100, PITCH=1/2", L=95"(2413MM), NOT=190</t>
  </si>
  <si>
    <t>TIMING BELT, 960H100, PITCH=1/2", L=96"(2438.4MM), NOT=192</t>
  </si>
  <si>
    <t>TIMING BELT, 1100H100, PITCH=1/2", L=110"(2794MM), NOT=220</t>
  </si>
  <si>
    <t>TIMING BELT, 450H300</t>
  </si>
  <si>
    <t>TIMING BELT, 850H300</t>
  </si>
  <si>
    <t>TIMING BELT, 600H300</t>
  </si>
  <si>
    <t>SHAFT FOR TIMING PULLEY</t>
  </si>
  <si>
    <t>TIMING BELT, PART-EW-70947</t>
  </si>
  <si>
    <t>SEGMENT SHIM (BITE), PART-MOW-30864</t>
  </si>
  <si>
    <t>STEEL CORE FEED ROLL WR-51001, UNICAST : 15-1431</t>
  </si>
  <si>
    <t>ROLLER, PART-MO-1919</t>
  </si>
  <si>
    <t>FEED ROLL, PART-MOH-31373</t>
  </si>
  <si>
    <t>PIN FOR STAGGERING UNIT OF MOH</t>
  </si>
  <si>
    <t>FEED SEGMENT MOW-40232, UNICAST REF: 15-1124T</t>
  </si>
  <si>
    <t>FEED SEGMENT MOW-40147, UNICAST REF: 15-1125T</t>
  </si>
  <si>
    <t>SKID BRUSH, PART: MO-8249AH</t>
  </si>
  <si>
    <t>BELT FOR FOLDING SECTION, B=38 MM, L= 740 MM, T=1.3 MM</t>
  </si>
  <si>
    <t xml:space="preserve">TIRE ASSEMBLY. FEED ROLL, 15-1073 SYS (RA-50222) </t>
  </si>
  <si>
    <t>FEED ROLL WITH KEY</t>
  </si>
  <si>
    <t>CRG ROLL ASSEMBLY, 10-1069 SYS (LO-3607)</t>
  </si>
  <si>
    <t>BONZE BUSHING FOR SUPPORT SHAFT FOR CUTTING HEAD, OD=1-3/4" X ID=1-1/2" X L=1"</t>
  </si>
  <si>
    <t>SHOE, RA-70423</t>
  </si>
  <si>
    <t>PUSHER PIN WITH PLATE, L0-1300/01</t>
  </si>
  <si>
    <t>DRYER CHAIN MASTER LINK, MO-6799</t>
  </si>
  <si>
    <t>ROUND BELT, MO-8256</t>
  </si>
  <si>
    <t>LOWER CONVEYOR BELT FOR MOH DELIVERY TABLE (SIZE: W=300MM, L=6250MM, T=1.4MM)</t>
  </si>
  <si>
    <t>UPPER CONVEYOR BELT FOR MOH DELIVERY TABLE (SIZE: W=330MM, L=650MM, T=1.3MM)</t>
  </si>
  <si>
    <t>RUBBER ROLL (0.875 X 0.50 INCH. MO-818), UNICAST REF: 10-1312A</t>
  </si>
  <si>
    <t>TUBE BRUSH, RA-70335AH</t>
  </si>
  <si>
    <t>ALIGNER PIN RA-71106-SG (UNIVERSAL)</t>
  </si>
  <si>
    <t>MOHW DELIVERY TABLE BELT, B=330, L=6230, T=1.4MM</t>
  </si>
  <si>
    <t>DELIVERY BELT, B=330, L=660, T=1.3MM</t>
  </si>
  <si>
    <t>OLD PARTS</t>
  </si>
  <si>
    <t>SET OF HOLDER FOR CUT-OFF KNIFE</t>
  </si>
  <si>
    <t>STEEL SHAFT FOR SKID BRUSH DRIVE DIA=3/8", L=36", McMASTER: 5947K48 &amp; 1346K13</t>
  </si>
  <si>
    <t>TIMING BELT (540H)</t>
  </si>
  <si>
    <t>SEAL FLAP SCORER BLADE, PART-MOH-30485 (FLS # 46286, ITEM # 11)</t>
  </si>
  <si>
    <t>BEARING 1145 1.3/4CG RHP</t>
  </si>
  <si>
    <t>TIMING PULLEY, 23H200</t>
  </si>
  <si>
    <t>407-3 FLANGE 6 HOLE TATA 30 X 82</t>
  </si>
  <si>
    <t>SOLID STATE TEMPRATURE CONTROLLER, P/N: 4133</t>
  </si>
  <si>
    <t>BEARING,SF 1.1/2 RHP FOR WINDOW CUTTING SECTION (WITH BRACKETS)</t>
  </si>
  <si>
    <t>MODIFIED UNIVERSAL JOINT FOR MOW MACHINE</t>
  </si>
  <si>
    <t>WEG FREQUENCY INVERTER, CFW-08</t>
  </si>
  <si>
    <t>EN-24 SHAFT, DIA = 1", L = 500 MM</t>
  </si>
  <si>
    <t>EN-24 SHAFT, DIA = 1-1/8", L = 500 MM</t>
  </si>
  <si>
    <t>EN-24 SHAFT, DIA = 1-1/4", L = 500 MM</t>
  </si>
  <si>
    <t>EN-24 SHAFT, DIA = 1-3/8", L = 500 MM</t>
  </si>
  <si>
    <t>EN-24 SHAFT, DIA = 1-1/2", L = 500 MM</t>
  </si>
  <si>
    <t>EN-24 SHAFT, DIA = 1-3/4", L = 500 MM</t>
  </si>
  <si>
    <t>EN-24 SHAFT, DIA = 2", L = 500 MM</t>
  </si>
  <si>
    <t>HD SOILD ALUMINUM AIR CHUCK FOR 150MM ID CORE</t>
  </si>
  <si>
    <t>EYE BOLT FOR PRINTING UNIT, 8MM</t>
  </si>
  <si>
    <t>SCORING KNIFE W/O SLOT, P/N: V03.01.306 WOS</t>
  </si>
  <si>
    <t>PULLING SPRING (WIRE DIA=0.5MM, OD=3.2MM, L=1150MM)</t>
  </si>
  <si>
    <t>O-RING FOR SKID BRUSH AT DELIVERY SPIRAL</t>
  </si>
  <si>
    <t>ALIGNER CHAIN PIN, P/N: S327.0029710M</t>
  </si>
  <si>
    <t>ORANGE HANDLE (M10 X 50), McMASTER REF: 60235K86</t>
  </si>
  <si>
    <t>ORANGE HANDLE (M6 X 40 MM), McMASTER REF: 60235K67</t>
  </si>
  <si>
    <t>ORANGE HANDLE (M8 X 50 MM), McMASTER REF: 60235K84</t>
  </si>
  <si>
    <t>ORANGE HANDLE (M4 X 15 MM), McMASTER REF: 60235K73</t>
  </si>
  <si>
    <t>ADJUSTABLE HANDLE FOR M6 X 1 BOLT, McMASTER REF: 60235K62</t>
  </si>
  <si>
    <t>ADJUSTABLE HANDLE FOR M8 X 1.25 BOLT, McMASTER REF: 60235K64</t>
  </si>
  <si>
    <t>ADJUSTABLE HANDLE FOR M10 X 1.5 BOLT, McMASTER REF: 60235K66</t>
  </si>
  <si>
    <t>BIMBO AIR CYLINDER FOR PRINTING UNIT, McMASTER: 6498K222</t>
  </si>
  <si>
    <t>RUBBER ROLLS, N 010.143 (10-1071)</t>
  </si>
  <si>
    <t>GUM PLATE ROLL. 1.417 X 11.85 INCH. (L229.07.0218.0), UNICAST REF: 10-1182</t>
  </si>
  <si>
    <t>270002407 AIR CHUCK 3 INCH</t>
  </si>
  <si>
    <t>UNIVERSAL JOINT SHAFT, FLANGE DIA=75MM, L=255MM, K 1.931.02</t>
  </si>
  <si>
    <t>FLEXIBLE SPIDER COUPLING (GE24/28)</t>
  </si>
  <si>
    <t>TIMMING BELT, N 011.450 (40T5/690)</t>
  </si>
  <si>
    <t>SPIDER FOR GE28/38 COUPLING</t>
  </si>
  <si>
    <t>SNAP RING FOR SCORE BLADES</t>
  </si>
  <si>
    <t>FAIRCHILD VOLUME BOOSTER, CATAOG NO: 20712</t>
  </si>
  <si>
    <t>CHAIN GUIDE</t>
  </si>
  <si>
    <t>GUIDE PULLEY FOR ALIGNER CHAIN</t>
  </si>
  <si>
    <t>SPIDER FOR GE24/28 COUPLING</t>
  </si>
  <si>
    <t>STUD FOR 38R INK CHAMBER</t>
  </si>
  <si>
    <t>COUPLING GE28/38</t>
  </si>
  <si>
    <t>SHOULDER BOLT FOR DELIVERY BELTS</t>
  </si>
  <si>
    <t>FLAT BELT, 1869810/10</t>
  </si>
  <si>
    <t>TIMING BELT FOR ENCODER, McMASTER REF: 6484K124</t>
  </si>
  <si>
    <t>SCORING ROLLER WITH GROOVES (L038.17.0371.0), UNICAST REF: 10-1185-38</t>
  </si>
  <si>
    <t>SEAL GUM ROLL BLUE. (DSPBL GUM L229.07.0222.0), UNICAST REF: 10-1075</t>
  </si>
  <si>
    <t>CERAMIC SQUARE CUTTING BAR. 12 X 12 X 360 MM LONG, B 242.360</t>
  </si>
  <si>
    <t>TIMING BELT, 504L100</t>
  </si>
  <si>
    <t>TIMING PULLEY 8M30HTD, N.O.T = 22</t>
  </si>
  <si>
    <t>TIMING BELT, 345L100</t>
  </si>
  <si>
    <t>CARBIDES BARS 12MM SQ X 13 INCH</t>
  </si>
  <si>
    <t>ROUND CERAMIC BAR 12 MM DIA X 360 MM LONG, B244.360 (10.28.250.00.00)</t>
  </si>
  <si>
    <t>AIR CYLINDER 1" STROKE LENGTH, McMASTER REF: 6498K221</t>
  </si>
  <si>
    <t>TIMING PULLEY 8M30HTD, N.O.T = 44</t>
  </si>
  <si>
    <t>UNIVERSAL JOINT CROSS, SIZE: 30.2 X 80 MM</t>
  </si>
  <si>
    <t>ENDLESS FLAT BELT, B=80MM, L=1330MM, T=2MM</t>
  </si>
  <si>
    <t>METAL SEGMENT</t>
  </si>
  <si>
    <t>UNIVERSAL JOINT CROSS, 30 X 82 MM, LAS-456H</t>
  </si>
  <si>
    <t>TIMING PULLEY 14H100, McMASTER REF: 6495K43</t>
  </si>
  <si>
    <t>HYPERSONIC HYBRID 60 ENGRAVED WITH EZ CLEAN DIAMOND CERAMIC</t>
  </si>
  <si>
    <t>3 X 20 MM, M.S L. KEY BOLT FOR P&amp;S UNIT (STANDARD HEAD)</t>
  </si>
  <si>
    <t>3 X 25 MM, M.S L. KEY BOLT FOR P&amp;S UNIT (STANDARD HEAD)</t>
  </si>
  <si>
    <t>4 X 16 MM, S.S L. KEY BOLT FOR NORDSON UNIT (STANDARD HEAD)</t>
  </si>
  <si>
    <t>4 X 20 MM, S.S L. KEY BOLT FOR NORDSON UNIT (STANDARD HEAD)</t>
  </si>
  <si>
    <t>6 X 35 MM, M.S L. KEY BOLT FOR P&amp;S UNIT (STANDARD HEAD)</t>
  </si>
  <si>
    <t>6 X 40 MM, M.S L. KEY BOLT FOR P&amp;S UNIT (STANDARD HEAD)</t>
  </si>
  <si>
    <t>1/4"-20 X 3/8", M.S LOW HEAD L. KEY BOLT FOR PROFILE KNIFE</t>
  </si>
  <si>
    <t>1/4"-20 X 1/2", M.S LOW HEAD L. KEY BOLT FOR PROFILE KNIFE</t>
  </si>
  <si>
    <t>1/4"-20 X 5/8", M.S LOW HEAD L. KEY BOLT FOR PROFILE KNIFE</t>
  </si>
  <si>
    <t>38/"-24 X 1-3/4", M.S L. KEY BOLT FOR CUT-OFF KNIFE (FULL THREAD) STANDARD HEAD)</t>
  </si>
  <si>
    <t>3/8"-24 X 2", M.S L. KEY BOLT FOR CUT-OFF KNIFE (FULL THREAD) STANDARD HEAD)</t>
  </si>
  <si>
    <t>3 X 30 MM, M.S L. KEY BOLT FOR P&amp;S UNIT (STANDARD HEAD)</t>
  </si>
  <si>
    <t>3/8"-24 X 1-3/4", McMASTER: 90044A157, M.S L. KEY BOLT</t>
  </si>
  <si>
    <t>3/8"-24 X 2", McMASTER: 90044A158, M.S L. KEY BOLT FOR CUT-OFF KNIFE (FULL THREAD)</t>
  </si>
  <si>
    <t>8-32 X 1-1/2", McMASTER: 91251A203, M.S L. KEY BOLT</t>
  </si>
  <si>
    <t>8-32 X 2", McMASTER: 90044A113, M.S L. KEY BOLT</t>
  </si>
  <si>
    <t>10-32 X 1-1/2", McMASTER: 90044A118, M.S L. KEY BOLT</t>
  </si>
  <si>
    <t>10-32 X 2", McMASTER: 90044A120, M.S L. KEY BOLT</t>
  </si>
  <si>
    <t>1/4"-20 X 2", McMASTER: 90044A125, M.S L. KEY BOLT</t>
  </si>
  <si>
    <t>3/16" X 1/2", M.S ROUND HEAD L. KEY BOLT</t>
  </si>
  <si>
    <t>5/16-24 X 1", M.S L. KEY BOLT (STANDARD HEAD)</t>
  </si>
  <si>
    <t>1/4" X 1/2", M.S L. KEY BOLT (STANDARD HEAD)</t>
  </si>
  <si>
    <t>1/4" X 5/8", M.S L. KEY BOLT (STANDARD HEAD)</t>
  </si>
  <si>
    <t>3/8" X 2", M.S L. KEY BOLT (STANDARD HEAD)</t>
  </si>
  <si>
    <t>3/16" X 1/2", M. S L. KEY BOLT (STANDARD HEAD)</t>
  </si>
  <si>
    <t>PLUNGER SCREW</t>
  </si>
  <si>
    <t>JOTUN 4618, EVENING LIGHT (ENAMEL-GLOSS)</t>
  </si>
  <si>
    <t>NATIONAL 800, WHITE (ENAMEL-GLOSS)</t>
  </si>
  <si>
    <t>NATIONAL 890, BLACK (ENAMEL-GLOSS)</t>
  </si>
  <si>
    <t>NATIONAL 809, OFF WHITE (ENAMEL-GLOSS)</t>
  </si>
  <si>
    <t>NATIONAL 440, ROYAL BLUE (ENAMEL-GLOSS)</t>
  </si>
  <si>
    <t>YELLOW (ROAD MARKING)</t>
  </si>
  <si>
    <t>RAL 1028, MELONENGELB (ORANGE-GLOSS)</t>
  </si>
  <si>
    <t>RED OXIDE PRIMER</t>
  </si>
  <si>
    <t>PAINT REMOVER</t>
  </si>
  <si>
    <t>LACQUER THINNER</t>
  </si>
  <si>
    <t>BLACK SPRAY PAINT</t>
  </si>
  <si>
    <t>WHITE SPRAY PAINT</t>
  </si>
  <si>
    <t>RED SPRAY PAINT</t>
  </si>
  <si>
    <t>GREY SPRAY PAINT</t>
  </si>
  <si>
    <t>DISPOSABLE GLOVES</t>
  </si>
  <si>
    <t>NATIONAL 348, YELLOW (ENAMEL-GLOSS)</t>
  </si>
  <si>
    <t>GUARD EPOXY FLOORING TOP COAT, SPECIAL RAL-7035 (CODE: A047SAMSP4L)</t>
  </si>
  <si>
    <t>GUARD EPOXY FLOORING TOP COAT, SPECIAL RAL-1003 (CODE: A047SAMSP4L)</t>
  </si>
  <si>
    <t>GUARD EPOXY FLOORING TOP COAT, SPECIAL RAL-5007 (CODE: A047SAMSP4L)</t>
  </si>
  <si>
    <t>GUARD EPOXY FLOORING TOP COAT, SPECIAL RAL-7042 (CODE: A047SAMSP4L)</t>
  </si>
  <si>
    <t>GUARD EPOXY HARDNER (CODE: A038HRDNR1L)</t>
  </si>
  <si>
    <t>MASTERTILE P302 (PRIMER)</t>
  </si>
  <si>
    <t>MASTERBRACE ADH2200</t>
  </si>
  <si>
    <t>MASTERTOP 528</t>
  </si>
  <si>
    <t>MASTERTOP 538</t>
  </si>
  <si>
    <t>MASTERTOP 1210CP</t>
  </si>
  <si>
    <t>MASTERSEAL NP473U (CONCRETE GREY RAL-7004)</t>
  </si>
  <si>
    <t>SPONGE (MASONRY) SKU: MSP</t>
  </si>
  <si>
    <t>TAPE DISPENSER</t>
  </si>
  <si>
    <t>FINE GRADE, GRINDING PASTE</t>
  </si>
  <si>
    <t>MEDIUM GRADE, GRINDING PASTE</t>
  </si>
  <si>
    <t>TWINE (THREAD)</t>
  </si>
  <si>
    <t>ARALDITE EPOXY (BLACK + WHITE)</t>
  </si>
  <si>
    <t>COARSE GRADE, GRINDING PASTE</t>
  </si>
  <si>
    <t>DUST MASK</t>
  </si>
  <si>
    <t>OATEY CEMENT FOR PVC</t>
  </si>
  <si>
    <t>OATEY CLEANER FOR PVC</t>
  </si>
  <si>
    <t>BOSS GLUE FOR PIPE THREAD</t>
  </si>
  <si>
    <t>DUCT TAPE 2 INCH</t>
  </si>
  <si>
    <t>PTFE TEFLON TAPE FOR THREAD SEALING</t>
  </si>
  <si>
    <t>BISON KIT TUBE</t>
  </si>
  <si>
    <t>RUBBER ROLLS N010.022 (TA REF: CT.05B), UNICAST : 15-3114</t>
  </si>
  <si>
    <t>RUBBER ROLLS N010.010, UNICAST REF: 15-3112</t>
  </si>
  <si>
    <t>RUBBER ROLLS, N 010.052</t>
  </si>
  <si>
    <t>RUBBER ROLLS, N010.031, UNICAST REF: 15-3115</t>
  </si>
  <si>
    <t>RUBBER ROLLS, 15-2031</t>
  </si>
  <si>
    <t>RUBBER ROLLS N 010.060 (UNICAST REF: 15-3120) (TA REF: CT.11B)</t>
  </si>
  <si>
    <t>RUBBER ROLLS, N 010.024</t>
  </si>
  <si>
    <t>RUBBER ROLLS, N010.030, UNICAST REF: 15-3117</t>
  </si>
  <si>
    <t>RUBBER ROLLS, N 010.025</t>
  </si>
  <si>
    <t>RUBBER ROLLS, N 010.040, UNICAST REF: 15-3304</t>
  </si>
  <si>
    <t>RUBBER ROLLS, N 010.010</t>
  </si>
  <si>
    <t>RUBBER ROLLS N 010.232. (1.980"X0.985"), 10-1148</t>
  </si>
  <si>
    <t>RUBBER ROLLS, UNICAST REF: 15-1070 SYS</t>
  </si>
  <si>
    <t>RUBBER ROLLS (DISP . TIRE/BRNG), N 010.005 (UNICAST REF: 15-3111)</t>
  </si>
  <si>
    <t>RUBBER ROLLS (DISP . TIRE/BRNG) (TA REF: CT.09B), N 010.050 (UNICAST REF: 15-3118)</t>
  </si>
  <si>
    <t>RUBBER ROLLS 1.590 X 1.575 INCH, N010.215 (UNCAST REF: 10-1147)</t>
  </si>
  <si>
    <t>RUBBER ROLLER, 15-1312 SYS</t>
  </si>
  <si>
    <t>RUBBER ROLL N 010.251, P/N: 10-1200A</t>
  </si>
  <si>
    <t>RUBBER ROLL, P/N: 15-1119</t>
  </si>
  <si>
    <t>RUBBER ROLL N 010.132, P/N: 10-1079</t>
  </si>
  <si>
    <t>RUBBER ROLL N 010.140, P/N: 10-1016</t>
  </si>
  <si>
    <t>RUBBER ROLL L 527.00.0218.1, P/N: 10-1297</t>
  </si>
  <si>
    <t>SINGLE ACTING PIN CYLINDER (MICRO CYLINDER), MW-W1000100010 (CRTC-010-0010) (0904 QC21)</t>
  </si>
  <si>
    <t>MECHANICAL VALVE (5/2), MV-08</t>
  </si>
  <si>
    <t>MECHANICAL VALVE (3/2), JM-05</t>
  </si>
  <si>
    <t>MEDIUM SIZE COVERALL, HALF SLEEVE, NAVY BLUE, WORK MASTER</t>
  </si>
  <si>
    <t>LARGE SIZE, COVERALL, HALF SLEEVE, NAVY BLUE, WORK MASTER</t>
  </si>
  <si>
    <t>XL SIZE, COVERALL, HALF SLEEVE, NAVY BLUE, WORK MASTER</t>
  </si>
  <si>
    <t>2XL SIZE, COVERALL, HALF SLEEVE, NAVY BLUE, WORK MASTER</t>
  </si>
  <si>
    <t>3XL SIZE, COVERALL, HALF SLEEVE, NAVY BLUE, WORK MASTER</t>
  </si>
  <si>
    <t>4XL SIZE, COVERALL, HALF SLEEVE, NAVY BLUE, WORK MASTER</t>
  </si>
  <si>
    <t>SAFETY SHOE # 39 (VOULTEX)</t>
  </si>
  <si>
    <t>SAFETY SHOE # 40 (VOULTEX)</t>
  </si>
  <si>
    <t>SAFETY SHOE # 41 (VOULTEX)</t>
  </si>
  <si>
    <t>SAFETY SHOE # 42 (VOULTEX)</t>
  </si>
  <si>
    <t>SAFETY SHOE # 43 (VOULTEX)</t>
  </si>
  <si>
    <t>SAFETY SHOE # 44 (VOULTEX)</t>
  </si>
  <si>
    <t>SAFETY SHOE # 45 (VOULTEX)</t>
  </si>
  <si>
    <t>SMALL SIZE SHIRT</t>
  </si>
  <si>
    <t>MEDIUM SIZE SHIRT</t>
  </si>
  <si>
    <t>RIDGID REF: 47780, HSS THREAD DIE, SIZE: 1/4" TO 3/8" NPT, RIGHT HAND</t>
  </si>
  <si>
    <t>RIDGID REF: 47745, ALLOY STEEL THREAD DIE, SIZE: 1/2" TO 3/4" NPT, RIGHT HAND</t>
  </si>
  <si>
    <t>RIDGID REF: 47790, HSS THREAD DIE, SIZE: 1" TO 2" NPT, RIGHT HAND</t>
  </si>
  <si>
    <t>RIDGID REF: 66665, ALLOY STEEL THREAD DIE, SIZE: 1/2" TO 3/4" BSPT, RIGHT HAND</t>
  </si>
  <si>
    <t>RIDGID REF: 66670, ALLOY STEEL THREAD DIE, SIZE: 1" TO 2" BSPT, RIGHT HAND</t>
  </si>
  <si>
    <t>M.S MIG WIRE 0.8MM</t>
  </si>
  <si>
    <t>TIE CLIP FOR SEALING OF FIRST AID BOX</t>
  </si>
  <si>
    <t>L-SQUARE HEAD SOCKET WRENCH, K7.610.74</t>
  </si>
  <si>
    <t>HIGH PRESSURE SWITCH FOR WATER FILTRATION SYSTEM</t>
  </si>
  <si>
    <t>AIR GUN NOZZLE FOR CHUCK</t>
  </si>
  <si>
    <t>POCKET SIZE TORCH</t>
  </si>
  <si>
    <t>TOOTH BRUSH</t>
  </si>
  <si>
    <t>KEY BOX</t>
  </si>
  <si>
    <t>GLASS FOR KEY BOX</t>
  </si>
  <si>
    <t>TRANSFORMER FOR PACKAGE UNIT AC, FLOTEK HCTY09E0AA03252N</t>
  </si>
  <si>
    <t>RHEEM CONTROL BOARD FOR SLNL085 179509, P/N: 47-102884-01 (ITEM # 91529)</t>
  </si>
  <si>
    <t>FLOTEK TRANSFORMER 415/440-24V (DO # 319716-SHR2), ITEM # 93027</t>
  </si>
  <si>
    <t>NORTON GRINDING WHEEL, 10 X 1 X 3, UPC NO: 66253138903, 32AA46-IVTR, 109180541 4/14, 2485 RPM</t>
  </si>
  <si>
    <t>OLD POWER PACK UNIT FOR SHEETER</t>
  </si>
  <si>
    <t>SHIM 0.005" THICK FOR GLUE NOZZLE (175MM NOTCH CUT)</t>
  </si>
  <si>
    <t>SHIM 0.005" THICK FOR GLUE NOZZLE (125MM NOTCH CUT)</t>
  </si>
  <si>
    <t>NORDSON 403376, SOLENOID VALVE 3/2 WAYS 24V/8.5</t>
  </si>
  <si>
    <t xml:space="preserve">P/N: 7189143, COATING NOZZLE FOR MOH </t>
  </si>
  <si>
    <t>VITON O-RING 3 X 30 MM FOR TANK FILTER</t>
  </si>
  <si>
    <t>NORDSON 7106952, CYLINDER EP 10</t>
  </si>
  <si>
    <t>P/N: 253554, WASHER, 6.5 X 10 X 2</t>
  </si>
  <si>
    <t>P/N: 316848, O-RING, 17-0.5+0X2.5+MAX0.16</t>
  </si>
  <si>
    <t>P/N: 316681, FILTER CARTRIDGE MWO, 08f.EP51</t>
  </si>
  <si>
    <t>P/N: 319555, NOZZLE STEM EP10, D6.0MM</t>
  </si>
  <si>
    <t>NORDSON GLUE NOZZLE REWORKED FOR MO MACHINE</t>
  </si>
  <si>
    <t>18-8 SS SHIM 0.15 X 150 X 1250 MM, McMASTER: 95055K15</t>
  </si>
  <si>
    <t>18-8 SS SHIM 0.20 X 150 X 1250 MM, McMASTER: 95055K17</t>
  </si>
  <si>
    <t>NORDSON REF: ID 7127711 (MS), SHIM FOR MO P&amp;S GLUE MODULE</t>
  </si>
  <si>
    <t>P/N: 401878, SCREW PLUG</t>
  </si>
  <si>
    <t>P/N: 319977, SCREW</t>
  </si>
  <si>
    <t>NORDSON REF: 319979, MODULAR CARTRIDGE EP10</t>
  </si>
  <si>
    <t>NORDSON REF: 7106954, COVER EP10</t>
  </si>
  <si>
    <t>SPARE HOTMELT TANK (STS)</t>
  </si>
  <si>
    <t>P/N: 1518, SPRING FOR PISTON &amp; NEEDLE ASSEMBLY</t>
  </si>
  <si>
    <t>P/N: 1602, HA2 MODULE BODY</t>
  </si>
  <si>
    <t>P/N: 1671-005, 12" LONG BRASS SHIM FOR HOT MELT</t>
  </si>
  <si>
    <t>P/N: 1558-08, P/N: 1588-08, 8" APPLICATOR AIR LINE ASSEMBLY, 1/8" FITTINGS</t>
  </si>
  <si>
    <t>P/N: 3201, #8-32 X 1" SOCKET HEAD CAP SCREW FOR MODULE</t>
  </si>
  <si>
    <t>SPECIAL THREAD TAP 3/4"-24, McMASTER REF: 2595A367</t>
  </si>
  <si>
    <t>P/N: S-0109T, PARKER SUPER LUBE FOR O-RING LUBRICATION. SILICONE BASE. 2oz</t>
  </si>
  <si>
    <t>P/N: 4063, 400F OVER-TEMPRATURE SENSOR, WHITE LEADS</t>
  </si>
  <si>
    <t>P/N: 4047, MALE 9-PIN PLUG FOR HOT MELT TANK HOSE</t>
  </si>
  <si>
    <t>P/N: 1318, MAC 24VDC SOLENOID VALVE ASSEMBLY (MODEL: 35A-AAA-DDFJ-1JB, WATT=12.7)</t>
  </si>
  <si>
    <t>P/N: 1609, HA2 ONE MODULE HEATER BODY, SN: 133242 (FOR CARTON)</t>
  </si>
  <si>
    <t>P/N: 788XX553, WHEEL FOR ROTARY ENCODER</t>
  </si>
  <si>
    <t>P/N: 3510, VITON O-RING, 015 FOR FLOW VALVE ADJUSTER</t>
  </si>
  <si>
    <t>P/N: 3507, VITON O-RING, 037 FOR PUMP BODY SEALING</t>
  </si>
  <si>
    <t>T=0.5 x W=10 x L=250 MM, SHIM FOR #38PS-5001-C P&amp;S KNIFE</t>
  </si>
  <si>
    <t xml:space="preserve">P/N: 3521, VTION O-RING, 145 FOR PUMP </t>
  </si>
  <si>
    <t>P/N: 3522, VITON O-RING, 016 FOR VALVE BODY GROOVE</t>
  </si>
  <si>
    <t>P/N: 3519, VITON O-RING, 119 FOR FILTER HEX NUT</t>
  </si>
  <si>
    <t>P/N: 155XX304, VALCO ENCODER VDD-1000 (SERIAL NO 1790879)</t>
  </si>
  <si>
    <t>P/N # 38PS-5000, P&amp;S TOP KNIFE FOR 38R (LIMIT MAX: 0.870" TO MIN: 0.679")</t>
  </si>
  <si>
    <t>P/N: 4048, FEMALE 9-PIN PLUG FOR HOT MELT TANK</t>
  </si>
  <si>
    <t>P/N: 3512, VITON O-RING, 008 FOR VALVE BODY SEALING</t>
  </si>
  <si>
    <t>P/N: 3514, VITON O-RING, 006 FOR AIR SWIRL</t>
  </si>
  <si>
    <t>P/N: 3520, VITON O-RING, 111 FOR PISTON &amp; NEEDLE ASSEMBLY</t>
  </si>
  <si>
    <t>P/N: 3503, VITON O-RING, 104 FOR NEEDLE SEAL RETAINER</t>
  </si>
  <si>
    <t>P/N: 3515, VITON O-RING, 013 FOR SEAL RETAINER GROOVE</t>
  </si>
  <si>
    <t>P/N: 3509, VITON O-RING, 014 FOR SPRAY NOZZLE ADAPTER GROOVE</t>
  </si>
  <si>
    <t>P/N: 3511, VITON O-RING, 010 FOR SPRAY ORIFICE NOZZLE SEALING</t>
  </si>
  <si>
    <t>P/N: 38PS-5001-C, P&amp;S BOTTOM KNIFE WITH CARBIDE TIP FOR 38R (LIMIT MAX: 0.960" TO MIN: 0.980")</t>
  </si>
  <si>
    <t>P/N: 2426, DRIVE SHAFT WITH 2032 SPRING RETAINER FOR 2400 SERIES</t>
  </si>
  <si>
    <t>P/N: 1628-015, SPRAY NOZZLE. 0.015" ORIFICE</t>
  </si>
  <si>
    <t>P/N: 2381, HIGH PRESSURE PUMP ASSEMBLY FOR STS SERIES</t>
  </si>
  <si>
    <t>P/N: 4071, 300 F  LOW TEMPERATURE LOCK-OUT SENSOR, BROWN LEADS</t>
  </si>
  <si>
    <t>P/N: 4348, 350 F LOW TEMPERATURE LOCK-OUT SENSOR, YELLOW LEADS</t>
  </si>
  <si>
    <t>P/N: 2129, MOTOR KIT, 1/5 HP, 115RPM, 115/230V, 50/60Hz, WITH CAPACITOR, WITH P/N: 2132 (230V MOTOR UPGRADE KIT FOR CHANGING FROM P/N: 2097 TO P/N: 2125 MOTOR)</t>
  </si>
  <si>
    <t>P/N: 4359, HEATER, 230V, 350W</t>
  </si>
  <si>
    <t>P/N: 2105 + 2106 + 3130, COUPLING BODY 0.625" ID &amp; 0.750" ID AND KEY</t>
  </si>
  <si>
    <t>P/N: 3178-375, BUSHING FOR 2400 SERIES MELT UNITS, 0.375" LONG</t>
  </si>
  <si>
    <t>P/N: 3255, TEFLON SHAFT SEAL</t>
  </si>
  <si>
    <t>P/N: 4133, SOLID STATE TEMPERATURE CONTROLLER</t>
  </si>
  <si>
    <t>FUSE HOLDER FOR STS TANK</t>
  </si>
  <si>
    <t>P/N: SM312D, BANNER MINI-BEAM PHOTO SENSOR</t>
  </si>
  <si>
    <t>P/N: 707XX441, REBUILD KIT FOR 12VDC VALVE</t>
  </si>
  <si>
    <t>P/N: 707XX442, REBUILD KIT FOR 24VDC VALVE</t>
  </si>
  <si>
    <t>P/N: 704XX796, 12VDC COIL FOR SOLENOID VALVE</t>
  </si>
  <si>
    <t>P/N: 794XX264, NOZZLE CLEANING FILE 0.012" (F15)</t>
  </si>
  <si>
    <t>P/N: 085XX244, FUSE 125 V (F 2A)</t>
  </si>
  <si>
    <t>P/N: 280XX191, SCANNER WITH M12 CONNECTOR</t>
  </si>
  <si>
    <t>P/N: 707XX073, CERAMIC SEAT 0.30MM</t>
  </si>
  <si>
    <t>P/N: 704XX554, PLUNGER WITH CERAMIC TIP</t>
  </si>
  <si>
    <t>P/N: 411XX066, SOLENOID VALVE FOR VALCO DIAPHRAGM PUMP (111B-611CAAA), 24VDC, 8.5 WATT</t>
  </si>
  <si>
    <t>P/N: 030XX594, CONNECTOR CABLE FOR SCANNER, 4 METER</t>
  </si>
  <si>
    <t>P/N: 030XX625, 4 METER ELECTRIC CABLE WITH CONNECTORS FOR VALVE</t>
  </si>
  <si>
    <t>P/N: 085XX005, FUSE 250 V (F 1A)</t>
  </si>
  <si>
    <t>P/N: 085XX040, FUSE 250 V (F 2A)</t>
  </si>
  <si>
    <t>P/N: 745XX948, FLAT SEAL</t>
  </si>
  <si>
    <t>P/N: 745XX113, O-RING</t>
  </si>
  <si>
    <t>P/N: 746XX088, O-RING</t>
  </si>
  <si>
    <t>P/N: 745XX340, RING</t>
  </si>
  <si>
    <t>P/N: 793xx727, SPRING, 12VDC</t>
  </si>
  <si>
    <t>P/N: 704XX348, FLUX WASHER</t>
  </si>
  <si>
    <t>P/N: 299XX478, PNEUMATIC FITTING</t>
  </si>
  <si>
    <t>P/N: 752XX028, QUICK DISCONNECT ASSEMBLY</t>
  </si>
  <si>
    <t>P/N: 030XX631, ENCODER CABLE 4M, 8-PIN DIN</t>
  </si>
  <si>
    <t>P/N: 085XX255, FUSE FOR VALCO DIAPHRAGM PUMP</t>
  </si>
  <si>
    <t>P/N: 085XX208, FUSE</t>
  </si>
  <si>
    <t>P/N: 750XX009, VALCO MALE ADAPTER</t>
  </si>
  <si>
    <t>P/N: 703XX418, VALCO VALVE</t>
  </si>
  <si>
    <t>P/N: 561XX171, REBUILT KIT FOR VALCO PUMP</t>
  </si>
  <si>
    <t>P/N: 030XX632, 8 METER DIN-8 CABLE</t>
  </si>
  <si>
    <t>TEFLON BALL FOR VALCO PRESSURE REGULATOR, DIA=10MM</t>
  </si>
  <si>
    <t>P/N: 704XX553, NOZZLE BODY ASSEMBLY</t>
  </si>
  <si>
    <t>VALCO NOZZLE, VALVE # 10</t>
  </si>
  <si>
    <t>P/N: MR-ENCBL5M-H, MITSUBISHI ENCODER CABLE 5M</t>
  </si>
  <si>
    <t>PLC, VERSA MAX, IC200UDR005-BA, GE FANUC</t>
  </si>
  <si>
    <t>MITSUBISHI AC SERVO DRIVE (POWER 1 KW, 5A), MODEL : MR-J2S-100A</t>
  </si>
  <si>
    <t>CABLE FOR REFLECTOR, 6897K86 (McMaster)</t>
  </si>
  <si>
    <t>P/N: T10-1420, TOOTHED BELT, PITCH=10MM, WIDTH=25MM, N.O.T=142, L=1420MM</t>
  </si>
  <si>
    <t>P/N: T10-2100, TOOTHED BELT, WIDTH=50MM, PITCH=10MM N.O.T=210, L=2100MM (W+D REF: K1.824.26)</t>
  </si>
  <si>
    <t>FLAT BELT, W=8MM, L=9650MM (HABASIT MAT: XVT-2237, CHARGE: STANDARD 3005474-22)</t>
  </si>
  <si>
    <t>MODIFIED RUBBER ROLLS (15-3117)</t>
  </si>
  <si>
    <t>MODIFIED RUBBER ROLLS (15-3115)</t>
  </si>
  <si>
    <t>TOP &amp; BOTTOM FLAP SCORE BLADES</t>
  </si>
  <si>
    <t>P/N: L 0007023200, BRONZE GUM SEGMENTS</t>
  </si>
  <si>
    <t>P/N: L 0007123200, BRONZE GUM SEGMENTS</t>
  </si>
  <si>
    <t>P/N: T10-500, TOOTHED BELT, PITCH=10MM, WIDTH=25MM, N.O.T=50, L=500MM (W&amp;D REF: N 011.515)</t>
  </si>
  <si>
    <t>P/N: V 03.00.039.0AH, SIDE SCORE BLADES (ALSO SEE IN J-3-30)</t>
  </si>
  <si>
    <t>PVC HEAT SHRINK SLEEVE, WIDTH=95MM, FOR BOTTOM FLAP GUM ROLLER</t>
  </si>
  <si>
    <t>TIMING BELT T10-1420, 25MM WIDTH</t>
  </si>
  <si>
    <t>W&amp;D REF:  L 249.00.2540.0, ROLLER 324, DIA=108.2MM, W=40MM, HARD=70SHORE</t>
  </si>
  <si>
    <t>W&amp;D REF:  L 249.00.2536.0, ROLLER</t>
  </si>
  <si>
    <t>W&amp;D REF: L 249.00.2537.0, ROLLER</t>
  </si>
  <si>
    <t>ROLLER (MIGHT BE P-2-1)</t>
  </si>
  <si>
    <t>COVER PLATE FOR CERAMIC BAR HOLDER (SMALL SIZE)</t>
  </si>
  <si>
    <t>REF: 63160250, COVER PLATE FOR CERAMIC BAR HOLDER (LONG SIZE)</t>
  </si>
  <si>
    <t>GUIDE</t>
  </si>
  <si>
    <t>W&amp;D REF: L 126.07.2500.0, RUBBER ROLL (TA REF: CT.15B) (UNICAST REF: 15-3116)</t>
  </si>
  <si>
    <t>W&amp;D REF: L 249.00.2527.0, RUBBER ROLL (TA REF: CT.16B) (UNICAST REF: 15-3117A)</t>
  </si>
  <si>
    <t>W&amp;D REF: N 010.051, RUBBER ROLL (TA REF: CT.10B) (UNICAST REF: 15-3119)</t>
  </si>
  <si>
    <t>W&amp;D REF: N 010.020, RUBBER ROLL (TA REF: CT.4B) (UNICAST REF: 15-3113)</t>
  </si>
  <si>
    <t>W&amp;D REF: L 249.00.2530.1, SCORE ROLL, 60A, DIA=83MM, ONE GROOVE (UNICAST REF: 10-1187)</t>
  </si>
  <si>
    <t>W&amp;D REF: L 249.00.2544.0, FEED ROLL 2.165X1.575 (UNICAST REF: 10-1150)</t>
  </si>
  <si>
    <t>W&amp;D REF: L 249.00.2504.0, FEED ROLL 2.165X0.935, 60A (UNICAST REF: 10-1151)</t>
  </si>
  <si>
    <t>W&amp;D REF: L 397.00.6106.0, BRUSH (UNICAST REF: 15-1564)</t>
  </si>
  <si>
    <t>METAL SEGMENT PLATE</t>
  </si>
  <si>
    <t>W&amp;D REF: V 05.65.032.5, SOLID SEPARATION KNIFE, TRAPEZOID, DIA=156, (8.91)(T0084)</t>
  </si>
  <si>
    <t>W&amp;D REF: V 05650815, SOLID SEPARATION KNIFE, TRAPEZOID, DIA=155, (04.14)</t>
  </si>
  <si>
    <t>HOLDER ASSEMBLY FOR SCORE BLADE</t>
  </si>
  <si>
    <t>REF: L000.70.90.210, BRONZE GLUE STICK</t>
  </si>
  <si>
    <t>REF: L000.70.90.195, BRONZE GLUE STICK</t>
  </si>
  <si>
    <t>RUBBER ROLL CARRAIGE</t>
  </si>
  <si>
    <t>(MODIFY REF: V 05.65.047.5), SOLID SEPARATION KNIFE, DIA=155MM</t>
  </si>
  <si>
    <t>200-DSTT-1810, 3M SCOTCH DOUBLE SIDE TAPE, WIDE=18MM, L=10YDS</t>
  </si>
  <si>
    <t>STATIONARY KNIFE FOR P&amp;S UNIT, WITH CARBIDE TIP</t>
  </si>
  <si>
    <t>ROTARY KNIFE FOR P&amp;S UNIT, WITH CARBIDE TIP, W+D REF: S 249.41.0106.0</t>
  </si>
  <si>
    <t>W&amp;D REF: V 29.85.120.0 (001)(696), VACUUM SEGMENT</t>
  </si>
  <si>
    <t>W&amp;D REF: V 29.85.120.0 (002)(696), VACUUM SEGMENT</t>
  </si>
  <si>
    <t>REF: V00R260A, ADJUSTMENT SPACER</t>
  </si>
  <si>
    <t>ADJUSTMENT SPACER</t>
  </si>
  <si>
    <t>ACCENTRIC BUSHING</t>
  </si>
  <si>
    <t>REF: R12.00.4541.9, ACCENTRIC BUSHING</t>
  </si>
  <si>
    <t>UNIVERSAL JOINT ASSEMBLY</t>
  </si>
  <si>
    <t>REF: V55223470, PAPER GUIDE</t>
  </si>
  <si>
    <t>REF: V55223480, PAPER GUIDE</t>
  </si>
  <si>
    <t>REF: V79147240, PAPER GUIDE</t>
  </si>
  <si>
    <t>REF: 78992050, PAPER GUIDE</t>
  </si>
  <si>
    <t>REF: L000.70.56.415, GUM ROLL</t>
  </si>
  <si>
    <t>REF: L000.70.50.280, GUM ROLL</t>
  </si>
  <si>
    <t>REF: L000.70.50.220, GUM ROLL</t>
  </si>
  <si>
    <t>REF: L000.70.50.250, GUM ROLL</t>
  </si>
  <si>
    <t>REF: L000.70.50.195, GUM ROLL</t>
  </si>
  <si>
    <t>REF: L000.70.56.090, LATEX SEAL GUM ROLL</t>
  </si>
  <si>
    <t>REF: L000.71.54.288, LATEX SEAL GUM ROLL</t>
  </si>
  <si>
    <t>TA TECHNIK REF: SG249, LATEX SEAL GUM ROLL</t>
  </si>
  <si>
    <t>REF: 29850420, GUM HOLDER WITH BRONZE PAD (L000.70.90.140)</t>
  </si>
  <si>
    <t>REF: 03050770, CERAMIC BAR HOLDER WITH CERAMIC BAR (SMALL SIZE)</t>
  </si>
  <si>
    <t>REF: L249.00.6128.0, CERAMIC BAR HOLDER WITH CERAMIC BAR (LONG SIZE)</t>
  </si>
  <si>
    <t>REF: L 249.99.1378.0, SOLID PROFILE KNIFE WITH CYLINDER, SIZE: FG229X324, DIA=155MM (8.89)</t>
  </si>
  <si>
    <t>REF: L249.97.1284.0, SOLID PROFILE KNIFE WITH CYLINDER, SIZE: 229X324, DIA=156MM (5.0) (V 01.30.284.5) (3191148)</t>
  </si>
  <si>
    <t>REF: 249.97.1396.0, SOLID PROFILE KNIFE WITH CYLINDER, SIZE: 262X371, DIA=140MM (7.07) (3817052)</t>
  </si>
  <si>
    <t>REF: L 249.99.1273.0, SOLID PROFILE KNIFE WITH CYLINDER, SIZE: 165X260, DIA=101MM (7.86) (V 01.31.273.1) (V 01.31.273.0)</t>
  </si>
  <si>
    <t>REF: L 249.97.1205.0, SOLID PROFILE KNIFE WITH CYLINDER, SIZE: FG229X324, DIA=125MM (2.07)</t>
  </si>
  <si>
    <t>REF: 249.99.1272.0, SOLID PROFILE KNIFE WITH CYLINDER, SIZE: FG156X220, DIA=88MM (7.86)</t>
  </si>
  <si>
    <t>REF: L 249.99.1265.0, SOLID PROFILE KNIFE WITH CYLINDER, SIZE: FG262X271, DIA=140MM (5.88) (V 01.30.265.0)</t>
  </si>
  <si>
    <t>REF: L 249.97.1205.0, SOLID PROFILE KNIFE WITH CYLINDER, SIZE: FG229X324, DIA=125MM (6.97)</t>
  </si>
  <si>
    <t>REF: L 249.97.1271.0, SOLID PROFILE KNIFE WITH CYLINDER, SIZE: 240X340, DIA=130MM (7.99) (21351)</t>
  </si>
  <si>
    <t>REF: R1.20.066.409, SPUR GEAR, NOT=66</t>
  </si>
  <si>
    <t>REF: R1.20.072.405, SPUR GEAR, NOT=72</t>
  </si>
  <si>
    <t>REF: R1.20.054.413, SPUR GEAR, NOT=54</t>
  </si>
  <si>
    <t>REF: R1.20.063.402, SPUR GEAR, NOT=63</t>
  </si>
  <si>
    <t>REF: R1.30.037.401, SPUR GEAR, NOT=37</t>
  </si>
  <si>
    <t>REF: R1.30.043.400, SPUR GEAR, NOT=43</t>
  </si>
  <si>
    <t>REF: R1.20.048.410, SPUR GEAR, NOT=48</t>
  </si>
  <si>
    <t>REF: R2.15.155.800, HELICAL GEAR, NOT=155</t>
  </si>
  <si>
    <t>REF: R2.10.101.400, HELICAL GEAR, NOT=101</t>
  </si>
  <si>
    <t>REF: R2.15.101.800, HELICAL GEAR, NOT=101</t>
  </si>
  <si>
    <t>REF: R2.10.088.400, HELICAL GEAR, NOT=88</t>
  </si>
  <si>
    <t>REF: R2.10.155.400, HELICAL GEAR, NOT=155</t>
  </si>
  <si>
    <t>REF: R2.10.101.404, HELICAL GEAR, NOT=101</t>
  </si>
  <si>
    <t>REF: R2.10.155.401, HELICAL GEAR, NOT=155</t>
  </si>
  <si>
    <t>REF: R2.30.038.408, HELICAL GEAR, NOT=38</t>
  </si>
  <si>
    <t>REF: R2.30.038.413, HELICAL GEAR, NOT=38</t>
  </si>
  <si>
    <t>REF: R2.10.130.400, HELICAL GEAR, NOT=130</t>
  </si>
  <si>
    <t>REF: R2.10.130.401, HELICAL GEAR, NOT=130</t>
  </si>
  <si>
    <t>REF: R2.15.130.800, HELICAL GEAR, NOT=130</t>
  </si>
  <si>
    <t>REF: R2.15.088.800, HELICAL GEAR, NOT=88</t>
  </si>
  <si>
    <t>REF: R2.10.140.401, HELICAL GEAR. NOT=140</t>
  </si>
  <si>
    <t>REF: R2.10.140.400, HELICAL GEAR, NOT=140</t>
  </si>
  <si>
    <t>REF: R2.15.140.800, HELICAL GEAR, NOT=140</t>
  </si>
  <si>
    <t>REF: R2.10.125.400, HELICAL GEAR, NOT=125</t>
  </si>
  <si>
    <t>REF: R2.10.125.401, HELICAL GEAR, NOT=125</t>
  </si>
  <si>
    <t>REF: R2.15.125.800, HELICAL GEAR, NOT=125</t>
  </si>
  <si>
    <t>REF: R1.20.051.403, SPUR GEAR, NOT=51</t>
  </si>
  <si>
    <t>REF: R1.20.065.405, SPUR GEAR, NOT=65</t>
  </si>
  <si>
    <t>REF: R1.20.052.403, SPUR GEAR, NOT=52</t>
  </si>
  <si>
    <t>REF: R1.20.068.405, SPUR GEAR, NOT=68</t>
  </si>
  <si>
    <t>REF: R1.30.038.404, SPUR GEAR, NOT=38</t>
  </si>
  <si>
    <t>REF: R1.30.042.400, SPUR GEAR, NOT=42</t>
  </si>
  <si>
    <t>REF: R1.20.059.408, SPUR GEAR, NOT=59</t>
  </si>
  <si>
    <t>REF: R1.20.061.406, SPUR GEAR, NOT=61</t>
  </si>
  <si>
    <t>REF: R1.10.049.400, SPUR GEAR, NOT=49</t>
  </si>
  <si>
    <t>REF: R1.10.057.402, SPUR GEAR, NOT=57</t>
  </si>
  <si>
    <t>SHAFT WITH SET OF SEGMENTS FOR SIZE CHANGE</t>
  </si>
  <si>
    <t>V-BELT BX82 (17 X 2085 Li)</t>
  </si>
  <si>
    <t>V-BELT B-80</t>
  </si>
  <si>
    <t>V-BELT C-84</t>
  </si>
  <si>
    <t>V-BELT B-78</t>
  </si>
  <si>
    <t>V-BELT B-84 (17 X 2135)</t>
  </si>
  <si>
    <t>V-BELT A-55</t>
  </si>
  <si>
    <t>V-BELT A-69 (A1780Ld/13X1750)</t>
  </si>
  <si>
    <t>V- BELTS OPTIBELT 3VX 560 FOR QUINCY AIR COMPRESSOR</t>
  </si>
  <si>
    <t>PART # 144046-005, QUINSYN-PLUS COMPRESSOR OIL</t>
  </si>
  <si>
    <t>BRAKE OIL</t>
  </si>
  <si>
    <t>P-500, SUPREME HYDRAULIC OIL ISO VG68 (20 Ltr PAIL)</t>
  </si>
  <si>
    <t>P/N:377P, POLYESTER ELEMENT WITH PRE-FILTER (5 MICRON POLYESTER MEDIA), QUINCY PART NO 376P (OLD PART NO 127357E016) FOR VACUUM PUMP</t>
  </si>
  <si>
    <t>DIESEL ENGINE OIL 15W40</t>
  </si>
  <si>
    <t>PART # 235P, POLYESTER ELEMENT WITH PRE-FILTER</t>
  </si>
  <si>
    <t>S-248, NON MELT MOLY HIGH TEMPERATURE SYNTHETIC GREASE</t>
  </si>
  <si>
    <t>PF-376, PRE-FILTER FOR SOLBERG 377P</t>
  </si>
  <si>
    <t>P/N: 142136, FLUID FILTER ELEMENT, OEM</t>
  </si>
  <si>
    <t>P/N: 2013800404 (144606-01) QUINCY AIR &amp; OIL SEPARATOR FILTER FOR AIR COMPRESSOR (144606-02)</t>
  </si>
  <si>
    <t>SHARPENING OF ROTARY KNIFE FOR SHEETER</t>
  </si>
  <si>
    <t>SHARPENING OF STATIONARY KNIFE FOR SHEETER</t>
  </si>
  <si>
    <t>FLEXIBLE CUT OFF KNIFE, 108 X 235 MM, DIA=81MM, PULL 78 (CURTIUS REF: VF0514-S) V-SHAPE, 1 DEG LEFT ANGLE</t>
  </si>
  <si>
    <t>FLEXIBLE CUT OFF KNIFE (NBD), 114 X 232 MM, DIA=81MM, PULL 78, 1 DEG LEFT ANGLE (CURTIUS REF: SF1114-S)</t>
  </si>
  <si>
    <t>FLEXIBLE CUT OFF KNIFE, 114 X 234 MM, 1 DEG LEFT ANGLE (BEST REF: FA-401047), V-SHAPE</t>
  </si>
  <si>
    <t>FLEXIBLE CUT OFF KNIFE, 162 X 229 MM, 1 DEG LEFT ANGLE, TRAPEZOID SHAPE (CURTIUS REF: SF0952-S)</t>
  </si>
  <si>
    <t>FLEXIBLE CUT OFF KNIFE, 162 X 240 MM, 1 DEG LEFT ANGLE, (BEST REF: C-9579 #168681), JORDAN TEL</t>
  </si>
  <si>
    <t>FLEXIBLE STRAIGHT CUT OFF KNIFE 10-3/4", 1 DEG LEFT ANGLE, BEST REF: D-1481 (FA-169811)</t>
  </si>
  <si>
    <t>FLEXIBLE CUT OFF KNIFE, 115 X 229 MM, 1 DEG LEFT ANGLE, BEST REF: D-5024 #174446</t>
  </si>
  <si>
    <t>FLEXIBLE CUT OFF KNIFE FOR ABK, 1 DEG LEFT ANGLE (BEST REF: D-7114 # 177188), TRAPEZOID SHAPE</t>
  </si>
  <si>
    <t>FLEXIBLE CUT OFF KNIFE, 110 X 234 MM, 1 DEG LEFT ANGLE, BEST REF: FA-401255</t>
  </si>
  <si>
    <t>FLEXIBLE CUT OFF KNIFE, 11 INCH (V-FLAP), 1 DEG LEFT ANGLE, BEST REF: FA-403652</t>
  </si>
  <si>
    <t>FLEXIBLE CUT OFF KNIFE, 11 INCH, ROUND FLAP, 1 DEG LEFT ANGLE, BEST REF: FA-404869, 0.032"H, 24 RAD COK</t>
  </si>
  <si>
    <t>FLEXIBLE CUT OFF KNIFE, 114 X 227 MM, 1 DEG LEFT ANGLE,  BEST REF: FA-405837, 11 INCH (V-FLAP) OOREDOO</t>
  </si>
  <si>
    <t>FLEXIBLE CUT OFF KNIFE, 4-1/2" X 9", 1 DEG LEFT ANGLE, V-FLAP, 0.032" KB, 1 DEG LEFT ANGLE, FA-407336, OOREDOO</t>
  </si>
  <si>
    <t>HARD KNIVES FOR MOHW &lt;03109-10&gt;  (CENTER SEAM)</t>
  </si>
  <si>
    <t>HARD KNIVES FOR MOH (OBSOLETE)</t>
  </si>
  <si>
    <t>HARD KNIVES FOR MOH (NEW DRAWING # 02790)</t>
  </si>
  <si>
    <t>HARD KNIVES FOR MOW (NEW DRAWING), WCCD 02790</t>
  </si>
  <si>
    <t>FLEXIBLE PROFILE KNIFE (NBD), 114 X 232 MM, PULL 78MM, KEY 81MM</t>
  </si>
  <si>
    <t>FLEXIBLE PROFILE KNIFE (JORDAN TEL), 162 X 240 MM, BEST REF: C-9578 # 168677, PULL 109MM, KEY 110MM</t>
  </si>
  <si>
    <t>FLEXIBLE PROFILE KNIFE, 162 X 229 MM, STRAIGHT FLAP, (FA-408708) PULL 109MM, KEY 110MM</t>
  </si>
  <si>
    <t>FLEXIBLE PROFILE KNIFE (TRAPEZOID), 162 X 229 MM, PULL 109MM, KEY 110MM</t>
  </si>
  <si>
    <t>FLEXIBLE PROFILE KNIFE (WARID), 162 X 229 MM, PULL 109MM, KEY 110MM</t>
  </si>
  <si>
    <t>FLEXIBLE PROFILE KNIFE (NEW DESIGN), 113 X 230 MM, PULL 78MM, KEY 81MM</t>
  </si>
  <si>
    <t>FLEXIBLE PROFILE KNIFE, 108 X 235 MM, PULL 78MM, KEY 81MM</t>
  </si>
  <si>
    <t>FLEXIBLE PROFILE KNIFE 114 X 162 MM, BEST REF: D-1587 (FA-169931), PULL 78MM, KEY 81MM</t>
  </si>
  <si>
    <t>FLEXIBLE PROFILE KNIFE, 110 X 232 MM (OLD DESIGN 114 X 234 MM WILL BE USED NOW AS 110 X 232 MM AS PER Mr. JIM's INSTRUCTIONS) PULL 78MM, KEY 81MM</t>
  </si>
  <si>
    <t>FLEXIBLE PROFILE KNIFE 115 X 225 MM (SECURITY CUT), BEST REF: C-9781 (FA-168943) PULL 78MM, KEY 81MM</t>
  </si>
  <si>
    <t>FLEXIBLE PROFILE KNIFE 115 X 225 MM, BEST REF: C-8740 (FA-167575) PULL 78MM, KEY 81MM</t>
  </si>
  <si>
    <t>FLEXIBLE PROFILE KNIFE 110 X 220 MM, BEST REF: D-3983 (FA-173032) PULL 78MM, KEY 81MM</t>
  </si>
  <si>
    <t>FLEXIBLE PROFILE KNIFE (SECURITY CUT), 110 X 220 MM (FA-401557), D-3394, PULL 78MM, KEY 81MM</t>
  </si>
  <si>
    <t>FLEXIBLE PROFILE KNIFE, 110 X 230 MM (ABK SECURITY CUT) PULL 78MM, KEY 81MM</t>
  </si>
  <si>
    <t>FLEXIBLE PROFILE KNIFE (SECURITY CUT), 115 X 229 MM, PULL 78MM, KEY 81MM</t>
  </si>
  <si>
    <t>FLEXIBLE PROFILE KNIFE (SECURITY CUT), 115 X 229 MM, PULL 80MM, KEY 81MM</t>
  </si>
  <si>
    <t>FLEXIBLE PROFILE KNIFE, 114 X 234 MM (D-4555) (FA-173829), PULL 78MM, KEY 81MM</t>
  </si>
  <si>
    <t>FLEXIBLE PROFILE KNIFE, 114 X 234 MM (D-7165) (FOR P&amp;S) REF: FA-177263, PULL GEAR 78MM, KEY 81MM</t>
  </si>
  <si>
    <t>FLEXIBLE PROFILE KNIFE, 110 X 232 MM (D-7269) (FA-177429) (NEW DESIGN) OIFC, PULL 78MM, KEY 81MM</t>
  </si>
  <si>
    <t>FLEXIBLE PROFILE KNIFE, 110 X 234 MM, BEST REF: FA-401197, PULL 78MM, KEY 81MM</t>
  </si>
  <si>
    <t>FLEXIBLE PROFILE KNIFE, 3.875" X 8.875" (1.34375" STRAIGHT S.F), BEST REF: FA-403648, PULL 73, KEY 73MMM</t>
  </si>
  <si>
    <t>FLEXIBLE PROFILE KNIFE, 3.875" X 8.875" (1.6539" V-FLAP), BEST REF: FA-403649, PULL 73, KEY 73MM</t>
  </si>
  <si>
    <t>FLEXIBLE PROFILE KNIFE, 4.125" X 9.5" (1.375" STRAIGHT S.F), BEST REF: FA-403650, PULL 73, KEY 73MM</t>
  </si>
  <si>
    <t>FLEXIBLE PROFILE KNIFE, 4.125" X 9.5" (1.375" V-FLAP), BEST REF: FA-403651, PULL 73, KEY 73MM</t>
  </si>
  <si>
    <t>FLEXIBLE PROFILE KNIFE, 99 X 225 MM, BEST REF: FA-405080, PULL 91MM, KEY 91MM</t>
  </si>
  <si>
    <t>FLEXIBLE PROFILE KNIFE, 152 X 230 MM, BEST REF: FA-405081, PULL 105MM, KEY 110MM</t>
  </si>
  <si>
    <t>FLEXIBLE PROFILE KNIFE, 92 X 165 MM, BEST REF: FA-405082, PULL 84MM, KEY 91MM</t>
  </si>
  <si>
    <t>FLEXIBLE PROFILE KNIFE, 114 X 227 MM, FA-405836, PULL 80MM, KEY 81MM</t>
  </si>
  <si>
    <t>FLEXIBLE PROFILE KNIFE, 4-1/2" X 9", WITH SECURITY PERFORATION, V-FLAP, 80MM PULL, 81 CYLINDER, 0 DEG, 0.032 K&amp;B, FA-407354</t>
  </si>
  <si>
    <t>FLEXIBLE PROFILE KNIFE 12.75" X 9" FOR W+D 249 (130 KEY, 121 PULL GEAR), FA-410299</t>
  </si>
  <si>
    <t>FLEXIBLE PROFILE KNIFE 240 X 340 (TM130) (F003.00.0232.0), LEADING EDGE 24, REF: V01.70.435.1 (OLD DESIGN), FOR W&amp;D-249 MACHINE</t>
  </si>
  <si>
    <t>FLEXIBLE PROFILE KNIFE 220 X 312, (TM121&gt;&gt;TM130) (F003.00.0233.0), LEADING EDGE 24, REF: V01.70.436.1 (OLD DESIGN), FOR W&amp;D-249 MACHINE</t>
  </si>
  <si>
    <t>FLEXIBLE PROFILE KNIFE 229 X 324 (TM125..TM130) (F003.00.0234.0), LEADING EDGE 24, REF: V01.70.437.1 (OLD DESIGN), FOR W&amp;D-249 MACHINE</t>
  </si>
  <si>
    <t>FLEXIBLE PROFILE KNIFE 12.75" X 9" (229X324) FOR W+D 249 (130 KEY, 121 PULL GEAR) (F003.00.1205.0) (LEADING EDGE=21.133) (FROM W+D), REF: V01.70.528.1</t>
  </si>
  <si>
    <t>PANEL DIE FOR CD JOB, DIA=95MM</t>
  </si>
  <si>
    <t>SOLID WINDOW DIE, 19 X 73 MM</t>
  </si>
  <si>
    <t>SOLID WINDOW DIE, 19 X 83 MM</t>
  </si>
  <si>
    <t>SOLID WINDOW DIE, 20 X 95 MM</t>
  </si>
  <si>
    <t>SOLID WINDOW DIE, 25 X 90 MM</t>
  </si>
  <si>
    <t>SOLID WINDOW DIE, 25 X 100 MM</t>
  </si>
  <si>
    <t>SOLID WINDOW DIE, 30 X 60 MM</t>
  </si>
  <si>
    <t>SOLID WINDOW DIE, 30 X 80 MM</t>
  </si>
  <si>
    <t>SOLID WINDOW DIE, 30 X 95 MM</t>
  </si>
  <si>
    <t>SOLID WINDOW DIE, 30 X 100 MM</t>
  </si>
  <si>
    <t>SOLID WINDOW DIE, 34 X 90 MM</t>
  </si>
  <si>
    <t>SOLID WINDOW DIE, 34 X 95 MM</t>
  </si>
  <si>
    <t>SOLID WINDOW DIE, 35 X 85 MM</t>
  </si>
  <si>
    <t>SOLID WINDOW DIE, 35 X 90 MM</t>
  </si>
  <si>
    <t>SOLID WINDOW DIE, 35 X 100 MM</t>
  </si>
  <si>
    <t>SOLID WINDOW DIE, 35 X 110 MM</t>
  </si>
  <si>
    <t>SOLID WINDOW DIE, 37 X 93 MM</t>
  </si>
  <si>
    <t>SOLID WINDOW DIE, 38 X 100 MM</t>
  </si>
  <si>
    <t>SOLID WINDOW DIE, 38 X 115 MM</t>
  </si>
  <si>
    <t>SOLID WINDOW DIE, 40 X 80 MM</t>
  </si>
  <si>
    <t>SOLID WINDOW DIE, 40 X 93 MM</t>
  </si>
  <si>
    <t>SOLID WINDOW DIE, 40 X 100 MM</t>
  </si>
  <si>
    <t>SOLID WINDOW DIE, 40 X 105 MM</t>
  </si>
  <si>
    <t>SOLID WINDOW DIE, 40 X 110 MM</t>
  </si>
  <si>
    <t>SOLID WINDOW DIE, 40 X 130 MM</t>
  </si>
  <si>
    <t>SOLID WINDOW DIE, 45 X 90 MM</t>
  </si>
  <si>
    <t>SOLID WINDOW DIE, 45 X 100 MM</t>
  </si>
  <si>
    <t>SOLID WINDOW DIE, 45 X 105 MM</t>
  </si>
  <si>
    <t>SOLID WINDOW DIE, 50 X 68 MM</t>
  </si>
  <si>
    <t>SOLID WINDOW DIE, 50 X 90 MM</t>
  </si>
  <si>
    <t>SOLID WINDOW DIE, 52 X 75 MM</t>
  </si>
  <si>
    <t>SOLID WINDOW DIE, 50 X 95 MM</t>
  </si>
  <si>
    <t>SOLID WINDOW DIE, 55 X 100 MM</t>
  </si>
  <si>
    <t>SOLID WINDOW DIE, 55 X 115 MM</t>
  </si>
  <si>
    <t>SOLID WINDOW DIE, 30 X 90 MM</t>
  </si>
  <si>
    <t>SOLID WINDOW DIE, 30 X 115 MM</t>
  </si>
  <si>
    <t>SOLID WINDOW DIE, 35 X 80 MM</t>
  </si>
  <si>
    <t>SOLID WINDOW DIE, 40 X 90 MM</t>
  </si>
  <si>
    <t>SOLID WINDOW DIE, 51 X 101 MM</t>
  </si>
  <si>
    <t>SOLID WINDOW DIE, 35 X 105 MM</t>
  </si>
  <si>
    <t>ZIPPER PERFORATION KNIFE</t>
  </si>
  <si>
    <t>HALF ROUND DIE, &lt;4735&gt;</t>
  </si>
  <si>
    <t>SOLID WINDOW DIE, 66 X 106 MM</t>
  </si>
  <si>
    <t>SOLID WINDOW DIE, 1-1/8" X 4-1/2"</t>
  </si>
  <si>
    <t>SOLID WINDOW DIE, DIA = 4 INCH</t>
  </si>
  <si>
    <t xml:space="preserve">HOLE PUNCH DIE </t>
  </si>
  <si>
    <t>SOLID WINDOW DIE, 1-1/4" X 4-3/4"</t>
  </si>
  <si>
    <t>SOLID WINDOW DIE, 45 X 110 MM</t>
  </si>
  <si>
    <t>SOLID WINDOW DIE, 45 X 120 MM</t>
  </si>
  <si>
    <t>FLEXIBLE WINDOW KNIFE, 10 X 100 MM (1.5 DEG)</t>
  </si>
  <si>
    <t>FLEXIBLE WINDOW KNIFE, 13 X 60 MM (1.5 DEG)</t>
  </si>
  <si>
    <t>FLEXIBLE WINDOW KNIFE, 13 X 75 MM (1.5 DEG)</t>
  </si>
  <si>
    <t>FLEXIBLE WINDOW KNIFE, 34 X 110 MM (1.5 DEG)</t>
  </si>
  <si>
    <t>FLEXIBLE WINDOW KNIFE, 35 X 130 MM (1.5 DEG)</t>
  </si>
  <si>
    <t>FLEXIBLE WINDOW KNIFE, 40 X 100 MM (1.5 DEG)</t>
  </si>
  <si>
    <t>FLEXIBLE WINDOW KNIFE, 45 X 80 MM (1.5 DEG)</t>
  </si>
  <si>
    <t>FLEXIBLE WINDOW KNIFE, 50 X 100 MM (1.5 DEG)</t>
  </si>
  <si>
    <t>FLEXIBLE WINDOW KNIFE, 55 X 100 MM (1.5 DEG)</t>
  </si>
  <si>
    <t>WINDOW KNIFE, 20 X 95 MM</t>
  </si>
  <si>
    <t>WINDOW KNIFE, 25 X 90 MM</t>
  </si>
  <si>
    <t>FLEXIBLE WINDOW, 25 X 100 MM</t>
  </si>
  <si>
    <t>FLEXIBLE WINDOW, 30 X 90 MM</t>
  </si>
  <si>
    <t>FLEXIBLE WINDOW, 30 X 98 MM</t>
  </si>
  <si>
    <t>FLEXIBLE WINDOW, 30 X 100 MM</t>
  </si>
  <si>
    <t>FLEXIBLE WINDOW, 35 X 80 MM</t>
  </si>
  <si>
    <t>FLEXIBLE WINDOW, 35 X 85 MM</t>
  </si>
  <si>
    <t>FLEXIBLE WINDOW, 35 X 90 MM</t>
  </si>
  <si>
    <t>FLEXIBLE WINDOW, 35 X 95 MM</t>
  </si>
  <si>
    <t>FLEXIBLE WINDOW KNIFE, 35 X 100 MM (FS-167860)</t>
  </si>
  <si>
    <t>FLEXIBLE WINDOW KNIFE, 35 X 105 MM (FS-305776)</t>
  </si>
  <si>
    <t>FLEXIBLE WINDOW KNIFE, 35 X 110 MM (FS-301538)</t>
  </si>
  <si>
    <t>FLEXIBLE WINDOW KNIFE, 35 X 130 MM</t>
  </si>
  <si>
    <t>FLEXIBLE WINDOW KNIFE, 37 X 93 MM (BEST REF: 170724)</t>
  </si>
  <si>
    <t>FLEXIBLE WINDOW KNIFE, 40 X 80 MM</t>
  </si>
  <si>
    <t>FLEXIBLE WINDOW KNIFE, 40 X 93 MM (FS-169797)</t>
  </si>
  <si>
    <t>FLEXIBLE WINDOW KNIFE, 40 X 100 MM, BEST REF: FS-302055</t>
  </si>
  <si>
    <t>FLEXIBLE WINDOW KNIFE, 40 X 100 MM</t>
  </si>
  <si>
    <t>FLEXIBLE WINDOW KNIFE, 40 X 110 MM</t>
  </si>
  <si>
    <t>FLEXIBLE WINDOW KNIFE, 45 X 90 MM</t>
  </si>
  <si>
    <t xml:space="preserve">FLEXIBLE WINDOW KNIFE, 45 X 100 MM, BEST REF: FS-301638 </t>
  </si>
  <si>
    <t>FLEXIBLE WINDOW KNIFE, 45 X 105 MM, BEST REF: 178030 (FS-300814)</t>
  </si>
  <si>
    <t>FLEXIBLE WINDOW KNIFE, 45 X 110 MM</t>
  </si>
  <si>
    <t>FLEXIBLE WINDOW KNIFE, 50 X 93 MM</t>
  </si>
  <si>
    <t>FLEXIBLE WINDOW KNIFE, 55 X 115 MM</t>
  </si>
  <si>
    <t>FLEXIBLE WINDOW KNIFE, 90 X 40 MM</t>
  </si>
  <si>
    <t>FLEXIBLE WINDOW KNIFE, 40 X 90 MM, BEST REF: FS-304490</t>
  </si>
  <si>
    <t>FLEXIBLE WINDOW KNIFE, 50 X 100 MM</t>
  </si>
  <si>
    <t>FLEXIBLE WINDOW KNIFE, 40 X 100 MM, BEST REF: FD-201232</t>
  </si>
  <si>
    <t>FLEXIBLE WINDOW KNIFE, 1-1/8" X 4-1/2" (1.125" X 4.5") (FS-303653)</t>
  </si>
  <si>
    <t>FLEXIBLE WINDOW KNIFE, 40 X 130 MM, BEST REF: FS-305775</t>
  </si>
  <si>
    <t>FLEXIBLE WINDOW KNIFE, 35 X 150 MM (FS-305940)</t>
  </si>
  <si>
    <t>STRAIGHT CUT OFF KNIFE FOR MOH (MO # 30106 SMALL &amp; MO # 30487 BIG) HEIGHT = 1-1/2 INCH</t>
  </si>
  <si>
    <t>UPPER CROSS CUTTING KNIF FOR 97G, (UPPER V.03.02.002.0)</t>
  </si>
  <si>
    <t>P&amp;S ROTARY KNIFE</t>
  </si>
  <si>
    <t>STATIONATY KNIFE FOR WINDOW FILM</t>
  </si>
  <si>
    <t>ROUND CUTTING KNIFE FOR B&amp;B, REF: WCCD-03084</t>
  </si>
  <si>
    <t>ROTARY KNIFE FOR WINDOW FILM</t>
  </si>
  <si>
    <t>BOTTOM CUTTING KNIFE FOR 97G</t>
  </si>
  <si>
    <t>STATIONARY P&amp;S KNIFE FOR CHEETAH</t>
  </si>
  <si>
    <t>ROTARY P&amp;S KNIFE CHEETAH</t>
  </si>
  <si>
    <t>SLOT / PUNCH WINDOW DIE. 14 X 75 MM</t>
  </si>
  <si>
    <t>PUNCHER DIE 1-3/4" X 4-1/2"</t>
  </si>
  <si>
    <t>WINDOW KNIFE 14 X 75 MM</t>
  </si>
  <si>
    <t>LOWER CROSS CUTTING KNIF (LOWER: V.03.02.004.0)</t>
  </si>
  <si>
    <t>BOTTOM CUTTING KNIFE</t>
  </si>
  <si>
    <t>CHEETAH WINDOW 12 X 60 MM</t>
  </si>
  <si>
    <t>PUNCHER DIE 50 X 100 MM</t>
  </si>
  <si>
    <t>PUNCH DIE 55 X 90 MM</t>
  </si>
  <si>
    <t>CUTTING KNIFE FOR POLLAR</t>
  </si>
  <si>
    <t>WINDOW KNIFE 14 X 90 MM</t>
  </si>
  <si>
    <t>P&amp;S STATIONARY KNIFE</t>
  </si>
  <si>
    <t>PUNCH DIE 50 X 105 MM</t>
  </si>
  <si>
    <t>PUNCH DIE 55 X 105 MM</t>
  </si>
  <si>
    <t>A-2-31</t>
  </si>
  <si>
    <t>A-2-32</t>
  </si>
  <si>
    <t>A-3-44</t>
  </si>
  <si>
    <t>A-3-45</t>
  </si>
  <si>
    <t>A-3-46</t>
  </si>
  <si>
    <t>A-3-47</t>
  </si>
  <si>
    <t>A-4-1</t>
  </si>
  <si>
    <t>A-4-9</t>
  </si>
  <si>
    <t>A-5-10</t>
  </si>
  <si>
    <t>A-5-15</t>
  </si>
  <si>
    <t>B-1-21</t>
  </si>
  <si>
    <t>C-1-21</t>
  </si>
  <si>
    <t>C-1-46</t>
  </si>
  <si>
    <t>C-3-33</t>
  </si>
  <si>
    <t>C-3-39</t>
  </si>
  <si>
    <t>C-3-40</t>
  </si>
  <si>
    <t>C-3-41</t>
  </si>
  <si>
    <t>C-3-42</t>
  </si>
  <si>
    <t>C-3-43</t>
  </si>
  <si>
    <t>C-3-44</t>
  </si>
  <si>
    <t>C-3-45</t>
  </si>
  <si>
    <t>C-3-54</t>
  </si>
  <si>
    <t>C-3-56</t>
  </si>
  <si>
    <t>C-3-58</t>
  </si>
  <si>
    <t>C-3-59</t>
  </si>
  <si>
    <t>C-3-60</t>
  </si>
  <si>
    <t>C-3-61</t>
  </si>
  <si>
    <t>C-3-62</t>
  </si>
  <si>
    <t>C-3-63</t>
  </si>
  <si>
    <t>C-3-64</t>
  </si>
  <si>
    <t>C-3-65</t>
  </si>
  <si>
    <t>C-3-66</t>
  </si>
  <si>
    <t>C-4-32</t>
  </si>
  <si>
    <t>C-4-33</t>
  </si>
  <si>
    <t>C-4-36</t>
  </si>
  <si>
    <t>C-4-37</t>
  </si>
  <si>
    <t>C-4-38</t>
  </si>
  <si>
    <t>C-4-39</t>
  </si>
  <si>
    <t>D-1-18</t>
  </si>
  <si>
    <t>D-2-29</t>
  </si>
  <si>
    <t>D-2-32</t>
  </si>
  <si>
    <t>D-4-2</t>
  </si>
  <si>
    <t>E-1-3</t>
  </si>
  <si>
    <t>E-2-13</t>
  </si>
  <si>
    <t>E-3-3</t>
  </si>
  <si>
    <t>E-3-4</t>
  </si>
  <si>
    <t>E-3-5</t>
  </si>
  <si>
    <t>E-3-12</t>
  </si>
  <si>
    <t>F-1-22</t>
  </si>
  <si>
    <t>F-1-34</t>
  </si>
  <si>
    <t>F-1-35</t>
  </si>
  <si>
    <t>F-1-36</t>
  </si>
  <si>
    <t>F-1-37</t>
  </si>
  <si>
    <t>F-1-38</t>
  </si>
  <si>
    <t>F-2-24</t>
  </si>
  <si>
    <t>F-3-21</t>
  </si>
  <si>
    <t>F-3-22</t>
  </si>
  <si>
    <t>F-4-39</t>
  </si>
  <si>
    <t>F-4-40</t>
  </si>
  <si>
    <t>F-4-41</t>
  </si>
  <si>
    <t>F-4-42</t>
  </si>
  <si>
    <t>F-4-43</t>
  </si>
  <si>
    <t>F-4-44</t>
  </si>
  <si>
    <t>F-4-45</t>
  </si>
  <si>
    <t>F-4-46</t>
  </si>
  <si>
    <t>G-2-1</t>
  </si>
  <si>
    <t>G-3-18</t>
  </si>
  <si>
    <t>G-3-20</t>
  </si>
  <si>
    <t>G-3-21</t>
  </si>
  <si>
    <t>G-3-22</t>
  </si>
  <si>
    <t>G-3-23</t>
  </si>
  <si>
    <t>G-3-24</t>
  </si>
  <si>
    <t>G-3-25</t>
  </si>
  <si>
    <t>G-3-26</t>
  </si>
  <si>
    <t>G-3-27</t>
  </si>
  <si>
    <t>G-4-17</t>
  </si>
  <si>
    <t>G-4-20</t>
  </si>
  <si>
    <t>G-4-21</t>
  </si>
  <si>
    <t>G-4-22</t>
  </si>
  <si>
    <t>G-4-23</t>
  </si>
  <si>
    <t>G-4-24</t>
  </si>
  <si>
    <t>G-4-25</t>
  </si>
  <si>
    <t>G-4-26</t>
  </si>
  <si>
    <t>G-4-27</t>
  </si>
  <si>
    <t>G-4-28</t>
  </si>
  <si>
    <t>G-4-29</t>
  </si>
  <si>
    <t>G-5-9</t>
  </si>
  <si>
    <t>H-1-13</t>
  </si>
  <si>
    <t>H-2-7</t>
  </si>
  <si>
    <t>H-2-14</t>
  </si>
  <si>
    <t>H-4-35</t>
  </si>
  <si>
    <t>H-5-29</t>
  </si>
  <si>
    <t>H-5-30</t>
  </si>
  <si>
    <t>H-6-1</t>
  </si>
  <si>
    <t>H-7-5</t>
  </si>
  <si>
    <t>H-7-13</t>
  </si>
  <si>
    <t>H-7-14</t>
  </si>
  <si>
    <t>H-7-21</t>
  </si>
  <si>
    <t>H-7-22</t>
  </si>
  <si>
    <t>H-7-23</t>
  </si>
  <si>
    <t>H-7-24</t>
  </si>
  <si>
    <t>H-7-25</t>
  </si>
  <si>
    <t>H-7-26</t>
  </si>
  <si>
    <t>H-7-27</t>
  </si>
  <si>
    <t>H-7-28</t>
  </si>
  <si>
    <t>J-1-34</t>
  </si>
  <si>
    <t>J-1-35</t>
  </si>
  <si>
    <t>J-1-36</t>
  </si>
  <si>
    <t>J-1-37</t>
  </si>
  <si>
    <t>J-1-38</t>
  </si>
  <si>
    <t>J-2-21</t>
  </si>
  <si>
    <t>J-2-25</t>
  </si>
  <si>
    <t>J-2-26</t>
  </si>
  <si>
    <t>J-2-27</t>
  </si>
  <si>
    <t>J-2-28</t>
  </si>
  <si>
    <t>J-2-29</t>
  </si>
  <si>
    <t>J-2-31</t>
  </si>
  <si>
    <t>J-2-32</t>
  </si>
  <si>
    <t>J-2-33</t>
  </si>
  <si>
    <t>K-1-1</t>
  </si>
  <si>
    <t>K-1-2</t>
  </si>
  <si>
    <t>K-1-3</t>
  </si>
  <si>
    <t>K-1-4</t>
  </si>
  <si>
    <t>K-1-5</t>
  </si>
  <si>
    <t>K-1-6</t>
  </si>
  <si>
    <t>K-1-7</t>
  </si>
  <si>
    <t>K-1-8</t>
  </si>
  <si>
    <t>K-1-9</t>
  </si>
  <si>
    <t>K-1-10</t>
  </si>
  <si>
    <t>K-1-11</t>
  </si>
  <si>
    <t>K-1-12</t>
  </si>
  <si>
    <t>K-1-13</t>
  </si>
  <si>
    <t>K-1-14</t>
  </si>
  <si>
    <t>K-1-15</t>
  </si>
  <si>
    <t>K-1-16</t>
  </si>
  <si>
    <t>K-1-17</t>
  </si>
  <si>
    <t>K-1-18</t>
  </si>
  <si>
    <t>K-1-19</t>
  </si>
  <si>
    <t>K-1-20</t>
  </si>
  <si>
    <t>K-1-21</t>
  </si>
  <si>
    <t>K-1-22</t>
  </si>
  <si>
    <t>K-1-23</t>
  </si>
  <si>
    <t>K-1-24</t>
  </si>
  <si>
    <t>K-1-25</t>
  </si>
  <si>
    <t>K-1-26</t>
  </si>
  <si>
    <t>K-1-27</t>
  </si>
  <si>
    <t>K-1-28</t>
  </si>
  <si>
    <t>K-1-29</t>
  </si>
  <si>
    <t>K-2-1</t>
  </si>
  <si>
    <t>K-2-2</t>
  </si>
  <si>
    <t>K-2-3</t>
  </si>
  <si>
    <t>K-2-4</t>
  </si>
  <si>
    <t>K-2-5</t>
  </si>
  <si>
    <t>K-2-6</t>
  </si>
  <si>
    <t>K-2-7</t>
  </si>
  <si>
    <t>K-2-8</t>
  </si>
  <si>
    <t>K-2-9</t>
  </si>
  <si>
    <t>K-2-10</t>
  </si>
  <si>
    <t>K-2-11</t>
  </si>
  <si>
    <t>K-2-12</t>
  </si>
  <si>
    <t>K-2-13</t>
  </si>
  <si>
    <t>K-2-14</t>
  </si>
  <si>
    <t>K-2-15</t>
  </si>
  <si>
    <t>K-2-16</t>
  </si>
  <si>
    <t>K-2-17</t>
  </si>
  <si>
    <t>K-2-18</t>
  </si>
  <si>
    <t>K-2-19</t>
  </si>
  <si>
    <t>K-2-20</t>
  </si>
  <si>
    <t>K-2-21</t>
  </si>
  <si>
    <t>K-2-22</t>
  </si>
  <si>
    <t>K-2-23</t>
  </si>
  <si>
    <t>K-2-24</t>
  </si>
  <si>
    <t>K-2-25</t>
  </si>
  <si>
    <t>K-2-26</t>
  </si>
  <si>
    <t>K-2-27</t>
  </si>
  <si>
    <t>K-2-28</t>
  </si>
  <si>
    <t>L-1-10</t>
  </si>
  <si>
    <t>L-2-11</t>
  </si>
  <si>
    <t>L-2-12</t>
  </si>
  <si>
    <t>M-5-1</t>
  </si>
  <si>
    <t>M-5-2</t>
  </si>
  <si>
    <t>N-3-20</t>
  </si>
  <si>
    <t>N-3-21</t>
  </si>
  <si>
    <t>N-4-7</t>
  </si>
  <si>
    <t>N-4-8</t>
  </si>
  <si>
    <t>N-5-4</t>
  </si>
  <si>
    <t>O-1-36</t>
  </si>
  <si>
    <t>O-1-37</t>
  </si>
  <si>
    <t>O-1-38</t>
  </si>
  <si>
    <t>O-1-39</t>
  </si>
  <si>
    <t>O-1-40</t>
  </si>
  <si>
    <t>O-1-41</t>
  </si>
  <si>
    <t>O-1-42</t>
  </si>
  <si>
    <t>O-1-43</t>
  </si>
  <si>
    <t>O-2-74</t>
  </si>
  <si>
    <t>O-2-84</t>
  </si>
  <si>
    <t>O-2-85</t>
  </si>
  <si>
    <t>O-2-86</t>
  </si>
  <si>
    <t>O-2-87</t>
  </si>
  <si>
    <t>O-2-88</t>
  </si>
  <si>
    <t>O-2-89</t>
  </si>
  <si>
    <t>O-4-3</t>
  </si>
  <si>
    <t>O-4-33</t>
  </si>
  <si>
    <t>O-4-34</t>
  </si>
  <si>
    <t>P-1-1</t>
  </si>
  <si>
    <t>P-1-2</t>
  </si>
  <si>
    <t>P-1-3</t>
  </si>
  <si>
    <t>P-1-4</t>
  </si>
  <si>
    <t>P-1-5</t>
  </si>
  <si>
    <t>P-1-6</t>
  </si>
  <si>
    <t>P-1-7</t>
  </si>
  <si>
    <t>P-1-8</t>
  </si>
  <si>
    <t>P-1-9</t>
  </si>
  <si>
    <t>P-1-10</t>
  </si>
  <si>
    <t>P-1-11</t>
  </si>
  <si>
    <t>P-1-12</t>
  </si>
  <si>
    <t>P-2-1</t>
  </si>
  <si>
    <t>P-2-2</t>
  </si>
  <si>
    <t>P-2-3</t>
  </si>
  <si>
    <t>P-2-4</t>
  </si>
  <si>
    <t>P-2-5</t>
  </si>
  <si>
    <t>P-2-6</t>
  </si>
  <si>
    <t>P-2-7</t>
  </si>
  <si>
    <t>P-2-8</t>
  </si>
  <si>
    <t>P-2-9</t>
  </si>
  <si>
    <t>P-2-10</t>
  </si>
  <si>
    <t>P-2-11</t>
  </si>
  <si>
    <t>P-2-12</t>
  </si>
  <si>
    <t>P-2-13</t>
  </si>
  <si>
    <t>P-2-14</t>
  </si>
  <si>
    <t>P-2-15</t>
  </si>
  <si>
    <t>P-3-1</t>
  </si>
  <si>
    <t>P-3-2</t>
  </si>
  <si>
    <t>P-3-3</t>
  </si>
  <si>
    <t>P-3-4</t>
  </si>
  <si>
    <t>P-3-5</t>
  </si>
  <si>
    <t>P-3-6</t>
  </si>
  <si>
    <t>P-3-7</t>
  </si>
  <si>
    <t>P-3-8</t>
  </si>
  <si>
    <t>P-3-9</t>
  </si>
  <si>
    <t>P-3-10</t>
  </si>
  <si>
    <t>P-3-11</t>
  </si>
  <si>
    <t>P-3-12</t>
  </si>
  <si>
    <t>P-4-1</t>
  </si>
  <si>
    <t>P-4-2</t>
  </si>
  <si>
    <t>P-4-3</t>
  </si>
  <si>
    <t>P-4-4</t>
  </si>
  <si>
    <t>P-4-5</t>
  </si>
  <si>
    <t>P-4-6</t>
  </si>
  <si>
    <t>P-4-7</t>
  </si>
  <si>
    <t>P-4-8</t>
  </si>
  <si>
    <t>P-4-9</t>
  </si>
  <si>
    <t>P-4-10</t>
  </si>
  <si>
    <t>P-4-11</t>
  </si>
  <si>
    <t>P-4-12</t>
  </si>
  <si>
    <t>P-4-13</t>
  </si>
  <si>
    <t>P-4-15</t>
  </si>
  <si>
    <t>P-4-16</t>
  </si>
  <si>
    <t>P-4-17</t>
  </si>
  <si>
    <t>P-4-18</t>
  </si>
  <si>
    <t>P-4-19</t>
  </si>
  <si>
    <t>P-5-1</t>
  </si>
  <si>
    <t>P-5-2</t>
  </si>
  <si>
    <t>P-5-3</t>
  </si>
  <si>
    <t>P-5-4</t>
  </si>
  <si>
    <t>P-5-5</t>
  </si>
  <si>
    <t>P-5-6</t>
  </si>
  <si>
    <t>P-5-7</t>
  </si>
  <si>
    <t>P-5-8</t>
  </si>
  <si>
    <t>P-5-9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</si>
  <si>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</si>
  <si>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</si>
  <si>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</si>
  <si>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</si>
  <si>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</si>
  <si>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</si>
  <si>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</si>
  <si>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</si>
  <si>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</si>
  <si>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</si>
  <si>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</si>
  <si>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</si>
  <si>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</si>
  <si>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</si>
  <si>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</si>
  <si>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</si>
  <si>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</si>
  <si>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</si>
  <si>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</si>
  <si>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</si>
  <si>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</si>
  <si>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</si>
  <si>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</si>
  <si>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</si>
  <si>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</si>
  <si>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</si>
  <si>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</si>
  <si>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</si>
  <si>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</si>
  <si>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</si>
  <si>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</si>
  <si>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</si>
  <si>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</si>
  <si>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</si>
  <si>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</si>
  <si>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</si>
  <si>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</si>
  <si>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</si>
  <si>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</si>
  <si>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</si>
  <si>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</si>
  <si>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</si>
  <si>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</si>
  <si>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</si>
  <si>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Z-1-1</t>
  </si>
  <si>
    <t>Z-1-2</t>
  </si>
  <si>
    <t>Z-1-3</t>
  </si>
  <si>
    <t>Z-1-4</t>
  </si>
  <si>
    <t>Z-1-5</t>
  </si>
  <si>
    <t>Z-1-6</t>
  </si>
  <si>
    <t>Z-1-7</t>
  </si>
  <si>
    <t>Z-1-8</t>
  </si>
  <si>
    <t>Z-1-9</t>
  </si>
  <si>
    <t>Z-1-10</t>
  </si>
  <si>
    <t>Z-1-11</t>
  </si>
  <si>
    <t>Z-1-12</t>
  </si>
  <si>
    <t>Z-1-13</t>
  </si>
  <si>
    <t>Z-2-4</t>
  </si>
  <si>
    <t>Z-2-5</t>
  </si>
  <si>
    <t>Z-2-6</t>
  </si>
  <si>
    <t>Z-2-7</t>
  </si>
  <si>
    <t>Z-4-1</t>
  </si>
  <si>
    <t>Z-4-2</t>
  </si>
  <si>
    <t>Z-4-3</t>
  </si>
  <si>
    <t>Z-4-4</t>
  </si>
  <si>
    <t>Z-4-5</t>
  </si>
  <si>
    <t>Z-4-6</t>
  </si>
  <si>
    <t>Z-4-7</t>
  </si>
  <si>
    <t>Z-4-8</t>
  </si>
  <si>
    <t>Z-4-9</t>
  </si>
  <si>
    <t>Z-4-10</t>
  </si>
  <si>
    <t>Z-4-11</t>
  </si>
  <si>
    <t>Z-4-12</t>
  </si>
  <si>
    <t>Z-4-13</t>
  </si>
  <si>
    <t>Z-4-14</t>
  </si>
  <si>
    <t>Z-4-15</t>
  </si>
  <si>
    <t>Z-4-16</t>
  </si>
  <si>
    <t>Z-4-17</t>
  </si>
  <si>
    <t>Z-4-18</t>
  </si>
  <si>
    <t>Z-4-19</t>
  </si>
  <si>
    <t>Z-4-20</t>
  </si>
  <si>
    <t>Z-4-21</t>
  </si>
  <si>
    <t>Z-4-22</t>
  </si>
  <si>
    <t>Z-4-23</t>
  </si>
  <si>
    <t>Z-4-24</t>
  </si>
  <si>
    <t>Z-4-26</t>
  </si>
  <si>
    <t>Z-4-27</t>
  </si>
  <si>
    <t>Z-4-28</t>
  </si>
  <si>
    <t>Z-4-29</t>
  </si>
  <si>
    <t>Z-4-35</t>
  </si>
  <si>
    <t>Z-4-37</t>
  </si>
  <si>
    <t>Z-4-38</t>
  </si>
  <si>
    <t>Z-4-39</t>
  </si>
  <si>
    <t>Z-4-40</t>
  </si>
  <si>
    <t>Z-4-41</t>
  </si>
  <si>
    <t>Z-5-1</t>
  </si>
  <si>
    <t>Z-5-2</t>
  </si>
  <si>
    <t>Z-5-3</t>
  </si>
  <si>
    <t>Z-5-4</t>
  </si>
  <si>
    <t>Z-5-5</t>
  </si>
  <si>
    <t>Z-5-6</t>
  </si>
  <si>
    <t>Z-5-7</t>
  </si>
  <si>
    <t>Z-5-8</t>
  </si>
  <si>
    <t>Z-5-9</t>
  </si>
  <si>
    <t>Z-5-10</t>
  </si>
  <si>
    <t>Z-5-11</t>
  </si>
  <si>
    <t>Z-5-12</t>
  </si>
  <si>
    <t>Z-5-13</t>
  </si>
  <si>
    <t>Z-5-14</t>
  </si>
  <si>
    <t>Z-5-15</t>
  </si>
  <si>
    <t>Z-5-16</t>
  </si>
  <si>
    <t>Z-5-17</t>
  </si>
  <si>
    <t>Z-5-18</t>
  </si>
  <si>
    <t>Z-5-19</t>
  </si>
  <si>
    <t>Z-5-20</t>
  </si>
  <si>
    <t>Z-5-21</t>
  </si>
  <si>
    <t>Z-5-22</t>
  </si>
  <si>
    <t>Z-5-23</t>
  </si>
  <si>
    <t>Z-5-24</t>
  </si>
  <si>
    <t>Z-5-25</t>
  </si>
  <si>
    <t>Z-5-26</t>
  </si>
  <si>
    <t>Z-5-27</t>
  </si>
  <si>
    <t>Z-5-28</t>
  </si>
  <si>
    <t>Z-5-29</t>
  </si>
  <si>
    <t>Z-5-30</t>
  </si>
  <si>
    <t>Z-5-31</t>
  </si>
  <si>
    <t>Z-5-32</t>
  </si>
  <si>
    <t>Z-5-33</t>
  </si>
  <si>
    <t>Z-5-34</t>
  </si>
  <si>
    <t>Z-5-35</t>
  </si>
  <si>
    <t>Z-5-36</t>
  </si>
  <si>
    <t>Z-5-37</t>
  </si>
  <si>
    <t>Z-5-38</t>
  </si>
  <si>
    <t>Z-5-39</t>
  </si>
  <si>
    <t>Z-5-40</t>
  </si>
  <si>
    <t>Z-5-41</t>
  </si>
  <si>
    <t>Z-5-42</t>
  </si>
  <si>
    <t>Z-5-43</t>
  </si>
  <si>
    <t>Z-5-44</t>
  </si>
  <si>
    <t>Z-5-45</t>
  </si>
  <si>
    <t>Z-5-46</t>
  </si>
  <si>
    <t>Z-5-47</t>
  </si>
  <si>
    <t>Z-5-48</t>
  </si>
  <si>
    <t>Z-5-49</t>
  </si>
  <si>
    <t>Z-7-1</t>
  </si>
  <si>
    <t>Z-7-2</t>
  </si>
  <si>
    <t>Z-7-3</t>
  </si>
  <si>
    <t>Z-7-4</t>
  </si>
  <si>
    <t>Z-7-5</t>
  </si>
  <si>
    <t>Z-7-6</t>
  </si>
  <si>
    <t>Z-7-7</t>
  </si>
  <si>
    <t>Z-7-8</t>
  </si>
  <si>
    <t>Z-7-9</t>
  </si>
  <si>
    <t>Z-10-1</t>
  </si>
  <si>
    <t>Z-10-2</t>
  </si>
  <si>
    <t>Z-10-3</t>
  </si>
  <si>
    <t>Z-10-4</t>
  </si>
  <si>
    <t>Z-10-5</t>
  </si>
  <si>
    <t>Z-10-6</t>
  </si>
  <si>
    <t>Z-10-7</t>
  </si>
  <si>
    <t>Z-10-8</t>
  </si>
  <si>
    <t>Z-10-9</t>
  </si>
  <si>
    <t>Z-10-10</t>
  </si>
  <si>
    <t>Z-10-11</t>
  </si>
  <si>
    <t>Z-10-12</t>
  </si>
  <si>
    <t>Z-10-13</t>
  </si>
  <si>
    <t>Z-10-14</t>
  </si>
  <si>
    <t>Z-10-15</t>
  </si>
  <si>
    <t>Z-10-16</t>
  </si>
  <si>
    <t>Z-10-17</t>
  </si>
  <si>
    <t>Z-10-18</t>
  </si>
  <si>
    <t>Z-10-19</t>
  </si>
  <si>
    <t>Z-10-20</t>
  </si>
  <si>
    <t>Z-10-21</t>
  </si>
  <si>
    <t>Z-10-22</t>
  </si>
  <si>
    <t>Z-10-23</t>
  </si>
  <si>
    <t>Z-10-24</t>
  </si>
  <si>
    <t>Z-10-25</t>
  </si>
  <si>
    <t>Z-10-26</t>
  </si>
  <si>
    <t>Z-10-27</t>
  </si>
  <si>
    <t>Z-10-28</t>
  </si>
  <si>
    <t>Z-10-29</t>
  </si>
  <si>
    <t>Z-10-30</t>
  </si>
  <si>
    <t>Z-10-31</t>
  </si>
  <si>
    <t>Z-10-32</t>
  </si>
  <si>
    <t>Z-10-33</t>
  </si>
  <si>
    <t>Z-13-1</t>
  </si>
  <si>
    <t>Z-13-2</t>
  </si>
  <si>
    <t>Z-13-5</t>
  </si>
  <si>
    <t>Z-13-6</t>
  </si>
  <si>
    <t>Z-13-7</t>
  </si>
  <si>
    <t>Z-13-8</t>
  </si>
  <si>
    <t>Z-13-9</t>
  </si>
  <si>
    <t>Z-13-10</t>
  </si>
  <si>
    <t>Z-13-11</t>
  </si>
  <si>
    <t>Z-13-12</t>
  </si>
  <si>
    <t>Z-13-13</t>
  </si>
  <si>
    <t>Z-13-15</t>
  </si>
  <si>
    <t>Z-13-16</t>
  </si>
  <si>
    <t>Z-13-17</t>
  </si>
  <si>
    <t>Z-13-18</t>
  </si>
  <si>
    <t>Z-13-19</t>
  </si>
  <si>
    <t>Z-13-20</t>
  </si>
  <si>
    <t>Z-13-21</t>
  </si>
  <si>
    <t>Z-13-22</t>
  </si>
  <si>
    <t>Z-13-23</t>
  </si>
  <si>
    <t>Z-13-24</t>
  </si>
  <si>
    <t>Z-13-25</t>
  </si>
  <si>
    <t>LINEAR BEARING</t>
  </si>
  <si>
    <t>MISELLANEOUS</t>
  </si>
  <si>
    <t>UNIVERSAL JOINT CROSS</t>
  </si>
  <si>
    <t>FLEXIBLE PROFILE KNIFE, 110 X 220 MM, 38MM STRAIGHT FLAP, ZERO DEG ANGLE, CYLINDER DIA 81MM, PULL 74MM (BEST REF: FA-410731)</t>
  </si>
  <si>
    <t>Z-4-25</t>
  </si>
  <si>
    <t>PROXIMITY SENSOR PRL08-1.5DP</t>
  </si>
  <si>
    <t>N-1-9</t>
  </si>
  <si>
    <t>79804M, KIT PRINT HEAD 300DPIZM600</t>
  </si>
  <si>
    <t>A2</t>
  </si>
  <si>
    <t>A3</t>
  </si>
  <si>
    <t>A4</t>
  </si>
  <si>
    <t>A5</t>
  </si>
  <si>
    <t>B1</t>
  </si>
  <si>
    <t>B2</t>
  </si>
  <si>
    <t>SOLENOID VALVE YS-DCF-R1 24VDC</t>
  </si>
  <si>
    <t>N-3-6</t>
  </si>
  <si>
    <t>F-1-39</t>
  </si>
  <si>
    <t>DUAL POSITIVE DRIVE TIMING BELT FOR PINEBERRY FEEDER, D190XL037.</t>
  </si>
  <si>
    <t>F-1-40</t>
  </si>
  <si>
    <t>F-1-41</t>
  </si>
  <si>
    <t>BLUE RIBBED FEEDER BELT 002128R (ART # 1002381)</t>
  </si>
  <si>
    <t>TAN BELT HSF-00-013 FOR PINEBERRY FEEDER</t>
  </si>
  <si>
    <t>BRG0001</t>
  </si>
  <si>
    <t>BRG0002</t>
  </si>
  <si>
    <t>BRG0003</t>
  </si>
  <si>
    <t>BRG0004</t>
  </si>
  <si>
    <t>BRG0005</t>
  </si>
  <si>
    <t>BRG0006</t>
  </si>
  <si>
    <t>BRG0007</t>
  </si>
  <si>
    <t>BRG0008</t>
  </si>
  <si>
    <t>BRG0009</t>
  </si>
  <si>
    <t>SPECIAL TIMING BELT, NOT=89</t>
  </si>
  <si>
    <t>B-5-9</t>
  </si>
  <si>
    <t>SPECIAL TIMING BELT, NOT=100</t>
  </si>
  <si>
    <t>B-5-10</t>
  </si>
  <si>
    <t>W&amp;D REF: L 249.00.2530.1, SCORE ROLL, 60A, DIA=80MM, ONE GROOVE (UNICAST REF: 10-1187)</t>
  </si>
  <si>
    <t>E-6-7</t>
  </si>
  <si>
    <t>12V CHANNEL OPTOCOUPLER ISOLATION MODULE</t>
  </si>
  <si>
    <t>C-3-1</t>
  </si>
  <si>
    <t>FLOTEK TRANSFORMER 100VA/240/480/24V, ITEM # 93026</t>
  </si>
  <si>
    <t>PU TUBING 8MM</t>
  </si>
  <si>
    <t>Y-2-14</t>
  </si>
  <si>
    <t>BRG0010</t>
  </si>
  <si>
    <t>BRG0011</t>
  </si>
  <si>
    <t>BRG0012</t>
  </si>
  <si>
    <t>BRG0013</t>
  </si>
  <si>
    <t>BRG0014</t>
  </si>
  <si>
    <t>BRG0015</t>
  </si>
  <si>
    <t>BRG0016</t>
  </si>
  <si>
    <t>BRG0017</t>
  </si>
  <si>
    <t>BRG0018</t>
  </si>
  <si>
    <t>BRG0019</t>
  </si>
  <si>
    <t>BRG0020</t>
  </si>
  <si>
    <t>BRG0021</t>
  </si>
  <si>
    <t>BRG0022</t>
  </si>
  <si>
    <t>BRG0023</t>
  </si>
  <si>
    <t>BRG0024</t>
  </si>
  <si>
    <t>BRG0025</t>
  </si>
  <si>
    <t>BRG0026</t>
  </si>
  <si>
    <t>BRG0027</t>
  </si>
  <si>
    <t>BRG0028</t>
  </si>
  <si>
    <t>BRG0029</t>
  </si>
  <si>
    <t>BRG0030</t>
  </si>
  <si>
    <t>BRG0031</t>
  </si>
  <si>
    <t>BRG0032</t>
  </si>
  <si>
    <t>BRG0033</t>
  </si>
  <si>
    <t>BRG0034</t>
  </si>
  <si>
    <t>BRG0035</t>
  </si>
  <si>
    <t>BRG0036</t>
  </si>
  <si>
    <t>BRG0037</t>
  </si>
  <si>
    <t>BRG0038</t>
  </si>
  <si>
    <t>BRG0039</t>
  </si>
  <si>
    <t>BRG0040</t>
  </si>
  <si>
    <t>BRG0041</t>
  </si>
  <si>
    <t>BRG0042</t>
  </si>
  <si>
    <t>BRG0043</t>
  </si>
  <si>
    <t>BRG0044</t>
  </si>
  <si>
    <t>BRG0045</t>
  </si>
  <si>
    <t>BRG0046</t>
  </si>
  <si>
    <t>BRG0047</t>
  </si>
  <si>
    <t>BRG0048</t>
  </si>
  <si>
    <t>BRG0049</t>
  </si>
  <si>
    <t>BRG0050</t>
  </si>
  <si>
    <t>BRG0051</t>
  </si>
  <si>
    <t>BRG0052</t>
  </si>
  <si>
    <t>BRG0053</t>
  </si>
  <si>
    <t>BRG0054</t>
  </si>
  <si>
    <t>BRG0055</t>
  </si>
  <si>
    <t>BRG0056</t>
  </si>
  <si>
    <t>BRG0057</t>
  </si>
  <si>
    <t>BRG0058</t>
  </si>
  <si>
    <t>BRG0059</t>
  </si>
  <si>
    <t>BRG0060</t>
  </si>
  <si>
    <t>BRG0061</t>
  </si>
  <si>
    <t>BRG0062</t>
  </si>
  <si>
    <t>BRG0063</t>
  </si>
  <si>
    <t>BRG0064</t>
  </si>
  <si>
    <t>BRG0065</t>
  </si>
  <si>
    <t>BRG0066</t>
  </si>
  <si>
    <t>BRG0067</t>
  </si>
  <si>
    <t>BRG0068</t>
  </si>
  <si>
    <t>BRG0069</t>
  </si>
  <si>
    <t>BRG0070</t>
  </si>
  <si>
    <t>BRG0071</t>
  </si>
  <si>
    <t>BRG0072</t>
  </si>
  <si>
    <t>BRG0073</t>
  </si>
  <si>
    <t>BRG0074</t>
  </si>
  <si>
    <t>BRG0075</t>
  </si>
  <si>
    <t>BRG0076</t>
  </si>
  <si>
    <t>BRG0077</t>
  </si>
  <si>
    <t>BRG0078</t>
  </si>
  <si>
    <t>BRG0079</t>
  </si>
  <si>
    <t>BRG0080</t>
  </si>
  <si>
    <t>BRG0081</t>
  </si>
  <si>
    <t>BRG0082</t>
  </si>
  <si>
    <t>BRG0083</t>
  </si>
  <si>
    <t>BRG0084</t>
  </si>
  <si>
    <t>BRG0085</t>
  </si>
  <si>
    <t>BRG0086</t>
  </si>
  <si>
    <t>BRG0087</t>
  </si>
  <si>
    <t>BRG0088</t>
  </si>
  <si>
    <t>BRG0089</t>
  </si>
  <si>
    <t>BRG0090</t>
  </si>
  <si>
    <t>BRG0091</t>
  </si>
  <si>
    <t>BRG0092</t>
  </si>
  <si>
    <t>BRG0093</t>
  </si>
  <si>
    <t>BRG0094</t>
  </si>
  <si>
    <t>BRG0095</t>
  </si>
  <si>
    <t>BRG0096</t>
  </si>
  <si>
    <t>BRG0097</t>
  </si>
  <si>
    <t>BRG0098</t>
  </si>
  <si>
    <t>BRG0099</t>
  </si>
  <si>
    <t>BRG0100</t>
  </si>
  <si>
    <t>BRG0101</t>
  </si>
  <si>
    <t>BRG0102</t>
  </si>
  <si>
    <t>BRG0103</t>
  </si>
  <si>
    <t>BRG0104</t>
  </si>
  <si>
    <t>BRG0105</t>
  </si>
  <si>
    <t>BRG0106</t>
  </si>
  <si>
    <t>BRG0107</t>
  </si>
  <si>
    <t>BRG0108</t>
  </si>
  <si>
    <t>BRG0109</t>
  </si>
  <si>
    <t>BRG0110</t>
  </si>
  <si>
    <t>BRG0111</t>
  </si>
  <si>
    <t>BRG0112</t>
  </si>
  <si>
    <t>BRG0113</t>
  </si>
  <si>
    <t>BRG0114</t>
  </si>
  <si>
    <t>BRG0115</t>
  </si>
  <si>
    <t>BRG0116</t>
  </si>
  <si>
    <t>BRG0117</t>
  </si>
  <si>
    <t>BRG0118</t>
  </si>
  <si>
    <t>BRG0119</t>
  </si>
  <si>
    <t>BRG0120</t>
  </si>
  <si>
    <t>BRG0121</t>
  </si>
  <si>
    <t>BRG0122</t>
  </si>
  <si>
    <t>BRG0123</t>
  </si>
  <si>
    <t>BRG0124</t>
  </si>
  <si>
    <t>BRG0125</t>
  </si>
  <si>
    <t>BRG0126</t>
  </si>
  <si>
    <t>BRG0127</t>
  </si>
  <si>
    <t>BRG0128</t>
  </si>
  <si>
    <t>BRG0129</t>
  </si>
  <si>
    <t>BRG0130</t>
  </si>
  <si>
    <t>BRG0131</t>
  </si>
  <si>
    <t>BRG0132</t>
  </si>
  <si>
    <t>BRG0133</t>
  </si>
  <si>
    <t>BRG0134</t>
  </si>
  <si>
    <t>BRG0135</t>
  </si>
  <si>
    <t>BRG0136</t>
  </si>
  <si>
    <t>BRG0137</t>
  </si>
  <si>
    <t>BRG0138</t>
  </si>
  <si>
    <t>BRG0139</t>
  </si>
  <si>
    <t>BRG0140</t>
  </si>
  <si>
    <t>BRG0141</t>
  </si>
  <si>
    <t>BRG0142</t>
  </si>
  <si>
    <t>BRG0143</t>
  </si>
  <si>
    <t>BRG0144</t>
  </si>
  <si>
    <t>BRG0145</t>
  </si>
  <si>
    <t>BRG0146</t>
  </si>
  <si>
    <t>BRG0147</t>
  </si>
  <si>
    <t>BRG0148</t>
  </si>
  <si>
    <t>BRG0149</t>
  </si>
  <si>
    <t>BRG0150</t>
  </si>
  <si>
    <t>BRG0151</t>
  </si>
  <si>
    <t>BRG0152</t>
  </si>
  <si>
    <t>BRG0153</t>
  </si>
  <si>
    <t>BRG0154</t>
  </si>
  <si>
    <t>BRG0155</t>
  </si>
  <si>
    <t>BRG0156</t>
  </si>
  <si>
    <t>CORNER KNIFE, NO: 37348 &amp; NO: 37652</t>
  </si>
  <si>
    <t>COUPLING</t>
  </si>
  <si>
    <t>GER0001</t>
  </si>
  <si>
    <t>MEH0001</t>
  </si>
  <si>
    <t>GER0002</t>
  </si>
  <si>
    <t>MEH0003</t>
  </si>
  <si>
    <t>MEH0004</t>
  </si>
  <si>
    <t>BRG0157</t>
  </si>
  <si>
    <t>MEH0005</t>
  </si>
  <si>
    <t>FASTENERS</t>
  </si>
  <si>
    <t>NUT</t>
  </si>
  <si>
    <t>FSN</t>
  </si>
  <si>
    <t>FSN0001</t>
  </si>
  <si>
    <t>FEED ROLLER</t>
  </si>
  <si>
    <t>RLS0001</t>
  </si>
  <si>
    <t>RLS0002</t>
  </si>
  <si>
    <t>MEH0006</t>
  </si>
  <si>
    <t>GER0003</t>
  </si>
  <si>
    <t>GER0004</t>
  </si>
  <si>
    <t>RLS0003</t>
  </si>
  <si>
    <t>KNV0001</t>
  </si>
  <si>
    <t>RLS0004</t>
  </si>
  <si>
    <t>KNV0002</t>
  </si>
  <si>
    <t>MEH0007</t>
  </si>
  <si>
    <t>MEH0008</t>
  </si>
  <si>
    <t>MEH0009</t>
  </si>
  <si>
    <t>FSN0002</t>
  </si>
  <si>
    <t>RIVET</t>
  </si>
  <si>
    <t xml:space="preserve">ANCHOR </t>
  </si>
  <si>
    <t>CABLE TIE</t>
  </si>
  <si>
    <t>CIRCLIP/SNAP RING</t>
  </si>
  <si>
    <t>GER0005</t>
  </si>
  <si>
    <t>GER0006</t>
  </si>
  <si>
    <t>GER0007</t>
  </si>
  <si>
    <t>GER0008</t>
  </si>
  <si>
    <t>GER0009</t>
  </si>
  <si>
    <t>MEH0010</t>
  </si>
  <si>
    <t>MEH0011</t>
  </si>
  <si>
    <t>GER0010</t>
  </si>
  <si>
    <t>MEH0012</t>
  </si>
  <si>
    <t>GER0011</t>
  </si>
  <si>
    <t>RLS0005</t>
  </si>
  <si>
    <t>SOLENOID VALVE</t>
  </si>
  <si>
    <t>ELC0001</t>
  </si>
  <si>
    <t>MEH0013</t>
  </si>
  <si>
    <t>FSN0003</t>
  </si>
  <si>
    <t>MEH0014</t>
  </si>
  <si>
    <t>MEH0015</t>
  </si>
  <si>
    <t>MEH0016</t>
  </si>
  <si>
    <t>MEH0017</t>
  </si>
  <si>
    <t>MEH0018</t>
  </si>
  <si>
    <t>MEH0019</t>
  </si>
  <si>
    <t>GER0012</t>
  </si>
  <si>
    <t>PNU0001</t>
  </si>
  <si>
    <t>BRG0158</t>
  </si>
  <si>
    <t>GER0013</t>
  </si>
  <si>
    <t>FSN0004</t>
  </si>
  <si>
    <t>ELC0002</t>
  </si>
  <si>
    <t>MEH0020</t>
  </si>
  <si>
    <t>MEH0021</t>
  </si>
  <si>
    <t>CONNECTOR</t>
  </si>
  <si>
    <t>REGULATOR</t>
  </si>
  <si>
    <t>VALVE</t>
  </si>
  <si>
    <t>FLOW CONTROL VALVE</t>
  </si>
  <si>
    <t>CYLINDER</t>
  </si>
  <si>
    <t>PRESSURE SWITCH</t>
  </si>
  <si>
    <t>PNU0002</t>
  </si>
  <si>
    <t>MEH0022</t>
  </si>
  <si>
    <t>PNU0003</t>
  </si>
  <si>
    <t>REPAIR KIT</t>
  </si>
  <si>
    <t>MEH0023</t>
  </si>
  <si>
    <t>PNU0004</t>
  </si>
  <si>
    <t>SINGLE STRAND CHAIN</t>
  </si>
  <si>
    <t>DUPLEX CHAIN</t>
  </si>
  <si>
    <t>PIV GEAR CHAIN</t>
  </si>
  <si>
    <t>CHN0001</t>
  </si>
  <si>
    <t>MEH0024</t>
  </si>
  <si>
    <t>MEH0025</t>
  </si>
  <si>
    <t>MEH0026</t>
  </si>
  <si>
    <t>GLUE</t>
  </si>
  <si>
    <t>MSC0001</t>
  </si>
  <si>
    <t>PNU0005</t>
  </si>
  <si>
    <t>MEH0027</t>
  </si>
  <si>
    <t>TPE0001</t>
  </si>
  <si>
    <t>MSC0002</t>
  </si>
  <si>
    <t>FITTINGS</t>
  </si>
  <si>
    <t>MEH0028</t>
  </si>
  <si>
    <t>HYD0001</t>
  </si>
  <si>
    <t>HYD0002</t>
  </si>
  <si>
    <t>MEH0029</t>
  </si>
  <si>
    <t>MEH0030</t>
  </si>
  <si>
    <t>MEH0031</t>
  </si>
  <si>
    <t>MEH0032</t>
  </si>
  <si>
    <t>GER0014</t>
  </si>
  <si>
    <t>NOZZLE</t>
  </si>
  <si>
    <t>MEH0033</t>
  </si>
  <si>
    <t>MEH0034</t>
  </si>
  <si>
    <t>MEH0035</t>
  </si>
  <si>
    <t>EMERY PAPER</t>
  </si>
  <si>
    <t>MSC0003</t>
  </si>
  <si>
    <t>MEH0036</t>
  </si>
  <si>
    <t>MEH0037</t>
  </si>
  <si>
    <t>MEH0038</t>
  </si>
  <si>
    <t>MEH0039</t>
  </si>
  <si>
    <t>MEH0040</t>
  </si>
  <si>
    <t>MEH0041</t>
  </si>
  <si>
    <t>MEH0042</t>
  </si>
  <si>
    <t>MEH0043</t>
  </si>
  <si>
    <t>FSN0005</t>
  </si>
  <si>
    <t>MEH0044</t>
  </si>
  <si>
    <t>MEH0045</t>
  </si>
  <si>
    <t>MEH0046</t>
  </si>
  <si>
    <t>KNIFE</t>
  </si>
  <si>
    <t>MSC0004</t>
  </si>
  <si>
    <t>MEH0047</t>
  </si>
  <si>
    <t>MEH0048</t>
  </si>
  <si>
    <t>MEH0049</t>
  </si>
  <si>
    <t>MSC0005</t>
  </si>
  <si>
    <t>BLT0003</t>
  </si>
  <si>
    <t>MEH0050</t>
  </si>
  <si>
    <t>MEH0051</t>
  </si>
  <si>
    <t>GER0015</t>
  </si>
  <si>
    <t>MEH0052</t>
  </si>
  <si>
    <t>GER0016</t>
  </si>
  <si>
    <t>GER0017</t>
  </si>
  <si>
    <t>BRUSH</t>
  </si>
  <si>
    <t>MEH0053</t>
  </si>
  <si>
    <t>MEH0054</t>
  </si>
  <si>
    <t>MEH0055</t>
  </si>
  <si>
    <t>MEH0056</t>
  </si>
  <si>
    <t>MEH0057</t>
  </si>
  <si>
    <t>ELECTRODE</t>
  </si>
  <si>
    <t>MSC0006</t>
  </si>
  <si>
    <t>MEH0058</t>
  </si>
  <si>
    <t>CERAMIC BAR</t>
  </si>
  <si>
    <t>MEH0059</t>
  </si>
  <si>
    <t>MEH0060</t>
  </si>
  <si>
    <t>MEH0061</t>
  </si>
  <si>
    <t>CLIP</t>
  </si>
  <si>
    <t>MEH0062</t>
  </si>
  <si>
    <t>MEH0063</t>
  </si>
  <si>
    <t>TPE0002</t>
  </si>
  <si>
    <t>GER0018</t>
  </si>
  <si>
    <t>MEH0066</t>
  </si>
  <si>
    <t>MEH0067</t>
  </si>
  <si>
    <t>MEH0068</t>
  </si>
  <si>
    <t>BRG0159</t>
  </si>
  <si>
    <t>MEH0070</t>
  </si>
  <si>
    <t>MEH0071</t>
  </si>
  <si>
    <t>PAD</t>
  </si>
  <si>
    <t>RLS0006</t>
  </si>
  <si>
    <t>BRG0160</t>
  </si>
  <si>
    <t>BRG0161</t>
  </si>
  <si>
    <t>BRG0162</t>
  </si>
  <si>
    <t>BRG0163</t>
  </si>
  <si>
    <t>RLS0007</t>
  </si>
  <si>
    <t>RLS0008</t>
  </si>
  <si>
    <t>MEH0072</t>
  </si>
  <si>
    <t>MEH0073</t>
  </si>
  <si>
    <t>GER0019</t>
  </si>
  <si>
    <t>ROLLER</t>
  </si>
  <si>
    <t>MEH0074</t>
  </si>
  <si>
    <t>MEH0075</t>
  </si>
  <si>
    <t>MEH0076</t>
  </si>
  <si>
    <t>RLS0009</t>
  </si>
  <si>
    <t>RLS0010</t>
  </si>
  <si>
    <t>MEH0077</t>
  </si>
  <si>
    <t>MEH0078</t>
  </si>
  <si>
    <t>RLS0011</t>
  </si>
  <si>
    <t>METER</t>
  </si>
  <si>
    <t>ELC0003</t>
  </si>
  <si>
    <t>PNU0006</t>
  </si>
  <si>
    <t>ELC0004</t>
  </si>
  <si>
    <t>ELC0005</t>
  </si>
  <si>
    <t>ELC0006</t>
  </si>
  <si>
    <t>ELC0007</t>
  </si>
  <si>
    <t>ELC0008</t>
  </si>
  <si>
    <t>ELC0009</t>
  </si>
  <si>
    <t>ELC0010</t>
  </si>
  <si>
    <t>PNU0007</t>
  </si>
  <si>
    <t>ELC0011</t>
  </si>
  <si>
    <t>ELC0012</t>
  </si>
  <si>
    <t>ELC0013</t>
  </si>
  <si>
    <t>ELC0014</t>
  </si>
  <si>
    <t>ELC0015</t>
  </si>
  <si>
    <t>ELC0016</t>
  </si>
  <si>
    <t>ELC0017</t>
  </si>
  <si>
    <t>ELC0018</t>
  </si>
  <si>
    <t>ELC0019</t>
  </si>
  <si>
    <t>PUSH BUTTON</t>
  </si>
  <si>
    <t>ELC0020</t>
  </si>
  <si>
    <t>ELC0021</t>
  </si>
  <si>
    <t>ELC0022</t>
  </si>
  <si>
    <t>ELC0023</t>
  </si>
  <si>
    <t>ENCODER</t>
  </si>
  <si>
    <t>ELC0024</t>
  </si>
  <si>
    <t>ELC0025</t>
  </si>
  <si>
    <t>ELC0026</t>
  </si>
  <si>
    <t>ELC0027</t>
  </si>
  <si>
    <t>ELC0028</t>
  </si>
  <si>
    <t>ELC0029</t>
  </si>
  <si>
    <t>CONTROLLER</t>
  </si>
  <si>
    <t>ELC0030</t>
  </si>
  <si>
    <t>ELC0031</t>
  </si>
  <si>
    <t>ELC0032</t>
  </si>
  <si>
    <t>ELC0033</t>
  </si>
  <si>
    <t>ELC0034</t>
  </si>
  <si>
    <t>ELC0035</t>
  </si>
  <si>
    <t>ELC0036</t>
  </si>
  <si>
    <t>ELC0037</t>
  </si>
  <si>
    <t>FAN</t>
  </si>
  <si>
    <t>(blank)</t>
  </si>
  <si>
    <t>ELC0038</t>
  </si>
  <si>
    <t>ELC0039</t>
  </si>
  <si>
    <t>ELC0040</t>
  </si>
  <si>
    <t>ELC0041</t>
  </si>
  <si>
    <t>ELC0042</t>
  </si>
  <si>
    <t>ELC0043</t>
  </si>
  <si>
    <t>ELC0044</t>
  </si>
  <si>
    <t>ELC0045</t>
  </si>
  <si>
    <t>ELC0046</t>
  </si>
  <si>
    <t>ELC0047</t>
  </si>
  <si>
    <t>ELC0048</t>
  </si>
  <si>
    <t>ELC0049</t>
  </si>
  <si>
    <t>ELC0050</t>
  </si>
  <si>
    <t>ELC0051</t>
  </si>
  <si>
    <t>ELC0052</t>
  </si>
  <si>
    <t>ELC0053</t>
  </si>
  <si>
    <t>ELC0054</t>
  </si>
  <si>
    <t>ELC0055</t>
  </si>
  <si>
    <t>ELC0056</t>
  </si>
  <si>
    <t>ELC0057</t>
  </si>
  <si>
    <t>ELC0058</t>
  </si>
  <si>
    <t>ELC0059</t>
  </si>
  <si>
    <t>ELC0060</t>
  </si>
  <si>
    <t>ELC0061</t>
  </si>
  <si>
    <t>ELC0062</t>
  </si>
  <si>
    <t>ELC0063</t>
  </si>
  <si>
    <t>ELC0064</t>
  </si>
  <si>
    <t>ELC0065</t>
  </si>
  <si>
    <t>ELC0066</t>
  </si>
  <si>
    <t>ELC0067</t>
  </si>
  <si>
    <t>ELC0068</t>
  </si>
  <si>
    <t>ELC0069</t>
  </si>
  <si>
    <t>ELC0070</t>
  </si>
  <si>
    <t>ELC0071</t>
  </si>
  <si>
    <t>ELC0072</t>
  </si>
  <si>
    <t>ELC0073</t>
  </si>
  <si>
    <t>ELC0074</t>
  </si>
  <si>
    <t>ELC0075</t>
  </si>
  <si>
    <t>ELC0076</t>
  </si>
  <si>
    <t>ELC0077</t>
  </si>
  <si>
    <t>ELC0078</t>
  </si>
  <si>
    <t>ELC0079</t>
  </si>
  <si>
    <t>PNU0008</t>
  </si>
  <si>
    <t>ELC0080</t>
  </si>
  <si>
    <t>ELC0081</t>
  </si>
  <si>
    <t>ELC0082</t>
  </si>
  <si>
    <t>ELC0083</t>
  </si>
  <si>
    <t>ELC0084</t>
  </si>
  <si>
    <t>ELC0085</t>
  </si>
  <si>
    <t>ELC0086</t>
  </si>
  <si>
    <t>ELC0087</t>
  </si>
  <si>
    <t>ELC0088</t>
  </si>
  <si>
    <t>ELC0089</t>
  </si>
  <si>
    <t>ELC0090</t>
  </si>
  <si>
    <t>ELC0091</t>
  </si>
  <si>
    <t>ELC0092</t>
  </si>
  <si>
    <t>ELC0093</t>
  </si>
  <si>
    <t>ELC0094</t>
  </si>
  <si>
    <t>ELC0095</t>
  </si>
  <si>
    <t>ELC0096</t>
  </si>
  <si>
    <t>ELC0097</t>
  </si>
  <si>
    <t>ELC0098</t>
  </si>
  <si>
    <t>ELC0099</t>
  </si>
  <si>
    <t>ELC0100</t>
  </si>
  <si>
    <t>ELC0101</t>
  </si>
  <si>
    <t>ELC0102</t>
  </si>
  <si>
    <t>ELC0103</t>
  </si>
  <si>
    <t>ELC0104</t>
  </si>
  <si>
    <t>ELC0105</t>
  </si>
  <si>
    <t>ELC0106</t>
  </si>
  <si>
    <t>ELC0107</t>
  </si>
  <si>
    <t>ELC0108</t>
  </si>
  <si>
    <t>ELC0109</t>
  </si>
  <si>
    <t>ELC0110</t>
  </si>
  <si>
    <t>ELC0111</t>
  </si>
  <si>
    <t>ELC0112</t>
  </si>
  <si>
    <t>ELC0113</t>
  </si>
  <si>
    <t>RESISTOR</t>
  </si>
  <si>
    <t>ELC0114</t>
  </si>
  <si>
    <t>ELC0115</t>
  </si>
  <si>
    <t>ELC0116</t>
  </si>
  <si>
    <t>ELC0117</t>
  </si>
  <si>
    <t>ELC0118</t>
  </si>
  <si>
    <t>ELC0119</t>
  </si>
  <si>
    <t>ELC0120</t>
  </si>
  <si>
    <t>ELC0121</t>
  </si>
  <si>
    <t>ELC0122</t>
  </si>
  <si>
    <t>ELC0123</t>
  </si>
  <si>
    <t>ELC0124</t>
  </si>
  <si>
    <t>ELC0125</t>
  </si>
  <si>
    <t>ELC0126</t>
  </si>
  <si>
    <t>ELC0127</t>
  </si>
  <si>
    <t>ELC0128</t>
  </si>
  <si>
    <t>POWER SUPPLY</t>
  </si>
  <si>
    <t>ELC0129</t>
  </si>
  <si>
    <t>ELC0130</t>
  </si>
  <si>
    <t>ELC0131</t>
  </si>
  <si>
    <t>ELC0132</t>
  </si>
  <si>
    <t>ELC0133</t>
  </si>
  <si>
    <t>ELC0134</t>
  </si>
  <si>
    <t>ELC0135</t>
  </si>
  <si>
    <t>FSN0011</t>
  </si>
  <si>
    <t>ELC0136</t>
  </si>
  <si>
    <t>ELC0137</t>
  </si>
  <si>
    <t>ELC0138</t>
  </si>
  <si>
    <t>ELC0139</t>
  </si>
  <si>
    <t>ELC0140</t>
  </si>
  <si>
    <t>ELC0141</t>
  </si>
  <si>
    <t>ELC0142</t>
  </si>
  <si>
    <t>ELC0143</t>
  </si>
  <si>
    <t>ELC0144</t>
  </si>
  <si>
    <t>ELC0145</t>
  </si>
  <si>
    <t>ELC0146</t>
  </si>
  <si>
    <t>ELC0147</t>
  </si>
  <si>
    <t>ELC0148</t>
  </si>
  <si>
    <t>ELC0149</t>
  </si>
  <si>
    <t>ELC0150</t>
  </si>
  <si>
    <t>ELC0151</t>
  </si>
  <si>
    <t>ACCESSORIES</t>
  </si>
  <si>
    <t>ELC0152</t>
  </si>
  <si>
    <t>ELC0153</t>
  </si>
  <si>
    <t>ELC0154</t>
  </si>
  <si>
    <t>ELC0155</t>
  </si>
  <si>
    <t>ELC0156</t>
  </si>
  <si>
    <t>ELC0157</t>
  </si>
  <si>
    <t>ELC0158</t>
  </si>
  <si>
    <t>ELC0159</t>
  </si>
  <si>
    <t>BATTERY</t>
  </si>
  <si>
    <t>ELC0160</t>
  </si>
  <si>
    <t>ELC0161</t>
  </si>
  <si>
    <t>ELC0162</t>
  </si>
  <si>
    <t>ELC0163</t>
  </si>
  <si>
    <t>ELC0164</t>
  </si>
  <si>
    <t>ELC0165</t>
  </si>
  <si>
    <t>ELC0166</t>
  </si>
  <si>
    <t>ELC0167</t>
  </si>
  <si>
    <t>ELC0168</t>
  </si>
  <si>
    <t>ELC0169</t>
  </si>
  <si>
    <t>ELC0170</t>
  </si>
  <si>
    <t>ELC0171</t>
  </si>
  <si>
    <t>ELC0172</t>
  </si>
  <si>
    <t>ELC0173</t>
  </si>
  <si>
    <t>ELC0174</t>
  </si>
  <si>
    <t>ELC0175</t>
  </si>
  <si>
    <t>ALARM</t>
  </si>
  <si>
    <t>ELC0176</t>
  </si>
  <si>
    <t>ELC0177</t>
  </si>
  <si>
    <t>ELC0178</t>
  </si>
  <si>
    <t>ELC0179</t>
  </si>
  <si>
    <t>BLT0004</t>
  </si>
  <si>
    <t>BLT0005</t>
  </si>
  <si>
    <t>BLT0006</t>
  </si>
  <si>
    <t>BLT0007</t>
  </si>
  <si>
    <t>BLT0008</t>
  </si>
  <si>
    <t>BLT0009</t>
  </si>
  <si>
    <t>BLT0010</t>
  </si>
  <si>
    <t>BLT0011</t>
  </si>
  <si>
    <t>BLT0012</t>
  </si>
  <si>
    <t>BLT0013</t>
  </si>
  <si>
    <t>BLT0016</t>
  </si>
  <si>
    <t>BLT0017</t>
  </si>
  <si>
    <t>BLT0018</t>
  </si>
  <si>
    <t>BLT0019</t>
  </si>
  <si>
    <t>BLT0020</t>
  </si>
  <si>
    <t>BLT0021</t>
  </si>
  <si>
    <t>BLT0022</t>
  </si>
  <si>
    <t>BLT0023</t>
  </si>
  <si>
    <t>BLT0024</t>
  </si>
  <si>
    <t>BLT0025</t>
  </si>
  <si>
    <t>BLT0027</t>
  </si>
  <si>
    <t>BLT0028</t>
  </si>
  <si>
    <t>BLT0029</t>
  </si>
  <si>
    <t>BLT0030</t>
  </si>
  <si>
    <t>BLT0032</t>
  </si>
  <si>
    <t>PNU0009</t>
  </si>
  <si>
    <t>PNU0010</t>
  </si>
  <si>
    <t>PNU0011</t>
  </si>
  <si>
    <t>MEH0079</t>
  </si>
  <si>
    <t>MEH0080</t>
  </si>
  <si>
    <t>PNU0012</t>
  </si>
  <si>
    <t>FILTER</t>
  </si>
  <si>
    <t>PNU0013</t>
  </si>
  <si>
    <t>PNU0014</t>
  </si>
  <si>
    <t>PNU0015</t>
  </si>
  <si>
    <t>PNU0016</t>
  </si>
  <si>
    <t>PNU0017</t>
  </si>
  <si>
    <t>PNU0018</t>
  </si>
  <si>
    <t>PRD0001</t>
  </si>
  <si>
    <t>PNU0019</t>
  </si>
  <si>
    <t>LABELING TAPE</t>
  </si>
  <si>
    <t>TPE0003</t>
  </si>
  <si>
    <t>MEH0081</t>
  </si>
  <si>
    <t>MEH0082</t>
  </si>
  <si>
    <t>RIBBON</t>
  </si>
  <si>
    <t>MSC0007</t>
  </si>
  <si>
    <t>INK PAD</t>
  </si>
  <si>
    <t>MSC0008</t>
  </si>
  <si>
    <t>MSC0009</t>
  </si>
  <si>
    <t>MSC0010</t>
  </si>
  <si>
    <t>MEH0083</t>
  </si>
  <si>
    <t>MSC0011</t>
  </si>
  <si>
    <t>MEH0084</t>
  </si>
  <si>
    <t>MSC0012</t>
  </si>
  <si>
    <t>PPE0001</t>
  </si>
  <si>
    <t>PPE0002</t>
  </si>
  <si>
    <t>PPE0003</t>
  </si>
  <si>
    <t>MEH0085</t>
  </si>
  <si>
    <t>MEH0086</t>
  </si>
  <si>
    <t>MEH0087</t>
  </si>
  <si>
    <t>MEH0088</t>
  </si>
  <si>
    <t>GER0020</t>
  </si>
  <si>
    <t>FSN0012</t>
  </si>
  <si>
    <t>FSN0013</t>
  </si>
  <si>
    <t>MEH0089</t>
  </si>
  <si>
    <t>MEH0090</t>
  </si>
  <si>
    <t>MEH0091</t>
  </si>
  <si>
    <t>MEH0092</t>
  </si>
  <si>
    <t>FSN0014</t>
  </si>
  <si>
    <t>MEH0093</t>
  </si>
  <si>
    <t>MEH0094</t>
  </si>
  <si>
    <t>FSN0015</t>
  </si>
  <si>
    <t>MEH0095</t>
  </si>
  <si>
    <t>MEH0096</t>
  </si>
  <si>
    <t>MEH0097</t>
  </si>
  <si>
    <t>MEH0099</t>
  </si>
  <si>
    <t>O-RING</t>
  </si>
  <si>
    <t>MEH0100</t>
  </si>
  <si>
    <t>MEH0101</t>
  </si>
  <si>
    <t>MEH0102</t>
  </si>
  <si>
    <t>MEH0103</t>
  </si>
  <si>
    <t>MEH0104</t>
  </si>
  <si>
    <t>MEH0105</t>
  </si>
  <si>
    <t>MEH0106</t>
  </si>
  <si>
    <t>MEH0107</t>
  </si>
  <si>
    <t>MEH0108</t>
  </si>
  <si>
    <t>FSN0016</t>
  </si>
  <si>
    <t>MEH0109</t>
  </si>
  <si>
    <t>FSN0017</t>
  </si>
  <si>
    <t>MEH0110</t>
  </si>
  <si>
    <t>MEH0111</t>
  </si>
  <si>
    <t>FSN0018</t>
  </si>
  <si>
    <t>MEH0112</t>
  </si>
  <si>
    <t>MEH0113</t>
  </si>
  <si>
    <t>MEH0114</t>
  </si>
  <si>
    <t>SPRING</t>
  </si>
  <si>
    <t>MEH0115</t>
  </si>
  <si>
    <t>FSN0019</t>
  </si>
  <si>
    <t>ELC0180</t>
  </si>
  <si>
    <t>MEH0116</t>
  </si>
  <si>
    <t>MEH0117</t>
  </si>
  <si>
    <t>FSN0020</t>
  </si>
  <si>
    <t>MEH0118</t>
  </si>
  <si>
    <t>MEH0119</t>
  </si>
  <si>
    <t>BLT0034</t>
  </si>
  <si>
    <t>BLT0036</t>
  </si>
  <si>
    <t>MEH0120</t>
  </si>
  <si>
    <t>BLT0037</t>
  </si>
  <si>
    <t>BRG0164</t>
  </si>
  <si>
    <t>ELC0181</t>
  </si>
  <si>
    <t>ELC0182</t>
  </si>
  <si>
    <t>BRG0165</t>
  </si>
  <si>
    <t>PCB</t>
  </si>
  <si>
    <t>ELC0183</t>
  </si>
  <si>
    <t>ELC0184</t>
  </si>
  <si>
    <t>MEH0121</t>
  </si>
  <si>
    <t>MEH0122</t>
  </si>
  <si>
    <t>MEH0123</t>
  </si>
  <si>
    <t>MEH0124</t>
  </si>
  <si>
    <t>ELC0185</t>
  </si>
  <si>
    <t>ELC0186</t>
  </si>
  <si>
    <t>MEH0125</t>
  </si>
  <si>
    <t>ELC0187</t>
  </si>
  <si>
    <t>MEH0126</t>
  </si>
  <si>
    <t>ELC0188</t>
  </si>
  <si>
    <t>ELC0189</t>
  </si>
  <si>
    <t>FSN0021</t>
  </si>
  <si>
    <t>MEH0127</t>
  </si>
  <si>
    <t>PNU0020</t>
  </si>
  <si>
    <t>PNU0021</t>
  </si>
  <si>
    <t>PNU0022</t>
  </si>
  <si>
    <t>PNU0023</t>
  </si>
  <si>
    <t>ELC0190</t>
  </si>
  <si>
    <t>RLS0012</t>
  </si>
  <si>
    <t>RLS0013</t>
  </si>
  <si>
    <t>RLS0014</t>
  </si>
  <si>
    <t>BLT0038</t>
  </si>
  <si>
    <t>BLT0039</t>
  </si>
  <si>
    <t>MEH0128</t>
  </si>
  <si>
    <t>ELC0191</t>
  </si>
  <si>
    <t>MEH0129</t>
  </si>
  <si>
    <t>RLS0015</t>
  </si>
  <si>
    <t>RLS0016</t>
  </si>
  <si>
    <t>RLS0017</t>
  </si>
  <si>
    <t>RLS0018</t>
  </si>
  <si>
    <t>RLS0019</t>
  </si>
  <si>
    <t>RLS0020</t>
  </si>
  <si>
    <t>RLS0021</t>
  </si>
  <si>
    <t>RLS0022</t>
  </si>
  <si>
    <t>RLS0023</t>
  </si>
  <si>
    <t>RLS0024</t>
  </si>
  <si>
    <t>RLS0025</t>
  </si>
  <si>
    <t>CHN0002</t>
  </si>
  <si>
    <t>MEH0130</t>
  </si>
  <si>
    <t>BLT0040</t>
  </si>
  <si>
    <t>ELC0192</t>
  </si>
  <si>
    <t>RLS0026</t>
  </si>
  <si>
    <t>ELC0193</t>
  </si>
  <si>
    <t>ALIGNER PIN</t>
  </si>
  <si>
    <t>CHN0003</t>
  </si>
  <si>
    <t>CHN0004</t>
  </si>
  <si>
    <t>RLS0027</t>
  </si>
  <si>
    <t>RLS0028</t>
  </si>
  <si>
    <t>RLS0029</t>
  </si>
  <si>
    <t>RLS0030</t>
  </si>
  <si>
    <t>RLS0031</t>
  </si>
  <si>
    <t>RLS0032</t>
  </si>
  <si>
    <t>RLS0033</t>
  </si>
  <si>
    <t>MEH0133</t>
  </si>
  <si>
    <t>CHN0005</t>
  </si>
  <si>
    <t>MEH0134</t>
  </si>
  <si>
    <t>MEH0135</t>
  </si>
  <si>
    <t>BLT0041</t>
  </si>
  <si>
    <t>RLS0034</t>
  </si>
  <si>
    <t>RLS0035</t>
  </si>
  <si>
    <t>MEH0136</t>
  </si>
  <si>
    <t>CHN0006</t>
  </si>
  <si>
    <t>MEH0137</t>
  </si>
  <si>
    <t>BLT0042</t>
  </si>
  <si>
    <t>CHN0007</t>
  </si>
  <si>
    <t>MEH0138</t>
  </si>
  <si>
    <t>GLUE STICK</t>
  </si>
  <si>
    <t>PRD0002</t>
  </si>
  <si>
    <t>BLT0043</t>
  </si>
  <si>
    <t>BLT0044</t>
  </si>
  <si>
    <t>MEH0139</t>
  </si>
  <si>
    <t>MEH0140</t>
  </si>
  <si>
    <t>ELC0194</t>
  </si>
  <si>
    <t>ELC0195</t>
  </si>
  <si>
    <t>ELC0196</t>
  </si>
  <si>
    <t>ELC0197</t>
  </si>
  <si>
    <t>ELC0198</t>
  </si>
  <si>
    <t>ELC0199</t>
  </si>
  <si>
    <t>ELC0200</t>
  </si>
  <si>
    <t>ELC0201</t>
  </si>
  <si>
    <t>ELC0202</t>
  </si>
  <si>
    <t>PRD0003</t>
  </si>
  <si>
    <t>TEFLON TAPE</t>
  </si>
  <si>
    <t>TPE0004</t>
  </si>
  <si>
    <t>KNV0003</t>
  </si>
  <si>
    <t>ELC0203</t>
  </si>
  <si>
    <t>KNV0004</t>
  </si>
  <si>
    <t>MEH0141</t>
  </si>
  <si>
    <t>TPE0005</t>
  </si>
  <si>
    <t>LUGS</t>
  </si>
  <si>
    <t>MEH0142</t>
  </si>
  <si>
    <t>ELC0204</t>
  </si>
  <si>
    <t>MEH0143</t>
  </si>
  <si>
    <t>RLS0036</t>
  </si>
  <si>
    <t>ELC0205</t>
  </si>
  <si>
    <t>PNU0024</t>
  </si>
  <si>
    <t>BLT0045</t>
  </si>
  <si>
    <t>BLT0046</t>
  </si>
  <si>
    <t>TPE0006</t>
  </si>
  <si>
    <t>FSN0022</t>
  </si>
  <si>
    <t>RLS0037</t>
  </si>
  <si>
    <t>TPE0007</t>
  </si>
  <si>
    <t>PNU0025</t>
  </si>
  <si>
    <t>BLT0047</t>
  </si>
  <si>
    <t>BLT0048</t>
  </si>
  <si>
    <t>BLT0049</t>
  </si>
  <si>
    <t>BLT0050</t>
  </si>
  <si>
    <t>BLT0051</t>
  </si>
  <si>
    <t>MEH0144</t>
  </si>
  <si>
    <t>MEH0145</t>
  </si>
  <si>
    <t>MEH0146</t>
  </si>
  <si>
    <t>ELC0206</t>
  </si>
  <si>
    <t>MEH0147</t>
  </si>
  <si>
    <t>PRD0004</t>
  </si>
  <si>
    <t>MEH0148</t>
  </si>
  <si>
    <t>BLT0052</t>
  </si>
  <si>
    <t>ELC0207</t>
  </si>
  <si>
    <t>MEH0149</t>
  </si>
  <si>
    <t>AIR CHUCK</t>
  </si>
  <si>
    <t>MEH0150</t>
  </si>
  <si>
    <t>PNU0026</t>
  </si>
  <si>
    <t>ELC0208</t>
  </si>
  <si>
    <t>MEH0151</t>
  </si>
  <si>
    <t>ELC0209</t>
  </si>
  <si>
    <t>ELC0210</t>
  </si>
  <si>
    <t>MEH0152</t>
  </si>
  <si>
    <t>BRG0166</t>
  </si>
  <si>
    <t>MEH0153</t>
  </si>
  <si>
    <t>BLT0053</t>
  </si>
  <si>
    <t>MEH0154</t>
  </si>
  <si>
    <t>PNU0027</t>
  </si>
  <si>
    <t>TPE0008</t>
  </si>
  <si>
    <t>ELC0211</t>
  </si>
  <si>
    <t>THERMOCOUPLE</t>
  </si>
  <si>
    <t>ELC0212</t>
  </si>
  <si>
    <t>MEH0155</t>
  </si>
  <si>
    <t>SEALING KNIFE</t>
  </si>
  <si>
    <t>KNV0005</t>
  </si>
  <si>
    <t>DAMPENER</t>
  </si>
  <si>
    <t>HYD0003</t>
  </si>
  <si>
    <t>MEH0156</t>
  </si>
  <si>
    <t>MEH0157</t>
  </si>
  <si>
    <t>KNV0006</t>
  </si>
  <si>
    <t>HYD0004</t>
  </si>
  <si>
    <t>MEH0158</t>
  </si>
  <si>
    <t>TPE0009</t>
  </si>
  <si>
    <t>MEH0159</t>
  </si>
  <si>
    <t>MEH0160</t>
  </si>
  <si>
    <t>ELC0213</t>
  </si>
  <si>
    <t>ELC0214</t>
  </si>
  <si>
    <t>BRG0167</t>
  </si>
  <si>
    <t>MEH0161</t>
  </si>
  <si>
    <t>MEH0162</t>
  </si>
  <si>
    <t>RLS0038</t>
  </si>
  <si>
    <t>ELC0215</t>
  </si>
  <si>
    <t>RLS0039</t>
  </si>
  <si>
    <t>FSN0023</t>
  </si>
  <si>
    <t>FSN0024</t>
  </si>
  <si>
    <t>CUTTING KNIFE</t>
  </si>
  <si>
    <t>KNV0007</t>
  </si>
  <si>
    <t>BLT0054</t>
  </si>
  <si>
    <t>ELC0216</t>
  </si>
  <si>
    <t>ELC0217</t>
  </si>
  <si>
    <t>KNV0008</t>
  </si>
  <si>
    <t>MEH0163</t>
  </si>
  <si>
    <t>MEH0164</t>
  </si>
  <si>
    <t>MEH0165</t>
  </si>
  <si>
    <t>RIBBED FLAT BELT</t>
  </si>
  <si>
    <t>BLT0055</t>
  </si>
  <si>
    <t>ELC0218</t>
  </si>
  <si>
    <t>ELC0219</t>
  </si>
  <si>
    <t>ELC0220</t>
  </si>
  <si>
    <t>RLS0040</t>
  </si>
  <si>
    <t>GER0021</t>
  </si>
  <si>
    <t>FSN0025</t>
  </si>
  <si>
    <t>FSN0026</t>
  </si>
  <si>
    <t>MEH0166</t>
  </si>
  <si>
    <t>ELC0221</t>
  </si>
  <si>
    <t>GER0022</t>
  </si>
  <si>
    <t>MEH0167</t>
  </si>
  <si>
    <t>ELC0222</t>
  </si>
  <si>
    <t>ELC0223</t>
  </si>
  <si>
    <t>FSN0027</t>
  </si>
  <si>
    <t>ELC0224</t>
  </si>
  <si>
    <t>FSN0028</t>
  </si>
  <si>
    <t>MSC0013</t>
  </si>
  <si>
    <t>MSC0014</t>
  </si>
  <si>
    <t>MEH0168</t>
  </si>
  <si>
    <t>MEH0169</t>
  </si>
  <si>
    <t>MEH0170</t>
  </si>
  <si>
    <t>MEH0171</t>
  </si>
  <si>
    <t>MEH0172</t>
  </si>
  <si>
    <t>MEH0173</t>
  </si>
  <si>
    <t>MEH0174</t>
  </si>
  <si>
    <t>GER0023</t>
  </si>
  <si>
    <t>GER0024</t>
  </si>
  <si>
    <t>GER0025</t>
  </si>
  <si>
    <t>RLS0041</t>
  </si>
  <si>
    <t>RLS0042</t>
  </si>
  <si>
    <t>RLS0043</t>
  </si>
  <si>
    <t>RLS0044</t>
  </si>
  <si>
    <t>SCORING BLADE</t>
  </si>
  <si>
    <t>KNV0009</t>
  </si>
  <si>
    <t>MEH0175</t>
  </si>
  <si>
    <t>RLS0045</t>
  </si>
  <si>
    <t>FSN0029</t>
  </si>
  <si>
    <t>FSN0030</t>
  </si>
  <si>
    <t>FSN0031</t>
  </si>
  <si>
    <t>MEH0176</t>
  </si>
  <si>
    <t>MEH0177</t>
  </si>
  <si>
    <t>KNV0010</t>
  </si>
  <si>
    <t>MEH0178</t>
  </si>
  <si>
    <t>ELC0225</t>
  </si>
  <si>
    <t>MEH0179</t>
  </si>
  <si>
    <t>FSN0032</t>
  </si>
  <si>
    <t>FSN0033</t>
  </si>
  <si>
    <t>PRD0005</t>
  </si>
  <si>
    <t>MEH0180</t>
  </si>
  <si>
    <t>FSN0034</t>
  </si>
  <si>
    <t>FSN0035</t>
  </si>
  <si>
    <t>FSN0036</t>
  </si>
  <si>
    <t>MEH0181</t>
  </si>
  <si>
    <t>MEH0182</t>
  </si>
  <si>
    <t>MEH0183</t>
  </si>
  <si>
    <t>MEH0184</t>
  </si>
  <si>
    <t>MEH0185</t>
  </si>
  <si>
    <t>MEH0186</t>
  </si>
  <si>
    <t>RLS0046</t>
  </si>
  <si>
    <t>PRD0006</t>
  </si>
  <si>
    <t>RLS0047</t>
  </si>
  <si>
    <t>BLT0057</t>
  </si>
  <si>
    <t>BLT0058</t>
  </si>
  <si>
    <t>RLS0048</t>
  </si>
  <si>
    <t>RLS0049</t>
  </si>
  <si>
    <t>MEH0187</t>
  </si>
  <si>
    <t>RLS0050</t>
  </si>
  <si>
    <t>PUMP</t>
  </si>
  <si>
    <t>PNU0028</t>
  </si>
  <si>
    <t>PNU0029</t>
  </si>
  <si>
    <t>PNU0030</t>
  </si>
  <si>
    <t>BRG0168</t>
  </si>
  <si>
    <t>RLS0051</t>
  </si>
  <si>
    <t>PRD0007</t>
  </si>
  <si>
    <t>PRD0008</t>
  </si>
  <si>
    <t>BRG0169</t>
  </si>
  <si>
    <t>ELC0226</t>
  </si>
  <si>
    <t>ELC0227</t>
  </si>
  <si>
    <t>ELC0228</t>
  </si>
  <si>
    <t>RLS0052</t>
  </si>
  <si>
    <t>MEH0188</t>
  </si>
  <si>
    <t>BLT0059</t>
  </si>
  <si>
    <t>PRD0009</t>
  </si>
  <si>
    <t>MEH0189</t>
  </si>
  <si>
    <t>MEH0190</t>
  </si>
  <si>
    <t>ELC0230</t>
  </si>
  <si>
    <t>MEH0191</t>
  </si>
  <si>
    <t>MEH0192</t>
  </si>
  <si>
    <t>MEH0193</t>
  </si>
  <si>
    <t>PRD0010</t>
  </si>
  <si>
    <t>PNU0031</t>
  </si>
  <si>
    <t>RLS0053</t>
  </si>
  <si>
    <t>RLS0054</t>
  </si>
  <si>
    <t>RLS0055</t>
  </si>
  <si>
    <t>RLS0057</t>
  </si>
  <si>
    <t>RLS0058</t>
  </si>
  <si>
    <t>ELC0231</t>
  </si>
  <si>
    <t>RLS0059</t>
  </si>
  <si>
    <t>RLS0060</t>
  </si>
  <si>
    <t>RLS0061</t>
  </si>
  <si>
    <t>RLS0063</t>
  </si>
  <si>
    <t>RLS0064</t>
  </si>
  <si>
    <t>ELC0232</t>
  </si>
  <si>
    <t>RLS0065</t>
  </si>
  <si>
    <t>RLS0066</t>
  </si>
  <si>
    <t>RLS0067</t>
  </si>
  <si>
    <t>RLS0068</t>
  </si>
  <si>
    <t>RLS0069</t>
  </si>
  <si>
    <t>RLS0070</t>
  </si>
  <si>
    <t>ELC0233</t>
  </si>
  <si>
    <t>RLS0071</t>
  </si>
  <si>
    <t>RLS0072</t>
  </si>
  <si>
    <t>KNV0011</t>
  </si>
  <si>
    <t>RLS0073</t>
  </si>
  <si>
    <t>RLS0074</t>
  </si>
  <si>
    <t>RLS0075</t>
  </si>
  <si>
    <t>RLS0076</t>
  </si>
  <si>
    <t>RLS0077</t>
  </si>
  <si>
    <t>RLS0078</t>
  </si>
  <si>
    <t>MEH0194</t>
  </si>
  <si>
    <t>MEH0195</t>
  </si>
  <si>
    <t>MEH0196</t>
  </si>
  <si>
    <t>RLS0079</t>
  </si>
  <si>
    <t>RLS0080</t>
  </si>
  <si>
    <t>MEH0197</t>
  </si>
  <si>
    <t>KNV0012</t>
  </si>
  <si>
    <t>KNV0013</t>
  </si>
  <si>
    <t>KNV0014</t>
  </si>
  <si>
    <t>KNV0015</t>
  </si>
  <si>
    <t>BLT0060</t>
  </si>
  <si>
    <t>BLT0061</t>
  </si>
  <si>
    <t>BLT0062</t>
  </si>
  <si>
    <t>BLT0063</t>
  </si>
  <si>
    <t>BLT0064</t>
  </si>
  <si>
    <t>BLT0065</t>
  </si>
  <si>
    <t>BLT0066</t>
  </si>
  <si>
    <t>BLT0067</t>
  </si>
  <si>
    <t>BLT0068</t>
  </si>
  <si>
    <t>BLT0069</t>
  </si>
  <si>
    <t>BLT0070</t>
  </si>
  <si>
    <t>BLT0071</t>
  </si>
  <si>
    <t>BLT0072</t>
  </si>
  <si>
    <t>BLT0073</t>
  </si>
  <si>
    <t>BLT0074</t>
  </si>
  <si>
    <t>BLT0075</t>
  </si>
  <si>
    <t>BLT0076</t>
  </si>
  <si>
    <t>BLT0077</t>
  </si>
  <si>
    <t>BLT0078</t>
  </si>
  <si>
    <t>BLT0079</t>
  </si>
  <si>
    <t>BLT0080</t>
  </si>
  <si>
    <t>BLT0081</t>
  </si>
  <si>
    <t>BLT0082</t>
  </si>
  <si>
    <t>BLT0083</t>
  </si>
  <si>
    <t>MEH0198</t>
  </si>
  <si>
    <t>BLT0084</t>
  </si>
  <si>
    <t>BLT0085</t>
  </si>
  <si>
    <t>BLT0086</t>
  </si>
  <si>
    <t>BLT0087</t>
  </si>
  <si>
    <t>BLT0088</t>
  </si>
  <si>
    <t>BLT0089</t>
  </si>
  <si>
    <t>BLT0090</t>
  </si>
  <si>
    <t>BLT0091</t>
  </si>
  <si>
    <t>BLT0092</t>
  </si>
  <si>
    <t>MEH0199</t>
  </si>
  <si>
    <t>RLS0081</t>
  </si>
  <si>
    <t>BLT0093</t>
  </si>
  <si>
    <t>RLS0082</t>
  </si>
  <si>
    <t>RLS0083</t>
  </si>
  <si>
    <t>FSN0037</t>
  </si>
  <si>
    <t>FSN0038</t>
  </si>
  <si>
    <t>RLS0084</t>
  </si>
  <si>
    <t>RLS0085</t>
  </si>
  <si>
    <t>SIDE SCORE BLADE, PART: LO-1901</t>
  </si>
  <si>
    <t>KNV0016</t>
  </si>
  <si>
    <t>BRG0170</t>
  </si>
  <si>
    <t>MEH0200</t>
  </si>
  <si>
    <t>RLS0086</t>
  </si>
  <si>
    <t>RLS0087</t>
  </si>
  <si>
    <t>MEH0201</t>
  </si>
  <si>
    <t>MEH0202</t>
  </si>
  <si>
    <t>MEH0203</t>
  </si>
  <si>
    <t>BLT0094</t>
  </si>
  <si>
    <t>RLS0088</t>
  </si>
  <si>
    <t>RLS0089</t>
  </si>
  <si>
    <t>RLS0090</t>
  </si>
  <si>
    <t>MEH0204</t>
  </si>
  <si>
    <t>MEH0205</t>
  </si>
  <si>
    <t>MEH0206</t>
  </si>
  <si>
    <t>CHN0008</t>
  </si>
  <si>
    <t>BLT0095</t>
  </si>
  <si>
    <t>MEH0207</t>
  </si>
  <si>
    <t>BLT0096</t>
  </si>
  <si>
    <t>BLT0097</t>
  </si>
  <si>
    <t>MEH0208</t>
  </si>
  <si>
    <t>MEH0209</t>
  </si>
  <si>
    <t>RLS0091</t>
  </si>
  <si>
    <t>MEH0210</t>
  </si>
  <si>
    <t>CHN0009</t>
  </si>
  <si>
    <t>BLT0098</t>
  </si>
  <si>
    <t>BLT0099</t>
  </si>
  <si>
    <t>MEH0211</t>
  </si>
  <si>
    <t>MEH0212</t>
  </si>
  <si>
    <t>MEH0213</t>
  </si>
  <si>
    <t>BLT0100</t>
  </si>
  <si>
    <t>KNV0017</t>
  </si>
  <si>
    <t>BRG0171</t>
  </si>
  <si>
    <t>MEH0214</t>
  </si>
  <si>
    <t>BRG0172</t>
  </si>
  <si>
    <t>ELC0234</t>
  </si>
  <si>
    <t>MEH0215</t>
  </si>
  <si>
    <t>ELC0235</t>
  </si>
  <si>
    <t>BRG0173</t>
  </si>
  <si>
    <t>MEH0216</t>
  </si>
  <si>
    <t>ELC0236</t>
  </si>
  <si>
    <t>BRG0174</t>
  </si>
  <si>
    <t>BLT0101</t>
  </si>
  <si>
    <t>BRG0175</t>
  </si>
  <si>
    <t>BRG0176</t>
  </si>
  <si>
    <t>MEH0217</t>
  </si>
  <si>
    <t>MEH0218</t>
  </si>
  <si>
    <t>MEH0219</t>
  </si>
  <si>
    <t>MEH0220</t>
  </si>
  <si>
    <t>MEH0221</t>
  </si>
  <si>
    <t>MEH0222</t>
  </si>
  <si>
    <t>MEH0223</t>
  </si>
  <si>
    <t>PNU0032</t>
  </si>
  <si>
    <t>FSN0039</t>
  </si>
  <si>
    <t>PNU0033</t>
  </si>
  <si>
    <t>MEH0224</t>
  </si>
  <si>
    <t>KNV0018</t>
  </si>
  <si>
    <t>MEH0225</t>
  </si>
  <si>
    <t>FSN0040</t>
  </si>
  <si>
    <t>MEH0226</t>
  </si>
  <si>
    <t>FSN0041</t>
  </si>
  <si>
    <t>MEH0227</t>
  </si>
  <si>
    <t>FSN0042</t>
  </si>
  <si>
    <t>MEH0228</t>
  </si>
  <si>
    <t>CHN0010</t>
  </si>
  <si>
    <t>GER0026</t>
  </si>
  <si>
    <t>MEH0230</t>
  </si>
  <si>
    <t>MEH0231</t>
  </si>
  <si>
    <t>MEH0232</t>
  </si>
  <si>
    <t>FSN0043</t>
  </si>
  <si>
    <t>FSN0044</t>
  </si>
  <si>
    <t>FSN0045</t>
  </si>
  <si>
    <t>FSN0046</t>
  </si>
  <si>
    <t>FSN0047</t>
  </si>
  <si>
    <t>FSN0048</t>
  </si>
  <si>
    <t>GER0027</t>
  </si>
  <si>
    <t>FSN0049</t>
  </si>
  <si>
    <t>FSN0050</t>
  </si>
  <si>
    <t>FSN0051</t>
  </si>
  <si>
    <t>PNU0034</t>
  </si>
  <si>
    <t>RLS0092</t>
  </si>
  <si>
    <t>MEH0242</t>
  </si>
  <si>
    <t>RLS0093</t>
  </si>
  <si>
    <t>GER0028</t>
  </si>
  <si>
    <t>GER0029</t>
  </si>
  <si>
    <t>ELC0237</t>
  </si>
  <si>
    <t>MEH0245</t>
  </si>
  <si>
    <t>ELC0238</t>
  </si>
  <si>
    <t>PNU0035</t>
  </si>
  <si>
    <t>RLS0094</t>
  </si>
  <si>
    <t>MEH0247</t>
  </si>
  <si>
    <t>MEH0248</t>
  </si>
  <si>
    <t>FSN0052</t>
  </si>
  <si>
    <t>BLT0102</t>
  </si>
  <si>
    <t>MEH0249</t>
  </si>
  <si>
    <t>GER0031</t>
  </si>
  <si>
    <t>MEH0250</t>
  </si>
  <si>
    <t>FSN0054</t>
  </si>
  <si>
    <t>PNU0036</t>
  </si>
  <si>
    <t>MEH0251</t>
  </si>
  <si>
    <t>MEH0252</t>
  </si>
  <si>
    <t>MEH0253</t>
  </si>
  <si>
    <t>FSN0055</t>
  </si>
  <si>
    <t>MEH0255</t>
  </si>
  <si>
    <t>FSN0056</t>
  </si>
  <si>
    <t>BLT0103</t>
  </si>
  <si>
    <t>BLT0104</t>
  </si>
  <si>
    <t>MEH0256</t>
  </si>
  <si>
    <t>BLT0105</t>
  </si>
  <si>
    <t>BLT0106</t>
  </si>
  <si>
    <t>BLT0107</t>
  </si>
  <si>
    <t>MEH0257</t>
  </si>
  <si>
    <t>BLT0108</t>
  </si>
  <si>
    <t>RLS0095</t>
  </si>
  <si>
    <t>RLS0096</t>
  </si>
  <si>
    <t>MEH0258</t>
  </si>
  <si>
    <t>MEH0259</t>
  </si>
  <si>
    <t>BLT0109</t>
  </si>
  <si>
    <t>MEH0260</t>
  </si>
  <si>
    <t>BLT0110</t>
  </si>
  <si>
    <t>MEH0261</t>
  </si>
  <si>
    <t>GER0032</t>
  </si>
  <si>
    <t>MEH0262</t>
  </si>
  <si>
    <t>MEH0263</t>
  </si>
  <si>
    <t>PNU0037</t>
  </si>
  <si>
    <t>MEH0264</t>
  </si>
  <si>
    <t>MEH0265</t>
  </si>
  <si>
    <t>ELC0239</t>
  </si>
  <si>
    <t>TPE0010</t>
  </si>
  <si>
    <t>TPE0011</t>
  </si>
  <si>
    <t>TPE0012</t>
  </si>
  <si>
    <t>TPE0013</t>
  </si>
  <si>
    <t>BRG0177</t>
  </si>
  <si>
    <t>KNV0019</t>
  </si>
  <si>
    <t>BLT0111</t>
  </si>
  <si>
    <t>BLT0112</t>
  </si>
  <si>
    <t>RLS0097</t>
  </si>
  <si>
    <t>MEH0267</t>
  </si>
  <si>
    <t>BRG0178</t>
  </si>
  <si>
    <t>MEH0268</t>
  </si>
  <si>
    <t>TPE0014</t>
  </si>
  <si>
    <t>BLT0113</t>
  </si>
  <si>
    <t>MEH0269</t>
  </si>
  <si>
    <t>RLS0098</t>
  </si>
  <si>
    <t>RLS0099</t>
  </si>
  <si>
    <t>TPE0015</t>
  </si>
  <si>
    <t>FSN0057</t>
  </si>
  <si>
    <t>FSN0058</t>
  </si>
  <si>
    <t>FSN0059</t>
  </si>
  <si>
    <t>FSN0060</t>
  </si>
  <si>
    <t>FSN0061</t>
  </si>
  <si>
    <t>FSN0062</t>
  </si>
  <si>
    <t>FSN0063</t>
  </si>
  <si>
    <t>FSN0064</t>
  </si>
  <si>
    <t>FSN0065</t>
  </si>
  <si>
    <t>FSN0066</t>
  </si>
  <si>
    <t>FSN0067</t>
  </si>
  <si>
    <t>FSN0068</t>
  </si>
  <si>
    <t>FSN0069</t>
  </si>
  <si>
    <t>FSN0070</t>
  </si>
  <si>
    <t>FSN0071</t>
  </si>
  <si>
    <t>FSN0072</t>
  </si>
  <si>
    <t>FSN0073</t>
  </si>
  <si>
    <t>FSN0074</t>
  </si>
  <si>
    <t>FSN0075</t>
  </si>
  <si>
    <t>FSN0076</t>
  </si>
  <si>
    <t>FSN0077</t>
  </si>
  <si>
    <t>FSN0078</t>
  </si>
  <si>
    <t>FSN0079</t>
  </si>
  <si>
    <t>FSN0080</t>
  </si>
  <si>
    <t>FSN0081</t>
  </si>
  <si>
    <t>FSN0082</t>
  </si>
  <si>
    <t>FSN0083</t>
  </si>
  <si>
    <t>FSN0084</t>
  </si>
  <si>
    <t>FSN0085</t>
  </si>
  <si>
    <t>CIVIL</t>
  </si>
  <si>
    <t>PAINT</t>
  </si>
  <si>
    <t>SPONGE</t>
  </si>
  <si>
    <t>THINNER</t>
  </si>
  <si>
    <t>SPRAY PAINT</t>
  </si>
  <si>
    <t>SEALANT</t>
  </si>
  <si>
    <t>CEMENT</t>
  </si>
  <si>
    <t>SAND</t>
  </si>
  <si>
    <t>EMULSION</t>
  </si>
  <si>
    <t>EPOXY PAINT</t>
  </si>
  <si>
    <t>EPOXY HARDNER</t>
  </si>
  <si>
    <t>PRIMER</t>
  </si>
  <si>
    <t>CVL</t>
  </si>
  <si>
    <t>CVL0001</t>
  </si>
  <si>
    <t>CVL0002</t>
  </si>
  <si>
    <t>CVL0003</t>
  </si>
  <si>
    <t>CVL0004</t>
  </si>
  <si>
    <t>CVL0005</t>
  </si>
  <si>
    <t>CVL0006</t>
  </si>
  <si>
    <t>CVL0007</t>
  </si>
  <si>
    <t>CVL0008</t>
  </si>
  <si>
    <t>CVL0009</t>
  </si>
  <si>
    <t>CVL0010</t>
  </si>
  <si>
    <t>CVL0011</t>
  </si>
  <si>
    <t>CVL0012</t>
  </si>
  <si>
    <t>CVL0013</t>
  </si>
  <si>
    <t>CVL0014</t>
  </si>
  <si>
    <t>CVL0015</t>
  </si>
  <si>
    <t>PPE0004</t>
  </si>
  <si>
    <t>CVL0016</t>
  </si>
  <si>
    <t>CVL0017</t>
  </si>
  <si>
    <t>CVL0018</t>
  </si>
  <si>
    <t>CVL0019</t>
  </si>
  <si>
    <t>CVL0020</t>
  </si>
  <si>
    <t>CVL0021</t>
  </si>
  <si>
    <t>CVL0022</t>
  </si>
  <si>
    <t>CVL0023</t>
  </si>
  <si>
    <t>CVL0024</t>
  </si>
  <si>
    <t>CVL0025</t>
  </si>
  <si>
    <t>CVL0026</t>
  </si>
  <si>
    <t>CVL0027</t>
  </si>
  <si>
    <t>CVL0028</t>
  </si>
  <si>
    <t>PRD0011</t>
  </si>
  <si>
    <t>RUBBER BAND</t>
  </si>
  <si>
    <t>MSC0016</t>
  </si>
  <si>
    <t>TWINE</t>
  </si>
  <si>
    <t>MSC0017</t>
  </si>
  <si>
    <t>MSC0018</t>
  </si>
  <si>
    <t>MSC0019</t>
  </si>
  <si>
    <t>PPE0005</t>
  </si>
  <si>
    <t>GREASE</t>
  </si>
  <si>
    <t>COOLANT</t>
  </si>
  <si>
    <t>SYNTHETIC OIL</t>
  </si>
  <si>
    <t>GEAR OIL</t>
  </si>
  <si>
    <t>HYDRAULIC OIL</t>
  </si>
  <si>
    <t>DIESEL</t>
  </si>
  <si>
    <t>ENGINE OIL</t>
  </si>
  <si>
    <t>LUB0001</t>
  </si>
  <si>
    <t>MSC0020</t>
  </si>
  <si>
    <t>MSC0021</t>
  </si>
  <si>
    <t>PPE0006</t>
  </si>
  <si>
    <t>MSC0022</t>
  </si>
  <si>
    <t>MSC0023</t>
  </si>
  <si>
    <t>MSC0024</t>
  </si>
  <si>
    <t>MSC0025</t>
  </si>
  <si>
    <t>TPE0016</t>
  </si>
  <si>
    <t>TPE0017</t>
  </si>
  <si>
    <t>MSC0026</t>
  </si>
  <si>
    <t>MSC0027</t>
  </si>
  <si>
    <t>MSC0028</t>
  </si>
  <si>
    <t>DUCT TAPE</t>
  </si>
  <si>
    <t>TPE0018</t>
  </si>
  <si>
    <t>TPE0019</t>
  </si>
  <si>
    <t>TPE0020</t>
  </si>
  <si>
    <t>TPE0021</t>
  </si>
  <si>
    <t>MSC0029</t>
  </si>
  <si>
    <t>TPE0022</t>
  </si>
  <si>
    <t>TPE0023</t>
  </si>
  <si>
    <t>MSC0030</t>
  </si>
  <si>
    <t>RLS0100</t>
  </si>
  <si>
    <t>RLS0101</t>
  </si>
  <si>
    <t>RLS0102</t>
  </si>
  <si>
    <t>RLS0103</t>
  </si>
  <si>
    <t>RLS0104</t>
  </si>
  <si>
    <t>RLS0105</t>
  </si>
  <si>
    <t>RLS0106</t>
  </si>
  <si>
    <t>RLS0107</t>
  </si>
  <si>
    <t>RLS0108</t>
  </si>
  <si>
    <t>RLS0109</t>
  </si>
  <si>
    <t>RLS0110</t>
  </si>
  <si>
    <t>RLS0111</t>
  </si>
  <si>
    <t>RLS0112</t>
  </si>
  <si>
    <t>RLS0113</t>
  </si>
  <si>
    <t>RLS0114</t>
  </si>
  <si>
    <t>RLS0115</t>
  </si>
  <si>
    <t>RLS0116</t>
  </si>
  <si>
    <t>RLS0117</t>
  </si>
  <si>
    <t>RLS0118</t>
  </si>
  <si>
    <t>RLS0119</t>
  </si>
  <si>
    <t>RLS0120</t>
  </si>
  <si>
    <t>RLS0121</t>
  </si>
  <si>
    <t>RLS0122</t>
  </si>
  <si>
    <t>PNU0038</t>
  </si>
  <si>
    <t>PNU0039</t>
  </si>
  <si>
    <t>MEH0270</t>
  </si>
  <si>
    <t>RLS0123</t>
  </si>
  <si>
    <t>PNU0040</t>
  </si>
  <si>
    <t>PNU0041</t>
  </si>
  <si>
    <t>PPE0007</t>
  </si>
  <si>
    <t>PPE0008</t>
  </si>
  <si>
    <t>PPE0009</t>
  </si>
  <si>
    <t>PPE0010</t>
  </si>
  <si>
    <t>PPE0011</t>
  </si>
  <si>
    <t>PPE0012</t>
  </si>
  <si>
    <t>PPE0013</t>
  </si>
  <si>
    <t>PPE0014</t>
  </si>
  <si>
    <t>PPE0015</t>
  </si>
  <si>
    <t>PPE0016</t>
  </si>
  <si>
    <t>PPE0017</t>
  </si>
  <si>
    <t>PPE0018</t>
  </si>
  <si>
    <t>PPE0019</t>
  </si>
  <si>
    <t>PPE0020</t>
  </si>
  <si>
    <t>PPE0021</t>
  </si>
  <si>
    <t>MSC0032</t>
  </si>
  <si>
    <t>MSC0033</t>
  </si>
  <si>
    <t>MSC0034</t>
  </si>
  <si>
    <t>MSC0035</t>
  </si>
  <si>
    <t>MSC0036</t>
  </si>
  <si>
    <t>MSC0039</t>
  </si>
  <si>
    <t>MSC0044</t>
  </si>
  <si>
    <t>FSN0086</t>
  </si>
  <si>
    <t>MSC0045</t>
  </si>
  <si>
    <t>ELC0240</t>
  </si>
  <si>
    <t>PNU0042</t>
  </si>
  <si>
    <t>MSC0046</t>
  </si>
  <si>
    <t>MSC0047</t>
  </si>
  <si>
    <t>MSC0048</t>
  </si>
  <si>
    <t>MSC0049</t>
  </si>
  <si>
    <t>TRANSFORMER</t>
  </si>
  <si>
    <t>ELC0241</t>
  </si>
  <si>
    <t>ELC0242</t>
  </si>
  <si>
    <t>ELC0243</t>
  </si>
  <si>
    <t>ELC0244</t>
  </si>
  <si>
    <t>ELC0245</t>
  </si>
  <si>
    <t>ELC0246</t>
  </si>
  <si>
    <t>MSC0050</t>
  </si>
  <si>
    <t>MSC0051</t>
  </si>
  <si>
    <t>HYD0005</t>
  </si>
  <si>
    <t>POWER PACK</t>
  </si>
  <si>
    <t>HYD0006</t>
  </si>
  <si>
    <t>ELC0247</t>
  </si>
  <si>
    <t>LUB0002</t>
  </si>
  <si>
    <t>MEH0271</t>
  </si>
  <si>
    <t>MEH0272</t>
  </si>
  <si>
    <t>MEH0273</t>
  </si>
  <si>
    <t>MEH0274</t>
  </si>
  <si>
    <t>SHIM</t>
  </si>
  <si>
    <t>MEH0275</t>
  </si>
  <si>
    <t>MEH0276</t>
  </si>
  <si>
    <t>MEH0277</t>
  </si>
  <si>
    <t>MEH0278</t>
  </si>
  <si>
    <t>MEH0279</t>
  </si>
  <si>
    <t>MEH0280</t>
  </si>
  <si>
    <t>MEH0281</t>
  </si>
  <si>
    <t>MEH0282</t>
  </si>
  <si>
    <t>MEH0283</t>
  </si>
  <si>
    <t>MEH0284</t>
  </si>
  <si>
    <t>MEH0285</t>
  </si>
  <si>
    <t>MEH0286</t>
  </si>
  <si>
    <t>MSC0052</t>
  </si>
  <si>
    <t>MEH0287</t>
  </si>
  <si>
    <t>MEH0288</t>
  </si>
  <si>
    <t>MEH0289</t>
  </si>
  <si>
    <t>NEEDLE/STEM</t>
  </si>
  <si>
    <t>MEH0290</t>
  </si>
  <si>
    <t>LUB0003</t>
  </si>
  <si>
    <t>MSC0053</t>
  </si>
  <si>
    <t>PNU0043</t>
  </si>
  <si>
    <t>MEH0291</t>
  </si>
  <si>
    <t>ELC0248</t>
  </si>
  <si>
    <t>MEH0292</t>
  </si>
  <si>
    <t>MEH0293</t>
  </si>
  <si>
    <t>MEH0294</t>
  </si>
  <si>
    <t>FSN0087</t>
  </si>
  <si>
    <t>MEH0295</t>
  </si>
  <si>
    <t>MEH0296</t>
  </si>
  <si>
    <t>MEH0297</t>
  </si>
  <si>
    <t>MEH0298</t>
  </si>
  <si>
    <t>MEH0299</t>
  </si>
  <si>
    <t>MEH0300</t>
  </si>
  <si>
    <t>MEH0301</t>
  </si>
  <si>
    <t>MEH0302</t>
  </si>
  <si>
    <t>FSN0088</t>
  </si>
  <si>
    <t>MEH0303</t>
  </si>
  <si>
    <t>MEH0304</t>
  </si>
  <si>
    <t>MSC0054</t>
  </si>
  <si>
    <t>MEH0305</t>
  </si>
  <si>
    <t>MEH0306</t>
  </si>
  <si>
    <t>MEH0307</t>
  </si>
  <si>
    <t>MEH0308</t>
  </si>
  <si>
    <t>MEH0309</t>
  </si>
  <si>
    <t>MEH0310</t>
  </si>
  <si>
    <t>MEH0311</t>
  </si>
  <si>
    <t>MEH0312</t>
  </si>
  <si>
    <t>PNU0044</t>
  </si>
  <si>
    <t>SEAT</t>
  </si>
  <si>
    <t>PLUNGER</t>
  </si>
  <si>
    <t>MEH0313</t>
  </si>
  <si>
    <t>MEH0314</t>
  </si>
  <si>
    <t>MEH0315</t>
  </si>
  <si>
    <t>MEH0316</t>
  </si>
  <si>
    <t>MEH0317</t>
  </si>
  <si>
    <t>MEH0318</t>
  </si>
  <si>
    <t>PNU0045</t>
  </si>
  <si>
    <t>FSN0089</t>
  </si>
  <si>
    <t>FITTING</t>
  </si>
  <si>
    <t>MEH0319</t>
  </si>
  <si>
    <t>MEH0320</t>
  </si>
  <si>
    <t>FSN0090</t>
  </si>
  <si>
    <t>MSC0055</t>
  </si>
  <si>
    <t>MEH0321</t>
  </si>
  <si>
    <t>MEH0322</t>
  </si>
  <si>
    <t>LUB0004</t>
  </si>
  <si>
    <t>MEH0323</t>
  </si>
  <si>
    <t>HYD0007</t>
  </si>
  <si>
    <t>MEH0324</t>
  </si>
  <si>
    <t>ELC0249</t>
  </si>
  <si>
    <t>MEH0325</t>
  </si>
  <si>
    <t>MEH0326</t>
  </si>
  <si>
    <t>KNV0020</t>
  </si>
  <si>
    <t>KNV0021</t>
  </si>
  <si>
    <t>ELC0250</t>
  </si>
  <si>
    <t>MEH0327</t>
  </si>
  <si>
    <t>KNV0022</t>
  </si>
  <si>
    <t>ELC0251</t>
  </si>
  <si>
    <t>ELC0252</t>
  </si>
  <si>
    <t>MEH0330</t>
  </si>
  <si>
    <t>ELC0253</t>
  </si>
  <si>
    <t>MEH0331</t>
  </si>
  <si>
    <t>MEH0332</t>
  </si>
  <si>
    <t>MEH0333</t>
  </si>
  <si>
    <t>MEH0334</t>
  </si>
  <si>
    <t>MEH0335</t>
  </si>
  <si>
    <t>MEH0336</t>
  </si>
  <si>
    <t>MEH0337</t>
  </si>
  <si>
    <t>MEH0338</t>
  </si>
  <si>
    <t>MEH0339</t>
  </si>
  <si>
    <t>MEH0340</t>
  </si>
  <si>
    <t>ELC0254</t>
  </si>
  <si>
    <t>ELC0255</t>
  </si>
  <si>
    <t>HYD0008</t>
  </si>
  <si>
    <t>MODULE</t>
  </si>
  <si>
    <t>MEH0341</t>
  </si>
  <si>
    <t>KNV0023</t>
  </si>
  <si>
    <t>ELC0256</t>
  </si>
  <si>
    <t>MEH0342</t>
  </si>
  <si>
    <t>MEH0343</t>
  </si>
  <si>
    <t>MEH0344</t>
  </si>
  <si>
    <t>MEH0345</t>
  </si>
  <si>
    <t>MEH0346</t>
  </si>
  <si>
    <t>MEH0347</t>
  </si>
  <si>
    <t>MEH0348</t>
  </si>
  <si>
    <t>MEH0349</t>
  </si>
  <si>
    <t>KNV0024</t>
  </si>
  <si>
    <t>MEH0350</t>
  </si>
  <si>
    <t>MEH0351</t>
  </si>
  <si>
    <t>MEH0352</t>
  </si>
  <si>
    <t>MEH0353</t>
  </si>
  <si>
    <t>MEH0354</t>
  </si>
  <si>
    <t>ELC0257</t>
  </si>
  <si>
    <t>ELC0258</t>
  </si>
  <si>
    <t>ELC0259</t>
  </si>
  <si>
    <t>ELC0260</t>
  </si>
  <si>
    <t>ELC0261</t>
  </si>
  <si>
    <t>ELC0262</t>
  </si>
  <si>
    <t>ELC0263</t>
  </si>
  <si>
    <t>ELC0264</t>
  </si>
  <si>
    <t>MEH0355</t>
  </si>
  <si>
    <t>MEH0356</t>
  </si>
  <si>
    <t>MEH0357</t>
  </si>
  <si>
    <t>ELC0265</t>
  </si>
  <si>
    <t>ELC0266</t>
  </si>
  <si>
    <t>ELC0267</t>
  </si>
  <si>
    <t>COIL</t>
  </si>
  <si>
    <t>MEH0358</t>
  </si>
  <si>
    <t>MEH0359</t>
  </si>
  <si>
    <t>ELC0268</t>
  </si>
  <si>
    <t>MSC0056</t>
  </si>
  <si>
    <t>ELC0269</t>
  </si>
  <si>
    <t>ELC0270</t>
  </si>
  <si>
    <t>MEH0361</t>
  </si>
  <si>
    <t>MEH0362</t>
  </si>
  <si>
    <t>ELC0271</t>
  </si>
  <si>
    <t>ELC0272</t>
  </si>
  <si>
    <t>ELC0273</t>
  </si>
  <si>
    <t>ELC0274</t>
  </si>
  <si>
    <t>ELC0275</t>
  </si>
  <si>
    <t>MEH0363</t>
  </si>
  <si>
    <t>MEH0364</t>
  </si>
  <si>
    <t>MEH0365</t>
  </si>
  <si>
    <t>MEH0366</t>
  </si>
  <si>
    <t>FSN0091</t>
  </si>
  <si>
    <t>MEH0367</t>
  </si>
  <si>
    <t>FSN0092</t>
  </si>
  <si>
    <t>PNU0046</t>
  </si>
  <si>
    <t>MEH0368</t>
  </si>
  <si>
    <t>ELC0276</t>
  </si>
  <si>
    <t>ELC0277</t>
  </si>
  <si>
    <t>ELC0278</t>
  </si>
  <si>
    <t>ELC0279</t>
  </si>
  <si>
    <t>ELC0280</t>
  </si>
  <si>
    <t>ELC0281</t>
  </si>
  <si>
    <t>ELC0282</t>
  </si>
  <si>
    <t>MEH0369</t>
  </si>
  <si>
    <t>MEH0370</t>
  </si>
  <si>
    <t>MEH0371</t>
  </si>
  <si>
    <t>ELC0283</t>
  </si>
  <si>
    <t>MEH0372</t>
  </si>
  <si>
    <t>MEH0373</t>
  </si>
  <si>
    <t>MEH0374</t>
  </si>
  <si>
    <t>ELC0284</t>
  </si>
  <si>
    <t>ELC0285</t>
  </si>
  <si>
    <t>PLC</t>
  </si>
  <si>
    <t>ELC0286</t>
  </si>
  <si>
    <t>ELC0287</t>
  </si>
  <si>
    <t>ELC0288</t>
  </si>
  <si>
    <t>ELC0289</t>
  </si>
  <si>
    <t>ELC0290</t>
  </si>
  <si>
    <t>BLT0114</t>
  </si>
  <si>
    <t>BLT0115</t>
  </si>
  <si>
    <t>RLS0124</t>
  </si>
  <si>
    <t>RLS0125</t>
  </si>
  <si>
    <t>KNV0025</t>
  </si>
  <si>
    <t>RLS0126</t>
  </si>
  <si>
    <t>RLS0127</t>
  </si>
  <si>
    <t>BLT0116</t>
  </si>
  <si>
    <t>KNV0026</t>
  </si>
  <si>
    <t>SLEEVE</t>
  </si>
  <si>
    <t>RLS0128</t>
  </si>
  <si>
    <t>BLT0117</t>
  </si>
  <si>
    <t>RLS0129</t>
  </si>
  <si>
    <t>RLS0130</t>
  </si>
  <si>
    <t>RLS0131</t>
  </si>
  <si>
    <t>RLS0132</t>
  </si>
  <si>
    <t>MEH0375</t>
  </si>
  <si>
    <t>MEH0376</t>
  </si>
  <si>
    <t>MEH0377</t>
  </si>
  <si>
    <t>RLS0133</t>
  </si>
  <si>
    <t>RLS0134</t>
  </si>
  <si>
    <t>RLS0135</t>
  </si>
  <si>
    <t>RLS0136</t>
  </si>
  <si>
    <t>RLS0137</t>
  </si>
  <si>
    <t>RLS0138</t>
  </si>
  <si>
    <t>RLS0139</t>
  </si>
  <si>
    <t>MEH0378</t>
  </si>
  <si>
    <t>MEH0379</t>
  </si>
  <si>
    <t>CUT OFF KNIFE</t>
  </si>
  <si>
    <t>KNV0027</t>
  </si>
  <si>
    <t>KNV0028</t>
  </si>
  <si>
    <t>MEH0380</t>
  </si>
  <si>
    <t>PRD0012</t>
  </si>
  <si>
    <t>PRD0013</t>
  </si>
  <si>
    <t>MEH0381</t>
  </si>
  <si>
    <t>MEH0382</t>
  </si>
  <si>
    <t>KNV0029</t>
  </si>
  <si>
    <t>TPE0024</t>
  </si>
  <si>
    <t>KNV0030</t>
  </si>
  <si>
    <t>KNV0031</t>
  </si>
  <si>
    <t>MEH0383</t>
  </si>
  <si>
    <t>MEH0384</t>
  </si>
  <si>
    <t>MEH0385</t>
  </si>
  <si>
    <t>MEH0386</t>
  </si>
  <si>
    <t>MEH0387</t>
  </si>
  <si>
    <t>MEH0388</t>
  </si>
  <si>
    <t>MEH0389</t>
  </si>
  <si>
    <t>MEH0390</t>
  </si>
  <si>
    <t>MEH0391</t>
  </si>
  <si>
    <t>MEH0392</t>
  </si>
  <si>
    <t>MEH0393</t>
  </si>
  <si>
    <t>MEH0394</t>
  </si>
  <si>
    <t>MEH0395</t>
  </si>
  <si>
    <t>RLS0140</t>
  </si>
  <si>
    <t>RLS0141</t>
  </si>
  <si>
    <t>RLS0142</t>
  </si>
  <si>
    <t>RLS0143</t>
  </si>
  <si>
    <t>RLS0144</t>
  </si>
  <si>
    <t>RLS0145</t>
  </si>
  <si>
    <t>RLS0146</t>
  </si>
  <si>
    <t>RLS0147</t>
  </si>
  <si>
    <t>MEH0396</t>
  </si>
  <si>
    <t>MEH0397</t>
  </si>
  <si>
    <t>MEH0398</t>
  </si>
  <si>
    <t>SOLID PROFILE KNIFE</t>
  </si>
  <si>
    <t>KNV0032</t>
  </si>
  <si>
    <t>KNV0033</t>
  </si>
  <si>
    <t>KNV0034</t>
  </si>
  <si>
    <t>KNV0035</t>
  </si>
  <si>
    <t>KNV0036</t>
  </si>
  <si>
    <t>KNV0037</t>
  </si>
  <si>
    <t>KNV0038</t>
  </si>
  <si>
    <t>KNV0039</t>
  </si>
  <si>
    <t>KNV0040</t>
  </si>
  <si>
    <t>GER0033</t>
  </si>
  <si>
    <t>GER0034</t>
  </si>
  <si>
    <t>GER0035</t>
  </si>
  <si>
    <t>GER0036</t>
  </si>
  <si>
    <t>GER0037</t>
  </si>
  <si>
    <t>GER0038</t>
  </si>
  <si>
    <t>GER0039</t>
  </si>
  <si>
    <t>GER0040</t>
  </si>
  <si>
    <t>GER0041</t>
  </si>
  <si>
    <t>GER0042</t>
  </si>
  <si>
    <t>GER0043</t>
  </si>
  <si>
    <t>GER0044</t>
  </si>
  <si>
    <t>GER0045</t>
  </si>
  <si>
    <t>GER0046</t>
  </si>
  <si>
    <t>GER0047</t>
  </si>
  <si>
    <t>GER0048</t>
  </si>
  <si>
    <t>GER0049</t>
  </si>
  <si>
    <t>GER0050</t>
  </si>
  <si>
    <t>GER0051</t>
  </si>
  <si>
    <t>GER0052</t>
  </si>
  <si>
    <t>GER0053</t>
  </si>
  <si>
    <t>GER0054</t>
  </si>
  <si>
    <t>GER0055</t>
  </si>
  <si>
    <t>GER0056</t>
  </si>
  <si>
    <t>GER0057</t>
  </si>
  <si>
    <t>GER0058</t>
  </si>
  <si>
    <t>GER0059</t>
  </si>
  <si>
    <t>GER0060</t>
  </si>
  <si>
    <t>GER0061</t>
  </si>
  <si>
    <t>GER0062</t>
  </si>
  <si>
    <t>GER0063</t>
  </si>
  <si>
    <t>GER0064</t>
  </si>
  <si>
    <t>GER0065</t>
  </si>
  <si>
    <t>GER0066</t>
  </si>
  <si>
    <t>GER0067</t>
  </si>
  <si>
    <t>GER0068</t>
  </si>
  <si>
    <t>MEH0399</t>
  </si>
  <si>
    <t>MEH0400</t>
  </si>
  <si>
    <t>BLT0118</t>
  </si>
  <si>
    <t>BLT0119</t>
  </si>
  <si>
    <t>BLT0120</t>
  </si>
  <si>
    <t>BLT0121</t>
  </si>
  <si>
    <t>BLT0122</t>
  </si>
  <si>
    <t>BLT0124</t>
  </si>
  <si>
    <t>BLT0125</t>
  </si>
  <si>
    <t>BLT0126</t>
  </si>
  <si>
    <t>LUB0005</t>
  </si>
  <si>
    <t>LUB0006</t>
  </si>
  <si>
    <t>LUB0007</t>
  </si>
  <si>
    <t>LUB0008</t>
  </si>
  <si>
    <t>LUB0009</t>
  </si>
  <si>
    <t>MEH0401</t>
  </si>
  <si>
    <t>LUB0010</t>
  </si>
  <si>
    <t>LUB0011</t>
  </si>
  <si>
    <t>LUB0012</t>
  </si>
  <si>
    <t>MEH0402</t>
  </si>
  <si>
    <t>NYLON BOARD</t>
  </si>
  <si>
    <t>PRD0014</t>
  </si>
  <si>
    <t>LUB0013</t>
  </si>
  <si>
    <t>LUB0014</t>
  </si>
  <si>
    <t>MEH0403</t>
  </si>
  <si>
    <t>CLEANING AGENT</t>
  </si>
  <si>
    <t>LUB0015</t>
  </si>
  <si>
    <t>LUB0016</t>
  </si>
  <si>
    <t>MEH0404</t>
  </si>
  <si>
    <t>MEH0405</t>
  </si>
  <si>
    <t>MEH0406</t>
  </si>
  <si>
    <t>MEH0407</t>
  </si>
  <si>
    <t>MEH0408</t>
  </si>
  <si>
    <t>KNV0041</t>
  </si>
  <si>
    <t>KNV0042</t>
  </si>
  <si>
    <t>MEH0409</t>
  </si>
  <si>
    <t>KNV0043</t>
  </si>
  <si>
    <t>KNV0044</t>
  </si>
  <si>
    <t>KNV0045</t>
  </si>
  <si>
    <t>KNV0046</t>
  </si>
  <si>
    <t>KNV0047</t>
  </si>
  <si>
    <t>KNV0048</t>
  </si>
  <si>
    <t>KNV0049</t>
  </si>
  <si>
    <t>KNV0050</t>
  </si>
  <si>
    <t>KNV0051</t>
  </si>
  <si>
    <t>KNV0052</t>
  </si>
  <si>
    <t>KNV0053</t>
  </si>
  <si>
    <t>KNV0054</t>
  </si>
  <si>
    <t>KNV0055</t>
  </si>
  <si>
    <t>KNV0056</t>
  </si>
  <si>
    <t>KNV0057</t>
  </si>
  <si>
    <t>KNV0058</t>
  </si>
  <si>
    <t>KNV0059</t>
  </si>
  <si>
    <t>KNV0060</t>
  </si>
  <si>
    <t>KNV0061</t>
  </si>
  <si>
    <t>KNV0062</t>
  </si>
  <si>
    <t>KNV0063</t>
  </si>
  <si>
    <t>KNV0064</t>
  </si>
  <si>
    <t>KNV0065</t>
  </si>
  <si>
    <t>KNV0066</t>
  </si>
  <si>
    <t>KNV0067</t>
  </si>
  <si>
    <t>KNV0068</t>
  </si>
  <si>
    <t>KNV0069</t>
  </si>
  <si>
    <t>KNV0070</t>
  </si>
  <si>
    <t>KNV0071</t>
  </si>
  <si>
    <t>KNV0072</t>
  </si>
  <si>
    <t>KNV0073</t>
  </si>
  <si>
    <t>KNV0074</t>
  </si>
  <si>
    <t>KNV0075</t>
  </si>
  <si>
    <t>KNV0076</t>
  </si>
  <si>
    <t>KNV0077</t>
  </si>
  <si>
    <t>KNV0078</t>
  </si>
  <si>
    <t>KNV0079</t>
  </si>
  <si>
    <t>KNV0080</t>
  </si>
  <si>
    <t>KNV0081</t>
  </si>
  <si>
    <t>KNV0082</t>
  </si>
  <si>
    <t>KNV0083</t>
  </si>
  <si>
    <t>KNV0084</t>
  </si>
  <si>
    <t>KNV0085</t>
  </si>
  <si>
    <t>KNV0086</t>
  </si>
  <si>
    <t>KNV0087</t>
  </si>
  <si>
    <t>KNV0088</t>
  </si>
  <si>
    <t>KNV0089</t>
  </si>
  <si>
    <t>KNV0090</t>
  </si>
  <si>
    <t>KNV0091</t>
  </si>
  <si>
    <t>KNV0092</t>
  </si>
  <si>
    <t>KNV0093</t>
  </si>
  <si>
    <t>KNV0094</t>
  </si>
  <si>
    <t>KNV0095</t>
  </si>
  <si>
    <t>KNV0096</t>
  </si>
  <si>
    <t>KNV0097</t>
  </si>
  <si>
    <t>KNV0098</t>
  </si>
  <si>
    <t>KNV0099</t>
  </si>
  <si>
    <t>KNV0100</t>
  </si>
  <si>
    <t>KNV0101</t>
  </si>
  <si>
    <t>KNV0102</t>
  </si>
  <si>
    <t>KNV0103</t>
  </si>
  <si>
    <t>KNV0104</t>
  </si>
  <si>
    <t>KNV0105</t>
  </si>
  <si>
    <t>KNV0106</t>
  </si>
  <si>
    <t>KNV0107</t>
  </si>
  <si>
    <t>KNV0108</t>
  </si>
  <si>
    <t>KNV0109</t>
  </si>
  <si>
    <t>KNV0110</t>
  </si>
  <si>
    <t>KNV0111</t>
  </si>
  <si>
    <t>KNV0112</t>
  </si>
  <si>
    <t>KNV0113</t>
  </si>
  <si>
    <t>KNV0114</t>
  </si>
  <si>
    <t>KNV0115</t>
  </si>
  <si>
    <t>KNV0116</t>
  </si>
  <si>
    <t>KNV0117</t>
  </si>
  <si>
    <t>KNV0118</t>
  </si>
  <si>
    <t>KNV0119</t>
  </si>
  <si>
    <t>KNV0120</t>
  </si>
  <si>
    <t>KNV0121</t>
  </si>
  <si>
    <t>KNV0122</t>
  </si>
  <si>
    <t>KNV0123</t>
  </si>
  <si>
    <t>KNV0124</t>
  </si>
  <si>
    <t>KNV0125</t>
  </si>
  <si>
    <t>KNV0126</t>
  </si>
  <si>
    <t>KNV0127</t>
  </si>
  <si>
    <t>KNV0128</t>
  </si>
  <si>
    <t>KNV0129</t>
  </si>
  <si>
    <t>KNV0130</t>
  </si>
  <si>
    <t>KNV0131</t>
  </si>
  <si>
    <t>KNV0132</t>
  </si>
  <si>
    <t>KNV0133</t>
  </si>
  <si>
    <t>KNV0134</t>
  </si>
  <si>
    <t>KNV0135</t>
  </si>
  <si>
    <t>KNV0136</t>
  </si>
  <si>
    <t>KNV0137</t>
  </si>
  <si>
    <t>KNV0138</t>
  </si>
  <si>
    <t>KNV0139</t>
  </si>
  <si>
    <t>KNV0140</t>
  </si>
  <si>
    <t>KNV0141</t>
  </si>
  <si>
    <t>KNV0142</t>
  </si>
  <si>
    <t>KNV0143</t>
  </si>
  <si>
    <t>KNV0144</t>
  </si>
  <si>
    <t>KNV0145</t>
  </si>
  <si>
    <t>KNV0146</t>
  </si>
  <si>
    <t>KNV0147</t>
  </si>
  <si>
    <t>KNV0148</t>
  </si>
  <si>
    <t>KNV0149</t>
  </si>
  <si>
    <t>KNV0150</t>
  </si>
  <si>
    <t>KNV0151</t>
  </si>
  <si>
    <t>KNV0152</t>
  </si>
  <si>
    <t>KNV0153</t>
  </si>
  <si>
    <t>KNV0154</t>
  </si>
  <si>
    <t>KNV0155</t>
  </si>
  <si>
    <t>KNV0156</t>
  </si>
  <si>
    <t>KNV0157</t>
  </si>
  <si>
    <t>KNV0158</t>
  </si>
  <si>
    <t>KNV0159</t>
  </si>
  <si>
    <t>KNV0160</t>
  </si>
  <si>
    <t>KNV0161</t>
  </si>
  <si>
    <t>KNV0162</t>
  </si>
  <si>
    <t>KNV0163</t>
  </si>
  <si>
    <t>KNV0164</t>
  </si>
  <si>
    <t>KNV0165</t>
  </si>
  <si>
    <t>KNV0166</t>
  </si>
  <si>
    <t>KNV0167</t>
  </si>
  <si>
    <t>KNV0168</t>
  </si>
  <si>
    <t>KNV0169</t>
  </si>
  <si>
    <t>KNV0170</t>
  </si>
  <si>
    <t>KNV0171</t>
  </si>
  <si>
    <t>KNV0172</t>
  </si>
  <si>
    <t>KNV0173</t>
  </si>
  <si>
    <t>KNV0174</t>
  </si>
  <si>
    <t>KNV0175</t>
  </si>
  <si>
    <t>KNV0176</t>
  </si>
  <si>
    <t>KNV0177</t>
  </si>
  <si>
    <t>KNV0178</t>
  </si>
  <si>
    <t>KNV0179</t>
  </si>
  <si>
    <t>KNV0180</t>
  </si>
  <si>
    <t>KNV0181</t>
  </si>
  <si>
    <t>KNV0182</t>
  </si>
  <si>
    <t>KNV0183</t>
  </si>
  <si>
    <t>KNV0184</t>
  </si>
  <si>
    <t>KNV0185</t>
  </si>
  <si>
    <t>KNV0186</t>
  </si>
  <si>
    <t>KNV0189</t>
  </si>
  <si>
    <t>KNV0190</t>
  </si>
  <si>
    <t>KNV0191</t>
  </si>
  <si>
    <t>KNV0192</t>
  </si>
  <si>
    <t>KNV0193</t>
  </si>
  <si>
    <t>KNV0194</t>
  </si>
  <si>
    <t>KNV0195</t>
  </si>
  <si>
    <t>KNV0196</t>
  </si>
  <si>
    <t>KNV0197</t>
  </si>
  <si>
    <t>KNV0198</t>
  </si>
  <si>
    <t>KNV0199</t>
  </si>
  <si>
    <t>KNV0200</t>
  </si>
  <si>
    <t>KNV0201</t>
  </si>
  <si>
    <t>KNV0202</t>
  </si>
  <si>
    <t>KNV0203</t>
  </si>
  <si>
    <t>KNV0204</t>
  </si>
  <si>
    <t>KNV0205</t>
  </si>
  <si>
    <t>KNV0206</t>
  </si>
  <si>
    <t>KNV0207</t>
  </si>
  <si>
    <t>KNV0208</t>
  </si>
  <si>
    <t>KNV0209</t>
  </si>
  <si>
    <t>PRINT HEAD</t>
  </si>
  <si>
    <t>MSC0057</t>
  </si>
  <si>
    <t>ELC0291</t>
  </si>
  <si>
    <t>BLT0127</t>
  </si>
  <si>
    <t>BLT0128</t>
  </si>
  <si>
    <t>BLT0129</t>
  </si>
  <si>
    <t>BLT0130</t>
  </si>
  <si>
    <t>BLT0131</t>
  </si>
  <si>
    <t>RLS0148</t>
  </si>
  <si>
    <t>ELC0292</t>
  </si>
  <si>
    <t>PNU0047</t>
  </si>
  <si>
    <t>B3</t>
  </si>
  <si>
    <t>B4</t>
  </si>
  <si>
    <t>B5</t>
  </si>
  <si>
    <t>C1</t>
  </si>
  <si>
    <t>C2</t>
  </si>
  <si>
    <t>C3</t>
  </si>
  <si>
    <t>C4</t>
  </si>
  <si>
    <t>D1</t>
  </si>
  <si>
    <t>D2</t>
  </si>
  <si>
    <t>D3</t>
  </si>
  <si>
    <t>D4</t>
  </si>
  <si>
    <t>D5</t>
  </si>
  <si>
    <t>E1</t>
  </si>
  <si>
    <t>E2</t>
  </si>
  <si>
    <t>E3</t>
  </si>
  <si>
    <t>E4</t>
  </si>
  <si>
    <t>E5</t>
  </si>
  <si>
    <t>E6</t>
  </si>
  <si>
    <t>F1</t>
  </si>
  <si>
    <t>F2</t>
  </si>
  <si>
    <t>F3</t>
  </si>
  <si>
    <t>F4</t>
  </si>
  <si>
    <t>G1</t>
  </si>
  <si>
    <t>G2</t>
  </si>
  <si>
    <t>G3</t>
  </si>
  <si>
    <t>G4</t>
  </si>
  <si>
    <t>G5</t>
  </si>
  <si>
    <t>H1</t>
  </si>
  <si>
    <t>H2</t>
  </si>
  <si>
    <t>H3</t>
  </si>
  <si>
    <t>H4</t>
  </si>
  <si>
    <t>H5</t>
  </si>
  <si>
    <t>H6</t>
  </si>
  <si>
    <t>H7</t>
  </si>
  <si>
    <t>J1</t>
  </si>
  <si>
    <t>J2</t>
  </si>
  <si>
    <t>J3</t>
  </si>
  <si>
    <t>K1</t>
  </si>
  <si>
    <t>K2</t>
  </si>
  <si>
    <t>L1</t>
  </si>
  <si>
    <t>L2</t>
  </si>
  <si>
    <t>L3</t>
  </si>
  <si>
    <t>L4</t>
  </si>
  <si>
    <t>L5</t>
  </si>
  <si>
    <t>M1</t>
  </si>
  <si>
    <t>M2</t>
  </si>
  <si>
    <t>M5</t>
  </si>
  <si>
    <t>N1</t>
  </si>
  <si>
    <t>N2</t>
  </si>
  <si>
    <t>N3</t>
  </si>
  <si>
    <t>N4</t>
  </si>
  <si>
    <t>N5</t>
  </si>
  <si>
    <t>O1</t>
  </si>
  <si>
    <t>O2</t>
  </si>
  <si>
    <t>O3</t>
  </si>
  <si>
    <t>O4</t>
  </si>
  <si>
    <t>O5</t>
  </si>
  <si>
    <t>P1</t>
  </si>
  <si>
    <t>P2</t>
  </si>
  <si>
    <t>P3</t>
  </si>
  <si>
    <t>P4</t>
  </si>
  <si>
    <t>P5</t>
  </si>
  <si>
    <t>Y1</t>
  </si>
  <si>
    <t>Y2</t>
  </si>
  <si>
    <t>Z1</t>
  </si>
  <si>
    <t>Z2</t>
  </si>
  <si>
    <t>Z4</t>
  </si>
  <si>
    <t>Z5</t>
  </si>
  <si>
    <t>Z7</t>
  </si>
  <si>
    <t>Z10</t>
  </si>
  <si>
    <t>Z13</t>
  </si>
  <si>
    <t>KUPL SCHROTEX</t>
  </si>
  <si>
    <t>3 X 8 MM, M.S FLAT HEAD SCREW FOR FLEXIBLE KNIFE CYLINDER</t>
  </si>
  <si>
    <t>4 X 10 MM, M.S FLAT HEAD SCREW FOR FLEXIBLE KNIFE CYLINDER</t>
  </si>
  <si>
    <t>PRESSURE SWITCH, XMLB020AS13, OPEN, 207LB, 18DIF</t>
  </si>
  <si>
    <t>PRESSURE REGULATOR, P/N: 125368</t>
  </si>
  <si>
    <t>LINE FILTER 0.340, P/N: 125025-008</t>
  </si>
  <si>
    <t>SOLENOID VALVE, P/N: 21316</t>
  </si>
  <si>
    <t>LINE FILTER, 0.040, P/N: 125025</t>
  </si>
  <si>
    <t>VITON O-RING 0.19 X 6.5, P/N: 22749-363</t>
  </si>
  <si>
    <t>VITON O-RING 1/8 X 5.12 OD, P/N: 22749-249</t>
  </si>
  <si>
    <t>MINIMUM PRESSURE CHECK VALVE KIT, P/N: 128691-051</t>
  </si>
  <si>
    <t>AMBER LAMP BULB, P/N: 143144-01</t>
  </si>
  <si>
    <t>RED LAMP BULB, P/N: 143144-02</t>
  </si>
  <si>
    <t>O-RING, VITON, 9" ID, FOR AIR RESERVOIR, P/N: 22749-373</t>
  </si>
  <si>
    <t>DIFFERENTIAL PILOT VALVE KIT, P/N: 146175-100</t>
  </si>
  <si>
    <t>SOLENOID VALVE 3-WAY, P/N: 120496-4</t>
  </si>
  <si>
    <t>INLET VALVE COVER PLATE, P/N: 126645</t>
  </si>
  <si>
    <t>INLET VALVE SPRING, P/N: 126649</t>
  </si>
  <si>
    <t>SPRING, P/N: 123092</t>
  </si>
  <si>
    <t>INLET VALVE SHAFT, P/N: 126648</t>
  </si>
  <si>
    <t>GASKET 6.50 O.D x 4.56 I.D, P/N: 123549-003</t>
  </si>
  <si>
    <t>INLET VALVE GASKET, P/N: 141258</t>
  </si>
  <si>
    <t>BUSHING FOR INLET VALVE CYLINDER, P/N: 22880</t>
  </si>
  <si>
    <t>FLAT WASHER 0.52, P/N: 1478-1</t>
  </si>
  <si>
    <t>BUSHING FOR INLET VALVE PLATE, P/N: 23681</t>
  </si>
  <si>
    <t>OLD THERMAL VALVE WITH NEW REPAIR KIT</t>
  </si>
  <si>
    <t>HOSE ASSEMBLY FROM FILTER TO AIREND</t>
  </si>
  <si>
    <t>PISTON CUP (OLD P/N: 126460-350), P/N: 147898-350</t>
  </si>
  <si>
    <t>DIFFERENTIAL PRESSURE INDICATOR, P/N: 23779-15</t>
  </si>
  <si>
    <t>AIR FILTER INDICATOR, P/N: 21312</t>
  </si>
  <si>
    <t>DIAL GAUGE, P/N: 121965</t>
  </si>
  <si>
    <t>FLOW GAUGE, VG-20-013</t>
  </si>
  <si>
    <t>DURA FLEX COUPLING ELEMENT, WE-20, FOR SULLAIR VACUUM PUMP</t>
  </si>
  <si>
    <t>DURA FLEX COUPLING ELEMENT, WE-30, FOR QUINCY VACUUM PUMP</t>
  </si>
  <si>
    <t>SILENCER, 1/4" NPT, QM 250009-221 (FOR SULLAIR VACUUM PUMP)</t>
  </si>
  <si>
    <t>RUBBER COUPLING, P/N: 20683</t>
  </si>
  <si>
    <t>SPRING, P/N: 129945</t>
  </si>
  <si>
    <t>INLET VALVE SPRING, P/N: 126760</t>
  </si>
  <si>
    <t>O-RING, 3/32 WIDE x 0.94 OD, P/N: 123157-116</t>
  </si>
  <si>
    <t>INLET VALVE GASKET, P/N: 126814</t>
  </si>
  <si>
    <t>INLET VALVE GASKET, P/N: 22875 (REPLACED WITH 141917)</t>
  </si>
  <si>
    <t>INLET VALVE CYLINDER, P/N: 126644 (INCLUDING BUSHING # 22880)</t>
  </si>
  <si>
    <t>VITON O-RING, 1.48 Id, P/N: 140406-920</t>
  </si>
  <si>
    <t xml:space="preserve">OLD INLET VALVE CYLINDER WITH NEW PISTON CUP INSIDE (147898-350 &amp; 126460-350), P/N: 126644 </t>
  </si>
  <si>
    <t>OIL LEVEL SEAL, GAUGE, P/N: 120289</t>
  </si>
  <si>
    <t>THERMAL VALVE KIT, P/N: 124973-060</t>
  </si>
  <si>
    <t>O-RING, VITON FOR DISCHARGE MANIFOLD, P/N: 22749-226</t>
  </si>
  <si>
    <t>O-RING, VITON FOR DISCHARGE MANIFOLD, P/N: 22749-336</t>
  </si>
  <si>
    <t>MANIFOLD FOR AIR COMPRESSOR, P/N: 145965-02</t>
  </si>
  <si>
    <t>STEEL WIRE BRAIDED HOSE FROM BOTTOM OF THERMAL VALVE TO THE BOTTOM OF RADIATOR FOR VACUUM PUMP, LENGTH=870MM</t>
  </si>
  <si>
    <t>STEEL WIRE BRAIDED HOSE FROM TOP OF OIL FILTER TO THE TOP OF RADIATOR FOR VACUUM PUMP, LENGTH=1200MM</t>
  </si>
  <si>
    <t>STEEL WIRE BRAIDED HOSE FROM TOP OF THERMAL VALVE TO THE BOTTOM OF AIREND FOR VACUUM PUMP, LENGTH=2000MM</t>
  </si>
  <si>
    <t>STEEL WIRE BRAIDED HOSE FROM BOTTOM OF RESERVOIR TO THE STRAINER FILTER INLET FOR VACUUM PUMP, LENGTH=1300MM</t>
  </si>
  <si>
    <t>HEX NIPPLE FOR STEEL HOSE, 1J-24, 1-1/2"</t>
  </si>
  <si>
    <t>CABLE FOR TRANSFORMER FOR VACUUM PUMP</t>
  </si>
  <si>
    <t>BRASS TEE, P/N: 7361 &amp; P/N: 121034-2</t>
  </si>
  <si>
    <t>PRESSURE GAUGE, DIAL=2-1/2", 1/4" BOTTOM CONNECTION, RANGE: 0 TO 10 BAR</t>
  </si>
  <si>
    <t>VACUUM GAUGE, DIAL=2-1/2", 1/4" BOTTOM CONNECTION, RANGE: 0 TO -1.0 BAR</t>
  </si>
  <si>
    <t>CHAIN FOR SHEETER</t>
  </si>
  <si>
    <t>DUPLEX CHAIN, 08B-2</t>
  </si>
  <si>
    <t>CHAIN # 50-1</t>
  </si>
  <si>
    <t>CHAIN # 35-1</t>
  </si>
  <si>
    <t>CHAIN # 06B-1</t>
  </si>
  <si>
    <t>CHAIN LINK # 25-1</t>
  </si>
  <si>
    <t>DUPLEX CHAIN # 10B-2</t>
  </si>
  <si>
    <t>CHAIN # 25-1</t>
  </si>
  <si>
    <t>CHAIN LINK # 40-1</t>
  </si>
  <si>
    <t>CHAIN LINK # 50-1</t>
  </si>
  <si>
    <t>CHAIN LINK # 30-1</t>
  </si>
  <si>
    <t>CHAIN # 41-1</t>
  </si>
  <si>
    <t>CHAIN LINKS # 41-1</t>
  </si>
  <si>
    <t>CHAIN # 40-1</t>
  </si>
  <si>
    <t>SINGLE OFFSET LINK # 50-1</t>
  </si>
  <si>
    <t>SINGLE OFFSET LINK # 06B-1</t>
  </si>
  <si>
    <t>SINGLE OFFSET LINK # 35-1</t>
  </si>
  <si>
    <t>SINGLE OFFSET CHAIN LINK # 40-1</t>
  </si>
  <si>
    <t>SINGLE OFFSET CHAIN LINK # 60</t>
  </si>
  <si>
    <t>CHAIN LINK # 35-1</t>
  </si>
  <si>
    <t>CHAIN LINK # 06B-1</t>
  </si>
  <si>
    <t>CHAIN # 10B-1 (5/8")</t>
  </si>
  <si>
    <t>CHAIN # 60-1 (3/4")</t>
  </si>
  <si>
    <t>CHAIN LINK # 10B-1 (5/8")</t>
  </si>
  <si>
    <t>OFFSET CHAIN LINK # 10B-1 (5/8")</t>
  </si>
  <si>
    <t>CHAIN LINK # 41-1</t>
  </si>
  <si>
    <t>CHAIN # 08B-1</t>
  </si>
  <si>
    <t>CHAIN LINK # 08B-1</t>
  </si>
  <si>
    <t>SINGLE OFFSET CHAIN LINK # 08B-1</t>
  </si>
  <si>
    <t>CHAIN LINK # 08B-2</t>
  </si>
  <si>
    <t>OIL SEAL, 415991, 3.50 x 4.501 x 0.468</t>
  </si>
  <si>
    <t>TAPER ROLLER BEARING, JM207049 &amp; JM207010</t>
  </si>
  <si>
    <t>TAPER ROLLER BEARING, JM719149 &amp; JM719113</t>
  </si>
  <si>
    <t>SPROCKET, 06B-1-49T</t>
  </si>
  <si>
    <t>SPROCKET, 06B-1-42T</t>
  </si>
  <si>
    <t>SPROCEKT, 06B-1-33T</t>
  </si>
  <si>
    <t>SPROCKET, 06B-1-32T</t>
  </si>
  <si>
    <t>SPROCKET, 06B-1-28T</t>
  </si>
  <si>
    <t>SPROCKET, 06B-1-23T</t>
  </si>
  <si>
    <t>SPROCKET, 06B-1-21T</t>
  </si>
  <si>
    <t>SPROCKET, 35B-1-20T</t>
  </si>
  <si>
    <t>SPROCKET, 35B-1-14T</t>
  </si>
  <si>
    <t>SPROCKET, 08B-1-16T</t>
  </si>
  <si>
    <t>SPROCKET, 41-16T</t>
  </si>
  <si>
    <t>I-1-1</t>
  </si>
  <si>
    <t>I-1-2</t>
  </si>
  <si>
    <t>I-1-3</t>
  </si>
  <si>
    <t>I-1-4</t>
  </si>
  <si>
    <t>I-1-5</t>
  </si>
  <si>
    <t>I-1-6</t>
  </si>
  <si>
    <t>I-1-7</t>
  </si>
  <si>
    <t>I-1-8</t>
  </si>
  <si>
    <t>I-1-9</t>
  </si>
  <si>
    <t>I-1-10</t>
  </si>
  <si>
    <t>I-1-11</t>
  </si>
  <si>
    <t>I-1-12</t>
  </si>
  <si>
    <t>I-1-13</t>
  </si>
  <si>
    <t>I-1-14</t>
  </si>
  <si>
    <t>I-1-15</t>
  </si>
  <si>
    <t>I-1-16</t>
  </si>
  <si>
    <t>I-1-17</t>
  </si>
  <si>
    <t>I-1-18</t>
  </si>
  <si>
    <t>I-1-19</t>
  </si>
  <si>
    <t>I-1-20</t>
  </si>
  <si>
    <t>I-1-21</t>
  </si>
  <si>
    <t>I-1-22</t>
  </si>
  <si>
    <t>I-1-23</t>
  </si>
  <si>
    <t>I-1-24</t>
  </si>
  <si>
    <t>I-1-25</t>
  </si>
  <si>
    <t>I-1-26</t>
  </si>
  <si>
    <t>I-1-27</t>
  </si>
  <si>
    <t>I-1-28</t>
  </si>
  <si>
    <t>I-1-29</t>
  </si>
  <si>
    <t>I-1-30</t>
  </si>
  <si>
    <t>I-1-31</t>
  </si>
  <si>
    <t>I-1-32</t>
  </si>
  <si>
    <t>I-1-33</t>
  </si>
  <si>
    <t>I-1-34</t>
  </si>
  <si>
    <t>I-1-35</t>
  </si>
  <si>
    <t>I-1-36</t>
  </si>
  <si>
    <t>I-1-37</t>
  </si>
  <si>
    <t>I-1-38</t>
  </si>
  <si>
    <t>I-1-39</t>
  </si>
  <si>
    <t>I-1-40</t>
  </si>
  <si>
    <t>I-1-41</t>
  </si>
  <si>
    <t>I-1-42</t>
  </si>
  <si>
    <t>I-1-43</t>
  </si>
  <si>
    <t>I-1-44</t>
  </si>
  <si>
    <t>I-1-45</t>
  </si>
  <si>
    <t>I-1-46</t>
  </si>
  <si>
    <t>I-1-47</t>
  </si>
  <si>
    <t>I-1-48</t>
  </si>
  <si>
    <t>I-1-49</t>
  </si>
  <si>
    <t>I-1-50</t>
  </si>
  <si>
    <t>I-1-51</t>
  </si>
  <si>
    <t>I-1-52</t>
  </si>
  <si>
    <t>I-1-53</t>
  </si>
  <si>
    <t>I-1-54</t>
  </si>
  <si>
    <t>I-1-55</t>
  </si>
  <si>
    <t>I-1-56</t>
  </si>
  <si>
    <t>I-2-1</t>
  </si>
  <si>
    <t>I-2-2</t>
  </si>
  <si>
    <t>I-2-3</t>
  </si>
  <si>
    <t>I-2-4</t>
  </si>
  <si>
    <t>I-2-5</t>
  </si>
  <si>
    <t>I-2-6</t>
  </si>
  <si>
    <t>I-2-7</t>
  </si>
  <si>
    <t>I-2-8</t>
  </si>
  <si>
    <t>I-2-9</t>
  </si>
  <si>
    <t>I-2-10</t>
  </si>
  <si>
    <t>I-2-11</t>
  </si>
  <si>
    <t>I-2-12</t>
  </si>
  <si>
    <t>I-2-13</t>
  </si>
  <si>
    <t>I-2-14</t>
  </si>
  <si>
    <t>I-2-15</t>
  </si>
  <si>
    <t>I-2-16</t>
  </si>
  <si>
    <t>I-2-17</t>
  </si>
  <si>
    <t>I-2-18</t>
  </si>
  <si>
    <t>I-2-19</t>
  </si>
  <si>
    <t>I-2-20</t>
  </si>
  <si>
    <t>I-2-21</t>
  </si>
  <si>
    <t>I-2-22</t>
  </si>
  <si>
    <t>I-2-23</t>
  </si>
  <si>
    <t>I-2-24</t>
  </si>
  <si>
    <t>I-2-25</t>
  </si>
  <si>
    <t>I-2-26</t>
  </si>
  <si>
    <t>I-2-27</t>
  </si>
  <si>
    <t>I-2-28</t>
  </si>
  <si>
    <t>I-2-29</t>
  </si>
  <si>
    <t>I-2-30</t>
  </si>
  <si>
    <t>I-3-5</t>
  </si>
  <si>
    <t>I-3-6</t>
  </si>
  <si>
    <t>I-3-7</t>
  </si>
  <si>
    <t>I-5-18</t>
  </si>
  <si>
    <t>I-5-19</t>
  </si>
  <si>
    <t>I-5-20</t>
  </si>
  <si>
    <t>I-5-21</t>
  </si>
  <si>
    <t>I-5-22</t>
  </si>
  <si>
    <t>I-5-23</t>
  </si>
  <si>
    <t>I-5-24</t>
  </si>
  <si>
    <t>I-5-26</t>
  </si>
  <si>
    <t>I-5-27</t>
  </si>
  <si>
    <t>I-5-28</t>
  </si>
  <si>
    <t>I1</t>
  </si>
  <si>
    <t>I2</t>
  </si>
  <si>
    <t>I3</t>
  </si>
  <si>
    <t>I5</t>
  </si>
  <si>
    <t>PNU0048</t>
  </si>
  <si>
    <t>PNU0049</t>
  </si>
  <si>
    <t>MEH0410</t>
  </si>
  <si>
    <t>ELC0293</t>
  </si>
  <si>
    <t>MEH0411</t>
  </si>
  <si>
    <t>MEH0412</t>
  </si>
  <si>
    <t>MEH0413</t>
  </si>
  <si>
    <t>MEH0414</t>
  </si>
  <si>
    <t>ELC0294</t>
  </si>
  <si>
    <t>ELC0295</t>
  </si>
  <si>
    <t>MEH0415</t>
  </si>
  <si>
    <t>MEH0416</t>
  </si>
  <si>
    <t>ELC0296</t>
  </si>
  <si>
    <t>MEH0417</t>
  </si>
  <si>
    <t>MEH0418</t>
  </si>
  <si>
    <t>MEH0419</t>
  </si>
  <si>
    <t>MEH0420</t>
  </si>
  <si>
    <t>MEH0421</t>
  </si>
  <si>
    <t>MEH0422</t>
  </si>
  <si>
    <t>MEH0423</t>
  </si>
  <si>
    <t>FSN0093</t>
  </si>
  <si>
    <t>MEH0424</t>
  </si>
  <si>
    <t>MEH0425</t>
  </si>
  <si>
    <t>HYD0009</t>
  </si>
  <si>
    <t>MEH0426</t>
  </si>
  <si>
    <t>MEH0427</t>
  </si>
  <si>
    <t>GAUGE</t>
  </si>
  <si>
    <t>MEH0428</t>
  </si>
  <si>
    <t>MEH0429</t>
  </si>
  <si>
    <t>MEH0430</t>
  </si>
  <si>
    <t>MEH0431</t>
  </si>
  <si>
    <t>MEH0432</t>
  </si>
  <si>
    <t>MEH0433</t>
  </si>
  <si>
    <t>MEH0434</t>
  </si>
  <si>
    <t>MEH0435</t>
  </si>
  <si>
    <t>INLET VALVE GASKET, P/N: 141608</t>
  </si>
  <si>
    <t>MEH0436</t>
  </si>
  <si>
    <t>MEH0437</t>
  </si>
  <si>
    <t>MEH0438</t>
  </si>
  <si>
    <t>MEH0439</t>
  </si>
  <si>
    <t>MEH0440</t>
  </si>
  <si>
    <t>MEH0441</t>
  </si>
  <si>
    <t>MEH0442</t>
  </si>
  <si>
    <t>MEH0443</t>
  </si>
  <si>
    <t>MEH0444</t>
  </si>
  <si>
    <t>MEH0445</t>
  </si>
  <si>
    <t>MEH0446</t>
  </si>
  <si>
    <t>MEH0447</t>
  </si>
  <si>
    <t>HYD0010</t>
  </si>
  <si>
    <t>HYD0011</t>
  </si>
  <si>
    <t>HYD0012</t>
  </si>
  <si>
    <t>HYD0013</t>
  </si>
  <si>
    <t>HYD0014</t>
  </si>
  <si>
    <t>HYD0015</t>
  </si>
  <si>
    <t>ELC0297</t>
  </si>
  <si>
    <t>TEE</t>
  </si>
  <si>
    <t>HYD0016</t>
  </si>
  <si>
    <t>MEH0448</t>
  </si>
  <si>
    <t>MEH0449</t>
  </si>
  <si>
    <t>CHN0011</t>
  </si>
  <si>
    <t>CHN0012</t>
  </si>
  <si>
    <t>CHN0013</t>
  </si>
  <si>
    <t>CHN0014</t>
  </si>
  <si>
    <t>CHN0015</t>
  </si>
  <si>
    <t>CHN0016</t>
  </si>
  <si>
    <t>CHN0017</t>
  </si>
  <si>
    <t>CHN0018</t>
  </si>
  <si>
    <t>CHN0019</t>
  </si>
  <si>
    <t>CHN0020</t>
  </si>
  <si>
    <t>CHN0021</t>
  </si>
  <si>
    <t>CHN0022</t>
  </si>
  <si>
    <t>CHN0023</t>
  </si>
  <si>
    <t>CHN0024</t>
  </si>
  <si>
    <t>CHN0025</t>
  </si>
  <si>
    <t>CHN0026</t>
  </si>
  <si>
    <t>CHN0027</t>
  </si>
  <si>
    <t>CHN0028</t>
  </si>
  <si>
    <t>CHN0029</t>
  </si>
  <si>
    <t>CHN0030</t>
  </si>
  <si>
    <t>CHN0031</t>
  </si>
  <si>
    <t>CHN0032</t>
  </si>
  <si>
    <t>CHN0033</t>
  </si>
  <si>
    <t>CHN0034</t>
  </si>
  <si>
    <t>CHN0035</t>
  </si>
  <si>
    <t>CHN0036</t>
  </si>
  <si>
    <t>CHN0037</t>
  </si>
  <si>
    <t>CHN0038</t>
  </si>
  <si>
    <t>CHN0039</t>
  </si>
  <si>
    <t>CHN0040</t>
  </si>
  <si>
    <t>MEH0450</t>
  </si>
  <si>
    <t>BRG0179</t>
  </si>
  <si>
    <t>BRG0180</t>
  </si>
  <si>
    <t>MEH0451</t>
  </si>
  <si>
    <t>MEH0452</t>
  </si>
  <si>
    <t>MEH0453</t>
  </si>
  <si>
    <t>MEH0454</t>
  </si>
  <si>
    <t>MEH0455</t>
  </si>
  <si>
    <t>MEH0456</t>
  </si>
  <si>
    <t>MEH0457</t>
  </si>
  <si>
    <t>MEH0458</t>
  </si>
  <si>
    <t>MEH0459</t>
  </si>
  <si>
    <t>MEH0460</t>
  </si>
  <si>
    <t>MEH0461</t>
  </si>
  <si>
    <t>I-5-93</t>
  </si>
  <si>
    <t>Lead time (Days)</t>
  </si>
  <si>
    <t>Consumption Type</t>
  </si>
  <si>
    <t>DIAMOND</t>
  </si>
  <si>
    <t>PRATIKA</t>
  </si>
  <si>
    <t>STS</t>
  </si>
  <si>
    <t>MO</t>
  </si>
  <si>
    <t>W+D 249</t>
  </si>
  <si>
    <t>BALER</t>
  </si>
  <si>
    <t>HESSER PACKING</t>
  </si>
  <si>
    <t>?</t>
  </si>
  <si>
    <t>WELDING MACHINE</t>
  </si>
  <si>
    <t>VACUUM PUMP</t>
  </si>
  <si>
    <t>AIR BAGS</t>
  </si>
  <si>
    <t>PRINTER</t>
  </si>
  <si>
    <t>VACUUM</t>
  </si>
  <si>
    <t>LABELING</t>
  </si>
  <si>
    <t>INK STAMP</t>
  </si>
  <si>
    <t>SAFETY</t>
  </si>
  <si>
    <t>PIPE &amp; FITTINGS</t>
  </si>
  <si>
    <t>B&amp;B</t>
  </si>
  <si>
    <t>PRATIKA 56</t>
  </si>
  <si>
    <t>SHRINK WRAP</t>
  </si>
  <si>
    <t>BAGGING</t>
  </si>
  <si>
    <t>B2S/HK/G</t>
  </si>
  <si>
    <t>MAINTENANCE</t>
  </si>
  <si>
    <t>THREADING MACHINE</t>
  </si>
  <si>
    <t>LATHE</t>
  </si>
  <si>
    <t>WELDING</t>
  </si>
  <si>
    <t>WATER SYSTEM</t>
  </si>
  <si>
    <t>AC</t>
  </si>
  <si>
    <t>SURFACE GRINDER</t>
  </si>
  <si>
    <t>JIGSAW</t>
  </si>
  <si>
    <t>NORDSON</t>
  </si>
  <si>
    <t>AIR CONDITIONER</t>
  </si>
  <si>
    <t>CHIP COLLECTOR</t>
  </si>
  <si>
    <t>QUINCY PUMPS</t>
  </si>
  <si>
    <t>SOLVENT</t>
  </si>
  <si>
    <t>SULLAIR</t>
  </si>
  <si>
    <t>PUNCHING</t>
  </si>
  <si>
    <t>vendor</t>
  </si>
  <si>
    <t>Local / Import</t>
  </si>
  <si>
    <t>Vendor Ref</t>
  </si>
  <si>
    <t>N/A</t>
  </si>
  <si>
    <t>WINKLER + DUNNEBIER DE</t>
  </si>
  <si>
    <t>FAMCO (AL FUTHAIM)</t>
  </si>
  <si>
    <t>STAR STEEL WORKS LLC</t>
  </si>
  <si>
    <t>AMERICAN HOLT, INC</t>
  </si>
  <si>
    <t>McMASTER-CARR</t>
  </si>
  <si>
    <t>AEROGO, INC</t>
  </si>
  <si>
    <t>AL DOBOWI TYRES CO LLC</t>
  </si>
  <si>
    <t>AL NAURAS RUBBER FACTORY L.L.C</t>
  </si>
  <si>
    <t>FUTURE SKY EQUIPMENT L.L.C</t>
  </si>
  <si>
    <t>MECHATRONICS INDUSTRIAL EQUIPMENT L.L.C</t>
  </si>
  <si>
    <t>ABDULLA HASSAN SWITCHGEAR TRADING L.L.C</t>
  </si>
  <si>
    <t>ANDELI TRADING L.L.C</t>
  </si>
  <si>
    <t>ABDUL JALEEL MARINE SPARES LLC</t>
  </si>
  <si>
    <t>AIKAH TRADING ESTABLISHMENT</t>
  </si>
  <si>
    <t>COSMOPLAST INDUSTRIAL CO L.L.C</t>
  </si>
  <si>
    <t>JAMEA AL ANWAR INTERNATION FZCO</t>
  </si>
  <si>
    <t>SPARETECHNIC L.L.C</t>
  </si>
  <si>
    <t>AL DOBOWI TYRE COMPANY L.L.C</t>
  </si>
  <si>
    <t>TRIVENI PACKAGING TRADING CO LLC</t>
  </si>
  <si>
    <t>MORSE TECHNICAL L.L.C</t>
  </si>
  <si>
    <t>WINDY CITY CUTTING DIE, INC</t>
  </si>
  <si>
    <t>BURAQ AL KARAM AUTO SPARE PARTS TRD LLC</t>
  </si>
  <si>
    <t>PERFECT TOOLS MOULDS FACTORY L.L.C</t>
  </si>
  <si>
    <t>ACE</t>
  </si>
  <si>
    <t>WINKLER+DUNNEBIER DE</t>
  </si>
  <si>
    <t>NATIONAL PAINTS FACTORIES CO LTD</t>
  </si>
  <si>
    <t>QCON GENERAL TRADING LLC</t>
  </si>
  <si>
    <t>MANABAA AL ANWAR TRADING LLC</t>
  </si>
  <si>
    <t>MIDCO EQUIPMENT L.L.C</t>
  </si>
  <si>
    <t>ONLINE PURCHASE</t>
  </si>
  <si>
    <t>AL MAHBOOB LUBRICANTS &amp; OIL INDUSTRIES L.L.C</t>
  </si>
  <si>
    <t>STANDARD TECHNICAL SUPPLY LLC</t>
  </si>
  <si>
    <t>SOLBERG INTERNATIONAL, Ltd</t>
  </si>
  <si>
    <t>PRINTECH MIDDLE EAST L.L.C</t>
  </si>
  <si>
    <t>TFI CO</t>
  </si>
  <si>
    <t>ALMOE DIGITAL SOLUTION LLC</t>
  </si>
  <si>
    <t>ABM INNOVATIVE FZE</t>
  </si>
  <si>
    <t>FINETOOLS TRADING LLC</t>
  </si>
  <si>
    <t>SA8247</t>
  </si>
  <si>
    <t>SB8200</t>
  </si>
  <si>
    <t>SA8253</t>
  </si>
  <si>
    <t>SA8249</t>
  </si>
  <si>
    <t>SA8221</t>
  </si>
  <si>
    <t>SA8254</t>
  </si>
  <si>
    <t>SA8197</t>
  </si>
  <si>
    <t>SA8252</t>
  </si>
  <si>
    <t>SA8222</t>
  </si>
  <si>
    <t>DEAD STOCK</t>
  </si>
  <si>
    <t>SLOW MOVING ITEM</t>
  </si>
  <si>
    <t>UNIVERSAL JOINT CROSS 31.8 X 81.6 (LAS-KY35N)</t>
  </si>
  <si>
    <t>SK20, SUPPORT FOR 20MM DIA SHAFT</t>
  </si>
  <si>
    <t>F-2-16</t>
  </si>
  <si>
    <t>MWKJ Q-120D, INPUT:120VAC(2.8A), 240VAC(1.6A), OUTPUT:5VDC(8A), 12V(2A), 50/60HZ</t>
  </si>
  <si>
    <t>C-3-14</t>
  </si>
  <si>
    <t>MEH0462</t>
  </si>
  <si>
    <t>ELC0298</t>
  </si>
  <si>
    <t>FAST MOVING ITEM</t>
  </si>
  <si>
    <t>DILA-40 (MOELLER) CONTACTOR RELAY, 24V50/60HZ</t>
  </si>
  <si>
    <t>C-3-16</t>
  </si>
  <si>
    <t>ELC0299</t>
  </si>
  <si>
    <t>DILM12-10 (EATON), CONTACTOR RELAY, 230V50/60HZ, 5.5KW</t>
  </si>
  <si>
    <t>C-3-22</t>
  </si>
  <si>
    <t>ELC0300</t>
  </si>
  <si>
    <t>C-3-23</t>
  </si>
  <si>
    <t>DILM32-XH122 (EATON), AUXILIARY CONTACTOR RELAY</t>
  </si>
  <si>
    <t>AUXILIARY RELAY</t>
  </si>
  <si>
    <t>ELC0301</t>
  </si>
  <si>
    <t>CARBIDE TIP FOR LATHE MACHINE (S.S CUTTING)</t>
  </si>
  <si>
    <t>N-2-2</t>
  </si>
  <si>
    <t>MSC0061</t>
  </si>
  <si>
    <t>CARBIDE TIP FOR LATHE MACHINE (M.S CUTTING)</t>
  </si>
  <si>
    <t>SOLENOID VALVE, 5/2 WAY, 24VDC, AIRTAC MODEL: 4V210-08B, PRESSURE 0.15~0.8MPa, 1/8" CONNECTION</t>
  </si>
  <si>
    <t>O-5-4</t>
  </si>
  <si>
    <t>MALE + FEMALE CABLE CONNECTOR (3 PINS)</t>
  </si>
  <si>
    <t>ELC0302</t>
  </si>
  <si>
    <t>O-5-5</t>
  </si>
  <si>
    <t>ELC0303</t>
  </si>
  <si>
    <t>Y-2-15</t>
  </si>
  <si>
    <t>PVC STEEL WIRE HOSE 3/4"</t>
  </si>
  <si>
    <t>PNU0050</t>
  </si>
  <si>
    <t>M.S SEAMLESS PIPE FOR COMPRESSED AIR</t>
  </si>
  <si>
    <t>PNU0051</t>
  </si>
  <si>
    <t>Y-2-20</t>
  </si>
  <si>
    <t>C-3-24</t>
  </si>
  <si>
    <t>ELC0304</t>
  </si>
  <si>
    <t>M12 LASER PHOTOELECTRIC SENSOR (M12JG-30N1) NPN, NO (B-NPN-O)</t>
  </si>
  <si>
    <t>250819252020</t>
  </si>
  <si>
    <t>250819042010</t>
  </si>
  <si>
    <t>SAMPLE</t>
  </si>
  <si>
    <t>TO BE DISCUSSED</t>
  </si>
  <si>
    <t>PROD CODE</t>
  </si>
  <si>
    <t>abd</t>
  </si>
  <si>
    <t>asdfasdfd</t>
  </si>
  <si>
    <t>Price (AED)</t>
  </si>
  <si>
    <t>Initial Value AED</t>
  </si>
  <si>
    <t>R&amp;M Code</t>
  </si>
  <si>
    <t>Month</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</si>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</sst>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409]d\-mmm\-yy;@"/>
    <numFmt numFmtId="166" formatCode="0.000"/>
    <numFmt numFmtId="167" formatCode="dd/mm/yyyy"/>
    <numFmt numFmtId="168" formatCode="_(* #,##0.000_);_(* \(#,##0.000\);_(* &quot;-&quot;??_);_(@_)"/>
  </numFmts>
  <fonts count="39"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b/>
      <sz val="10"/>
      <color indexed="12"/>
      <name val="Courier New"/>
      <family val="3"/>
    </font>
    <font>
      <sz val="11"/>
      <color theme="1"/>
      <name val="Courier New"/>
      <family val="3"/>
    </font>
    <font>
      <u/>
      <sz val="9.35"/>
      <color indexed="12"/>
      <name val="Calibri"/>
      <family val="2"/>
    </font>
    <font>
      <b/>
      <sz val="10"/>
      <color rgb="FF0000FF"/>
      <name val="Arial"/>
      <family val="2"/>
    </font>
    <font>
      <b/>
      <sz val="10"/>
      <color theme="1"/>
      <name val="Arial"/>
      <family val="2"/>
    </font>
    <font>
      <b/>
      <sz val="10"/>
      <color indexed="12"/>
      <name val="Arial"/>
      <family val="2"/>
    </font>
    <font>
      <b/>
      <sz val="10"/>
      <name val="Arial"/>
      <family val="2"/>
    </font>
    <font>
      <b/>
      <sz val="16"/>
      <color indexed="12"/>
      <name val="Arial"/>
      <family val="2"/>
    </font>
    <font>
      <b/>
      <sz val="10"/>
      <color indexed="10"/>
      <name val="Arial"/>
      <family val="2"/>
    </font>
    <font>
      <sz val="10"/>
      <name val="Arial"/>
      <family val="2"/>
    </font>
    <font>
      <sz val="11"/>
      <name val="Calibri"/>
      <family val="2"/>
      <scheme val="minor"/>
    </font>
    <font>
      <u/>
      <sz val="11"/>
      <color theme="10"/>
      <name val="Calibri"/>
      <family val="2"/>
    </font>
    <font>
      <sz val="11"/>
      <color theme="1"/>
      <name val="Courier New"/>
      <family val="2"/>
    </font>
    <font>
      <b/>
      <sz val="10"/>
      <color theme="0"/>
      <name val="Arial"/>
      <family val="2"/>
    </font>
    <font>
      <sz val="10"/>
      <color rgb="FF0000FF"/>
      <name val="Arial"/>
      <family val="2"/>
    </font>
    <font>
      <sz val="10"/>
      <color rgb="FF222222"/>
      <name val="Arial"/>
      <family val="2"/>
    </font>
    <font>
      <strike/>
      <sz val="11"/>
      <color theme="1"/>
      <name val="Calibri"/>
      <family val="2"/>
      <scheme val="minor"/>
    </font>
    <font>
      <strike/>
      <sz val="10"/>
      <name val="Arial"/>
      <family val="2"/>
    </font>
    <font>
      <b/>
      <strike/>
      <sz val="10"/>
      <name val="Arial"/>
      <family val="2"/>
    </font>
    <font>
      <b/>
      <strike/>
      <sz val="11"/>
      <color theme="1"/>
      <name val="Calibri"/>
      <family val="2"/>
      <scheme val="minor"/>
    </font>
    <font>
      <sz val="10"/>
      <name val="Arial"/>
      <family val="2"/>
    </font>
    <font>
      <b/>
      <sz val="10"/>
      <name val="Arial"/>
      <family val="2"/>
    </font>
    <font>
      <b/>
      <sz val="11"/>
      <color theme="1"/>
      <name val="Calibri"/>
      <family val="2"/>
      <scheme val="minor"/>
    </font>
    <font>
      <b/>
      <sz val="8"/>
      <color indexed="81"/>
      <name val="Tahoma"/>
      <family val="2"/>
    </font>
    <font>
      <b/>
      <sz val="20"/>
      <name val="Arial"/>
      <family val="2"/>
    </font>
    <font>
      <b/>
      <sz val="20"/>
      <color theme="1"/>
      <name val="Calibri"/>
      <family val="2"/>
      <scheme val="minor"/>
    </font>
    <font>
      <b/>
      <sz val="12"/>
      <color theme="1"/>
      <name val="Calibri"/>
      <family val="2"/>
      <scheme val="minor"/>
    </font>
    <font>
      <b/>
      <sz val="14"/>
      <name val="Calibri"/>
      <family val="2"/>
      <scheme val="minor"/>
    </font>
    <font>
      <b/>
      <sz val="11"/>
      <color indexed="8"/>
      <name val="Calibri"/>
      <family val="2"/>
      <scheme val="minor"/>
    </font>
    <font>
      <b/>
      <sz val="11"/>
      <color indexed="8"/>
      <name val="Calibri"/>
      <family val="2"/>
    </font>
    <font>
      <sz val="11"/>
      <color indexed="8"/>
      <name val="Calibri"/>
      <family val="2"/>
      <scheme val="minor"/>
    </font>
    <font>
      <b/>
      <sz val="11"/>
      <name val="Calibri"/>
      <family val="2"/>
    </font>
    <font>
      <sz val="11"/>
      <name val="Calibri"/>
      <family val="2"/>
    </font>
    <font>
      <sz val="12"/>
      <name val="Arial"/>
      <family val="2"/>
    </font>
    <font>
      <sz val="11"/>
      <color theme="1"/>
      <name val="Calibri"/>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0" fontId="6" fillId="0" borderId="0" applyNumberFormat="0" applyFill="0" applyBorder="0" applyAlignment="0" applyProtection="0">
      <alignment vertical="top"/>
      <protection locked="0"/>
    </xf>
    <xf numFmtId="43" fontId="2"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43" fontId="2" fillId="0" borderId="0" applyFont="0" applyFill="0" applyBorder="0" applyAlignment="0" applyProtection="0"/>
  </cellStyleXfs>
  <cellXfs count="254">
    <xf numFmtId="0" fontId="0" fillId="0" borderId="0" xfId="0"/>
    <xf numFmtId="0" fontId="4" fillId="2" borderId="1" xfId="0" applyFont="1" applyFill="1" applyBorder="1" applyAlignment="1">
      <alignment horizontal="left" vertical="center"/>
    </xf>
    <xf numFmtId="0" fontId="5" fillId="0" borderId="1" xfId="0" applyFont="1" applyBorder="1"/>
    <xf numFmtId="49" fontId="0" fillId="0" borderId="0" xfId="0" applyNumberFormat="1"/>
    <xf numFmtId="0" fontId="9" fillId="2" borderId="2" xfId="0" applyFont="1" applyFill="1" applyBorder="1" applyAlignment="1">
      <alignment horizontal="left" vertical="center"/>
    </xf>
    <xf numFmtId="0" fontId="10" fillId="2" borderId="3" xfId="0" quotePrefix="1" applyFont="1" applyFill="1" applyBorder="1" applyAlignment="1">
      <alignment horizontal="center" vertical="center"/>
    </xf>
    <xf numFmtId="0" fontId="9" fillId="2" borderId="6" xfId="0" applyFont="1" applyFill="1" applyBorder="1" applyAlignment="1">
      <alignment horizontal="left" vertical="center"/>
    </xf>
    <xf numFmtId="0" fontId="10" fillId="2" borderId="4" xfId="0" applyFont="1" applyFill="1" applyBorder="1" applyAlignment="1">
      <alignment horizontal="center" vertical="center"/>
    </xf>
    <xf numFmtId="0" fontId="9" fillId="2" borderId="7" xfId="0" applyFont="1" applyFill="1" applyBorder="1" applyAlignment="1">
      <alignment horizontal="left" vertical="center"/>
    </xf>
    <xf numFmtId="0" fontId="10" fillId="2" borderId="5" xfId="0" applyFont="1" applyFill="1" applyBorder="1" applyAlignment="1">
      <alignment horizontal="center" vertical="center"/>
    </xf>
    <xf numFmtId="0" fontId="9" fillId="2" borderId="8" xfId="0" applyFont="1" applyFill="1" applyBorder="1" applyAlignment="1">
      <alignment horizontal="left" vertical="center"/>
    </xf>
    <xf numFmtId="0" fontId="10" fillId="2" borderId="1" xfId="0" quotePrefix="1" applyFont="1" applyFill="1" applyBorder="1" applyAlignment="1">
      <alignment horizontal="center" vertical="center"/>
    </xf>
    <xf numFmtId="0" fontId="9" fillId="2" borderId="1" xfId="0" applyFont="1" applyFill="1" applyBorder="1" applyAlignment="1">
      <alignment horizontal="left" vertical="center"/>
    </xf>
    <xf numFmtId="0" fontId="10" fillId="2" borderId="1" xfId="0" applyFont="1" applyFill="1" applyBorder="1" applyAlignment="1">
      <alignment horizontal="center" vertical="center"/>
    </xf>
    <xf numFmtId="0" fontId="9" fillId="2"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Alignment="1">
      <alignment horizontal="center" vertical="center"/>
    </xf>
    <xf numFmtId="0" fontId="12" fillId="0" borderId="1" xfId="0" applyFont="1" applyFill="1" applyBorder="1" applyAlignment="1">
      <alignment horizontal="center" vertical="center"/>
    </xf>
    <xf numFmtId="49" fontId="12" fillId="0" borderId="0" xfId="0" applyNumberFormat="1" applyFont="1" applyFill="1" applyAlignment="1">
      <alignment horizontal="center" vertical="center"/>
    </xf>
    <xf numFmtId="0" fontId="10" fillId="0" borderId="1" xfId="0" applyFont="1" applyFill="1" applyBorder="1" applyAlignment="1">
      <alignment horizontal="left" vertical="center" wrapText="1"/>
    </xf>
    <xf numFmtId="0" fontId="13" fillId="0" borderId="0" xfId="0" applyFont="1" applyFill="1" applyAlignment="1">
      <alignment horizontal="center" vertical="center"/>
    </xf>
    <xf numFmtId="0" fontId="0" fillId="0" borderId="1" xfId="0" applyFill="1" applyBorder="1" applyAlignment="1">
      <alignment vertical="center" wrapText="1"/>
    </xf>
    <xf numFmtId="0" fontId="0" fillId="0" borderId="0" xfId="0" applyFill="1" applyBorder="1" applyAlignment="1">
      <alignment vertical="center"/>
    </xf>
    <xf numFmtId="0" fontId="0" fillId="0" borderId="0" xfId="0" applyFill="1" applyAlignment="1">
      <alignment horizontal="center" vertical="center"/>
    </xf>
    <xf numFmtId="0" fontId="10" fillId="0" borderId="0" xfId="0" applyNumberFormat="1" applyFont="1" applyFill="1" applyAlignment="1">
      <alignment horizontal="center" vertical="center"/>
    </xf>
    <xf numFmtId="0" fontId="10" fillId="0" borderId="0" xfId="0" applyFont="1" applyFill="1" applyAlignment="1">
      <alignment horizontal="left" vertical="center"/>
    </xf>
    <xf numFmtId="49" fontId="10" fillId="0" borderId="0" xfId="0" applyNumberFormat="1" applyFont="1" applyFill="1" applyAlignment="1">
      <alignment horizontal="left" vertical="center"/>
    </xf>
    <xf numFmtId="0" fontId="1" fillId="0" borderId="0" xfId="0" applyFont="1" applyFill="1" applyAlignment="1">
      <alignment horizontal="center" vertical="center"/>
    </xf>
    <xf numFmtId="0" fontId="10" fillId="0" borderId="0" xfId="0" applyFont="1" applyFill="1" applyAlignment="1">
      <alignment horizontal="center" vertical="center"/>
    </xf>
    <xf numFmtId="43" fontId="1" fillId="0" borderId="0" xfId="2" applyFont="1" applyFill="1" applyAlignment="1">
      <alignment horizontal="center" vertical="center"/>
    </xf>
    <xf numFmtId="0" fontId="0" fillId="0" borderId="0" xfId="0" applyFill="1" applyAlignment="1">
      <alignment vertical="center" wrapText="1"/>
    </xf>
    <xf numFmtId="0" fontId="0" fillId="3" borderId="0" xfId="0" applyFill="1" applyBorder="1" applyAlignment="1">
      <alignment horizontal="left" vertical="center"/>
    </xf>
    <xf numFmtId="0" fontId="1" fillId="0" borderId="16" xfId="0" applyFont="1" applyFill="1" applyBorder="1" applyAlignment="1">
      <alignment horizontal="center" vertical="center"/>
    </xf>
    <xf numFmtId="0" fontId="1" fillId="0" borderId="17" xfId="0" applyFont="1" applyFill="1" applyBorder="1" applyAlignment="1">
      <alignment horizontal="center" vertical="center"/>
    </xf>
    <xf numFmtId="0" fontId="0" fillId="0" borderId="0" xfId="0" applyFill="1" applyBorder="1" applyAlignment="1">
      <alignment horizontal="left" vertical="center"/>
    </xf>
    <xf numFmtId="0" fontId="0" fillId="0" borderId="1" xfId="0" applyFill="1" applyBorder="1" applyAlignment="1">
      <alignment horizontal="left" vertical="center" wrapText="1"/>
    </xf>
    <xf numFmtId="0" fontId="0" fillId="0" borderId="1" xfId="0" quotePrefix="1" applyFill="1" applyBorder="1" applyAlignment="1">
      <alignment horizontal="center" vertical="center" wrapText="1"/>
    </xf>
    <xf numFmtId="0" fontId="15" fillId="0" borderId="1" xfId="3" applyFill="1" applyBorder="1" applyAlignment="1" applyProtection="1">
      <alignment horizontal="left" vertical="center"/>
    </xf>
    <xf numFmtId="0" fontId="0" fillId="0" borderId="1" xfId="0" applyFill="1" applyBorder="1" applyAlignment="1">
      <alignment horizontal="center" vertical="center" wrapText="1"/>
    </xf>
    <xf numFmtId="0" fontId="0" fillId="0" borderId="12" xfId="0" applyFill="1" applyBorder="1" applyAlignment="1">
      <alignment horizontal="center" vertical="center"/>
    </xf>
    <xf numFmtId="0" fontId="0" fillId="0" borderId="12" xfId="0" applyFill="1" applyBorder="1" applyAlignment="1">
      <alignment horizontal="center" vertical="center" wrapText="1"/>
    </xf>
    <xf numFmtId="0" fontId="1"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13" fillId="0" borderId="1" xfId="0" applyFont="1" applyFill="1" applyBorder="1" applyAlignment="1">
      <alignment horizontal="center" vertical="center"/>
    </xf>
    <xf numFmtId="49" fontId="10" fillId="0" borderId="1" xfId="0" applyNumberFormat="1" applyFont="1" applyFill="1" applyBorder="1" applyAlignment="1">
      <alignment horizontal="center" vertical="center"/>
    </xf>
    <xf numFmtId="0" fontId="0" fillId="0" borderId="1" xfId="0" applyFill="1" applyBorder="1" applyAlignment="1">
      <alignment horizontal="left" vertical="center"/>
    </xf>
    <xf numFmtId="0" fontId="10" fillId="0" borderId="1" xfId="0" applyFont="1" applyFill="1" applyBorder="1" applyAlignment="1">
      <alignment horizontal="left" vertical="center"/>
    </xf>
    <xf numFmtId="43" fontId="1" fillId="0" borderId="1" xfId="2" applyFont="1" applyFill="1" applyBorder="1" applyAlignment="1">
      <alignment horizontal="center" vertical="center"/>
    </xf>
    <xf numFmtId="0" fontId="10" fillId="0" borderId="1" xfId="0" applyFont="1" applyFill="1" applyBorder="1" applyAlignment="1">
      <alignment horizontal="center" vertical="center"/>
    </xf>
    <xf numFmtId="0" fontId="0" fillId="0" borderId="1" xfId="0" quotePrefix="1" applyFill="1" applyBorder="1" applyAlignment="1">
      <alignment horizontal="center" vertical="center"/>
    </xf>
    <xf numFmtId="0" fontId="1" fillId="0" borderId="1" xfId="0" applyFont="1" applyFill="1" applyBorder="1" applyAlignment="1">
      <alignment horizontal="left" vertical="center"/>
    </xf>
    <xf numFmtId="0" fontId="13" fillId="0" borderId="1" xfId="0" applyFont="1" applyFill="1" applyBorder="1" applyAlignment="1">
      <alignment vertical="center"/>
    </xf>
    <xf numFmtId="0" fontId="0" fillId="0" borderId="0" xfId="0" applyProtection="1"/>
    <xf numFmtId="14" fontId="0" fillId="0" borderId="0" xfId="0" applyNumberFormat="1" applyProtection="1"/>
    <xf numFmtId="0" fontId="1" fillId="0" borderId="0" xfId="0" applyFont="1" applyFill="1" applyBorder="1" applyAlignment="1">
      <alignment horizontal="center" vertical="center"/>
    </xf>
    <xf numFmtId="0" fontId="15" fillId="0" borderId="1" xfId="3" applyFill="1" applyBorder="1" applyAlignment="1" applyProtection="1">
      <alignment vertical="center"/>
    </xf>
    <xf numFmtId="0" fontId="15" fillId="0" borderId="1" xfId="3" applyFill="1" applyBorder="1" applyAlignment="1" applyProtection="1">
      <alignment horizontal="left" vertical="center" wrapText="1"/>
    </xf>
    <xf numFmtId="0" fontId="15" fillId="0" borderId="1" xfId="3" applyFill="1" applyBorder="1" applyAlignment="1" applyProtection="1"/>
    <xf numFmtId="0" fontId="15" fillId="0" borderId="0" xfId="3" applyAlignment="1" applyProtection="1">
      <alignment horizontal="left" vertical="center"/>
    </xf>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applyFill="1" applyAlignment="1">
      <alignment vertical="center"/>
    </xf>
    <xf numFmtId="0" fontId="12" fillId="0" borderId="9" xfId="0" applyFont="1" applyFill="1" applyBorder="1" applyAlignment="1">
      <alignment horizontal="center" vertical="center"/>
    </xf>
    <xf numFmtId="0" fontId="12" fillId="0" borderId="11" xfId="0" applyFont="1" applyFill="1" applyBorder="1" applyAlignment="1">
      <alignment horizontal="center" vertical="center"/>
    </xf>
    <xf numFmtId="0" fontId="12" fillId="0" borderId="0" xfId="0" applyFont="1" applyFill="1" applyAlignment="1">
      <alignment horizontal="left" vertical="center"/>
    </xf>
    <xf numFmtId="43" fontId="12" fillId="0" borderId="0" xfId="2" applyFont="1" applyFill="1" applyAlignment="1">
      <alignment horizontal="center" vertical="center"/>
    </xf>
    <xf numFmtId="49" fontId="17" fillId="0" borderId="14" xfId="0" applyNumberFormat="1" applyFont="1" applyFill="1" applyBorder="1" applyAlignment="1">
      <alignment horizontal="center" vertical="center"/>
    </xf>
    <xf numFmtId="0" fontId="17" fillId="0" borderId="14" xfId="0" applyFont="1" applyFill="1" applyBorder="1" applyAlignment="1">
      <alignment horizontal="center" vertical="center"/>
    </xf>
    <xf numFmtId="0" fontId="17" fillId="0" borderId="14" xfId="0" applyFont="1" applyFill="1" applyBorder="1" applyAlignment="1">
      <alignment vertical="center" wrapText="1"/>
    </xf>
    <xf numFmtId="43" fontId="17" fillId="0" borderId="14" xfId="2" applyFont="1" applyFill="1" applyBorder="1" applyAlignment="1">
      <alignment horizontal="center" vertical="center"/>
    </xf>
    <xf numFmtId="0" fontId="17" fillId="0" borderId="14" xfId="0" applyFont="1" applyFill="1" applyBorder="1" applyAlignment="1">
      <alignment horizontal="center" vertical="center" wrapText="1"/>
    </xf>
    <xf numFmtId="0" fontId="17" fillId="0" borderId="19" xfId="0" applyFont="1" applyFill="1" applyBorder="1" applyAlignment="1">
      <alignment horizontal="center" vertical="center"/>
    </xf>
    <xf numFmtId="0" fontId="0" fillId="0" borderId="11" xfId="0" applyFill="1" applyBorder="1" applyAlignment="1">
      <alignment horizontal="center" vertical="center"/>
    </xf>
    <xf numFmtId="0" fontId="0" fillId="0" borderId="0" xfId="0" applyNumberFormat="1" applyFill="1" applyAlignment="1">
      <alignment vertical="center"/>
    </xf>
    <xf numFmtId="49" fontId="1" fillId="0" borderId="1" xfId="0" quotePrefix="1" applyNumberFormat="1" applyFont="1" applyFill="1" applyBorder="1" applyAlignment="1">
      <alignment horizontal="center" vertical="center"/>
    </xf>
    <xf numFmtId="0" fontId="10" fillId="0" borderId="1" xfId="0" applyNumberFormat="1" applyFont="1" applyFill="1" applyBorder="1" applyAlignment="1">
      <alignment horizontal="center" vertical="center"/>
    </xf>
    <xf numFmtId="0" fontId="0" fillId="0" borderId="0" xfId="0" applyNumberFormat="1" applyFill="1" applyBorder="1" applyAlignment="1">
      <alignment vertical="center"/>
    </xf>
    <xf numFmtId="0" fontId="0" fillId="0" borderId="9" xfId="0" applyFill="1" applyBorder="1" applyAlignment="1">
      <alignment vertical="center"/>
    </xf>
    <xf numFmtId="14" fontId="0" fillId="0" borderId="12" xfId="0" applyNumberFormat="1" applyFill="1" applyBorder="1" applyAlignment="1">
      <alignment horizontal="center" vertical="center"/>
    </xf>
    <xf numFmtId="0" fontId="13" fillId="0" borderId="12" xfId="0" applyFont="1" applyFill="1" applyBorder="1" applyAlignment="1">
      <alignment horizontal="center" vertical="center"/>
    </xf>
    <xf numFmtId="0" fontId="10" fillId="0" borderId="12" xfId="0" applyFont="1" applyFill="1" applyBorder="1" applyAlignment="1">
      <alignment horizontal="center" vertical="center"/>
    </xf>
    <xf numFmtId="49" fontId="10" fillId="0" borderId="12" xfId="0" applyNumberFormat="1" applyFont="1" applyFill="1" applyBorder="1" applyAlignment="1">
      <alignment horizontal="center" vertical="center"/>
    </xf>
    <xf numFmtId="49" fontId="10" fillId="0" borderId="1" xfId="0" applyNumberFormat="1" applyFont="1" applyFill="1" applyBorder="1" applyAlignment="1">
      <alignment horizontal="left" vertical="center"/>
    </xf>
    <xf numFmtId="16" fontId="0" fillId="0" borderId="1" xfId="0" applyNumberFormat="1" applyFill="1" applyBorder="1" applyAlignment="1">
      <alignment horizontal="center" vertical="center"/>
    </xf>
    <xf numFmtId="0" fontId="0" fillId="0" borderId="20" xfId="0" applyFill="1" applyBorder="1" applyAlignment="1">
      <alignment horizontal="center" vertical="center"/>
    </xf>
    <xf numFmtId="0" fontId="10" fillId="0" borderId="12" xfId="0" applyNumberFormat="1" applyFont="1" applyFill="1" applyBorder="1" applyAlignment="1">
      <alignment horizontal="center" vertical="center"/>
    </xf>
    <xf numFmtId="49" fontId="10" fillId="0" borderId="12" xfId="0" applyNumberFormat="1" applyFont="1" applyFill="1" applyBorder="1" applyAlignment="1">
      <alignment horizontal="left" vertical="center"/>
    </xf>
    <xf numFmtId="0" fontId="1" fillId="0" borderId="12" xfId="0" applyFont="1" applyFill="1" applyBorder="1" applyAlignment="1">
      <alignment horizontal="center" vertical="center"/>
    </xf>
    <xf numFmtId="0" fontId="10" fillId="0" borderId="12" xfId="0" applyFont="1" applyFill="1" applyBorder="1" applyAlignment="1">
      <alignment horizontal="left" vertical="center"/>
    </xf>
    <xf numFmtId="43" fontId="1" fillId="0" borderId="12" xfId="2" applyFont="1" applyFill="1" applyBorder="1" applyAlignment="1">
      <alignment horizontal="center" vertical="center"/>
    </xf>
    <xf numFmtId="0" fontId="0" fillId="0" borderId="12" xfId="0" applyFill="1" applyBorder="1" applyAlignment="1">
      <alignment vertical="center" wrapText="1"/>
    </xf>
    <xf numFmtId="0" fontId="0" fillId="0" borderId="21" xfId="0" applyFill="1" applyBorder="1" applyAlignment="1">
      <alignment vertical="center"/>
    </xf>
    <xf numFmtId="0" fontId="18" fillId="0" borderId="0" xfId="0" applyFont="1"/>
    <xf numFmtId="0" fontId="19" fillId="0" borderId="0" xfId="0" applyFont="1"/>
    <xf numFmtId="16" fontId="0" fillId="0" borderId="12" xfId="0" applyNumberFormat="1" applyFill="1" applyBorder="1" applyAlignment="1">
      <alignment horizontal="center" vertical="center"/>
    </xf>
    <xf numFmtId="14" fontId="20" fillId="0" borderId="12" xfId="0" applyNumberFormat="1" applyFont="1" applyFill="1" applyBorder="1" applyAlignment="1">
      <alignment horizontal="center" vertical="center"/>
    </xf>
    <xf numFmtId="0" fontId="21" fillId="0" borderId="12" xfId="0" applyFont="1" applyFill="1" applyBorder="1" applyAlignment="1">
      <alignment horizontal="center" vertical="center"/>
    </xf>
    <xf numFmtId="0" fontId="22" fillId="0" borderId="12" xfId="0" applyNumberFormat="1" applyFont="1" applyFill="1" applyBorder="1" applyAlignment="1">
      <alignment horizontal="center" vertical="center"/>
    </xf>
    <xf numFmtId="0" fontId="20" fillId="0" borderId="12" xfId="0" applyFont="1" applyFill="1" applyBorder="1" applyAlignment="1">
      <alignment horizontal="center" vertical="center"/>
    </xf>
    <xf numFmtId="0" fontId="22" fillId="0" borderId="12" xfId="0" applyFont="1" applyFill="1" applyBorder="1" applyAlignment="1">
      <alignment horizontal="center" vertical="center"/>
    </xf>
    <xf numFmtId="49" fontId="22" fillId="0" borderId="12" xfId="0" applyNumberFormat="1" applyFont="1" applyFill="1" applyBorder="1" applyAlignment="1">
      <alignment horizontal="center" vertical="center"/>
    </xf>
    <xf numFmtId="49" fontId="22" fillId="0" borderId="12" xfId="0" applyNumberFormat="1" applyFont="1" applyFill="1" applyBorder="1" applyAlignment="1">
      <alignment horizontal="left" vertical="center"/>
    </xf>
    <xf numFmtId="0" fontId="23" fillId="0" borderId="12" xfId="0" applyFont="1" applyFill="1" applyBorder="1" applyAlignment="1">
      <alignment horizontal="center" vertical="center"/>
    </xf>
    <xf numFmtId="0" fontId="22" fillId="0" borderId="12" xfId="0" applyFont="1" applyFill="1" applyBorder="1" applyAlignment="1">
      <alignment horizontal="left" vertical="center"/>
    </xf>
    <xf numFmtId="43" fontId="23" fillId="0" borderId="12" xfId="2" applyFont="1" applyFill="1" applyBorder="1" applyAlignment="1">
      <alignment horizontal="center" vertical="center"/>
    </xf>
    <xf numFmtId="17" fontId="0" fillId="0" borderId="12" xfId="0" applyNumberFormat="1" applyFill="1" applyBorder="1" applyAlignment="1">
      <alignment horizontal="center" vertical="center"/>
    </xf>
    <xf numFmtId="17"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5" fontId="0" fillId="0" borderId="12" xfId="0" applyNumberFormat="1" applyFill="1" applyBorder="1" applyAlignment="1">
      <alignment horizontal="center" vertical="center"/>
    </xf>
    <xf numFmtId="0" fontId="24" fillId="0" borderId="1" xfId="0" applyFont="1" applyFill="1" applyBorder="1" applyAlignment="1">
      <alignment horizontal="center" vertical="center"/>
    </xf>
    <xf numFmtId="0" fontId="25" fillId="0" borderId="1" xfId="0" applyNumberFormat="1" applyFont="1" applyFill="1" applyBorder="1" applyAlignment="1">
      <alignment horizontal="center" vertical="center"/>
    </xf>
    <xf numFmtId="0" fontId="25" fillId="0" borderId="1" xfId="0" applyFont="1" applyFill="1" applyBorder="1" applyAlignment="1">
      <alignment horizontal="center" vertical="center"/>
    </xf>
    <xf numFmtId="49" fontId="25" fillId="0" borderId="1" xfId="0" applyNumberFormat="1" applyFont="1" applyFill="1" applyBorder="1" applyAlignment="1">
      <alignment horizontal="center" vertical="center"/>
    </xf>
    <xf numFmtId="49" fontId="25" fillId="0" borderId="1" xfId="0" applyNumberFormat="1" applyFont="1" applyFill="1" applyBorder="1" applyAlignment="1">
      <alignment horizontal="left" vertical="center"/>
    </xf>
    <xf numFmtId="0" fontId="26" fillId="0" borderId="1" xfId="0" applyFont="1" applyFill="1" applyBorder="1" applyAlignment="1">
      <alignment horizontal="center" vertical="center"/>
    </xf>
    <xf numFmtId="0" fontId="25" fillId="0" borderId="1" xfId="0" applyFont="1" applyFill="1" applyBorder="1" applyAlignment="1">
      <alignment horizontal="left" vertical="center"/>
    </xf>
    <xf numFmtId="43" fontId="26" fillId="0" borderId="1" xfId="2" applyFont="1" applyFill="1" applyBorder="1" applyAlignment="1">
      <alignment horizontal="center" vertical="center"/>
    </xf>
    <xf numFmtId="14" fontId="0" fillId="0" borderId="1" xfId="0" applyNumberFormat="1" applyFill="1" applyBorder="1" applyAlignment="1">
      <alignment horizontal="center" vertical="center"/>
    </xf>
    <xf numFmtId="14" fontId="0" fillId="0" borderId="12" xfId="0" applyNumberFormat="1" applyFill="1" applyBorder="1" applyAlignment="1">
      <alignment horizontal="center" vertical="center"/>
    </xf>
    <xf numFmtId="0" fontId="24" fillId="0" borderId="12" xfId="0" applyFont="1" applyFill="1" applyBorder="1" applyAlignment="1">
      <alignment horizontal="center" vertical="center"/>
    </xf>
    <xf numFmtId="0" fontId="25" fillId="0" borderId="12" xfId="0" applyNumberFormat="1" applyFont="1" applyFill="1" applyBorder="1" applyAlignment="1">
      <alignment horizontal="center" vertical="center"/>
    </xf>
    <xf numFmtId="0" fontId="25" fillId="0" borderId="12" xfId="0" applyFont="1" applyFill="1" applyBorder="1" applyAlignment="1">
      <alignment horizontal="center" vertical="center"/>
    </xf>
    <xf numFmtId="49" fontId="25" fillId="0" borderId="12" xfId="0" applyNumberFormat="1" applyFont="1" applyFill="1" applyBorder="1" applyAlignment="1">
      <alignment horizontal="center" vertical="center"/>
    </xf>
    <xf numFmtId="49" fontId="25" fillId="0" borderId="12" xfId="0" applyNumberFormat="1" applyFont="1" applyFill="1" applyBorder="1" applyAlignment="1">
      <alignment horizontal="left" vertical="center"/>
    </xf>
    <xf numFmtId="0" fontId="26" fillId="0" borderId="12" xfId="0" applyFont="1" applyFill="1" applyBorder="1" applyAlignment="1">
      <alignment horizontal="center" vertical="center"/>
    </xf>
    <xf numFmtId="0" fontId="25" fillId="0" borderId="12" xfId="0" applyFont="1" applyFill="1" applyBorder="1" applyAlignment="1">
      <alignment horizontal="left" vertical="center"/>
    </xf>
    <xf numFmtId="43" fontId="26" fillId="0" borderId="12" xfId="2" applyFont="1" applyFill="1" applyBorder="1" applyAlignment="1">
      <alignment horizontal="center" vertical="center"/>
    </xf>
    <xf numFmtId="49" fontId="10" fillId="0" borderId="0" xfId="0" applyNumberFormat="1" applyFont="1" applyFill="1" applyAlignment="1">
      <alignment horizontal="center" vertical="center"/>
    </xf>
    <xf numFmtId="0" fontId="0" fillId="2" borderId="0" xfId="0" applyFill="1"/>
    <xf numFmtId="0" fontId="29" fillId="2" borderId="0" xfId="0" applyFont="1" applyFill="1" applyBorder="1" applyAlignment="1"/>
    <xf numFmtId="165" fontId="30" fillId="2" borderId="0" xfId="0" applyNumberFormat="1" applyFont="1" applyFill="1" applyBorder="1" applyAlignment="1"/>
    <xf numFmtId="0" fontId="31" fillId="2" borderId="0" xfId="0" applyFont="1" applyFill="1" applyBorder="1" applyAlignment="1"/>
    <xf numFmtId="0" fontId="31" fillId="2" borderId="0" xfId="0" quotePrefix="1" applyFont="1" applyFill="1" applyBorder="1" applyAlignment="1">
      <alignment horizontal="left"/>
    </xf>
    <xf numFmtId="0" fontId="0" fillId="2" borderId="0" xfId="0" applyFill="1" applyBorder="1" applyAlignment="1">
      <alignment horizontal="center"/>
    </xf>
    <xf numFmtId="0" fontId="0" fillId="2" borderId="0" xfId="0" applyFill="1" applyBorder="1" applyAlignment="1">
      <alignment horizontal="left"/>
    </xf>
    <xf numFmtId="43" fontId="1" fillId="2" borderId="0" xfId="2" applyFont="1" applyFill="1" applyBorder="1" applyAlignment="1">
      <alignment horizontal="left"/>
    </xf>
    <xf numFmtId="0" fontId="0" fillId="2" borderId="0" xfId="0" applyFill="1" applyAlignment="1"/>
    <xf numFmtId="0" fontId="0" fillId="2" borderId="0" xfId="0" applyFont="1" applyFill="1" applyBorder="1" applyAlignment="1">
      <alignment horizontal="center"/>
    </xf>
    <xf numFmtId="0" fontId="0" fillId="2" borderId="0" xfId="0" applyFont="1" applyFill="1" applyBorder="1" applyAlignment="1">
      <alignment horizontal="left"/>
    </xf>
    <xf numFmtId="43" fontId="0" fillId="2" borderId="0" xfId="2" applyFont="1" applyFill="1" applyBorder="1" applyAlignment="1"/>
    <xf numFmtId="43" fontId="14" fillId="2" borderId="0" xfId="2" applyFont="1" applyFill="1" applyBorder="1" applyAlignment="1">
      <alignment horizontal="left"/>
    </xf>
    <xf numFmtId="0" fontId="1" fillId="2" borderId="0" xfId="0" applyFont="1" applyFill="1"/>
    <xf numFmtId="0" fontId="0" fillId="2" borderId="0" xfId="0" applyFont="1" applyFill="1"/>
    <xf numFmtId="0" fontId="0" fillId="2" borderId="0" xfId="0" applyFont="1" applyFill="1" applyBorder="1" applyAlignment="1"/>
    <xf numFmtId="0" fontId="14" fillId="2" borderId="0" xfId="0" applyFont="1" applyFill="1" applyBorder="1" applyAlignment="1">
      <alignment horizontal="left"/>
    </xf>
    <xf numFmtId="0" fontId="0" fillId="2" borderId="0" xfId="0" applyFill="1" applyBorder="1" applyAlignment="1"/>
    <xf numFmtId="0" fontId="1" fillId="2" borderId="0" xfId="2" applyNumberFormat="1" applyFont="1" applyFill="1" applyBorder="1" applyAlignment="1">
      <alignment horizontal="left" indent="1"/>
    </xf>
    <xf numFmtId="0" fontId="15" fillId="0" borderId="0" xfId="3" applyAlignment="1" applyProtection="1"/>
    <xf numFmtId="0" fontId="0" fillId="2" borderId="0" xfId="0" applyFont="1" applyFill="1" applyBorder="1"/>
    <xf numFmtId="43" fontId="0" fillId="2" borderId="0" xfId="2" applyFont="1" applyFill="1" applyBorder="1"/>
    <xf numFmtId="43" fontId="0" fillId="2" borderId="0" xfId="2" applyFont="1" applyFill="1" applyBorder="1" applyAlignment="1">
      <alignment horizontal="left"/>
    </xf>
    <xf numFmtId="0" fontId="32" fillId="2" borderId="0" xfId="0" applyFont="1" applyFill="1" applyBorder="1" applyAlignment="1"/>
    <xf numFmtId="0" fontId="14" fillId="2" borderId="0" xfId="0" applyFont="1" applyFill="1" applyBorder="1" applyAlignment="1">
      <alignment horizontal="center"/>
    </xf>
    <xf numFmtId="0" fontId="32" fillId="2" borderId="22" xfId="0" applyFont="1" applyFill="1" applyBorder="1" applyAlignment="1">
      <alignment horizontal="center" vertical="center"/>
    </xf>
    <xf numFmtId="0" fontId="32" fillId="2" borderId="25" xfId="0" applyFont="1" applyFill="1" applyBorder="1" applyAlignment="1">
      <alignment horizontal="center" vertical="center"/>
    </xf>
    <xf numFmtId="0" fontId="32" fillId="2" borderId="23" xfId="0" applyFont="1" applyFill="1" applyBorder="1" applyAlignment="1">
      <alignment horizontal="center" vertical="center"/>
    </xf>
    <xf numFmtId="0" fontId="33" fillId="2" borderId="0" xfId="0" applyFont="1" applyFill="1" applyAlignment="1">
      <alignment horizontal="center" vertical="center"/>
    </xf>
    <xf numFmtId="0" fontId="34" fillId="2" borderId="28" xfId="0" applyFont="1" applyFill="1" applyBorder="1" applyAlignment="1">
      <alignment horizontal="center" vertical="center"/>
    </xf>
    <xf numFmtId="0" fontId="34" fillId="2" borderId="29" xfId="0" quotePrefix="1" applyFont="1" applyFill="1" applyBorder="1" applyAlignment="1">
      <alignment horizontal="center" vertical="center"/>
    </xf>
    <xf numFmtId="0" fontId="34" fillId="2" borderId="15" xfId="0" applyFont="1" applyFill="1" applyBorder="1" applyAlignment="1">
      <alignment horizontal="center" vertical="center"/>
    </xf>
    <xf numFmtId="43" fontId="32" fillId="2" borderId="15" xfId="2" applyFont="1" applyFill="1" applyBorder="1" applyAlignment="1">
      <alignment horizontal="right" vertical="center"/>
    </xf>
    <xf numFmtId="43" fontId="34" fillId="2" borderId="30" xfId="2" applyFont="1" applyFill="1" applyBorder="1" applyAlignment="1">
      <alignment horizontal="left" vertical="center"/>
    </xf>
    <xf numFmtId="0" fontId="34" fillId="2" borderId="31" xfId="0" applyFont="1" applyFill="1" applyBorder="1" applyAlignment="1">
      <alignment horizontal="center" vertical="center"/>
    </xf>
    <xf numFmtId="0" fontId="34" fillId="2" borderId="13" xfId="0" quotePrefix="1" applyFont="1" applyFill="1" applyBorder="1" applyAlignment="1">
      <alignment horizontal="center" vertical="center"/>
    </xf>
    <xf numFmtId="43" fontId="32" fillId="2" borderId="32" xfId="2" applyFont="1" applyFill="1" applyBorder="1" applyAlignment="1">
      <alignment horizontal="right" vertical="center"/>
    </xf>
    <xf numFmtId="43" fontId="34" fillId="2" borderId="33" xfId="2" applyFont="1" applyFill="1" applyBorder="1" applyAlignment="1">
      <alignment horizontal="left" vertical="center"/>
    </xf>
    <xf numFmtId="0" fontId="32" fillId="2" borderId="31" xfId="0" applyFont="1" applyFill="1" applyBorder="1" applyAlignment="1">
      <alignment horizontal="center" vertical="center"/>
    </xf>
    <xf numFmtId="0" fontId="32" fillId="2" borderId="34" xfId="0" applyFont="1" applyFill="1" applyBorder="1" applyAlignment="1">
      <alignment horizontal="center" vertical="center"/>
    </xf>
    <xf numFmtId="0" fontId="35" fillId="2" borderId="0" xfId="0" applyFont="1" applyFill="1" applyBorder="1" applyAlignment="1"/>
    <xf numFmtId="43" fontId="14" fillId="2" borderId="0" xfId="2" applyFont="1" applyFill="1" applyBorder="1" applyAlignment="1"/>
    <xf numFmtId="0" fontId="14" fillId="2" borderId="0" xfId="0" applyFont="1" applyFill="1" applyAlignment="1"/>
    <xf numFmtId="0" fontId="14" fillId="2" borderId="0" xfId="0" applyFont="1" applyFill="1"/>
    <xf numFmtId="0" fontId="14" fillId="2" borderId="0" xfId="0" applyFont="1" applyFill="1" applyBorder="1" applyAlignment="1"/>
    <xf numFmtId="0" fontId="0" fillId="2" borderId="0" xfId="0" applyFont="1" applyFill="1" applyAlignment="1">
      <alignment horizontal="left"/>
    </xf>
    <xf numFmtId="43" fontId="0" fillId="2" borderId="0" xfId="2" applyFont="1" applyFill="1"/>
    <xf numFmtId="0" fontId="37" fillId="2" borderId="0" xfId="0" applyFont="1" applyFill="1" applyBorder="1" applyAlignment="1">
      <alignment horizontal="left"/>
    </xf>
    <xf numFmtId="0" fontId="0" fillId="2" borderId="0" xfId="0" applyFill="1" applyBorder="1"/>
    <xf numFmtId="0" fontId="37" fillId="2" borderId="0" xfId="0" applyFont="1" applyFill="1" applyBorder="1" applyAlignment="1"/>
    <xf numFmtId="0" fontId="0" fillId="2" borderId="0" xfId="0" applyFill="1" applyAlignment="1">
      <alignment horizontal="left"/>
    </xf>
    <xf numFmtId="0" fontId="34" fillId="2" borderId="13" xfId="0" applyFont="1" applyFill="1" applyBorder="1" applyAlignment="1">
      <alignment horizontal="center" vertical="center"/>
    </xf>
    <xf numFmtId="0" fontId="17" fillId="0" borderId="18" xfId="0" applyFont="1" applyFill="1" applyBorder="1" applyAlignment="1">
      <alignment horizontal="center" vertical="center"/>
    </xf>
    <xf numFmtId="0" fontId="17" fillId="0" borderId="0" xfId="0" applyFont="1" applyFill="1" applyAlignment="1">
      <alignment horizontal="center" vertical="center"/>
    </xf>
    <xf numFmtId="0" fontId="0" fillId="0" borderId="0" xfId="0" pivotButton="1"/>
    <xf numFmtId="0" fontId="0" fillId="0" borderId="0" xfId="0" applyAlignment="1">
      <alignment horizont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Border="1" applyAlignment="1">
      <alignment vertical="center"/>
    </xf>
    <xf numFmtId="0" fontId="0" fillId="0" borderId="0" xfId="0" applyNumberFormat="1" applyAlignment="1">
      <alignment vertical="center"/>
    </xf>
    <xf numFmtId="0" fontId="0" fillId="0" borderId="0" xfId="0" applyFont="1" applyAlignment="1">
      <alignment vertical="center" wrapText="1"/>
    </xf>
    <xf numFmtId="0" fontId="0" fillId="0" borderId="0" xfId="0" applyFont="1" applyBorder="1" applyAlignment="1">
      <alignment vertical="center" wrapText="1"/>
    </xf>
    <xf numFmtId="0" fontId="38" fillId="0" borderId="0" xfId="0" applyFont="1" applyAlignment="1">
      <alignment vertical="center" wrapText="1"/>
    </xf>
    <xf numFmtId="0" fontId="38" fillId="0" borderId="0" xfId="0" applyFont="1" applyBorder="1" applyAlignment="1">
      <alignment vertical="center" wrapText="1"/>
    </xf>
    <xf numFmtId="0" fontId="0" fillId="0" borderId="0" xfId="0" applyAlignment="1">
      <alignment vertical="center" wrapText="1"/>
    </xf>
    <xf numFmtId="0" fontId="0" fillId="0" borderId="0" xfId="0" applyNumberFormat="1" applyBorder="1" applyAlignment="1">
      <alignment vertical="center"/>
    </xf>
    <xf numFmtId="0" fontId="0" fillId="4" borderId="0" xfId="0" applyFill="1" applyAlignment="1">
      <alignmen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0" xfId="0" applyNumberFormat="1" applyFont="1" applyAlignment="1">
      <alignment vertical="center"/>
    </xf>
    <xf numFmtId="0" fontId="0" fillId="0" borderId="0" xfId="0" applyAlignment="1">
      <alignment horizontal="left" vertical="center"/>
    </xf>
    <xf numFmtId="0" fontId="0" fillId="0" borderId="0" xfId="0" applyBorder="1" applyAlignment="1">
      <alignment horizontal="left" vertical="center"/>
    </xf>
    <xf numFmtId="0" fontId="0" fillId="0" borderId="0" xfId="0" applyFont="1" applyBorder="1" applyAlignment="1">
      <alignment vertical="center"/>
    </xf>
    <xf numFmtId="0" fontId="0" fillId="0" borderId="0" xfId="0" applyNumberFormat="1" applyFont="1" applyBorder="1" applyAlignment="1">
      <alignment vertical="center"/>
    </xf>
    <xf numFmtId="0" fontId="0" fillId="0" borderId="0" xfId="0" applyFont="1" applyBorder="1" applyAlignment="1">
      <alignment horizontal="left" vertical="center"/>
    </xf>
    <xf numFmtId="0" fontId="0" fillId="4" borderId="0" xfId="0" applyFill="1" applyAlignment="1">
      <alignment horizontal="left" vertical="center"/>
    </xf>
    <xf numFmtId="0" fontId="0" fillId="4" borderId="0" xfId="0" applyFill="1" applyAlignment="1">
      <alignment vertical="center"/>
    </xf>
    <xf numFmtId="0" fontId="0" fillId="4" borderId="0" xfId="0" applyFont="1" applyFill="1" applyAlignment="1">
      <alignment vertical="center"/>
    </xf>
    <xf numFmtId="0" fontId="0" fillId="4" borderId="0" xfId="0" applyFill="1" applyAlignment="1">
      <alignment horizontal="center" vertical="center"/>
    </xf>
    <xf numFmtId="0" fontId="0" fillId="4" borderId="0" xfId="0" applyNumberFormat="1" applyFont="1" applyFill="1" applyAlignment="1">
      <alignment vertical="center"/>
    </xf>
    <xf numFmtId="0" fontId="38" fillId="0" borderId="0" xfId="0" applyFont="1" applyAlignment="1">
      <alignment vertical="center"/>
    </xf>
    <xf numFmtId="0" fontId="38" fillId="0" borderId="0" xfId="0" applyFont="1" applyAlignment="1">
      <alignment horizontal="center" vertical="center"/>
    </xf>
    <xf numFmtId="0" fontId="38" fillId="0" borderId="0" xfId="0" applyNumberFormat="1" applyFont="1" applyAlignment="1">
      <alignment vertical="center"/>
    </xf>
    <xf numFmtId="0" fontId="38" fillId="0" borderId="0" xfId="0" applyFont="1" applyBorder="1" applyAlignment="1">
      <alignment vertical="center"/>
    </xf>
    <xf numFmtId="0" fontId="38" fillId="0" borderId="0" xfId="0" applyFont="1" applyBorder="1" applyAlignment="1">
      <alignment horizontal="center" vertical="center"/>
    </xf>
    <xf numFmtId="0" fontId="38" fillId="0" borderId="0" xfId="0" applyNumberFormat="1" applyFont="1" applyBorder="1" applyAlignment="1">
      <alignment vertical="center"/>
    </xf>
    <xf numFmtId="0" fontId="38" fillId="0" borderId="0" xfId="0" applyFont="1" applyAlignment="1">
      <alignment horizontal="left" vertical="center"/>
    </xf>
    <xf numFmtId="0" fontId="38" fillId="0" borderId="0" xfId="0" applyFont="1" applyBorder="1" applyAlignment="1">
      <alignment horizontal="left" vertical="center"/>
    </xf>
    <xf numFmtId="0" fontId="0" fillId="0" borderId="0" xfId="0" applyBorder="1"/>
    <xf numFmtId="0" fontId="0" fillId="0" borderId="0" xfId="0" applyNumberFormat="1" applyBorder="1"/>
    <xf numFmtId="166" fontId="0" fillId="0" borderId="0" xfId="0" applyNumberFormat="1" applyBorder="1"/>
    <xf numFmtId="0" fontId="34" fillId="2" borderId="13" xfId="0" applyFont="1" applyFill="1" applyBorder="1" applyAlignment="1">
      <alignment horizontal="left" vertical="center" wrapText="1"/>
    </xf>
    <xf numFmtId="0" fontId="32" fillId="2" borderId="24" xfId="0" applyFont="1" applyFill="1" applyBorder="1" applyAlignment="1">
      <alignment horizontal="center" vertical="center"/>
    </xf>
    <xf numFmtId="0" fontId="34" fillId="2" borderId="29" xfId="0" applyFont="1" applyFill="1" applyBorder="1" applyAlignment="1">
      <alignment horizontal="left" vertical="center" wrapText="1"/>
    </xf>
    <xf numFmtId="0" fontId="37" fillId="2" borderId="0" xfId="0" applyFont="1" applyFill="1" applyBorder="1" applyAlignment="1">
      <alignment horizontal="left"/>
    </xf>
    <xf numFmtId="164" fontId="7" fillId="2" borderId="1" xfId="0" applyNumberFormat="1" applyFont="1" applyFill="1" applyBorder="1" applyAlignment="1">
      <alignment horizontal="center" vertical="center"/>
    </xf>
    <xf numFmtId="0" fontId="8" fillId="2" borderId="1" xfId="0" applyFont="1" applyFill="1" applyBorder="1" applyAlignment="1">
      <alignment horizontal="left" vertical="center"/>
    </xf>
    <xf numFmtId="0" fontId="1" fillId="0" borderId="1" xfId="0" applyFont="1" applyBorder="1" applyAlignment="1">
      <alignment horizontal="left"/>
    </xf>
    <xf numFmtId="167" fontId="0" fillId="0" borderId="0" xfId="0" applyNumberFormat="1" applyProtection="1"/>
    <xf numFmtId="0" fontId="0" fillId="4" borderId="0" xfId="0" applyFont="1" applyFill="1" applyAlignment="1">
      <alignment horizontal="center" vertical="center"/>
    </xf>
    <xf numFmtId="0" fontId="38" fillId="4" borderId="0" xfId="0" applyFont="1" applyFill="1" applyAlignment="1">
      <alignment vertical="center"/>
    </xf>
    <xf numFmtId="168" fontId="0" fillId="0" borderId="0" xfId="5" applyNumberFormat="1" applyFont="1" applyAlignment="1">
      <alignment vertical="center"/>
    </xf>
    <xf numFmtId="168" fontId="0" fillId="4" borderId="0" xfId="5" applyNumberFormat="1" applyFont="1" applyFill="1" applyAlignment="1">
      <alignment vertical="center"/>
    </xf>
    <xf numFmtId="168" fontId="38" fillId="0" borderId="0" xfId="5" applyNumberFormat="1" applyFont="1" applyAlignment="1">
      <alignment vertical="center"/>
    </xf>
    <xf numFmtId="0" fontId="34" fillId="2" borderId="13" xfId="0" applyFont="1" applyFill="1" applyBorder="1" applyAlignment="1">
      <alignment horizontal="left" vertical="center" wrapText="1"/>
    </xf>
    <xf numFmtId="0" fontId="28" fillId="2" borderId="0" xfId="0" applyFont="1" applyFill="1" applyBorder="1" applyAlignment="1">
      <alignment horizontal="center"/>
    </xf>
    <xf numFmtId="0" fontId="29" fillId="2" borderId="0" xfId="0" applyFont="1" applyFill="1" applyBorder="1" applyAlignment="1">
      <alignment horizontal="right"/>
    </xf>
    <xf numFmtId="0" fontId="32" fillId="2" borderId="23" xfId="0" applyFont="1" applyFill="1" applyBorder="1" applyAlignment="1">
      <alignment horizontal="center" vertical="center"/>
    </xf>
    <xf numFmtId="0" fontId="32" fillId="2" borderId="24" xfId="0" applyFont="1" applyFill="1" applyBorder="1" applyAlignment="1">
      <alignment horizontal="center" vertical="center"/>
    </xf>
    <xf numFmtId="0" fontId="32" fillId="2" borderId="26" xfId="0" applyFont="1" applyFill="1" applyBorder="1" applyAlignment="1">
      <alignment horizontal="center" vertical="center"/>
    </xf>
    <xf numFmtId="0" fontId="32" fillId="2" borderId="27" xfId="0" applyFont="1" applyFill="1" applyBorder="1" applyAlignment="1">
      <alignment horizontal="center" vertical="center"/>
    </xf>
    <xf numFmtId="0" fontId="34" fillId="2" borderId="29" xfId="0" applyFont="1" applyFill="1" applyBorder="1" applyAlignment="1">
      <alignment horizontal="left" vertical="center" wrapText="1"/>
    </xf>
    <xf numFmtId="2" fontId="1" fillId="2" borderId="22" xfId="0" applyNumberFormat="1" applyFont="1" applyFill="1" applyBorder="1" applyAlignment="1">
      <alignment horizontal="right" vertical="center"/>
    </xf>
    <xf numFmtId="2" fontId="1" fillId="2" borderId="35" xfId="0" applyNumberFormat="1" applyFont="1" applyFill="1" applyBorder="1" applyAlignment="1">
      <alignment horizontal="right" vertical="center"/>
    </xf>
    <xf numFmtId="0" fontId="37" fillId="2" borderId="0" xfId="0" applyFont="1" applyFill="1" applyBorder="1" applyAlignment="1">
      <alignment horizontal="left"/>
    </xf>
    <xf numFmtId="0" fontId="1" fillId="2" borderId="22" xfId="0" applyFont="1" applyFill="1" applyBorder="1" applyAlignment="1">
      <alignment horizontal="right" vertical="center"/>
    </xf>
    <xf numFmtId="0" fontId="1" fillId="2" borderId="25" xfId="0" applyFont="1" applyFill="1" applyBorder="1" applyAlignment="1">
      <alignment horizontal="right" vertical="center"/>
    </xf>
    <xf numFmtId="0" fontId="1" fillId="2" borderId="35" xfId="0" applyFont="1" applyFill="1" applyBorder="1" applyAlignment="1">
      <alignment horizontal="right" vertical="center"/>
    </xf>
    <xf numFmtId="0" fontId="11" fillId="0" borderId="9" xfId="0" applyFont="1" applyFill="1" applyBorder="1" applyAlignment="1">
      <alignment horizontal="center" vertical="center"/>
    </xf>
    <xf numFmtId="0" fontId="11" fillId="0" borderId="10" xfId="0" applyFont="1" applyFill="1" applyBorder="1" applyAlignment="1">
      <alignment horizontal="center" vertical="center"/>
    </xf>
    <xf numFmtId="0" fontId="11" fillId="0" borderId="11" xfId="0" applyFont="1" applyFill="1" applyBorder="1" applyAlignment="1">
      <alignment horizontal="center" vertical="center"/>
    </xf>
  </cellXfs>
  <cellStyles count="6">
    <cellStyle name="Comma" xfId="5" builtinId="3"/>
    <cellStyle name="Comma 2" xfId="2"/>
    <cellStyle name="Hyperlink" xfId="3" builtinId="8"/>
    <cellStyle name="Hyperlink 2" xfId="1"/>
    <cellStyle name="Normal" xfId="0" builtinId="0"/>
    <cellStyle name="Normal 2" xfId="4"/>
  </cellStyles>
  <dxfs count="128">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relative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166" formatCode="0.000"/>
    </dxf>
    <dxf>
      <protection locked="1" hidden="0"/>
    </dxf>
    <dxf>
      <numFmt numFmtId="167" formatCode="dd/mm/yyyy"/>
      <protection locked="1" hidden="0"/>
    </dxf>
    <dxf>
      <numFmt numFmtId="167" formatCode="dd/mm/yyyy"/>
      <protection locked="1" hidden="0"/>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8" formatCode="_(* #,##0.000_);_(* \(#,##0.000\);_(* &quot;-&quot;??_);_(@_)"/>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left" vertical="center" textRotation="0" wrapText="0" indent="0" justifyLastLine="0" shrinkToFit="0" readingOrder="0"/>
    </dxf>
    <dxf>
      <font>
        <strike val="0"/>
        <outline val="0"/>
        <shadow val="0"/>
        <u val="none"/>
        <vertAlign val="baseline"/>
        <sz val="11"/>
        <color theme="1"/>
        <name val="Calibri"/>
        <scheme val="minor"/>
      </font>
      <alignment horizontal="general" vertical="center" textRotation="0" wrapText="1"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alignment horizontal="center" vertical="center" textRotation="0" wrapText="0" indent="0" justifyLastLine="0" shrinkToFit="0" readingOrder="0"/>
    </dxf>
    <dxf>
      <font>
        <color rgb="FF9C0006"/>
      </font>
      <fill>
        <patternFill>
          <bgColor rgb="FFFFC7CE"/>
        </patternFill>
      </fill>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medium">
          <color indexed="64"/>
        </top>
      </border>
    </dxf>
    <dxf>
      <fill>
        <patternFill patternType="none">
          <fgColor indexed="64"/>
          <bgColor indexed="65"/>
        </patternFill>
      </fill>
      <alignment horizontal="center" vertical="center" textRotation="0" wrapText="0" relativeIndent="0" justifyLastLine="0" shrinkToFit="0" readingOrder="0"/>
    </dxf>
    <dxf>
      <alignment horizontal="center" vertical="center" textRotation="0" wrapText="0" relativeIndent="0" justifyLastLine="0" shrinkToFit="0" readingOrder="0"/>
      <border diagonalUp="0" diagonalDown="0">
        <left style="medium">
          <color indexed="64"/>
        </left>
        <right style="medium">
          <color indexed="64"/>
        </right>
        <top/>
        <bottom/>
      </border>
    </dxf>
    <dxf>
      <numFmt numFmtId="0" formatCode="General"/>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1</xdr:row>
      <xdr:rowOff>33059</xdr:rowOff>
    </xdr:from>
    <xdr:to>
      <xdr:col>3</xdr:col>
      <xdr:colOff>467558</xdr:colOff>
      <xdr:row>2</xdr:row>
      <xdr:rowOff>302560</xdr:rowOff>
    </xdr:to>
    <xdr:pic>
      <xdr:nvPicPr>
        <xdr:cNvPr id="2" name="Picture 1" descr="Logo_eng"/>
        <xdr:cNvPicPr>
          <a:picLocks noChangeAspect="1" noChangeArrowheads="1"/>
        </xdr:cNvPicPr>
      </xdr:nvPicPr>
      <xdr:blipFill>
        <a:blip xmlns:r="http://schemas.openxmlformats.org/officeDocument/2006/relationships" r:embed="rId1" cstate="print"/>
        <a:srcRect/>
        <a:stretch>
          <a:fillRect/>
        </a:stretch>
      </xdr:blipFill>
      <xdr:spPr bwMode="auto">
        <a:xfrm>
          <a:off x="657225" y="223559"/>
          <a:ext cx="1648658" cy="602876"/>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mail - [2010]" refreshedDate="43615.711400462962" createdVersion="4" refreshedVersion="4" minRefreshableVersion="3" recordCount="1752">
  <cacheSource type="worksheet">
    <worksheetSource name="TB_Parts_Lists"/>
  </cacheSource>
  <cacheFields count="18">
    <cacheField name="Part Number" numFmtId="0">
      <sharedItems containsBlank="1" count="2235">
        <s v="BRG0001"/>
        <s v="BRG0002"/>
        <s v="BRG0003"/>
        <s v="BRG0004"/>
        <s v="BRG0005"/>
        <s v="BRG0006"/>
        <s v="BRG0007"/>
        <s v="BRG0008"/>
        <s v="BRG0009"/>
        <s v="BRG0010"/>
        <s v="BRG0011"/>
        <s v="BRG0012"/>
        <s v="BRG0013"/>
        <s v="BRG0014"/>
        <s v="BRG0015"/>
        <s v="BRG0016"/>
        <s v="BRG0017"/>
        <s v="BRG0018"/>
        <s v="BRG0019"/>
        <s v="BRG0020"/>
        <s v="BRG0021"/>
        <s v="BRG0022"/>
        <s v="BRG0023"/>
        <s v="BRG0024"/>
        <s v="BRG0025"/>
        <s v="BRG0026"/>
        <s v="BRG0027"/>
        <s v="BRG0028"/>
        <s v="BRG0029"/>
        <s v="BRG0030"/>
        <s v="BRG0031"/>
        <s v="BRG0032"/>
        <s v="BRG0033"/>
        <s v="BRG0034"/>
        <s v="BRG0035"/>
        <s v="BRG0036"/>
        <s v="BRG0037"/>
        <s v="BRG0038"/>
        <s v="BRG0039"/>
        <s v="BRG0040"/>
        <s v="BRG0041"/>
        <s v="BRG0042"/>
        <s v="BRG0043"/>
        <s v="BRG0044"/>
        <s v="BRG0045"/>
        <s v="BRG0046"/>
        <s v="BRG0047"/>
        <s v="BRG0048"/>
        <s v="BRG0049"/>
        <s v="BRG0050"/>
        <s v="BRG0051"/>
        <s v="BRG0052"/>
        <s v="BRG0053"/>
        <s v="BRG0054"/>
        <s v="BRG0055"/>
        <s v="BRG0056"/>
        <s v="BRG0057"/>
        <s v="BRG0058"/>
        <s v="BRG0059"/>
        <s v="BRG0060"/>
        <s v="BRG0061"/>
        <s v="BRG0062"/>
        <s v="BRG0063"/>
        <s v="BRG0064"/>
        <s v="BRG0065"/>
        <s v="BRG0066"/>
        <s v="BRG0067"/>
        <s v="BRG0068"/>
        <s v="BRG0069"/>
        <s v="BRG0070"/>
        <s v="BRG0071"/>
        <s v="BRG0072"/>
        <s v="BRG0073"/>
        <s v="BRG0074"/>
        <s v="BRG0075"/>
        <s v="BRG0076"/>
        <s v="BRG0077"/>
        <s v="BRG0078"/>
        <s v="BRG0079"/>
        <s v="BRG0080"/>
        <s v="BRG0081"/>
        <s v="BRG0082"/>
        <s v="BRG0083"/>
        <s v="BRG0084"/>
        <s v="BRG0085"/>
        <s v="BRG0086"/>
        <s v="BRG0087"/>
        <s v="BRG0088"/>
        <s v="BRG0089"/>
        <s v="BRG0090"/>
        <s v="BRG0091"/>
        <s v="BRG0092"/>
        <s v="BRG0093"/>
        <s v="BRG0094"/>
        <s v="BRG0095"/>
        <s v="BRG0096"/>
        <s v="BRG0097"/>
        <s v="BRG0098"/>
        <s v="BRG0099"/>
        <s v="BRG0100"/>
        <s v="BRG0101"/>
        <s v="BRG0102"/>
        <s v="BRG0103"/>
        <s v="BRG0104"/>
        <s v="BRG0105"/>
        <s v="BRG0106"/>
        <s v="BRG0107"/>
        <s v="BRG0108"/>
        <s v="BRG0109"/>
        <s v="BRG0110"/>
        <s v="BRG0111"/>
        <s v="BRG0112"/>
        <s v="BRG0113"/>
        <s v="BRG0114"/>
        <s v="BRG0115"/>
        <s v="BRG0116"/>
        <s v="BRG0117"/>
        <s v="BRG0118"/>
        <s v="BRG0119"/>
        <s v="BRG0120"/>
        <s v="BRG0121"/>
        <s v="BRG0122"/>
        <s v="BRG0123"/>
        <s v="BRG0124"/>
        <s v="BRG0125"/>
        <s v="BRG0126"/>
        <s v="BRG0127"/>
        <s v="BRG0128"/>
        <s v="BRG0129"/>
        <s v="BRG0130"/>
        <s v="BRG0131"/>
        <s v="BRG0132"/>
        <s v="BRG0133"/>
        <s v="BRG0134"/>
        <s v="BRG0135"/>
        <s v="BRG0136"/>
        <s v="BRG0137"/>
        <s v="BRG0138"/>
        <s v="BRG0139"/>
        <s v="BRG0140"/>
        <s v="BRG0141"/>
        <s v="BRG0142"/>
        <s v="BRG0143"/>
        <s v="BRG0144"/>
        <s v="BRG0145"/>
        <s v="BRG0146"/>
        <s v="BRG0147"/>
        <s v="BRG0148"/>
        <s v="BRG0149"/>
        <s v="BRG0150"/>
        <s v="BRG0151"/>
        <s v="BRG0152"/>
        <s v="BRG0153"/>
        <s v="BRG0154"/>
        <s v="BRG0155"/>
        <s v="BRG0156"/>
        <s v="GER0001"/>
        <s v="MEH0001"/>
        <s v="GER0002"/>
        <s v="MEH0002"/>
        <s v="MEH0003"/>
        <s v="MEH0004"/>
        <s v="BRG0157"/>
        <s v="MEH0005"/>
        <s v="FSN0001"/>
        <s v="RLS0001"/>
        <s v="RLS0002"/>
        <s v="MEH0006"/>
        <s v="GER0003"/>
        <s v="GER0004"/>
        <s v="RLS0003"/>
        <s v="KNV0001"/>
        <s v="RLS0004"/>
        <s v="KNV0002"/>
        <s v="MEH0007"/>
        <s v="MEH0008"/>
        <s v="MEH0009"/>
        <s v="FSN0002"/>
        <s v="GER0005"/>
        <s v="GER0006"/>
        <s v="GER0007"/>
        <s v="GER0008"/>
        <s v="GER0009"/>
        <s v="MEH0010"/>
        <s v="MEH0011"/>
        <s v="GER0010"/>
        <s v="MEH0012"/>
        <s v="BLT0001"/>
        <s v="GER0011"/>
        <s v="RLS0005"/>
        <s v="ELC0001"/>
        <s v="MEH0013"/>
        <s v="FSN0003"/>
        <s v="MEH0014"/>
        <s v="MEH0015"/>
        <s v="MEH0016"/>
        <s v="MEH0017"/>
        <s v="MEH0018"/>
        <s v="MEH0019"/>
        <s v="GER0012"/>
        <s v="PNU0001"/>
        <s v="BRG0158"/>
        <s v="BLT0002"/>
        <s v="GER0013"/>
        <s v="FSN0004"/>
        <s v="ELC0002"/>
        <s v="MEH0020"/>
        <s v="MEH0021"/>
        <s v="PNU0002"/>
        <s v="MEH0022"/>
        <s v="PNU0003"/>
        <s v="MEH0023"/>
        <s v="PNU0004"/>
        <s v="CHN0001"/>
        <s v="MEH0024"/>
        <s v="MEH0025"/>
        <s v="MEH0026"/>
        <s v="MSC0001"/>
        <s v="PNU0005"/>
        <s v="MEH0027"/>
        <s v="TPE0001"/>
        <s v="MSC0002"/>
        <s v="MEH0028"/>
        <s v="HYD0001"/>
        <s v="HYD0002"/>
        <s v="MEH0029"/>
        <s v="MEH0030"/>
        <s v="MEH0031"/>
        <s v="MEH0032"/>
        <s v="GER0014"/>
        <s v="MEH0033"/>
        <s v="MEH0034"/>
        <s v="MEH0035"/>
        <s v="MSC0003"/>
        <s v="MEH0036"/>
        <s v="MEH0037"/>
        <s v="MEH0038"/>
        <s v="MEH0039"/>
        <s v="MEH0040"/>
        <s v="MEH0041"/>
        <s v="MEH0042"/>
        <s v="MEH0043"/>
        <s v="FSN0005"/>
        <s v="MEH0044"/>
        <s v="MEH0045"/>
        <s v="MEH0046"/>
        <s v="MSC0004"/>
        <s v="MEH0047"/>
        <s v="MEH0048"/>
        <s v="MEH0049"/>
        <s v="MSC0005"/>
        <s v="BLT0003"/>
        <s v="MEH0050"/>
        <s v="MEH0051"/>
        <s v="GER0015"/>
        <s v="MEH0052"/>
        <s v="GER0016"/>
        <s v="GER0017"/>
        <s v="MEH0053"/>
        <s v="MEH0054"/>
        <s v="MEH0055"/>
        <s v="MEH0056"/>
        <s v="MEH0057"/>
        <s v="MSC0006"/>
        <s v="MEH0058"/>
        <s v="MEH0059"/>
        <s v="MEH0060"/>
        <s v="MEH0061"/>
        <s v="FSN0006"/>
        <s v="FSN0007"/>
        <s v="FSN0008"/>
        <s v="FSN0009"/>
        <s v="FSN0010"/>
        <s v="MEH0062"/>
        <s v="MEH0063"/>
        <s v="TPE0002"/>
        <s v="MEH0064"/>
        <s v="MEH0065"/>
        <s v="GER0018"/>
        <s v="MEH0066"/>
        <s v="MEH0067"/>
        <s v="MEH0068"/>
        <s v="MEH0069"/>
        <s v="BRG0159"/>
        <s v="MEH0070"/>
        <s v="MEH0071"/>
        <s v="RLS0006"/>
        <s v="BRG0160"/>
        <s v="BRG0161"/>
        <s v="BRG0162"/>
        <s v="BRG0163"/>
        <s v="RLS0007"/>
        <s v="RLS0008"/>
        <s v="MEH0072"/>
        <s v="MEH0073"/>
        <s v="GER0019"/>
        <s v="MEH0074"/>
        <s v="MEH0075"/>
        <s v="MEH0076"/>
        <s v="RLS0009"/>
        <s v="RLS0010"/>
        <s v="MEH0077"/>
        <s v="MEH0078"/>
        <s v="RLS0011"/>
        <s v="ELC0003"/>
        <s v="PNU0006"/>
        <s v="ELC0004"/>
        <s v="ELC0005"/>
        <s v="ELC0006"/>
        <s v="ELC0007"/>
        <s v="ELC0008"/>
        <s v="ELC0009"/>
        <s v="ELC0010"/>
        <s v="PNU0007"/>
        <s v="ELC0011"/>
        <s v="ELC0012"/>
        <s v="ELC0013"/>
        <s v="ELC0014"/>
        <s v="ELC0015"/>
        <s v="ELC0016"/>
        <s v="ELC0017"/>
        <s v="ELC0018"/>
        <s v="ELC0019"/>
        <s v="ELC0020"/>
        <s v="ELC0021"/>
        <s v="ELC0022"/>
        <s v="ELC0023"/>
        <s v="ELC0024"/>
        <s v="ELC0025"/>
        <s v="ELC0026"/>
        <s v="ELC0027"/>
        <s v="ELC0028"/>
        <s v="ELC0029"/>
        <s v="ELC0030"/>
        <s v="ELC0031"/>
        <s v="ELC0032"/>
        <s v="ELC0033"/>
        <s v="ELC0034"/>
        <s v="ELC0035"/>
        <s v="ELC0036"/>
        <s v="ELC0037"/>
        <s v="ELC0038"/>
        <s v="ELC0039"/>
        <s v="ELC0040"/>
        <s v="ELC0041"/>
        <s v="ELC0042"/>
        <s v="ELC0043"/>
        <s v="ELC0044"/>
        <s v="ELC0045"/>
        <s v="ELC0046"/>
        <s v="ELC0047"/>
        <s v="ELC0048"/>
        <s v="ELC0049"/>
        <s v="ELC0050"/>
        <s v="ELC0051"/>
        <s v="ELC0052"/>
        <s v="ELC0053"/>
        <s v="ELC0054"/>
        <s v="ELC0055"/>
        <s v="ELC0056"/>
        <s v="ELC0057"/>
        <s v="ELC0058"/>
        <s v="ELC0059"/>
        <s v="ELC0060"/>
        <s v="ELC0061"/>
        <s v="ELC0062"/>
        <s v="ELC0063"/>
        <s v="ELC0064"/>
        <s v="ELC0065"/>
        <s v="ELC0066"/>
        <s v="ELC0067"/>
        <s v="ELC0068"/>
        <s v="ELC0069"/>
        <s v="ELC0070"/>
        <s v="ELC0071"/>
        <s v="ELC0072"/>
        <s v="ELC0073"/>
        <s v="ELC0074"/>
        <s v="ELC0075"/>
        <s v="ELC0076"/>
        <s v="ELC0077"/>
        <s v="ELC0078"/>
        <s v="ELC0079"/>
        <s v="PNU0008"/>
        <s v="ELC0080"/>
        <s v="ELC0081"/>
        <s v="ELC0082"/>
        <s v="ELC0083"/>
        <s v="ELC0084"/>
        <s v="ELC0085"/>
        <s v="ELC0086"/>
        <s v="ELC0087"/>
        <s v="ELC0088"/>
        <s v="ELC0089"/>
        <s v="ELC0090"/>
        <s v="ELC0091"/>
        <s v="ELC0092"/>
        <s v="ELC0093"/>
        <s v="ELC0094"/>
        <s v="ELC0095"/>
        <s v="ELC0096"/>
        <s v="ELC0097"/>
        <s v="ELC0098"/>
        <s v="ELC0099"/>
        <s v="ELC0100"/>
        <s v="ELC0101"/>
        <s v="ELC0102"/>
        <s v="ELC0103"/>
        <s v="ELC0104"/>
        <s v="ELC0105"/>
        <s v="ELC0106"/>
        <s v="ELC0107"/>
        <s v="ELC0108"/>
        <s v="ELC0109"/>
        <s v="ELC0110"/>
        <s v="ELC0111"/>
        <s v="ELC0112"/>
        <s v="ELC0113"/>
        <s v="ELC0114"/>
        <s v="ELC0115"/>
        <s v="ELC0116"/>
        <s v="ELC0117"/>
        <s v="ELC0118"/>
        <s v="ELC0119"/>
        <s v="ELC0120"/>
        <s v="ELC0121"/>
        <s v="ELC0122"/>
        <s v="ELC0123"/>
        <s v="ELC0124"/>
        <s v="ELC0125"/>
        <s v="ELC0126"/>
        <s v="ELC0127"/>
        <s v="ELC0128"/>
        <s v="ELC0129"/>
        <s v="ELC0130"/>
        <s v="ELC0131"/>
        <s v="ELC0132"/>
        <s v="ELC0133"/>
        <s v="ELC0134"/>
        <s v="ELC0135"/>
        <s v="FSN0011"/>
        <s v="ELC0136"/>
        <s v="ELC0137"/>
        <s v="ELC0138"/>
        <s v="ELC0139"/>
        <s v="ELC0140"/>
        <s v="ELC0141"/>
        <s v="ELC0142"/>
        <s v="ELC0143"/>
        <s v="ELC0144"/>
        <s v="ELC0145"/>
        <s v="ELC0146"/>
        <s v="ELC0147"/>
        <s v="ELC0148"/>
        <s v="ELC0149"/>
        <s v="ELC0150"/>
        <s v="ELC0151"/>
        <s v="ELC0152"/>
        <s v="ELC0153"/>
        <s v="ELC0154"/>
        <s v="ELC0155"/>
        <s v="ELC0156"/>
        <s v="ELC0157"/>
        <s v="ELC0158"/>
        <s v="ELC0159"/>
        <s v="ELC0160"/>
        <s v="ELC0161"/>
        <s v="ELC0162"/>
        <s v="ELC0163"/>
        <s v="ELC0164"/>
        <s v="ELC0165"/>
        <s v="ELC0166"/>
        <s v="ELC0167"/>
        <s v="ELC0168"/>
        <s v="ELC0169"/>
        <s v="ELC0170"/>
        <s v="ELC0171"/>
        <s v="ELC0172"/>
        <s v="ELC0173"/>
        <s v="ELC0174"/>
        <s v="ELC0175"/>
        <s v="ELC0176"/>
        <s v="ELC0177"/>
        <s v="ELC0178"/>
        <s v="ELC0179"/>
        <s v="BLT0004"/>
        <s v="BLT0005"/>
        <s v="BLT0006"/>
        <s v="BLT0007"/>
        <s v="BLT0008"/>
        <s v="BLT0009"/>
        <s v="BLT0010"/>
        <s v="BLT0011"/>
        <s v="BLT0012"/>
        <s v="BLT0013"/>
        <s v="BLT0014"/>
        <s v="BLT0015"/>
        <s v="BLT0016"/>
        <s v="BLT0017"/>
        <s v="BLT0018"/>
        <s v="BLT0019"/>
        <s v="BLT0020"/>
        <s v="BLT0021"/>
        <s v="BLT0022"/>
        <s v="BLT0023"/>
        <s v="BLT0024"/>
        <s v="BLT0025"/>
        <s v="BLT0026"/>
        <s v="BLT0027"/>
        <s v="BLT0028"/>
        <s v="BLT0029"/>
        <s v="BLT0030"/>
        <s v="BLT0031"/>
        <s v="BLT0032"/>
        <s v="PNU0009"/>
        <s v="PNU0010"/>
        <s v="PNU0011"/>
        <s v="MEH0079"/>
        <s v="MEH0080"/>
        <s v="PNU0012"/>
        <s v="PNU0013"/>
        <s v="PNU0014"/>
        <s v="PNU0015"/>
        <s v="PNU0016"/>
        <s v="PNU0017"/>
        <s v="PNU0018"/>
        <s v="PRD0001"/>
        <s v="PNU0019"/>
        <s v="TPE0003"/>
        <s v="MEH0081"/>
        <s v="MEH0082"/>
        <s v="MSC0007"/>
        <s v="MSC0008"/>
        <s v="MSC0009"/>
        <s v="MSC0010"/>
        <s v="MEH0083"/>
        <s v="MSC0011"/>
        <s v="MEH0084"/>
        <s v="MSC0012"/>
        <s v="PPE0001"/>
        <s v="PPE0002"/>
        <s v="PPE0003"/>
        <s v="MEH0085"/>
        <s v="MEH0086"/>
        <s v="MEH0087"/>
        <s v="MEH0088"/>
        <s v="GER0020"/>
        <s v="FSN0012"/>
        <s v="FSN0013"/>
        <s v="MEH0089"/>
        <s v="MEH0090"/>
        <s v="MEH0091"/>
        <s v="MEH0092"/>
        <s v="FSN0014"/>
        <s v="MEH0093"/>
        <s v="MEH0094"/>
        <s v="FSN0015"/>
        <s v="MEH0095"/>
        <s v="MEH0096"/>
        <s v="MEH0097"/>
        <s v="MEH0098"/>
        <s v="MEH0099"/>
        <s v="MEH0100"/>
        <s v="MEH0101"/>
        <s v="MEH0102"/>
        <s v="BLT0033"/>
        <s v="MEH0103"/>
        <s v="MEH0104"/>
        <s v="MEH0105"/>
        <s v="MEH0106"/>
        <s v="MEH0107"/>
        <s v="MEH0108"/>
        <s v="FSN0016"/>
        <s v="MEH0109"/>
        <s v="FSN0017"/>
        <s v="MEH0110"/>
        <s v="MEH0111"/>
        <s v="FSN0018"/>
        <s v="MEH0112"/>
        <s v="MEH0113"/>
        <s v="MEH0114"/>
        <s v="MEH0115"/>
        <s v="FSN0019"/>
        <s v="ELC0180"/>
        <s v="MEH0116"/>
        <s v="MEH0117"/>
        <s v="FSN0020"/>
        <s v="MEH0118"/>
        <s v="MEH0119"/>
        <s v="BLT0034"/>
        <s v="BLT0036"/>
        <s v="BLT0037"/>
        <s v="BRG0164"/>
        <s v="ELC0181"/>
        <s v="ELC0182"/>
        <s v="BRG0165"/>
        <s v="ELC0183"/>
        <s v="ELC0184"/>
        <s v="MEH0121"/>
        <s v="MEH0122"/>
        <s v="MEH0123"/>
        <s v="MEH0124"/>
        <s v="ELC0185"/>
        <s v="ELC0186"/>
        <s v="MEH0125"/>
        <s v="ELC0187"/>
        <s v="MEH0126"/>
        <s v="ELC0188"/>
        <s v="ELC0189"/>
        <s v="FSN0021"/>
        <s v="MEH0127"/>
        <s v="PNU0020"/>
        <s v="PNU0021"/>
        <s v="PNU0022"/>
        <s v="PNU0023"/>
        <s v="ELC0190"/>
        <s v="RLS0012"/>
        <s v="RLS0013"/>
        <s v="RLS0014"/>
        <s v="BLT0038"/>
        <s v="BLT0039"/>
        <s v="MEH0128"/>
        <s v="ELC0191"/>
        <s v="MEH0129"/>
        <s v="RLS0015"/>
        <s v="RLS0016"/>
        <s v="RLS0017"/>
        <s v="RLS0018"/>
        <s v="RLS0019"/>
        <s v="RLS0020"/>
        <s v="RLS0021"/>
        <s v="RLS0022"/>
        <s v="RLS0023"/>
        <s v="RLS0024"/>
        <s v="RLS0025"/>
        <s v="CHN0002"/>
        <s v="MEH0130"/>
        <s v="BLT0040"/>
        <s v="ELC0192"/>
        <s v="RLS0026"/>
        <s v="MEH0131"/>
        <s v="MEH0132"/>
        <s v="ELC0193"/>
        <s v="CHN0003"/>
        <s v="CHN0004"/>
        <s v="RLS0027"/>
        <s v="RLS0028"/>
        <s v="RLS0029"/>
        <s v="RLS0030"/>
        <s v="RLS0031"/>
        <s v="RLS0032"/>
        <s v="RLS0033"/>
        <s v="MEH0133"/>
        <s v="CHN0005"/>
        <s v="MEH0134"/>
        <s v="MEH0135"/>
        <s v="BLT0041"/>
        <s v="RLS0034"/>
        <s v="RLS0035"/>
        <s v="MEH0136"/>
        <s v="CHN0006"/>
        <s v="MEH0137"/>
        <s v="BLT0042"/>
        <s v="CHN0007"/>
        <s v="MEH0138"/>
        <s v="PRD0002"/>
        <s v="BLT0043"/>
        <s v="BLT0044"/>
        <s v="MEH0139"/>
        <s v="MEH0140"/>
        <s v="ELC0194"/>
        <s v="ELC0195"/>
        <s v="ELC0196"/>
        <s v="ELC0197"/>
        <s v="ELC0198"/>
        <s v="ELC0199"/>
        <s v="ELC0200"/>
        <s v="ELC0201"/>
        <s v="ELC0202"/>
        <s v="PRD0003"/>
        <s v="TPE0004"/>
        <s v="KNV0003"/>
        <s v="ELC0203"/>
        <s v="KNV0004"/>
        <s v="MEH0141"/>
        <s v="TPE0005"/>
        <s v="MEH0142"/>
        <s v="ELC0204"/>
        <s v="MEH0143"/>
        <s v="RLS0036"/>
        <s v="ELC0205"/>
        <s v="PNU0024"/>
        <s v="BLT0045"/>
        <s v="BLT0046"/>
        <s v="TPE0006"/>
        <s v="FSN0022"/>
        <s v="RLS0037"/>
        <s v="TPE0007"/>
        <s v="PNU0025"/>
        <s v="BLT0047"/>
        <s v="BLT0048"/>
        <s v="BLT0049"/>
        <s v="BLT0050"/>
        <s v="BLT0051"/>
        <s v="MEH0144"/>
        <s v="MEH0145"/>
        <s v="MEH0146"/>
        <s v="ELC0206"/>
        <s v="MEH0147"/>
        <s v="PRD0004"/>
        <s v="MEH0148"/>
        <s v="BLT0052"/>
        <s v="ELC0207"/>
        <s v="MEH0149"/>
        <s v="MEH0150"/>
        <s v="PNU0026"/>
        <s v="ELC0208"/>
        <s v="MEH0151"/>
        <s v="ELC0209"/>
        <s v="ELC0210"/>
        <s v="MEH0152"/>
        <s v="BRG0166"/>
        <s v="MEH0153"/>
        <s v="BLT0053"/>
        <s v="MEH0154"/>
        <s v="PNU0027"/>
        <s v="TPE0008"/>
        <s v="ELC0211"/>
        <s v="ELC0212"/>
        <s v="MEH0155"/>
        <s v="KNV0005"/>
        <s v="HYD0003"/>
        <s v="MEH0156"/>
        <s v="MEH0157"/>
        <s v="KNV0006"/>
        <s v="HYD0004"/>
        <s v="MEH0158"/>
        <s v="TPE0009"/>
        <s v="MEH0159"/>
        <s v="MEH0160"/>
        <s v="ELC0213"/>
        <s v="ELC0214"/>
        <s v="BRG0167"/>
        <s v="MEH0161"/>
        <s v="MEH0162"/>
        <s v="RLS0038"/>
        <s v="ELC0215"/>
        <s v="RLS0039"/>
        <s v="FSN0023"/>
        <s v="FSN0024"/>
        <s v="KNV0007"/>
        <s v="BLT0054"/>
        <s v="ELC0216"/>
        <s v="ELC0217"/>
        <s v="KNV0008"/>
        <s v="MEH0163"/>
        <s v="MEH0164"/>
        <s v="MEH0165"/>
        <s v="BLT0055"/>
        <s v="ELC0218"/>
        <s v="ELC0219"/>
        <s v="ELC0220"/>
        <s v="RLS0040"/>
        <s v="GER0021"/>
        <s v="FSN0025"/>
        <s v="FSN0026"/>
        <s v="MEH0166"/>
        <s v="ELC0221"/>
        <s v="GER0022"/>
        <s v="MEH0167"/>
        <s v="ELC0222"/>
        <s v="ELC0223"/>
        <s v="FSN0027"/>
        <s v="ELC0224"/>
        <s v="FSN0028"/>
        <s v="MSC0013"/>
        <s v="MSC0014"/>
        <s v="MEH0168"/>
        <s v="MEH0169"/>
        <s v="BLT0056"/>
        <s v="MEH0170"/>
        <s v="MEH0171"/>
        <s v="MEH0172"/>
        <s v="MEH0173"/>
        <s v="MEH0174"/>
        <s v="GER0023"/>
        <s v="GER0024"/>
        <s v="GER0025"/>
        <s v="RLS0041"/>
        <s v="RLS0042"/>
        <s v="RLS0043"/>
        <s v="RLS0044"/>
        <s v="KNV0009"/>
        <s v="MEH0175"/>
        <s v="RLS0045"/>
        <s v="FSN0029"/>
        <s v="FSN0030"/>
        <s v="FSN0031"/>
        <s v="MEH0176"/>
        <s v="MEH0177"/>
        <s v="KNV0010"/>
        <s v="MEH0178"/>
        <s v="ELC0225"/>
        <s v="MEH0179"/>
        <s v="FSN0032"/>
        <s v="FSN0033"/>
        <s v="PRD0005"/>
        <s v="MEH0180"/>
        <s v="FSN0034"/>
        <s v="FSN0035"/>
        <s v="FSN0036"/>
        <s v="MEH0181"/>
        <s v="MEH0182"/>
        <s v="MEH0183"/>
        <s v="MEH0184"/>
        <s v="MEH0185"/>
        <s v="MEH0186"/>
        <s v="RLS0046"/>
        <s v="PRD0006"/>
        <s v="RLS0047"/>
        <s v="BLT0057"/>
        <s v="BLT0058"/>
        <s v="RLS0048"/>
        <s v="RLS0049"/>
        <s v="MEH0187"/>
        <s v="RLS0050"/>
        <s v="PNU0028"/>
        <s v="PNU0029"/>
        <s v="PNU0030"/>
        <s v="BRG0168"/>
        <s v="RLS0051"/>
        <s v="PRD0007"/>
        <s v="PRD0008"/>
        <s v="BRG0169"/>
        <s v="ELC0226"/>
        <s v="ELC0227"/>
        <s v="ELC0228"/>
        <s v="RLS0052"/>
        <s v="MEH0188"/>
        <s v="BLT0059"/>
        <s v="PRD0009"/>
        <s v="ELC0229"/>
        <s v="MEH0189"/>
        <s v="MEH0190"/>
        <s v="ELC0230"/>
        <s v="MEH0191"/>
        <s v="MEH0192"/>
        <s v="MEH0193"/>
        <s v="PRD0010"/>
        <s v="PNU0031"/>
        <s v="RLS0053"/>
        <s v="RLS0054"/>
        <s v="RLS0055"/>
        <s v="RLS0056"/>
        <s v="RLS0057"/>
        <s v="RLS0058"/>
        <s v="ELC0231"/>
        <s v="RLS0059"/>
        <s v="RLS0060"/>
        <s v="RLS0061"/>
        <s v="RLS0062"/>
        <s v="RLS0063"/>
        <s v="RLS0064"/>
        <s v="ELC0232"/>
        <s v="RLS0065"/>
        <s v="RLS0066"/>
        <s v="RLS0067"/>
        <s v="RLS0068"/>
        <s v="RLS0069"/>
        <s v="RLS0070"/>
        <s v="ELC0233"/>
        <s v="RLS0071"/>
        <s v="RLS0072"/>
        <s v="KNV0011"/>
        <s v="RLS0073"/>
        <s v="RLS0074"/>
        <s v="RLS0075"/>
        <s v="RLS0076"/>
        <s v="RLS0077"/>
        <s v="RLS0078"/>
        <s v="MEH0194"/>
        <s v="MEH0195"/>
        <s v="MEH0196"/>
        <s v="RLS0079"/>
        <s v="RLS0080"/>
        <s v="MEH0197"/>
        <s v="KNV0012"/>
        <s v="KNV0013"/>
        <s v="KNV0014"/>
        <s v="KNV0015"/>
        <s v="BLT0060"/>
        <s v="BLT0061"/>
        <s v="BLT0062"/>
        <s v="BLT0063"/>
        <s v="BLT0064"/>
        <s v="BLT0065"/>
        <s v="BLT0066"/>
        <s v="BLT0067"/>
        <s v="BLT0068"/>
        <s v="BLT0069"/>
        <s v="BLT0070"/>
        <s v="BLT0071"/>
        <s v="BLT0072"/>
        <s v="BLT0073"/>
        <s v="BLT0074"/>
        <s v="BLT0075"/>
        <s v="BLT0076"/>
        <s v="BLT0077"/>
        <s v="BLT0078"/>
        <s v="BLT0079"/>
        <s v="BLT0080"/>
        <s v="BLT0081"/>
        <s v="BLT0082"/>
        <s v="BLT0083"/>
        <s v="MEH0198"/>
        <s v="BLT0084"/>
        <s v="BLT0085"/>
        <s v="BLT0086"/>
        <s v="BLT0087"/>
        <s v="BLT0088"/>
        <s v="BLT0089"/>
        <s v="BLT0090"/>
        <s v="BLT0091"/>
        <s v="BLT0092"/>
        <s v="MEH0199"/>
        <s v="RLS0081"/>
        <s v="BLT0093"/>
        <s v="RLS0082"/>
        <s v="RLS0083"/>
        <s v="FSN0037"/>
        <s v="FSN0038"/>
        <s v="RLS0084"/>
        <s v="RLS0085"/>
        <s v="KNV0016"/>
        <s v="BRG0170"/>
        <s v="MEH0200"/>
        <s v="RLS0086"/>
        <s v="RLS0087"/>
        <s v="MEH0201"/>
        <s v="MEH0202"/>
        <s v="MEH0203"/>
        <s v="BLT0094"/>
        <s v="RLS0088"/>
        <s v="RLS0089"/>
        <s v="RLS0090"/>
        <s v="MEH0204"/>
        <s v="MEH0205"/>
        <s v="MEH0206"/>
        <s v="CHN0008"/>
        <s v="BLT0095"/>
        <s v="MEH0207"/>
        <s v="BLT0096"/>
        <s v="BLT0097"/>
        <s v="MEH0208"/>
        <s v="MEH0209"/>
        <s v="RLS0091"/>
        <s v="MEH0210"/>
        <s v="CHN0009"/>
        <s v="BLT0098"/>
        <s v="BLT0099"/>
        <s v="MEH0211"/>
        <s v="MEH0212"/>
        <s v="MEH0213"/>
        <s v="BLT0100"/>
        <s v="KNV0017"/>
        <s v="BRG0171"/>
        <s v="MEH0214"/>
        <s v="BRG0172"/>
        <s v="ELC0234"/>
        <s v="MEH0215"/>
        <s v="ELC0235"/>
        <s v="BRG0173"/>
        <s v="MEH0216"/>
        <s v="ELC0236"/>
        <s v="BRG0174"/>
        <s v="BLT0101"/>
        <s v="BRG0175"/>
        <s v="BRG0176"/>
        <s v="MEH0217"/>
        <s v="MEH0218"/>
        <s v="MEH0219"/>
        <s v="MEH0220"/>
        <s v="MEH0221"/>
        <s v="MEH0222"/>
        <s v="MEH0223"/>
        <s v="PNU0032"/>
        <s v="FSN0039"/>
        <s v="PNU0033"/>
        <s v="MEH0224"/>
        <s v="KNV0018"/>
        <s v="MEH0225"/>
        <s v="FSN0040"/>
        <s v="MEH0226"/>
        <s v="FSN0041"/>
        <s v="MEH0227"/>
        <s v="FSN0042"/>
        <s v="MEH0228"/>
        <s v="CHN0010"/>
        <s v="GER0026"/>
        <s v="MEH0229"/>
        <s v="MEH0230"/>
        <s v="MEH0231"/>
        <s v="MEH0232"/>
        <s v="FSN0043"/>
        <s v="MEH0233"/>
        <s v="MEH0234"/>
        <s v="FSN0044"/>
        <s v="FSN0045"/>
        <s v="FSN0046"/>
        <s v="FSN0047"/>
        <s v="MEH0235"/>
        <s v="MEH0236"/>
        <s v="MEH0237"/>
        <s v="MEH0238"/>
        <s v="MEH0239"/>
        <s v="MEH0240"/>
        <s v="FSN0048"/>
        <s v="MEH0241"/>
        <s v="GER0027"/>
        <s v="FSN0049"/>
        <s v="FSN0050"/>
        <s v="FSN0051"/>
        <s v="PNU0034"/>
        <s v="RLS0092"/>
        <s v="MEH0242"/>
        <s v="MEH0243"/>
        <s v="RLS0093"/>
        <s v="GER0028"/>
        <s v="GER0029"/>
        <s v="GER0030"/>
        <s v="MEH0244"/>
        <s v="ELC0237"/>
        <s v="MEH0245"/>
        <s v="ELC0238"/>
        <s v="PNU0035"/>
        <s v="MEH0246"/>
        <s v="RLS0094"/>
        <s v="MEH0247"/>
        <s v="MEH0248"/>
        <s v="MSC0015"/>
        <s v="FSN0052"/>
        <s v="BLT0102"/>
        <s v="MEH0249"/>
        <s v="GER0031"/>
        <s v="MEH0250"/>
        <s v="FSN0053"/>
        <s v="FSN0054"/>
        <s v="PNU0036"/>
        <s v="MEH0251"/>
        <s v="MEH0252"/>
        <s v="MEH0253"/>
        <s v="MEH0254"/>
        <s v="FSN0055"/>
        <s v="MEH0255"/>
        <s v="FSN0056"/>
        <s v="BLT0103"/>
        <s v="BLT0104"/>
        <s v="MEH0256"/>
        <s v="BLT0105"/>
        <s v="BLT0106"/>
        <s v="BLT0107"/>
        <s v="MEH0257"/>
        <s v="BLT0108"/>
        <s v="RLS0095"/>
        <s v="RLS0096"/>
        <s v="MEH0258"/>
        <s v="MEH0259"/>
        <s v="BLT0109"/>
        <s v="MEH0260"/>
        <s v="BLT0110"/>
        <s v="MEH0261"/>
        <s v="GER0032"/>
        <s v="MEH0262"/>
        <s v="MEH0263"/>
        <s v="PNU0037"/>
        <s v="MEH0264"/>
        <s v="MEH0265"/>
        <s v="MEH0266"/>
        <s v="ELC0239"/>
        <s v="TPE0010"/>
        <s v="TPE0011"/>
        <s v="TPE0012"/>
        <s v="TPE0013"/>
        <s v="BRG0177"/>
        <s v="KNV0019"/>
        <s v="BLT0111"/>
        <s v="BLT0112"/>
        <s v="RLS0097"/>
        <s v="MEH0267"/>
        <s v="BRG0178"/>
        <s v="MEH0268"/>
        <s v="TPE0014"/>
        <s v="BLT0113"/>
        <s v="MEH0269"/>
        <s v="RLS0098"/>
        <s v="RLS0099"/>
        <s v="TPE0015"/>
        <s v="FSN0057"/>
        <s v="FSN0058"/>
        <s v="FSN0059"/>
        <s v="FSN0060"/>
        <s v="FSN0061"/>
        <s v="FSN0062"/>
        <s v="FSN0063"/>
        <s v="FSN0064"/>
        <s v="FSN0065"/>
        <s v="FSN0066"/>
        <s v="FSN0067"/>
        <s v="FSN0068"/>
        <s v="FSN0069"/>
        <s v="FSN0070"/>
        <s v="FSN0071"/>
        <s v="FSN0072"/>
        <s v="FSN0073"/>
        <s v="FSN0074"/>
        <s v="FSN0075"/>
        <s v="FSN0076"/>
        <s v="FSN0077"/>
        <s v="FSN0078"/>
        <s v="FSN0079"/>
        <s v="FSN0080"/>
        <s v="FSN0081"/>
        <s v="FSN0082"/>
        <s v="FSN0083"/>
        <s v="FSN0084"/>
        <s v="FSN0085"/>
        <s v="CVL0001"/>
        <s v="CVL0002"/>
        <s v="CVL0003"/>
        <s v="CVL0004"/>
        <s v="CVL0005"/>
        <s v="CVL0006"/>
        <s v="CVL0007"/>
        <s v="CVL0008"/>
        <s v="CVL0009"/>
        <s v="CVL0010"/>
        <s v="CVL0011"/>
        <s v="CVL0012"/>
        <s v="CVL0013"/>
        <s v="CVL0014"/>
        <s v="CVL0015"/>
        <s v="PPE0004"/>
        <s v="CVL0016"/>
        <s v="CVL0017"/>
        <s v="CVL0018"/>
        <s v="CVL0019"/>
        <s v="CVL0020"/>
        <s v="CVL0021"/>
        <s v="CVL0022"/>
        <s v="CVL0023"/>
        <s v="CVL0024"/>
        <s v="CVL0025"/>
        <s v="CVL0026"/>
        <s v="CVL0027"/>
        <s v="CVL0028"/>
        <s v="PRD0011"/>
        <s v="MSC0016"/>
        <s v="MSC0017"/>
        <s v="MSC0018"/>
        <s v="MSC0019"/>
        <s v="PPE0005"/>
        <s v="LUB0001"/>
        <s v="MSC0020"/>
        <s v="MSC0021"/>
        <s v="PPE0006"/>
        <s v="MSC0022"/>
        <s v="MSC0023"/>
        <s v="MSC0024"/>
        <s v="MSC0025"/>
        <s v="TPE0016"/>
        <s v="TPE0017"/>
        <s v="MSC0026"/>
        <s v="MSC0027"/>
        <s v="MSC0028"/>
        <s v="TPE0018"/>
        <s v="TPE0019"/>
        <s v="TPE0020"/>
        <s v="TPE0021"/>
        <s v="MSC0029"/>
        <s v="TPE0022"/>
        <s v="TPE0023"/>
        <s v="MSC0030"/>
        <s v="RLS0100"/>
        <s v="RLS0101"/>
        <s v="RLS0102"/>
        <s v="RLS0103"/>
        <s v="RLS0104"/>
        <s v="RLS0105"/>
        <s v="RLS0106"/>
        <s v="RLS0107"/>
        <s v="RLS0108"/>
        <s v="RLS0109"/>
        <s v="RLS0110"/>
        <s v="RLS0111"/>
        <s v="RLS0112"/>
        <s v="RLS0113"/>
        <s v="RLS0114"/>
        <s v="RLS0115"/>
        <s v="RLS0116"/>
        <s v="RLS0117"/>
        <s v="RLS0118"/>
        <s v="RLS0119"/>
        <s v="RLS0120"/>
        <s v="RLS0121"/>
        <s v="RLS0122"/>
        <s v="PNU0038"/>
        <s v="PNU0039"/>
        <s v="MEH0270"/>
        <s v="RLS0123"/>
        <s v="PNU0040"/>
        <s v="PNU0041"/>
        <s v="PPE0007"/>
        <s v="PPE0008"/>
        <s v="PPE0009"/>
        <s v="PPE0010"/>
        <s v="PPE0011"/>
        <s v="PPE0012"/>
        <s v="PPE0013"/>
        <s v="PPE0014"/>
        <s v="PPE0015"/>
        <s v="PPE0016"/>
        <s v="PPE0017"/>
        <s v="PPE0018"/>
        <s v="PPE0019"/>
        <s v="PPE0020"/>
        <s v="PPE0021"/>
        <s v="MSC0031"/>
        <s v="MSC0032"/>
        <s v="MSC0033"/>
        <s v="MSC0034"/>
        <s v="MSC0035"/>
        <s v="MSC0036"/>
        <s v="MSC0037"/>
        <s v="MSC0038"/>
        <s v="MSC0039"/>
        <s v="MSC0040"/>
        <s v="MSC0041"/>
        <s v="MSC0042"/>
        <s v="MSC0043"/>
        <s v="MSC0044"/>
        <s v="FSN0086"/>
        <s v="MSC0045"/>
        <s v="ELC0240"/>
        <s v="PNU0042"/>
        <s v="MSC0046"/>
        <s v="MSC0047"/>
        <s v="MSC0048"/>
        <s v="MSC0049"/>
        <s v="ELC0241"/>
        <s v="ELC0242"/>
        <s v="ELC0243"/>
        <s v="ELC0244"/>
        <s v="ELC0245"/>
        <s v="ELC0246"/>
        <s v="MSC0050"/>
        <s v="MSC0051"/>
        <s v="HYD0005"/>
        <s v="HYD0006"/>
        <s v="ELC0247"/>
        <s v="LUB0002"/>
        <s v="MEH0271"/>
        <s v="MEH0272"/>
        <s v="MEH0273"/>
        <s v="MEH0274"/>
        <s v="MEH0275"/>
        <s v="MEH0276"/>
        <s v="MEH0277"/>
        <s v="MEH0278"/>
        <s v="MEH0279"/>
        <s v="MEH0280"/>
        <s v="MEH0281"/>
        <s v="MEH0282"/>
        <s v="MEH0283"/>
        <s v="MEH0284"/>
        <s v="MEH0285"/>
        <s v="MEH0286"/>
        <s v="MSC0052"/>
        <s v="MEH0287"/>
        <s v="MEH0288"/>
        <s v="MEH0289"/>
        <s v="MEH0290"/>
        <s v="LUB0003"/>
        <s v="MSC0053"/>
        <s v="PNU0043"/>
        <s v="MEH0291"/>
        <s v="ELC0248"/>
        <s v="MEH0292"/>
        <s v="MEH0293"/>
        <s v="MEH0294"/>
        <s v="FSN0087"/>
        <s v="MEH0295"/>
        <s v="MEH0296"/>
        <s v="MEH0297"/>
        <s v="MEH0298"/>
        <s v="MEH0299"/>
        <s v="MEH0300"/>
        <s v="MEH0301"/>
        <s v="MEH0302"/>
        <s v="FSN0088"/>
        <s v="MEH0303"/>
        <s v="MEH0304"/>
        <s v="MSC0054"/>
        <s v="MEH0305"/>
        <s v="MEH0306"/>
        <s v="MEH0307"/>
        <s v="MEH0308"/>
        <s v="MEH0309"/>
        <s v="MEH0310"/>
        <s v="MEH0311"/>
        <s v="MEH0312"/>
        <s v="PNU0044"/>
        <s v="MEH0313"/>
        <s v="MEH0314"/>
        <s v="MEH0315"/>
        <s v="MEH0316"/>
        <s v="MEH0317"/>
        <s v="MEH0318"/>
        <s v="PNU0045"/>
        <s v="FSN0089"/>
        <s v="MEH0319"/>
        <s v="MEH0320"/>
        <s v="FSN0090"/>
        <s v="MSC0055"/>
        <s v="MEH0321"/>
        <s v="MEH0322"/>
        <s v="LUB0004"/>
        <s v="MEH0323"/>
        <s v="HYD0007"/>
        <s v="MEH0324"/>
        <s v="ELC0249"/>
        <s v="MEH0325"/>
        <s v="MEH0326"/>
        <s v="KNV0020"/>
        <s v="KNV0021"/>
        <s v="ELC0250"/>
        <s v="MEH0327"/>
        <s v="KNV0022"/>
        <s v="MEH0328"/>
        <s v="MEH0329"/>
        <s v="ELC0251"/>
        <s v="ELC0252"/>
        <s v="MEH0330"/>
        <s v="ELC0253"/>
        <s v="MEH0331"/>
        <s v="MEH0332"/>
        <s v="MEH0333"/>
        <s v="MEH0334"/>
        <s v="MEH0335"/>
        <s v="MEH0336"/>
        <s v="MEH0337"/>
        <s v="MEH0338"/>
        <s v="MEH0339"/>
        <s v="MEH0340"/>
        <s v="ELC0254"/>
        <s v="ELC0255"/>
        <s v="HYD0008"/>
        <s v="MEH0341"/>
        <s v="KNV0023"/>
        <s v="ELC0256"/>
        <s v="MEH0342"/>
        <s v="MEH0343"/>
        <s v="MEH0344"/>
        <s v="MEH0345"/>
        <s v="MEH0346"/>
        <s v="MEH0347"/>
        <s v="MEH0348"/>
        <s v="MEH0349"/>
        <s v="KNV0024"/>
        <s v="MEH0350"/>
        <s v="MEH0351"/>
        <s v="MEH0352"/>
        <s v="MEH0353"/>
        <s v="MEH0354"/>
        <s v="ELC0257"/>
        <s v="ELC0258"/>
        <s v="ELC0259"/>
        <s v="ELC0260"/>
        <s v="ELC0261"/>
        <s v="ELC0262"/>
        <s v="ELC0263"/>
        <s v="ELC0264"/>
        <s v="MEH0355"/>
        <s v="MEH0356"/>
        <s v="MEH0357"/>
        <s v="ELC0265"/>
        <s v="ELC0266"/>
        <s v="ELC0267"/>
        <s v="MEH0358"/>
        <s v="MEH0359"/>
        <s v="ELC0268"/>
        <s v="MSC0056"/>
        <s v="ELC0269"/>
        <s v="MEH0360"/>
        <s v="ELC0270"/>
        <s v="MEH0361"/>
        <s v="MEH0362"/>
        <s v="ELC0271"/>
        <s v="ELC0272"/>
        <s v="ELC0273"/>
        <s v="ELC0274"/>
        <s v="ELC0275"/>
        <s v="MEH0363"/>
        <s v="MEH0364"/>
        <s v="MEH0365"/>
        <s v="MEH0366"/>
        <s v="FSN0091"/>
        <s v="MEH0367"/>
        <s v="FSN0092"/>
        <s v="PNU0046"/>
        <s v="MEH0368"/>
        <s v="ELC0276"/>
        <s v="ELC0277"/>
        <s v="ELC0278"/>
        <s v="ELC0279"/>
        <s v="ELC0280"/>
        <s v="ELC0281"/>
        <s v="ELC0282"/>
        <s v="MEH0369"/>
        <s v="MEH0370"/>
        <s v="MEH0371"/>
        <s v="ELC0283"/>
        <s v="MEH0372"/>
        <s v="MEH0373"/>
        <s v="MEH0374"/>
        <s v="ELC0284"/>
        <s v="ELC0285"/>
        <s v="ELC0286"/>
        <s v="ELC0287"/>
        <s v="ELC0288"/>
        <s v="ELC0289"/>
        <s v="ELC0290"/>
        <m/>
        <s v="BLT0114"/>
        <s v="BLT0115"/>
        <s v="RLS0124"/>
        <s v="RLS0125"/>
        <s v="KNV0025"/>
        <s v="RLS0126"/>
        <s v="RLS0127"/>
        <s v="BLT0116"/>
        <s v="KNV0026"/>
        <s v="RLS0128"/>
        <s v="BLT0117"/>
        <s v="RLS0129"/>
        <s v="RLS0130"/>
        <s v="RLS0131"/>
        <s v="RLS0132"/>
        <s v="MEH0375"/>
        <s v="MEH0376"/>
        <s v="MEH0377"/>
        <s v="RLS0133"/>
        <s v="RLS0134"/>
        <s v="RLS0135"/>
        <s v="RLS0136"/>
        <s v="RLS0137"/>
        <s v="RLS0138"/>
        <s v="RLS0139"/>
        <s v="MEH0378"/>
        <s v="MEH0379"/>
        <s v="KNV0027"/>
        <s v="KNV0028"/>
        <s v="MEH0380"/>
        <s v="PRD0012"/>
        <s v="PRD0013"/>
        <s v="MEH0381"/>
        <s v="MEH0382"/>
        <s v="KNV0029"/>
        <s v="TPE0024"/>
        <s v="KNV0030"/>
        <s v="KNV0031"/>
        <s v="MEH0383"/>
        <s v="MEH0384"/>
        <s v="MEH0385"/>
        <s v="MEH0386"/>
        <s v="MEH0387"/>
        <s v="MEH0388"/>
        <s v="MEH0389"/>
        <s v="MEH0390"/>
        <s v="MEH0391"/>
        <s v="MEH0392"/>
        <s v="MEH0393"/>
        <s v="MEH0394"/>
        <s v="MEH0395"/>
        <s v="RLS0140"/>
        <s v="RLS0141"/>
        <s v="RLS0142"/>
        <s v="RLS0143"/>
        <s v="RLS0144"/>
        <s v="RLS0145"/>
        <s v="RLS0146"/>
        <s v="RLS0147"/>
        <s v="MEH0396"/>
        <s v="MEH0397"/>
        <s v="MEH0398"/>
        <s v="KNV0032"/>
        <s v="KNV0033"/>
        <s v="KNV0034"/>
        <s v="KNV0035"/>
        <s v="KNV0036"/>
        <s v="KNV0037"/>
        <s v="KNV0038"/>
        <s v="KNV0039"/>
        <s v="KNV0040"/>
        <s v="GER0033"/>
        <s v="GER0034"/>
        <s v="GER0035"/>
        <s v="GER0036"/>
        <s v="GER0037"/>
        <s v="GER0038"/>
        <s v="GER0039"/>
        <s v="GER0040"/>
        <s v="GER0041"/>
        <s v="GER0042"/>
        <s v="GER0043"/>
        <s v="GER0044"/>
        <s v="GER0045"/>
        <s v="GER0046"/>
        <s v="GER0047"/>
        <s v="GER0048"/>
        <s v="GER0049"/>
        <s v="GER0050"/>
        <s v="GER0051"/>
        <s v="GER0052"/>
        <s v="GER0053"/>
        <s v="GER0054"/>
        <s v="GER0055"/>
        <s v="GER0056"/>
        <s v="GER0057"/>
        <s v="GER0058"/>
        <s v="GER0059"/>
        <s v="GER0060"/>
        <s v="GER0061"/>
        <s v="GER0062"/>
        <s v="GER0063"/>
        <s v="GER0064"/>
        <s v="GER0065"/>
        <s v="GER0066"/>
        <s v="GER0067"/>
        <s v="GER0068"/>
        <s v="MEH0399"/>
        <s v="MEH0400"/>
        <s v="BLT0118"/>
        <s v="BLT0119"/>
        <s v="BLT0120"/>
        <s v="BLT0121"/>
        <s v="BLT0122"/>
        <s v="BLT0123"/>
        <s v="BLT0124"/>
        <s v="BLT0125"/>
        <s v="BLT0126"/>
        <s v="LUB0005"/>
        <s v="LUB0006"/>
        <s v="LUB0007"/>
        <s v="LUB0008"/>
        <s v="LUB0009"/>
        <s v="MEH0401"/>
        <s v="LUB0010"/>
        <s v="LUB0011"/>
        <s v="LUB0012"/>
        <s v="MEH0402"/>
        <s v="PRD0014"/>
        <s v="LUB0013"/>
        <s v="LUB0014"/>
        <s v="MEH0403"/>
        <s v="LUB0015"/>
        <s v="LUB0016"/>
        <s v="MEH0404"/>
        <s v="MEH0405"/>
        <s v="MEH0406"/>
        <s v="MEH0407"/>
        <s v="MEH0408"/>
        <s v="KNV0041"/>
        <s v="KNV0042"/>
        <s v="MEH0409"/>
        <s v="KNV0043"/>
        <s v="KNV0044"/>
        <s v="KNV0045"/>
        <s v="KNV0046"/>
        <s v="KNV0047"/>
        <s v="KNV0048"/>
        <s v="KNV0049"/>
        <s v="KNV0050"/>
        <s v="KNV0051"/>
        <s v="KNV0052"/>
        <s v="KNV0053"/>
        <s v="KNV0054"/>
        <s v="KNV0055"/>
        <s v="KNV0056"/>
        <s v="KNV0057"/>
        <s v="KNV0058"/>
        <s v="KNV0059"/>
        <s v="KNV0060"/>
        <s v="KNV0061"/>
        <s v="KNV0062"/>
        <s v="KNV0063"/>
        <s v="KNV0064"/>
        <s v="KNV0065"/>
        <s v="KNV0066"/>
        <s v="KNV0067"/>
        <s v="KNV0068"/>
        <s v="KNV0069"/>
        <s v="KNV0070"/>
        <s v="KNV0071"/>
        <s v="KNV0072"/>
        <s v="KNV0073"/>
        <s v="KNV0074"/>
        <s v="KNV0075"/>
        <s v="KNV0077"/>
        <s v="KNV0076"/>
        <s v="KNV0078"/>
        <s v="KNV0079"/>
        <s v="KNV0080"/>
        <s v="KNV0081"/>
        <s v="KNV0082"/>
        <s v="KNV0083"/>
        <s v="KNV0084"/>
        <s v="KNV0085"/>
        <s v="KNV0086"/>
        <s v="KNV0087"/>
        <s v="KNV0088"/>
        <s v="KNV0089"/>
        <s v="KNV0090"/>
        <s v="KNV0091"/>
        <s v="KNV0092"/>
        <s v="KNV0093"/>
        <s v="KNV0094"/>
        <s v="KNV0095"/>
        <s v="KNV0096"/>
        <s v="KNV0097"/>
        <s v="KNV0098"/>
        <s v="KNV0099"/>
        <s v="KNV0100"/>
        <s v="KNV0101"/>
        <s v="KNV0102"/>
        <s v="KNV0103"/>
        <s v="KNV0104"/>
        <s v="KNV0107"/>
        <s v="KNV0105"/>
        <s v="KNV0106"/>
        <s v="KNV0108"/>
        <s v="KNV0109"/>
        <s v="KNV0110"/>
        <s v="KNV0111"/>
        <s v="KNV0112"/>
        <s v="KNV0113"/>
        <s v="KNV0114"/>
        <s v="KNV0115"/>
        <s v="KNV0116"/>
        <s v="KNV0117"/>
        <s v="KNV0118"/>
        <s v="KNV0119"/>
        <s v="KNV0120"/>
        <s v="KNV0121"/>
        <s v="KNV0122"/>
        <s v="KNV0123"/>
        <s v="KNV0124"/>
        <s v="KNV0125"/>
        <s v="KNV0126"/>
        <s v="KNV0127"/>
        <s v="KNV0128"/>
        <s v="KNV0129"/>
        <s v="KNV0130"/>
        <s v="KNV0131"/>
        <s v="KNV0132"/>
        <s v="KNV0133"/>
        <s v="KNV0134"/>
        <s v="KNV0135"/>
        <s v="KNV0136"/>
        <s v="KNV0137"/>
        <s v="KNV0138"/>
        <s v="KNV0139"/>
        <s v="KNV0140"/>
        <s v="KNV0141"/>
        <s v="KNV0142"/>
        <s v="KNV0143"/>
        <s v="KNV0144"/>
        <s v="KNV0145"/>
        <s v="KNV0146"/>
        <s v="KNV0147"/>
        <s v="KNV0148"/>
        <s v="KNV0149"/>
        <s v="KNV0150"/>
        <s v="KNV0151"/>
        <s v="KNV0152"/>
        <s v="KNV0153"/>
        <s v="KNV0154"/>
        <s v="KNV0155"/>
        <s v="KNV0156"/>
        <s v="KNV0157"/>
        <s v="KNV0158"/>
        <s v="KNV0159"/>
        <s v="KNV0160"/>
        <s v="KNV0161"/>
        <s v="KNV0162"/>
        <s v="KNV0163"/>
        <s v="KNV0164"/>
        <s v="KNV0165"/>
        <s v="KNV0166"/>
        <s v="KNV0167"/>
        <s v="KNV0168"/>
        <s v="KNV0169"/>
        <s v="KNV0170"/>
        <s v="KNV0171"/>
        <s v="KNV0172"/>
        <s v="KNV0173"/>
        <s v="KNV0174"/>
        <s v="KNV0175"/>
        <s v="KNV0176"/>
        <s v="KNV0177"/>
        <s v="KNV0178"/>
        <s v="KNV0179"/>
        <s v="KNV0180"/>
        <s v="KNV0181"/>
        <s v="KNV0182"/>
        <s v="KNV0183"/>
        <s v="KNV0184"/>
        <s v="KNV0185"/>
        <s v="KNV0186"/>
        <s v="KNV0187"/>
        <s v="KNV0188"/>
        <s v="KNV0189"/>
        <s v="KNV0190"/>
        <s v="KNV0191"/>
        <s v="KNV0192"/>
        <s v="KNV0193"/>
        <s v="KNV0194"/>
        <s v="KNV0195"/>
        <s v="KNV0196"/>
        <s v="KNV0197"/>
        <s v="KNV0198"/>
        <s v="KNV0199"/>
        <s v="KNV0200"/>
        <s v="KNV0201"/>
        <s v="KNV0202"/>
        <s v="KNV0203"/>
        <s v="KNV0204"/>
        <s v="KNV0205"/>
        <s v="KNV0206"/>
        <s v="KNV0207"/>
        <s v="KNV0208"/>
        <s v="KNV0209"/>
        <s v="MSC0057"/>
        <s v="ELC0291"/>
        <s v="BLT0127"/>
        <s v="BLT0128"/>
        <s v="BLT0129"/>
        <s v="BLT0130"/>
        <s v="BLT0131"/>
        <s v="RLS0148"/>
        <s v="ELC0292"/>
        <s v="PNU0047"/>
        <s v="MEH0120"/>
        <s v="CHN0011" u="1"/>
        <s v="CHN0012" u="1"/>
        <s v="CHN0013" u="1"/>
        <s v="CHN0014" u="1"/>
        <s v="CHN0015" u="1"/>
        <s v="CHN0016" u="1"/>
        <s v="CHN0017" u="1"/>
        <s v="CHN0018" u="1"/>
        <s v="CHN0019" u="1"/>
        <s v="HMT0090" u="1"/>
        <s v="HMT0091" u="1"/>
        <s v="HMT0092" u="1"/>
        <s v="HMT0093" u="1"/>
        <s v="HMT0094" u="1"/>
        <s v="HMT0095" u="1"/>
        <s v="HMT0096" u="1"/>
        <s v="HMT0097" u="1"/>
        <s v="HMT0098" u="1"/>
        <s v="HMT0099" u="1"/>
        <s v="HMT0080" u="1"/>
        <s v="HMT0081" u="1"/>
        <s v="HMT0082" u="1"/>
        <s v="HMT0083" u="1"/>
        <s v="HMT0084" u="1"/>
        <s v="HMT0085" u="1"/>
        <s v="HMT0086" u="1"/>
        <s v="HMT0087" u="1"/>
        <s v="HMT0088" u="1"/>
        <s v="HMT0089" u="1"/>
        <s v="KNV0330" u="1"/>
        <s v="KNV0331" u="1"/>
        <s v="KNV0332" u="1"/>
        <s v="KNV0333" u="1"/>
        <s v="KNV0334" u="1"/>
        <s v="KNV0335" u="1"/>
        <s v="KNV0336" u="1"/>
        <s v="KNV0337" u="1"/>
        <s v="KNV0338" u="1"/>
        <s v="HMT0070" u="1"/>
        <s v="HMT0071" u="1"/>
        <s v="HMT0072" u="1"/>
        <s v="HMT0073" u="1"/>
        <s v="HMT0074" u="1"/>
        <s v="HMT0075" u="1"/>
        <s v="HMT0076" u="1"/>
        <s v="HMT0077" u="1"/>
        <s v="HMT0078" u="1"/>
        <s v="HMT0079" u="1"/>
        <s v="KNV0320" u="1"/>
        <s v="KNV0321" u="1"/>
        <s v="KNV0322" u="1"/>
        <s v="KNV0323" u="1"/>
        <s v="KNV0324" u="1"/>
        <s v="KNV0325" u="1"/>
        <s v="KNV0326" u="1"/>
        <s v="KNV0327" u="1"/>
        <s v="KNV0328" u="1"/>
        <s v="KNV0329" u="1"/>
        <s v="HMT0060" u="1"/>
        <s v="HMT0061" u="1"/>
        <s v="HMT0062" u="1"/>
        <s v="HMT0063" u="1"/>
        <s v="HMT0064" u="1"/>
        <s v="HMT0065" u="1"/>
        <s v="HMT0066" u="1"/>
        <s v="HMT0067" u="1"/>
        <s v="HMT0068" u="1"/>
        <s v="HMT0069" u="1"/>
        <s v="KNV0310" u="1"/>
        <s v="KNV0311" u="1"/>
        <s v="KNV0312" u="1"/>
        <s v="KNV0313" u="1"/>
        <s v="KNV0314" u="1"/>
        <s v="KNV0315" u="1"/>
        <s v="KNV0316" u="1"/>
        <s v="KNV0317" u="1"/>
        <s v="KNV0318" u="1"/>
        <s v="KNV0319" u="1"/>
        <s v="HMT0050" u="1"/>
        <s v="HMT0051" u="1"/>
        <s v="HMT0052" u="1"/>
        <s v="HMT0053" u="1"/>
        <s v="HMT0054" u="1"/>
        <s v="HMT0055" u="1"/>
        <s v="HMT0056" u="1"/>
        <s v="HMT0057" u="1"/>
        <s v="HMT0058" u="1"/>
        <s v="HMT0059" u="1"/>
        <s v="KNV0300" u="1"/>
        <s v="KNV0301" u="1"/>
        <s v="KNV0302" u="1"/>
        <s v="KNV0303" u="1"/>
        <s v="KNV0304" u="1"/>
        <s v="KNV0305" u="1"/>
        <s v="KNV0306" u="1"/>
        <s v="KNV0307" u="1"/>
        <s v="KNV0308" u="1"/>
        <s v="KNV0309" u="1"/>
        <s v="HMT0040" u="1"/>
        <s v="HMT0041" u="1"/>
        <s v="HMT0042" u="1"/>
        <s v="HMT0043" u="1"/>
        <s v="HMT0044" u="1"/>
        <s v="HMT0045" u="1"/>
        <s v="HMT0046" u="1"/>
        <s v="HMT0047" u="1"/>
        <s v="HMT0048" u="1"/>
        <s v="HMT0049" u="1"/>
        <s v="HMT0030" u="1"/>
        <s v="SPK0020" u="1"/>
        <s v="HMT0031" u="1"/>
        <s v="SPK0021" u="1"/>
        <s v="HMT0032" u="1"/>
        <s v="SPK0022" u="1"/>
        <s v="HMT0033" u="1"/>
        <s v="SPK0023" u="1"/>
        <s v="HMT0034" u="1"/>
        <s v="SPK0024" u="1"/>
        <s v="HMT0035" u="1"/>
        <s v="SPK0025" u="1"/>
        <s v="HMT0036" u="1"/>
        <s v="HMT0037" u="1"/>
        <s v="HMT0038" u="1"/>
        <s v="HMT0039" u="1"/>
        <s v="HMT0020" u="1"/>
        <s v="SPK0010" u="1"/>
        <s v="HMT0021" u="1"/>
        <s v="SPK0011" u="1"/>
        <s v="HMT0022" u="1"/>
        <s v="SPK0012" u="1"/>
        <s v="HMT0023" u="1"/>
        <s v="SPK0013" u="1"/>
        <s v="HMT0024" u="1"/>
        <s v="SPK0014" u="1"/>
        <s v="HMT0025" u="1"/>
        <s v="SPK0015" u="1"/>
        <s v="HMT0026" u="1"/>
        <s v="SPK0016" u="1"/>
        <s v="HMT0027" u="1"/>
        <s v="SPK0017" u="1"/>
        <s v="HMT0028" u="1"/>
        <s v="SPK0018" u="1"/>
        <s v="HMT0029" u="1"/>
        <s v="SPK0019" u="1"/>
        <s v="MSC0090" u="1"/>
        <s v="MSC0091" u="1"/>
        <s v="MSC0092" u="1"/>
        <s v="MSC0093" u="1"/>
        <s v="MSC0094" u="1"/>
        <s v="MSC0095" u="1"/>
        <s v="MSC0096" u="1"/>
        <s v="MSC0097" u="1"/>
        <s v="MSC0098" u="1"/>
        <s v="MSC0099" u="1"/>
        <s v="HMT0010" u="1"/>
        <s v="HMT0011" u="1"/>
        <s v="SPK0001" u="1"/>
        <s v="HMT0012" u="1"/>
        <s v="SPK0002" u="1"/>
        <s v="HMT0013" u="1"/>
        <s v="SPK0003" u="1"/>
        <s v="HMT0014" u="1"/>
        <s v="SPK0004" u="1"/>
        <s v="HMT0015" u="1"/>
        <s v="SPK0005" u="1"/>
        <s v="HMT0016" u="1"/>
        <s v="SPK0006" u="1"/>
        <s v="HMT0017" u="1"/>
        <s v="SPK0007" u="1"/>
        <s v="HMT0018" u="1"/>
        <s v="SPK0008" u="1"/>
        <s v="HMT0019" u="1"/>
        <s v="SPK0009" u="1"/>
        <s v="MSC0080" u="1"/>
        <s v="MSC0081" u="1"/>
        <s v="MSC0082" u="1"/>
        <s v="MSC0083" u="1"/>
        <s v="MSC0084" u="1"/>
        <s v="MSC0085" u="1"/>
        <s v="MSC0086" u="1"/>
        <s v="MSC0087" u="1"/>
        <s v="MSC0088" u="1"/>
        <s v="MSC0089" u="1"/>
        <s v="HMT0001" u="1"/>
        <s v="HMT0002" u="1"/>
        <s v="HMT0003" u="1"/>
        <s v="HMT0004" u="1"/>
        <s v="HMT0005" u="1"/>
        <s v="HMT0006" u="1"/>
        <s v="HMT0007" u="1"/>
        <s v="HMT0008" u="1"/>
        <s v="HMT0009" u="1"/>
        <s v="MSC0070" u="1"/>
        <s v="MSC0071" u="1"/>
        <s v="MSC0072" u="1"/>
        <s v="MSC0073" u="1"/>
        <s v="MSC0074" u="1"/>
        <s v="MSC0075" u="1"/>
        <s v="MSC0076" u="1"/>
        <s v="MSC0077" u="1"/>
        <s v="MSC0078" u="1"/>
        <s v="MSC0079" u="1"/>
        <s v="MSC0060" u="1"/>
        <s v="MSC0061" u="1"/>
        <s v="MSC0062" u="1"/>
        <s v="MSC0063" u="1"/>
        <s v="MSC0064" u="1"/>
        <s v="MSC0065" u="1"/>
        <s v="MSC0066" u="1"/>
        <s v="MSC0067" u="1"/>
        <s v="MSC0068" u="1"/>
        <s v="MSC0069" u="1"/>
        <s v="NUB0070" u="1"/>
        <s v="NUB0071" u="1"/>
        <s v="NUB0072" u="1"/>
        <s v="NUB0073" u="1"/>
        <s v="NUB0074" u="1"/>
        <s v="NUB0075" u="1"/>
        <s v="NUB0076" u="1"/>
        <s v="NUB0077" u="1"/>
        <s v="NUB0078" u="1"/>
        <s v="MSC0058" u="1"/>
        <s v="MSC0059" u="1"/>
        <s v="NUB0060" u="1"/>
        <s v="NUB0061" u="1"/>
        <s v="NUB0062" u="1"/>
        <s v="NUB0063" u="1"/>
        <s v="NUB0064" u="1"/>
        <s v="NUB0065" u="1"/>
        <s v="NUB0066" u="1"/>
        <s v="NUB0067" u="1"/>
        <s v="NUB0068" u="1"/>
        <s v="NUB0069" u="1"/>
        <s v="NUB0050" u="1"/>
        <s v="NUB0051" u="1"/>
        <s v="NUB0052" u="1"/>
        <s v="NUB0053" u="1"/>
        <s v="NUB0054" u="1"/>
        <s v="NUB0055" u="1"/>
        <s v="NUB0056" u="1"/>
        <s v="NUB0057" u="1"/>
        <s v="NUB0058" u="1"/>
        <s v="NUB0059" u="1"/>
        <s v="HMT0100" u="1"/>
        <s v="HMT0101" u="1"/>
        <s v="HMT0102" u="1"/>
        <s v="HMT0103" u="1"/>
        <s v="HMT0104" u="1"/>
        <s v="HMT0105" u="1"/>
        <s v="HMT0106" u="1"/>
        <s v="HMT0107" u="1"/>
        <s v="HMT0108" u="1"/>
        <s v="NUB0040" u="1"/>
        <s v="NUB0041" u="1"/>
        <s v="NUB0042" u="1"/>
        <s v="NUB0043" u="1"/>
        <s v="NUB0044" u="1"/>
        <s v="NUB0045" u="1"/>
        <s v="NUB0046" u="1"/>
        <s v="NUB0047" u="1"/>
        <s v="NUB0048" u="1"/>
        <s v="MEH0440" u="1"/>
        <s v="NUB0049" u="1"/>
        <s v="MEH0441" u="1"/>
        <s v="MEH0442" u="1"/>
        <s v="MEH0443" u="1"/>
        <s v="MEH0444" u="1"/>
        <s v="MEH0445" u="1"/>
        <s v="VLC0020" u="1"/>
        <s v="VLC0021" u="1"/>
        <s v="VLC0022" u="1"/>
        <s v="VLC0023" u="1"/>
        <s v="VLC0024" u="1"/>
        <s v="KNV0290" u="1"/>
        <s v="VLC0025" u="1"/>
        <s v="KNV0291" u="1"/>
        <s v="VLC0026" u="1"/>
        <s v="KNV0292" u="1"/>
        <s v="VLC0027" u="1"/>
        <s v="KNV0293" u="1"/>
        <s v="VLC0028" u="1"/>
        <s v="KNV0294" u="1"/>
        <s v="VLC0029" u="1"/>
        <s v="KNV0295" u="1"/>
        <s v="KNV0296" u="1"/>
        <s v="KNV0297" u="1"/>
        <s v="KNV0298" u="1"/>
        <s v="KNV0299" u="1"/>
        <s v="NUB0030" u="1"/>
        <s v="NUB0031" u="1"/>
        <s v="NUB0032" u="1"/>
        <s v="NUB0033" u="1"/>
        <s v="NUB0034" u="1"/>
        <s v="NUB0035" u="1"/>
        <s v="NUB0036" u="1"/>
        <s v="NUB0037" u="1"/>
        <s v="NUB0038" u="1"/>
        <s v="MEH0430" u="1"/>
        <s v="NUB0039" u="1"/>
        <s v="MEH0431" u="1"/>
        <s v="MEH0432" u="1"/>
        <s v="MEH0433" u="1"/>
        <s v="MEH0434" u="1"/>
        <s v="MEH0435" u="1"/>
        <s v="MEH0436" u="1"/>
        <s v="MEH0437" u="1"/>
        <s v="MEH0438" u="1"/>
        <s v="MEH0439" u="1"/>
        <s v="VLC0010" u="1"/>
        <s v="VLC0011" u="1"/>
        <s v="VLC0012" u="1"/>
        <s v="VLC0013" u="1"/>
        <s v="VLC0014" u="1"/>
        <s v="KNV0280" u="1"/>
        <s v="VLC0015" u="1"/>
        <s v="KNV0281" u="1"/>
        <s v="VLC0016" u="1"/>
        <s v="KNV0282" u="1"/>
        <s v="VLC0017" u="1"/>
        <s v="KNV0283" u="1"/>
        <s v="VLC0018" u="1"/>
        <s v="KNV0284" u="1"/>
        <s v="VLC0019" u="1"/>
        <s v="KNV0285" u="1"/>
        <s v="KNV0286" u="1"/>
        <s v="KNV0287" u="1"/>
        <s v="KNV0288" u="1"/>
        <s v="KNV0289" u="1"/>
        <s v="NUB0020" u="1"/>
        <s v="NUB0021" u="1"/>
        <s v="NUB0022" u="1"/>
        <s v="NUB0023" u="1"/>
        <s v="NUB0024" u="1"/>
        <s v="NUB0025" u="1"/>
        <s v="NUB0026" u="1"/>
        <s v="NUB0027" u="1"/>
        <s v="NUB0028" u="1"/>
        <s v="MEH0420" u="1"/>
        <s v="NUB0029" u="1"/>
        <s v="MEH0421" u="1"/>
        <s v="MEH0422" u="1"/>
        <s v="MEH0423" u="1"/>
        <s v="MEH0424" u="1"/>
        <s v="MEH0425" u="1"/>
        <s v="MEH0426" u="1"/>
        <s v="MEH0427" u="1"/>
        <s v="MEH0428" u="1"/>
        <s v="MEH0429" u="1"/>
        <s v="VLC0001" u="1"/>
        <s v="VLC0002" u="1"/>
        <s v="VLC0003" u="1"/>
        <s v="VLC0004" u="1"/>
        <s v="KNV0270" u="1"/>
        <s v="VLC0005" u="1"/>
        <s v="KNV0271" u="1"/>
        <s v="VLC0006" u="1"/>
        <s v="KNV0272" u="1"/>
        <s v="VLC0007" u="1"/>
        <s v="KNV0273" u="1"/>
        <s v="VLC0008" u="1"/>
        <s v="KNV0274" u="1"/>
        <s v="VLC0009" u="1"/>
        <s v="KNV0275" u="1"/>
        <s v="KNV0276" u="1"/>
        <s v="KNV0277" u="1"/>
        <s v="KNV0278" u="1"/>
        <s v="KNV0279" u="1"/>
        <s v="BLT0035" u="1"/>
        <s v="NUB0010" u="1"/>
        <s v="NUB0011" u="1"/>
        <s v="NUB0012" u="1"/>
        <s v="NUB0013" u="1"/>
        <s v="NUB0014" u="1"/>
        <s v="NUB0015" u="1"/>
        <s v="NUB0016" u="1"/>
        <s v="NUB0017" u="1"/>
        <s v="NUB0018" u="1"/>
        <s v="MEH0410" u="1"/>
        <s v="NUB0019" u="1"/>
        <s v="MEH0411" u="1"/>
        <s v="MEH0412" u="1"/>
        <s v="MEH0413" u="1"/>
        <s v="MEH0414" u="1"/>
        <s v="MEH0415" u="1"/>
        <s v="MEH0416" u="1"/>
        <s v="MEH0417" u="1"/>
        <s v="MEH0418" u="1"/>
        <s v="MEH0419" u="1"/>
        <s v="KNV0260" u="1"/>
        <s v="KNV0261" u="1"/>
        <s v="KNV0262" u="1"/>
        <s v="KNV0263" u="1"/>
        <s v="KNV0264" u="1"/>
        <s v="KNV0265" u="1"/>
        <s v="KNV0266" u="1"/>
        <s v="KNV0267" u="1"/>
        <s v="KNV0268" u="1"/>
        <s v="KNV0269" u="1"/>
        <s v="NUB0001" u="1"/>
        <s v="NUB0002" u="1"/>
        <s v="NUB0003" u="1"/>
        <s v="NUB0004" u="1"/>
        <s v="NUB0005" u="1"/>
        <s v="NUB0006" u="1"/>
        <s v="NUB0007" u="1"/>
        <s v="NUB0008" u="1"/>
        <s v="NUB0009" u="1"/>
        <s v="KNV0250" u="1"/>
        <s v="KNV0251" u="1"/>
        <s v="KNV0252" u="1"/>
        <s v="KNV0253" u="1"/>
        <s v="KNV0254" u="1"/>
        <s v="KNV0255" u="1"/>
        <s v="KNV0256" u="1"/>
        <s v="KNV0257" u="1"/>
        <s v="KNV0258" u="1"/>
        <s v="KNV0259" u="1"/>
        <s v="KNV0240" u="1"/>
        <s v="KNV0241" u="1"/>
        <s v="KNV0242" u="1"/>
        <s v="KNV0243" u="1"/>
        <s v="KNV0244" u="1"/>
        <s v="KNV0245" u="1"/>
        <s v="KNV0246" u="1"/>
        <s v="KNV0247" u="1"/>
        <s v="KNV0248" u="1"/>
        <s v="KNV0249" u="1"/>
        <s v="MSC0110" u="1"/>
        <s v="MSC0111" u="1"/>
        <s v="MSC0112" u="1"/>
        <s v="MSC0113" u="1"/>
        <s v="KNV0230" u="1"/>
        <s v="KNV0231" u="1"/>
        <s v="KNV0232" u="1"/>
        <s v="KNV0233" u="1"/>
        <s v="KNV0234" u="1"/>
        <s v="KNV0235" u="1"/>
        <s v="KNV0236" u="1"/>
        <s v="KNV0237" u="1"/>
        <s v="KNV0238" u="1"/>
        <s v="KNV0239" u="1"/>
        <s v="CHN0030" u="1"/>
        <s v="CHN0031" u="1"/>
        <s v="MSC0100" u="1"/>
        <s v="MSC0101" u="1"/>
        <s v="MSC0102" u="1"/>
        <s v="MSC0103" u="1"/>
        <s v="MSC0104" u="1"/>
        <s v="MSC0105" u="1"/>
        <s v="MSC0106" u="1"/>
        <s v="MSC0107" u="1"/>
        <s v="MSC0108" u="1"/>
        <s v="MSC0109" u="1"/>
        <s v="KNV0220" u="1"/>
        <s v="KNV0221" u="1"/>
        <s v="KNV0222" u="1"/>
        <s v="KNV0223" u="1"/>
        <s v="KNV0224" u="1"/>
        <s v="KNV0225" u="1"/>
        <s v="KNV0226" u="1"/>
        <s v="KNV0227" u="1"/>
        <s v="KNV0228" u="1"/>
        <s v="KNV0229" u="1"/>
        <s v="CHN0020" u="1"/>
        <s v="CHN0021" u="1"/>
        <s v="CHN0022" u="1"/>
        <s v="CHN0023" u="1"/>
        <s v="CHN0024" u="1"/>
        <s v="CHN0025" u="1"/>
        <s v="CHN0026" u="1"/>
        <s v="CHN0027" u="1"/>
        <s v="CHN0028" u="1"/>
        <s v="CHN0029" u="1"/>
        <s v="KNV0210" u="1"/>
        <s v="KNV0211" u="1"/>
        <s v="KNV0212" u="1"/>
        <s v="KNV0213" u="1"/>
        <s v="KNV0214" u="1"/>
        <s v="KNV0215" u="1"/>
        <s v="KNV0216" u="1"/>
        <s v="KNV0217" u="1"/>
        <s v="KNV0218" u="1"/>
        <s v="KNV0219" u="1"/>
      </sharedItems>
    </cacheField>
    <cacheField name="Category" numFmtId="0">
      <sharedItems/>
    </cacheField>
    <cacheField name="Sub Catagory" numFmtId="0">
      <sharedItems containsBlank="1" count="190">
        <s v="BALL BEARING"/>
        <s v="SELF ALIGNING BEARING"/>
        <s v="NEEDLE BEARING"/>
        <s v="THRUST BEARING"/>
        <s v="ONE WAY BEARING"/>
        <s v="CYLINDERICAL ROLLER BEARING"/>
        <s v="CAM FOLLOWER"/>
        <s v="LINEAR BEARING"/>
        <s v="SPUR GEAR"/>
        <s v="MISELLANEOUS"/>
        <s v="UNIVERSAL JOINT"/>
        <s v="BOLT"/>
        <s v="RUBBER ROLLER"/>
        <s v="CORNER CUTTER"/>
        <s v="PRINTING ROLLER"/>
        <s v="SPROCKET"/>
        <s v="HELICAL GEAR"/>
        <s v="FLAT BELT"/>
        <s v="FEED ROLLER"/>
        <s v="SOLENOID VALVE"/>
        <s v="SHAFT"/>
        <s v="MISCELLANEOUS"/>
        <s v="BULB"/>
        <s v="VALVE"/>
        <s v="BUSHING"/>
        <s v="HOSE"/>
        <s v="REPAIR KIT"/>
        <s v="FLOW CONTROL VALVE"/>
        <s v="SINGLE STRAND CHAIN"/>
        <s v="GLUE"/>
        <s v="CYLINDER"/>
        <s v="ADHESIVE TAPE"/>
        <s v="FITTINGS"/>
        <s v="NIPPLE"/>
        <s v="ELBOW"/>
        <s v="COUPLING"/>
        <s v="NOZZLE"/>
        <s v="EMERY PAPER"/>
        <s v="KNIFE"/>
        <s v="ROUND BELT"/>
        <s v="BRUSH"/>
        <s v="ANILOX ROLLER"/>
        <s v="ELECTRODE"/>
        <s v="CERAMIC BAR"/>
        <s v="CLIP"/>
        <s v="GASKET"/>
        <s v="SEAL"/>
        <s v="PAD"/>
        <s v="GUM SEGMENT"/>
        <s v="ROLLER"/>
        <s v="WHEEL"/>
        <s v="SCORING ROLLER"/>
        <s v="METER"/>
        <s v="RELAY"/>
        <s v="CONTACTOR"/>
        <s v="FUSE"/>
        <s v="SENSOR"/>
        <s v="PUSH BUTTON"/>
        <s v="BREAKER"/>
        <s v="ENCODER"/>
        <s v="CONTROLLER"/>
        <s v="SWITCH"/>
        <s v="FAN"/>
        <s v="MICRO SWITCH"/>
        <s v="MOTOR"/>
        <s v="CARBON BRUSH"/>
        <s v="RESISTOR"/>
        <s v="POWER SUPPLY"/>
        <s v="ACCESSORIES"/>
        <s v="BATTERY"/>
        <s v="CABLE"/>
        <s v="ALARM"/>
        <s v="TIMING BELT"/>
        <s v="V-BELT"/>
        <s v="PRESSURE SWITCH"/>
        <s v="REGULATOR"/>
        <s v="FILTER"/>
        <s v="LABELING TAPE"/>
        <s v="RIBBON"/>
        <s v="INK PAD"/>
        <s v="GLOVES"/>
        <s v="NUT"/>
        <s v="WASHER"/>
        <s v="O-RING"/>
        <s v="SPRING"/>
        <s v="PCB"/>
        <s v="WATER DOSING ROLLER"/>
        <s v="WATER APPLICATION ROLLER"/>
        <s v="FORM ROLLER"/>
        <s v="TRANSFER ROLLER"/>
        <s v="VIBERATOR ROLLER"/>
        <s v="INTERMEDIATE ROLLER"/>
        <s v="GUM ROLLER"/>
        <s v="MASTER LINK"/>
        <s v="ALIGNER PIN"/>
        <s v="GLUE STICK"/>
        <s v="HEATER"/>
        <s v="TEFLON TAPE"/>
        <s v="HARD KNIFE"/>
        <s v="LUGS"/>
        <s v="HINGES"/>
        <s v="CLAMP"/>
        <s v="AIR CHUCK"/>
        <s v="PULLEY"/>
        <s v="THERMOCOUPLE"/>
        <s v="SEALING KNIFE"/>
        <s v="DAMPENER"/>
        <s v="OIL SEAL"/>
        <s v="UNIVERSAL JOINT CROSS"/>
        <s v="CIRCLIP/SNAP RING"/>
        <s v="CUTTING KNIFE"/>
        <s v="RIBBED FLAT BELT"/>
        <s v="TOOLS &amp; EQUIPMENT"/>
        <s v="SCORING BLADE"/>
        <s v="PUMP"/>
        <s v="ROLLER BEARING"/>
        <s v="DOCTOR BLADE"/>
        <s v="TRAILING BLADE"/>
        <s v="SEGMENT"/>
        <s v="KEY"/>
        <s v="BEVEL GEAR"/>
        <s v="PAINT"/>
        <s v="PRIMER"/>
        <s v="PAINT REMOVER"/>
        <s v="THINNER"/>
        <s v="SPRAY PAINT"/>
        <s v="EPOXY PAINT"/>
        <s v="CEMENT"/>
        <s v="SEALANT"/>
        <s v="SPONGE"/>
        <s v="TAPE DISPENSER"/>
        <s v="RUBBER BAND"/>
        <s v="TWINE"/>
        <s v="EAR PLUG"/>
        <s v="GREASE"/>
        <s v="MASK"/>
        <s v="DOUBLE SIDE TAPE"/>
        <s v="DUCT TAPE"/>
        <s v="MASKING TAPE"/>
        <s v="UNIFORM"/>
        <s v="SAFETY SHOE"/>
        <s v="CABLE TIE"/>
        <s v="TRANSFORMER"/>
        <s v="POWER PACK"/>
        <s v="SHIM"/>
        <s v="NEEDLE/STEM"/>
        <s v="SYNTHETIC OIL"/>
        <s v="SEAT"/>
        <s v="FITTING"/>
        <s v="P&amp;S KNIFE"/>
        <s v="PLUNGER"/>
        <s v="MODULE"/>
        <s v="COIL"/>
        <s v="PLC"/>
        <s v="SLEEVE"/>
        <s v="CUT OFF KNIFE"/>
        <s v="SOLID PROFILE KNIFE"/>
        <s v="HYDRAULIC OIL"/>
        <s v="BRAKE OIL"/>
        <s v="DISTILLED WATER"/>
        <s v="GEAR OIL"/>
        <s v="NYLON BOARD"/>
        <s v="ENGINE OIL"/>
        <s v="CLEANING AGENT"/>
        <s v="FLEXIBLE CUT OFF KNIFE"/>
        <s v="FLEXIBLE PROFILE KNIFE"/>
        <s v="SOLID PANEL DIE"/>
        <s v="FLEXIBLE WINDOW KNIFE"/>
        <s v="PUNCH DIE"/>
        <s v="PRINT HEAD"/>
        <m u="1"/>
        <s v="COVERALL" u="1"/>
        <s v="SIDE SCORING BLADE" u="1"/>
        <s v="PTFE MESH BELT" u="1"/>
        <s v="SIDE SCORING" u="1"/>
        <s v="VARIDRIVE BELT" u="1"/>
        <s v="HARD KNIVES" u="1"/>
        <s v="CONVEYOR BELT" u="1"/>
        <s v="RUBBER" u="1"/>
        <s v="Thrust " u="1"/>
        <s v="ENVELOPE HIGH DIE" u="1"/>
        <s v="Needle" u="1"/>
        <s v="BEARING NEEDLES" u="1"/>
        <s v="Self Aligning" u="1"/>
        <s v="LIMIT SWITCH" u="1"/>
        <s v="Cylinderical Roller Bearing " u="1"/>
        <s v="FLAP SCORING BLADE" u="1"/>
        <s v="END SEAL" u="1"/>
        <s v="DAMPENING ROLLER" u="1"/>
        <s v="Thrust  Bearing" u="1"/>
      </sharedItems>
    </cacheField>
    <cacheField name="Size" numFmtId="0">
      <sharedItems containsNonDate="0" containsString="0" containsBlank="1" containsNumber="1" containsInteger="1" minValue="39" maxValue="50290011830" count="46">
        <m/>
        <n v="1203" u="1"/>
        <n v="2204" u="1"/>
        <n v="16004" u="1"/>
        <n v="50290011830" u="1"/>
        <n v="15244304" u="1"/>
        <n v="800" u="1"/>
        <n v="4904" u="1"/>
        <n v="6012" u="1"/>
        <n v="4133" u="1"/>
        <n v="6902" u="1"/>
        <n v="40" u="1"/>
        <n v="2200" u="1"/>
        <n v="320" u="1"/>
        <n v="3019" u="1"/>
        <n v="42" u="1"/>
        <n v="16003" u="1"/>
        <n v="2205" u="1"/>
        <n v="44" u="1"/>
        <n v="120" u="1"/>
        <n v="3204" u="1"/>
        <n v="51105" u="1"/>
        <n v="220" u="1"/>
        <n v="5205" u="1"/>
        <n v="1204" u="1"/>
        <n v="2206" u="1"/>
        <n v="51112" u="1"/>
        <n v="6901" u="1"/>
        <n v="51110" u="1"/>
        <n v="1202" u="1"/>
        <n v="39" u="1"/>
        <n v="3059" u="1"/>
        <n v="15257546" u="1"/>
        <n v="8708" u="1"/>
        <n v="41" u="1"/>
        <n v="43" u="1"/>
        <n v="1200" u="1"/>
        <n v="45" u="1"/>
        <n v="2203" u="1"/>
        <n v="16005" u="1"/>
        <n v="80" u="1"/>
        <n v="3202" u="1"/>
        <n v="51104" u="1"/>
        <n v="62200" u="1"/>
        <n v="1882" u="1"/>
        <n v="25050690" u="1"/>
      </sharedItems>
    </cacheField>
    <cacheField name="Description" numFmtId="0">
      <sharedItems containsBlank="1" count="4919">
        <s v="BALL BEARING 6000-2Z (10 x 26 x 8 mm)"/>
        <s v="BALL BEARING 6001-2Z (12 x 28 x 8 mm)"/>
        <s v="BALL BEARING 6002-2Z (15 x 32 x 9 mm)"/>
        <s v="BALL BEARING 6003-2Z (17 x 35 x 10 mm)"/>
        <s v="BALL BEARING 6004-2Z (20 x 42 x 12 mm)"/>
        <s v="BALL BEARING 6005-2Z (25 x 47 x 12 mm)"/>
        <s v="BALL BEARING 6006-2Z (30 x 55 x 13 mm) SKF"/>
        <s v="BALL BEARING 6007-2Z (35 x 62 x 14 mm)"/>
        <s v="BALL BEARING 6008-2Z (40 x 68 x 15 mm)"/>
        <s v="BALL BEARING 6010-2Z (50 x 80 x 16 mm)"/>
        <s v="SELF ALIGNING BEARING 2204 (20 x 47 x 18 mm)"/>
        <s v="BALL BEARING 6200-2Z (10 x 30 x 9 mm)"/>
        <s v="BALL BEARING 6201-2Z (12 x 32 x 10 mm)"/>
        <s v="BALL BEARING 6202-2Z (15 x 35 x 11 mm)"/>
        <s v="BALL BEARING 6203-2Z (17 x 40 x 12 mm)"/>
        <s v="BALL BEARING 6204-2Z (20 x 47 x 14 mm)"/>
        <s v="BALL BEARING 6205-2Z (25 x 52 x 15 mm)"/>
        <s v="BALL BEARING 6206-2Z (30 x 62 x 16 mm) SKF"/>
        <s v="BALL BEARING 6207-2Z (35 x 72 x 17 mm)"/>
        <s v="BALL BEARING 6208-2Z (40 x 80 x 18 mm)"/>
        <s v="BALL BEARING 6210-2Z (50 x 90 x 20 mm)"/>
        <s v="BALL BEARING 6301-2Z (12 x 37 x 12 mm)"/>
        <s v="BALL BEARING 6302-2Z (15 x 42 x 13 mm)"/>
        <s v="BALL BEARING 6303-2Z (17 x 47 x 14 mm)"/>
        <s v="BALL BEARING 6305-2Z (25 x 62 x 17 mm)"/>
        <s v="BALL BEARING 6306-2Z (30 x 72 x 19 mm)"/>
        <s v="BALL BEARING 6308-2Z (40 x 90 x 23 mm)"/>
        <s v="BALL BEARING 626-2Z (6 x 19 x 6 mm)"/>
        <s v="BALL BEARING 627-2Z (7 x 22 x 7 mm)"/>
        <s v="SELF ALIGNING BEARING 2200 (10 x 30 x 14 mm)"/>
        <s v="NEEDLE BEARING 1612"/>
        <s v="AXIAL THRUST BEARING 51111 (55 x 78 x 16 mm)"/>
        <s v="THRUST BEARING FOR CHEETAH"/>
        <s v="NEEDLE BEARING"/>
        <s v="NEEDLE BEARING FOR MOH P&amp;S BA-88Z (1/2&quot; X 11/16&quot; X 1/2&quot;)"/>
        <s v="NEEDLE ROLLER / ANGULAR CONTACT BEARING FOR W&amp;D 141 (17 x 30 x 18 mm)"/>
        <s v="BEARING 698-2Z (8 x 19 x 6 mm)"/>
        <s v="BEARING 6903-2RS (17 x 30 x 7 mm) FOR STRETCH WRAPPING"/>
        <s v="BEARING 628-2Z (8 X 24 X 8 MM)"/>
        <s v="BEARING 629-2Z (9 X 26 X 8 MM)"/>
        <s v="BEARING 608-2Z (8 X 22 X 7 MM)"/>
        <s v="BEARING 609-2Z (9 X 24 X 7 MM)"/>
        <s v="DOUBLE ROW BALL BEARING 3202 (15 X 35 X 15.9 MM)"/>
        <s v="DOUBLE ROW BALL BEARING 3204 (20 X 47 X 20.6 MM)"/>
        <s v="BEARING 3205-2RS (25 X 52 X 20.6 MM)  FOR SCORE ROLL"/>
        <s v="BEARING FOR WEB ALIGNER 1125-ICG (1&quot; X 52MM X 34MM)"/>
        <s v="SELF ALIGNING BEARING 1200 (10 X 30 X 9 MM)"/>
        <s v="SELF ALIGNING BEARING 1202 (15 X 35 X 11 MM)"/>
        <s v="SELF ALIGNING BEARING 1203 (17 X 40 X 12 MM)"/>
        <s v="SLEF ALIGNING BEARING 1204 (20 X 47 X 14 MM)"/>
        <s v="SELF ALIGNING BEARING 2206 (30 X 62 X 20 MM)"/>
        <s v="SELF ALIGNING BEARING 2203 (17 X 40 X 16 MM)"/>
        <s v="SELF ALIGNING BEARING 2205 (25 X 52 X 18 MM)"/>
        <s v="BEARING R4AA-2Z (1/4&quot; X 3/4&quot; X 9/32&quot;)"/>
        <s v="BALL THRUST BEARING 51104 (20 X35 X 10 MM)"/>
        <s v="BALL THRUST BEARING 51105 (25 X 42 X 11 MM)"/>
        <s v="BALL THRUST BEARING 51110 (50 X 70 X 14 MM)"/>
        <s v="BEARING 6901 (12 X 24 X 6 MM)"/>
        <s v="BEARING 62200 (10 X 30 X 14 MM)"/>
        <s v="BEARING 16003 (17 X 35 X 8 MM)"/>
        <s v="BEARING 2206 (30 X 62 X 20 MM)"/>
        <s v="BEARING 625-2Z (5 X 16 X 5 MM)"/>
        <s v="BEARING FC-20"/>
        <s v="ONE WAY NEEDLE BEARING RC-162110 (1&quot; X 1-5/16&quot; X 5/8&quot;)"/>
        <s v="NEEDLE BEARING NA 4908 (40 X 62 X 22 MM)"/>
        <s v="BEARING INA 25/20 (TAF293820)"/>
        <s v="BEARING INA 22/20"/>
        <s v="BEARING FOR MOH &amp; MOW ER-207 (1-3/8&quot; X 72MM X 1-11/16&quot;) OR (35 X 72 X 42.9 MM)"/>
        <s v="BEARING 696-2Z"/>
        <s v="BEARING INA 17/16"/>
        <s v="BEARING INA 50/55"/>
        <s v="NEEDLE BEARING NA 4900 (14 X 22 X 13 MM)"/>
        <s v="BEARING 7204 (20 X 47 X 14 MM)"/>
        <s v="BEARING R20-2Z FOR DIAMOND MACHINE"/>
        <s v="BEARING INA 40/20"/>
        <s v="BEARING HK 4020"/>
        <s v="BEARING TAF 455520"/>
        <s v="NEEDLE BEARING TAF 354520"/>
        <s v="BEARING NA 4902"/>
        <s v="BEARING NATR 15"/>
        <s v="BEARING NU 2205"/>
        <s v="BEARING RCB 162117"/>
        <s v="ONE WAY BEARING FND 459 (30 X 64 X 34 MM) WITH KEY SLOT. FOR WINDOW UNIT "/>
        <s v="BEARING 206PR-C"/>
        <s v="BEARING 205PR-C"/>
        <s v="BEARING 203PR-C"/>
        <s v="BEARING 6209-2Z (45 X 85 X 19 MM)"/>
        <s v="BEARING SLEEVES (35 X 40 X 30 MM)"/>
        <s v="BEARING 1623-2RS"/>
        <s v="NEEDLE BEARING  (24 X 12 X 13 MM)"/>
        <s v="BEARING BB-30-2K"/>
        <s v="NEEDLE BEARING NK 30/20 (30 X 40 X 20)"/>
        <s v="BEARING TAF 253320"/>
        <s v="BEARING HFLF-205317"/>
        <s v="CAM FOLLOWR CF8"/>
        <s v="BEARING 6300-2RS (10 X 35 X 11 MM)"/>
        <s v="BEARING R4-2Z (1/4&quot; X 5/8&quot; X 0.1960&quot;)"/>
        <s v="BEARING 6016-2Z (80 X 125 X 22 MM)"/>
        <s v="BEARING F5DD"/>
        <s v="INNER RING 1-3/4&quot; X 1-1/2&quot; X 1&quot; FOR CHEETAH VACUUM CYLINDER"/>
        <s v="BEARING 16004 (20 X 42 X 8 MM)"/>
        <s v="BEARING 6206-DDUNR"/>
        <s v="BEARING 16005 (25 X 47 X 8 MM)"/>
        <s v="BEARING 6203-DDUNR"/>
        <s v="BEARING 6003-DDUNR"/>
        <s v="BEARING 6204-DDUNR"/>
        <s v="BEARING 6900-2Z (10 X 22 X 6 MM)"/>
        <s v="BEARING 6002-DDUNR"/>
        <s v="NEEDLE BEARING HK 4016"/>
        <s v="NEEDLE BEARING BA65 (SCE-65) FOR STS GEAR MOTOR"/>
        <s v="BEARING 6004NR-2Z"/>
        <s v="PRECISION BALL BEARINGS FOR P&amp;S CYLINDER (SET)"/>
        <s v="THRUST TAPERED ROLLER BEARING TIMKING T387 FOR CAT HIGH REACH TRUCK SWIVEL WHEEL, SIZE: 3.875&quot; X 5&quot; X 0.7650&quot; (96.425 X 127 X 17.463 MM)"/>
        <s v="FLANGE BEARING SLFL12"/>
        <s v="FLANGE BEARING UCF208 ASAHI"/>
        <s v="BEARING 8702-2RS (5/8&quot; X 1-3/4&quot; X 5/8&quot;)"/>
        <s v="BEARING AS 30 NY (UKCC 30 ZZ)"/>
        <s v="BEARING R8-2Z"/>
        <s v="BEARING (UF-12) (ST-G AE12-S BA (W+D K 1.960.04))"/>
        <s v="NEEDLE BEARING HK1212 (12 X 18 X 12)"/>
        <s v="NEEDLE BEARING B1212 (3/4&quot; x 1&quot; x 3/4&quot;)"/>
        <s v="BEARING 7616 (1&quot; X 2&quot; X 1.179&quot;)"/>
        <s v="NEEDLE BEARING BHA-812-Z (1/2&quot; x 3/4&quot; x 3/4&quot;)"/>
        <s v="CLUTCH ROLLER BEARING ASNU20/USNU20 CTS ITALY"/>
        <s v="BEARING 8708-2RS"/>
        <s v="BEARING 16100-2Z (10 X 28 X 8 MM)"/>
        <s v="SELF ALIGNING BEARING 129 WA (9 X 26 X 8 MM)"/>
        <s v="BEARING 607-2Z (7 X 19 X 6 MM)"/>
        <s v="BEARING 6902 (15 X 28 X 7 MM)"/>
        <s v="BEARING 3308-2Z"/>
        <s v="BEARING"/>
        <s v="CAM FOLLOWER CR24"/>
        <s v="BEARING NATR6-PP-A"/>
        <s v="BEARING 7200 BW (10 X 30 X 9 MM)"/>
        <s v="BEARING R6-2Z (3/8&quot; X 7/8&quot; X 9/32&quot;)"/>
        <s v="INNER RING 40 X 45 X 40"/>
        <s v="BEARING BA2824Z"/>
        <s v="BEARING 6012 (60 X 95 X 18 MM)"/>
        <s v="BEARING R16-2Z (1&quot; X 2&quot; X 1/2&quot;)"/>
        <s v="BEARING EE135-ZZ"/>
        <s v="BEARING 6009-2Z (45 X 75 X 16 MM)"/>
        <s v="BEARING 6304-2Z (20 X 52 X 15 MM)"/>
        <s v="NEEDLE BEARING 20/20"/>
        <s v="BEARING 6908-2Z (40 X 62 X 12 MM)"/>
        <s v="BEARING 1602-2RS"/>
        <s v="BEARING R10-2Z"/>
        <s v="BEARING RC121610"/>
        <s v="BEARING 1616-2RS"/>
        <s v="BEARING 6906-2RS (30 X 47 X 9 MM)"/>
        <s v="BEARING AS20 STEIBER"/>
        <s v="LINEAR BALL BEARING TK20UUST"/>
        <s v="LINEAR BALL BEARING LMES20UU"/>
        <s v="NEEDLE BEARING BA1212Z (3/4&quot; x 1&quot; x 3/4&quot;)"/>
        <s v="AXIAL THRUST BEARING 2908 (40 X 60 X 16 MM)"/>
        <s v="NEEDLE BEARING NK45/30"/>
        <s v="MAIN DRIVE GEAR"/>
        <s v="SPOTTER"/>
        <s v="CYLINDER GEAR"/>
        <s v="PAPER GUIDE"/>
        <s v="FOLDER, SET"/>
        <s v="GLUE PLATE"/>
        <s v="UNIVERSAL JOINT"/>
        <s v="ENGAGING &amp; DISENGAGING PART"/>
        <s v="SPECIAL BOLTS"/>
        <s v="RUBBER ROLLER"/>
        <s v="RUBBER ROLLER N 010236"/>
        <s v="WINCH TYPE GEAR 144 40 0000"/>
        <s v="SPUR GEAR K1 1009 000 4"/>
        <s v="PLASTIC GEAR"/>
        <s v="RUBBER ROLLER DIA=35.6MM, HARD=40SHORE"/>
        <s v="CORNER KNIFE, NO: 37348 &amp; NO: 37652"/>
        <s v="INK ROLLER (103 X 65 X 280 MM) HARD = 60-70 SHORE"/>
        <s v="BASE PLATE, SET"/>
        <s v="SPROCKETS"/>
        <s v="PULLING SHAFT GEAR"/>
        <s v="COUNTER GEAR"/>
        <s v="INSIDE PRINTING GEAR"/>
        <s v="FIBRE SPUR GEAR, TEEHT=40, DIA=85MM"/>
        <s v="HELICAL GEAR"/>
        <s v="IMPELLER FOR INK PUMP"/>
        <s v="BRASS BUSHING FOR WEB SECTION"/>
        <s v="PRINTING GEAR"/>
        <s v="ALIGNER PIN, 1882"/>
        <s v="BELT FOR PAPER, ROLL"/>
        <s v="GEAR"/>
        <s v="RUBBER ROLLER, N 010.236"/>
        <s v="SOLENOID FOR BANKER, K2 222.02"/>
        <s v="SHAFT"/>
        <s v="CYLINDER SCREW WITH HEX M10X40, D 0.030.312"/>
        <s v="NEEDLES FOR CORNER CUTTER UNIT, 2 X 8 MM"/>
        <s v="NEEDLES FOR CORNER CUTTER UNIT, 2.5 X 10 MM"/>
        <s v="NEEDLES FOR CORNER CUTTER UNIT, 6 X 24 MM"/>
        <s v="NEEDLES FOR CORNER CUTTER UNIT, 6 X 40 MM"/>
        <s v="NEEDLE BEARING, K 08 X 11 X 10"/>
        <s v="GEAR, R120027048"/>
        <s v="FITTINGS FOR AIR CHUCK AIR VALVE"/>
        <s v="CAM FOLLOWER, K3.340.78"/>
        <s v="HD-NUH-5sCn-SmGr, REFEEDER BELT, 60 X 3000 MM"/>
        <s v="SPUR GEAR, R1.20.027.048"/>
        <s v="6MM Sq HEAD SCREW, D 075028"/>
        <s v="BULB 24 V"/>
        <s v="FELT DISC, V87.70.000.0"/>
        <s v="SET OF GLUE PAD, LEFT + RIGHT"/>
        <s v="FESTO SVS-3-1/8"/>
        <s v="BRASS BUSH"/>
        <s v="FLEXIBLE PIPE FOR AIR CHUCK"/>
        <s v="PARTS FOR FLUID SECTION OF ARO PUMP (PILOT PISTON 67382, WAHER 96092, PIN 94874-1, SCREW 93810-7)"/>
        <s v="5571K12 AIR FLOW BOOSTER"/>
        <s v="CHAIN FOR SHEETING MACHINE PIV GEAR BOX"/>
        <s v="SERVICE KIT-FLUID SECTION 637429-AA (15257546)"/>
        <s v="ECCENTRIC BRONZE BUSHING (LHS &amp; RHS)"/>
        <s v="AIR SECTION KIT 637428 (15244304)"/>
        <s v="GLUE VULCOL"/>
        <s v="SMC PNEUMATIC CYLINDER, ECQ2B32-15D"/>
        <s v="SHAFT FOR PIV GEAR BOX"/>
        <s v="PERFORATED TAPE, RA-90609AH"/>
        <s v="BELT ADHESIVE, K-2000 CEMENT"/>
        <s v="MILLER ADAPTER CONTACTOR, PART # 169728"/>
        <s v="THREADED NIPPLE"/>
        <s v="90 DEG ELBOW"/>
        <s v="SHAFT COLLAR 2-7/16&quot;, McMASTER: 6436K81"/>
        <s v="BUSH"/>
        <s v="SET OF SHAFT SOCKET, V 81040180"/>
        <s v="SET OF HELICAL GEAR, R120027048"/>
        <s v="AIR BLOW NOZZLE HOLDER, N 003802"/>
        <s v="BRAKE SHOE"/>
        <s v="ALUMINUM OXIDE SANDING BELT. SIZE: 1/2&quot; X 24&quot;. GRADE: 180, McMASTER REF: 4744A831"/>
        <s v="SHAFT COLLAR 15 MM BORE, McMASTER REF: 6063K33"/>
        <s v="SHAFT COLLAR 20 MM BORE, McMASTER REF: 6063K19"/>
        <s v="SHAFT COLLAR 25 MM BORE, McMASTER REF: 6063K21"/>
        <s v="SHAFT COLLAR 35 MM BORE, McMASTER REF: 6063K23"/>
        <s v="RULON SHEET 1/4&quot; X 6&quot; X 6&quot;, McMASTER REF: 5824T72"/>
        <s v="SHAFT COLLAR 10 MM BORE, McMASTER REF: 57445K25"/>
        <s v="SHAFT COLLAR 12 MM BORE, McMASTER REF: 57445K26"/>
        <s v="SHAFT COLLAR 30 MM BORE, McMASTER REF: 6063K22"/>
        <s v="SQUARE HEAD BOLT, M10 X 50MM"/>
        <s v="RUPTURE DISC"/>
        <s v="SHAFT COLLAR 40 MM BORE, McMASTER REF: 6063K24"/>
        <s v="SHAFT COLLAR 45 MM BORE, McMASTER REF: 6063K25"/>
        <s v="MAGNETIC CYLINDER PART # 9, PLATE LIFTER, SRC-000072"/>
        <s v="REPAIR KIT FOR FLUID SIDE, McMASTER: 3781K23"/>
        <s v="REPAIR KIT FOR MOTOR SIDE, McMASTER: 3781K59"/>
        <s v="RULON SHEET 1/16&quot; X 6&quot; X 6&quot;, McMASTER: 5824T77"/>
        <s v="ADHESIVE EMERY PAPER ROLL"/>
        <s v="BD-ROUND BELT, DIA=5MM, L=10MTR"/>
        <s v="STEEL ROLLER, 45300140 (2 DIFFERENT ITEMS)"/>
        <s v="SPROCKET, R512014048"/>
        <s v="HELICAL GEAR, R 21048001"/>
        <s v="SPROCKET, R 312017007"/>
        <s v="HELICAL GEAR, R 210031001"/>
        <s v="BRAKE BRUSH, V 87.02.000.0"/>
        <s v="BAR"/>
        <s v="CAP FOR WELDING TORCH, 169-724"/>
        <s v="OPTICELL LASER ENGRAVED RECONDITIONED ANILOX ROLLER FOR 327G MACHINE, CELL GEOMETRY = 60, LINE SCREEN OF 360 = VOLUME OF 6.5"/>
        <s v="PLASMA ELECTRODES, P/N: 802420"/>
        <s v="PLASMA NOZZLES, P/N: 802423"/>
        <s v="CERAMIC BAR, DIA=12MM, L=190MM, B 244.190"/>
        <s v="SPROCKET FOR #40 CHAIN, N.O.T=13, McMASTER REF: 6280K671"/>
        <s v="VALVE # 5 (50 cu mm), K 3.306.08"/>
        <s v="CLIPS FOR 1 GREASE PIPE LINE"/>
        <s v="CLIPS FOR 2 GREASE PIPE LINES"/>
        <s v="CLIPS FOR 3 GREASE PIPE LINES"/>
        <s v="CLIPS FOR 4 GREASE PIPE LINES"/>
        <s v="SCREWS FOR CLIPS"/>
        <s v="MIG CONTACT TIP 0.8 MM (M6)"/>
        <s v="1/16&quot; THICK, 12&quot; X 12&quot;, GUM, RUBBER SHEET GASKET, McMASTER REF: 8525T51"/>
        <s v="CORK TAPE ROLL"/>
        <s v="0.90MM WIRE TIP FOR WELDING TORCH"/>
        <s v="0.35MM WIRE TIP FOR WELDING TORCH"/>
        <s v="AIR PIPE"/>
        <s v="NOZZLE FOR VACUUM CYLINDER"/>
        <s v="15N AERO-CASTER ELEMENT (MODEL: 15N, CAP=1927KG, 384MM x 384MM, AEROGO P/N: 49082"/>
        <s v="CHAIN TENSIONER FOR # 35-1 (MINI-SPANNER35H, M291050004), McMASTER REF: 7332K11"/>
        <s v="CAM FOLLOWER, L990.00.0087.8"/>
        <s v="SUCKER"/>
        <s v="CERAMIC BAR FOR WINDOW, DIA=1/2&quot;"/>
        <s v="RUBBER PAD"/>
        <s v="CROSS 23.0 X 58.2 MM, GU 1600 (MORSE)"/>
        <s v="CROSS 22 X 55 MM"/>
        <s v="UNIVERSAL JOINT 22 X 60 MM, S.56834 UNIVERSAL JOINT"/>
        <s v="CAM FOLLOWER, V 8125.07.30"/>
        <s v="PU ROLLER FOR 327G FEED TABLE, DIA=49.5MM, L=50MM, HARD=60SHORE"/>
        <s v="ZERO DEG (&quot;O&quot;) GUMMER, UNICASTE REF: 15-003R/L"/>
        <s v="RUBBER SHEET FOR SHEETER BRAKE DIAPHGRAM"/>
        <s v="TOLOMATIC PNEUMATIC BRAKE, P220SEF, 0733-0220"/>
        <s v="GEAR OFF SIZE (IN WOODEN BOX)"/>
        <s v="BRONZE TUBE FOR MOH"/>
        <s v="STAINLESS STEEL ROD, DIA= 1/4&quot;"/>
        <s v="LOAD WHEEL FOR CAT NRDR30 HIGH REACH TRUCK"/>
        <s v="PU COATED RUBBER ROLLERS (P/N: N 010.131), DIA=45MM, HARD=60 SHORE"/>
        <s v="PU COATED RUBBER ROLLERS, DIA=58MM, HARD=60 SHORE"/>
        <s v="DRIVE WHEEL FOR NRDR30 HIGH REACH TRUCK, DIA=315MM, WIDTH=150MM"/>
        <s v="SWIVEL WHEEL FOR NRDR30 HIGH REACH TRUCK, DIA=205MM, WIDTH=101MM"/>
        <s v="SCORE ROLL WITH 1 GROOVE FOR 327G &amp; 527 GSV (L126.07.0001.2), P/N: 10-1185"/>
        <s v="PULSE / TACHO METER, MP5S-4N"/>
        <s v="SINGLE SOLENOID VALVE, MFH-3-1/4"/>
        <s v="COUNTERS &amp; TIMERS, CT6S-2P4"/>
        <s v="TIME DELAY RELAY, TNDLY1CO.ZR5MF011 ONDLY TIM.IC/0"/>
        <s v="CONTACTOR 24V-DC (35A), MOELLER  DILOM-G/11"/>
        <s v="OVER LOAD CUT OUT (MOTOR PROTECTIVE SWITCH) 6---10A, MOELLER  PKZMO-10  (W+D: K4.519.79)"/>
        <s v="INLINE FUSE HOLDER, 32AMP, 600V"/>
        <s v="TELEMECHANIQUE CONTACTOR LC1D12F7.  110V, 25A, 110 V,  5.5KW/400V, 50/60Hz, 7.5HP/480V"/>
        <s v="PHOTO ELECTRIC SENSOR (12-24VDC), BR400-DDT-P"/>
        <s v="SINGLE SOLENOID VALVE, MFH-5-1/4"/>
        <s v="RELAY 24VAC. 5AMP. 14 PIN, PERRY 1RE 04 05 24VAC, 50/60Hz"/>
        <s v="REFLECTOR, MS2"/>
        <s v="ELECTRONIC COUNTER TC73HCRR"/>
        <s v="DATASENSOR (PHOTO EYE), S6-1-C90 (DIF-PROXI 90CM RELAY, 15-264VAC/DC CABLE)"/>
        <s v="24V DC/AC CONTACTOR"/>
        <s v="PHOTO ELECTRIC SENSOR, BM200-DDT"/>
        <s v="AUXILIARY CONTACTOR, 2 NO &amp; 2 NC, AC MAX 1 A &amp; DC MAX 10 A"/>
        <s v="PROXIMITY SENSOR, PRL12-4DP"/>
        <s v="PROXIMITY SENSOR, PRL12-4DN"/>
        <s v="PUSH BUTTON, GREEN HEAD"/>
        <s v="ELCB 63 AMP (INTERRUPTOR DIFERENCIAL), ABB FH204 AC-63/0.1"/>
        <s v="MINIATURE CIRCUIT BREAKER. C63, ABB S203-C63 (2CDS 253 001 R 0634) 63A"/>
        <s v="PHOTOCELL (PROXIMITY SENSOR). 10-35VDC, SIEMENS OPTO-BERO 3RG 7013.0CC00"/>
        <s v="ROTARY ENCODER, E50S8-2000-6-L-5"/>
        <s v="ROTARY ENCODER, E50S8-1000-6-L-5"/>
        <s v="RELAY 24VDC. 5AMP. 14 PIN, PERRY 1RE 04 05 24VDC"/>
        <s v="RELAY 110VAC, 8 ROUND PINS"/>
        <s v="MOTOR PROTECTIVE CIRCUIT BREAKER, MOELLER PKZM0-6.3"/>
        <s v="COUNTER &amp; TIMER, CT6Y-2P4"/>
        <s v="OVER LOAD CUT OUT (MOTOR PROTECTIVE SWITCH) 10--16 A, MOELLER PKZMO-16 (W+D: K4.519.80)"/>
        <s v="PID TEMPERATURE CONTROLLER (LPA INDIA), 7 AMP, MODEL: 77LT-3S. SR NO: 1007-413. TYPE: UNIVERSAL . SUPPLY: 85-265VAC"/>
        <s v="63A SWITCH DISCONNECTOR, OT63F3"/>
        <s v="PROXIMITY SENSOR, PRL12-2DP"/>
        <s v="LATCHING RELAY 24VDC (10A), OMRON MY2K"/>
        <s v="TIME DELAY RELAY, ABB PART NO DSTUD3 (9-110VDC)"/>
        <s v="RECTIFIER"/>
        <s v="TOGGLE SWITCH"/>
        <s v="EXHAUST FAN, 220-240VAC. 50/60Hz. 0.14A"/>
        <s v="EXHAUST FAN, 24VDC"/>
        <s v="EXHAUST FAN, FD1550A2HBL/Q"/>
        <s v="BLOWER FOR STENCIL MAKER"/>
        <s v="DILER 40G CONTATCOR, 24VDC"/>
        <s v="OVERLOAD RELAY, SIEMENS 5-8A"/>
        <s v="OVERLOAD RELAY, SIEMENS 5-5A"/>
        <s v="CIRCUIT BREAKER, 32A, 3 POLE"/>
        <s v="CIRCUIT BREAKER, 6A, 3 POLE"/>
        <s v="CIRCUIT BREAKER, 6A, 1 POLE"/>
        <s v="CIRCUIT BREAKER, 10A, 1 POLE"/>
        <s v="CIRCUIT BREAKER, 32A, 1 POLE"/>
        <s v="CONTACTOR, 32A, 24VDC, 3 POLE, 15KW"/>
        <s v="CONTACTOR, 18A, 24VDC, 3 POLE, 7.5KW"/>
        <s v="CONTACTOR, 9A, 24VDC, 3 POLE, 4KW"/>
        <s v="REVERSING CONTACTOR 1NO+1NC, 18A, 24VDC, 3 POLE, 7.5KW"/>
        <s v="FUSE 50A (100KA, 240VAC)"/>
        <s v="FUSE 10A (500 V-10A)"/>
        <s v="FUSE 16A 500V (DIA 10 X L 38 MM)"/>
        <s v="FUSE 6A, 500V, 10 X 38 MM"/>
        <s v="FUSE 10A, 500V, 10 X 38 MM"/>
        <s v="FUSE 2A 500V, 100KA, 10 X 38 MM"/>
        <s v="FUSE 40A 500VAC"/>
        <s v="FUSE 13A"/>
        <s v="FUSE DC 15A"/>
        <s v="FUSE 15A, 250VAC"/>
        <s v="FUSE AC 4A 500V"/>
        <s v="FUSE 16A 500VAC"/>
        <s v="FUSE 6A 500VAC"/>
        <s v="FERRAZ SHAWMUT FUSE FOR HEAT LAMP CONTROLLER, A50QS80-4, 80AMP, RES 1.411 mOhm 500VAC-200KA IR, 500VDC-87KA IR"/>
        <s v="FUSE 2A, 500V 10 X 38 MM"/>
        <s v="FUSE 3A"/>
        <s v="FUSE 20A 380VAC (100KA)"/>
        <s v="FUSE 5A 380VAC-100KA (10 X 38 MM)"/>
        <s v="FUSE 10A"/>
        <s v="FUSE 4A, 500V, 10 X 38 MM"/>
        <s v="FUSE 12A"/>
        <s v="FUSE 25A 500VAC (DIA 14 X L 51 MM)"/>
        <s v="MICROSWITCH 15 A 250VAC (ROLLER TYPE)"/>
        <s v="FUSE 20A 500VAC"/>
        <s v="FUSE 50A 500VAC"/>
        <s v="RELAY 24VDC (8 FLAT PINS) 5 AMP"/>
        <s v="SOLENOID VALVE MODEL: 3V110-06 SNS (1.5-8kgf/cu cm) FOR MOH"/>
        <s v="R058 CERAMIC FUSE 20A 250V 6 X 30 MM"/>
        <s v="RELAY 24VDC (14 FLAT PINS)"/>
        <s v="MICROSWITCH SMALL LEVER, LXW5-11N1  (15A, 250VAC) "/>
        <s v="MINI MICROSWITCH"/>
        <s v="AMPERE METER 30A, TF-60"/>
        <s v="MICROSWITCH Z-15H24-B (LONG LEVER)"/>
        <s v="LIMIT SWITCH, TEND TZ-5168"/>
        <s v="BULB, FB 12V35/35W"/>
        <s v="FUSE FOR FORKLIFT"/>
        <s v="PITTMAN MOTOR, 24VDC, 5.9:1 RATIO, GM14904S011-R1"/>
        <s v="FUSE 2A"/>
        <s v="FUSE 25A"/>
        <s v="FUSE 10 X 38 MM, 0.5A, 500V"/>
        <s v="FUSE 10 X 38 MM, 1A, 500V"/>
        <s v="FUSE, 63A"/>
        <s v="SMALL SIZE MICROSWITCH"/>
        <s v="GLASS FUSE 5 X 20 MM, 4AMP, 250VAC"/>
        <s v="PULSE METER (AVAILABLE WITH H.A), MP5Y-45"/>
        <s v="BULB"/>
        <s v="BULB, 24V"/>
        <s v="BULB, 220V"/>
        <s v="CARBON BRUSH FOR SLIPRING OF 327G, 8 X 16 X 25 MM"/>
        <s v="30MM HEAD PUSH BUTTON"/>
        <s v="BULB, 110V"/>
        <s v="CARBON BRUSH FOR 327G, 8 X 16 X 25 MM"/>
        <s v="CARBON BRUSH, 22 X 15 X 6 MM"/>
        <s v="AUTONICS PHOTO SENSOR, MODEL: BM1M-MDT"/>
        <s v="CARBON BRUSH, 20 X 12 X 5 MM"/>
        <s v="CONTACTOR RELAY, DILER-40, 24VAC, 4 NO, 50/60Hz"/>
        <s v="FORKLIFT BULB"/>
        <s v="BULB 30V"/>
        <s v="BULB 24V"/>
        <s v="CARBON BRUSH 6 X 9.5 X 20 MM"/>
        <s v="CONTACTOR RELAY, DILER-22, 24VAC, 2 NO &amp; 2 NC, 50/60Hz"/>
        <s v="RHEOSTAT VARIABLE RESISTANCE, 100 WATT, 100 OHM"/>
        <s v="INDICATION LAMP 24V-DC, YELLOW COLOR"/>
        <s v="INDICATION LAMP 24V-DC, GREEN COLOR"/>
        <s v="INDICATION LAMP 24V-DC, RED COLOR"/>
        <s v="INDICATION LAMP 24V-DC, BLUE COLOR"/>
        <s v="BULB FOR FORKLIFT"/>
        <s v="TIMER MY-1S-2P (1S) 220VAC"/>
        <s v="CARBON BRUSH 6.3 X 10 X 20 MM"/>
        <s v="CAPACITOR CBB61, 4.0, 450VAC, 50/60Hz"/>
        <s v="RHEOSTAT VARIABLE RESISTANCE 200 WATT, 100 OHM"/>
        <s v="SOLID STATE RELAY, HSR-2D-104Z, INPUT 4-32VDC, OUPUT 90-480VAC"/>
        <s v="ABB 40A 3P ISOLATOR (SHD 203/40)"/>
        <s v="PROXIMITY SENSOR PRL08-1.5DP"/>
        <s v="ABB CONTACTOR AF-09-30-10-13, 100-250V50/60HZ-DC"/>
        <s v="MICRO SWITCH ME-9101"/>
        <s v="POWER SUPPLY (LRS-350-24), INPUT 200VAC(6.8A) TO 240VAC(3.4A), OUTPUT 24VDC(14.6A)"/>
        <s v="POWER SUPPLY (S-400-24), INPUT 110VAC (3.2A) TO 230VAC (1.6A), OUTPUT 24VDC (16.5A)"/>
        <s v="POWER SUPPLY (ANDELI S-50-24), 110VAC (2A) TO 230VAC (1A), OUTPUT 24VDC (2A)"/>
        <s v="POWER SUPPLY 6.2A (ANDELI S-75-12), INPUT 100-240VAC, 2A-1A, OUTPUT 24VDC (6.25A)"/>
        <s v="TIME DELAY RELAY CROUZET TAR 1"/>
        <s v="POWER SUPPLY 6.2A (ANDELI S-150-24), INPUT 100V-240VAC, 3.2A-1.6A, OUTPUT 24VDC (6.25A)"/>
        <s v="PHOTO ELECTRIC SENSOR, AUTONICS: BTS1M-TDTD"/>
        <s v="CLAMP"/>
        <s v="POWER SUPPLY, MODEL: T-120D (MWKJ), INPUT:100VAC-120VAC(3.2A), INPUT: 200VAC-240AC(1.8A), OUTPUT: 5VDC(8A)+12VDC(2.5A)+24VDC(2A)"/>
        <s v="CYLINDER POSITION SENSOR, AIRTAC MODEL: CS1J020, DC/AC 5-240V, 100mA, 10W"/>
        <s v="RELAY, SCHNEIDER: RXZE2M114M, 12VDC (10A, 250C, 2.5KV)"/>
        <s v="CONTACTOR SCHNEIDER MODEL: LC1D12BD"/>
        <s v="CONTACTOR SCHNEIDER MODEL: LC1D32BD"/>
        <s v="CONTACTOR SCHNEIDER MODEL: LC1D32F7, 110VAC"/>
        <s v="AUXILIARY RELAY, SCHNEIDER MODEL: LADN11"/>
        <s v="PHOTO SENSOR LTS-1180-101 (SCANNER) FOR VALCO SYSTEM"/>
        <s v="LED LIGHT, 10 WATT, ES-BF10"/>
        <s v="TOWER LIGHT 24VDC WITH BUZZER"/>
        <s v="STARTER"/>
        <s v="POTENTIOMETER 20K OHM"/>
        <s v="ROUND PUSH BUTTON 22 MM, GREEN HEAD"/>
        <s v="ROUND PUSH BUTTON 22 MM, BLACK HEAD"/>
        <s v="EMERGENCY STOP PUSH BUTTON HEAD 22 MM"/>
        <s v="FLANGE FOR PUSH BUTTON HEAD 22 MM"/>
        <s v="2 POSITION SELECTOR SWITCH HEAD 22 MM"/>
        <s v="N/C CONTACT ELEMENT FOR 22 MM SWITCH"/>
        <s v="TOWER LIGHT BULB 24V-8W"/>
        <s v="POTENTIOMETER, RV24YN-20S-B502-127C"/>
        <s v="POTENTIOMETER 50K OHM"/>
        <s v="POTENTIOMETER 68K OHM"/>
        <s v="MULTI TURN POTENTIOMETER, BOURNS 3590S-2-103L, RES 10K ohm "/>
        <s v="BATTERIES AA-1.5V"/>
        <s v="BATTERIES AAA-1.5V"/>
        <s v="BATTERY 9V"/>
        <s v="MULTI TURN POTENTIOMETER, BOURNS 3590S-2-502L, RES 5K ohm "/>
        <s v="ARCOL RESISTANCE HS 100, 33R FOR 38R MACHINES"/>
        <s v="POTENTIOMETER, BOURNS 3590S-2-102L, RES 1K OHM"/>
        <s v="MR-J2TBL05M, CABLE FOR 38R P&amp;S SERVO AMPLIFIER"/>
        <s v="EMERGENCY STOP, 30MM "/>
        <s v="LINEAR POTENTIOMETER, MIDORI PRECISION, LP-50F-2 (5KOhm)"/>
        <s v="CIRCUIT BREAKER 125A, 50/60Hz, 56.3KW"/>
        <s v="POTENTIOMETER, RES 1K OHM, 100K OHM"/>
        <s v="3 POSITION SWITCH HEAD, 22MM"/>
        <s v="22 MM SWITCH WITH LIGHT"/>
        <s v="MULTI TURN POTENTIOMETER, RES 1K ohm, BOURNS 35406-1-1022 "/>
        <s v="N/O CONTACT ELEMENT FOR 22MM SWITCH"/>
        <s v="EXHAUST FAN 120VAC, FD1238A1HSL"/>
        <s v="FULLEON SOUNDER, ROLP/SV-R/D/3, 540503FULL-0403X"/>
        <s v="ELECTRIC BOX, 1 HOLE, 22MM"/>
        <s v="ELECTRIC BOX, 2 HOLE, 22MM"/>
        <s v="ELECTRIC BOX, 3 HOLE, 22MM"/>
        <s v="TIMING BELT, T5-280, WIDTH = 40 MM, 56 TEETH, 280MM LONG, 5MM PITCH, W&amp;D REF: N011.412"/>
        <s v="TIMING BELT, T5-500, W = 40 MM, 100 TEETH, 500MM LONG, 5MM PITCH, W&amp;D REF: N O11.430"/>
        <s v="TIMING BELT 255H, W=30 MM"/>
        <s v="TIMING BELT, T5-690, W = 25 MM, 138 TEETH, 690MM LONG, 5MM PITCH"/>
        <s v="TIMING BELT FOR 38R P&amp;S UNIT, 8M560-30"/>
        <s v="TIMING BELT (237 SYNCHROFLEX DR-186) W&amp;D REF: NO 11.080"/>
        <s v="TIMING BELT (602 SYNCHROFLEX DR 153) W&amp;D REF: NO 11.072"/>
        <s v="SPECIAL TIMING BELT FOR 97G FROM W&amp;D, W&amp;D REF: N 011.150"/>
        <s v="TIMING BELT 28 X 8 X 1000 Li"/>
        <s v="TIMING BELT (9.5 X 715 La) FMX28"/>
        <s v="TIMING BELT (2502Ld/10X480 Li 219)"/>
        <s v="V-BELT 3L160"/>
        <s v="TIMING BELT, 180 TEETH, 900H100"/>
        <s v="TIMING BELT, 48 TEETH, 240L100"/>
        <s v="TIMING BELT (DR-186)"/>
        <s v="TIMING BELT FOR LABEL PRINTER (128XL), 128MXL"/>
        <s v="TIMING BELT (604 SYNCHROFLEX DR 153)"/>
        <s v="VARIABLE SPEED BELT 1422V330"/>
        <s v="TIMING BELT (508 SYNCHROFLEX V620/6)"/>
        <s v="TIMING BELT 500-5M"/>
        <s v="TIMING BELT, 120 TEETH, 600H100"/>
        <s v="TIMING BELT FOR SHANKLIN, 130MXL"/>
        <s v="TIMING BELT 160XL050"/>
        <s v="TIMING BELT 330H300"/>
        <s v="TIMING BELT"/>
        <s v="TIMING BELT 630H200, L=63&quot;(1600MM), NOT=126"/>
        <s v="TIMING BELT 30T5/410, N 011.420, 82 TEETH, 30MM WIDTH, 410MM LONG, 5MM PITCH"/>
        <s v="TIMING BELT 187L (20MM WIDE)"/>
        <s v="TIMING BELT 1680H100 FOR MOH"/>
        <s v="PRESSURE SWITCH, PEV-1/4-B"/>
        <s v="PRESSURE SWITCH, NE-MA SPA"/>
        <s v="NON RETURN VALVE"/>
        <s v="GASKET FOR COMPRESSOR"/>
        <s v="PULLEY"/>
        <s v="FESTO AIR LUBRICATOR, LOE-D-MIDI(159587)"/>
        <s v="FLITER ELEMENT LFMAP-D-MIDI, MAT # 162675 (0.01 MICRON)"/>
        <s v="FILTER ELEMENT LFMBP-D-MIDI, MAT # 162678 (1.0 MICRON)"/>
        <s v="FILTER ELEMENT LFP-D-MIDI (40 MICRON)"/>
        <s v="FILTER ELEMENT LFP-D-MIDI-5M"/>
        <s v="VACUUM SWITCH, VPEV-1/8"/>
        <s v="CARBON PAPER FOR CUTTING KNIFE IMPRESSION"/>
        <s v="AIR REGULATOR LR-1/4-D-MINI"/>
        <s v="FLEXIBLE STANDARD LABELING TAPE CASSETTE, 12MM, BR-TZe-FX231"/>
        <s v="WEARING KIT FOR OLD STARK SPLICER, MFH/MOFH-3-1/8"/>
        <s v="WEARING KIT FOR OLD STARK SPLICER, MFH/VL-5-1/8BISE6"/>
        <s v="RIBBON S-8000A, FOR TIME &amp; DATE STAMPING"/>
        <s v="REPLACEMENT INK PAD S-400-7B (FOR S-420 &amp; S-826), BLUE COLOR"/>
        <s v="BLADE FOR SMALL KNIFE"/>
        <s v="BLADE FOR LARGE KNIFE"/>
        <s v="HOLE PUNCH 8MM"/>
        <s v="COMPLETE PAPER CUTTER, SMALL SIZE"/>
        <s v="SHARPENING STONE"/>
        <s v="COMPLETE PAPER CUTTER, LARGE SIZE"/>
        <s v="RUBBER GLOVES"/>
        <s v="LEATHER GLOVE"/>
        <s v="COTTON GLOVE"/>
        <s v="COUNTER"/>
        <s v="GASKET"/>
        <s v="1&quot; PVC DOUBLE UNION BALL VALVE, COSMOPLAST"/>
        <s v="PAPER GRIPPER"/>
        <s v="GEAR (04.017.029/) 131135369/0010"/>
        <s v="SPECIAL BOLT"/>
        <s v="HEX NUT (01.232.023/) 131234539/0210"/>
        <s v="FLAT PLATE, 01.018.012"/>
        <s v="PIN, 42.017.026/-"/>
        <s v="DISC, MV017.657/-"/>
        <s v="THREADING BUSHING, 42.007.026"/>
        <s v="EYE BOLT (LEFT &amp; RIGHT THREAD), 36.017.038/-"/>
        <s v="ECCENTRIC PIN, 04.017.032/-"/>
        <s v="SCALE"/>
        <s v="WASHER, 00.540.0260/-"/>
        <s v="COVER, 42.018.028/-"/>
        <s v="HUELSE, 42.017.007/-"/>
        <s v="BALL CAGE, 42.018.027/- "/>
        <s v="SCRAPER PLATE"/>
        <s v="PRESSURE PIN, K 1.775.41"/>
        <s v="O-RING"/>
        <s v="SUCKER, 419 0486 42016073"/>
        <s v="GRIPPER, 419 0486 43020035F/D"/>
        <s v="TIMING BELT, T5/200"/>
        <s v="OLD PARTS BOX"/>
        <s v="CHAIN SHOE, S 214.00.0259.9"/>
        <s v="ROLLER, 93.033.502/-"/>
        <s v="RUBBER SUCKER FOR VACUUM CYLINDER, V 87.51.003.0"/>
        <s v="ZUNGE, V 79.06.793.0"/>
        <s v="ZUNGE, V79.06.794.0"/>
        <s v="SPECIAL GRUB SCREW "/>
        <s v="PLATE SPRING, 58.353.007/-"/>
        <s v="PLAIN WASHER D=5.3, D 0.270.008"/>
        <s v="GRIPPER FOR CYLINDER, V79.89.4580"/>
        <s v="PACKING RING  (SD 45 X 55 X 4 MM), K 1.392.53"/>
        <s v="BOLT, POSITION: 13171/32, PART NO: V 77.40.191.1"/>
        <s v="PAPER CARRIER, L212.00.6154.0"/>
        <s v="SLEEVE, V 11.09.025.0"/>
        <s v="BRACKET"/>
        <s v="PLATE SPRING, 419 0486 42006034/01"/>
        <s v="OLD STUD"/>
        <s v="ELECTRIC SWITCH"/>
        <s v="GRIPPER PLATES (NO 3) V 79.89.441.0"/>
        <s v="COVER PLATE, V 79.89.453.0"/>
        <s v="WASHER"/>
        <s v="GRIPPER PLATE (NO 2), V 79.89.439.0"/>
        <s v="GRIPPER PLATE (NO 5), V 79.89.443.0"/>
        <s v="POLYAMIDE FLAT BELT 1.55 X 1420 X 30 MM, L500"/>
        <s v="POLYAMIDE FLAT BELT 1.55 X 1300 X 35 MM, L500"/>
        <s v="POLYAMIDE FLAT BELT 1.55 X 1495 X 28 MM, L500"/>
        <s v="CAM FOLLOWER, KR-19"/>
        <s v="MICRO SWITCH, V4.762.07"/>
        <s v="REFLECTION-LIGHT SCANNER, K 4.717.15"/>
        <s v="NEEDLE BEARING NK 45/30, K 1.310.20"/>
        <s v="DC INPUT MODULE 24V DC, 1746-IB16 (ALLEN BRADLEY)"/>
        <s v="DC OUTPUT MODULE 24V DC, 1746-OB16 (ALLEN BRADLEY)"/>
        <s v="NON RETURN VALVE, HGL-1/4-B"/>
        <s v="Z 5 32X25X12 PERB, REBUILT KIT FOR COMPACT CYLINDER FOR 214 MACHINE"/>
        <s v="FELT"/>
        <s v="VASITOR, K4.731.31"/>
        <s v="ELECTRICAL PLUG, K4.224.26"/>
        <s v="TIMMER RELAY, K4.493.21"/>
        <s v="THREADED SPACER, V5361.07610"/>
        <s v="MICRO SWITCH PART, K4.262.08"/>
        <s v="LOESCHLOGIK 24-5, K4.731.03"/>
        <s v="SWITCHES, K4.262.16"/>
        <s v="ELECTRICAL ITEM, K4.262.41"/>
        <s v="ECCENTRIC BOLT (CAM FOLLOWER) L214.00.4500.0. (REPLACEMENT FOR V 21.84.015.0)"/>
        <s v="KEY"/>
        <s v="FESTO CONTROL VALVE, GRLA-M5-QS-6RS"/>
        <s v="FESTO VALVE HGL-1/4-B"/>
        <s v="FESTO COMPACT CYLINDER, ADVC-20-10-I-P"/>
        <s v="FESTO FLOW VALVE W-3-3/8"/>
        <s v="REFLECTION-LIGHT SCANNER, K4.721.40.04 (REPLACEMENT OF K4.717.95)"/>
        <s v="RUBBER ROLLS, NO 10.010"/>
        <s v="RUBBER ROLLS, NO 10.020 (UNICAST REF: 15-3113)"/>
        <s v="RUBBER ROLLS, N O10.022"/>
        <s v="V-BELT, K 1.820.15 (050-SPZ-1047)"/>
        <s v="TIMING BELT (HTD 2800-8M-B07083) K 1.825.81"/>
        <s v="PROTECTIVE FOIL, K 7.118.17"/>
        <s v="GEAR MOTOR FOR DAMPENING, K 6.686.12"/>
        <s v="SUCKER FOR PRINTING PLATE"/>
        <s v="WATER DOSING ROLLER 52  WITH KEY (L212.00.0452.2), DIA=58 MM, L=465 MM, HARDNESS=30 SHORE"/>
        <s v="WATER APPLICATION ROLLER 33 WITHOUT KEY (L 212.00.0133.0), DIA=58 MM, L=430MM, HARDNESS=30 SHORE"/>
        <s v="FORM ROLLER 35 (L212.00.0035.0), DIA=45 MM, L=430 MM, HARDNESS=35 SHORE"/>
        <s v="TRANSFER ROLLER 43 (L212.00.0043.0), DIA=45 MM, L=430 MM, HARDNESS=40 SHORE"/>
        <s v="VIBRATOR 42 (L214.00.0041.0), DIA=36 MM, L=430 MM, HARDNESS=40 SHORE"/>
        <s v="FORM ROLLER 34 (L212.00.0034.0), DIA=39MM, L=430 MM, HARDNESS=35 SHORE"/>
        <s v="TRANSFER ROLLER 41 (L212.00.0041.0), DIA=43 MM, L=430 MM, HARDNESS=40 SHORE"/>
        <s v="INTERMEDIATE ROLLER 44 (L212.00.0044.0), DIA=40 MM, L=430 MM, HARDNESS=40 SHORE"/>
        <s v="SIDE SCORE ROLLER, DIA=80MM, L=600MM, HARD=60SHORE (W+D REF: L 249.00.2520.0)"/>
        <s v="BOTTOM FLAP GUM ROLLER, DIA=87.5MM, L=560MM, HARD=60 SHORE (W+D REF: L 027.41.0332.0)"/>
        <s v="GROOVED ROLLER FOR B&amp;B, 22 X 14 X 235 MM"/>
        <s v="BLOCK FOR SO CHAIN"/>
        <s v="CAM FOR B&amp;B"/>
        <s v="FD-NUH-5SCr-SmG ENDLESS BELT FOR B&amp;B DELIVERY TABLE, W=50MM, L=590MM, T=1.3MM"/>
        <s v="HALOGEN LAMP 1000W"/>
        <s v="SIDE SCORING KNIFE"/>
        <s v="ROLL, PCMC PART NO OS-5918"/>
        <s v="ALUMINIUM COUPLING, ID=1-3/4&quot;, OD= 2-1/2&quot;, =9/16&quot;"/>
        <s v="5V223 QUARTZ LAMP BULB FOR CHROMALOX"/>
        <s v="ALIGNER PIN, SA-14L"/>
        <s v="ALIGNER PIN, SA-14R"/>
        <s v="ROLLER (BEARING 625-2Z) 22 X 14 X 195 MM"/>
        <s v="FEED ROLL, UNICAST REF: 15-1070SYS"/>
        <s v="SIDE SCORE FOR SO 1.8&quot; X 4&quot; LONG, UNICAST REF: 10-5005"/>
        <s v="FEED ROLL"/>
        <s v="SCORING ROLL WITH GROOVE FOR SO, UNICAST REF: 10-2600A"/>
        <s v="FLAP GUM ROLL 1.375 X 6-1/2, UNICAST REF: 10-1223"/>
        <s v="CROSS SCORING BLADE, OS-1315"/>
        <s v="MOVEABLE SEPARATOR BLADE, OS-5661"/>
        <s v="CHAIN LINK # 41 FOR CONVEYOR ROD, OS-12400-2"/>
        <s v="USED GRIPPERS FOR SO"/>
        <s v="SPLIT SPROCKET"/>
        <s v="FLAT BELT 38 X 1460 MM, FD-TG-1030-PaR-YG"/>
        <s v="TRANSFER ROLLER, DIA = 29 MM X L = 227 MM, HARD = 60 SHORE"/>
        <s v="PU COATED SCORE ROLLER FOR B&amp;B, DIA= 27 MM, L = 20 MM, HARDNESS = 80 SHORE"/>
        <s v="FLAT CLAMPING BAR FOR SO"/>
        <s v="ROD FOR CONVEYOR CHAIN # 41-1 FOR SO MACHINE"/>
        <s v="BRONZE BUSH FOR FLAP GUM ROLLER FOR SO"/>
        <s v="FD-NUF-4SCN-MtCb, CONVEYOR BELT FOR SO MACHINE, 145 X 14490 X 1.3 MM"/>
        <s v="ROLLER CHAIN ATTACHMENT LINK, SK-1 TAB STYLE FOR ANSI # 40 CHAIN"/>
        <s v="5/8&quot; DIA LOW CARBON STEEL BALL"/>
        <s v="GLUE STICK HOLDER FOR B&amp;B"/>
        <s v="FD-RPT-14/30-RuTx-GB1, FLAT BELT, 40 X 1785 X 3 MM"/>
        <s v="FD-RPT-14/30-RuTx-GB1, FLAT BELT, 40 X 1620 X 3 MM"/>
        <s v="SELF LUBRICATED BUSHING 20 X 23 X 20 MM"/>
        <s v="SELF LUBRICATED BUSHING 20 X 23 X 30 MM"/>
        <s v="CARTRIDGE HEATER HIGH DEN, SIZE: 16 X 175 MM, 240 WATT, 220 VOLT"/>
        <s v="HEATER 630 W"/>
        <s v="CARTRIDGE HEATER (DIA 12.5MM X L=255MM), 300W, 230V"/>
        <s v="HEATER 180 W"/>
        <s v="HEATER 280 W"/>
        <s v="HEATER 250 W"/>
        <s v="HEATER 140 W"/>
        <s v="CARTRIDGE HEATER HIGH DEN, DIA = 12.5 MM, L = 260 MM, 300 WATT, 230 VOLT"/>
        <s v="CARTRIDGE HEATER HIGH DEN, SIZE: 16 X 160 MM, 630 WATT, 220 VOLT"/>
        <s v="BN SILICON PASTE KS64, BNSPT100G"/>
        <s v="FF TEFLON TAPE, W=25MM, L=10Mtr, FFTT216.13AD25"/>
        <s v="SET OF KNIFE FOR FILM CUTTING"/>
        <s v="OLD HEATER"/>
        <s v="KNIFE FOR RIBBON CUTTING"/>
        <s v="CORNER BLOCK FOR PP1622 MK, WH01-C1A"/>
        <s v="PTFE HIGH TEMPERATURE TEFLON TAPE, 0.13X25X10"/>
        <s v="PUSHING FINGER FOR DELIVERY UNIT (HESSER PACKING MACHINE)"/>
        <s v="TEMP CONTROLLER FOR PP1812 28, W2-CU3B"/>
        <s v="PIN FOR CAM FOLLOWR FOR HESSER MACHINE"/>
        <s v="LP MP TRANSMISSION ROLLER FOR PRATIKA-56, DIA=25MM, L=423MM"/>
        <s v="CARTRIDGE HEATER HIGH DEN, SIZE: 16 X 250 MM, AC 220 VOLT, 1000 WATT"/>
        <s v="3 PORT VALVE"/>
        <s v="HD-RPR-10/30-RuRu-YG, FLAT BELT FOR CLASP, 20 X 2520 X 3 MM"/>
        <s v="SIDE SEAM V-BELT (7M850), BD-0117, ITEM # 11"/>
        <s v="GUMMING PAD / FOAM TAPE, 6 X 25 MM"/>
        <s v="HINGES"/>
        <s v="PU COATED RUBBER ROLLER FOR CHEETAH, DIA = 38 MM, FOR RELEASE LINER"/>
        <s v="GUMMING PAD / FOAM TAPE, 4 X 25 MM"/>
        <s v="TIMING BELT, 210L100"/>
        <s v="TIMING BELT, 750H100"/>
        <s v="TIMING BELT 800H100"/>
        <s v="TIMING BELT 1400H100 (280 TEETH)"/>
        <s v="TIMING BELT 210L (WIDTH = 20 MM) (3/8&quot; PITCH, 56 TEETH)"/>
        <s v="RUBBER PACKING FOR SEALER"/>
        <s v="STEEL WIRE, N05-0499-006"/>
        <s v="MP PUSHER FOR PRATIKA, H=54MM, KR991499"/>
        <s v="FUSE"/>
        <s v="SET OF SPRINGS"/>
        <s v="SILICON TUBE FOR CHEETAH VACUUM CYLINDER"/>
        <s v="O-RING FOR FILM REWINDER FOR PRATIKA-56, DIA=180MM, CORD DIA=10MM"/>
        <s v="TIMING BELT, 450L075 (3/8&quot; PITCH, 120 TEETH)"/>
        <s v="HEATER WIRES FOR BAGGING MACHINE"/>
        <s v="PAD, WEAR, FILM CLAMP, N05-1780-001"/>
        <s v="CLAMP, PHENOLIC FILM, CF1, J08-0895-001"/>
        <s v="#SG-3-534-2 AIR CHUCKS"/>
        <s v="HEATING ELEMENT 640 MM LONG"/>
        <s v="JAW TOP SEAL SET WIDE FIN, F05-0894-001"/>
        <s v="PHOTOCELL FOR SHANKLING, IN5129-IN-3004-BPKG"/>
        <s v="DC GEAR MOTOR FOR SHANKLIN, N05-2990-001"/>
        <s v="PULLEY FOR 210L100 TIMING BELT FOR SHANKLING FIRST TABLE BELT, 16L100"/>
        <s v="BALL BUSHING, BC-0025"/>
        <s v="TOLOMATIC BRAKE CALIPER, P/N: 0703-0001"/>
        <s v="CONVEYOR BELT FOR PRATIKA TABLE"/>
        <s v="MTG, BLOCK-WIRE TERMINAL (TEF), N05-2669-001"/>
        <s v="OLD SOLENOID VLAVE FOR SHANKLIN"/>
        <s v="RUBBER, SILICONE, RU-0065, 1/2&quot; X 7/8&quot;"/>
        <s v="D.C MOTOR FOR SHANKLIN"/>
        <s v="&quot;J&quot; TYPE THERMOCOUPLE"/>
        <s v="JAW, TOP SEAL, WIDE FIN, F05-0894-001"/>
        <s v="CUTTING BLADE 22.875&quot;, PART # 005-1665-003"/>
        <s v="SHOCK ABSORBER, PART # MA-0021"/>
        <s v="OIL SEAL, MA-0421"/>
        <s v="THOMPSON SHAFT PB-0171, 1/2 X 23-9/16&quot;"/>
        <s v="LOCALLY PTFE RE-COATED SEALING KNIFE FOR PRATIKA"/>
        <s v="SHOCK ABSORBER, MA-0019"/>
        <s v="PIVOT MOUNTING BRACKET, PART # N05-0922-001"/>
        <s v="SILICONE RUBBER PART # RU-0055, 1/4&quot; X 7/8&quot;"/>
        <s v="FILM CLAMP CF-1 HW, PART # J08-0860-001"/>
        <s v="FILM CLAMP, FIBERGLASS"/>
        <s v="SIDE SEAL WIRE-TOP, J05-0499-001"/>
        <s v="UNIVERSAL JOINT CROSS 31.8 X 81.6"/>
        <s v="UNIVERSAL JOINT/YOKE P/N: CR-22-1120"/>
        <s v="UNIVERSAL JOINT/YOKE P/N: CR-22-1118"/>
        <s v="MP CHAIN ROLLER TUN-50, AS250047"/>
        <s v="MP HEATER FOR LONG SEALING BLADE AM56T/PRATIKA56, FE380053"/>
        <s v="MP CHAIN ROLLER TUN-50, AS250049"/>
        <s v="WASHER FOR CHAIN ROLLERS, 4MM"/>
        <s v="CIRCLIP/SNAP RING FOR CHAIN ROLLERS, 4MM"/>
        <s v="COMB KNIFE FOR PRATIKA"/>
        <s v="CONVEYOR BELT 19.5&quot;, SPA-0239-001"/>
        <s v="HEATER TUBULAR 240V/1050W, SPA-0210-001"/>
        <s v="PROBE THERMOCOUPLE 96&quot; LONG, SPA-0230-003"/>
        <s v="SEAL BLADE 23-1/8&quot; TEF CF-1, J08-1068-004"/>
        <s v="JAW SUPPORT-HK, N05-1055-001"/>
        <s v="JAW SUPPORT-HK WITH SLOT, N05-1054-001"/>
        <s v="SLOTTED PLATES FOR SHANKLIN HEATING TUNNEL"/>
        <s v="YS BELT 1867MM FOR CARTON SEALER"/>
        <s v="U.P.S"/>
        <s v="CABLE INDRAMAT IKG0112"/>
        <s v="MOTOR"/>
        <s v="GLUE WHEEL"/>
        <s v="BIG GEAR, R2.30.112.403 &amp; R2.30.116.405"/>
        <s v="SQUARE HEAD BOLT 10 X 50 MM"/>
        <s v="NYLON WASHEAR"/>
        <s v="SPRING HOOK, B200.113"/>
        <s v="COUNTER KICKER, SET, V 05557370"/>
        <s v="SPUR GEAR, R120.029.410 (N.O.T = 29)"/>
        <s v="COMPRESSION SPRING, WIRE DIA=1.5MM, OD=10MM, ID=7MM, L=48MM"/>
        <s v="FLBER OPTIC SWITCH, K 4.720.21"/>
        <s v="SAFETY SWITCH"/>
        <s v="PIN FOR 15-3117 RUBBER ROLLS"/>
        <s v="HEATING CONTACTOR K 4.341.45 (24V, 12AMP)"/>
        <s v="SPECIAL WASHER FOR RUBBER ROLL PIN"/>
        <s v="SETTING GAUGE FOR VACUUM CYLINDER, V 79.23.036.0"/>
        <s v="SETTING GAUGE FOR THE FEED, V 79.23.229.0"/>
        <s v="TONGUE V79.06.768.0"/>
        <s v="VACUUM BUSHING FOR PERFORATED HOLE ROLLER"/>
        <s v="V-BELT A-59"/>
        <s v="BUSHING FOR RUBBER ROLLER HOLDER, ID=8MM, OD=10MM, L=6.5MM"/>
        <s v="SET OF BRONZE BUSHING FOR FLAP GUM ROLLER (QTY=2+2), TO BE BORED LATER ON"/>
        <s v="CONTROL VALVE V45.07.074.0"/>
        <s v="PRESSURE SPRING 3.5/15.0/35.0, D0.600.702"/>
        <s v="BUSHING FOR CONTROL VALVE, V45.08.242.0 "/>
        <s v="SPUR GEAR R120.090.417(N.O.T = 90)"/>
        <s v="SPUR GEAR, MR 1.2.015.002 (N.O.T = 15)"/>
        <s v="SPUR GEAR, MR 1.2.030.013 (N.O.T = 23)"/>
        <s v="RUBBER ROLLER DIA=58 MM, L=50 MM (60 SHORE) (MV 44.008.0) (L990.00.0116.5) (12287/04)"/>
        <s v="RUBBER ROLLER, DIA 50 MM X L 45 MM"/>
        <s v="PU COATING ON SCORE ROLL FOR SHAFT # 8, V45.83.022.0 (MV 36.011.0) (DIA=80.3MM, L=525MM, 65 SHORE)"/>
        <s v="RUBBER ROLL DIA=60 MM, L=30 MM, 85 SHORE (ML 14.046.0) (V 45.86.141.0) (126012/06)"/>
        <s v="FLAP SCORE BLADES, V 03.02.435.0 or MV 09.012.0(POS # 12602/25)"/>
        <s v=" KUPL SCHROTEX"/>
        <s v="RUBBER ROLLER DIA=58 MM, L=40 MM (60 SHORE) (MV 44.007.0) (L 990.00.0116.4) (12287/03)"/>
        <s v="SQUAR HEAD SCREW"/>
        <s v="SPECIAL SCREW"/>
        <s v="FLANGE NUT"/>
        <s v="BRONZE BUSHING FOR VACUUM VALVE ID=45MM, OD=55MM, L=70MM (UNFINISHED SIZES)"/>
        <s v="OIL SEAL BECKER, 40 X 52 X 7 MM"/>
        <s v="SCORE BLADES, MV 10.126.0 (12610/06)"/>
        <s v="BLOWING NOZZLE, PART # V 79.06.260.0 (POS # 12287/31-MV 68.034.0)"/>
        <s v="CABLE CONNECTOR"/>
        <s v="GUIDE PLATE, V 65.50.799.0 (12604/13-MV 60.126.0)"/>
        <s v="6MM S.S HEX NUT FOR RUBBER ROLLER 15-3115"/>
        <s v="SHOULDER BOLTS, 8MM X 16MMX M6"/>
        <s v="FIBER DISC FOR GLUE APPLICATION (ID=120MM, OD=180MM, T=5MM)"/>
        <s v="TIMING BELT PULLEYS, FOR 32T3100 BELT"/>
        <s v="6MM M.S PLAIN WASHER"/>
        <s v="SQUARE HEAD BOLT 12 X 25 MM"/>
        <s v="L. KEY BOLT 6 X 16 MM FOR 15-3115 RUBBER ROLLS"/>
        <s v="PLATE, PART # V 63.06.868.0"/>
        <s v="PLATE, PART # V 63.06.869.0"/>
        <s v="STOP, PART # V 77.06.330.0"/>
        <s v="BUSHING FOR P&amp;S CYLINDER"/>
        <s v="GUIDE PLATE, V 65.50.798.0 "/>
        <s v="CLAMPING HOLDER P/N: V 79.18.881.0 (POS # 12287/24, P/N: MV 86.045.0)"/>
        <s v="ROLLER FOR SHAFT # 11, V45.83.025.0 (ML25.086.0), DIA = 30.3-0.1+0 (HARDNESS = 55-60 SHORE)"/>
        <s v="FIBER STICK FOR GLUE APPLICATION  (H=26MM, T=5MM, L=460MM)"/>
        <s v="ROLLER FOR GLUE UNIT"/>
        <s v="TIMING BELT, 32T10-3100"/>
        <s v="FLAT BELT ROLLS"/>
        <s v="ROLLER FOR SHAFT # 20, V45.85.017.0 (ML25.080.0), DIA # 25-0.1+0, HARDNESS = 60 SHORE"/>
        <s v="P/U COATED PERFORATED ROLLER FOR SHAFT # 20, V45.83.0230 (ML 25.081.0), BLACK, 60 SHORE, 29.9-3+0, X 21 X 520 MM (18 HOLES)"/>
        <s v="GUIDE, V59.69.525.0"/>
        <s v="RUBBER ROLL FOR SHAFT # 12 DIA=50.8MM, HARD=40SHORE (V45.83.024.0)"/>
        <s v="VALCO PNEUMATIC PUMP"/>
        <s v="PNEUMATIC PUMP, SERIAL NO 1582890-7BAR (SANDPIPER SO5B2PUTPNS000)"/>
        <s v="PNEUMATIC PUMP PART NO D32955 (SMALL SIZE) (GRACO HUSKY 307)"/>
        <s v="SEAL MASTER BEARING, ER-22TC 1 1/2&quot;"/>
        <s v="UNICAST SCORE ROLL 20-3217SYS, MOH-31069"/>
        <s v="STEEL DOCTOR BLADE. 217204-1200-0, SIZE 0.0059 X 0.75 X 1200 INCH ROLL"/>
        <s v="MYLAR TRAILING BLADE , 217240-1200-0, SIZE 0.0075 X 1.125 X 1200 INCH ROLL"/>
        <s v="SEAL MASTER BEARINGS, ER-22TC 1 3/8&quot;"/>
        <s v="OUT PUT CARD ELECTRICAL PART NO RA-93078 (FLS # 47096)"/>
        <s v="INPUT CARD ELECTRICAL RA-92903 (FLS # 51403)"/>
        <s v="INTELLIGENT MEMORY CARD, MOH-04002"/>
        <s v="SCORE ROLL, 20-3113SYS, LO/MO # 13 SYSTEM"/>
        <s v="RUBBER DIAPHRAGM, PU-H29-10, FOR PNEUMO HYDRAULIC TRANDUCER FOR BS 410 (BST P/N: 605934) FOR MOH WEB ALIGNER"/>
        <s v="OPTIBELT-VB, Z622Ld/10X600"/>
        <s v="FELT END SEAL, 410-219196-002"/>
        <s v="SWITCH"/>
        <s v="GUIDE FOR MICROSWITCH AT SCORING ROLLER"/>
        <s v="SCORING UNIT SUPPORT"/>
        <s v="TACHOMETER, P/N: 14215T11"/>
        <s v="TIMING PULLEY FOR ENCODER"/>
        <s v="SUPPORT MO3923AH"/>
        <s v="BLUE FELT END SEAL 3.50&quot;, S410-219196-008"/>
        <s v="SANDPIPER PUMP, PB1/4, TS3PP, McMASTER REF: 4157K72"/>
        <s v="SPLIT SEGMENT, PART-MO-1001-PL"/>
        <s v="SEG-MOH 40205 7X1&quot;90*, 15-1126T"/>
        <s v="GROOVED SEGMENT (15-1122T), PART-MOW-40346"/>
        <s v="SEGMENT, 10-1278A"/>
        <s v="SEGMENT, MOH- 40027"/>
        <s v="SEGMENT (15-1146T), PART-MOH-30462"/>
        <s v="PANEL MOUNT TACHOMETER, McMASTER REF: 14215T11"/>
        <s v="SEGMENT MOW30860 - 7.5&quot; X 2-7/8&quot; (15-1378)"/>
        <s v="SEGMENT (UNICAST # 15-1122AT)"/>
        <s v="SEGMENT, MOW-30033 (UNICAST REF: 15-1314T)"/>
        <s v="SEGMENT, PART-MOH-41261"/>
        <s v="FLAP GLUE SEGMENT"/>
        <s v="SEGMENT (15-1173T), PART NO 1146L"/>
        <s v="COUNTER, McMASTER REF: 7959T42"/>
        <s v="SEGMENT, PART-MO-4262-&amp;A"/>
        <s v="BITE SEGMENT (MOW30861. 7.5X2-7/8 20* INCH), UNICAST REF: 15-1321"/>
        <s v="FEED ROLL FOR CARRIAGE (1-1/4&quot; X 3/4&quot; X 1-1/2&quot;), MOH-31004"/>
        <s v="FEED ROLL FOR CARRIAGE (1-1/8&quot; X 3/4&quot; X 1-1/2&quot;), MOH-31003"/>
        <s v="UNICAST CONE ROLL 10-1278, MOH-41190"/>
        <s v="FEED ROLL, SW-30417"/>
        <s v="MICRO SWITCH FOR REEL BRAKE, Z15G1308 (15A, 125/250VAC)"/>
        <s v="FEED ROLL, 1.74&quot; X 5/8&quot;  (PART-SYM-34126), 10-1236 (FLS # 46038  ITEM # 5)"/>
        <s v="SCORE BLADE, FLAP, 13-1/4&quot; LONG, LO-2106AH"/>
        <s v="UNI-TIRE ASSEMBLY WR51001, 15-1313SYS"/>
        <s v="FEED ROLL, OS-3372"/>
        <s v="MOH 41190 CONE ROLL, UNICAST REF: 10-1278"/>
        <s v="FEED ROLL (3.76 X 3/4 INCH. MP2416 NEW), UNICAST REF: 10-1081"/>
        <s v="FEED ROLL, 10-1260"/>
        <s v="ECCENTRIC FEED ROLLS"/>
        <s v="STEEL ROLLER FOR DELIVERY"/>
        <s v="ALUMINIUM COUPLING FOR FEED ROLLS, 20-3217SYS"/>
        <s v="MODIFIED STEEL ROLL "/>
        <s v="RUBBER ROLL (3.50 X 1/2 INCH. MO8424) (8500), UNICAST REF: 10-1082"/>
        <s v="SIDE SCORE TUBE. (MO 2.100 X 6 INCH), UNICAST REF: 10-5000"/>
        <s v="SIDE SCORE COUPLING, UNICAST REF: 10-5010C"/>
        <s v="SCORE BLADES FOR MOW"/>
        <s v="MOH-30604,  SCORE BLADES WITH DOUBLE BEVEL FOR MOH "/>
        <s v="SCORE BLADES, MOH-30485 FOR MOH"/>
        <s v="TIMING BELT, MOW-20088"/>
        <s v="GEAR BOX DRIVE BELT (570H300), RA-92009"/>
        <s v="TIMING BELT (1700H200), PART-MOH-40947"/>
        <s v="TIMING BELT (850H200), PART-MOW-30607"/>
        <s v="TIMING BELT (700H300), PART-MOW-20086"/>
        <s v="TIMING BELT (360H200) (72 TEETH), PART-MOH-10019"/>
        <s v="FLAT BELT FOR FEEDER, 17 X 605 X 2 MM"/>
        <s v="V-BELT A-22"/>
        <s v="TIMING BELT, PART-MOW-30018"/>
        <s v="TIMING BELT FOR MOW (112 TEETH), 420L050"/>
        <s v="FLAT BELT FOR FEEDER, B=210MM, L=1460MM"/>
        <s v="TIMING BELT (450H200), PART-MOH-30193"/>
        <s v="V-BELT A-41"/>
        <s v="DOUBLE SIDE TIMING BELT, 420DL100"/>
        <s v="HABASIT TC-55ER (37 X4000X3MM), PART-MOH-21009 (REFEEDER INNER BELT  (FLS # 43593, ITEM # 21))"/>
        <s v="TIMING BELT, 480H200"/>
        <s v="TIMING BELT 240H100, PART-MOH-30196 (FLS#46286-1)"/>
        <s v="TIMING BLET, 510L100"/>
        <s v="TIMING BELT, 1000H200"/>
        <s v="ENDLESS BELT, B=38MM, L=1810MM, T=1.4MM FOR MOH P&amp;S CARRIAGE"/>
        <s v="TIMING BELT, 900H150"/>
        <s v="TIMING BELT, 490L150"/>
        <s v="TIMING BELT, 450H150"/>
        <s v="TIMING BELT, 1700H100"/>
        <s v="REX OMEGA COUPLING ELE WE-3 TBWOODS"/>
        <s v="TIMING BELT, 225L050"/>
        <s v="TIMING BELT, 250XL (W=9MM)"/>
        <s v="ENDLESS BELT, B=38MM, L=2320MM, T=1.4MM FOR MOW FOLDING CARRIAGE"/>
        <s v="TIMING BELT, 950H100, PITCH=1/2&quot;, L=95&quot;(2413MM), NOT=190"/>
        <s v="TIMING BELT, 960H100, PITCH=1/2&quot;, L=96&quot;(2438.4MM), NOT=192"/>
        <s v="TIMING BELT, 1100H100, PITCH=1/2&quot;, L=110&quot;(2794MM), NOT=220"/>
        <s v="TIMING BELT, 450H300"/>
        <s v="TIMING BELT, 850H300"/>
        <s v="TIMING BELT, 600H300"/>
        <s v="SHAFT FOR TIMING PULLEY"/>
        <s v="OSCILLATING ROLL (MO-818), PART-MOH-10369"/>
        <s v="TIMING BELT, PART-EW-70947"/>
        <s v="SEGMENT SHIM (BITE), PART-MOW-30864"/>
        <s v="STEEL CORE FEED ROLL WR-51001, UNICAST : 15-1431"/>
        <s v="WOODRUFF KEY"/>
        <s v="ROLLER, PART-MO-1919"/>
        <s v="FEED ROLL, PART-MOH-31373"/>
        <s v="SIDE SCORE BLADE, PART: LO-1901"/>
        <s v="BEARINGS, PART-WR-51006"/>
        <s v="PIN FOR STAGGERING UNIT OF MOH"/>
        <s v="FEED SEGMENT MOW-40232, UNICAST REF: 15-1124T"/>
        <s v="FEED SEGMENT MOW-40147, UNICAST REF: 15-1125T"/>
        <s v="SKID BRUSH, PART: MO-8249AH"/>
        <s v="BRAKE BRUSH"/>
        <s v="HANDLE"/>
        <s v="BELT FOR FOLDING SECTION, B=38 MM, L= 740 MM, T=1.3 MM"/>
        <s v="TIRE ASSEMBLY. FEED ROLL, 15-1073 SYS (RA-50222) "/>
        <s v="FEED ROLL WITH KEY"/>
        <s v="CRG ROLL ASSEMBLY, 10-1069 SYS (LO-3607)"/>
        <s v="BONZE BUSHING FOR SUPPORT SHAFT FOR CUTTING HEAD, OD=1-3/4&quot; X ID=1-1/2&quot; X L=1&quot;"/>
        <s v="SHOE, RA-70423"/>
        <s v="PUSHER PIN WITH PLATE, L0-1300/01"/>
        <s v="DRYER CHAIN MASTER LINK, MO-6799"/>
        <s v="ROUND BELT, MO-8256"/>
        <s v="SPIDER FOR SPLICER DRIVE"/>
        <s v="LOWER CONVEYOR BELT FOR MOH DELIVERY TABLE (SIZE: W=300MM, L=6250MM, T=1.4MM)"/>
        <s v="UPPER CONVEYOR BELT FOR MOH DELIVERY TABLE (SIZE: W=330MM, L=650MM, T=1.3MM)"/>
        <s v="GEAR COUPLING"/>
        <s v="BUSHING"/>
        <s v="RUBBER ROLL (0.875 X 0.50 INCH. MO-818), UNICAST REF: 10-1312A"/>
        <s v="TUBE BRUSH, RA-70335AH"/>
        <s v="ALIGNER PIN RA-71106-SG (UNIVERSAL)"/>
        <s v="MOHW DELIVERY TABLE BELT, B=330, L=6230, T=1.4MM"/>
        <s v="DELIVERY BELT, B=330, L=660, T=1.3MM"/>
        <s v="OLD PARTS"/>
        <s v="SET OF HOLDER FOR CUT-OFF KNIFE"/>
        <s v="STEEL SHAFT FOR SKID BRUSH DRIVE DIA=3/8&quot;, L=36&quot;, McMASTER: 5947K48 &amp; 1346K13"/>
        <s v="TIMING BELT (540H)"/>
        <s v="SEAL FLAP SCORER BLADE, PART-MOH-30485 (FLS # 46286, ITEM # 11)"/>
        <s v="BEARING 1145 1.3/4CG RHP"/>
        <s v="TIMING PULLEY, 23H200"/>
        <s v="BEARING MFCI-1/2"/>
        <s v="ELECTRIC CARD FOR GLUE UNIT"/>
        <s v="407-3 FLANGE 6 HOLE TATA 30 X 82"/>
        <s v="SOLID STATE TEMPRATURE CONTROLLER, P/N: 4133"/>
        <s v="BEARING,SF 1.1/2 RHP FOR WINDOW CUTTING SECTION (WITH BRACKETS)"/>
        <s v="MODIFIED UNIVERSAL JOINT FOR MOW MACHINE"/>
        <s v="WEG FREQUENCY INVERTER, CFW-08"/>
        <s v="BEARING 77R-24"/>
        <s v="VD-AUF-5s-WfW, PERFORATED BELT, 460 X 1800 MM"/>
        <s v="ROLLER BEARING, N205 NE"/>
        <s v="EN-24 SHAFT, DIA = 1&quot;, L = 500 MM"/>
        <s v="EN-24 SHAFT, DIA = 1-1/8&quot;, L = 500 MM"/>
        <s v="EN-24 SHAFT, DIA = 1-1/4&quot;, L = 500 MM"/>
        <s v="EN-24 SHAFT, DIA = 1-3/8&quot;, L = 500 MM"/>
        <s v="EN-24 SHAFT, DIA = 1-1/2&quot;, L = 500 MM"/>
        <s v="EN-24 SHAFT, DIA = 1-3/4&quot;, L = 500 MM"/>
        <s v="EN-24 SHAFT, DIA = 2&quot;, L = 500 MM"/>
        <s v="HD SOILD ALUMINUM AIR CHUCK FOR 150MM ID CORE"/>
        <s v="EYE BOLT FOR PRINTING UNIT, 8MM"/>
        <s v="AIR CYLINDER, Q34-32-8"/>
        <s v="ALIGNER PINS"/>
        <s v="SCORING KNIFE W/O SLOT, P/N: V03.01.306 WOS"/>
        <s v="CROSS FLANGE (U.J CROSS FLANGE 30 X 80 MM), # RTB 1110"/>
        <s v="PULLEY FOR TIMING BELT"/>
        <s v="TIGHTENING BOLT"/>
        <s v="PULLING SPRING (WIRE DIA=0.5MM, OD=3.2MM, L=1150MM)"/>
        <s v="TIGHTENING BOLT FOR KNIFE CUTTING UNIT"/>
        <s v="O-RING FOR SKID BRUSH AT DELIVERY SPIRAL"/>
        <s v="ALIGNER CHAIN PIN, P/N: S327.0029710M"/>
        <s v="BEVEL GEAR FOR MAIN DRIVE OF PRINTING UNITS"/>
        <s v="BEARING BLOCK"/>
        <s v="SHAFT FOR FLAT BELT PULLEY ON DELIVERY UNIT"/>
        <s v="PINS FOR ALIGNER CYLINDER OF 38R"/>
        <s v="PINS FOR 38R PRINTING CLUTCH"/>
        <s v="SHOULDER BOLTS, McMASTER REF: 9027A695"/>
        <s v="DOWEL PINS 3/16&quot; X 1-1/2&quot;,  0.001 OVERSIZE DOWEL PIN, McMASTER REF: 98385A214"/>
        <s v="DOWEL PINS 3/16&quot; X 1&quot;, 0.001 OVERSIZE DOWEL PINS, McMASTER REF: 98385A210"/>
        <s v="ORANGE HANDLE (M10 X 50), McMASTER REF: 60235K86"/>
        <s v="ORANGE HANDLE (M6 X 40 MM), McMASTER REF: 60235K67"/>
        <s v="ORANGE HANDLE (M8 X 50 MM), McMASTER REF: 60235K84"/>
        <s v="ORANGE HANDLE (M4 X 15 MM), McMASTER REF: 60235K73"/>
        <s v="OIL SEAL FOR 38R-3 REEL STAND CYLINDER, 3/4&quot; X 1&quot; X 1/8&quot; "/>
        <s v="FINGER FOR FOLDING SECTION"/>
        <s v="BAR FOR FOLDING SECTION"/>
        <s v="BRACKET FOR P&amp;S UNIT"/>
        <s v="FLANGE FOR DELIVERY UNIT"/>
        <s v="PLASTIC HEAD SCREW M5 X 20MM, McMASTER REF: 96016A245"/>
        <s v="HOLDER FOR RUBBER ROLLER"/>
        <s v="ADJUSTABLE HANDLE FOR M6 X 1 BOLT, McMASTER REF: 60235K62"/>
        <s v="ADJUSTABLE HANDLE FOR M8 X 1.25 BOLT, McMASTER REF: 60235K64"/>
        <s v="ADJUSTABLE HANDLE FOR M10 X 1.5 BOLT, McMASTER REF: 60235K66"/>
        <s v="BIMBO AIR CYLINDER FOR PRINTING UNIT, McMASTER: 6498K222"/>
        <s v="RUBBER ROLLS, N 010.143 (10-1071)"/>
        <s v="LUBRICATION BRUSH"/>
        <s v="COUPLING FOR WINDOW SECTION"/>
        <s v="GUM PLATE ROLL. 1.417 X 11.85 INCH. (L229.07.0218.0), UNICAST REF: 10-1182"/>
        <s v="GEAR, R1.20.065.402"/>
        <s v="GEAR, R1.20.044.405"/>
        <s v="GEAR, R215.084.800"/>
        <s v="SLEEVE, V27.05.020.0"/>
        <s v="SENSOR"/>
        <s v="EINSTELLSCHRAUBE, V32.50.009.0"/>
        <s v="CABLE FOR SERVO MOTOR"/>
        <s v="270002407 AIR CHUCK 3 INCH"/>
        <s v="RUBBER ROLLS"/>
        <s v="UNIVERSAL JOINT SHAFT, FLANGE DIA=75MM, L=255MM, K 1.931.02"/>
        <s v="FLEXIBLE SPIDER COUPLING (GE24/28)"/>
        <s v="FILES"/>
        <s v="TIGHTENING NUT, PART # V 27.09.000.0"/>
        <s v="TIMMING BELT, N 011.450 (40T5/690)"/>
        <s v="SPIDER FOR GE28/38 COUPLING"/>
        <s v="NYLON GEAR"/>
        <s v="COUPLING WITH STAR FOR P&amp;S SERVO DRIVE"/>
        <s v="KNURLED NUT FOR PRINTING UNIT"/>
        <s v="SNAP RING FOR SCORE BLADES"/>
        <s v="FAIRCHILD VOLUME BOOSTER, CATAOG NO: 20712"/>
        <s v="CHAIN GUIDE"/>
        <s v="GUIDE PULLEY FOR ALIGNER CHAIN"/>
        <s v="SPIDER FOR GE24/28 COUPLING"/>
        <s v="PIN FOR GEAR"/>
        <s v="STUD FOR 38R INK CHAMBER"/>
        <s v="COUPLING GE28/38"/>
        <s v="SHOULDER BOLT FOR DELIVERY BELTS"/>
        <s v="FLAT BELT, 1869810/10"/>
        <s v="FLAT BELT"/>
        <s v="MAGNETIC CYLINDER FOR WINDOW KNIFE"/>
        <s v="ELASTIC BELT"/>
        <s v="DE-CURL BARS, 16 X 16 X 450 MM"/>
        <s v="TIMING BELT FOR ENCODER, McMASTER REF: 6484K124"/>
        <s v="SCORING ROLLER WITH GROOVES (L038.17.0371.0), UNICAST REF: 10-1185-38"/>
        <s v="SEAL GUM ROLL BLUE. (DSPBL GUM L229.07.0222.0), UNICAST REF: 10-1075"/>
        <s v="PLASTIC COUPLING"/>
        <s v="CERAMIC SQUARE CUTTING BAR. 12 X 12 X 360 MM LONG, B 242.360"/>
        <s v="TIMING BELT, 504L100"/>
        <s v="TIMING PULLEY 8M30HTD, N.O.T = 22"/>
        <s v="TIMING BELT, 345L100"/>
        <s v="CARBIDES BARS 12MM SQ X 13 INCH"/>
        <s v="OLD GEAR, R2.15.084.800"/>
        <s v="WHEEL"/>
        <s v="ROUND CERAMIC BAR 12 MM DIA X 360 MM LONG, B244.360 (10.28.250.00.00)"/>
        <s v="AIR CYLINDER 1&quot; STROKE LENGTH, McMASTER REF: 6498K221"/>
        <s v="TIMING PULLEY 8M30HTD, N.O.T = 44"/>
        <s v="SHAFT COLLAR, McMASTER REF: 8386K22"/>
        <s v="PIN FOR SIDE SCORE BLADES"/>
        <s v="MTR-3102, WEB ALIGNER MOTOR"/>
        <s v="TESA 4863 (EMBOSSED ROLLER GRIP TAPE), 50MM x 25MTR"/>
        <s v="TESA 4156 (CAMERA RED TAPE), 12MM x 66MTR"/>
        <s v="TESA 4204 (CAMERA CLEAR TAPE), 12MM x 66MTR"/>
        <s v="TESA 51570, 12MM x 66MTR"/>
        <s v="UNIVERSAL JOINT CROSS, SIZE: 30.2 X 80 MM"/>
        <s v="V03.00.039.0, SIDE SCORE BLADE"/>
        <s v="ENDLESS FLAT BELT, B=80MM, L=1330MM, T=2MM"/>
        <s v="HABASIT MAM-04H ENDLESS FLEXOPROOF BELT FOR VACUUM TABLE OF PEEL &amp; SEAL UNIT (MANUFACTURED AT SWITZERLAND ON REQUEST), B=195, L=405, T=1.45MM. 19 HOLES IN A ROW. HOLE DIA=3MM. HOLE PITCH=21.6, BELT EDGE TO HOLE CENTER=10MM"/>
        <s v="METAL SEGMENT"/>
        <s v="BRAKE LINING DISC FOR SPLICER"/>
        <s v="UNIVERSAL JOINT CROSS, 30 X 82 MM, LAS-456H"/>
        <s v="TIMING PULLEY 14H100, McMASTER REF: 6495K43"/>
        <s v="X4.105.42, METAL BRISTLES TAPE"/>
        <s v="TIMING BELT 140XL025"/>
        <s v="HYPERSONIC HYBRID 60 ENGRAVED WITH EZ CLEAN DIAMOND CERAMIC"/>
        <s v="PRESSURE SEGMENTS # 38DC-1006"/>
        <s v="VACUUM SEGMENTS # 38DC-1007"/>
        <s v="TESA ADHESIVE TAPE, K 7.111.52"/>
        <s v="3 X 8 MM, M.S FLAT HEAD SCREW FOR FLEXSIBLE KNIFE CYLINDER"/>
        <s v="4 X 10 MM, M.S FLAT HEAD SCREW FOR FLEXSIBLE KNIFE CYLINDER"/>
        <s v="3 X 20 MM, M.S L. KEY BOLT FOR P&amp;S UNIT (STANDARD HEAD)"/>
        <s v="3 X 25 MM, M.S L. KEY BOLT FOR P&amp;S UNIT (STANDARD HEAD)"/>
        <s v="4 X 16 MM, S.S L. KEY BOLT FOR NORDSON UNIT (STANDARD HEAD)"/>
        <s v="4 X 20 MM, S.S L. KEY BOLT FOR NORDSON UNIT (STANDARD HEAD)"/>
        <s v="6 X 35 MM, M.S L. KEY BOLT FOR P&amp;S UNIT (STANDARD HEAD)"/>
        <s v="6 X 40 MM, M.S L. KEY BOLT FOR P&amp;S UNIT (STANDARD HEAD)"/>
        <s v="1/4&quot;-20 X 3/8&quot;, M.S LOW HEAD L. KEY BOLT FOR PROFILE KNIFE"/>
        <s v="1/4&quot;-20 X 1/2&quot;, M.S LOW HEAD L. KEY BOLT FOR PROFILE KNIFE"/>
        <s v="1/4&quot;-20 X 5/8&quot;, M.S LOW HEAD L. KEY BOLT FOR PROFILE KNIFE"/>
        <s v="38/&quot;-24 X 1-3/4&quot;, M.S L. KEY BOLT FOR CUT-OFF KNIFE (FULL THREAD) STANDARD HEAD)"/>
        <s v="3/8&quot;-24 X 2&quot;, M.S L. KEY BOLT FOR CUT-OFF KNIFE (FULL THREAD) STANDARD HEAD)"/>
        <s v="3 X 30 MM, M.S L. KEY BOLT FOR P&amp;S UNIT (STANDARD HEAD)"/>
        <s v="3/8&quot;-24 X 1-3/4&quot;, McMASTER: 90044A157, M.S L. KEY BOLT"/>
        <s v="3/8&quot;-24 X 2&quot;, McMASTER: 90044A158, M.S L. KEY BOLT FOR CUT-OFF KNIFE (FULL THREAD)"/>
        <s v="8-32 X 1-1/2&quot;, McMASTER: 91251A203, M.S L. KEY BOLT"/>
        <s v="8-32 X 2&quot;, McMASTER: 90044A113, M.S L. KEY BOLT"/>
        <s v="10-32 X 1-1/2&quot;, McMASTER: 90044A118, M.S L. KEY BOLT"/>
        <s v="10-32 X 2&quot;, McMASTER: 90044A120, M.S L. KEY BOLT"/>
        <s v="1/4&quot;-20 X 2&quot;, McMASTER: 90044A125, M.S L. KEY BOLT"/>
        <s v="3/16&quot; X 1/2&quot;, M.S ROUND HEAD L. KEY BOLT"/>
        <s v="5/16-24 X 1&quot;, M.S L. KEY BOLT (STANDARD HEAD)"/>
        <s v="1/4&quot; X 1/2&quot;, M.S L. KEY BOLT (STANDARD HEAD)"/>
        <s v="1/4&quot; X 5/8&quot;, M.S L. KEY BOLT (STANDARD HEAD)"/>
        <s v="3/8&quot; X 2&quot;, M.S L. KEY BOLT (STANDARD HEAD)"/>
        <s v="3/16&quot; X 1/2&quot;, M. S L. KEY BOLT (STANDARD HEAD)"/>
        <s v="PLUNGER SCREW"/>
        <s v="6-32 X 1&quot;, FLAT HEAD SCREW"/>
        <s v="JOTUN 4618, EVENING LIGHT (ENAMEL-GLOSS)"/>
        <s v="NATIONAL 800, WHITE (ENAMEL-GLOSS)"/>
        <s v="NATIONAL 890, BLACK (ENAMEL-GLOSS)"/>
        <s v="NATIONAL 809, OFF WHITE (ENAMEL-GLOSS)"/>
        <s v="NATIONAL 440, ROYAL BLUE (ENAMEL-GLOSS)"/>
        <s v="YELLOW (ROAD MARKING)"/>
        <s v="RAL 1028, MELONENGELB (ORANGE-GLOSS)"/>
        <s v="RED OXIDE PRIMER"/>
        <s v="PAINT REMOVER"/>
        <s v="LACQUER THINNER"/>
        <s v="BLACK SPRAY PAINT"/>
        <s v="WHITE SPRAY PAINT"/>
        <s v="RED SPRAY PAINT"/>
        <s v="GREY SPRAY PAINT"/>
        <s v="DISPOSABLE GLOVES"/>
        <s v="NATIONAL 348, YELLOW (ENAMEL-GLOSS)"/>
        <s v="GUARD EPOXY FLOORING TOP COAT, SPECIAL RAL-7035 (CODE: A047SAMSP4L)"/>
        <s v="GUARD EPOXY FLOORING TOP COAT, SPECIAL RAL-1003 (CODE: A047SAMSP4L)"/>
        <s v="GUARD EPOXY FLOORING TOP COAT, SPECIAL RAL-5007 (CODE: A047SAMSP4L)"/>
        <s v="GUARD EPOXY FLOORING TOP COAT, SPECIAL RAL-7042 (CODE: A047SAMSP4L)"/>
        <s v="GUARD EPOXY HARDNER (CODE: A038HRDNR1L)"/>
        <s v="MASTERTILE P302 (PRIMER)"/>
        <s v="MASTERBRACE ADH2200"/>
        <s v="MASTERTOP 528"/>
        <s v="MASTERTOP 538"/>
        <s v="MASTERTOP 1210CP"/>
        <s v="MASTERSEAL NP473U (CONCRETE GREY RAL-7004)"/>
        <s v="SPONGE (MASONRY) SKU: MSP"/>
        <s v="TAPE DISPENSER"/>
        <s v="RUBBER BANDS"/>
        <s v="FINE GRADE, GRINDING PASTE"/>
        <s v="MEDIUM GRADE, GRINDING PASTE"/>
        <s v="TWINE (THREAD)"/>
        <s v="EAR PLUG"/>
        <s v="SPRAY GREASE"/>
        <s v="ARALDITE EPOXY (BLACK + WHITE)"/>
        <s v="COARSE GRADE, GRINDING PASTE"/>
        <s v="DUST MASK"/>
        <s v="HIGH TEMPRATURE RED RTV SILICON GASKET MARKER"/>
        <s v="LOCTITE 638"/>
        <s v="GASKET SHELLAC"/>
        <s v="LOCTITE 242"/>
        <s v="TESA 4163, GREY TAPE 25MM X 33MTR"/>
        <s v="TESA 4163, YELLOW TAPE 50MM X 33MTR"/>
        <s v="OATEY CEMENT FOR PVC"/>
        <s v="OATEY CLEANER FOR PVC"/>
        <s v="BOSS GLUE FOR PIPE THREAD"/>
        <s v="DOUBLE SIDE TAPE"/>
        <s v="DOUBLE SIDE TAPE 25 MM"/>
        <s v="DUCT TAPE 2 INCH"/>
        <s v="MASKING TAPE 1 INCH"/>
        <s v="SUPER GLUE"/>
        <s v="PTFE TEFLON TAPE FOR THREAD SEALING"/>
        <s v="BISON KIT TUBE"/>
        <s v="RUBBER ROLLS N010.022 (TA REF: CT.05B), UNICAST : 15-3114"/>
        <s v="RUBBER ROLLS N010.010, UNICAST REF: 15-3112"/>
        <s v="RUBBER ROLLS, N 010.052"/>
        <s v="RUBBER ROLLS, N010.031, UNICAST REF: 15-3115"/>
        <s v="RUBBER ROLLS, 15-2031"/>
        <s v="RUBBER ROLLS N 010.060 (UNICAST REF: 15-3120) (TA REF: CT.11B)"/>
        <s v="RUBBER ROLLS, N 010.024"/>
        <s v="RUBBER ROLLS, N010.030, UNICAST REF: 15-3117"/>
        <s v="RUBBER ROLLS, N 010.025"/>
        <s v="RUBBER ROLLS, N 010.040, UNICAST REF: 15-3304"/>
        <s v="RUBBER ROLLS, N 010.010"/>
        <s v="RUBBER ROLLS N 010.232. (1.980&quot;X0.985&quot;), 10-1148"/>
        <s v="RUBBER ROLLS, UNICAST REF: 15-1070 SYS"/>
        <s v="RUBBER ROLLS (DISP . TIRE/BRNG), N 010.005 (UNICAST REF: 15-3111)"/>
        <s v="RUBBER ROLLS (DISP . TIRE/BRNG) (TA REF: CT.09B), N 010.050 (UNICAST REF: 15-3118)"/>
        <s v="RUBBER ROLLS 1.590 X 1.575 INCH, N010.215 (UNCAST REF: 10-1147)"/>
        <s v="RUBBER ROLLER, 15-1312 SYS"/>
        <s v="RUBBER ROLL N 010.251, P/N: 10-1200A"/>
        <s v="RUBBER ROLL, P/N: 15-1119"/>
        <s v="RUBBER ROLL N 010.132, P/N: 10-1079"/>
        <s v="RUBBER ROLL N 010.140, P/N: 10-1016"/>
        <s v="RUBBER ROLL L 527.00.0218.1, P/N: 10-1297"/>
        <s v="SINGLE ACTING PIN CYLINDER (MICRO CYLINDER), MW-W1000100010 (CRTC-010-0010) (0904 QC21)"/>
        <s v="PNEUMATIC CYLINDER, DNC-63-50-PPV"/>
        <s v="HIGH PRESSURE Y-STRAINER, McMASTER REF: 4385K28"/>
        <s v="SEAL GUM MO-1502, 10 INCH, 35 SHORE, UNICAST REF: 10-1099A"/>
        <s v="MECHANICAL VALVE (5/2), MV-08"/>
        <s v="MECHANICAL VALVE (3/2), JM-05"/>
        <s v="MEDIUM SIZE COVERALL, HALF SLEEVE, NAVY BLUE, WORK MASTER"/>
        <s v="LARGE SIZE, COVERALL, HALF SLEEVE, NAVY BLUE, WORK MASTER"/>
        <s v="XL SIZE, COVERALL, HALF SLEEVE, NAVY BLUE, WORK MASTER"/>
        <s v="2XL SIZE, COVERALL, HALF SLEEVE, NAVY BLUE, WORK MASTER"/>
        <s v="3XL SIZE, COVERALL, HALF SLEEVE, NAVY BLUE, WORK MASTER"/>
        <s v="4XL SIZE, COVERALL, HALF SLEEVE, NAVY BLUE, WORK MASTER"/>
        <s v="SAFETY SHOE # 39 (VOULTEX)"/>
        <s v="SAFETY SHOE # 40 (VOULTEX)"/>
        <s v="SAFETY SHOE # 41 (VOULTEX)"/>
        <s v="SAFETY SHOE # 42 (VOULTEX)"/>
        <s v="SAFETY SHOE # 43 (VOULTEX)"/>
        <s v="SAFETY SHOE # 44 (VOULTEX)"/>
        <s v="SAFETY SHOE # 45 (VOULTEX)"/>
        <s v="SMALL SIZE SHIRT"/>
        <s v="MEDIUM SIZE SHIRT"/>
        <s v="2MM TEE HANDLE L. KEY"/>
        <s v="RIDGID REF: 47780, HSS THREAD DIE, SIZE: 1/4&quot; TO 3/8&quot; NPT, RIGHT HAND"/>
        <s v="RIDGID REF: 47745, ALLOY STEEL THREAD DIE, SIZE: 1/2&quot; TO 3/4&quot; NPT, RIGHT HAND"/>
        <s v="RIDGID REF: 47790, HSS THREAD DIE, SIZE: 1&quot; TO 2&quot; NPT, RIGHT HAND"/>
        <s v="RIDGID REF: 66665, ALLOY STEEL THREAD DIE, SIZE: 1/2&quot; TO 3/4&quot; BSPT, RIGHT HAND"/>
        <s v="RIDGID REF: 66670, ALLOY STEEL THREAD DIE, SIZE: 1&quot; TO 2&quot; BSPT, RIGHT HAND"/>
        <s v="TEE HANDLE L. KEY, 8 MM (McMASTER REF: 5629A77)"/>
        <s v="TEE HANDLE L. KEY, 10 MM (McMASTER REF: 5629A78)"/>
        <s v="CARBIDE TIP FOR LATHE MACHINE"/>
        <s v="L. KEY, 2 MM (McMASTER REF: 6958A11)"/>
        <s v="L. KEY, 2.5 MM (McMASTER REF: 6589A12)"/>
        <s v="L. KEY, 5 MM (McMASTER REF: 6958A15)"/>
        <s v="L. KEY, 6MM"/>
        <s v="M.S MIG WIRE 0.8MM"/>
        <s v="TIE CLIP FOR SEALING OF FIRST AID BOX"/>
        <s v="L-SQUARE HEAD SOCKET WRENCH, K7.610.74"/>
        <s v="HIGH PRESSURE SWITCH FOR WATER FILTRATION SYSTEM"/>
        <s v="AIR GUN NOZZLE FOR CHUCK"/>
        <s v="POCKET SIZE TORCH"/>
        <s v="TOOTH BRUSH"/>
        <s v="KEY BOX"/>
        <s v="GLASS FOR KEY BOX"/>
        <s v="TRANSFORMER FOR PACKAGE UNIT AC, FLOTEK HCTY09E0AA03252N"/>
        <s v="ELECTRIC MOTOR FOR MOH SKID BRUSH, A29-13"/>
        <s v="RHEEM CONTROL BOARD FOR SLNL085 179509, P/N: 47-102884-01 (ITEM # 91529)"/>
        <s v="WHITE ROGER TMST 2STG DIGITAL 179493, 1F83261-24V"/>
        <s v="FLOTEK TRANSFORMER 100VA/240/480/24V, ITEM # 93026"/>
        <s v="FLOTEK TRANSFORMER 415/440-24V (DO # 319716-SHR2), ITEM # 93027"/>
        <s v="NORTON GRINDING WHEEL, 10 X 1 X 3, UPC NO: 66253138903, 32AA46-IVTR, 109180541 4/14, 2485 RPM"/>
        <s v="HARD CARBON STEEL BAND SAW BLADE. (MORSE USA) L = 7' 9&quot;, W = 3/4&quot;,T = 0.032&quot;, 10 TPI, McMASTER REF: 4125A118"/>
        <s v="HYDRAULIC CYLINDER FOR BALER"/>
        <s v="OLD POWER PACK UNIT FOR SHEETER"/>
        <s v="PART # 125360, NORDSON EXTENSION CORD, 12&quot; GUN 2300"/>
        <s v="P/N: 394769, HIGH TEMPERATURE GREASE (10g can)"/>
        <s v="P/N: 250258, O-RING, 22 X 17 X 2.5 MM"/>
        <s v="PART # 1007234, NORDSON INLINE FILTER"/>
        <s v="PART # 1056296, NORDSON INSULATOR KIT"/>
        <s v="PART # 1028305, NORDSON MELTER FILTER"/>
        <s v="SHIM 0.005&quot; THICK FOR GLUE NOZZLE (175MM NOTCH CUT)"/>
        <s v="SHIM 0.005&quot; THICK FOR GLUE NOZZLE (125MM NOTCH CUT)"/>
        <s v="NEW NORDSON NOZZLES"/>
        <s v="NORDSON 250262, O-RING, 20 X 3 VITON"/>
        <s v="NORDSON 253657, O-RING, 11 X 1.5 VITON 80 SHORE A BLACK"/>
        <s v="NORDSON 940202, O-RING, BUNA N, 0.752 X 0.063"/>
        <s v="NORDSON 401853, QUADRING 8.2 X 1.78"/>
        <s v="NORDSON 250259, O-RING 18 X 2 VITON"/>
        <s v="NORDSON  251764, O-RING 14 X 12 VITON"/>
        <s v="NORDSON 316849, O-RING 12-0.05 + MAX 0.16-0"/>
        <s v="NORDSON 250257, O-RING 16 X 2, VITON 80 SHORE A BLACK"/>
        <s v="NORDSON 250254, O-RING 12 X 2.5, VITON 70 SHORE A BLACK"/>
        <s v="NORDSON 7106945, CONTROL MODULE EP 10 STROKE 0.3 snsr"/>
        <s v="NORDSON 256139, COMPRESSION SPRING 1 X 8 X 13"/>
        <s v="NORDSON 316560, TURCON VARISEAL M D4 INSIDE SEAL"/>
        <s v="NORDSON 404703, SPARE PARTS KIT EP 10 CONTROL MODULE"/>
        <s v="NORDSON 400819, MOLD TOOL EP 10ft NOZZLE STEM"/>
        <s v="NORDSON 316578, SYNTHETIC OIL, RESIN FREE TK002/50.1"/>
        <s v="NORDSON 319988, SETTING GAGE EP 10ft 0.3"/>
        <s v="NORDSON 403376, SOLENOID VALVE 3/2 WAYS 24V/8.5"/>
        <s v="NORDSON 1007374, 200 MESH FILTERS, PACK=5 FILTER"/>
        <s v="P/N: 250851, HEATER CARTRIDGE (1084290 CE, 135W, 230V, NORDSON G12 E 330841)"/>
        <s v="P/N: 7189143, COATING NOZZLE FOR MOH "/>
        <s v="VITON O-RING 3 X 30 MM FOR TANK FILTER"/>
        <s v="NORDSON 7106952, CYLINDER EP 10"/>
        <s v="P/N: 253554, WASHER, 6.5 X 10 X 2"/>
        <s v="P/N: 316848, O-RING, 17-0.5+0X2.5+MAX0.16"/>
        <s v="P/N: 316681, FILTER CARTRIDGE MWO, 08f.EP51"/>
        <s v="P/N: 319555, NOZZLE STEM EP10, D6.0MM"/>
        <s v="NORDSON GLUE NOZZLE REWORKED FOR MO MACHINE"/>
        <s v="18-8 SS SHIM 0.15 X 150 X 1250 MM, McMASTER: 95055K15"/>
        <s v="18-8 SS SHIM 0.20 X 150 X 1250 MM, McMASTER: 95055K17"/>
        <s v="NORDSON REF: ID 7127711 (MS), SHIM FOR MO P&amp;S GLUE MODULE"/>
        <s v="P/N: 401878, SCREW PLUG"/>
        <s v="P/N: 319977, SCREW"/>
        <s v="NORDSON REF: 319979, MODULAR CARTRIDGE EP10"/>
        <s v="NORDSON REF: 7106954, COVER EP10"/>
        <s v="SPARE HOTMELT TANK (STS)"/>
        <s v="P/N: 1642, HA2 1.25&quot; SLOT COATER KNIFE FOR UP TO 1&quot; PATTERN"/>
        <s v="P/N: 1518, SPRING FOR PISTON &amp; NEEDLE ASSEMBLY"/>
        <s v="P/N: 3078, 1/8&quot; FILTER SUPPORT WITH 200 MESH SCREEN, SPECIAL"/>
        <s v="P/N: 1612, HA2 PISTON &amp; NEEDLE ASSEMBLY"/>
        <s v="P/N: 1602, HA2 MODULE BODY"/>
        <s v="P/N: 1671-005, 12&quot; LONG BRASS SHIM FOR HOT MELT"/>
        <s v="P/N: 1664, CLOSING PLATE "/>
        <s v="P/N: 1627-125, SPRAY AIR CAP (ORIFICE SIZE: 0.125&quot;)"/>
        <s v="P/N: 1558-08, P/N: 1588-08, 8&quot; APPLICATOR AIR LINE ASSEMBLY, 1/8&quot; FITTINGS"/>
        <s v="P/N: 1607, HA2 SEAL RETAINER"/>
        <s v="P/N: 1661, HA2 SLOT NOZZLE SEAT FOR BAR ASSEMBLY"/>
        <s v="P/N: 3053 &amp; P/N: 3061, 200 MESH SCREEN FOR 1/4&quot; FILTER SUPPORT"/>
        <s v="P/N: 1659, HA2 SPRAY MODULE SEAL KIT FOR P/N: 1633"/>
        <s v="P/N: 1628-010, SPRAY NOZZLE. 0.010&quot; ORIFICE"/>
        <s v="P/N: 1643, HA2 1.25 INCH SLOT NOZZLE AND SEAT"/>
        <s v="MODEL: 111B-601CAAA, MAC AIR SOLENOID VALVES 12V-DC (8.5 WATT)"/>
        <s v="P/N: 3202, # 4-40 X 3/8&quot; SOCKET HEAD CAP SCREW (McMaster Ref: 91251A108)"/>
        <s v="P/N: 3066, 1/8&quot; BRASS STRAIGHT GLUE FITTING. 37 DEG FLARE"/>
        <s v="P/N: 1733, HA2 8 INCH SLOT COATER SHIM. 0.005&quot; THICK. BLANK PATTERN FOR P/N: 1731 SLOT NOZZLE"/>
        <s v="P/N: 3201, #8-32 X 1&quot; SOCKET HEAD CAP SCREW FOR MODULE"/>
        <s v="SPECIAL THREAD TAP 3/4&quot;-24, McMASTER REF: 2595A367"/>
        <s v="P/N: 1625, SPRAY NOZZLE ADAPTER"/>
        <s v="P/N: 1673-005, HA2 1.250&quot; SLOT COATER SHIM FOR 1643 SLOT NOZZLE, 0.005&quot; THICKNESS. BLANK PATTERN"/>
        <s v="P/N: S-0109T, PARKER SUPER LUBE FOR O-RING LUBRICATION. SILICONE BASE. 2oz"/>
        <s v="P/N: 1626, HA2 AIR CHAMBER SPRAY NOZZLE, 7/8&quot;"/>
        <s v="P/N: 3048, MALE ADAPTER, 1/4&quot; NPT, 37deg FLARE"/>
        <s v="P/N: 3061, 1/4&quot; FILTER SUPPORT"/>
        <s v="P/N: 4063, 400F OVER-TEMPRATURE SENSOR, WHITE LEADS"/>
        <s v="P/N: 3097, 50 MESH PUMP FILTER WITH SPRING"/>
        <s v="P/N: 3289, 200 MESH PUMP FILTER WITH SUPPORT SPRING FOR STS SERIES, SPECIAL"/>
        <s v="ANVIL FOR P&amp;S UNIT OF MOH &amp; MOW"/>
        <s v="STRAIGHT KNIFE FOR P&amp;S UNIT OF MOH &amp; MOW"/>
        <s v="P/N: 4047, MALE 9-PIN PLUG FOR HOT MELT TANK HOSE"/>
        <s v="P/N: 3059, ADAPTER"/>
        <s v="SCALLOP P&amp;S KNIFE"/>
        <s v="MODIFIED SHIMS FOR P&amp;S GLUE NOZZLE"/>
        <s v="MODIFIED GLUE NOZZLE WITH KNIFE"/>
        <s v="P/N: 4231, SOLID STATE SENSOR"/>
        <s v="P/N: 1318, MAC 24VDC SOLENOID VALVE ASSEMBLY (MODEL: 35A-AAA-DDFJ-1JB, WATT=12.7)"/>
        <s v="P/N: 1609, HA2 ONE MODULE HEATER BODY, SN: 133242 (FOR CARTON)"/>
        <s v="P/N: 788XX553, WHEEL FOR ROTARY ENCODER"/>
        <s v="P/N: 3510, VITON O-RING, 015 FOR FLOW VALVE ADJUSTER"/>
        <s v="P/N: 2110, FLOW VALVE SPRING, 1.400&quot;"/>
        <s v="P/N: 3507, VITON O-RING, 037 FOR PUMP BODY SEALING"/>
        <s v="T=0.5 x W=10 x L=250 MM, SHIM FOR #38PS-5001-C P&amp;S KNIFE"/>
        <s v="P/N: 2475, STANDARD METERING PIN"/>
        <s v="P/N: 2080, FLOW VALVE ADJUSTER"/>
        <s v="P/N: 3521, VTION O-RING, 145 FOR PUMP "/>
        <s v="SPRING FOR TANK FILTER"/>
        <s v="P/N: 3522, VITON O-RING, 016 FOR VALVE BODY GROOVE"/>
        <s v="P/N: 3519, VITON O-RING, 119 FOR FILTER HEX NUT"/>
        <s v="P/N: 4008, MALE PIN"/>
        <s v="P/N: 155XX304, VALCO ENCODER VDD-1000 (SERIAL NO 1790879)"/>
        <s v="P/N: 2757-008, 8ft HOSE FOR AUTOMATIC APPLICATOR, SOLID STATE, 230V/60Hz, SINGLE PHASE, SN: 137877, 137878"/>
        <s v="INHOUSE REBULIT SPRAY MODULE FOR STOCK"/>
        <s v="P/N # 38PS-5000, P&amp;S TOP KNIFE FOR 38R (LIMIT MAX: 0.870&quot; TO MIN: 0.679&quot;)"/>
        <s v="P/N: 4048, FEMALE 9-PIN PLUG FOR HOT MELT TANK"/>
        <s v="P/N: 3512, VITON O-RING, 008 FOR VALVE BODY SEALING"/>
        <s v="P/N: 3514, VITON O-RING, 006 FOR AIR SWIRL"/>
        <s v="P/N: 3520, VITON O-RING, 111 FOR PISTON &amp; NEEDLE ASSEMBLY"/>
        <s v="P/N: 2427, FLOW VALVE BODY"/>
        <s v="P/N: 3503, VITON O-RING, 104 FOR NEEDLE SEAL RETAINER"/>
        <s v="P/N: 3515, VITON O-RING, 013 FOR SEAL RETAINER GROOVE"/>
        <s v="P/N: 3509, VITON O-RING, 014 FOR SPRAY NOZZLE ADAPTER GROOVE"/>
        <s v="P/N: 3511, VITON O-RING, 010 FOR SPRAY ORIFICE NOZZLE SEALING"/>
        <s v="P/N: 38PS-5001-C, P&amp;S BOTTOM KNIFE WITH CARBIDE TIP FOR 38R (LIMIT MAX: 0.960&quot; TO MIN: 0.980&quot;)"/>
        <s v="P/N: 1628-020, SPRAY NOZZLE. 0.020&quot; ORIFICE"/>
        <s v="P/N: 1629, HA2 ONE MODULE HEATER BODY"/>
        <s v="P/N: 2426, DRIVE SHAFT WITH 2032 SPRING RETAINER FOR 2400 SERIES"/>
        <s v="P/N: 1628-015, SPRAY NOZZLE. 0.015&quot; ORIFICE"/>
        <s v="P/N: 2381, HIGH PRESSURE PUMP ASSEMBLY FOR STS SERIES"/>
        <s v="P/N: 4071, 300 F  LOW TEMPERATURE LOCK-OUT SENSOR, BROWN LEADS"/>
        <s v="P/N: 4348, 350 F LOW TEMPERATURE LOCK-OUT SENSOR, YELLOW LEADS"/>
        <s v="P/N: 2129, MOTOR KIT, 1/5 HP, 115RPM, 115/230V, 50/60Hz, WITH CAPACITOR, WITH P/N: 2132 (230V MOTOR UPGRADE KIT FOR CHANGING FROM P/N: 2097 TO P/N: 2125 MOTOR)"/>
        <s v="P/N: 4390, MALE GROUNDING PIN"/>
        <s v="P/N: 4117, 9-PIN CONNECTOR CONDUIT FITTING"/>
        <s v="P/N: 4230, SOLID STATE SENSOR FOR APPLICATOR &amp; HANDGUN"/>
        <s v="P/N: 4359, HEATER, 230V, 350W, 2.5&quot; X 1/4&quot;"/>
        <s v="P/N: 4359, HEATER, 230V, 350W"/>
        <s v="P/N: 2105 + 2106 + 3130, COUPLING BODY 0.625&quot; ID &amp; 0.750&quot; ID AND KEY"/>
        <s v="P/N: 3178-375, BUSHING FOR 2400 SERIES MELT UNITS, 0.375&quot; LONG"/>
        <s v="P/N: 3255, TEFLON SHAFT SEAL"/>
        <s v="P/N: 4133, SOLID STATE TEMPERATURE CONTROLLER"/>
        <s v="FUSE HOLDER FOR STS TANK"/>
        <s v="P/N: SM312D, BANNER MINI-BEAM PHOTO SENSOR"/>
        <s v="P/N: 707XX441, REBUILD KIT FOR 12VDC VALVE"/>
        <s v="P/N: 707XX442, REBUILD KIT FOR 24VDC VALVE"/>
        <s v="P/N: 704XX796, 12VDC COIL FOR SOLENOID VALVE"/>
        <s v="P/N: 794XX264, NOZZLE CLEANING FILE 0.012&quot; (F15)"/>
        <s v="P/N: 085XX244, FUSE 125 V (F 2A)"/>
        <s v="P/N: 667XX001, FLUSHING ADAPTER"/>
        <s v="P/N: 280XX191, SCANNER WITH M12 CONNECTOR"/>
        <s v="P/N: 707XX073, CERAMIC SEAT 0.30MM"/>
        <s v="P/N: 704XX554, PLUNGER WITH CERAMIC TIP"/>
        <s v="P/N: 411XX066, SOLENOID VALVE FOR VALCO DIAPHRAGM PUMP (111B-611CAAA), 24VDC, 8.5 WATT"/>
        <s v="P/N: 030XX594, CONNECTOR CABLE FOR SCANNER, 4 METER"/>
        <s v="P/N: 030XX625, 4 METER ELECTRIC CABLE WITH CONNECTORS FOR VALVE"/>
        <s v="P/N: 085XX005, FUSE 250 V (F 1A)"/>
        <s v="P/N: 085XX040, FUSE 250 V (F 2A)"/>
        <s v="P/N: 745XX948, FLAT SEAL"/>
        <s v="P/N: 745XX113, O-RING"/>
        <s v="P/N: 746XX088, O-RING"/>
        <s v="P/N: 745XX340, RING"/>
        <s v="P/N: 793xx153, SPRING WASHER"/>
        <s v="P/N: 793xx727, SPRING, 12VDC"/>
        <s v="P/N: 704XX348, FLUX WASHER"/>
        <s v="P/N: 299XX478, PNEUMATIC FITTING"/>
        <s v="P/N: 752XX028, QUICK DISCONNECT ASSEMBLY"/>
        <s v="P/N: 030XX631, ENCODER CABLE 4M, 8-PIN DIN"/>
        <s v="P/N: 085XX255, FUSE FOR VALCO DIAPHRAGM PUMP"/>
        <s v="P/N: 085XX208, FUSE"/>
        <s v="P/N: 750XX009, VALCO MALE ADAPTER"/>
        <s v="P/N: 703XX418, VALCO VALVE"/>
        <s v="P/N: 561XX171, REBUILT KIT FOR VALCO PUMP"/>
        <s v="P/N: 030XX632, 8 METER DIN-8 CABLE"/>
        <s v="TEFLON BALL FOR VALCO PRESSURE REGULATOR, DIA=10MM"/>
        <s v="P/N: 704XX553, NOZZLE BODY ASSEMBLY"/>
        <s v="VALCO NOZZLE, VALVE # 10"/>
        <s v="MITSUBISHI AC SERVO MOTOR"/>
        <s v="P/N: MR-ENCBL5M-H, MITSUBISHI ENCODER CABLE 5M"/>
        <s v="PLC, VERSA MAX, IC200UDR005-BA, GE FANUC"/>
        <s v="MITSUBISHI AC SERVO DRIVE (POWER 1 KW, 5A), MODEL : MR-J2S-100A"/>
        <s v="CABLE FOR REFLECTOR, 6897K86 (McMaster)"/>
        <s v="CONNECTORS FOR SERVO MOTOR"/>
        <s v="DYNAPAR ENCODER, HS35R2000K37D"/>
        <s v="P/N: T10-1420, TOOTHED BELT, PITCH=10MM, WIDTH=25MM, N.O.T=142, L=1420MM"/>
        <s v="P/N: T10-2100, TOOTHED BELT, WIDTH=50MM, PITCH=10MM N.O.T=210, L=2100MM (W+D REF: K1.824.26)"/>
        <s v="FLAT BELT, W=8MM, L=9650MM (HABASIT MAT: XVT-2237, CHARGE: STANDARD 3005474-22)"/>
        <s v="MODIFIED RUBBER ROLLS (15-3117)"/>
        <s v="MODIFIED RUBBER ROLLS (15-3115)"/>
        <s v="TOP &amp; BOTTOM FLAP SCORE BLADES"/>
        <s v="P/N: L 0007023200, BRONZE GUM SEGMENTS"/>
        <s v="P/N: L 0007123200, BRONZE GUM SEGMENTS"/>
        <s v="P/N: T10-500, TOOTHED BELT, PITCH=10MM, WIDTH=25MM, N.O.T=50, L=500MM (W&amp;D REF: N 011.515)"/>
        <s v="P/N: V 03.00.039.0AH, SIDE SCORE BLADES (ALSO SEE IN J-3-30)"/>
        <s v="PVC HEAT SHRINK SLEEVE, WIDTH=95MM, FOR BOTTOM FLAP GUM ROLLER"/>
        <s v="TIMING BELT T10-1420, 25MM WIDTH"/>
        <s v="W&amp;D REF:  L 249.00.2540.0, ROLLER 324, DIA=108.2MM, W=40MM, HARD=70SHORE"/>
        <s v="W&amp;D REF:  L 249.00.2536.0, ROLLER"/>
        <s v="W&amp;D REF: L 249.00.2537.0, ROLLER"/>
        <s v="ROLLER (MIGHT BE P-2-1)"/>
        <s v="COVER PLATE FOR CERAMIC BAR HOLDER (SMALL SIZE)"/>
        <s v="REF: 63160250, COVER PLATE FOR CERAMIC BAR HOLDER (LONG SIZE)"/>
        <s v="GUIDE"/>
        <s v="W&amp;D REF: L 126.07.2500.0, RUBBER ROLL (TA REF: CT.15B) (UNICAST REF: 15-3116)"/>
        <s v="W&amp;D REF: L 249.00.2527.0, RUBBER ROLL (TA REF: CT.16B) (UNICAST REF: 15-3117A)"/>
        <s v="W&amp;D REF: N 010.051, RUBBER ROLL (TA REF: CT.10B) (UNICAST REF: 15-3119)"/>
        <s v="W&amp;D REF: N 010.020, RUBBER ROLL (TA REF: CT.4B) (UNICAST REF: 15-3113)"/>
        <s v="W&amp;D REF: L 249.00.2530.1, SCORE ROLL, 60A, DIA=83MM, ONE GROOVE (UNICAST REF: 10-1187)"/>
        <s v="W&amp;D REF: L 249.00.2544.0, FEED ROLL 2.165X1.575 (UNICAST REF: 10-1150)"/>
        <s v="W&amp;D REF: L 249.00.2504.0, FEED ROLL 2.165X0.935, 60A (UNICAST REF: 10-1151)"/>
        <s v="W&amp;D REF: L 397.00.6106.0, BRUSH (UNICAST REF: 15-1564)"/>
        <s v="METAL SEGMENT PLATE"/>
        <s v="W&amp;D REF: V 05.65.032.5, SOLID SEPARATION KNIFE, TRAPEZOID, DIA=156, (8.91)(T0084)"/>
        <s v="W&amp;D REF: V 05650815, SOLID SEPARATION KNIFE, TRAPEZOID, DIA=155, (04.14)"/>
        <s v="HOLDER ASSEMBLY FOR SCORE BLADE"/>
        <s v="REF: L000.70.90.210, BRONZE GLUE STICK"/>
        <s v="REF: L000.70.90.195, BRONZE GLUE STICK"/>
        <s v="RUBBER ROLL CARRAIGE"/>
        <s v="(MODIFY REF: V 05.65.047.5), SOLID SEPARATION KNIFE, DIA=155MM"/>
        <s v="200-DSTT-1810, 3M SCOTCH DOUBLE SIDE TAPE, WIDE=18MM, L=10YDS"/>
        <s v="STATIONARY KNIFE FOR P&amp;S UNIT, WITH CARBIDE TIP"/>
        <s v="ROTARY KNIFE FOR P&amp;S UNIT, WITH CARBIDE TIP, W+D REF: S 249.41.0106.0"/>
        <s v="W&amp;D REF: V 29.85.120.0 (001)(696), VACUUM SEGMENT"/>
        <s v="W&amp;D REF: V 29.85.120.0 (002)(696), VACUUM SEGMENT"/>
        <s v="REF: V00R260A, ADJUSTMENT SPACER"/>
        <s v="ADJUSTMENT SPACER"/>
        <s v="ACCENTRIC BUSHING"/>
        <s v="REF: R12.00.4541.9, ACCENTRIC BUSHING"/>
        <s v="UNIVERSAL JOINT ASSEMBLY"/>
        <s v="REF: V55223470, PAPER GUIDE"/>
        <s v="REF: V55223480, PAPER GUIDE"/>
        <s v="REF: V79147240, PAPER GUIDE"/>
        <s v="REF: 78992050, PAPER GUIDE"/>
        <s v="REF: L000.70.56.415, GUM ROLL"/>
        <s v="REF: L000.70.50.280, GUM ROLL"/>
        <s v="REF: L000.70.50.220, GUM ROLL"/>
        <s v="REF: L000.70.50.250, GUM ROLL"/>
        <s v="REF: L000.70.50.195, GUM ROLL"/>
        <s v="REF: L000.70.56.090, LATEX SEAL GUM ROLL"/>
        <s v="REF: L000.71.54.288, LATEX SEAL GUM ROLL"/>
        <s v="TA TECHNIK REF: SG249, LATEX SEAL GUM ROLL"/>
        <s v="REF: 29850420, GUM HOLDER WITH BRONZE PAD (L000.70.90.140)"/>
        <s v="REF: 03050770, CERAMIC BAR HOLDER WITH CERAMIC BAR (SMALL SIZE)"/>
        <s v="REF: L249.00.6128.0, CERAMIC BAR HOLDER WITH CERAMIC BAR (LONG SIZE)"/>
        <s v="REF: L 249.99.1378.0, SOLID PROFILE KNIFE WITH CYLINDER, SIZE: FG229X324, DIA=155MM (8.89)"/>
        <s v="REF: L249.97.1284.0, SOLID PROFILE KNIFE WITH CYLINDER, SIZE: 229X324, DIA=156MM (5.0) (V 01.30.284.5) (3191148)"/>
        <s v="REF: 249.97.1396.0, SOLID PROFILE KNIFE WITH CYLINDER, SIZE: 262X371, DIA=140MM (7.07) (3817052)"/>
        <s v="REF: L 249.99.1273.0, SOLID PROFILE KNIFE WITH CYLINDER, SIZE: 165X260, DIA=101MM (7.86) (V 01.31.273.1) (V 01.31.273.0)"/>
        <s v="REF: L 249.97.1205.0, SOLID PROFILE KNIFE WITH CYLINDER, SIZE: FG229X324, DIA=125MM (2.07)"/>
        <s v="REF: 249.99.1272.0, SOLID PROFILE KNIFE WITH CYLINDER, SIZE: FG156X220, DIA=88MM (7.86)"/>
        <s v="REF: L 249.99.1265.0, SOLID PROFILE KNIFE WITH CYLINDER, SIZE: FG262X271, DIA=140MM (5.88) (V 01.30.265.0)"/>
        <s v="REF: L 249.97.1205.0, SOLID PROFILE KNIFE WITH CYLINDER, SIZE: FG229X324, DIA=125MM (6.97)"/>
        <s v="REF: L 249.97.1271.0, SOLID PROFILE KNIFE WITH CYLINDER, SIZE: 240X340, DIA=130MM (7.99) (21351)"/>
        <s v="REF: R1.20.066.409, SPUR GEAR, NOT=66"/>
        <s v="REF: R1.20.072.405, SPUR GEAR, NOT=72"/>
        <s v="REF: R1.20.054.413, SPUR GEAR, NOT=54"/>
        <s v="REF: R1.20.063.402, SPUR GEAR, NOT=63"/>
        <s v="REF: R1.30.037.401, SPUR GEAR, NOT=37"/>
        <s v="REF: R1.30.043.400, SPUR GEAR, NOT=43"/>
        <s v="REF: R1.20.048.410, SPUR GEAR, NOT=48"/>
        <s v="REF: R2.15.155.800, HELICAL GEAR, NOT=155"/>
        <s v="REF: R2.10.101.400, HELICAL GEAR, NOT=101"/>
        <s v="REF: R2.15.101.800, HELICAL GEAR, NOT=101"/>
        <s v="REF: R2.10.088.400, HELICAL GEAR, NOT=88"/>
        <s v="REF: R2.10.155.400, HELICAL GEAR, NOT=155"/>
        <s v="REF: R2.10.101.404, HELICAL GEAR, NOT=101"/>
        <s v="REF: R2.10.155.401, HELICAL GEAR, NOT=155"/>
        <s v="REF: R2.30.038.408, HELICAL GEAR, NOT=38"/>
        <s v="REF: R2.30.038.413, HELICAL GEAR, NOT=38"/>
        <s v="REF: R2.10.130.400, HELICAL GEAR, NOT=130"/>
        <s v="REF: R2.10.130.401, HELICAL GEAR, NOT=130"/>
        <s v="REF: R2.15.130.800, HELICAL GEAR, NOT=130"/>
        <s v="REF: R2.15.088.800, HELICAL GEAR, NOT=88"/>
        <s v="REF: R2.10.140.401, HELICAL GEAR. NOT=140"/>
        <s v="REF: R2.10.140.400, HELICAL GEAR, NOT=140"/>
        <s v="REF: R2.15.140.800, HELICAL GEAR, NOT=140"/>
        <s v="REF: R2.10.125.400, HELICAL GEAR, NOT=125"/>
        <s v="REF: R2.10.125.401, HELICAL GEAR, NOT=125"/>
        <s v="REF: R2.15.125.800, HELICAL GEAR, NOT=125"/>
        <s v="REF: R1.20.051.403, SPUR GEAR, NOT=51"/>
        <s v="REF: R1.20.065.405, SPUR GEAR, NOT=65"/>
        <s v="REF: R1.20.052.403, SPUR GEAR, NOT=52"/>
        <s v="REF: R1.20.068.405, SPUR GEAR, NOT=68"/>
        <s v="REF: R1.30.038.404, SPUR GEAR, NOT=38"/>
        <s v="REF: R1.30.042.400, SPUR GEAR, NOT=42"/>
        <s v="REF: R1.20.059.408, SPUR GEAR, NOT=59"/>
        <s v="REF: R1.20.061.406, SPUR GEAR, NOT=61"/>
        <s v="REF: R1.10.049.400, SPUR GEAR, NOT=49"/>
        <s v="REF: R1.10.057.402, SPUR GEAR, NOT=57"/>
        <s v="SHAFT WITH SET OF SEGMENTS FOR SIZE CHANGE"/>
        <s v="V-BELT BX82 (17 X 2085 Li)"/>
        <s v="V-BELT B-80"/>
        <s v="V-BELT C-84"/>
        <s v="V-BELT B-78"/>
        <s v="V-BELT B-84 (17 X 2135)"/>
        <s v="V-BELT B-85 (B2200-17X216C)"/>
        <s v="V-BELT A-55"/>
        <s v="V-BELT A-69 (A1780Ld/13X1750)"/>
        <s v="V- BELTS OPTIBELT 3VX 560 FOR QUINCY AIR COMPRESSOR"/>
        <s v="HYDRAULIC OIL ISO 46"/>
        <s v="PART # 144046-005, QUINSYN-PLUS COMPRESSOR OIL"/>
        <s v="BRAKE OIL"/>
        <s v="S-229, ULTRA MOLY SYNTHETIC EP RED BEARING GREASE NLGI &quot;0&quot;"/>
        <s v="P-500, SUPREME HYDRAULIC OIL ISO VG68 (20 Ltr PAIL)"/>
        <s v="P/N:377P, POLYESTER ELEMENT WITH PRE-FILTER (5 MICRON POLYESTER MEDIA), QUINCY PART NO 376P (OLD PART NO 127357E016) FOR VACUUM PUMP"/>
        <s v="DISTILLED WATER"/>
        <s v="HYDRAULIC OIL ISO 32"/>
        <s v="P-600, SUPREME GEAR OIL ISO 150"/>
        <s v="P/N: 124487-017, QUINCY OIL/AIR SEPARATOR FILTER FOR VACUUM PUMP"/>
        <s v="NYLON SHEET (4ft X 4ft X 16MM) PRODUCT CODE: PA6 X 12 MM"/>
        <s v="DIESEL ENGINE OIL 15W40"/>
        <s v="RIDGID THREAD CUTTING OIL"/>
        <s v="PART # 235P, POLYESTER ELEMENT WITH PRE-FILTER"/>
        <s v="EUKALIN 1505, SOLUTION FOR HOTMELT TANK CLEANING"/>
        <s v="S-248, NON MELT MOLY HIGH TEMPERATURE SYNTHETIC GREASE"/>
        <s v="P/N: 245P, POLYESTER ELEMENT WITH PRE-FILTER"/>
        <s v="PF-376, PRE-FILTER FOR SOLBERG 377P"/>
        <s v="P/N: 142136, FLUID FILTER ELEMENT, OEM"/>
        <s v="P/N: 2013800404 (144606-01) QUINCY AIR &amp; OIL SEPARATOR FILTER FOR AIR COMPRESSOR (144606-02)"/>
        <s v="124487-001  (K8275), QUINCY AIR &amp; OIL SEPARATOR FILTER FOR VACUUM PUMP"/>
        <s v="SHARPENING OF ROTARY KNIFE FOR SHEETER"/>
        <s v="SHARPENING OF STATIONARY KNIFE FOR SHEETER"/>
        <s v="231P, POLYESTER FILTER ELEMENT"/>
        <s v="FLEXIBLE CUT OFF KNIFE, 108 X 235 MM, DIA=81MM, PULL 78 (CURTIUS REF: VF0514-S) V-SHAPE, 1 DEG LEFT ANGLE"/>
        <s v="FLEXIBLE CUT OFF KNIFE (NBD), 114 X 232 MM, DIA=81MM, PULL 78, 1 DEG LEFT ANGLE (CURTIUS REF: SF1114-S)"/>
        <s v="FLEXIBLE CUT OFF KNIFE, 114 X 234 MM, 1 DEG LEFT ANGLE (BEST REF: FA-401047), V-SHAPE"/>
        <s v="FLEXIBLE CUT OFF KNIFE, 162 X 229 MM, 1 DEG LEFT ANGLE, TRAPEZOID SHAPE (CURTIUS REF: SF0952-S)"/>
        <s v="FLEXIBLE CUT OFF KNIFE, 162 X 240 MM, 1 DEG LEFT ANGLE, (BEST REF: C-9579 #168681), JORDAN TEL"/>
        <s v="FLEXIBLE STRAIGHT CUT OFF KNIFE 10-3/4&quot;, 1 DEG LEFT ANGLE, BEST REF: D-1481 (FA-169811)"/>
        <s v="FLEXIBLE CUT OFF KNIFE, 115 X 229 MM, 1 DEG LEFT ANGLE, BEST REF: D-5024 #174446"/>
        <s v="FLEXIBLE CUT OFF KNIFE FOR ABK, 1 DEG LEFT ANGLE (BEST REF: D-7114 # 177188), TRAPEZOID SHAPE"/>
        <s v="FLEXIBLE CUT OFF KNIFE, 110 X 234 MM, 1 DEG LEFT ANGLE, BEST REF: FA-401255"/>
        <s v="FLEXIBLE CUT OFF KNIFE, 11 INCH (V-FLAP), 1 DEG LEFT ANGLE, BEST REF: FA-403652"/>
        <s v="FLEXIBLE CUT OFF KNIFE, 11 INCH, ROUND FLAP, 1 DEG LEFT ANGLE, BEST REF: FA-404869, 0.032&quot;H, 24 RAD COK"/>
        <s v="FLEXIBLE CUT OFF KNIFE, 114 X 227 MM, 1 DEG LEFT ANGLE,  BEST REF: FA-405837, 11 INCH (V-FLAP) OOREDOO"/>
        <s v="FLEXIBLE CUT OFF KNIFE, 4-1/2&quot; X 9&quot;, 1 DEG LEFT ANGLE, V-FLAP, 0.032&quot; KB, 1 DEG LEFT ANGLE, FA-407336, OOREDOO"/>
        <s v="HARD KNIVES FOR MOHW &lt;03109-10&gt;  (CENTER SEAM)"/>
        <s v="HARD KNIVES FOR MOH (OBSOLETE)"/>
        <s v="HARD KNIVES FOR MOH (NEW DRAWING # 02790)"/>
        <s v="HARD KNIVES FOR MOW (NEW DRAWING), WCCD 02790"/>
        <s v="FLEXIBLE PROFILE KNIFE (NBD), 114 X 232 MM, PULL 78MM, KEY 81MM"/>
        <s v="FLEXIBLE PROFILE KNIFE (JORDAN TEL), 162 X 240 MM, BEST REF: C-9578 # 168677, PULL 109MM, KEY 110MM"/>
        <s v="FLEXIBLE PROFILE KNIFE, 162 X 229 MM, STRAIGHT FLAP, (FA-408708) PULL 109MM, KEY 110MM"/>
        <s v="FLEXIBLE PROFILE KNIFE (TRAPEZOID), 162 X 229 MM, PULL 109MM, KEY 110MM"/>
        <s v="FLEXIBLE PROFILE KNIFE (WARID), 162 X 229 MM, PULL 109MM, KEY 110MM"/>
        <s v="FLEXIBLE PROFILE KNIFE (NEW DESIGN), 113 X 230 MM, PULL 78MM, KEY 81MM"/>
        <s v="FLEXIBLE PROFILE KNIFE, 108 X 235 MM, PULL 78MM, KEY 81MM"/>
        <s v="FLEXIBLE PROFILE KNIFE 114 X 162 MM, BEST REF: D-1587 (FA-169931), PULL 78MM, KEY 81MM"/>
        <s v="FLEXIBLE PROFILE KNIFE, 110 X 232 MM (OLD DESIGN 114 X 234 MM WILL BE USED NOW AS 110 X 232 MM AS PER Mr. JIM's INSTRUCTIONS) PULL 78MM, KEY 81MM"/>
        <s v="FLEXIBLE PROFILE KNIFE 115 X 225 MM (SECURITY CUT), BEST REF: C-9781 (FA-168943) PULL 78MM, KEY 81MM"/>
        <s v="FLEXIBLE PROFILE KNIFE 115 X 225 MM, BEST REF: C-8740 (FA-167575) PULL 78MM, KEY 81MM"/>
        <s v="FLEXIBLE PROFILE KNIFE 110 X 220 MM, BEST REF: D-3983 (FA-173032) PULL 78MM, KEY 81MM"/>
        <s v="FLEXIBLE PROFILE KNIFE (SECURITY CUT), 110 X 220 MM (FA-401557), D-3394, PULL 78MM, KEY 81MM"/>
        <s v="FLEXIBLE PROFILE KNIFE, 110 X 230 MM (ABK SECURITY CUT) PULL 78MM, KEY 81MM"/>
        <s v="FLEXIBLE PROFILE KNIFE (SECURITY CUT), 115 X 229 MM, PULL 78MM, KEY 81MM"/>
        <s v="FLEXIBLE PROFILE KNIFE (SECURITY CUT), 115 X 229 MM, PULL 80MM, KEY 81MM"/>
        <s v="FLEXIBLE PROFILE KNIFE, 114 X 234 MM (D-4555) (FA-173829), PULL 78MM, KEY 81MM"/>
        <s v="FLEXIBLE PROFILE KNIFE, 114 X 234 MM (D-7165) (FOR P&amp;S) REF: FA-177263, PULL GEAR 78MM, KEY 81MM"/>
        <s v="FLEXIBLE PROFILE KNIFE, 110 X 232 MM (D-7269) (FA-177429) (NEW DESIGN) OIFC, PULL 78MM, KEY 81MM"/>
        <s v="FLEXIBLE PROFILE KNIFE, 110 X 234 MM, BEST REF: FA-401197, PULL 78MM, KEY 81MM"/>
        <s v="FLEXIBLE PROFILE KNIFE, 3.875&quot; X 8.875&quot; (1.34375&quot; STRAIGHT S.F), BEST REF: FA-403648, PULL 73, KEY 73MMM"/>
        <s v="FLEXIBLE PROFILE KNIFE, 3.875&quot; X 8.875&quot; (1.6539&quot; V-FLAP), BEST REF: FA-403649, PULL 73, KEY 73MM"/>
        <s v="FLEXIBLE PROFILE KNIFE, 4.125&quot; X 9.5&quot; (1.375&quot; STRAIGHT S.F), BEST REF: FA-403650, PULL 73, KEY 73MM"/>
        <s v="FLEXIBLE PROFILE KNIFE, 4.125&quot; X 9.5&quot; (1.375&quot; V-FLAP), BEST REF: FA-403651, PULL 73, KEY 73MM"/>
        <s v="FLEXIBLE PROFILE KNIFE, 99 X 225 MM, BEST REF: FA-405080, PULL 91MM, KEY 91MM"/>
        <s v="FLEXIBLE PROFILE KNIFE, 152 X 230 MM, BEST REF: FA-405081, PULL 105MM, KEY 110MM"/>
        <s v="FLEXIBLE PROFILE KNIFE, 92 X 165 MM, BEST REF: FA-405082, PULL 84MM, KEY 91MM"/>
        <s v="FLEXIBLE PROFILE KNIFE, 114 X 227 MM, FA-405836, PULL 80MM, KEY 81MM"/>
        <s v="FLEXIBLE PROFILE KNIFE, 4-1/2&quot; X 9&quot;, WITH SECURITY PERFORATION, V-FLAP, 80MM PULL, 81 CYLINDER, 0 DEG, 0.032 K&amp;B, FA-407354"/>
        <s v="FLEXIBLE PROFILE KNIFE 12.75&quot; X 9&quot; FOR W+D 249 (130 KEY, 121 PULL GEAR), FA-410299"/>
        <s v="FLEXIBLE PROFILE KNIFE 240 X 340 (TM130) (F003.00.0232.0), LEADING EDGE 24, REF: V01.70.435.1 (OLD DESIGN), FOR W&amp;D-249 MACHINE"/>
        <s v="FLEXIBLE PROFILE KNIFE 220 X 312, (TM121&gt;&gt;TM130) (F003.00.0233.0), LEADING EDGE 24, REF: V01.70.436.1 (OLD DESIGN), FOR W&amp;D-249 MACHINE"/>
        <s v="FLEXIBLE PROFILE KNIFE 229 X 324 (TM125..TM130) (F003.00.0234.0), LEADING EDGE 24, REF: V01.70.437.1 (OLD DESIGN), FOR W&amp;D-249 MACHINE"/>
        <s v="FLEXIBLE PROFILE KNIFE 12.75&quot; X 9&quot; (229X324) FOR W+D 249 (130 KEY, 121 PULL GEAR) (F003.00.1205.0) (LEADING EDGE=21.133) (FROM W+D), REF: V01.70.528.1"/>
        <s v="PANEL DIE FOR CD JOB, DIA=95MM"/>
        <s v="SOLID WINDOW DIE, 19 X 73 MM"/>
        <s v="SOLID WINDOW DIE, 19 X 83 MM"/>
        <s v="SOLID WINDOW DIE, 20 X 95 MM"/>
        <s v="SOLID WINDOW DIE, 25 X 90 MM"/>
        <s v="SOLID WINDOW DIE, 25 X 100 MM"/>
        <s v="SOLID WINDOW DIE, 30 X 60 MM"/>
        <s v="SOLID WINDOW DIE, 30 X 80 MM"/>
        <s v="SOLID WINDOW DIE, 30 X 95 MM"/>
        <s v="SOLID WINDOW DIE, 30 X 100 MM"/>
        <s v="SOLID WINDOW DIE, 34 X 90 MM"/>
        <s v="SOLID WINDOW DIE, 34 X 95 MM"/>
        <s v="SOLID WINDOW DIE, 35 X 85 MM"/>
        <s v="SOLID WINDOW DIE, 35 X 90 MM"/>
        <s v="SOLID WINDOW DIE, 35 X 100 MM"/>
        <s v="SOLID WINDOW DIE, 35 X 110 MM"/>
        <s v="SOLID WINDOW DIE, 37 X 93 MM"/>
        <s v="SOLID WINDOW DIE, 38 X 100 MM"/>
        <s v="SOLID WINDOW DIE, 38 X 115 MM"/>
        <s v="SOLID WINDOW DIE, 40 X 80 MM"/>
        <s v="SOLID WINDOW DIE, 40 X 93 MM"/>
        <s v="SOLID WINDOW DIE, 40 X 100 MM"/>
        <s v="SOLID WINDOW DIE, 40 X 105 MM"/>
        <s v="SOLID WINDOW DIE, 40 X 110 MM"/>
        <s v="SOLID WINDOW DIE, 40 X 130 MM"/>
        <s v="SOLID WINDOW DIE, 45 X 90 MM"/>
        <s v="SOLID WINDOW DIE, 45 X 100 MM"/>
        <s v="SOLID WINDOW DIE, 45 X 105 MM"/>
        <s v="SOLID WINDOW DIE, 50 X 68 MM"/>
        <s v="SOLID WINDOW DIE, 50 X 90 MM"/>
        <s v="SOLID WINDOW DIE, 52 X 75 MM"/>
        <s v="SOLID WINDOW DIE, 50 X 95 MM"/>
        <s v="SOLID WINDOW DIE, 55 X 100 MM"/>
        <s v="SOLID WINDOW DIE, 55 X 115 MM"/>
        <s v="SOLID WINDOW DIE, 30 X 90 MM"/>
        <s v="SOLID WINDOW DIE, 30 X 115 MM"/>
        <s v="SOLID WINDOW DIE, 35 X 80 MM"/>
        <s v="SOLID WINDOW DIE, 40 X 90 MM"/>
        <s v="SOLID WINDOW DIE, 51 X 101 MM"/>
        <s v="SOLID WINDOW DIE, 35 X 105 MM"/>
        <s v="ZIPPER PERFORATION KNIFE"/>
        <s v="HALF ROUND DIE, &lt;4735&gt;"/>
        <s v="SOLID WINDOW DIE, 66 X 106 MM"/>
        <s v="SOLID WINDOW DIE, 1-1/8&quot; X 4-1/2&quot;"/>
        <s v="SOLID WINDOW DIE, DIA = 4 INCH"/>
        <s v="HOLE PUNCH DIE "/>
        <s v="SOLID WINDOW DIE, 1-1/4&quot; X 4-3/4&quot;"/>
        <s v="SOLID WINDOW DIE, 45 X 110 MM"/>
        <s v="SOLID WINDOW DIE, 45 X 120 MM"/>
        <s v="FLEXIBLE WINDOW KNIFE, 10 X 100 MM (1.5 DEG)"/>
        <s v="FLEXIBLE WINDOW KNIFE, 13 X 60 MM (1.5 DEG)"/>
        <s v="FLEXIBLE WINDOW KNIFE, 13 X 75 MM (1.5 DEG)"/>
        <s v="FLEXIBLE WINDOW KNIFE, 34 X 110 MM (1.5 DEG)"/>
        <s v="FLEXIBLE WINDOW KNIFE, 35 X 130 MM (1.5 DEG)"/>
        <s v="FLEXIBLE WINDOW KNIFE, 40 X 100 MM (1.5 DEG)"/>
        <s v="FLEXIBLE WINDOW KNIFE, 45 X 80 MM (1.5 DEG)"/>
        <s v="FLEXIBLE WINDOW KNIFE, 50 X 100 MM (1.5 DEG)"/>
        <s v="FLEXIBLE WINDOW KNIFE, 55 X 100 MM (1.5 DEG)"/>
        <s v="WINDOW KNIFE, 20 X 95 MM"/>
        <s v="WINDOW KNIFE, 25 X 90 MM"/>
        <s v="FLEXIBLE WINDOW, 25 X 100 MM"/>
        <s v="FLEXIBLE WINDOW, 30 X 90 MM"/>
        <s v="FLEXIBLE WINDOW, 30 X 98 MM"/>
        <s v="FLEXIBLE WINDOW, 30 X 100 MM"/>
        <s v="FLEXIBLE WINDOW, 35 X 80 MM"/>
        <s v="FLEXIBLE WINDOW, 35 X 85 MM"/>
        <s v="FLEXIBLE WINDOW, 35 X 90 MM"/>
        <s v="FLEXIBLE WINDOW, 35 X 95 MM"/>
        <s v="FLEXIBLE WINDOW KNIFE, 35 X 100 MM (FS-167860)"/>
        <s v="FLEXIBLE WINDOW KNIFE, 35 X 105 MM (FS-305776)"/>
        <s v="FLEXIBLE WINDOW KNIFE, 35 X 110 MM (FS-301538)"/>
        <s v="FLEXIBLE WINDOW KNIFE, 35 X 130 MM"/>
        <s v="FLEXIBLE WINDOW KNIFE, 37 X 93 MM (BEST REF: 170724)"/>
        <s v="FLEXIBLE WINDOW KNIFE, 40 X 80 MM"/>
        <s v="FLEXIBLE WINDOW KNIFE, 40 X 93 MM (FS-169797)"/>
        <s v="FLEXIBLE WINDOW KNIFE, 40 X 100 MM, BEST REF: FS-302055"/>
        <s v="FLEXIBLE WINDOW KNIFE, 40 X 100 MM"/>
        <s v="FLEXIBLE WINDOW KNIFE, 40 X 110 MM"/>
        <s v="FLEXIBLE WINDOW KNIFE, 45 X 90 MM"/>
        <s v="FLEXIBLE WINDOW KNIFE, 45 X 100 MM, BEST REF: FS-301638 "/>
        <s v="FLEXIBLE WINDOW KNIFE, 45 X 105 MM, BEST REF: 178030 (FS-300814)"/>
        <s v="FLEXIBLE WINDOW KNIFE, 45 X 110 MM"/>
        <s v="FLEXIBLE WINDOW KNIFE, 50 X 93 MM"/>
        <s v="FLEXIBLE WINDOW KNIFE, 55 X 115 MM"/>
        <s v="FLEXIBLE WINDOW KNIFE, 90 X 40 MM"/>
        <s v="FLEXIBLE WINDOW KNIFE, 40 X 90 MM, BEST REF: FS-304490"/>
        <s v="FLEXIBLE WINDOW KNIFE, 50 X 100 MM"/>
        <s v="FLEXIBLE WINDOW KNIFE, 40 X 100 MM, BEST REF: FD-201232"/>
        <s v="FLEXIBLE WINDOW KNIFE, 1-1/8&quot; X 4-1/2&quot; (1.125&quot; X 4.5&quot;) (FS-303653)"/>
        <s v="FLEXIBLE WINDOW KNIFE, 40 X 130 MM, BEST REF: FS-305775"/>
        <s v="FLEXIBLE WINDOW KNIFE, 35 X 150 MM (FS-305940)"/>
        <s v="STRAIGHT CUT OFF KNIFE FOR MOH (MO # 30106 SMALL &amp; MO # 30487 BIG) HEIGHT = 1-1/2 INCH"/>
        <s v="UPPER CROSS CUTTING KNIF FOR 97G, (UPPER V.03.02.002.0)"/>
        <s v="PATCH KNIFE, MO-51003"/>
        <s v="KNIFE, MO-51606"/>
        <s v="P&amp;S ROTARY KNIFE"/>
        <s v="STATIONATY KNIFE FOR WINDOW FILM"/>
        <s v="ROUND CUTTING KNIFE FOR B&amp;B, REF: WCCD-03084"/>
        <s v="ROTARY KNIFE FOR WINDOW FILM"/>
        <s v="BOTTOM CUTTING KNIFE FOR 97G"/>
        <s v="STATIONARY P&amp;S KNIFE FOR CHEETAH"/>
        <s v="ROTARY P&amp;S KNIFE CHEETAH"/>
        <s v="SLOT / PUNCH WINDOW DIE. 14 X 75 MM"/>
        <s v="PUNCHER DIE 1-3/4&quot; X 4-1/2&quot;"/>
        <s v="WINDOW KNIFE 14 X 75 MM"/>
        <s v="LOWER CROSS CUTTING KNIF (LOWER: V.03.02.004.0)"/>
        <s v="BOTTOM CUTTING KNIFE"/>
        <s v="CHEETAH WINDOW 12 X 60 MM"/>
        <s v="PUNCHER DIE 50 X 100 MM"/>
        <s v="PUNCH DIE 55 X 90 MM"/>
        <s v="CUTTING KNIFE FOR POLLAR"/>
        <s v="WINDOW KNIFE 14 X 90 MM"/>
        <s v="P&amp;S STATIONARY KNIFE"/>
        <s v="PUNCH DIE 50 X 105 MM"/>
        <s v="PUNCH DIE 55 X 105 MM"/>
        <s v="FLEXIBLE PROFILE KNIFE, 110 X 220 MM, 38MM STRAIGHT FLAP, ZERO DEG ANGLE, CYLINDER DIA 81MM, PULL 74MM (BEST REF: FA-410731)"/>
        <s v="79804M, KIT PRINT HEAD 300DPIZM600"/>
        <s v="SOLENOID VALVE YS-DCF-R1 24VDC"/>
        <s v="DUAL POSITIVE DRIVE TIMING BELT FOR PINEBERRY FEEDER, D190XL037."/>
        <s v="TAN BELT HSF-00-013 FOR PINEBERRY FEEDER"/>
        <s v="BLUE RIBBED FEEDER BELT 002128R (ART # 1002381)"/>
        <s v="SPECIAL TIMING BELT, NOT=89"/>
        <s v="SPECIAL TIMING BELT, NOT=100"/>
        <s v="W&amp;D REF: L 249.00.2530.1, SCORE ROLL, 60A, DIA=80MM, ONE GROOVE (UNICAST REF: 10-1187)"/>
        <s v="12V CHANNEL OPTOCOUPLER ISOLATION MODULE"/>
        <s v="PU TUBING 8MM"/>
        <s v="HOOKED SPANNER, V87.00.056.0"/>
        <m u="1"/>
        <s v=" " u="1"/>
        <s v=" DE-CURL BARS, 16 X 16 X 450 MM" u="1"/>
        <s v=" 63A, FUSE" u="1"/>
        <s v="TIMING BELT (850H200)" u="1"/>
        <s v="HARD KNIVES UPPER KNIFE FOR WINDOW FILM " u="1"/>
        <s v=" &lt;4735&gt; SOLID PANEL DIE FOR 327G, '0' DEG ANGLE HALF ROUND DIE" u="1"/>
        <s v=" GRINDING PASTE, COARSE" u="1"/>
        <s v=" BULB 24 V" u="1"/>
        <s v=" P/N: 1733, HA2 8 INCH SLOT COATER SHIM. 0.005&quot; THICK. BLANK PATTERN FOR P/N: 1731 SLOT NOZZLE" u="1"/>
        <s v="PHILIP BIT FOR SCREW" u="1"/>
        <s v="ENVELOPE HIGH DIE 4 X 3 (CENTER SEAM), (CAPITAL REF:  R-86)" u="1"/>
        <s v="THRUST BEARING 51104 (20 X 35 X 10 MM)" u="1"/>
        <s v="SHORT STROKE CYLINDER" u="1"/>
        <s v="SEALING KNIFE" u="1"/>
        <s v=" UNICAST SCORE ROLL 20-3217SYS, MOH-31069" u="1"/>
        <s v="McMASTER: 5824T77, RULON SHEET 1/16&quot; X 6&quot; X 6&quot;" u="1"/>
        <s v="TIMING BELT, T5-270, W = 40 MM" u="1"/>
        <s v=" RUBBER ROLLER (MV 44.008.0) (L 990.00.0116.5) (12287/04), DIA=58 MM, L=50 MM (60 SHORE)" u="1"/>
        <s v="PHILIPS ENERGY SAVER " u="1"/>
        <s v="TIMING BELT FOR 38R P&amp;S UNIT" u="1"/>
        <s v=" 110V, BULB" u="1"/>
        <s v="BALL BEARING 6006-2Z" u="1"/>
        <s v=" 130V, BULB" u="1"/>
        <s v="BALL BEARING 6001-2Z (15 X 32 X 9 MM)" u="1"/>
        <s v=" MO-51606 KNIFE " u="1"/>
        <s v=" AC 1.25A, FUSE" u="1"/>
        <s v="RUBBER ROLLER FEED ROLL SW-30417" u="1"/>
        <s v=" P/N: 250258, O-RING, 22 X 17 X 2.5 MM" u="1"/>
        <s v="ENVELOPE HIGH DIE 3 1/2 X 6 1/2 (OECS), (CAPITAL REF:  U-25)" u="1"/>
        <s v=" P-600, SUPREME GEAR OIL ISO 150" u="1"/>
        <s v="PUNCH DIE 14 X 75 MM WINDOW SIZE" u="1"/>
        <s v=" 3.8V, BULB" u="1"/>
        <s v=" POWER SUPPLY 24VDC, 1.5A, S-35-24" u="1"/>
        <s v=" FF TEFLON TAPE" u="1"/>
        <s v="4 3/8 X 5 3/4 (A2 MAC FLAP)" u="1"/>
        <s v="FLAP SCORING BLADE PART-MOH-30485 (FLS # 46286, ITEM # 11)" u="1"/>
        <s v="BALL BEARING 6206-2Z" u="1"/>
        <s v="V-BELT B-78, FOR 38R MAIN DRIVE" u="1"/>
        <s v="FLAP SCORING BLADE FOR MOW" u="1"/>
        <s v="SELF ALIGNING BEARING" u="1"/>
        <s v=" SQUAR HEAD SCREW" u="1"/>
        <s v="BALL BEARING 6306-2Z" u="1"/>
        <s v=" BRACKET FOR P&amp;S UNIT" u="1"/>
        <s v="ENVELOPE HIGH DIE 75 X 170, (CAPITAL REF:  S-08)" u="1"/>
        <s v="SELF ALIGNING BEARING 129 WA NSK (9 X 26 X 8 MM)" u="1"/>
        <s v=" V.03.02.004.0 LOWER CROSS CUTTING KNIF FOR 97G " u="1"/>
        <s v="OPTICELL LASER ENGRAVED RECONDITIONED ANILOX ROLLER FOR 327G MACHINE" u="1"/>
        <s v="TIMING BELT T5-280, WIDTH = 40 MM, 56 TEETH, 280MM LENGTH, 5MM PITCH, W&amp;D REF: N011.412" u="1"/>
        <s v="VALVE # 3" u="1"/>
        <s v="TIMING BELT TIMING BELT (540H)" u="1"/>
        <s v="GRINDING PASTE" u="1"/>
        <s v=" 115 X 225 MM FLEXIBLE PROFILE KNIFE FOR 38R, '0' DEG ANGLE SECURITY CUT, BEST REF: C-9781" u="1"/>
        <s v=" 2.5V, BULB" u="1"/>
        <s v="UNIVERSAL BEARING (MORSE REF: KY35N, U JOINT 31.8 X 81.6 PU500, HS 194 5-243X)" u="1"/>
        <s v=" FILTER ELEMENT, LFMAP-D-MIDI, MAT # 162675 (0.01 MICRON)" u="1"/>
        <s v=" DISC, MV017.657/-" u="1"/>
        <s v="FLEXIBLE PROFILE KNIFE 113 X 230 MM FOR 38R, '0' DEG ANGLE " u="1"/>
        <s v="CHAIN LINKS" u="1"/>
        <s v="CHAIN LINKS " u="1"/>
        <s v="BALL BEARING 1726203-2RS" u="1"/>
        <s v=" DC INPUT MODULE 24V DC, 1746-IB16 (ALLEN BRADLEY) (FROM TEK SUPPLU INC)" u="1"/>
        <s v=" GUIDE FOR RUBBER ROLLS" u="1"/>
        <s v=" 10-32 X 3/8&quot;, FLAT HEAD M.S L. KEY BOLT (McMASTER: 91253A001)" u="1"/>
        <s v="ENVELOPE HIGH DIE 60 X 100, (CAPITAL REF:  R-90)" u="1"/>
        <s v="RUBBER SUCKER FOR VACUUM CYLINDER" u="1"/>
        <s v=" PART # 169728, MILLER ADAPTER CONTACTOR" u="1"/>
        <s v=" 55 X 90 MM PUNCH DIE " u="1"/>
        <s v="INSULATING TAPE" u="1"/>
        <s v="CONTACTOR LC1D12F7.  240V, 32A" u="1"/>
        <s v="TIMING BELT (809 SYNCHROFLEX T5/410)" u="1"/>
        <s v="35-1 CHAIN LINKS " u="1"/>
        <s v="TIMING BELT 450 H 150" u="1"/>
        <s v="ALIGNER PIN (UNIVERSAL)" u="1"/>
        <s v="FLAP SCORING BLADE MOH-30485, FOR MOH" u="1"/>
        <s v=" TEFLON TAPE, 0.13X25X10" u="1"/>
        <s v=" WHEEL" u="1"/>
        <s v="PUNCH DIE 50 X 100 MM WINDOW" u="1"/>
        <s v="PUNCH DIE 50 X 105 MM WINDOW" u="1"/>
        <s v="ROUND PUSH BUTTON HEAD 22 MM" u="1"/>
        <s v="STAPLING PIN" u="1"/>
        <s v=" ROLLER BEARING, N205 NE" u="1"/>
        <s v="BALL BEARING 160-2RS" u="1"/>
        <s v=" PINS FOR 38R PRINTING CLUTCH" u="1"/>
        <s v="PLAIN WASHER D=5.3" u="1"/>
        <s v=" 1 INCH NPT M.S SOCKET" u="1"/>
        <s v=" CONTACTOR 24V-DC (35A), MOELLER  DILOM-G/11" u="1"/>
        <s v="ENVELOPE HIGH DIE 90 X 58, (CAPITAL REF:  R-32)" u="1"/>
        <s v=" CORK TAPE ROLL" u="1"/>
        <s v="FLAP SCORING BLADE SCORE BLADES FOR MOW" u="1"/>
        <s v=" BISON KIT" u="1"/>
        <s v=" 40 X 100 MM FLEXIBLE WINDOW KNIFE FOR 38R '0' DEG ANGLE  BEST REF: FS-302055" u="1"/>
        <s v="TAPERED PLASTIC CAP" u="1"/>
        <s v="BALL BEARING 6004-2Z" u="1"/>
        <s v=" 60235k67, ORANGE HANDLE (M6 X 40 MM)" u="1"/>
        <s v="RUBBER ROLLER LO-3607" u="1"/>
        <s v=" SMC PNEUMATIC CYLINDER, ECQ2B32-15D" u="1"/>
        <s v=" 162 X 229 MM FLEXIBLE PROFILE KNIFE FOR 38R, '0' DEG ANGLE TRAPEZOID" u="1"/>
        <s v="BALL BEARING 6204-2Z" u="1"/>
        <s v=" 08B-10, SPROCKET" u="1"/>
        <s v="HEX NUT" u="1"/>
        <s v=" 08B-11, SPROCKET" u="1"/>
        <s v=" HEATING ELEMENT 640 MM LONG" u="1"/>
        <s v=" RUBBER PAD" u="1"/>
        <s v="TIMMER RELAY" u="1"/>
        <s v=" 50 X 105 MM PUNCH DIE " u="1"/>
        <s v="ENVELOPE HIGH DIE 5 1/2 X 8 1/8 (A8 OSSS), (CAPITAL REF:  U-04)" u="1"/>
        <s v="FLEXIBLE CUT OFF KNIFE 115 X 229 MM FOR 38R, '1' DEG LEFT ANGLE BEST REF: D-5024" u="1"/>
        <s v="BALL BEARING 6304-2Z" u="1"/>
        <s v=" 55 X 105 MM PUNCH DIE " u="1"/>
        <s v=" V 8125.07.30, CAM FOLLOWER" u="1"/>
        <s v=" ELASTIC BELT" u="1"/>
        <s v="FLAP SCORING BLADE SIZE: 20.1 X 3 X 295 MM, W&amp;D REF: V 03.01.343.0, FOR 527 GSV" u="1"/>
        <s v=" SHOE (AMERICAN HOLT, INC), RA-70423" u="1"/>
        <s v="FLEXIBLE WINDOW KNIFE 90 X 40 MM, FOR 38R '0' DEG ANGLE" u="1"/>
        <s v="ENVELOPE HIGH DIE 13 X 9, (CAPITAL REF:  R-58)" u="1"/>
        <s v=" SHOULDER BOLTS FOR UNWINDER" u="1"/>
        <s v=" P/N: 3048, MALE ADAPTER, 1/4&quot; NPT, 37deg FLARE" u="1"/>
        <s v=" P/N: 23779-15, DIFFERENTIAL PRESSURE INDICATOR" u="1"/>
        <s v=" RUBBER ROLLER FOR 327, DIA = 50 MM" u="1"/>
        <s v="TIMING BELT TIMING BELT 240H100, PART-MOH-30196 (FLS#46286-1)" u="1"/>
        <s v=" GM9213-5, PITTMAN MOTOR, 12/24VDC, 728:1 RATIO" u="1"/>
        <s v=" 20 INCH JUMBO YARN FILTER" u="1"/>
        <s v=" 280XX256, FIXED-FIELD SENSOR, 4&quot; RANGE WITH 581XX484 MOUNTING" u="1"/>
        <s v="TIMING BELT V620/6, (508 SYNCHROFLEX V620/6), W&amp;D REF: N 011.120" u="1"/>
        <s v="TIMING BELT TIMING BELT, PART-MOW-30018" u="1"/>
        <s v="NEEDLE BEARING HJ-283716" u="1"/>
        <s v=" MFH-5-1/8, SINGLE SOLENOID VALVE" u="1"/>
        <s v=" SHAFT COLLAR, McMASTER REF: 8386K22" u="1"/>
        <s v=" PART # FT-235P-550T, EXPOSED ELEMENT INLET FILTER" u="1"/>
        <s v="RUBBER N 010236, RUBBER ROLLER" u="1"/>
        <s v="KEY 5/16X5/16X12 INCH" u="1"/>
        <s v="TIMING BELT BELT 450H300" u="1"/>
        <s v=" 60-1 CHAIN (3/4&quot;)" u="1"/>
        <s v="ENVELOPE HIGH DIE 4 X 3 (SIDE SEAM), (CAPITAL REF:  R-87)" u="1"/>
        <s v="WATER METERING ROLLER (B)" u="1"/>
        <s v=" FLAP SCORE BLADES, V03.02.435.0" u="1"/>
        <s v=" K7.610.74, L-SQUARE HEAD SOCKET WRENCH" u="1"/>
        <s v="RUBBER ROLLS N010.232. (1.980&quot;X0.985&quot;)" u="1"/>
        <s v="LINE FILTER, 0.040" u="1"/>
        <s v=" EUKALIN 1505, SOLUTION FOR HOTMELT TANK CLEANING" u="1"/>
        <s v=" BULB FOR PLATE MAKER, PHILIPS MASTER HPI-T PLUS 400W/645" u="1"/>
        <s v=" BAR" u="1"/>
        <s v="ROLLER BEARING EE 135 ZZ X M" u="1"/>
        <s v="3 7/8 X 8 7/8 (09 OSDS)" u="1"/>
        <s v="BALL BEARING 607 (R4) (17 X 19 X 6 MM)" u="1"/>
        <s v="RULON SHEET 1/4&quot; X 6&quot; X 6&quot;" u="1"/>
        <s v="ENVELOPE HIGH DIE 6-1/8&quot; X 9-1/2&quot;, (CAPITAL REF:  U-45)" u="1"/>
        <s v=" 10A, 500V, FUSE 10 X 38 MM" u="1"/>
        <s v="INLINE FUSE HOLDER" u="1"/>
        <s v=" FLASH LIGH" u="1"/>
        <s v="BALL BEARING 6009-2Z (45 X 75 X 16 MM)" u="1"/>
        <s v="FESTO PNEUMATIC CYLINDER, ADVC-32-15-I-P-A" u="1"/>
        <s v="HARD KNIFE STRAIGHT SET OF CUT OFF KNIFE FOR MO " u="1"/>
        <s v="BALL BEARING 607 (R4)" u="1"/>
        <s v="RUBBER ROLLER 3.76 X 3/4 INCH. MP2416 NEW, UNICAST REF: 10-1081" u="1"/>
        <s v=" NORDSON SHIM 0.005&quot; THICK FOR GLUE NOZZLE (175MM NOTCH CUT)" u="1"/>
        <s v=" MOH SCORING UNIT SUPPORT" u="1"/>
        <s v=" SILICONE TUBE FOR CHEETAH VACUUM CYLINDER" u="1"/>
        <s v="ENVELOPE HIGH DIE 6 X 9 (OSSS), (CAPITAL REF:  U-33)" u="1"/>
        <s v="CORNER CUTTER NO: 37348 &amp; NO: 37652,  &quot;LHS&quot;" u="1"/>
        <s v=" SIDE SCORE TUBE 4&quot; LONG, UNICAST REF: 10-5005" u="1"/>
        <s v="VASITOR(ELCT)" u="1"/>
        <s v="CARTRIDGE HEATER (DIA 12.5MM X L=255MM)" u="1"/>
        <s v=" TOGGLE SWITCH" u="1"/>
        <s v="BALL BEARING 6002-2Z" u="1"/>
        <s v="SEG-MOH 40205 7X1&quot;90*" u="1"/>
        <s v="RUBBER ROLLER P/N: 10-1297 (L 527.00.218.1)" u="1"/>
        <s v="SAFETY SHOE SIZE: 41" u="1"/>
        <s v="CAM FOLLOWER" u="1"/>
        <s v="TESA 4204 (CAMERA CLEAR TAPE)" u="1"/>
        <s v="CAP SCREW 3/8-16UNC x 1.50, GRADE 5 (@55 FT-LBs" u="1"/>
        <s v="3-3/8&quot; X 6&quot;" u="1"/>
        <s v="SET OF GEAR FOR SCORING ROLLER" u="1"/>
        <s v="BALL BEARING 6016-2Z" u="1"/>
        <s v="BALL BEARING 6202-2Z" u="1"/>
        <s v=" STANDARD HEAD CAP SCREW 1/4&quot;-28 X 1&quot;, 91251A442 (McMaster)" u="1"/>
        <s v="TIMING BELT T5-690" u="1"/>
        <s v="STANDARD HEAD CAP SCREW 10-32 X 3/8&quot;" u="1"/>
        <s v="BALL BEARING 6302-2Z" u="1"/>
        <s v="HABASIT TC-55ER (37 X3150X3MM)" u="1"/>
        <s v=" 11 WATT, 220VAC, PHILIPS ENERGY SAVER" u="1"/>
        <s v="SOLID PANEL DIE 50 X 90 MM, FOR 327G, '0' DEG ANGLE " u="1"/>
        <s v="NEEDLE BEARING 1-3/4&quot; X 1-1/2&quot; X 1&quot;" u="1"/>
        <s v="ENVELOPE HIGH DIE 90 X 145, (CAPITAL REF:  S-09)" u="1"/>
        <s v="McMASTER REF: 4744A831, ALUMINUM OXIDE SANDING BELT. SIZE: 1/2&quot; X 24&quot;. GRADE: 180 " u="1"/>
        <s v="ENVELOPE HIGH DIE 162 X 229, (CAPITAL REF:  R-12)" u="1"/>
        <s v=" OVER LOAD CUT OUT (MOTOR PROTECTIVE SWITCH) 6---10A, MOELLER  PKZMO-10  (W+D: K4.519.79)" u="1"/>
        <s v=" CORNER BLOCK FOR PP1622 MK, WH01-C1A" u="1"/>
        <s v="4 1/2 X 10 3/8 (11 OSDS)" u="1"/>
        <s v=" FESTO COMPACT CYLINDER, ADVC-20-10-IP" u="1"/>
        <s v="TIMING BELT FMX28, (9.5 X 715 La)" u="1"/>
        <s v=" ABB PART NO DSTUD3 (9-110VDC) MICOTIME SSAC (WWW.SAAC.COM)" u="1"/>
        <s v=" GEAR COUPLING" u="1"/>
        <s v=" GRINDING PASTE, FINE" u="1"/>
        <s v="ENVELOPE HIGH DIE 15 X 10, (CAPITAL REF:  R-41)" u="1"/>
        <s v=" CROSS FOR UNIVERSAL JOINT, 30.2 X 80 MM" u="1"/>
        <s v=" COMB KNIFE FOR MINIPACK PRATIKA 56" u="1"/>
        <s v="PART # 144046-005, QUINSYN-PLUS COMPRESSOR OIL (www.quincycompressor.com) VACUUM # 2 OIL CHANGED ON 80475 HOUR &amp; VACUUM # 1 OIL CHANGED ON 72863 HOUR.         " u="1"/>
        <s v=" V81040180, SET OF SHAFT SOCKET" u="1"/>
        <s v=" MODEL: 77LT-3S. SR NO: 1007-413. TYPE: UNIVERSAL . SUPPLY: 85-265VAC FROM: RELIABLE HEATER LLC" u="1"/>
        <s v="CHAIN # 40-1" u="1"/>
        <s v="FEED ROLL (3.76 X 3/4 INCH. MP2416 NEW)" u="1"/>
        <s v="ENVELOPE HIGH DIE 162 X 240, (CAPITAL REF:  R-25)" u="1"/>
        <s v=" GLUE VULCOL" u="1"/>
        <s v=" SEPARATOR FINGER (36.017.084/), 419 0486 36017084" u="1"/>
        <s v=" P/N: 125025, LINE FILTER, 0.040" u="1"/>
        <s v="BRONZE BUSHING" u="1"/>
        <s v="RUBBER ROLLER NO 010.236" u="1"/>
        <s v="4 3/8 X 5 3/4 (5.5 OSDS)" u="1"/>
        <s v=" TIME DELAY RELAY, CROUZET. TAR 1" u="1"/>
        <s v="SOLID PANEL DIE 25 X 100 MM, DIE FOR 327G, '0' DEG ANGLE " u="1"/>
        <s v="PARTS FOR ROTARY UNION" u="1"/>
        <s v="KEY 1/4X1/8X5/16X1/8X12 INCH" u="1"/>
        <s v=" SQUARE HEAD BOLT, M10 X 50MM" u="1"/>
        <s v=" RECIPROCATING SAW FOR PVC, SIZE = 8 INCH" u="1"/>
        <s v=" P/N: 2757-008, 8ft HOSE FOR AUTOMATIC APPLICATOR, SOLID STATE, 230V/60Hz, SINGLE PHASE, SN: 137877, 137878" u="1"/>
        <s v=" CLIPS FOR 2 GREASE PIPE LINES" u="1"/>
        <s v="END SEAL PTFE END SEAL, TYPE 2, AKEBOOSE PROD # CET 0652 02" u="1"/>
        <s v=" BN SILICON PASTE KS64 (BNSPT100G)" u="1"/>
        <s v="WATER DOSING ROLLER 52  WITH KEY (L212.00.0452.2)" u="1"/>
        <s v=" BOTTOM PEEL &amp; SEAL KNIFE (LIMIT 0.9685&quot; TO 0.960&quot;)" u="1"/>
        <s v="RUBBER ROLLER LO-3505" u="1"/>
        <s v=" SINGLE OFFSET CHAIN LINK # 60" u="1"/>
        <s v="FLEXIBLE PROFILE KNIFE 110 X 232 MM FOR 38R, '0' DEG ANGLE BEST REF: D-7269 FOR OIFC" u="1"/>
        <s v="BALL BEARING 6000-2Z" u="1"/>
        <s v=" SIDE SEAL WIRE-TOP, J05-0499-001" u="1"/>
        <s v="L. KEY SET (MM SIZE)" u="1"/>
        <s v="INLET VALVE SPRING (FOR VACUUM PUMP)" u="1"/>
        <s v=" NORDSON 319988, SETTING GAGE EP 10ft 0.3" u="1"/>
        <s v="SOLID PANEL DIE 66 X 106, FOR 327G, '0' DEG ANGLE " u="1"/>
        <s v="FIBRE SPUR GEAR." u="1"/>
        <s v="UNIVERSAL JOINT CORSS 31.8 X 81.6" u="1"/>
        <s v="ENVELOPE HIGH DIE 6 X 9 (OESSS), (CAPITAL REF:  U-05)" u="1"/>
        <s v=" DUCT TAPE" u="1"/>
        <s v="BALL BEARING 6200-2Z" u="1"/>
        <s v="HARD KNIFE MO-51606 KNIFE " u="1"/>
        <s v=" PART # 1007234, NORDSON INLINE FILTER" u="1"/>
        <s v="ENVELOPE HIGH DIE 15 X 10, (CAPITAL REF:  R-62)" u="1"/>
        <s v="FLEXIBLE WINDOW KNIFE 45 X 105 MM, FOR 38R '0' DEG ANGLE  BEST REF: 178030 (FS-300814)" u="1"/>
        <s v="CHAIN TENSIONER FOR # 35-1" u="1"/>
        <s v="ENVELOPE HIGH DIE 13 X 9, (CAPITAL REF:  R-40)" u="1"/>
        <s v=" P/N: 1628-010, SPRAY NOZZLE. 0.010&quot; ORIFICE" u="1"/>
        <s v="CONTACTOR RELAY, 24VAC, 4 NO, 50/60Hz" u="1"/>
        <s v=" STRAIGHT BIT FOR SCREW" u="1"/>
        <s v=" PLC UNIT" u="1"/>
        <s v=" P/N: CR-22-1118, UNIVERSAL JOINT FOR MOH &amp; MOW" u="1"/>
        <s v=" CROSS FLANGE (U.J CROSS FLANGE 30 X 80 MM), # RTB 1110" u="1"/>
        <s v="ENVELOPE HIGH DIE 13 X 9, (CAPITAL REF:  R-45)" u="1"/>
        <s v=" 745XX948, FLAT SEAL" u="1"/>
        <s v=" CHAIN LINK # 08B-1" u="1"/>
        <s v=" PCB SPEED SELECTOR FOR  WATER MOTOR, K4.706.40 (L 990.08.0005.0)" u="1"/>
        <s v=" L. KEY, 2 MM (McMASTER REF: 6958A11)" u="1"/>
        <s v="SOLID PANEL DIE 30 X 60 MM, FOR 327G, '0' DEG ANGLE " u="1"/>
        <s v="RELAY" u="1"/>
        <s v="AMBER LAMP BULB" u="1"/>
        <s v="SOLID PANEL DIE 30 X 80 MM, FOR 327G, '0' DEG ANGLE " u="1"/>
        <s v="SOLID PANEL DIE 30 X 90 MM, FOR 327G, '0' DEG ANGLE " u="1"/>
        <s v="1 INCH NPT M.S ELBOW" u="1"/>
        <s v="T-SQUARE HEAD SOCKET WRENCH" u="1"/>
        <s v="SOLID PANEL DIE 35 X 80 MM, FOR 327G, '0' DEG ANGLE " u="1"/>
        <s v="SOLID PANEL DIE 34 X 90 MM, FOR 327G, '0' DEG ANGLE " u="1"/>
        <s v="SOLID PANEL DIE 35 X 90 MM, FOR 327G, '0' DEG ANGLE " u="1"/>
        <s v=" ROLLER FOR GLUE UNIT" u="1"/>
        <s v=" ECU FOR MITSUBISHI FORKLIFT" u="1"/>
        <s v=" McMASTER REF: 2595A367, SPECIAL THREAD TAP 3/4&quot;-24" u="1"/>
        <s v="PROTECTIVE FOIL ROLL" u="1"/>
        <s v="RUBBER ROLLER N010.215 (UNCAST REF: 10-1147)" u="1"/>
        <s v=" OLD CERAMIC BAR, 12 MM DIA, FOR 527 GSV WINDOW UNIT" u="1"/>
        <s v="CARBON BRUSH" u="1"/>
        <s v=" P/N: 1604, CYLINDER CAP" u="1"/>
        <s v=" COUPLING WITH STAR FOR P&amp;S SERVO DRIVE" u="1"/>
        <s v="INTERMEDIATE ROLLER 44 (L212.00.0044.0)" u="1"/>
        <s v="ENVELOPE HIGH DIE 108 X 235, (CAPITAL REF:  R-29)" u="1"/>
        <s v="AIR CHUCK SG-498-6-1B, 6&quot; OD x 2.430&quot;" u="1"/>
        <s v="HARD KNIFE TOP P&amp;S KNIFE FOR CHEETAH " u="1"/>
        <s v=" 55 X 115 MM SOLID PANEL DIE FOR 327G, '0' DEG ANGLE " u="1"/>
        <s v="5-1/8&quot; X 9-1/2&quot; (DSS)" u="1"/>
        <s v=" K4.225.68, ELECTRIC BOARD" u="1"/>
        <s v=" PLASTIC COUPLING" u="1"/>
        <s v=" 40 X 100 MM FLEXIBLE WINDOW KNIFE FOR 38R '0' DEG ANGLE  BEST REF: FD-201232" u="1"/>
        <s v=" P/N: 121965, DIAL GAUGE" u="1"/>
        <s v=" OLD PARTS BOX" u="1"/>
        <s v="FLEXIBLE WINDOW KNIFE 35 X 85 MM, FOR 38R '0' DEG ANGLE" u="1"/>
        <s v="LOESCHLOGIK 24-5" u="1"/>
        <s v="SOLID PANEL DIE 52 X 75 MM, FOR 327G, '0' DEG ANGLE " u="1"/>
        <s v="SOLID PANEL DIE 50 X 95 MM, FOR 327G, '0' DEG ANGLE " u="1"/>
        <s v="CARBON BRUSH K6 915.66" u="1"/>
        <s v=" STEEL WIRE, N05-0499-006" u="1"/>
        <s v="TUBE BRUSH" u="1"/>
        <s v="6MM Sq HEAD SCREW" u="1"/>
        <s v=" RUBBER SUCKER, 419 0486 66028406" u="1"/>
        <s v="PART # FT-235P-550T, EXPOSED ELEMENT INLET FILTER" u="1"/>
        <s v="McMASTER: 6436K81, SHAFT COLLAR 2-7/16&quot;" u="1"/>
        <s v="TIMING BELT 8M560-30, FOR 38R P&amp;S UNIT" u="1"/>
        <s v=" OSCILLATING ROLL (MO-818), PART-MOH-10369" u="1"/>
        <s v=" 3.875&quot; X 8.875&quot; (1.6539&quot; V-FLAP) FLEXIBLE PROFILE KNIFE FOR 38R, '0' DEG ANGLE BEST REF: FA-403649" u="1"/>
        <s v="TIMING BELT T5-280, WIDTH = 40 MM, W&amp;D REF: N011.412" u="1"/>
        <s v=" McMaster PART NO: 98015K23 , 10 MICRON POLYPROPYLENE FELT BAG FOR 20 GPM, POLYPROPYLENE FILTER BAG  HOUSING" u="1"/>
        <s v=" POTENTIOMETER, 1K OHM, BOURNS-3590S-2-102L" u="1"/>
        <s v=" CLIPS FOR 3 GREASE PIPE LINES" u="1"/>
        <s v="ENVELOPE HIGH DIE 4.5 X 9.5, (CAPITAL REF:  S-07)" u="1"/>
        <s v="GUMMING PAD / FOAM TAPE" u="1"/>
        <s v=" 40 X 105 MM SOLID PANEL DIE FOR 327G, '0' DEG ANGLE " u="1"/>
        <s v="ENVELOPE HIGH DIE 165 X 235, (CAPITAL REF:  R-73)" u="1"/>
        <s v="ENVELOPE HIGH DIE 90 X 160, (CAPITAL REF:  R-79)" u="1"/>
        <s v=" 41-1 ADD &amp; CONNECT CHAIN LINK" u="1"/>
        <s v=" 45 X 105 MM SOLID PANEL DIE FOR 327G, '0' DEG ANGLE " u="1"/>
        <s v=" 2 AMP, FUSE" u="1"/>
        <s v="HACK SAW BLADE 1/2 INCH" u="1"/>
        <s v="ADHESIVE TAPE PERFORATED TAPE, RA-90609AH" u="1"/>
        <s v="BEARING NEEDLES 6 X 40 MM" u="1"/>
        <s v="SCORING ROLLER SIDE SCORER ROLLER, PART-LO-1901" u="1"/>
        <s v=" P/N: 245P, POLYESTER ELEMENT WITH PRE-FILTER" u="1"/>
        <s v="BALL BEARING NSK - 7200 BW (10 X 30 X 9 MM)" u="1"/>
        <s v="BUTTON HEAD SCREW 10-32 X 3/8&quot;" u="1"/>
        <s v="SHAFT COLLAR 20 MM BORE" u="1"/>
        <s v="SOLID PANEL DIE 37 X 93 MM, FOR 327G, '0' DEG ANGLE " u="1"/>
        <s v="LEFT SIDE GUMMER 112.5 MM" u="1"/>
        <s v="04E.1140.QF, QF0190, FILTER ELEMENT" u="1"/>
        <s v="FLEXIBLE PROFILE KNIFE 110 X 220 MM FOR 38R, '0' DEG ANGLE SECURITY CUT, BEST REF: D-3394 (FA-401557)" u="1"/>
        <s v="PRESSURE SWITCH" u="1"/>
        <s v=" P/N: 124487-017, QUINCY OIL/AIR SEPARATOR FILTER FOR VACUUM PUMP" u="1"/>
        <s v=" P/N: 250851, HEATER CARTRIDGE (1084290 CE, 135W, 230V, NORDSON G12 E 330841)" u="1"/>
        <s v="FLEXIBLE CUT OFF KNIFE STRAIGHT CUT, BEST REF: D-1481 (FA-169811) FOR 38R, '1' DEG LEFT ANGLE " u="1"/>
        <s v=" GEAR" u="1"/>
        <s v=" GRIPPER PLATE (NO 2), V 79.89.439.0" u="1"/>
        <s v="ENVELOPE HIGH DIE 5.25 X 7.25 (LEE OSDS), (CAPITAL REF:  U-20)" u="1"/>
        <s v="BALL BEARING 608-2Z (8 X 22 X 7 MM)" u="1"/>
        <s v="NEEDLE BEARING B-1212" u="1"/>
        <s v=" PUSHER PIN WITH PLATE (AMERICAN HOLT, INC), L0-1300/01" u="1"/>
        <s v=" COUPLING FOR WINDOW SECTION" u="1"/>
        <s v="CROSS GU-1600, 23.0 X 58.2 MM" u="1"/>
        <s v=" WATER METERING ROLLER (B), 2.06 INCH DIA, 18.50 INCH FACE LENGTH, 25-30 DUROMETER" u="1"/>
        <s v="OIL SEAL" u="1"/>
        <s v=" DAMPENING ROLLER, DIA = 48 MM" u="1"/>
        <s v="SOLID PANEL DIE 50 X 68 MM, FOR 327G, '0' DEG ANGLE " u="1"/>
        <s v=" UNDERLAY SHEET, 419 0486 MV031792" u="1"/>
        <s v="ENVELOPE HIGH DIE 7.5 X 5, (CAPITAL REF:  R-03)" u="1"/>
        <s v="ENVELOPE HIGH DIE 5 X 7 1/2, (CAPITAL REF:  U-43)" u="1"/>
        <s v=" HEATER 250 W" u="1"/>
        <s v="TIMING BELT 750H100" u="1"/>
        <s v="ENVELOPE HIGH DIE 16 X 12, (CAPITAL REF:  R-54)" u="1"/>
        <s v="5 1/4 X 7 1/4 (A7 OSSS)" u="1"/>
        <s v=" FORM ROLLER 35 (L212.00.0035.0), DIA=45 MM, L=430 MM, HARDNESS=35 SHORE" u="1"/>
        <s v=" 3 X 20 MM, M.S L. KEY BOLT FOR 38R P&amp;S KNIVES" u="1"/>
        <s v="SHAFT COLLAR 25 MM BORE" u="1"/>
        <s v=" PLASTIC HAMMER" u="1"/>
        <s v=" VACUUM SEGMENTS # 38DC-1007" u="1"/>
        <s v="V-BELT, A-69 (A1780Ld/13X1750)" u="1"/>
        <s v=" AC 1.4A, FUSE" u="1"/>
        <s v=" 3 X 25 MM, M.S L. KEY BOLT FOR 38R P&amp;S KNIVES" u="1"/>
        <s v=" AC 1.6A, FUSE" u="1"/>
        <s v="THRUST BEARING 8708" u="1"/>
        <s v="LOW HEAD L. KEY BOLT" u="1"/>
        <s v=" 1 A, FUSE" u="1"/>
        <s v="GUM PLATE ROLL. 1.417 X 11.85 INCH. (L229.07.0218.0)" u="1"/>
        <s v=" 8-32 X 1/2&quot;, M.S L. KEY BOLT (McMASTER: 91251A194)" u="1"/>
        <s v="SOLID PANEL DIE 30 X 95 MM, FOR 327G, '0' DEG ANGLE " u="1"/>
        <s v=" MTG, BLOCK-WIRE TERMINAL (TEF), N05-2669-001" u="1"/>
        <s v="SOLID PANEL DIE 35 X 85 MM, FOR 327G, '0' DEG ANGLE " u="1"/>
        <s v="TIMING BELT FOR MOW, 420L" u="1"/>
        <s v="SOLID PANEL DIE 34 X 95 MM, FOR 327G, '0' DEG ANGLE " u="1"/>
        <s v=" TIGHTENING NUT, PART # V 27.09.000.0" u="1"/>
        <s v=" PRESSURE PIN, K 1.775.41" u="1"/>
        <s v="GEAR MOTOR FOR DAMPENING" u="1"/>
        <s v="ENVELOPE HIGH DIE 110 X 240, (CAPITAL REF:  R-51)" u="1"/>
        <s v="ENVELOPE HIGH DIE 3 7/8 X 8 7/8 (CAPITAL REF: U-49)" u="1"/>
        <s v=" IMPELLER NOVA PUMP, PART # 1210000102" u="1"/>
        <s v=" 13A, FUSE" u="1"/>
        <s v=" NORDSON 400819, MOLD TOOL EP 10ft NOZZLE STEM" u="1"/>
        <s v=" FESTO PNEUMATIC CYLINDER, ADVC-32-15-I-P-A" u="1"/>
        <s v=" BUSHING" u="1"/>
        <s v=" 162 X 229 MM FLEXIBLE PROFILE KNIFE FOR 38R, '0' DEG ANGLE WARID" u="1"/>
        <s v=" 15A, 250VAC, FUSE" u="1"/>
        <s v="NEEDLE BEARING TAF 253320" u="1"/>
        <s v="TIMING BELT 240L100, 48 TEETH" u="1"/>
        <s v="ROLLER BEARING 6908ZZ (40 X 62 X 12 MM)" u="1"/>
        <s v=" HINGES" u="1"/>
        <s v="M.S L. KEY BOLT (91251A183)" u="1"/>
        <s v="ENVELOPE HIGH DIE 125 X 153, (CAPITAL REF:  R-83)" u="1"/>
        <s v="CAM FOLLOWER IKO CF 8 B" u="1"/>
        <s v=" INSULATING TAPE, 91.008.044" u="1"/>
        <s v="FLEXIBLE PROFILE KNIFE 3.875&quot; X 8.875&quot; (1.34375&quot; STRAIGHT S.F) FOR 38R, '0' DEG ANGLE BEST REF: FA-403648" u="1"/>
        <s v="PUSHER PIN WITH PLATE (AMERICAN HOLT, INC)" u="1"/>
        <s v=" 128515, QUINCY COMPRESSOR FLUID ANALYSIS KIT / BOTTLE" u="1"/>
        <s v="NEEDLE BEARING FOR STS GEAR MOTOR" u="1"/>
        <s v=" 35 X 105 MM SOLID PANEL DIE FOR 327G, '0' DEG ANGLE " u="1"/>
        <s v=" CLIPS FOR 4 GREASE PIPE LINES" u="1"/>
        <s v="VITON O-RING, 1.48 Id" u="1"/>
        <s v="TIMING BELT W&amp;D REF: NO 11.080, (237 SYNCHROFLEX DR-186)" u="1"/>
        <s v=" ELECT PLUG, K4.224.26" u="1"/>
        <s v="SPRING (FOR VACUUM PUMP)" u="1"/>
        <s v="TIMING BELT 1100H100" u="1"/>
        <s v="HABASIT TC-55ER (37 X4000X3MM)" u="1"/>
        <s v="SOLID PANEL DIE 19 X 73 MM, FOR 327G, '0' DEG ANGLE " u="1"/>
        <s v="BALL BEARING 6010-2Z" u="1"/>
        <s v="SOLID PANEL DIE 19 X 83 MM, FOR 327G, '0' DEG ANGLE " u="1"/>
        <s v=" OUT PUT CARD ELECTRICAL (FLS # 47096), PART NO RA-93078" u="1"/>
        <s v="5 1/2 X 7 1/2 (OSSS)" u="1"/>
        <s v=" RUBBER ROLLS" u="1"/>
        <s v=" 110 X 220 MM FLEXIBLE PROFILE KNIFE FOR 38R, '0' DEG ANGLE BEST REF: D-3983 (FA-173032)" u="1"/>
        <s v=" FEED ROLL" u="1"/>
        <s v="UNIVERSAL SPANNER" u="1"/>
        <s v="BALL BEARING 6210-2Z" u="1"/>
        <s v="ENVELOPE HIGH DIE 175 X 247, (CAPITAL REF:  R-74)" u="1"/>
        <s v=" KEY 1/4X1/8X5/16X1/8X12 INCH, 92271A213 (McMaster)" u="1"/>
        <s v="CLAMPING RING" u="1"/>
        <s v=" POWER SUPPLY, 230VAC TO 24VDC, 6 AMP (ANDELI REF: S-150-24)" u="1"/>
        <s v=" P/N: 3520, VITON O-RING, 111" u="1"/>
        <s v="RUBBER ROLLER 15-3114  &amp; N 010.022" u="1"/>
        <s v="ENVELOPE HIGH DIE 110 X 230, (CAPITAL REF:  R-48)" u="1"/>
        <s v="FLAT HEAD M.S L. KEY BOLT (McMASTER: 91253A192)" u="1"/>
        <s v="PLATE" u="1"/>
        <s v="RUBBER ROLLER P/N: 10-1236, PART-SYM-34126, FLS # 46038  (ITEM # 5)" u="1"/>
        <s v="9 1/2 X 12 1/2 (OESSS)" u="1"/>
        <s v="RUBBER ROLLER PART-SYM-34126, FLS # 46038  (ITEM # 5)" u="1"/>
        <s v=" 30 X 115 MM SOLID PANEL DIE FOR 327G, '0' DEG ANGLE " u="1"/>
        <s v=" TRANSIT CHANNEL (FRONT) PART FOR PP1622 MK, WH01-C7B" u="1"/>
        <s v="ENVELOPE HIGH DIE 7.5 X 5, (CAPITAL REF:  R-05)" u="1"/>
        <s v=" P/N: 3515, VITON O-RING, 013" u="1"/>
        <s v=" 6 X 9.5 X 20 MM, CARBON BRUSH FOR HOT MELT UNIT MOTOR" u="1"/>
        <s v="BALL BEARING 3204" u="1"/>
        <s v=" SCREW DRIVER SET OF 10 PIECES (McMASTER REF: 8551A31)" u="1"/>
        <s v=" 38 X 115 MM SOLID PANEL DIE FOR 327G, '0' DEG ANGLE " u="1"/>
        <s v="TESA 4863 (EMBOSSED ROLLER GRIP TAPE)" u="1"/>
        <s v="TIMING BELT TIMING BELT 250XL (W=9MM)" u="1"/>
        <s v="SPECIAL BELT FOR 97G FROM W&amp;D" u="1"/>
        <s v=" FILES" u="1"/>
        <s v=" DOWEL PINS 3/16&quot; X 1-1/2&quot;,  0.001 OVERSIZE DOWEL PIN, McMASTER REF: 98385A214" u="1"/>
        <s v="ELECT PLUG" u="1"/>
        <s v="ECCENTRIC BOLT                            (CAM FOLLOWER)" u="1"/>
        <s v=" ALIGNER CHAIN PIN, S327.0029710M" u="1"/>
        <s v="ENVELOPE HIGH DIE 4 1/8 X 9 1/2 (10 OSDS), (CAPITAL REF:  U-19)" u="1"/>
        <s v="ENVELOPE HIGH DIE 115 X 225, (CAPITAL REF:  R-16)" u="1"/>
        <s v="SEGMENT 15-1314T" u="1"/>
        <s v=" SHORT STROKE CYLINDER, 00.580.3707/03" u="1"/>
        <s v=" SUCKER, 419 0486 42016073" u="1"/>
        <s v="SEGMENT" u="1"/>
        <s v="30-1 CHAIN LINKS" u="1"/>
        <s v=" 280XX191, SCANNER WITH M12 CONNECTOR" u="1"/>
        <s v="TIMING BELT TIMING BELT 850H300" u="1"/>
        <s v="FLEXIBLE PROFILE KNIFE 162 X 229 MM FOR 38R, '0' DEG ANGLE WARID" u="1"/>
        <s v=" SWITCHES, K4.262.16" u="1"/>
        <s v=" V 03.00.001.0, SIDE SCORE BLADE FOR W&amp;D 141" u="1"/>
        <s v="5 X 7 1/2" u="1"/>
        <s v="BELT" u="1"/>
        <s v="DISC" u="1"/>
        <s v="GREY TAPE 25MM X 33MTR" u="1"/>
        <s v=" McMASTER REF: 7332K11, CHAIN TENSIONER FOR # 35-1" u="1"/>
        <s v=" SRC-000072, MAGNETIC CYLINDER PART # 9, PLATE LIFTER" u="1"/>
        <s v=" BRACKET" u="1"/>
        <s v=" SEAL MASTER BEARING, ER-22TC  1 1/2&quot;" u="1"/>
        <s v=" FESTO SVS-3-1/8" u="1"/>
        <s v=" THREADED SPACER, V5361.07610" u="1"/>
        <s v="BALL BEARING 6902 (15 X 28 X 7 MM)" u="1"/>
        <s v="RUBBER ROLLER N010.143 (10-1071)" u="1"/>
        <s v=" 1 INCH NPT M.S ELBOW" u="1"/>
        <s v=" EMERY PAPER 120" u="1"/>
        <s v=" STARTER" u="1"/>
        <s v="ENVELOPE HIGH DIE 16 X 12, (CAPITAL REF:  R-57)" u="1"/>
        <s v="FILTER ADAPTER ASSEMBLY" u="1"/>
        <s v=" RECIPROCATING SAW FOR METAL, SIZE = 6 INCH" u="1"/>
        <s v=" S.56834 UNIVERSAL JOINT, 22 X 60 MM" u="1"/>
        <s v=" TAPE MACHINE" u="1"/>
        <s v="BEARING NEEDLES 6 X 24 MM" u="1"/>
        <s v=" McMASTER: 89535K85, STAINLESS STEEL ROD 1/4&quot;" u="1"/>
        <s v="PUNCH DIE 55 X 105 MM WINDOW" u="1"/>
        <s v="ONE WAY BEARING AS20 STEIBER" u="1"/>
        <s v="ENVELOPE HIGH DIE 154 X 214, (CAPITAL REF:  R-06)" u="1"/>
        <s v="TIMING BLET" u="1"/>
        <s v=" V 79.90.042.0, PARALLEL KEY 16 X 10 X 60" u="1"/>
        <s v=" V-BELT, B-39(B1040Ld/17X1000Li)" u="1"/>
        <s v="TIMING BELT N 011.420, (809 SYNCHROFLEX T5/410)" u="1"/>
        <s v="BALL BEARING 6901" u="1"/>
        <s v="SAFETY SHOE SIZE: 42" u="1"/>
        <s v=" RECIPROCATING SAW FOR METAL, SIZE = 8 INCH" u="1"/>
        <s v="  KUPL SCHROTEX" u="1"/>
        <s v="SCORING KNIFE W/O SLOT" u="1"/>
        <s v="FLAT BELT HABASIT MAM-04H ENDLESS FLEXOPROOF BELT FOR VACUUM TABLE OF PEEL &amp; SEAL UNIT (MANUFACTURED AT SWITZERLAND ON REQUEST), B=195, L=405, T=1.45MM. 19 HOLES IN A ROW. HOLE DIA=3MM. HOLE PITCH=21.6, BELT EDGE TO HOLE CENTER=10MM" u="1"/>
        <s v="FORM ROLLER 34 (L212.00.0034.0)" u="1"/>
        <s v=" 8 X 30 MM, LOW HEAD L. KEY BOLT" u="1"/>
        <s v="GUM ROLLER FOR PLATE. 1.417 X 11.85 INCH. (L229.07.0218.0), UNICAST REF: 10-1182" u="1"/>
        <s v=" 6-32 X 1&quot;, FLAT HEAD SCREW" u="1"/>
        <s v=" V-BELT, B-40 (B1056Ld/17X1016Li)" u="1"/>
        <s v=" CAPACITOR, CBB61, 4.0, 450VAC, 50/60Hz" u="1"/>
        <s v="SOLID PANEL DIE 51 X 101 MM, FOR 327G, '0' DEG ANGLE " u="1"/>
        <s v=" DC OUTPUT MODULE 24V DC, 1746-OB16 (ALLEN BRADLEY) (FROM TEK SUPPLY INC)" u="1"/>
        <s v="R058 CERAMIC FUSE 6 X 30 MM" u="1"/>
        <s v="TUBE LIGHT ROD" u="1"/>
        <s v="L. KEY" u="1"/>
        <s v="ENVELOPE HIGH DIE 80 X 153, (CAPITAL REF:  S-04)" u="1"/>
        <s v="FLEXIBLE WINDOW KNIFE 37 X 93 MM, FOR 38R '0' DEG ANGLE   BEST REF: 170724" u="1"/>
        <s v="BALL BEARING 3202" u="1"/>
        <s v=" 24V DC/AC CONTACTOR" u="1"/>
        <s v="1 INCH NPT S.S BALL VALVE" u="1"/>
        <s v="BALL BEARING 628-2Z (8 X 24 X 8 MM)" u="1"/>
        <s v=" 2A, FUSE 500V, 100KA, 10 X 38 MM" u="1"/>
        <s v=" PUSH BUTTON, 30 MM (GREEN)" u="1"/>
        <s v=" GUIDE PLATE (12604/13-MV 60.126.0), V 65.50.799.0" u="1"/>
        <s v=" R120027048, GEAR" u="1"/>
        <s v="ENVELOPE HIGH DIE 12 X 5, (CAPITAL REF:  R-63)" u="1"/>
        <s v="ENVELOPE HIGH DIE 12 X 5, (CAPITAL REF:  R-64)" u="1"/>
        <s v="FLAT HEAD M.S L. KEY BOLT (McMASTER: 91253A001)" u="1"/>
        <s v="CAM FOLLOWR" u="1"/>
        <s v=" MECHANICAL VALVE, JM-05" u="1"/>
        <s v=" McMASTER REF: 96455K58, 5/8&quot; DIA LOW CARBON STEEL BALL" u="1"/>
        <s v=" 793xx153, SPRING WASHER" u="1"/>
        <s v=" FELT END SEAL, 410-219196-002" u="1"/>
        <s v=" CORRECTION PEN (WHITE MARKER)" u="1"/>
        <s v="NEEDLE BEARING NKI 20/20" u="1"/>
        <s v="DOCTOR BLADE STAINLESS STEEL 10 X 0.102 MM, AKEBOOSE REF: SSD 102 1000" u="1"/>
        <s v=" HELICAL GEAR, R2.20.072.454" u="1"/>
        <s v="BOX OF INK DUCT FOIL" u="1"/>
        <s v=" ALIGNER PIN (1882)" u="1"/>
        <s v=" PLASTIC DOCTOR BLADE, 0.0075 X 1.125 X 1200 INCH ROLL, 217240-1200-0" u="1"/>
        <s v="NEEDLE BEARING INA NKI 17/16" u="1"/>
        <s v=" PNEUMATIC CYLINDER" u="1"/>
        <s v=" VARIABLE SPEED BELT, 1422V330 GATES" u="1"/>
        <s v="   UPPER KNIFE FOR WINDOW FILM " u="1"/>
        <s v="TIMING BELT (618 SYNCHROFLEX V628/6)" u="1"/>
        <s v="SINGLE SOLENOID VALVE" u="1"/>
        <s v="TIMING BELT 660H300" u="1"/>
        <s v=" 12 X 60 MM SOLID PANEL DIE FOR CHEETAH " u="1"/>
        <s v=" STEEL ROLLER FOR DELIVERY" u="1"/>
        <s v="FLEXIBLE WINDOW KNIFE 30 X 98 MM, FOR 38R '0' DEG ANGLE  " u="1"/>
        <s v=" 14 X 90 MM SOLID PANEL DIE FOR CHEETAH " u="1"/>
        <s v=" DC 15A, FUSE" u="1"/>
        <s v=" EMERY PAPER 80" u="1"/>
        <s v=" GLUE STICK" u="1"/>
        <s v="TIME DELAY RELAY" u="1"/>
        <s v=" CABLE CONNECTOR" u="1"/>
        <s v="GRIPPER FOR CYLINDER" u="1"/>
        <s v=" HIGH TEMPRATURE RED RTV SILICON GASKET MARKER" u="1"/>
        <s v="SEAL MASTER BEARINGS" u="1"/>
        <s v="DC OUTPUT MODULE 24V DC" u="1"/>
        <s v=" CABLE FOR SERVO MOTOR" u="1"/>
        <s v=" TEE HANDLE L. KEY, 3 MM (McMASTER REF: 5629A73)" u="1"/>
        <s v=" 10 X 20 MM, LOW HEAD L. KEY BOLT" u="1"/>
        <s v=" 41-1 CHAIN LINKS (McMASTER REF: 6261K192)" u="1"/>
        <s v=" ALUMINIUM COUPLING, ID=1-3/4&quot;, OD= 2-1/2&quot;, =9/16&quot;" u="1"/>
        <s v="FLEXIBLE PROFILE KNIFE 162 X 229 MM FOR 38R, '0' DEG ANGLE TRAPEZOID" u="1"/>
        <s v=" 10 X 30 MM, LOW HEAD L. KEY BOLT" u="1"/>
        <s v=" 12 X 20 MM, LOW HEAD L. KEY BOLT" u="1"/>
        <s v=" 12 X 30 MM, LOW HEAD L. KEY BOLT" u="1"/>
        <s v="TIMING BELT (700H300)" u="1"/>
        <s v="ROLLER BEARING 6209-2Z (45 X 85 X 19 MM)" u="1"/>
        <s v=" L. KEY SET (INCH SIZE), 0.050&quot; TO 3/8&quot; (McMASTER REF: 7158A26)" u="1"/>
        <s v=" V-BELT (050-SPZ-1047), K 1.820.15" u="1"/>
        <s v="ENVELOPE HIGH DIE 6 X 9  (THUMB CUT), (CAPITAL REF:  U-34)" u="1"/>
        <s v="PU SCORE ROLLERS FOR W&amp;D 141" u="1"/>
        <s v="LUG FOR PINEBERRY FEEDER" u="1"/>
        <s v="BALL BEARING 609-2Z (9 X 24 X 7 MM)" u="1"/>
        <s v=" 50 X 100 MM PUNCH DIE " u="1"/>
        <s v=" R509014004, SPROCKET" u="1"/>
        <s v="BALL BEARING 698-2Z (8 X 19 X 6 MM)" u="1"/>
        <s v="EMERGENCY STOP" u="1"/>
        <s v=" CIRCUIT BREAKER, 10A, 1 POLE" u="1"/>
        <s v="BALL BEARING 7616 DLG" u="1"/>
        <s v=" FLEXIBLE SPIDER COUPLING " u="1"/>
        <s v=" FITTING FOR AIR CHUCK VALVE" u="1"/>
        <s v="FLAP SCORING BLADE FOR MOH, MOH-30485" u="1"/>
        <s v=" 5V223 QUARTZ LAMP BULB FOR CHROMALOX" u="1"/>
        <s v=" FILTER BAG ASSEMBLY, PART # 1181004701" u="1"/>
        <s v="INDICATION LAMP 24V-DC" u="1"/>
        <s v=" HEX NUT (01.232.023/), 131234539/0210" u="1"/>
        <s v="ENVELOPE HIGH DIE 114 X 232, (CAPITAL REF:  R-78)" u="1"/>
        <s v="SEGMENT SEGMENT 15-1314T, MOW-30033 (UNICAST REF: 15-1314T)" u="1"/>
        <s v="RUBBER ROLL" u="1"/>
        <s v="   LOWER P&amp;S KNIFE FOR B2S " u="1"/>
        <s v="INLET VALVE SPRING" u="1"/>
        <s v="FELT END SEAL" u="1"/>
        <s v=" 704XX581, MAINTENANCE KIT 400EZ (12VDC)" u="1"/>
        <s v="PRINTING ROLLER 75 X 55 X 750 MM" u="1"/>
        <s v=" P/N: 3066, 1/8&quot; BRASS STRAIGHT GLUE FITTING. 37 DEG FLARE" u="1"/>
        <s v="BALL BEARING 6304-2Z (20 X 52 X 15 MM)" u="1"/>
        <s v=" 1 INCH NPT M.S UNION" u="1"/>
        <s v=" LIGHT FOR OFFICE" u="1"/>
        <s v="S-QB-231P-301, FILTER ASSEMBLY" u="1"/>
        <s v="BALL BEARING 6012 (60 X 95 X 18 MM)" u="1"/>
        <s v="McMASTER REF: 6063K25, SHAFT COLLAR 45 MM BORE" u="1"/>
        <s v="LOW HEAD SOCKET CAP SCREW 1/4&quot;-20 X 1/2&quot;" u="1"/>
        <s v=" AUTONICS PHOTO SENSOR, MODEL: BEN300-DDT" u="1"/>
        <s v=" NON RETURN VALVE" u="1"/>
        <s v="HARD KNIVES MO-51003 PATCH KNIFE " u="1"/>
        <s v=" BIG GEAR, R2.30.112.403 &amp; R2.30.116.405" u="1"/>
        <s v="BALL BEARING 4200 RHP" u="1"/>
        <s v=" UNIVERSAL BEARING (MORSE REF: KY35N, U JOINT 31.8 X 81.6 PU500, HS 194 5-243X), 31.8 X 81.6" u="1"/>
        <s v=" # 10-32, McMASTER REF: 3408a71, BALL NOSE SPRING PLUNGER" u="1"/>
        <s v=" HEXAGON SOCKET HEAD CAP SCREW M5X8, D O.036.076" u="1"/>
        <s v="BEARING FOR SCORE ROLL" u="1"/>
        <s v="COVER" u="1"/>
        <s v=" PRL12-2DP, PROXIMITY SENSOR" u="1"/>
        <s v=" BN SILICON PASTE KS64" u="1"/>
        <s v=" EXHAUST FAN, 24VDC" u="1"/>
        <s v="SCORING ROLLER FOR SIDE,  PART-LO-1901" u="1"/>
        <s v=" 110 X 234 MM FLEXIBLE PROFILE KNIFE FOR 38R, '0' DEG ANGLE BEST REF: FA-401197" u="1"/>
        <s v="PRINTING ROLLER 52 X 33 X 750 MM" u="1"/>
        <s v="ENVELOPE HIGH DIE 17.5 X 14.25, (CAPITAL REF:  R-56)" u="1"/>
        <s v="PRINTING ROLLER 54 X 33 X 750 MM" u="1"/>
        <s v="GRIPPER" u="1"/>
        <s v="McMASTER REF: 6063K24, SHAFT COLLAR 40 MM BORE" u="1"/>
        <s v=" 085XX005, FUSE 250 V (F 1 A)" u="1"/>
        <s v=" 6 X 30 MM, LOW HEAD L. KEY BOLT" u="1"/>
        <s v=" 8 X 20 MM, LOW HEAD L. KEY BOLT" u="1"/>
        <s v="CREASING ROLLER" u="1"/>
        <s v=" NORDSON  251764, O-RING 14 X 12 VITON" u="1"/>
        <s v="SPUR GEAR TEEHT=40, DIA=85MM" u="1"/>
        <s v="TESA 51570" u="1"/>
        <s v=" 10 X 12 MM, LOW HEAD L. KEY BOLT" u="1"/>
        <s v=" 8 X 25 MM, LOW HEAD L. KEY BOLT" u="1"/>
        <s v=" B244.360 (10.28.250.00.00), ROUND CERAMIC BAR 12 MM DIA X 360 MM LONG" u="1"/>
        <s v=" 10-32 X 1-1/4&quot;, M.S L. KEY BOLT (91251A345)" u="1"/>
        <s v="SIDE SCORE TUBE. (MO 2.100 X 6 INCH)" u="1"/>
        <s v=" NORDSON 316849, O-RING 12-0.05 + MAX 0.16-0" u="1"/>
        <s v=" GRIPPER PLATE (NO 5), V 79.89.443.0" u="1"/>
        <s v=" R21048001, HELICAL GEAR" u="1"/>
        <s v="ENVELOPE HIGH DIE 130 X 190, (CAPITAL REF:  R-84)" u="1"/>
        <s v=" FILTER CARTRIDGE, LFP-D-MIDI (40 MICRON)" u="1"/>
        <s v="TIMING BELT (HTD 2800-8M-B07083)" u="1"/>
        <s v="M.S L. KEY BOLT 3/8&quot;-24 X 1-3/4&quot;" u="1"/>
        <s v="TAPER ROLLER BEARING, JM719149 &amp; JM719113" u="1"/>
        <s v=" 110 X 232 MM FLEXIBLE PROFILE KNIFE FOR 38R, '0' DEG ANGLE OBSOLETE KNIVES 114 X 234 MM" u="1"/>
        <s v="PCB SPEED SELECTOR FOR  WATER MOTOR" u="1"/>
        <s v="SOLID STATE TEMPRATURE CONTROLLER" u="1"/>
        <s v=" CYLINDER GEAR" u="1"/>
        <s v="NEEDLE BEARING NK22/16A" u="1"/>
        <s v="RUBBER ROLLER P/N: 10-1200A (N 010.251)" u="1"/>
        <s v="SINGLE ACTING PIN CYLINDER (MICRO CYLINDER)" u="1"/>
        <s v="ALIGNER PIN (AMERICAN HOLT, INC)" u="1"/>
        <s v=" MODIFIED STEEL ROLL " u="1"/>
        <s v="PLASTIC FEED DRUM" u="1"/>
        <s v="SPRING HOOK" u="1"/>
        <s v=" REF: WCCD-03084 ROUND CUTTING KNIFE FOR B&amp;B " u="1"/>
        <s v="O RING" u="1"/>
        <s v="CROSS SCORING BLADE (AMERICAN HOLT)" u="1"/>
        <s v="AMPERE METER " u="1"/>
        <s v=" BLADE CHANGE TOOL FOR NOVA CHAMBER, VASELINE, SPONGE, AKEBOOSE PROD # TOOL KIT NOVA 01" u="1"/>
        <s v=" HALLOGEN LAMP 1000 WATT" u="1"/>
        <s v=" 788XX553, WHEEL FOR ROTARY ENCODER" u="1"/>
        <s v=" ALTERATION OF DC MOTOR FOR HOTMELT UNIT, SET OF MOTOR+CAPACITOR+COUPLING" u="1"/>
        <s v="FLAT BELT FLAT BELT" u="1"/>
        <s v="SOLENOID FOR BANKER" u="1"/>
        <s v="BATTERIES" u="1"/>
        <s v="SELF ALIGNING BEARING 2207-C3" u="1"/>
        <s v="PLC UNIT" u="1"/>
        <s v=" EINSTELLSCHRAUBE, V32.50.009.0" u="1"/>
        <s v="MICROSWITCH (ROLLER TYPE)" u="1"/>
        <s v=" McMASTER REF: 6484K124  FOR ENCODER" u="1"/>
        <s v="RIGHT GUMMER 112.5 MM" u="1"/>
        <s v=" FITTING PARTS" u="1"/>
        <s v="COVERALL SIZE: XL" u="1"/>
        <s v=" CARTRIDGE HEATER HIGH DEN, SIZE: 16 X 175 MM, 240 WATT, 220 VOLT" u="1"/>
        <s v=" RUBBER BANDS" u="1"/>
        <s v="TIMING BELT (547 SYNCHROFLEX T10 X 3100)" u="1"/>
        <s v=" SINGLE OFFSET CHAIN LINK # 40-1" u="1"/>
        <s v=" TAPERED PLASTIC CAP" u="1"/>
        <s v="BALL BEARING R16-2Z" u="1"/>
        <s v=" AIR PIPE" u="1"/>
        <s v=" 3.875&quot; X 8.875&quot; (1.34375&quot; STRAIGHT S.F) FLEXIBLE PROFILE KNIFE FOR 38R, '0' DEG ANGLE BEST REF: FA-403648" u="1"/>
        <s v=" TRANSFER ROLLER 41 (L212.00.0041.0), DIA=43 MM, L=430 MM, HARDNESS=40 SHORE" u="1"/>
        <s v=" TRANSFER ROLLER 43 (L212.00.0043.0), DIA=45 MM, L=430 MM, HARDNESS=40 SHORE" u="1"/>
        <s v="HARD KNIVES LOWER P&amp;S KNIFE FOR B2S " u="1"/>
        <s v="TIMING BELT TIMING BELT 225L050" u="1"/>
        <s v=" INPUT CARD ELECTRICAL (FLS # 51403), RA-92903" u="1"/>
        <s v=" PRL12-4DP, PROXIMITY SENSOR" u="1"/>
        <s v="PLUG" u="1"/>
        <s v="SPECIAL RELAY 230VAC. 8AMP" u="1"/>
        <s v=" 55 X 100 MM SOLID PANEL DIE FOR 327G, '0' DEG ANGLE " u="1"/>
        <s v=" 6 X 9.5 X 20 MM, CARBON BRUSH" u="1"/>
        <s v="NEEDLE BEARING INA NKI 25/20" u="1"/>
        <s v=" SANDING DISC, 3&quot; DIA, 320 GRIT" u="1"/>
        <s v=" MO-51003 PATCH KNIFE " u="1"/>
        <s v="INPUT CARD ELECTRICAL (FLS # 51403)" u="1"/>
        <s v="HARD KNIVES TOP P&amp;S KNIFE FOR CHEETAH " u="1"/>
        <s v=" 5 X 30 MM, LOW HEAD L. KEY BOLT" u="1"/>
        <s v="FLAT BELT UPPER DELIVERY BELT, PART-MO-9417" u="1"/>
        <s v=" RUBBER WASHER FOR VACUUM CYLINDER, SIZE: 6 X 11 X 4 MM, FOR 527 GSV" u="1"/>
        <s v="HABASIT HAT-8P (ENDLESS THERMOFIX)" u="1"/>
        <s v=" SILICONE RUBBER 1/4&quot; X 7/8&quot;, PART # RU-0055" u="1"/>
        <s v="HOOKED SPANNER" u="1"/>
        <s v="SCORING ROLLER FOR CREASING" u="1"/>
        <s v="SEGMENT 15-1146T, PART-MOH-30462" u="1"/>
        <s v=" GEAR, R1.20.065.402" u="1"/>
        <s v="RECIPROCATING SAW FOR METAL, SIZE = 6 INCH" u="1"/>
        <s v="RECIPROCATING SAW FOR METAL, SIZE = 8 INCH" u="1"/>
        <s v="60-1 CHAIN (3/4&quot;)" u="1"/>
        <s v="NEEDLE BEARING BA-107 (SCE-107)" u="1"/>
        <s v="HARD KNIVES MO-51606 KNIFE " u="1"/>
        <s v="ENVELOPE HIGH DIE 6 X 6 (OSSS), (CAPITAL REF:  U-16)" u="1"/>
        <s v="ADD &amp; CONNECT CHAIN LINK" u="1"/>
        <s v="TIMING BELT W&amp;D REF: N 011.150, SPECIAL BELT FOR 97G FROM W&amp;D" u="1"/>
        <s v="McMASTER REF: 57445K25, SHAFT COLLAR 10 MM BORE" u="1"/>
        <s v=" RED CAP THUMB SCREW, 94052A353 (McMaster)" u="1"/>
        <s v=" TEE HANDLE L. KEY, 6 MM (McMASTER REF: 5629A76)" u="1"/>
        <s v=" SPROCKET, 10B-1 NOT = 18" u="1"/>
        <s v="SILICONE RUBBER 1/4&quot; X 7/8&quot;" u="1"/>
        <s v=" BRUSH FOR DELIVERY SPIRAL" u="1"/>
        <s v="BALL BEARING 629-2Z (9 X 26 X 8 MM)" u="1"/>
        <s v=" McMASTER: 3800K19, EYE BOLT FOR PRINTING UNIT" u="1"/>
        <s v="RUBBER ROLLER PU COATED, DIA = 58 MM, HARD = 60 SHORE" u="1"/>
        <s v=" 14 X 75 MM SOLID PANEL DIE FOR CHEETAH " u="1"/>
        <s v=" NC1 AC CONTACTOR. COIL VOLTAGE 24V. 50Hz" u="1"/>
        <s v="ENVELOPE HIGH DIE 3 1/2 X 6 1/2 (OESSS), (CAPITAL REF:  U-24)" u="1"/>
        <s v=" ALIGNER PIN, SA-14L" u="1"/>
        <s v="LFMBP-D-MIDI, MAT # 162678 (1.0 MICRON)" u="1"/>
        <s v="TRANSIT CHANNEL (SIDE) PART FOR PP1622 MK" u="1"/>
        <s v="GUM SEGMENT UNICAST REF: 22-480R, RIGHT GUMMER 112.5 MM" u="1"/>
        <s v=" SHARPENING STONE" u="1"/>
        <s v="P/N: 15-0038R/L, 112.5MM STRAIGHT GUMMER 38--527" u="1"/>
        <s v="CONTROLLER" u="1"/>
        <s v="1/16&quot; THICK, 12&quot; X 12&quot;, GUM, RUBBER SHEET GASKET" u="1"/>
        <s v="McMASTER REF: 6063K23, SHAFT COLLAR 35 MM BORE" u="1"/>
        <s v="BEARING (UKCC 30 ZZ)" u="1"/>
        <s v=" P/N: 1609, HA2 ONE MODULE HEATER BODY, SN: 133242" u="1"/>
        <s v=" 10 X 25 MM, LOW HEAD L. KEY BOLT" u="1"/>
        <s v=" 12 X 25 MM, LOW HEAD L. KEY BOLT" u="1"/>
        <s v="HABASIT FD-NUH-5SQ-Smg" u="1"/>
        <s v=" 12 X 35 MM, LOW HEAD L. KEY BOLT" u="1"/>
        <s v="SOLENOID VALVE 3-WAY" u="1"/>
        <s v="ALUMINIUM BLOC WITH ADJUSATBLE SLOT" u="1"/>
        <s v="MOH 41190 CONE ROLL" u="1"/>
        <s v="RUBBER ROLLER FOR 327, DIA = 50 MM" u="1"/>
        <s v="ONE WAY BEARING RC-121610" u="1"/>
        <s v="HARD KNIFE UPPER KNIFE FOR WINDOW FILM " u="1"/>
        <s v=" AC CONTACTOR MOELLER DILM50, 24V50/60Hz" u="1"/>
        <s v="NEEDLE BEARING BA88Z (FOR MOH P&amp;S UNIT)" u="1"/>
        <s v=" RELAY, SCHRACK-14-PIN 115 VAC" u="1"/>
        <s v=" 8 X 16 X 25 MM, CARBON BRUSH FOR 327G" u="1"/>
        <s v=" 40 X 100 MM SOLID PANEL DIE FOR 327G, '0' DEG ANGLE " u="1"/>
        <s v="McMASTER: 89535K85, STAINLESS STEEL ROD 1/4&quot;" u="1"/>
        <s v=" MULTI TURN POTENTIOMETER, RES 10K ohm, BOURNS 3590S-2-103L" u="1"/>
        <s v="ENVELOPE HIGH DIE 3 5/8 X 6 1/2 (OSSS), (CAPITAL REF:  U-08)" u="1"/>
        <s v="NEEDLE BEARING BA-65 (SCE-65) FOR STS HOTMELT MOTOR" u="1"/>
        <s v=" 45 X 100 MM SOLID PANEL DIE FOR 327G, '0' DEG ANGLE " u="1"/>
        <s v="DOUBLE SIDE TAPE 18 MM" u="1"/>
        <s v=" 45 X 105 MM FLEXIBLE WINDOW KNIFE FOR 38R '0' DEG ANGLE  BEST REF: 178030 (FS-300814)" u="1"/>
        <s v="McMASTER REF: 6063K22, SHAFT COLLAR 30 MM BORE" u="1"/>
        <s v=" OLD GEAR, R2.15.084.800" u="1"/>
        <s v="METAL STRIP FOR DELIVERY" u="1"/>
        <s v="FLEXIBLE PROFILE KNIFE 110 X 220 MM FOR 38R, '0' DEG ANGLE BEST REF: D-3983 (FA-173032)" u="1"/>
        <s v=" BEVEL GEAR FOR MAIN DRIVE OF PRINTING UNITS" u="1"/>
        <s v="STAINLESS STEEL ROD 1/4&quot;" u="1"/>
        <s v=" 6 X 20 MM, LOW HEAD L. KEY BOLT" u="1"/>
        <s v=" 162 X 229 MM MM FLEXIBLE CUT OFF KNIFE FOR 38R, '1' DEG LEFT ANGLE TRAPEZOID" u="1"/>
        <s v=" FILTER REGULATOR, LFR-1/4-D-MIDI" u="1"/>
        <s v="HARD KNIVES WCCD 02790 FOR MOH AS PER NEW DRAWING" u="1"/>
        <s v=" 8 X 12 MM, LOW HEAD L. KEY BOLT" u="1"/>
        <s v="TIMING BELT 600H100" u="1"/>
        <s v="6 X 9 1/2 (OSSS)" u="1"/>
        <s v=" 6 X 25 MM, LOW HEAD L. KEY BOLT" u="1"/>
        <s v="RUBBER ROLLER MOH-31003" u="1"/>
        <s v=" 8 X 16 MM, LOW HEAD L. KEY BOLT" u="1"/>
        <s v=" BLADE FOR LARGE KNIFE" u="1"/>
        <s v="SHANKLIN CYLINDER" u="1"/>
        <s v="TIMING BELT T5-270, W = 40 MM" u="1"/>
        <s v=" HOLE PUNCH DIE  SOLID PANEL DIE FOR 327G, '0' DEG ANGLE  " u="1"/>
        <s v=" BRONZE TUBE FOR FLAP GUM OF W&amp;D 141" u="1"/>
        <s v="FLAT BELT FLAT BELT FOR FOLDER UNIT, HABASIT HD-MT-04HmE1-FsGr, (MAM-5E) (B=38MM, L=2320MM, T=1.4MM)" u="1"/>
        <s v=" S-0109T, PARKER SUPER LUBE FOR O-RING LUBRICATION. SILICONE BASE. 2oz" u="1"/>
        <s v="BRASS BUSHING 10 X 14 X 12 MM" u="1"/>
        <s v=" 35B24, SPROCKET FOR MOH P&amp;S UNIT" u="1"/>
        <s v=" PHOTOCELL FOR SHANKLING, IN5129-IN-3004-BPKG" u="1"/>
        <s v=" SET OF GEAR FOR SCORING ROLLER" u="1"/>
        <s v=" POWER SUPPLY 12VDC, 2AMP (ANDELI S-25-12)" u="1"/>
        <s v="SAFETY SHOE SIZE: 43" u="1"/>
        <s v="FLEXIBLE PROFILE KNIFE 162 X 229 MM FOR 38R, '0' DEG ANGLE STRAIGHT FLAP" u="1"/>
        <s v=" CEMENT FOR PVC" u="1"/>
        <s v=" 10 X 16 MM, LOW HEAD L. KEY BOLT" u="1"/>
        <s v=" 12 X 16 MM, LOW HEAD L. KEY BOLT" u="1"/>
        <s v=" CARBON BRUSH FOR SLIPRING OF 327G, 8 X 16 X 25 MM" u="1"/>
        <s v="GRIPPER PLATES (NO 3)" u="1"/>
        <s v=" SKID BRUSH (AMERICAN HOLT, INC), PART-MO-8249AH" u="1"/>
        <s v="FLEXIBLE WINDOW KNIFE 10 X 100 MM, FOR MOH '1.5' DEG ANGLE  " u="1"/>
        <s v="FLEXIBLE WINDOW KNIFE 34 X 110 MM, FOR MOH '1.5' DEG ANGLE  " u="1"/>
        <s v="FLEXIBLE WINDOW KNIFE 35 X 130 MM, FOR MOH '1.5' DEG ANGLE  " u="1"/>
        <s v="FLEXIBLE WINDOW KNIFE 40 X 100 MM, FOR MOH '1.5' DEG ANGLE  " u="1"/>
        <s v="FLEXIBLE WINDOW KNIFE 50 X 100 MM, FOR MOH '1.5' DEG ANGLE  " u="1"/>
        <s v="FLEXIBLE WINDOW KNIFE 55 X 100 MM, FOR MOH '1.5' DEG ANGLE  " u="1"/>
        <s v="BUTTON HEAD L. KEY BOLT" u="1"/>
        <s v=" BLOWER FOR STENCIL MAKER" u="1"/>
        <s v="RUBBER ROLLER MOH-31004" u="1"/>
        <s v=" NORDSON 940202, O-RING, BUNA N, 0.752 X 0.063" u="1"/>
        <s v=" HANDLE" u="1"/>
        <s v=" 707XX073, SEAT ASSEMBLY 0.30 MM" u="1"/>
        <s v="SEAL GUM ROLL 2.008&quot; X 16-1/8&quot; FOR W&amp;D 141" u="1"/>
        <s v=" 40 X 110 MM SOLID PANEL DIE FOR 327G, '0' DEG ANGLE " u="1"/>
        <s v="INK PAD FOR STAMP" u="1"/>
        <s v="PLASTIC HEAD SCREW M5 X 20MM" u="1"/>
        <s v="ENVELOPE HIGH DIE 98 X 162, (CAPITAL REF:  R-82)" u="1"/>
        <s v="FLAP SCORING BLADE W&amp;D PART: V 03.01.322.OS, FOR 527 GSV" u="1"/>
        <s v=" OT63F3, 63 AMP SWITCH FOR ISOLATOR" u="1"/>
        <s v="TRANSIT CHANNEL (FRONT) PART FOR PP1622 MK" u="1"/>
        <s v="POWER SUPPLY 12VDC. (ANDELI S-25-12)" u="1"/>
        <s v=" LFR-1/2-D-MIDI, FILTER REGULATOR WITH GAUGE" u="1"/>
        <s v=" VG-20-013, FLOW GAUGE" u="1"/>
        <s v="ENVELOPE HIGH DIE 115 X 220, (CAPITAL REF:  R-14)" u="1"/>
        <s v="BALL BEARING 459 GERMANY (30 X 64 X 34 MM) WITH KEY, FOR WINDOW UNIT" u="1"/>
        <s v=" BIO CLEAN GEL 750ml (PRINTECH)" u="1"/>
        <s v=" OLD SOLENOID VLAVE FOR SHANKLIN" u="1"/>
        <s v="COVERALL" u="1"/>
        <s v="SPUR GEAR NOT=15 &amp; NOT=23" u="1"/>
        <s v=" DRYER CHAIN MASTER LINK (AMERICAN HOLT,  INC), MO-6799" u="1"/>
        <s v="FLAP SCORING BLADE SCORING KNIFE W/O SLOT, V03.01.306 WOS (AMERICAN HOLT, INC)" u="1"/>
        <s v="ENVELOPE HIGH DIE 180 X 180, (CAPITAL REF:  R-26)" u="1"/>
        <s v=" CHALK BOX" u="1"/>
        <s v="GROOVED BALL BEARING 6208-2Z" u="1"/>
        <s v="CHAIN LINKS (McMASTER REF: 6261K192)" u="1"/>
        <s v=" RED COLOR, LED LIGHT 110V" u="1"/>
        <s v=" COUNTER GEAR" u="1"/>
        <s v=" V 03.01.600.0, FLAP SCORE BLADE FOR W&amp;D 141" u="1"/>
        <s v=" 30 X 100 MM SOLID PANEL DIE FOR 327G, '0' DEG ANGLE " u="1"/>
        <s v="SOLID PANEL DIE 1-1/8&quot; X 4-1/2&quot;, FOR 327G, '0' DEG ANGLE " u="1"/>
        <s v=" GEAR, R215.084.800" u="1"/>
        <s v="FLEXIBLE PROFILE KNIFE 110 X 234 MM FOR 38R, '0' DEG ANGLE BEST REF: FA-401197" u="1"/>
        <s v=" SEPARATING TONGUE, W&amp;D REF: V 79.06.804.0" u="1"/>
        <s v=" SCRAPER PLATE" u="1"/>
        <s v=" FLAT BELT" u="1"/>
        <s v=" 35 X 100 MM SOLID PANEL DIE FOR 327G, '0' DEG ANGLE " u="1"/>
        <s v="HARD KNIFE 15 X 10 ENVELOPES FOR MOH " u="1"/>
        <s v="RUBBER ROLLER FEED ROLL" u="1"/>
        <s v=" PIN FOR SCORE BLADES" u="1"/>
        <s v="FOLDING COVER FOR SM-74" u="1"/>
        <s v=" 38 X 100 MM SOLID PANEL DIE FOR 327G, '0' DEG ANGLE " u="1"/>
        <s v=" 5 X 20 MM, LOW HEAD L. KEY BOLT" u="1"/>
        <s v=" MR-ENCBL5M-H, MITSUBISHI ENCODER CABLE 5M" u="1"/>
        <s v=" 10-32 X 1/2&quot;, M.S L. KEY BOLT (91251A342)" u="1"/>
        <s v=" FRICTION DISC FOR SHEETER CLUTCH SHAFT" u="1"/>
        <s v=" TIMING PULLEY 8M30HTD, N.O.T=44" u="1"/>
        <s v=" V-BELT C-84, FOR CHIP COLLECTOR BLOWER" u="1"/>
        <s v="DAMPENING ROLLER" u="1"/>
        <s v=" CAM FOLLOWER CF 1-1/2 SB, McMASTER: 1460T52" u="1"/>
        <s v="FLAP SCORING BLADE SEAL FLAP SCORER BLADE, PART-MOH-30485 (FLS # 46286, ITEM # 11)" u="1"/>
        <s v=" SWIVEL WHEEL FOR CATERPILLER STACKER" u="1"/>
        <s v=" 5 X 25 MM, LOW HEAD L. KEY BOLT" u="1"/>
        <s v=" OIL SEAL, 415991, 3.50 x 4.501 x 0.468" u="1"/>
        <s v="SHAFT COLLAR 2-7/16&quot;" u="1"/>
        <s v="FUSE 380VAC (100KA)" u="1"/>
        <s v=" 8 X 19 X 25 MM, CARBON BRUSH" u="1"/>
        <s v=" HOOKED SPANNER, V87.00.056.0" u="1"/>
        <s v="MAGNIFYING GLASS" u="1"/>
        <s v=" HIGH TEMP SYNTHETIC GREASE" u="1"/>
        <s v=" RUBBER ROLL, DIA = 50, L = 52 MM" u="1"/>
        <s v="FLEXIBLE CUT OFF KNIFE 110 X 234 MM FOR 38R, '1' DEG LEFT ANGLE BEST REF: FA-401255" u="1"/>
        <s v=" FOLDING COVER FOR SM-74, 419 0486 M2072023" u="1"/>
        <s v=" PLASTIC HEAD SCREW M5 X 20MM, McMASTER REF: 96016A245" u="1"/>
        <s v=" FERRAZ SHAWMUT FUSE, 500VAC, 80AMP" u="1"/>
        <s v=" TIMING BELT, T5/200" u="1"/>
        <s v=" KEY 1/4X1/4X12 INCH, 98510A136 (McMaster)" u="1"/>
        <s v=" MW-W1000100010 (CRTC-010-0010) (0904 QC21)" u="1"/>
        <s v="   FLEXIBLE CUT OFF KNIFE FOR 38R, '1' DEG LEFT ANGLE FOR ABK" u="1"/>
        <s v="LINE FILTER 0.340" u="1"/>
        <s v=" P/N: 3519, VITON O-RING, 119" u="1"/>
        <s v="CHEMICO GRINDING PASTE" u="1"/>
        <s v="SIDE SEAM V-BELT (7M850)" u="1"/>
        <s v=" GUMMING PAD / FOAM TAPE, 6 X 25 MM" u="1"/>
        <s v="TIMING BELT TIMING BELT 950H100" u="1"/>
        <s v="CONVEYOR BELT VD-AUF-5s-WfW, PERFORATED BELT, 460 X 1800 MM" u="1"/>
        <s v="SCORING ROLLER MO 2.100 X 6 INCH, UNICAST REF: 10-5000" u="1"/>
        <s v="TIMING BELT TIMING BELT 960H100" u="1"/>
        <s v="RUBBER ROLLER RUBBER ROLL (3.50 X 1/2 INCH. MO8424) (8500), UNICAST REF: 10-1082" u="1"/>
        <s v=" 25A, FUSE 500VAC (DIA 14 X L 51 MM)" u="1"/>
        <s v=" INTELLIGENT MEMORY CARD, MOH-04002" u="1"/>
        <s v="TEFLON TAPE" u="1"/>
        <s v="FESTO COMPACT CYLINDER                        ADVC-20-10-I-P" u="1"/>
        <s v="TIMING BELT TIMING BELT 900H150" u="1"/>
        <s v="BALL BEARING 6003 DDUNR" u="1"/>
        <s v=" RED CAP THUMB SCREW, 94052A355 (McMaster)" u="1"/>
        <s v=" 35 X 110 MM SOLID PANEL DIE FOR 327G, '0' DEG ANGLE " u="1"/>
        <s v=" ARALDITE EPOXY" u="1"/>
        <s v=" 40 X 130 MM SOLID PANEL DIE FOR 327G, '0' DEG ANGLE " u="1"/>
        <s v="PTFE MESH BELT 350 X 3115 MM, MESH 4 X 4 MM" u="1"/>
        <s v="GUM SEGMENT FLAP GLUE" u="1"/>
        <s v="BALL BEARING 6003-DDUNR" u="1"/>
        <s v=" QUINCY OIL FILTER 142136" u="1"/>
        <s v="TIMING BELT 210L100" u="1"/>
        <s v=" AIR PRESSURE GAUGE" u="1"/>
        <s v="   HARD KNIVES FOR MOH " u="1"/>
        <s v="McMASTER REF: 6063K21, SHAFT COLLAR 25 MM BORE" u="1"/>
        <s v="P/U COATED PERFORATED ROLLER, BLACK, 60 SHORE" u="1"/>
        <s v="BALL BEARING 6203-DDUNR" u="1"/>
        <s v="SIDE SEAL WIRE-TOP" u="1"/>
        <s v=" MFH/VL-5-1/8BISE6, WEARING KIT FOR MOH SPLICER" u="1"/>
        <s v=" P/N: AVI-30115, IMPCO LPG PROPANE VALVE" u="1"/>
        <s v="ENVELOPE HIGH DIE 7 X 10 (OSSS), (CAPITAL REF:  U-06)" u="1"/>
        <s v="RUBBER ROLLER UNICAST REF: 15-1070 SYS" u="1"/>
        <s v="SHAFT COLLAR 10 MM BORE" u="1"/>
        <s v=" SPROCKETS" u="1"/>
        <s v="ROTARY ENCODER " u="1"/>
        <s v="ENVELOPE HIGH DIE 5-1/8&quot; X 9-1/2&quot; (DSS), (CAPITAL REF:  U-44)" u="1"/>
        <s v="4 7/8 X 5 C.D" u="1"/>
        <s v=" 50A, FUSE (100KA, 240VAC)" u="1"/>
        <s v=" POTENTIOMETER, RV24YN-B502-127C" u="1"/>
        <s v="ENVELOPE HIGH DIE 6 X 4, (CAPITAL REF:  R-04)" u="1"/>
        <s v="LINEAR POTENTIOMETER" u="1"/>
        <s v="ENVELOPE HIGH DIE 2.5 X 4.328, (CAPITAL REF:  U-15)" u="1"/>
        <s v=" P/N: 2080, FLOW VALVE ADJUSTER" u="1"/>
        <s v=" SIDE SEAM V-BELT (7M850), BD-0117, ITEM # 11" u="1"/>
        <s v="10 X 13 (OSSS)" u="1"/>
        <s v="SHAFT COLLAR 12 MM BORE" u="1"/>
        <s v="BUSHING FOR INLET VALVE CYLINDER" u="1"/>
        <s v="FF TEFLON TAPE" u="1"/>
        <s v=" 25 X 100 MM SOLID PANEL DIE FOR 327G, '0' DEG ANGLE " u="1"/>
        <s v="RUBBER ROLLER RUBBER ROLL (0.875 X 0.50 INCH. MO-818), UNICAST REF: 10-1312A" u="1"/>
        <s v=" MAP-40-4-1/8-EN, PRESSURE GAUGE" u="1"/>
        <s v="PRINTING ROLLER OD 36.6 X L 318 MM" u="1"/>
        <s v="TIMING BELT 490 L 150" u="1"/>
        <s v=" 6 X 12 MM, LOW HEAD L. KEY BOLT" u="1"/>
        <s v=" BELT, SPA 1482" u="1"/>
        <s v=" 0 TO 16 BAR" u="1"/>
        <s v="WATER APPLICATION ROLLER 33 WITHOUT KEY (L 212.00.0133.0)" u="1"/>
        <s v="PRESSURE GAUGE" u="1"/>
        <s v="FLAT BELT HABASIT TC-55ER (37 X3150X3MM), FLS # 43593-1 (ITEM # 22) (WIDTH: 38 MM, LENGTH: 3086 MM ENDLESS) REFEEDER OUTER FLAT GREEN BELT. PART-MOH-21020." u="1"/>
        <s v="SHAFT COLLAR 15 MM BORE" u="1"/>
        <s v=" 6 X 16 MM, LOW HEAD L. KEY BOLT" u="1"/>
        <s v="RUBBER ROLLER UNICAST REF: 15-3115" u="1"/>
        <s v="TIMING BELT L=1167MM, W=60MM, PITCH=6.35MM, TEETH=186, (DR-186)" u="1"/>
        <s v="TRANSFER ROLLER FOR B &amp; B" u="1"/>
        <s v="McMaster PART NO: 44435K19, LARGE DIAMETER STRING-WOUND FILTER CARTRIDGE, POLYPRO W/POLYPRO CORE, 10 INCH HEIGHT, 1 MICRON" u="1"/>
        <s v=" P/N: 1612, HA2 PISTON &amp; NEEDLE ASSEMBLY" u="1"/>
        <s v="FLEXIBLE PROFILE KNIFE 114 X 162 MM FOR 38R, '0' DEG ANGLE BEST REF: D-1587 (FA-169931)" u="1"/>
        <s v="McMASTER REF: 8525T51, 1/16&quot; THICK, 12&quot; X 12&quot;, GUM, RUBBER SHEET GASKET" u="1"/>
        <s v="BEARINGS" u="1"/>
        <s v="FUSE 10 X 38 MM" u="1"/>
        <s v="RUBBER ROLLER UNICAST REF: 15-3117" u="1"/>
        <s v="SANDING DISC, 3&quot; DIA, 320 GRIT" u="1"/>
        <s v="BULB 24V-10W" u="1"/>
        <s v="RUBBER ROLLER FEED ROLL, PART-MO-1919" u="1"/>
        <s v="RUBBER, SILICONE, 1/2&quot; X 7/8&quot;" u="1"/>
        <s v="NEEDLE BEARING K 08 X 11 X 10" u="1"/>
        <s v=" WEG INVERTER, USCFW080070T2024EON1A1Z" u="1"/>
        <s v=" HD-MT-5PaH-Lgr, PERFORATED BELT  SM-74 B = 38 mm , L = 217 mm,  (VACUUM BELT)" u="1"/>
        <s v="ADHESIVE TAPE CORK TAPE ROLL" u="1"/>
        <s v=" CUTTING BLADE 22.875&quot;, PART # 005-1665-003" u="1"/>
        <s v="DILER 40G CONTATCOR" u="1"/>
        <s v="COIL 75-104-01" u="1"/>
        <s v="128515, QUINCY COMPRESSOR FLUID ANALYSIS KIT / BOTTLE" u="1"/>
        <s v="INNER RING FOR CHEETAH VACUUM CYLINDER" u="1"/>
        <s v="V-BELT, A-41 (57181-43100)" u="1"/>
        <s v="SCOTCH TAPE" u="1"/>
        <s v="TIMING BELT 1000H200" u="1"/>
        <s v=" STEEL SHAFT 3/8&quot; X 36&quot;, McMASTER REF: 1346K13" u="1"/>
        <s v=" 6027K151 06B SINGLE STRAND CHAIN" u="1"/>
        <s v="CABLE FOR 38R P&amp;S SERVO AMPLIFIER" u="1"/>
        <s v=" P/N:377P, POLYESTER ELEMENT WITH PRE-FILTER, QUINCY PART NO 376P (OLD PART NO 127357E016) FOR VACUUM PUMP" u="1"/>
        <s v=" MOTOR FOR STS HOTMELT UNIT" u="1"/>
        <s v=" &quot;J&quot; TYPE THERMOCOUPLE" u="1"/>
        <s v=" V-BELT B-78, FOR 38R MAIN DRIVE" u="1"/>
        <s v="FESTO AIR LUBRICATOR" u="1"/>
        <s v=" 210L100" u="1"/>
        <s v="FLEXIBLE CUT OFF KNIFE 0.032&quot;H, 24 RAD COK FOR 38R, '1' DEG LEFT ANGLE BEST REF: FA-404869" u="1"/>
        <s v=" INK ROLLER, DIA = 53 MM" u="1"/>
        <s v="FLEXIBLE WINDOW KNIFE 13 X 60 MM, FOR MOH '1.5' DEG ANGLE  " u="1"/>
        <s v="FLEXIBLE WINDOW KNIFE 45 X 80 MM, FOR MOH '1.5' DEG ANGLE  " u="1"/>
        <s v=" PRESSURE GAUGE 0 TO 16 BAR" u="1"/>
        <s v="ENVELOPE HIGH DIE 60 X 90, (CAPITAL REF:  S-02)" u="1"/>
        <s v="V-BELT OPTIBELT 3VX 560 FOR QUINCY AIR COMPRESSOR" u="1"/>
        <s v=" SIEMENS 5-5A, OVERLOAD RELAY" u="1"/>
        <s v="DOWEL PINS 3/16&quot; X 1-1/2&quot;,  0.001 OVERSIZE DOWEL PIN" u="1"/>
        <s v="SEGMENT MOH- 40027" u="1"/>
        <s v="TIMING BELT W&amp;D REF: NO 11.072, (602 SYNCHROFLEX DR 153)" u="1"/>
        <s v="THREAD BUSHING" u="1"/>
        <s v=" 45 X 80 MM FLEXIBLE WINDOW KNIFE FOR MOH '1.5' DEG ANGLE  " u="1"/>
        <s v="FLAP SCORE BLADE FOR W&amp;D 141" u="1"/>
        <s v=" R1.20.027.048, SPUR GEAR" u="1"/>
        <s v=" 5 X 12 MM, LOW HEAD L. KEY BOLT" u="1"/>
        <s v=" FLEXIBLE PIPE FOR AIR CHUCK" u="1"/>
        <s v=" OMRON MY2K, LATCHING RELAY 24VDC (10A)" u="1"/>
        <s v="McMASTER: 8698K72, NEOPRENE RUBBER 3/32&quot;" u="1"/>
        <s v="AIR CYLINDER 2&quot; STROKE LENGTH" u="1"/>
        <s v=" 5 X 16 MM, LOW HEAD L. KEY BOLT" u="1"/>
        <s v="SHEET COUNTING CLAMP" u="1"/>
        <s v=" HEAD RETURN CYLINDER, PP 1622MK" u="1"/>
        <s v="FLAP SCORING BLADE SCORE BLADES FOR MOH, MOH-30485" u="1"/>
        <s v=" LOW HEAD SOCKET CAP SCREW 1/4&quot;-20 X 1&quot;, 92220A186 (McMaster)" u="1"/>
        <s v="HEAD RETURN CYLINDER" u="1"/>
        <s v="HARD KNIVES LOWER BOTTOM CUTTING KNIFE " u="1"/>
        <s v=" SM312D, BANNER MINI-BEAM PHOTO SENSOR" u="1"/>
        <s v="FLEXIBLE PROFILE KNIFE 3.875&quot; X 8.875&quot; (1.6539&quot; V-FLAP) FOR 38R, '0' DEG ANGLE BEST REF: FA-403649" u="1"/>
        <s v=" BOLT, POSITION: 13171/32, PART NO: V 77.40.191.1" u="1"/>
        <s v="7 1/2 X 7 1/2 (OSSS)" u="1"/>
        <s v="ORANGE HANDLE (M10 X 1.5)" u="1"/>
        <s v=" GEAR FOR INSIDE INSIDE PRINTING" u="1"/>
        <s v="BALL BEARING FND 459" u="1"/>
        <s v="08B-1 SINGLE OFFSET CHAIN LINK" u="1"/>
        <s v=" BLUE FLOOR MARKING TAPE" u="1"/>
        <s v="FLUSHING OIL" u="1"/>
        <s v="TIMING BELT TIMING BELT 450H300" u="1"/>
        <s v="P/N:377P, POLYESTER ELEMENT WITH PRE-FILTER, QUINCY PART NO 376P (OLD PART NO 127357E016) FOR VACUUM PUMP" u="1"/>
        <s v="SOLID PANEL DIE 12 X 60 MM, FOR CHEETAH" u="1"/>
        <s v="TIMING BELT TIMING BELT (450H200), PART-MOH-30193" u="1"/>
        <s v="SOLID PANEL DIE 14 X 90 MM, FOR CHEETAH" u="1"/>
        <s v="TIMING BELT TIMING BELT, PART-MOW-30760" u="1"/>
        <s v="TAPE MACHINE" u="1"/>
        <s v="10 X 13 (OESSS)" u="1"/>
        <s v=" PHOTO SENSOR, AUTONICS MODEL:BX700-DFR POWER :24-240V AC/DC" u="1"/>
        <s v=" GRIPPER, 419 0486 43020035F/D" u="1"/>
        <s v=" VARIDRIVE BELT, MOH-40642" u="1"/>
        <s v="NEEDLE BEARING TAF 455520" u="1"/>
        <s v="TIMING BELT PART-EW-70947" u="1"/>
        <s v="RUBBER ROLLS, N010.040" u="1"/>
        <s v="ENVELOPE HIGH DIE 5.5 X 5.5 (OSSS), (CAPITAL REF:  U-22)" u="1"/>
        <s v="STEEL DOCTOR BLADE (ROLL)  1 ROLL=1200 INCH" u="1"/>
        <s v="DILER 22G CONTATCOR" u="1"/>
        <s v="BALL BEARING FAFNIR, F5DD" u="1"/>
        <s v=" RED CAP THUMB SCREW, 94052A357 (McMaster)" u="1"/>
        <s v="UNICAST SCORE ROLL 20-3217SYS" u="1"/>
        <s v=" SCISSORS" u="1"/>
        <s v=" COMPLETE SET OF GLUE NOZZLE ASSEMBLY" u="1"/>
        <s v=" EYE BOLT (LEFT &amp; RIGHT THREAD), 36.017.038/-" u="1"/>
        <s v=" BULB FOR FORKLIFT" u="1"/>
        <s v=" McMASTER: 8698K72, NEOPRENE RUBBER 3/32&quot;" u="1"/>
        <s v=" McMASTER REF: 6063K22, SHAFT COLLAR 30 MM BORE" u="1"/>
        <s v=" 114 X 232 MM FLEXIBLE PROFILE KNIFE FOR 38R, '0' DEG ANGLE FOR NBD" u="1"/>
        <s v="HARD KNIVES UPPER KNIFE FOR BOTTOM CUTTING FOR 97G " u="1"/>
        <s v="INK ROLLER" u="1"/>
        <s v=" BELT DRIVE FOR SM-74, 419 0486 002700123" u="1"/>
        <s v=" RED INK" u="1"/>
        <s v="ENVELOPE HIGH DIE 114 X 229, (CAPITAL REF:  R-46)" u="1"/>
        <s v=" 4 X 16 MM, S.S L. KEY BOLT FOR 38R P&amp;S" u="1"/>
        <s v=" P/N: 3509, VITON O-RING, 014" u="1"/>
        <s v="MICRO SWITCH PART" u="1"/>
        <s v="VARIDRIVE BELT" u="1"/>
        <s v="BEARING " u="1"/>
        <s v="BALL BEARING 16100-2Z" u="1"/>
        <s v="McMASTER REF: 3408a71, BALL NOSE SPRING PLUNGER" u="1"/>
        <s v="50-1 CHAIN LINKS" u="1"/>
        <s v="SIDE SCORING BLADE V 03.00.001.0, SIDE SCORE BLADE FOR W&amp;D 141" u="1"/>
        <s v="McMASTER REF: 6063K33, SHAFT COLLAR 15 MM BORE" u="1"/>
        <s v=" McMASTER REF: 6063K24, SHAFT COLLAR 40 MM BORE" u="1"/>
        <s v=" P/N: 126648, INLET VALVE SHAFT" u="1"/>
        <s v="V-BELT, B-39(B1040Ld/17X1000Li)" u="1"/>
        <s v=" TEE HANDLE L. KEY, 10 MM (McMASTER REF: 5629A78)" u="1"/>
        <s v="FRICTION DISC FOR SHEETER CLUTCH" u="1"/>
        <s v=" FLANGE FOR PUSH BUTTON HEAD 22 MM" u="1"/>
        <s v="NEEDLE BEARING IKO BHA 812 Z " u="1"/>
        <s v="REPAIR KIT FOR FLUID SIDE" u="1"/>
        <s v="FLEXIBLE PROFILE KNIFE 4.125&quot; X 9.5&quot; (1.375&quot; STRAIGHT S.F) FOR 38R, '0' DEG ANGLE BEST REF: FA-403650" u="1"/>
        <s v="SEGMENT MOW-40232, UNICAST REF: 15-1124T" u="1"/>
        <s v="TOWER LIGHT BULB 24V-10W" u="1"/>
        <s v="SCORE BLADES FOR MOH" u="1"/>
        <s v=" 38R MODIFIED SHIMS FOR P&amp;S GLUE NOZZLE" u="1"/>
        <s v="ENVELOPE HIGH DIE 5 1/2 X 7 1/2 (OSSS), (CAPITAL REF:  U-18)" u="1"/>
        <s v="BALL BEARING 1125 ICG RHP" u="1"/>
        <s v=" P/N: 123549-003, GASKET 6.50 O.D x 4.56 I.D" u="1"/>
        <s v=" MS2, REFLECTOR" u="1"/>
        <s v=" SINGLE OFFSET LINK # 35-1" u="1"/>
        <s v="BALL BEARING 6900-2Z (10 X 22 X 6 MM) FOR PRATIKA MINIPACK 56" u="1"/>
        <s v=" BEARING MFCI-1/2" u="1"/>
        <s v=" 10A, FUSE (500 V-10A)" u="1"/>
        <s v="ENVELOPE HIGH DIE 115 X 225, (CAPITAL REF:  R-28)" u="1"/>
        <s v="M.S L. KEY BOLT" u="1"/>
        <s v="RECIPROCATING SAW FOR PVC, SIZE = 8 INCH" u="1"/>
        <s v="SCORE BLADE, FLAP, 13-1/4&quot; LONG" u="1"/>
        <s v="ECCENTRIC BOLT (CAM FOLLOWER)" u="1"/>
        <s v=" BEARING 77R-24" u="1"/>
        <s v=" HEATING CONTACTOR (24V, 12AMP), K 4.341.45" u="1"/>
        <s v=" EMERGENCY STOP PUSH BUTTON HEAD 22 MM" u="1"/>
        <s v="OVER LOAD CUT OUT (MOTOR PROTECTIVE SWITCH) 6---10A" u="1"/>
        <s v=" MULTI TURN POTENTIOMETER, 1K OHM, BOURNS-35406-1-1022" u="1"/>
        <s v="SAFETY SHOE SIZE: 44" u="1"/>
        <s v="STANDARD HEAD CAP SCREW 1/4&quot;-28 X 1&quot;" u="1"/>
        <s v="RED INK" u="1"/>
        <s v="LIMIT SWITCH (TEND: T2-5168)" u="1"/>
        <s v=" 114 X 234 MM FLEXIBLE PROFILE KNIFE FOR 38R, '0' DEG ANGLE BEST REF: D-4555 (FA-173829)" u="1"/>
        <s v="DE-CURL BARS" u="1"/>
        <s v="FLOOR MARKING TAPE" u="1"/>
        <s v="RUBBER ROLLS, N010.030" u="1"/>
        <s v="RUBBER ROLLS, N010.031" u="1"/>
        <s v="TIMING BELT 700H300, PART-MOW-20086" u="1"/>
        <s v=" KEY 5/16X3/8X12 INCH, 98510A160 (McMaster)" u="1"/>
        <s v=" RIDGID THREAD CUTTING OIL" u="1"/>
        <s v="L-SQUARE HEAD SOCKET WRENCH" u="1"/>
        <s v="TIMING BELT, T5-280, WIDTH = 40 MM" u="1"/>
        <s v=" KNURLED NUT FOR PRINTING UNIT" u="1"/>
        <s v=" McMASTER REF: 6063K19, SHAFT COLLAR 20 MM BORE" u="1"/>
        <s v="SEGMENT FEED SEGMENT MOW-40147, UNICAST REF: 15-1125T" u="1"/>
        <s v=" SPECIAL GRUB SCREW " u="1"/>
        <s v=" RUBBER, SILICONE, 1/2&quot; X 7/8&quot;, RU-0065" u="1"/>
        <s v="ENVELOPE HIGH DIE 9 X 9 (OSSS), (CAPITAL REF:  U-42)" u="1"/>
        <s v="SELF ALIGNING BEARING 1204 (20 X 47 X 14 MM)" u="1"/>
        <s v=" P/N: 22749-249, VITON O-RING 1/8 X 5.12 OD" u="1"/>
        <s v="ENVELOPE HIGH DIE 115 X 225 TYVEK, (CAPITAL REF:  S-05)" u="1"/>
        <s v="SOLID PANEL DIE 14 X 75 MM, FOR CHEETAH" u="1"/>
        <s v="FW05D3T, PHOTOCEL SENSOR 18-230V AC/DC WITH RELAY OUTPUT" u="1"/>
        <s v=" SET OF GLUE PAD, LHS &amp; RHS" u="1"/>
        <s v=" P/N: 3097, 50 MESH PUMP FILTER WITH SPRING" u="1"/>
        <s v="TIGHTENING NUT" u="1"/>
        <s v="POWER SUPPLY 24VDC, 1.5A" u="1"/>
        <s v="ENVELOPE HIGH DIE 3 5/8 X 6 1/2 (REMIT), (CAPITAL REF:  U-09)" u="1"/>
        <s v=" GASKET FOR COMPRESSOR" u="1"/>
        <s v=" CAM FOLLOWER, L990.00.0087.8" u="1"/>
        <s v="ENVELOPE HIGH DIE 10 X 7, (CAPITAL REF:  R-69)" u="1"/>
        <s v=" RUPTURE DISC" u="1"/>
        <s v=" INK ROLLER, DIA = 51 MM" u="1"/>
        <s v="RED CAP THUMB SCREW" u="1"/>
        <s v="SEGMENT SEGMENT PART NO 1146L" u="1"/>
        <s v="FUSE (100KA, 240VAC)" u="1"/>
        <s v=" 06B-1-16, SPROCKET" u="1"/>
        <s v="NEEDLE BEARING INA NKI 22/20" u="1"/>
        <s v=" CHAIN FOR SHEETER" u="1"/>
        <s v=" P/U COATED PERFORATED ROLLER, BLACK, 60 SHORE, 30 X 21 X 520 MM" u="1"/>
        <s v=" RUBBER ROLLS (DISP.TIRE/BRNG), NO 10.020 (UNICAST REF: 15-3113)" u="1"/>
        <s v="FORM ROLLER 35 (L212.00.0035.0)" u="1"/>
        <s v="ENVELOPE HIGH DIE 55 X 85, (CAPITAL REF:  S-01)" u="1"/>
        <s v=" 16A, FUSE 500V (DIA 10 X L 38 MM)" u="1"/>
        <s v="INLET VALVE SHAFT" u="1"/>
        <s v="MICRO SWITCH" u="1"/>
        <s v="FLEXIBLE WINDOW KNIFE 40 X 93 MM, FOR 38R '0' DEG ANGLE  FS-169797" u="1"/>
        <s v=" X4.105.42, METAL BRISTLES TAPE" u="1"/>
        <s v=" PRINTING ROLLER FOR SM-74, DIA = 74 MM, L = 750 MM" u="1"/>
        <s v=" REGULATOR" u="1"/>
        <s v="RUBBER ROLLER 10-1148" u="1"/>
        <s v=" SAFETY SWITCH" u="1"/>
        <s v=" WCCD 02790 HARD KNIVES FOR MOH NEW DRAWING" u="1"/>
        <s v=" CHAIN # 40-1" u="1"/>
        <s v="SAFETY SHOE" u="1"/>
        <s v=" S-229, ULTRA MOLY SYNTHETIC EP RED BEARING GREASE NLGI &quot;0&quot;" u="1"/>
        <s v=" CHAIN # 41-1" u="1"/>
        <s v=" 115 X 229 MM FLEXIBLE PROFILE KNIFE FOR 38R, '0' DEG ANGLE SECURITY CUT, PULL LENGTH 80" u="1"/>
        <s v="CAM FOLLOWER V 8125.07.30" u="1"/>
        <s v=" P/N: 141608, INLET VALVE GASKET" u="1"/>
        <s v=" NORDSON 316578, SYNTHETIC OIL, RESIN FREE TK002/50.1" u="1"/>
        <s v="KNIFE WITH V-CUT" u="1"/>
        <s v=" DILER - 40, CONTACTOR RELAY, 24VAC, 4 NO, 50/60Hz" u="1"/>
        <s v="SPROCKET FOR CHAIN # 41-1, NOT = 24" u="1"/>
        <s v="MULTI TURN POTENTIOMETER, RES 10K ohm " u="1"/>
        <s v=" DIA = 4 INCH SOLID PANEL DIE FOR 327G, '0' DEG ANGLE " u="1"/>
        <s v="ENVELOPE HIGH DIE 75 X 110, (CAPITAL REF:  R-38)" u="1"/>
        <s v=" TIMING BELT" u="1"/>
        <s v=" VASITOR(ELCT), K4.731.31" u="1"/>
        <s v=" SECURITY CUT DIE  SOLID PANEL DIE FOR 327G, '0' DEG ANGLE " u="1"/>
        <s v="ENVELOPE HIGH DIE 3-3/8&quot; X 6&quot;, (CAPITAL REF:  U-46)" u="1"/>
        <s v=" M.S L. KEY BOLT 3/8&quot;-24 X 2&quot;" u="1"/>
        <s v=" BATTERY AAA-1.5V" u="1"/>
        <s v=" ROLL, PCMC PART NO OS-5918" u="1"/>
        <s v="DRYER CHAIN MASTER LINK (AMERICAN HOLT,  INC)" u="1"/>
        <s v="TIMING BELT TIMING BELT 490 L 150" u="1"/>
        <s v=" GROOVED ROLLER, 22 X 14 X 235 MM" u="1"/>
        <s v="THRUST BEARING 51111-NSK (55 X 78 X 16 MM)" u="1"/>
        <s v=" CARBON VANES FOR SM-74, 5 X 52 X 130 MM" u="1"/>
        <s v=" PAPER CARRIER, L212.00.6154.0" u="1"/>
        <s v="FUSE 500V" u="1"/>
        <s v="BALL BEARING 7204 BETNU (20 X 47 X 14 MM)" u="1"/>
        <s v="2 1/4 X 3 1/2" u="1"/>
        <s v="ROLL" u="1"/>
        <s v="TEFLON TAPE ROLL FOR SHANKLIN" u="1"/>
        <s v=" SHOCK ABSORBER, PART # MA-0021" u="1"/>
        <s v="FLEXIBLE WINDOW KNIFE 40 X 90 MM, FOR 38R '0' DEG ANGLE  BEST REF: FS-304490" u="1"/>
        <s v="TIMING BELT 1700H200, PART-MOH-40947" u="1"/>
        <s v="ENVELOPE HIGH DIE 10 X 13 (OESSS), (CAPITAL REF:  U-37)" u="1"/>
        <s v="BALL BEARING 6002-DDUNR (15 X 32 X 9 MM)" u="1"/>
        <s v="RUBBER ROLLS N010.010" u="1"/>
        <s v=" OPEN GEAR GREASE" u="1"/>
        <s v=" FESTO VALVE HGL-1/4-B" u="1"/>
        <s v=" R120020077, GUIDE" u="1"/>
        <s v="BALL BEARING 62200 (10 X 30 X 14 MM)" u="1"/>
        <s v="KEY 1/4X1/4X12 INCH" u="1"/>
        <s v="OIL SEAL OIL SEAL BECKER, 40 X 52 X 7 MM" u="1"/>
        <s v="6027K151 06B SINGLE STRAND CHAIN" u="1"/>
        <s v="RUBBER ROLLER P/N: 10-1016 (N 010.140)" u="1"/>
        <s v=" GLUE WHEEL" u="1"/>
        <s v=" SPECIAL BOLT" u="1"/>
        <s v=" RELAY 24VAC. 5AMP. 14 PIN, PERRY 1RE 04 05 24VAC, 50/60Hz" u="1"/>
        <s v=" CIRCUIT BREAKER, 32A, 1 POLE" u="1"/>
        <s v=" 13 X 60 MM FLEXIBLE WINDOW KNIFE FOR MOH '1.5' DEG ANGLE  " u="1"/>
        <s v="SIDE SCORING BLADE FOR B&amp;B" u="1"/>
        <s v=" UNICAST REF: 22-480L, LEFT SIDE GUMMER 112.5 MM" u="1"/>
        <s v=" HABASIT HAM-5P PERFORATED CONVEYOR BELT, B=195, L=403 MM" u="1"/>
        <s v=" FESTO CONTROL VALVE, GRLA-M5-QS-6RS" u="1"/>
        <s v=" NORDSON: 316681, FILTER CARTRIDGE MWO.8F.EP51" u="1"/>
        <s v="THRUST BEARING 6074 (FOR CHEETAH MACHINE VACUUM CYLINDER)" u="1"/>
        <s v=" 108 X 235 MM FLEXIBLE PROFILE KNIFE FOR 38R, '0' DEG ANGLE " u="1"/>
        <s v=" CARBON VANES, 5 X 52 X 130 MM" u="1"/>
        <s v=" LOW HEAD SOCKET CAP SCREW 1/4&quot;-20 X 5/8&quot;, 92220A184 (McMaster)" u="1"/>
        <s v=" WHITE ROGER TMST 2STG DIGITAL 179493, 1F83261-24V" u="1"/>
        <s v=" P/N: AF-565AH, PATCH SHEAR (3.8 MM THICK)" u="1"/>
        <s v=" McMASTER: 5824T77, RULON SHEET 1/16&quot; X 6&quot; X 6&quot;" u="1"/>
        <s v=" CARTRIDGE HEATER (DIA 12.5MM X L=255MM), 300W, 230V" u="1"/>
        <s v=" McMASTER REF: 92981A202, SHOULDER BOLTS, 8 X 16 MM, M6" u="1"/>
        <s v="CONTACTOR LC1D12F7.  110V, 25A" u="1"/>
        <s v="FUSE 250VAC (L = 32MM)" u="1"/>
        <s v=" 115 X 229 MM FLEXIBLE CUT OFF KNIFE FOR 38R, '1' DEG LEFT ANGLE BEST REF: D-5024" u="1"/>
        <s v=" BALL BUSHING, BC-0025" u="1"/>
        <s v="SCORING ROLLER P/N: 10-1185 (L 126.07.0001.2)" u="1"/>
        <s v="ENVELOPE HIGH DIE 176 X 250, (CAPITAL REF:  R-70)" u="1"/>
        <s v="ENVELOPE HIGH DIE 9 X 4, (CAPITAL REF:  R-02)" u="1"/>
        <s v=" SINGLE OFFSET LINK # 06B-1" u="1"/>
        <s v="ENVELOPE HIGH DIE 320 X 240, (CAPITAL REF:  S-15)" u="1"/>
        <s v=" L. KEY, 4 MM (McMASTER REF: 6958A14)" u="1"/>
        <s v="ENVELOPE HIGH DIE 136 X 204, (CAPITAL REF:  R-15)" u="1"/>
        <s v="HD-RPHa-5Fs-Sm-Blg (MAM-5P)" u="1"/>
        <s v="D 0.030.312, CYLINDER SCREW WITH HEX M10X40" u="1"/>
        <s v="EMERY PAPER" u="1"/>
        <s v="BALL BEARING 1602-2RS" u="1"/>
        <s v=" HS 100, 33R, ARCOL RESISTANCE FOR 38R MACHINES" u="1"/>
        <s v="TIMING BELT N 011.420, (809 SYNCHROFLEX T5/410), W=30MM, 82 TEEHT, 410MM LENGTH, 5MM PITCH" u="1"/>
        <s v="BALL BEARING 1616-2RS" u="1"/>
        <s v="McMaster PART NO: 98015K23 , 10 MICRON POLYPROPYLENE FELT BAG FOR 20 GPM, POLYPROPYLENE FILTER BAG  HOUSING" u="1"/>
        <s v="DIFFERENTIAL PILOT VALVE KIT" u="1"/>
        <s v="SEGMENT UNICAST # 15-1122AT" u="1"/>
        <s v=" OLD STUD" u="1"/>
        <s v=" SPECIAL RELAY 230VAC. 8AMP, SCHRACK, YRT78626" u="1"/>
        <s v="NEEDLE BEARING RCB 162117" u="1"/>
        <s v="SIDE SCORE COUPLING" u="1"/>
        <s v="HARD KNIFE BOTTOM KNIFE FOR WINDOW FILM " u="1"/>
        <s v="FLAT BELT FOR FOLDER UNIT, HABASIT HD-MT-04HmE1-FsGr, (MAM-5E) (B=38MM, L=2320MM, T=1.4MM)" u="1"/>
        <s v=" 114 X 234 MM FLEXIBLE PROFILE KNIFE FOR 38R, '0' DEG ANGLE BEST REF: REF: D-7165 (FA-177263) FOR P&amp;S)" u="1"/>
        <s v=" MP CURTAIN OUTLET PRESS ASSEMBLY, TUN-50" u="1"/>
        <s v=" TESAMOL STRIP, 00.580.1010" u="1"/>
        <s v="STEEL SHAFT 3/8&quot; X 36&quot;" u="1"/>
        <s v=" P/N: 123478-L15, CAP SCREW 3/8-16 UNC x 1.50, GRADE 5 (@55 FT-LBs" u="1"/>
        <s v=" NORDSON: 253554, WASHER 6.5 X 10 X 2" u="1"/>
        <s v=" 41-16, SPROCKET" u="1"/>
        <s v=" TESA 4156 (CAMERA RED TAPE), 12MM x 66MTR" u="1"/>
        <s v="ALUMINUM OXIDE SANDING BELT. SIZE: 1/2&quot; X 24&quot;. GRADE: 180" u="1"/>
        <s v="CARBON BRUSH FOR 327G" u="1"/>
        <s v="9 X 12 (OESSS)" u="1"/>
        <s v=" 2 POSITION SELECTOR SWITCH HEAD 22 MM" u="1"/>
        <s v=" P/N: 1629, HA2 ONE MODULE HEATER BODY" u="1"/>
        <s v=" GRIPPER FOR CYLINDER, V79.89.4580" u="1"/>
        <s v="BRONZE AIR FILTER" u="1"/>
        <s v=" K2 222.02, SOLENOID FOR BANKER" u="1"/>
        <s v="UNIVERSAL JOINT FOR MOH &amp; MOW" u="1"/>
        <s v=" P/N: 3510, VITON O-RING, 015" u="1"/>
        <s v=" P/N: 146175-100, DIFFERENTIAL PILOT VALVE KIT" u="1"/>
        <s v=" MFH-5-1/4, SINGLE SOLENOID VALVE" u="1"/>
        <s v="RUBBER ROLLS (UNICAST REF: 15-3120)" u="1"/>
        <s v="SIDE SCORING V 03.00.001.0, SIDE SCORE BLADE FOR W&amp;D 141" u="1"/>
        <s v=" 085XX244, FUSE 125 V (F 2 A)" u="1"/>
        <s v="SEAL GUM MO-1502, 10 INCH, 35 SHORE" u="1"/>
        <s v=" TIMING BELT (HTD 2800-8M-B07083), K 1.825.81" u="1"/>
        <s v="SEGMENT BITE (MOW30861. 7.5X2-7/8 20* INCH), UNICAST REF: 15-1321" u="1"/>
        <s v="SOLENOID VALVE 75-104-02" u="1"/>
        <s v="PISTON CUP (OLD P/N: 126460-350)" u="1"/>
        <s v="WEARING KIT FOR MOH SPLICER" u="1"/>
        <s v=" ROLLER FOR SHAFT # 20, DIA=25-0.1+0, 60 SHORE, (V 45.85.017.0) (ML 25.080.0)" u="1"/>
        <s v="ENVELOPE HIGH DIE 90 X 58 (58 X 90), (CAPITAL REF:  R-88)" u="1"/>
        <s v="CORNER KNIFE (OPERATOR SIDE) &quot;LEFT&quot;" u="1"/>
        <s v=" PLUG 13A" u="1"/>
        <s v="SQUARE HEAD SCREW" u="1"/>
        <s v="O-RING, 3/32 WIDE x 0.94 OD (FOR VACUUM PUMP)" u="1"/>
        <s v="BALL BUSHING" u="1"/>
        <s v="SANDING DISC, 3&quot; DIA, 40 GRIT" u="1"/>
        <s v="GUIDE PLATE (12604/13-MV 60.126.0)" u="1"/>
        <s v="PUNCH DIE 1-3/4&quot; X 4-1/2&quot; WINDOW SIZE" u="1"/>
        <s v=" 4MM WASHER FOR CHAIN ROLLERS" u="1"/>
        <s v=" P/N: 23681, BUSHING FOR INLET VALVE PLATE" u="1"/>
        <s v=" 4MM SNAP RING FOR CHAIN ROLLER" u="1"/>
        <s v=" ELECTRIC ITEM, K4.262.41" u="1"/>
        <s v="FLAT BELT 1869810/10" u="1"/>
        <s v="DE-CURL BAR" u="1"/>
        <s v=" TWINE FOR 97G" u="1"/>
        <s v="SELF ALIGNING BEARING 129 WA NSK" u="1"/>
        <s v="REGULATOR" u="1"/>
        <s v="SOLID PANEL DIE 40 X 105 MM, FOR 327G, '0' DEG ANGLE " u="1"/>
        <s v="CYLINDERICAL ROLLER BEARING NU 2205" u="1"/>
        <s v="SOLID PANEL DIE 45 X 105 MM, FOR 327G, '0' DEG ANGLE " u="1"/>
        <s v="DOWEL PINS 3/16&quot; X 1&quot;, 0.001 OVERSIZE DOWEL PINS " u="1"/>
        <s v=" LAS-456H, CROSS FOR UNIVERSAL JOINT 30 X 82 MM" u="1"/>
        <s v="3 1/2 X 6 1/2 (OESSS)" u="1"/>
        <s v="SPECIAL OFFER TAPE" u="1"/>
        <s v="McMaster PART NO: 98015K2, 5 MICRON POLYPROPYLENE FELT BAG FOR 20 GPM, POLYPROPYLENE FILTER BAG  HOUSING" u="1"/>
        <s v=" TIMING PULLEY FOR ENCODER, (OLD FOR REF)" u="1"/>
        <s v=" FLAT PLATE, 01.018.012" u="1"/>
        <s v="McMASTER REF: 57445K26, SHAFT COLLAR 12 MM BORE" u="1"/>
        <s v="FILTER BAG ASSEMBLY" u="1"/>
        <s v=" ECCENTRIC PIN, 04.017.032/-" u="1"/>
        <s v="BALL BEARING 6204-DDUNR (20 X 47 X 14 MM)" u="1"/>
        <s v="BALL BEARING 3204 OR 5204 (20 X 47 X 20.6 MM)" u="1"/>
        <s v=" COUNTER KICKER, SET, V 05557370" u="1"/>
        <s v=" SINGLE OFFSET LINK # 50-1" u="1"/>
        <s v=" S-QB-231P-301, FILTER ASSEMBLY" u="1"/>
        <s v=" SPROCEKT 06B-1-42" u="1"/>
        <s v=" PLASTIC FEED DRUM, PART-MO-1001-PL" u="1"/>
        <s v="ENVELOPE HIGH DIE 162 X 162, (CAPITAL REF:  R-19)" u="1"/>
        <s v=" SPROCEKT 06B-1-49" u="1"/>
        <s v=" SPROCEKT 35B-1-20" u="1"/>
        <s v=" McMASTER: 7959T42, COUNTER" u="1"/>
        <s v="   UPPER KNIFE FOR BOTTOM CUTTING FOR 97G " u="1"/>
        <s v=" ANDELI MICROSWITCH SMALL LEVER,  LXW5-11N1  (15A, 250VAC)" u="1"/>
        <s v="SINGLE OFFSET CHAIN LINK # 40-1" u="1"/>
        <s v=" 38R MODIFIED GLUE NOZZLE WITH KNIFE" u="1"/>
        <s v="COMPLETE PAPER CUTTER" u="1"/>
        <s v="CHAIN NO 06B-1" u="1"/>
        <s v="TIMMING BELT" u="1"/>
        <s v=" SHEAR KNIFE FOR CLASP" u="1"/>
        <s v=" P/N: 2475, STANDARD METERING PIN" u="1"/>
        <s v="DURA FLEX COUPLING ELEMENT FOR QUINCY VACUUM PUMP" u="1"/>
        <s v="BITE SEGMENT (MOW30861. 7.5X2-7/8 20* INCH)" u="1"/>
        <s v=" NORDSON 404703, SPARE PARTS KIT EP 10 CONTROL MODULE" u="1"/>
        <s v="TIMING BELT T5-270, W = 40 MM, 54 TEETH, 270MM LENGTH, 5MM PITCH" u="1"/>
        <s v="FUSE 500V, 100KA, 10 X 38 MM" u="1"/>
        <s v="HARD KNIFE V.03.02.004.0 LOWER CROSS CUTTING KNIF FOR 97G " u="1"/>
        <s v="GROOVED SEGMENT (15-1122T)" u="1"/>
        <s v=" UNICAST REF: 22-480R, RIGHT GUMMER 112.5 MM" u="1"/>
        <s v=" TIMING PULLEY (MARTIN), 20 X L037" u="1"/>
        <s v="2013800404 (144606-2), QUINCY AIR &amp; OIL SEPARATOR FILTER FOR AIR COMPRESSOR" u="1"/>
        <s v=" GABLE, V81.05.976.0" u="1"/>
        <s v=" P/N: 126644, INLET VALVE CYLINDER (INCLUDING BUSHING # 22880)" u="1"/>
        <s v="TIMING BELT 960H100" u="1"/>
        <s v=" TESA 4163, YELLOW TAPE 50MM X 33MTR" u="1"/>
        <s v=" 40-1CHAIN LINKS" u="1"/>
        <s v=" STEEL DOCTOR BLADE (ROLL)  1 ROLL=1200 INCH, 217204-1200-0" u="1"/>
        <s v=" 8-32 X 1/2&quot;, FLAT HEAD SCREW" u="1"/>
        <s v="ONE WAY BEARING HFLF-205317" u="1"/>
        <s v="FLEXIBLE PROFILE KNIFE 115 X 225 MM FOR 38R, '0' DEG ANGLE SECURITY CUT, BEST REF: C-9781" u="1"/>
        <s v="RUBBER HAMMER" u="1"/>
        <s v="ONE WAY BEARING BB30-2K-K" u="1"/>
        <s v=" SANDPIPER PUMP, McMASTER REF: 4157K72, PB1/4, TS3PP" u="1"/>
        <s v="TIMING BELT 360H200 (72 TEETH), PART-MOH-10019" u="1"/>
        <s v=" AC 1 A, FUSE 250VAC (FOR FORKLIFT)" u="1"/>
        <s v=" 800H100" u="1"/>
        <s v=" RUBBER PACKING FOR SEALER, PRATIKA 56" u="1"/>
        <s v=" INFRA ELECTRONIC SENSOR, FW05D3T, PHOTOCEL SENSOR 18-230V AC/DC WITH RELAY OUTPUT " u="1"/>
        <s v=" RECTIFIER" u="1"/>
        <s v="VEHICLE LOG BOOK" u="1"/>
        <s v="TRANSFER ROLLER 43 (L212.00.0043.0)" u="1"/>
        <s v=" OVER LOAD CUT OUT (MOTOR PROTECTIVE SWITCH) 4--6.3A, MOELLER PKZMO-6.3 (W+D: K4.519.79)" u="1"/>
        <s v=" 66 X 106 MM SOLID PANEL DIE FOR 327G, '0' DEG ANGLE " u="1"/>
        <s v=" 13 X 75 MM FLEXIBLE WINDOW KNIFE FOR MOH '1.5' DEG ANGLE  " u="1"/>
        <s v="HABASIT MAM-04H ENDLESS FLEXOPROOF BELT FOR VACUUM TABLE OF PEEL &amp; SEAL UNIT (MANUFACTURED AT SWITZERLAND ON REQUEST)" u="1"/>
        <s v="BALL BEARING 6016-2Z (80 X 125 X 22 MM)" u="1"/>
        <s v="SAFETY SHOE SIZE: 45" u="1"/>
        <s v=" 60235k84, ORANGE HANDLE (M8 X 50 MM)" u="1"/>
        <s v=" USED GRIPPERS FOR SO" u="1"/>
        <s v=" ANDELI MICROSWITCH (LONG LEVER), Z-15H24-B" u="1"/>
        <s v="BALL BEARING 16003 (17 X 35 X 8 MM)" u="1"/>
        <s v=" 110 X 234 MM FLEXIBLE CUT OFF KNIFE FOR 38R, '1' DEG LEFT ANGLE BEST REF: FA-401255" u="1"/>
        <s v="FLEXIBLE WINDOW KNIFE 20 X 95 MM, FOR 38R '0' DEG ANGLE  " u="1"/>
        <s v=" 6897K86 (McMaster), CABLE FOR REFLECTOR" u="1"/>
        <s v="RUBBER ROLLER P/N: 10-1145" u="1"/>
        <s v="NEEDLE BEARING HFL 3530" u="1"/>
        <s v="BALL BEARING 16005 (25 X 47 X 8 MM)" u="1"/>
        <s v=" HOLDER FOR RUBBER ROLLER" u="1"/>
        <s v=" REF # 5001, P&amp;S BOTTOM KNIFE FOR 38R" u="1"/>
        <s v=" MINI MICROSWITCH" u="1"/>
        <s v=" 030XX594, ELECTRIC CABLE WITH CONNECTORS FOR GLUE UNIT PHOTO CELL" u="1"/>
        <s v=" 1-3/4&quot; X 4-1/2&quot; PUNCH DIE " u="1"/>
        <s v="TIMING BELT 540H" u="1"/>
        <s v="TIMING BELT V620/6, (508 SYNCHROFLEX V620/6)" u="1"/>
        <s v=" 155XX304, VALCO ENCODER VDD-1000 (SERIAL NO 1790879)" u="1"/>
        <s v=" MOTOR FOR CONVEYOR BELT" u="1"/>
        <s v="NEEDLE BEARING " u="1"/>
        <s v=" SPROCEKT 06B-1-21" u="1"/>
        <s v=" SPROCEKT 06B-1-23" u="1"/>
        <s v=" SPROCEKT 06B-1-28" u="1"/>
        <s v="3 1/2 X 6 " u="1"/>
        <s v="BRONZE TUBE" u="1"/>
        <s v="HARD KNIVES V.03.02.002.0 UPPER CROSS CUTTING KNIF FOR 97G " u="1"/>
        <s v=" GEAR OFF SIZE (IN WOODEN BOX)" u="1"/>
        <s v=" DE-CURL BAR" u="1"/>
        <s v="PUNCH DIE 55 X 90 MM WINDOW" u="1"/>
        <s v=" P/N: 20683, RUBBER COUPLING" u="1"/>
        <s v=" MP CHAIN ROLLER, TUN-50, AS250047" u="1"/>
        <s v=" LUBRICATION BRUSH" u="1"/>
        <s v=" McMASTER REF: 8525T51, 1/16&quot; THICK, 12&quot; X 12&quot;, GUM, RUBBER SHEET GASKET" u="1"/>
        <s v="HARD KNIFE FOR MOH AS PER NEW DRAWING" u="1"/>
        <s v="SEGMENT PART NO 1146L" u="1"/>
        <s v="2.5 X 4.328" u="1"/>
        <s v="REPAIR KIT FOR MOTOR SIDE" u="1"/>
        <s v="NEEDLE BEARING FOR MOH P&amp;S" u="1"/>
        <s v=" ACTUATOR, 419 0486 611441141" u="1"/>
        <s v=" 11 INCH (V-FLAP) FLEXIBLE CUT OFF KNIFE FOR 38R, '1' DEG LEFT ANGLE BEST REF: FA-403652" u="1"/>
        <s v="TIMING BELT, T5-500" u="1"/>
        <s v=" MP CHAIN ROLLER, TUN-50, AS250049" u="1"/>
        <s v="ENVELOPE HIGH DIE 5 1/4 X 7 1/4 (A7 OSSS), (CAPITAL REF:  U-21)" u="1"/>
        <s v="HARD KNIVES FOR MOH AS PER NEW DRAWING" u="1"/>
        <s v="SOLID PANEL DIE DIA = 95 MM, FOR 327G, '0' DEG ANGLE FOR CD JOB" u="1"/>
        <s v=" BASE PLATE, SET" u="1"/>
        <s v="SINGLE OFFSET LINK # 50-1" u="1"/>
        <s v="SEAL MASTER BEARING" u="1"/>
        <s v=" COTTON GLOVE" u="1"/>
        <s v=" CONTACTOR LC1D12F7.  110V, 25A, 5.5KW/400V, 50/60Hz, 7.5HP/480V" u="1"/>
        <s v="RUBBER HOSE " u="1"/>
        <s v=" 750H100" u="1"/>
        <s v=" P/N: K 3.306.04, VALVE # 2 (20 CU MM)" u="1"/>
        <s v=" PU COATED SCORE ROLLER, DIA= 27 MM, 80 SHORE" u="1"/>
        <s v=" RUBBER HOSE " u="1"/>
        <s v=" 250V, 20A, R058 CERAMIC FUSE 6 X 30 MM" u="1"/>
        <s v="ENVELOPE HIGH DIE 17.5 X 14.25, (CAPITAL REF:  R-55)" u="1"/>
        <s v=" McMASTER REF: 4744A831, ALUMINUM OXIDE SANDING BELT. SIZE: 1/2&quot; X 24&quot;. GRADE: 180 " u="1"/>
        <s v="FLAT BELT 20 X 2520 X 3 MM FOR CLASP" u="1"/>
        <s v=" P/N: K 3.306.10, VALVE # 10" u="1"/>
        <s v=" GEAR, R1.20.044.405" u="1"/>
        <s v="HIGH TEMP SPRAY GREASE" u="1"/>
        <s v="INTELLIGENT MEMORY CARD" u="1"/>
        <s v="TIMING BELT TIMING BELT MOW-20088" u="1"/>
        <s v=" SCORE ROLL LO/MO # 13 SYSTEM, 20-3113SYS" u="1"/>
        <s v=" TEE HANDLE L. KEY, 2 MM (McMASTER REF: 5629A71)" u="1"/>
        <s v="ENVELOPE HIGH DIE 9 X 4 (229 x 102), (CAPITAL REF:  S-06)" u="1"/>
        <s v=" SEAL GUM ROLL 2.008&quot; X 16-1/8&quot; FOR W&amp;D 141, UNICAST REF: 10-1193" u="1"/>
        <s v="VALVE FOR AIR CHUCK" u="1"/>
        <s v=" SPECIAL OFFER TAPE" u="1"/>
        <s v=" BLUE COLOR, INDICATION LAMP 24V-DC" u="1"/>
        <s v="SOCKET HEAD CAP SCREW " u="1"/>
        <s v=" PEV-1/4-B, PRESSURE SWITCH" u="1"/>
        <s v=" COIL 75-104-01, PARKER PS1-E2301B (12001157)" u="1"/>
        <s v=" ALIGNER PINS" u="1"/>
        <s v=" AC 10A, FUSE" u="1"/>
        <s v="NEEDLE BEARING BA-107 (SCE-107) FOR STS HOTMELT MOTOR" u="1"/>
        <s v=" 793xx727, SPRING" u="1"/>
        <s v=" HOLE PUNCH 8MM" u="1"/>
        <s v=" DATASENSOR (PHOTO EYE) , S6-1-C90 (DIF-PROXI 90CM RELAY, 15-264VAC/DC CABLE)" u="1"/>
        <s v="ALIGNER CHAIN PIN" u="1"/>
        <s v="RUBBER ROLLER P/N: 15-1119" u="1"/>
        <s v=" WATER DOSING ROLLER 52  WITH KEY (L212.00.0452.2), DIA=58 MM, L=465 MM, HARDNESS=30 SHORE" u="1"/>
        <s v=" McMASTER: 8918K52, BRONZE TUBE" u="1"/>
        <s v=" TOWER LIGHT BULB 24V-10W" u="1"/>
        <s v=" NORDSON 250254, O-RING 12 X 2.5, VITON 70 SHORE A BLACK" u="1"/>
        <s v=" McMaster PART NO: 98015K2, 5 MICRON POLYPROPYLENE FELT BAG FOR 20 GPM, POLYPROPYLENE FILTER BAG  HOUSING" u="1"/>
        <s v="ENVELOPE HIGH DIE 115 X 225, (CAPITAL REF:  R-75)" u="1"/>
        <s v=" MIG CONTACT TIP 0.8 MM (M6)" u="1"/>
        <s v=" SPROCKET FOR CHAIN # 41-1, NOT = 24, McMASTER REF: 6280K621" u="1"/>
        <s v=" BUSH" u="1"/>
        <s v=" SET OF OLD SHEAR KNIVES FOR CLASP" u="1"/>
        <s v=" P/N: 4231, SOLID STATE SENSOR" u="1"/>
        <s v=" V87.70.000.0, FELT DISC" u="1"/>
        <s v="5 3/4 X 8 3/4 (A9 OSSS)" u="1"/>
        <s v="BEARING FOR STRETCH WRAPPING" u="1"/>
        <s v=" P/N: 120496-4, SOLENOID VALVE 3-WAY" u="1"/>
        <s v="ENVELOPE HIGH DIE 3 7/8 X 8 7/8 (REMIT), (CAPITAL REF:  U-13)" u="1"/>
        <s v="BALL BEARING R20-2Z (FOR DIAMOND M/C FEEDER WHEEL)" u="1"/>
        <s v=" RUBBER ROLL (ML 14.046.0), DIA=60 MM, L=30 MM, 85 SHORE" u="1"/>
        <s v=" 707XX442, REBUILD KIT FOR 24VDC VALVE" u="1"/>
        <s v="BALL BEARING 6906-2RS" u="1"/>
        <s v=" POTENTIOMETER, 68K OHM" u="1"/>
        <s v="FLEXIBLE WINDOW KNIFE 35 X 95 MM, FOR 38R '0' DEG ANGLE" u="1"/>
        <s v="TESAMOL STRIP" u="1"/>
        <s v=" P/N: 1626, HA2 AIR CHAMBER SPRAY NOZZLE, 7/8&quot;" u="1"/>
        <s v="NEEDLE BEARING MCYR 15 (NATR 15)" u="1"/>
        <s v="SLEEVE" u="1"/>
        <s v="V-BELT A-41 (57181-43100)" u="1"/>
        <s v="ENVELOPE HIGH DIE 155 X 220, (CAPITAL REF:  R-50)" u="1"/>
        <s v=" 90 X 40 MM FLEXIBLE WINDOW KNIFE FOR 38R '0' DEG ANGLE  " u="1"/>
        <s v="RING" u="1"/>
        <s v="BN SILICON PASTE KS64" u="1"/>
        <s v=" WOODRUFF KEY" u="1"/>
        <s v=" P/N: 125025-008, LINE FILTER 0.340" u="1"/>
        <s v=" RUBBER ROLLER, DIA 50 MM X L 45 MM" u="1"/>
        <s v=" FOLDER, SET" u="1"/>
        <s v="INLET VALVE GASKET (FOR VACUUM PUMP)" u="1"/>
        <s v="FELT DISC" u="1"/>
        <s v="P/N: K 3.306.04, VALVE # 2" u="1"/>
        <s v=" COMPLETE PAPER CUTTER, LARGE SIZE" u="1"/>
        <s v=" P/N: 126814, INLET VALVE GASKET (FOR VACUUM PUMP)" u="1"/>
        <s v="ROLLER BEARING 203 PR-C" u="1"/>
        <s v="ENVELOPE HIGH DIE 115 X 235 (P&amp;S), (CAPITAL REF:  R-07)" u="1"/>
        <s v="ROLLER BEARING 205 PR-C" u="1"/>
        <s v="ROLLER BEARING 206 PR-C" u="1"/>
        <s v="P/N: K 3.306.06, VALVE # 3" u="1"/>
        <s v=" L. KEY, 8 MM" u="1"/>
        <s v=" V-BELT B-85 (B2200-17X216C)" u="1"/>
        <s v="NEEDLE BEARING SLEEVE (35 X 40 X 30 MM)" u="1"/>
        <s v="P/N: K 3.306.10, VALVE # 10" u="1"/>
        <s v=" VACUUM GAUGE" u="1"/>
        <s v=" PART # 125360, NORDSON EXTENSION CORD, 12&quot; GUN 2300" u="1"/>
        <s v="TIMING BELT TIMING BELT" u="1"/>
        <s v="FESTO CYLINDER DGS-25-50-PPV" u="1"/>
        <s v=" BRAKE BRUSH" u="1"/>
        <s v=" HEATER 180 W" u="1"/>
        <s v="TIMING BELT 900H100" u="1"/>
        <s v="RUBBER ROLLER FEED ROLL, 10-1260" u="1"/>
        <s v=" 24VDC, RELAY (8 FLAT PINS) 5 AMP" u="1"/>
        <s v="SINGLE OFFSET LINK # 35-1" u="1"/>
        <s v="P/N: K 3.306.08, VALVE # 5" u="1"/>
        <s v="RUBBER ROLL (0.875 X 0.50 INCH. MO-818)" u="1"/>
        <s v="TIMING BELT 900H150" u="1"/>
        <s v=" PU COATED SCORE ROLLER, DIA= 27 MM, 60-70 SHORE" u="1"/>
        <s v="TIMING BELT T5/200" u="1"/>
        <s v="FUSE 500VAC (DIA 14 X L 51 MM)" u="1"/>
        <s v=" TESA ADHESIVE TAPE, K 7.111.52" u="1"/>
        <s v="EZ1-1/2-230VAC-16B, AUTO DRAIN SWITCH" u="1"/>
        <s v=" DOUBLE SIDE TAPE 25 MM" u="1"/>
        <s v="FLAP SCORING BLADE FOR MOH, MOH-30604, WITH DOUBLE BEVEL" u="1"/>
        <s v="MASTER LINK FOR 527 GSV" u="1"/>
        <s v="SOLID PANEL DIE 40 X 100 MM, FOR 327G, '0' DEG ANGLE " u="1"/>
        <s v=" P/N: 1673-010, HA2 1.25 INCH SLOT COATER SHIM, 0.010 INCH" u="1"/>
        <s v=" BLOCK FOR SO CHAIN" u="1"/>
        <s v="SOLID PANEL DIE 45 X 100 MM, FOR 327G, '0' DEG ANGLE " u="1"/>
        <s v="DIAL GAUGE" u="1"/>
        <s v=" INLINE FUSE HOLDER, 32AMP, 600V" u="1"/>
        <s v="BALL BEARING 6009-2Z" u="1"/>
        <s v="TIMING BELT (360H200) (72 TEETH)" u="1"/>
        <s v="ENVELOPE HIGH DIE 3 1/2 X 6 , (CAPITAL REF:  U-26)" u="1"/>
        <s v=" 703XX418, VALCO VALVE" u="1"/>
        <s v="TAPER ROLLER BEARING, JM207049 &amp; JM207010" u="1"/>
        <s v=" SET OF SPRINGS, PRATIKA 56" u="1"/>
        <s v="FLAT BELT FOR FEEDER" u="1"/>
        <s v=" BUTTON HEAD SCREW 10-32 X 3/8&quot;, McMASTER REF: 91255A263" u="1"/>
        <s v="100 WATT, 100 OHM" u="1"/>
        <s v=" P/N: 1518, SPRING" u="1"/>
        <s v="CHAIN # 08B-1" u="1"/>
        <s v="SOLID PANEL DIE 40 X 110 MM, FOR 327G, '0' DEG ANGLE " u="1"/>
        <s v=" MFH-3-1/4, SINGLE SOLENOID VALVE" u="1"/>
        <s v=" 084XX521 PCM, PATTERN CONTROL MODULE" u="1"/>
        <s v=" P/N: 21312, AIR FILTER INDICATOR" u="1"/>
        <s v="VD-AUF-5s-WfW, PERFORATED BELT" u="1"/>
        <s v="ENVELOPE HIGH DIE 205 X 110, (CAPITAL REF:  R-08)" u="1"/>
        <s v="GUM ROLLER GUM PLATE ROLL. 1.417 X 11.85 INCH. (L229.07.0218.0), UNICAST REF: 10-1182" u="1"/>
        <s v="COVERALL SIZE: L" u="1"/>
        <s v=" V-BELT, A-69 (A1780Ld/13X1750)" u="1"/>
        <s v="BRAKE LINING, 300 X 300 X 10 MM" u="1"/>
        <s v="TEMP CONTROLLER FOR PP1812 28" u="1"/>
        <s v=" MICRO SWITCH, V4.762.07" u="1"/>
        <s v="TIMING BELT T5-500, W&amp;D REF: NO 11.430" u="1"/>
        <s v=" P/N: 3503, VITON O-RING, 104" u="1"/>
        <s v="GABLE" u="1"/>
        <s v="BALL BEARING 6003 DDUNR (17 X 35 X 10 MM)" u="1"/>
        <s v=" CT6S-2P4, COUNTER &amp; TIMER" u="1"/>
        <s v="FUSE 250VAC (FOR FORKLIFT)" u="1"/>
        <s v="BALL BEARING 6003-DDUNR (17 X 35 X 10 MM)" u="1"/>
        <s v="BALL BEARING 3205-2RS" u="1"/>
        <s v="FEED SEGMENT MOW-40147" u="1"/>
        <s v=" 704XX348, 704XX348 FLUX WASHER" u="1"/>
        <s v=" P/N: 3078, 1/8&quot; FILTER SUPPORT WITH 200 MESH SCREEN, SPECIAL" u="1"/>
        <s v=" POWER SUPPLY, 230VAC TO 24VDC, 20 AMP (ANDELI REF: S-500-24)" u="1"/>
        <s v="HALOGEN LAMP" u="1"/>
        <s v=" 1-1/8&quot; X 4-1/2&quot; (1.125&quot; X 4.5&quot;) FLEXIBLE WINDOW KNIFE FOR 38R '0' DEG ANGLE  BEST REF: FS-303653" u="1"/>
        <s v="ENVELOPE HIGH DIE 162 X 229 (TRAPEZOID), (CAPITAL REF:  R-09)" u="1"/>
        <s v=" FRICTION DISC FOR SHEETER CLUTCH HOUSING" u="1"/>
        <s v=" P/N: J05-499-001, SIDE SEAL WIRE, TOP" u="1"/>
        <s v="SOLID PANEL DIE 40 X 130 MM, FOR 327G, '0' DEG ANGLE " u="1"/>
        <s v="FLAT BELT HD-RPHa-5Fs-Sm-Blg (MAM-5P), B=38MM, L=1810MM, T=1.4MM" u="1"/>
        <s v="6-1/8&quot; X 9-1/2&quot;" u="1"/>
        <s v="ELECTRIC MOTOR FOR MOH SKID BRUSH" u="1"/>
        <s v="MICROSWITCH (LONG LEVER)" u="1"/>
        <s v="SEGMENT PART-MOH-41261" u="1"/>
        <s v="V-BELT C-84, FOR CHIP COLLECTOR BLOWER" u="1"/>
        <s v="UNIVERSAL JOINT 22 X 60 MM" u="1"/>
        <s v=" DOWEL PINS 3/16&quot; X 1&quot;, 0.001 OVERSIZE DOWEL PINS, McMASTER REF: 98385A210" u="1"/>
        <s v=" 50-1 CHAIN LINKS" u="1"/>
        <s v=" SOLENOID VALVE SNS (1.5-8kgf/cu cm) FOR MOH, MODEL: 3V110-06" u="1"/>
        <s v="ROLLER BEARING 6209-2Z" u="1"/>
        <s v="JAW, TOP SEAL, WIDE FIN" u="1"/>
        <s v="ELECTRIC MOTOR FOR MOW SKID BRUSH" u="1"/>
        <s v=" FOLDING ROLLER" u="1"/>
        <s v=" 60235K86, ORANGE HANDLE (M10 X 1.5)" u="1"/>
        <s v="PNEUMATIC CYLINDER" u="1"/>
        <s v="FLAP GUM ROLL 1.375 X 6-1/2" u="1"/>
        <s v="HARD KNIFE LOWER BOTTOM CUTTING KNIFE " u="1"/>
        <s v=" P/N: 128691-051, MINIMUM PRESSURE CHECK VALVE KIT" u="1"/>
        <s v="ACTUATOR" u="1"/>
        <s v="TIMING BELT 345L100" u="1"/>
        <s v="FIBER DISC" u="1"/>
        <s v="BEARING NEEDLES 2.5 X 10 MM" u="1"/>
        <s v=" SLOTTED KNIFE FOR CLASP" u="1"/>
        <s v=" BLUE FELT END SEAL 3.50&quot;, S410-219196-008" u="1"/>
        <s v="BALL BEARING 6007-2Z" u="1"/>
        <s v=" SEALING KNIFE, WHO2-901-A" u="1"/>
        <s v="SIDE SCORING BLADE V03.00.039.0, SIDE SCORE BLADE" u="1"/>
        <s v="RUBBER ROLLER FEED ROLL, PART-MOH-31373" u="1"/>
        <s v="TIMING BELT DOUBLE SIDE TIMING BELT, 420DL100" u="1"/>
        <s v="ENVELOPE HIGH DIE 9 X 12 (OSSS), (CAPITAL REF:  U-41)" u="1"/>
        <s v="ENVELOPE HIGH DIE 10.8 X 8.5, (CAPITAL REF:  R-60)" u="1"/>
        <s v=" MOVEABLE SEPARATOR BLADE, OS-5661" u="1"/>
        <s v=" FLANGE FOR DELIVERY UNIT" u="1"/>
        <s v="V-BELT V-BELT A-41" u="1"/>
        <s v="BALL BEARING 6207-2Z" u="1"/>
        <s v="FLAT BELT FOR PAPER, ROLL" u="1"/>
        <s v=" TOP PEEL &amp; SEAL KNIFE (LIMIT 0.870&quot; TO 0.670&quot;)" u="1"/>
        <s v=" P/N: 2110, FLOW VALVE SPRING, 1.400&quot;" u="1"/>
        <s v=" P/N: 3522, VITON O-RING, 016" u="1"/>
        <s v=" NORDSON 253657, O-RING, 11 X 1.5 VITON 80 SHORE A BLACK" u="1"/>
        <s v=" CHAIN NO 50-1" u="1"/>
        <s v=" FILM CLAMP CF-1 HW, PART # J08-0860-001" u="1"/>
        <s v=" P/N: 1607, HA2 SEAL RETAINER" u="1"/>
        <s v="BALL BEARING 6307-2Z" u="1"/>
        <s v="1 INCH NPT M.S NIPPLE" u="1"/>
        <s v="SET OF GLUE PAD, LHS &amp; RHS" u="1"/>
        <s v=" POTENTIOMETER, 20K OHM" u="1"/>
        <s v="HEATING CONTACTOR (24V, 12AMP)" u="1"/>
        <s v="SEGMENT SEGMENT MOW30860 - 7.5&quot; X 2-7/8&quot; (15-1378), PART-MOW-30860" u="1"/>
        <s v=" MOELLER PKZMO-16 (W+D: K4.519.80), OVER LOAD CUT OUT (MOTOR PROTECTIVE SWITCH) 10--16 A" u="1"/>
        <s v=" 114 X 232 MM FLEXIBLE CUT OFF KNIFE FOR 38R, '1' DEG LEFT ANGLE NBD" u="1"/>
        <s v="THRUST BEARING 51110" u="1"/>
        <s v="TIMING BELT 510L100" u="1"/>
        <s v=" BELT, MO-8256" u="1"/>
        <s v=" HD-NUH-5sCn-SmGr, REFEEDER BELT" u="1"/>
        <s v=" BAR FOR FOLDING SECTION" u="1"/>
        <s v=" 350 X 250 ENVELOPES ENVELOPES HARD KNIVES FOR MOH " u="1"/>
        <s v="ENVELOPE HIGH DIE 10.8 X 8.5, (CAPITAL REF:  R-68)" u="1"/>
        <s v=" SPRING HOOK, B200.113" u="1"/>
        <s v=" SUCKER FOR PRINTING PLATE" u="1"/>
        <s v=" TRANSIT CHANNEL (SIDE) PART FOR PP1622 MK, WH01-C7B" u="1"/>
        <s v=" P/N: 21316, SOLENOID VALVE FOR VACUUM PUMP" u="1"/>
        <s v=" DYNAPAR ENCODER, HS35R2000K37D" u="1"/>
        <s v="M.S L. KEY BOLT (McMASTER: 91251A194)" u="1"/>
        <s v="BATTERY" u="1"/>
        <s v=" RED COLOR FLOOR MARKING TAPE" u="1"/>
        <s v=" 46465A725, SANDING DISC, 3&quot; DIA, 100 GRIT" u="1"/>
        <s v="OSCILLATING ROLL (MO-818)" u="1"/>
        <s v=" ELECTRIC MOTOR FOR MOW SKID BRUSH, 0.5HP, 1400RPM, 380V" u="1"/>
        <s v="HARD KNIFE POLAR CUTTING KNIFE " u="1"/>
        <s v=" PROTECTIVE FOIL, K 7.118.17" u="1"/>
        <s v=" SF 1.1/2 RHP, BEARING FOR WINDOW CUTTING SECTION (WITH BRACKETS)" u="1"/>
        <s v="INLET VALVE COVER PLATE" u="1"/>
        <s v="SOLID PANEL DIE SECURITY CUT, FOR 327G, '0' DEG ANGLE " u="1"/>
        <s v="ENVELOPE HIGH DIE 160 X 240, (CAPITAL REF:  R-66)" u="1"/>
        <s v=" ALUMINIUM COUPLING FOR FEED ROLLS, 20-3217SYS" u="1"/>
        <s v=" NORDSON: 316848, O-RING 17-0.5+0X2.5+MAX0.16" u="1"/>
        <s v="BD-ROUND BELT" u="1"/>
        <s v=" P/N: 802420, PLASMA ELECTRODES" u="1"/>
        <s v="RUBBER ROLLS (DISP . TIRE/BRNG)" u="1"/>
        <s v=" PART # 1056296, NORDSON INSULATOR KIT" u="1"/>
        <s v=" BRAKE LINING DISC FOR SPLICER" u="1"/>
        <s v="SIDE SCORE BLADE FOR W&amp;D 141" u="1"/>
        <s v=" PULLING SPRING, WIRE DIA = 0.5MM, OD = 3.2MM, L = 1150MM" u="1"/>
        <s v="CIRCUIT BREAKER" u="1"/>
        <s v=" FLAP GUM ROLL 1.375 X 6-1/2, UNICAST REF: 10-1223" u="1"/>
        <s v=" 667XX001, FLUSHING ADAPTER" u="1"/>
        <s v=" STRAIGHT KNIFE FOR P&amp;S UNIT OF MOH &amp; MOW" u="1"/>
        <s v="LOW HEAD SOCKET CAP SCREW 1/4&quot;-20 X 1&quot;" u="1"/>
        <s v="ALUMINIUM COUPLING" u="1"/>
        <s v="FITTING PARTS" u="1"/>
        <s v="BALL BEARING 3308-2Z" u="1"/>
        <s v="POWER SUPPLY 24VDC. (ANDELI S-50-24)" u="1"/>
        <s v=" STEEL DOCTOR BLADE, 0.0059 X 0.75 X 1200 INCH ROLL, 217204-1200-0" u="1"/>
        <s v="RUBBER ROLLER P/N: 15-1348SYS" u="1"/>
        <s v="PULLING SPRING" u="1"/>
        <s v="McMaster PART NO: 98015K21, 1 MICRON POLYPROPYLENE FELT BAG FOR 20 GPM, POLYPROPYLENE FILTER BAG  HOUSING" u="1"/>
        <s v=" TAPER ROLLER BEARING, JM719149 &amp; JM719113" u="1"/>
        <s v="BALL BEARING 6005-2Z" u="1"/>
        <s v="FLEXIBLE CUT OFF KNIFE 162 X 229 MM MM FOR 38R, '1' DEG LEFT ANGLE TRAPEZOID" u="1"/>
        <s v="FLEXIBLE WINDOW KNIFE 45 X 100 MM, FOR 38R '0' DEG ANGLE  BEST REF: FS-301638" u="1"/>
        <s v="HABASIT HAM-5P PERFORATED CONVEYOR BELT" u="1"/>
        <s v=" TEE HANDLE L. KEY, 4 MM (McMASTER REF: 5629A74)" u="1"/>
        <s v=" L. KEY BOLT #4-40 X 5/8&quot;" u="1"/>
        <s v=" MFH/MOFH-3-1/8, WEARING KIT FOR MOH SPLICER" u="1"/>
        <s v="NEEDLE BEARING NK 45/30" u="1"/>
        <s v=" BRASS BUSHING FOR WEB SECTION" u="1"/>
        <s v=" GUIDE" u="1"/>
        <s v="BALL BEARING 6205-2Z" u="1"/>
        <s v="SINGLE OFFSET LINK # 06B-1" u="1"/>
        <s v=" TIMING PULLEY 14H100" u="1"/>
        <s v="McMASTER: 3781K23, REPAIR KIT FOR FLUID SIDE" u="1"/>
        <s v="BALL BEARING 6305-2Z" u="1"/>
        <s v="REVERSING CONTACTOR 1NO+1NC" u="1"/>
        <s v="EXHAUST FAN" u="1"/>
        <s v="TOLOMATIC PNEUMATIC BRAKE" u="1"/>
        <s v="FLEXIBLE WINDOW KNIFE 35 X 80 MM, FOR 38R '0' DEG ANGLE" u="1"/>
        <s v="FLEXIBLE WINDOW KNIFE 40 X 80 MM, FOR 38R '0' DEG ANGLE" u="1"/>
        <s v="TRANSFER ROLLER FOR B&amp;B" u="1"/>
        <s v="SCORING ROLLER PU COATED, FOR W&amp;D 141, SIZE: 54 X 51 X 146 MM (65 TO 70 SHORE)" u="1"/>
        <s v=" NYLON SHEET (4ft X 4ft X 16MM) PRODUCT CODE: PA6 X 12 MM" u="1"/>
        <s v="FILM CLAMP CF-1 HW" u="1"/>
        <s v="COVERALL SIZE: M" u="1"/>
        <s v="INK DUCTOR ROLLER (G)" u="1"/>
        <s v=" R512014048, SPROCKET" u="1"/>
        <s v=" S-500-24 (20 AMP), POWER SUPPLY, 230VAC TO 24VDC" u="1"/>
        <s v="MECHANICAL VALVE" u="1"/>
        <s v=" P/N: 128663, PERCENT CAPACITY GAUGE" u="1"/>
        <s v=" SQUARE HEAD BOLT, 10 X 50 MM" u="1"/>
        <s v="FLEXIBLE SPIDER COUPLING " u="1"/>
        <s v="M.S L. KEY BOLT (McMASTER: 91251A192)" u="1"/>
        <s v="TOOTHED BELT" u="1"/>
        <s v="CONDUCTIVE PALSTIC ANGLE SENSOR" u="1"/>
        <s v="BALL BEARING 16003" u="1"/>
        <s v="BALL BEARING 16005" u="1"/>
        <s v=" STEEL ROLLER" u="1"/>
        <s v="TIMING BELT PART-MOW-30760 (120 TEETH)" u="1"/>
        <s v=" PIN, 42.017.026/-" u="1"/>
        <s v="BELT DRIVE FOR SM-74" u="1"/>
        <s v=" POWER SUPPLY 5VDC, LLAI. GO25-1B (www.guolilai.com)" u="1"/>
        <s v=" SPRAY GREASE" u="1"/>
        <s v="HIGH PRESSURE Y-STRAINER" u="1"/>
        <s v="NEEDLE BEARING BA-65 (SCE-65)" u="1"/>
        <s v="PAPER CARRIER" u="1"/>
        <s v=" P/N: 3289, 200 MESH PUMP FILTER WITH SUPPORT SPRING FOR STS SERIES, SPECIAL" u="1"/>
        <s v="PERCENT CAPACITY GAUGE" u="1"/>
        <s v=" TEFLON TAPE" u="1"/>
        <s v="MOTOR GM14904S011-R1, PITTMAN MOTOR, 24VDC, 5.9:1 RATIO" u="1"/>
        <s v="3 POSITION SWITCH HEAD" u="1"/>
        <s v="SEGMENT SEGMENT, MOH- 40027" u="1"/>
        <s v=" CROSS GU-1600, 23.0 X 58.2 MM" u="1"/>
        <s v="ONE WAY BEARING AS 30 NY" u="1"/>
        <s v=" McMASTER: 3781K23, REPAIR KIT FOR FLUID SIDE" u="1"/>
        <s v=" 30-1 CHAIN LINKS" u="1"/>
        <s v="HARD KNIVES BOTTOM P&amp;S KNIFE FOR CHEETAH " u="1"/>
        <s v="6 X 9 (OSSS)" u="1"/>
        <s v="BALL BEARING 16100-2Z (10 X 28 X 8 MM)" u="1"/>
        <s v=" CONDUCTIVE PALSTIC ANGLE SENSOR, CPP-45" u="1"/>
        <s v=" 35-1 CHAIN LINKS " u="1"/>
        <s v="BALL BEARING 6206-2Z (30 X 62 X 16 MM)" u="1"/>
        <s v="FLEXIBLE WINDOW KNIFE 1-1/8&quot; X 4-1/2&quot; (1.125&quot; X 4.5&quot;), FOR 38R '0' DEG ANGLE  BEST REF: FS-303653" u="1"/>
        <s v=" 50A, FUSE 500VAC" u="1"/>
        <s v="ENVELOPE HIGH DIE 120 X 176, (CAPITAL REF:  R-77)" u="1"/>
        <s v="CHAIN FOR SHEETER" u="1"/>
        <s v=" 10B-1 CHAIN (5/8&quot;)" u="1"/>
        <s v="NEEDLE BEARING 1-3/4&quot; X 1-1/2&quot; X 1&quot; (FOR CHEETAH VACUUM CYLINDER)" u="1"/>
        <s v="OPEN GEAR GREASE" u="1"/>
        <s v="TIMING BELT (618 SYNCHROFLEX V628/6), W&amp;D REF: NO 11.136" u="1"/>
        <s v=" JAW, TOP SEAL, WIDE FIN, F05-0894-001" u="1"/>
        <s v=" NORDSON 1007374, 200 MESH FILTERS, PACK=5 FILTER" u="1"/>
        <s v="BALL BEARING 6003-2Z" u="1"/>
        <s v="ENVELOPE HIGH DIE 10 X 13 (OSSS), (CAPITAL REF:  U-39)" u="1"/>
        <s v="HARD KNIVES 350 X 250 ENVELOPES FOR MOH " u="1"/>
        <s v=" NORDSON 250257, O-RING 16 X 2, VITON 80 SHORE A BLACK" u="1"/>
        <s v=" 24VDC, SIDE-MOUNTED AUXILIARY CONTACT FOR DILA. " u="1"/>
        <s v=" 124487-001  (K8275), QUINCY AIR &amp; OIL SEPARATOR FILTER FOR VACUUM PUMP" u="1"/>
        <s v="PUSH BUTTON" u="1"/>
        <s v=" CONTROLLER, 6011-448-001" u="1"/>
        <s v="FLAT BELT HABASIT MAM-5E (ENDLESS FLEXPROOF BELT FOR FOLDING SECTION), B = 38 MM, L = 2740 MM, T = 1.3 MM" u="1"/>
        <s v="CLUTCH BEARING" u="1"/>
        <s v="AIR FILTER INDICATOR" u="1"/>
        <s v="BALL BEARING 6203-2Z" u="1"/>
        <s v=" 04E.1140.QF, QF0190, FILTER ELEMENT" u="1"/>
        <s v="L. KEY BOLT #4-40 X 5/8&quot;" u="1"/>
        <s v=" LINEAR POTENTIOMETER, MIDORI PRECISION, LP-50F-2 (5KOhm)" u="1"/>
        <s v="HALF ROUND KNIFE" u="1"/>
        <s v="ENVELOPE HIGH DIE 4 3/4 X 6 1/2 (A6 MAC FLAP OSSS), (CAPITAL REF:  U-27)" u="1"/>
        <s v="7 X 10 (OSSS)" u="1"/>
        <s v="BALL JOINT ROD END (FEMALE THREAD 12A &amp; 12LA) LEFT &amp; RIGHT HAND THREAD" u="1"/>
        <s v=" P/N: 140406-920, VITON O-RING, 1.48 Id" u="1"/>
        <s v="ENVELOPE HIGH DIE 394 X 305 (305 X 394), (CAPITAL REF:  S-13)" u="1"/>
        <s v="BALL BEARING 6303-2Z" u="1"/>
        <s v="HARD KNIVES REF: WCCD-03084 ROUND CUTTING KNIFE FOR B&amp;B " u="1"/>
        <s v="TELEMECHANIQUE CONTACTOR LC1D12F7.  110V, 25A" u="1"/>
        <s v="SCORING ROLLER SIDE SCORE TUBE. (MO 2.100 X 6 INCH), UNICAST REF: 10-5000" u="1"/>
        <s v="QM 250026-148, AIR FILTER ELEMENT FOR SULLAIR PUMP" u="1"/>
        <s v="RUBBER ROLLER (MV44.007.0)" u="1"/>
        <s v="SOLENOID VALVE SNS (1.5-8kgf/cu cm) FOR MOH" u="1"/>
        <s v=" R210031001, HELICAL GEAR" u="1"/>
        <s v="DURA FLEX COUPLING ELEMENT FOR SULLAIR VACUUM PUMP" u="1"/>
        <s v=" TEE HANDLE L. KEY, 8 MM (McMASTER REF: 5629A77)" u="1"/>
        <s v="CAM FOLLOWER CF 1-1/2 SB" u="1"/>
        <s v="FLAT BELT FLAT BELT, PART-MOH-41147" u="1"/>
        <s v="5.25 X 7.25 (LEE OSDS)" u="1"/>
        <s v=" AC 20A, FUSE 380VAC (100KA)" u="1"/>
        <s v="HEXAGON SOCKET HEAD CAP SCREW M5X8" u="1"/>
        <s v=" P/N: K 3.306.06, VALVE # 3 (30 CU MM)" u="1"/>
        <s v="ENVELOPE HIGH DIE 190 X 60, (CAPITAL REF:  R-80)" u="1"/>
        <s v="ENVELOPE HIGH DIE 4 3/8 X 5 3/4 (5.5 OSDS), (CAPITAL REF:  U-03)" u="1"/>
        <s v="RUBBER ROLLER (MV44.008.0)" u="1"/>
        <s v="VITON O-RING 0.19 X 6.5" u="1"/>
        <s v=" ROTARY ENCODER, E50S8-2000-6-L-5" u="1"/>
        <s v="FEEDER NOZZLE PART" u="1"/>
        <s v="HARD KNIVES POLAR CUTTING KNIFE " u="1"/>
        <s v=" BEST REF: D-1481 (FA-169811) FLEXIBLE CUT OFF KNIFE FOR 38R, '1' DEG LEFT ANGLE STRAIGHT CUT" u="1"/>
        <s v="RUBBER ROLLER N 010236, RUBBER ROLLER" u="1"/>
        <s v=" OPTICELL LASER ENGRAVED RECONDITIONED ANILOX ROLLER FOR 327G MACHINE, CELL GEOMETRY = 60, LINE SCREEN OF 360 = VOLUME OF 6.5" u="1"/>
        <s v="MOTOR FOR CONVEYOR BELT" u="1"/>
        <s v="CHAIN (5/8&quot;)" u="1"/>
        <s v="POWER SUPPLY, 230VAC TO 24VDC" u="1"/>
        <s v=" 0.5A, 500V, FUSE 10 X 38 MM" u="1"/>
        <s v=" GEAR MOTOR FOR DAMPENING, K 6.686.12" u="1"/>
        <s v=" GEAR MOTOR FOR DAMPENING, K 6.686.13" u="1"/>
        <s v=" SUCKER" u="1"/>
        <s v=" P/N: 126649, INLET VALVE SPRING" u="1"/>
        <s v=" RUBBER GLOVES" u="1"/>
        <s v="ENVELOPE HIGH DIE 10 X 7, (CAPITAL REF:  R-11)" u="1"/>
        <s v="TIMING BELT 240H100" u="1"/>
        <s v="ENVELOPE HIGH DIE 4 X 3.5 (SIDE SEAM), (CAPITAL REF:  R-35)" u="1"/>
        <s v="RUBBER ROLLER N010.010, UNICAST REF: 15-3112" u="1"/>
        <s v=" FELT" u="1"/>
        <s v=" SCORING UNIT SUPPORT, MOW" u="1"/>
        <s v=" McMaster PART NO: 44435K19, LARGE DIAMETER STRING-WOUND FILTER CARTRIDGE, POLYPRO W/POLYPRO CORE, 10 INCH HEIGHT, 1 MICRON" u="1"/>
        <s v=" EZ1-1/2-230VAC-16B, AUTO DRAIN SWITCH" u="1"/>
        <s v=" 40A, FUSE 500VAC" u="1"/>
        <s v=" 114 X 234 MM FLEXIBLE CUT OFF KNIFE FOR 38R, '1' DEG LEFT ANGLE BEST REF: FA-401047" u="1"/>
        <s v="V- BELTS, OPTIBELT 3VX 560 FOR QUINCY AIR COMPRESSOR" u="1"/>
        <s v="TIMING BELT 1700 H 100" u="1"/>
        <s v="BLUE FELT END SEAL 3.50&quot;" u="1"/>
        <s v=" R 5.15.025.004, SPROCKETS" u="1"/>
        <s v="NEEDLE BEARING INNER RING 40 X 45 X 40 FOR PLATE CYLINDER " u="1"/>
        <s v=" AC 3A, FUSE" u="1"/>
        <s v=" 4.125&quot; X 9.5&quot; (1.375&quot; STRAIGHT S.F) FLEXIBLE PROFILE KNIFE FOR 38R, '0' DEG ANGLE BEST REF: FA-403650" u="1"/>
        <s v="FESTO PNEUMATIC CYLINDER" u="1"/>
        <s v="BALL BEARING 6001-2Z" u="1"/>
        <s v="ENVELOPE HIGH DIE 10 X 7, (CAPITAL REF:  S-10)" u="1"/>
        <s v="EYE BOLT FOR PRINTING UNIT" u="1"/>
        <s v=" ELECTRIC TAPE" u="1"/>
        <s v="PRESSURE PIN" u="1"/>
        <s v=" LOW HEAD SOCKET CAP SCREW 8-32 X 3/4&quot;, 92220A155 (McMaster)" u="1"/>
        <s v="FLAT BELT HABASIT HAT-8P (ENDLESS THERMOFIX), B=80MM, L=1330MM, T=2MM" u="1"/>
        <s v="BALL BEARING 6201-2Z" u="1"/>
        <s v=" HARD CARBON STEEL BAND SAW BLADE. (MORSE USA) L = 7' 9&quot;, W = 3/4&quot;,T = 0.032&quot;, 10 TPI, McMASTER REF: 4125A118" u="1"/>
        <s v="HARD KNIFE MO-51003 PATCH KNIFE " u="1"/>
        <s v="NEEDLE BEARING NATA5903" u="1"/>
        <s v="SET OF SHAFT SOCKET" u="1"/>
        <s v="BALL BEARING 6301-2Z" u="1"/>
        <s v=" 4133, SOLID STATE TEMPRATURE CONTROLLER" u="1"/>
        <s v="   BOTTOM P&amp;S KNIFE FOR CHEETAH " u="1"/>
        <s v="INLET VALVE GASKET" u="1"/>
        <s v=" SPROCKET, R 512034022" u="1"/>
        <s v="4 3/8 X 5 3/4 (A2 OSSS)" u="1"/>
        <s v="SOLID PANEL DIE 40 X 80 MM, FOR 327G, '0' DEG ANGLE " u="1"/>
        <s v="ROLLER BEARING  6908ZZCM" u="1"/>
        <s v="SOLID PANEL DIE 40 X 90 MM, FOR 327G, '0' DEG ANGLE " u="1"/>
        <s v="MASTER LINK McMASTER REF: 7321K37, ROLLER CHAIN ATTACHMENT LINK SK-1 TAB STYLE FOR ANSI # 40 CHAIN" u="1"/>
        <s v="SPROCKET FOR MOH P&amp;S UNIT" u="1"/>
        <s v="SOLID PANEL DIE 45 X 90 MM, FOR 327G, '0' DEG ANGLE " u="1"/>
        <s v="MAGNETIC CYLINDER PART # 9, PLATE LIFTER" u="1"/>
        <s v=" P/N: 1627-125, SPRAY AIR CAP (ORIFICE SIZE: 0.125&quot;)" u="1"/>
        <s v="5 1/2 X 8 1/8 (A8 OSSS)" u="1"/>
        <s v=" 40 X 80 MM FLEXIBLE WINDOW KNIFE FOR 38R '0' DEG ANGLE  " u="1"/>
        <s v="SEGMENT SEGMENT (15-1146T), PART-MOH-30462" u="1"/>
        <s v=" BULB 24V-10W" u="1"/>
        <s v=" 45 X 90 MM FLEXIBLE WINDOW KNIFE FOR 38R '0' DEG ANGLE  " u="1"/>
        <s v="ENVELOPE HIGH DIE 4 3/4 X 6 1/2 (A6 OSSS), (CAPITAL REF:  U-12)" u="1"/>
        <s v=" McMASTER REF: 5824T72, RULON SHEET 1/4&quot; X 6&quot; X 6&quot;" u="1"/>
        <s v="RULON SHEET 1/16&quot; X 6&quot; X 6&quot;" u="1"/>
        <s v=" CLAMP, PHENOLIC FILM, CF1, J08-0895-001" u="1"/>
        <s v=" PRINTING GEAR" u="1"/>
        <s v=" 06B-1 CHAIN LINKS" u="1"/>
        <s v="NO CONTACT" u="1"/>
        <s v=" THREAD BUSHING, V25.19.130.0 &amp; V25.19.129.0" u="1"/>
        <s v=" U.P.S" u="1"/>
        <s v="BALL BEARING 3205-2RS OR 5205-2RS (25 X 52 X 20.6 MM) " u="1"/>
        <s v="RED LAMP BULB" u="1"/>
        <s v="HARD KNIVES FOR MOH " u="1"/>
        <s v=" IMPELLER FOR INK PUMP" u="1"/>
        <s v="RUBBER ROLLER PART-MO-1919" u="1"/>
        <s v=" MR-J2TBL05M, CABLE FOR 38R P&amp;S SERVO AMPLIFIER" u="1"/>
        <s v="ENVELOPE HIGH DIE 4 3/8 X 5 3/4 (A2 OSSS), (CAPITAL REF:  U-23)" u="1"/>
        <s v="TIMING BELT (9.5 X 715 La)" u="1"/>
        <s v=" P/N: 3512, VITON O-RING, 008" u="1"/>
        <s v=" P/N: 3514, VITON O-RING, 006" u="1"/>
        <s v=" ECCENTRIC BOLT (CAM FOLLOWER), L214.00.4500.0, (REPLACEMENT FOR V 21.84.015.0)" u="1"/>
        <s v="M.S L. KEY BOLT FOR 38R P&amp;S KNIVES" u="1"/>
        <s v="FLEXIBLE WINDOW KNIFE 35 X 130 MM, FOR 38R '0' DEG ANGLE" u="1"/>
        <s v=" AIR CHUCK SG-498-6-1B, 6&quot; OD x 2.430&quot;" u="1"/>
        <s v=" 51 X 101 MM SOLID PANEL DIE FOR 327G, '0' DEG ANGLE " u="1"/>
        <s v=" MMF-DU40P, RIKO SENSOR" u="1"/>
        <s v=" SAFETY SWITCH PUSH TYPE, K 4.262.09" u="1"/>
        <s v=" SET OF ECCENTRIC BRONZE BUSHING FOR 327G FOLDING GLUE ROLLERS" u="1"/>
        <s v=" MTR-3102, WEB ALIGNER MOTOR" u="1"/>
        <s v=" UNIVERSAL JOINT, SJ-6" u="1"/>
        <s v=" ELECTRIC MOTOR FOR MOH SKID BRUSH, A29-13" u="1"/>
        <s v="P/N: 3019, # 6-32 X 1/4&quot; SOCKET BUTTON CAP HEAD CAP SCREW" u="1"/>
        <s v=" ALUMINIUM BLOC WITH ADJUSATBLE SLOT" u="1"/>
        <s v=" 50 X 93 MM FLEXIBLE WINDOW KNIFE FOR 38R '0' DEG ANGLE  " u="1"/>
        <s v="THRUST BEARING 51110 (50 X 70 X 14 MM)" u="1"/>
        <s v="FLAT BELT FD-RPR-14/30-RuRu-GG, FLAT BELT FOR FEEDER, B=210MM, L=1460MM" u="1"/>
        <s v="SOLID PANEL DIE 40 X 93 MM, FOR 327G, '0' DEG ANGLE " u="1"/>
        <s v="GEAR " u="1"/>
        <s v="10B-1 CHAIN LINK (5/8&quot;)" u="1"/>
        <s v=" FF TEFLON TAPE, W=25MM (FFTT216.13AD25)" u="1"/>
        <s v=" P/N: 3111, COPPER WASHER" u="1"/>
        <s v="PLASTIC SCRAPERS FOR GLUE CLEANING" u="1"/>
        <s v=" ELECTRICAL CONTACT CLEANER" u="1"/>
        <s v=" BRONZE AIR FILTER" u="1"/>
        <s v="SAFETY SWITCH PUSH TYPE" u="1"/>
        <s v=" LUG FOR PINEBERRY FEEDER, PM1077-11004" u="1"/>
        <s v="RA-71044, BRUSH HOLDER " u="1"/>
        <s v=" P/N: 123092, SPRING" u="1"/>
        <s v="SOLID PANEL DIE 25 X 90 MM, FOR 327G, '0' DEG ANGLE " u="1"/>
        <s v=" 1 INCH NPT S.S BALL VALVE" u="1"/>
        <s v="ENVELOPE HIGH DIE 4 7/8 X 5 C.D, (CAPITAL REF:  U-29)" u="1"/>
        <s v=" SPOTTER" u="1"/>
        <s v=" OLD HEATER" u="1"/>
        <s v="TIMING BELT 950H100" u="1"/>
        <s v=" SPECIAL SCREW" u="1"/>
        <s v="TIMING BELT 1400H100" u="1"/>
        <s v=" NORDSON 250259, O-RING 18 X 2 VITON" u="1"/>
        <s v=" 30 X 90 MM FLEXIBLE WINDOW KNIFE FOR 38R '0' DEG ANGLE  " u="1"/>
        <s v=" 10-32 X 1&quot;, M.S L. KEY BOLT (91251A347)" u="1"/>
        <s v=" 35 X 80 MM FLEXIBLE WINDOW KNIFE FOR 38R '0' DEG ANGLE  " u="1"/>
        <s v="P-500, SUPREME HYDRAULIC OIL ISO VG68" u="1"/>
        <s v=" 35 X 90 MM FLEXIBLE WINDOW KNIFE FOR 38R '0' DEG ANGLE  " u="1"/>
        <s v=" CONTACTOR, 32A, 24VDC, 3 POLE, 15KW" u="1"/>
        <s v=" PARTS FOR ROTARY UNION" u="1"/>
        <s v=" P/N: 147898-350, PISTON CUP (OLD P/N: 126460-350)" u="1"/>
        <s v=" PARALLEL KEY, V 79.90.042.0" u="1"/>
        <s v="FRICTION DISC FOR SHEETER CLUTCH HOUSING" u="1"/>
        <s v=" PLASTIC DOCTOR BLADE (ROLL)   1 ROLL=1200 INCH, 217240-1200-0" u="1"/>
        <s v="HARD KNIFE FOR MOH " u="1"/>
        <s v="ENVELOPE HIGH DIE 160 X 240, (CAPITAL REF:  R-65)" u="1"/>
        <s v=" SPLIT SPROCKET" u="1"/>
        <s v=" PACKING RING SD 45 X 55 X 4 MM, K 1.392.53" u="1"/>
        <s v="SEGMENT GROOVED SEGMENT (15-1122T), PART-MOW-40346" u="1"/>
        <s v="FEED SEGMENT MOW-40232" u="1"/>
        <s v=" GLUE PLATE" u="1"/>
        <s v="BLUE INK" u="1"/>
        <s v=" CT6Y-2P4, COUNTER &amp; TIMER" u="1"/>
        <s v="10B-1 CHAIN (5/8&quot;)" u="1"/>
        <s v="ENVELOPE HIGH DIE 146 X 200, (CAPITAL REF:  R-30)" u="1"/>
        <s v=" PART # 1028305, NORDSON MELTER FILTER" u="1"/>
        <s v="SPECIAL OIL FOR LUBRICATOR" u="1"/>
        <s v="ROLLER BEARING 5205" u="1"/>
        <s v=" VALVE FOR AIR CHUCK" u="1"/>
        <s v="FUSE (500 V-10A)" u="1"/>
        <s v=" 20A, FUSE 500VAC" u="1"/>
        <s v="PRINTING ROLLER 85 X 65 X 765 MM" u="1"/>
        <s v=" MODEL : MR-J2S-100A, MITSUBISHI AC SERVO DRIVE (POWER 1 KW, 5A)" u="1"/>
        <s v="NEEDLE BEARING FOR W&amp;D 141" u="1"/>
        <s v=" TEFLON TAPE ROLL FOR SHANKLIN, 25MM X 15 MTR" u="1"/>
        <s v=" PULLEY FOR TIMING BELT" u="1"/>
        <s v="MOTOR FOR STS HOTMELT UNIT" u="1"/>
        <s v="SEGMENT SEGMENT, PART-MOH-41261" u="1"/>
        <s v="ENVELOPE HIGH DIE 4 1/8 X 5 1/2 (OSDS 5 BAR), (CAPITAL REF:  U-30)" u="1"/>
        <s v="25-1 CHAIN FOR PEEL &amp; SEAL UNIT OF MOH" u="1"/>
        <s v="FILTER REGULATOR WITH GAUGE" u="1"/>
        <s v="RUBBER ROLLS 1.590 X 1.575 INCH" u="1"/>
        <s v="ENVELOPE HIGH DIE 162 X 240, (CAPITAL REF:  S-16)" u="1"/>
        <s v="DESCRIPTION" u="1"/>
        <s v="BALL BEARING J-1212" u="1"/>
        <s v=" NORTON GRINDING WHEEL, 10 X 1 X 13 INCH, UPC NO: 66253138903, 32AA46-IVTR, 109180541 4/14, 2485RPM" u="1"/>
        <s v=" BATTERY 9V" u="1"/>
        <s v="FLAP SCORING BLADE V 03.01.600.0, FOR W&amp;D 141" u="1"/>
        <s v="HARD CARBON STEEL BAND SAW BLADE. (MORSE USA) L = 7' 9&quot;, W = 3/4&quot;,T = 0.032&quot;, 10 TPI" u="1"/>
        <s v=" HAND LIGHT" u="1"/>
        <s v=" MITSUBISHI AC SERVO MOTOR" u="1"/>
        <s v="NEEDLE BEARING HK4016" u="1"/>
        <s v=" 55 X 115 MM FLEXIBLE WINDOW KNIFE FOR 38R '0' DEG ANGLE  " u="1"/>
        <s v=" TOLOMATIC BRAKE CALIPER, P/N: 0703-0001" u="1"/>
        <s v="RUBBER ROLLER FEED ROLL, OS-3372" u="1"/>
        <s v=" 030XX625, ELECTRIC CABLE WITH CONNECTORS FOR GLUE UNIT VALVE" u="1"/>
        <s v="ELECTRIC ITEM" u="1"/>
        <s v=" GASKET SHELLAC" u="1"/>
        <s v="BEARING (TAF293820)" u="1"/>
        <s v="OVER LOAD CUT OUT (MOTOR PROTECTIVE SWITCH) 4--6.3A" u="1"/>
        <s v="ROLLER" u="1"/>
        <s v=" BIG ROLLER" u="1"/>
        <s v="TIMING PULLEY 14H100" u="1"/>
        <s v=" ANVIL FOR P&amp;S UNIT OF MOH &amp; MOW" u="1"/>
        <s v=" PLASTIC GEAR" u="1"/>
        <s v=" 162 X 229 MM FLEXIBLE PROFILE KNIFE FOR 38R, '0' DEG ANGLE STRAIGHT FLAP" u="1"/>
        <s v=" V-BELT A-55" u="1"/>
        <s v=" 6A, 500V, FUSE 10 X 38 MM" u="1"/>
        <s v="SCORING ROLLER SCORING ROLLER WITH GROOVES (L038.17.0371.0), UNICAST REF: 10-1185-38" u="1"/>
        <s v=" MULTI SOCKET 13A" u="1"/>
        <s v=" TESA 51570, 12MM x 66MTR" u="1"/>
        <s v="TIMING BELT 225L050" u="1"/>
        <s v=" PHOTO ELECTRIC SENSOR, BM200-DDT" u="1"/>
        <s v=" AIR CYLINDER, Q34-32-8" u="1"/>
        <s v="ENVELOPE HIGH DIE 110 X 232 &amp; 114 X 232, (CAPITAL REF:  R-01)" u="1"/>
        <s v="RUBBER ROLLER P/N: 10-1079 (N 010.132)" u="1"/>
        <s v=" P/N: 23680-1, GAUGE-OIL LEVEL" u="1"/>
        <s v=" SIEMENS 5-8 A, OVERLOAD RELAY" u="1"/>
        <s v=" 8-32 X 1&quot;, M.S L. KEY BOLT" u="1"/>
        <s v=" FLEXIBLE STANDARD LABELING TAPE TZ-FX231" u="1"/>
        <s v=" M.S REDUCING BUSH 1&quot; TO 1/2&quot;" u="1"/>
        <s v="ENVELOPE HIGH DIE 114 X 232, 114 X 234, (CAPITAL REF:  R-89)" u="1"/>
        <s v=" 37 X 93 MM FLEXIBLE WINDOW KNIFE FOR 38R '0' DEG ANGLE   BEST REF: 170724" u="1"/>
        <s v="PACKING RING                             SD 45 X 55 X 4 MM" u="1"/>
        <s v=" CHAIN NO 35-1" u="1"/>
        <s v=" 561XX171, REBUILT KIT FOR VALCO PUMP" u="1"/>
        <s v="ENVELOPE HIGH DIE 100 X 210, (CAPITAL REF:  R-10)" u="1"/>
        <s v="NEEDLE BEARING HK 4020" u="1"/>
        <s v="TIMING BELT FOR ENCODER" u="1"/>
        <s v=" 25 X 90 MM FLEXIBLE WINDOW KNIFE FOR 38R '0' DEG ANGLE  " u="1"/>
        <s v="FLEXIBLE CUT OFF KNIFE 162 X 240 MM FOR 38R, '1' DEG LEFT ANGLE FOR JORDAN TEL" u="1"/>
        <s v="NEEDLE BEARING HK-4020" u="1"/>
        <s v="RUBBER ROLLER N 010.050 (UNICAST REF: 15-3118)" u="1"/>
        <s v="HARD KNIFE LOWER P&amp;S KNIFE FOR B2S " u="1"/>
        <s v="ENVELOPE HIGH DIE 5 1/2 X 8 1/8 (OSSS), (CAPITAL REF:  U-11)" u="1"/>
        <s v=" CONTACTOR, 18A, 24VDC, 3 POLE, 7.5KW" u="1"/>
        <s v="ENVELOPE HIGH DIE 4 1/8 X 9 1/2 (CAPITAL REF: U-48)" u="1"/>
        <s v="SOLID PANEL DIE 20 X 95 MM, FOR 327G, '0' DEG ANGLE " u="1"/>
        <s v=" PROTECTIVE FOIL ROLL, 00.472.0007" u="1"/>
        <s v="FLAT HEAD L. KEY BOLT 8-32 X 5/8&quot;" u="1"/>
        <s v="BALL BEARING 3202 (15 X 35 X 19.9 MM)" u="1"/>
        <s v=" 110 X 230 MM FLEXIBLE PROFILE KNIFE FOR 38R, '0' DEG ANGLE SECURITY CUT, FOR ABK" u="1"/>
        <s v=" SCOTCH TAPE" u="1"/>
        <s v=" MAIN DRIVE GEAR" u="1"/>
        <s v=" RING, B 313.524" u="1"/>
        <s v="ENVELOPE HIGH DIE 162 X 229, (CAPITAL REF:  R-17)" u="1"/>
        <s v=" P/N: 1642, HA2 1.25&quot; SLOT COATER KNIFE FOR UP TO 1&quot; PATTERN" u="1"/>
        <s v=" PNEUMATIC PUMP (SANDPIPER  SO5B2PUTPNS000), SERIAL NO 1582890-7BAR" u="1"/>
        <s v="SPROCKET FOR CHAIN # 41-1" u="1"/>
        <s v="RUBBER ROLLER P/N: 10-167 (L 527.00.250.0)" u="1"/>
        <s v="SMC PNEUMATIC CYLINDER" u="1"/>
        <s v=" P/N: 15-0038R/L, 112.5MM STRAIGHT GUMMER 38--527" u="1"/>
        <s v=" FB 12V35/35W, BULB" u="1"/>
        <s v=" BATTERY AA-1.5V" u="1"/>
        <s v=" 16A, FUSE 500VAC" u="1"/>
        <s v="HARD KNIVES 15 X 10 ENVELOPES FOR MOH " u="1"/>
        <s v="TIMING BELT DOUBLE SIDE, 420DL100" u="1"/>
        <s v="RUBBER ROLLER W&amp;D REF: L 527.00.2505.0, UNICAST: 10-1203, FOR 527 GSV" u="1"/>
        <s v=" P/N: 143144-01, AMBER LAMP BULB" u="1"/>
        <s v="TIMING PULLEY (MARTIN)" u="1"/>
        <s v=" PART # 235P, POLYESTER FILTER ELEMENT" u="1"/>
        <s v="SWITCHES" u="1"/>
        <s v=" K 1.931.02, UNIVERSAL JOINT SHAFT, FLANGE DIA = 75MM, L = 255MM" u="1"/>
        <s v=" PTQ18-DU10P, RIKO SENSOR" u="1"/>
        <s v="LFMAP-D-MIDI, MAT # 162675 (0.01 MICRON)" u="1"/>
        <s v="MASKING TAPE" u="1"/>
        <s v="NEEDLE BEARING IKO BHA 812 Z (1/2&quot; X 3/4&quot; X 3/4&quot;)" u="1"/>
        <s v="   TOP P&amp;S KNIFE FOR CHEETAH " u="1"/>
        <s v="FLEXIBLE WINDOW KNIFE 50 X 93 MM, FOR 38R '0' DEG ANGLE" u="1"/>
        <s v=" NE-MA SPA, PRESSURE SWITCH" u="1"/>
        <s v=" STEEL CORE FEED ROLL WR-51001, UNICAST REF: 15-1431" u="1"/>
        <s v="BALL BEARING 6902" u="1"/>
        <s v=" MA-0019, SHOCK ABSORBER" u="1"/>
        <s v="SPROCKET" u="1"/>
        <s v=" FLAT BELT ROLLS" u="1"/>
        <s v=" RETAINING SPRING, 66.028.028" u="1"/>
        <s v=" SUPER GLUE" u="1"/>
        <s v=" P/N: 1558-08, FLEXIBLE HOSE" u="1"/>
        <s v="BEARING FOR WINDOW CUTTING SECTION (WITH BRACKETS)" u="1"/>
        <s v=" P/N: 3019, # 6-32 X 1/4&quot; SOCKET BUTTON CAP HEAD CAP SCREW" u="1"/>
        <s v="FLEXIBLE CUT OFF KNIFE 11 INCH (V-FLAP) FOR 38R, '1' DEG LEFT ANGLE BEST REF: FA-403652" u="1"/>
        <s v=" #SG-3-534-2 AIR CHUCKS" u="1"/>
        <s v="KNOB FOR PRINTING UNIT # 2" u="1"/>
        <s v="RUBBER ROLLER 15-2031" u="1"/>
        <s v="ENVELOPE HIGH DIE 324 X 458, (CAPITAL REF:  S-11)" u="1"/>
        <s v="RUBBER ROLLER UNI-TIRE ASSEMBLY WR51001, 15-1313SYS" u="1"/>
        <s v="   POLAR CUTTING KNIFE " u="1"/>
        <s v="NEEDLE BEARING HK-4016" u="1"/>
        <s v="PHOTO SENSOR" u="1"/>
        <s v="VALVE # 2" u="1"/>
        <s v="TIMING BELT TIMING BELT (1700H200), PART-MOH-40947" u="1"/>
        <s v="EINSTELLSCHRAUBE" u="1"/>
        <s v=" 35 X 105 MM FLEXIBLE WINDOW KNIFE FOR 38R '0' DEG ANGLE  " u="1"/>
        <s v=" L. KEY, 6 MM" u="1"/>
        <s v=" PIVOT MOUNTING BRACKET, PART # N05-0922-001" u="1"/>
        <s v="PU COATED RUBBER ROLLER" u="1"/>
        <s v="VIBRATOR 42 (L214.00.0041.0)" u="1"/>
        <s v="9 X 12 (OSSS)" u="1"/>
        <s v=" PB-0171, THOMPSON SHAFT 1/2&quot; X 23-9/16&quot;" u="1"/>
        <s v=" SLEEVE, V 11.09.025.0" u="1"/>
        <s v=" STEEL SCALE24 INCH" u="1"/>
        <s v="RUBBER ROLLER N 010.005 (UNICAST REF: 15-3111)" u="1"/>
        <s v=" PHILIP BIT FOR SCREW" u="1"/>
        <s v="RUBBER ROLLER P/N: 15-1312SYS" u="1"/>
        <s v=" 24V/21W, BULB" u="1"/>
        <s v="40-1CHAIN LINKS" u="1"/>
        <s v=" BLADE FOR SMALL KNIFE" u="1"/>
        <s v="ARCOL RESISTANCE FOR 38R MACHINES" u="1"/>
        <s v=" NORDSON 401853, QUADRING 8.2 X 1.78" u="1"/>
        <s v=" KEY 3/16X3/16X12 INCH, 98510A117 (McMaster)" u="1"/>
        <s v=" ELECTRONIC COUNTER TC73HCRR" u="1"/>
        <s v="NEEDLE BEARING 4904" u="1"/>
        <s v=" LAS-KY35N, UNIVERSAL JOINT CORSS 31.8 X 81.6" u="1"/>
        <s v="CONTACTOR" u="1"/>
        <s v=" SPIRAL HOSE 8 MM" u="1"/>
        <s v="RETAINING SPRING" u="1"/>
        <s v="UNDERLAY SHEET" u="1"/>
        <s v="ENVELOPE HIGH DIE 120 X 160, (CAPITAL REF:  R-92)" u="1"/>
        <s v="ENVELOPE HIGH DIE 4 X 3.5 (SIDE SEAM), (CAPITAL REF:  R-36)" u="1"/>
        <s v=" LOESCHLOGIK 24-5, K4.731.03" u="1"/>
        <s v=" SPROCKET FOR CHAIN # 41-1, 6280K541 (McMaster)" u="1"/>
        <s v=" BAW2149 (704xx554), VALCO PLUNGER WITH CERAMIC TIP" u="1"/>
        <s v="TIMING BELT 600H100, 120 TEETH" u="1"/>
        <s v=" FIBER DISC FOR GLUE" u="1"/>
        <s v="UNI-TIRE ASSEMBLY WR51001" u="1"/>
        <s v=" RHEEM CONTROL BOARD FOR SLNL085 179509, P/N: 47-102884-01" u="1"/>
        <s v=" SCORING UNIT SUPPORT" u="1"/>
        <s v=" 35 X 85 MM FLEXIBLE WINDOW KNIFE FOR 38R '0' DEG ANGLE  " u="1"/>
        <s v=" 35 X 95 MM FLEXIBLE WINDOW KNIFE FOR 38R '0' DEG ANGLE  " u="1"/>
        <s v="PROXIMITY SENSOR" u="1"/>
        <s v=" ALIGNER PIN" u="1"/>
        <s v=" FLAT BELT HD-NUH-5SCn-SmGr (HABASIT HNB-5E), MB 50-590TG2 (V801.00.8000.0)" u="1"/>
        <s v=" EMERGENCY STOP 30 MM" u="1"/>
        <s v=" NORDSON 316560, TURCON VARISEAL M D4 INSIDE SEAL" u="1"/>
        <s v="RELAY 24VDC. 5AMP. 14 PIN" u="1"/>
        <s v=" McMASTER REF: 57445K26, SHAFT COLLAR 12 MM BORE" u="1"/>
        <s v="RUBBER ROLLER MOH 41190 CONE ROLL, UNICAST REF: 10-1278" u="1"/>
        <s v=" 4A, 500V, FUSE 10 X 38 MM" u="1"/>
        <s v="HAND LIGHT" u="1"/>
        <s v=" NON RETURN VALVE, HGL-1/4-B" u="1"/>
        <s v="SIDE SCORE TUBE 4&quot; LONG" u="1"/>
        <s v=" RED COLOR, INDICATION LAMP 24V-DC" u="1"/>
        <s v=" LOCTITE 638" u="1"/>
        <s v="5.5 X 5.5 (OSSS)" u="1"/>
        <s v=" MP5S-4N, PULSE / TACHO METER" u="1"/>
        <s v="GUIDE FOR RUBBER ROLLS" u="1"/>
        <s v=" MICROSWITCH (ROLLER TYPE), ANDELI 15 A 250VAC" u="1"/>
        <s v="INLET VALVE CYLINDER (INCLUDING BUSHING # 22880)" u="1"/>
        <s v="FLOW GAUGE" u="1"/>
        <s v=" NYLON WASHEAR" u="1"/>
        <s v=" 6A, FUSE 500VAC" u="1"/>
        <s v="4 3/4 X 6 1/2 (A6 OSSS)" u="1"/>
        <s v="OPTIBELT-VB" u="1"/>
        <s v="M.S L. KEY BOLT (91251A342)" u="1"/>
        <s v="TACHOMETER" u="1"/>
        <s v="RUBBER ROLLER UNICAST REF: 15-3117 (N 010.030)" u="1"/>
        <s v=" LOW HEAD SOCKET CAP SCREW 1/4&quot;-20 X 1/2&quot;, 92220A183 (McMaster)" u="1"/>
        <s v=" TAPER ROLLER BEARING, JM207049 &amp; JM207010" u="1"/>
        <s v=" P/N: 125368, VACUUM REGULATING VALVE" u="1"/>
        <s v="SPUR GEAR" u="1"/>
        <s v="M.S L. KEY BOLT (91251A345)" u="1"/>
        <s v="SPUR GEAR " u="1"/>
        <s v=" SERVICE KIT-FLUID SECTION 637429-AA" u="1"/>
        <s v="SILICONE CARTRIDGE" u="1"/>
        <s v=" N 001.312, CLAMPING RING" u="1"/>
        <s v="M.S L. KEY BOLT (91251A347)" u="1"/>
        <s v="ENVELOPE HIGH DIE 9 X 12 (OESSS), (CAPITAL REF:  U-38)" u="1"/>
        <s v=" FESTO CYLINDER DGS-25-50-PPV, DGS-25-50-PPV" u="1"/>
        <s v="FLEXIBLE CUT OFF KNIFE FOR 38R, '1' DEG LEFT ANGLE FOR ABK" u="1"/>
        <s v="ENCLOSURE LOCKS" u="1"/>
        <s v="THRUST BEARING 51105 (25 X 42 X 11 MM)" u="1"/>
        <s v="ENVELOPE HIGH DIE 6.5 X 9.5 (OSSS), (CAPITAL REF:  U-07)" u="1"/>
        <s v="BALL BEARING NO REF" u="1"/>
        <s v="ENVELOPE HIGH DIE 7 1/2 X 7 1/2 (OSSS), (CAPITAL REF:  U-31)" u="1"/>
        <s v="WHEEL HUB" u="1"/>
        <s v="ELECTRICAL CONTACT CLEANER" u="1"/>
        <s v="ENVELOPE HIGH DIE 57 x 200 (CUTLERY), (CAPITAL REF:  R-33)" u="1"/>
        <s v=" 4 FEET, TUBE LIGHT ROD" u="1"/>
        <s v=" P/N: K 3.306.08, VALVE # 5 (50 CU MM)" u="1"/>
        <s v="BALL BEARING 6012" u="1"/>
        <s v=" SENSOR" u="1"/>
        <s v=" CLEANER FOR PVC" u="1"/>
        <s v=" RHEOSTAT VARIABLE RESISTANCE, 100 WATT, 100 OHM" u="1"/>
        <s v="RUBBER ROLLER FEED ROLL (PART-SYM-34126), FLS # 46038  (ITEM # 5)" u="1"/>
        <s v=" CONTACTOR LC1D12F7.  240V, 32A, 240V, 50/60Hz, 7.5KW/400V, 10HP/480V" u="1"/>
        <s v=" 2013800404 (144606-2), QUINCY AIR &amp; OIL SEPARATOR FILTER FOR AIR COMPRESSOR" u="1"/>
        <s v="ENVELOPE HIGH DIE 57 x 200 (CUTLERY), (CAPITAL REF:  R-34)" u="1"/>
        <s v=" YELLOW COLOR, INDICATION LAMP 24V-DC" u="1"/>
        <s v="TIMING BELT HTD 2800-8M-B07083, K 1.825.81" u="1"/>
        <s v="THRUST BEARING" u="1"/>
        <s v="PHOTOCELL FOR SHANKLING" u="1"/>
        <s v="FILTER" u="1"/>
        <s v=" SCORE ROLL 3.259&quot; X 23.62&quot; FOR W&amp;D 141, UNICAST REF: 10-1051" u="1"/>
        <s v="McMASTER REF: 7332K11, CHAIN TENSIONER FOR # 35-1" u="1"/>
        <s v="ILLUMINATED PUSH BUTTON" u="1"/>
        <s v="1 INCH NPT M.S SOCKET" u="1"/>
        <s v="SOLID PANEL DIE HOLE PUNCH DIE, FOR 327G, '0' DEG ANGLE  " u="1"/>
        <s v="ENVELOPE HIGH DIE 5 1/4 X 7 1/4 (A7), (CAPITAL REF:  U-01)" u="1"/>
        <s v=" 8-32 X 1-1/8&quot;, M.S L. KEY BOLT (91251A183)" u="1"/>
        <s v=" REF # 38PS-5000, P&amp;S TOP KNIFE FOR 38R" u="1"/>
        <s v="CROSS 23.0 X 58.2 MM" u="1"/>
        <s v=" P-500, SUPREME HYDRAULIC OIL ISO VG68" u="1"/>
        <s v="OFFSET CHAIN LINK (5/8&quot;)" u="1"/>
        <s v="HARD KNIVES STRAIGHT SET OF CUT OFF KNIFE FOR MO " u="1"/>
        <s v=" 20 X 95 MM FLEXIBLE WINDOW KNIFE FOR 38R '0' DEG ANGLE  " u="1"/>
        <s v=" 46465A724, SANDING DISC, 3&quot; DIA, 40 GRIT" u="1"/>
        <s v="BALL BEARING 625-2Z" u="1"/>
        <s v="FLAT WASHER 0.52" u="1"/>
        <s v="AIR SECTION KIT 637428" u="1"/>
        <s v="IMPELLER NOVA PUMP" u="1"/>
        <s v=" McMASTER: 3781K59, REPAIR KIT FOR MOTOR SIDE" u="1"/>
        <s v="PROTECTIVE FOIL" u="1"/>
        <s v="PERMANENT MARKER" u="1"/>
        <s v=" SHEET COUNTING CLAMP" u="1"/>
        <s v="N C CONTACT" u="1"/>
        <s v="HARD KNIFE 350 X 250 ENVELOPES FOR MOH " u="1"/>
        <s v=" P/N: 1671-005, 2&quot; LONG BRASS SHIM FOR HOT MELT" u="1"/>
        <s v=" 5571K12 AIR FLOW BOOSTER" u="1"/>
        <s v="TIMING BELT T5-500, W&amp;D REF: NO 11.430, 100 TEETH, 500MM LENGTH, 5MM PITCH" u="1"/>
        <s v="3 5/8 X 6 1/2 (OSSS)" u="1"/>
        <s v="N O CONTACT" u="1"/>
        <s v="CUTTING BLADE 22.875&quot;" u="1"/>
        <s v=" METAL STRIP FOR DELIVERY" u="1"/>
        <s v="CHAIN LINK (5/8&quot;)" u="1"/>
        <s v=" ELECTRIC SWITCH" u="1"/>
        <s v="4 1/8 X 9 1/2 (10 OSDS)" u="1"/>
        <s v="PUNCH DIE 55 X 90 MM WINDOW SIZE" u="1"/>
        <s v="SEGMENT MOW 30860 - 7.5&quot; X 2-7/8&quot; (15-1378), PART-MOW-30860" u="1"/>
        <s v="TIMING BELT 504L100" u="1"/>
        <s v=" BRONZE BUSHING, McMASTER REF: 6391K46" u="1"/>
        <s v="CONTACTOR 24V-DC (35A)" u="1"/>
        <s v=" TIMMER RELAY, K4.493.21" u="1"/>
        <s v=" POWER SUPPLY 12VDC. (ANDELI S-25-12), 2 AMP" u="1"/>
        <s v="BISON KIT" u="1"/>
        <s v=" P/N: K 3.306.04, VALVE # 2" u="1"/>
        <s v="INK ROLLER (103 X 65 X 280 MM)" u="1"/>
        <s v=" WE-30, DURA FLEX COUPLING ELEMENT FOR QUINCY VACUUM PUMP" u="1"/>
        <s v=" 30 X 98 MM FLEXIBLE WINDOW KNIFE FOR 38R '0' DEG ANGLE  " u="1"/>
        <s v="RUBBER ROLLER LO-3607 CRG ROLL ASSEMBLY. (FEED ROLL), 10-1069 SYS" u="1"/>
        <s v="THRUST BEARING 51112" u="1"/>
        <s v=" PUSH BUTTON WITH GREEN LIGHT " u="1"/>
        <s v="BEARING FOR SM-74" u="1"/>
        <s v="MOH F.G UNIT PARTS" u="1"/>
        <s v="CHAIN LINK # 08B-1" u="1"/>
        <s v="FLEXIBLE PROFILE KNIFE 114 X 234 MM FOR 38R, '0' DEG ANGLE BEST REF: D-4555 (FA-173829)" u="1"/>
        <s v="PRINTING ROLLER 64 X 35 X 750 MM" u="1"/>
        <s v="POWER SUPPLY 5VDC" u="1"/>
        <s v=" DUST MASK BOX" u="1"/>
        <s v=" HYDRAULIC CYLINDER FOR BALER" u="1"/>
        <s v=" DUPLEX CAHIN 08B-2" u="1"/>
        <s v=" KNOB FOR PRINTING UNIT # 2" u="1"/>
        <s v="BEARING FOR WEB ALIGNER" u="1"/>
        <s v="LINK FOR CONVEYOR" u="1"/>
        <s v="PARALLEL KEY" u="1"/>
        <s v=" McMASTER REF: 57445K25, SHAFT COLLAR 10 MM BORE" u="1"/>
        <s v=" BRASS BUSHING 10 X 14 X 12 MM" u="1"/>
        <s v=" BEARINGS, PART-WR-51006" u="1"/>
        <s v=" P/N: 3502, VITON O-RING" u="1"/>
        <s v="CHAIN NO 50-1" u="1"/>
        <s v="TIMING BELT For 135" u="1"/>
        <s v=" OIL SEAL FOR 38R-3 SPLICER PNEUMATIC CYLINDER, 3/4&quot; X 1&quot; X 1/8&quot;" u="1"/>
        <s v="ROUND BELT BD-ROUND BELT, DIA = 6 MM" u="1"/>
        <s v=" McMASTER: 6436K81, SHAFT COLLAR 2-7/16&quot;" u="1"/>
        <s v="PLASTIC DOCTOR BLADE (ROLL)   1 ROLL=1200 INCH" u="1"/>
        <s v=" 3202, # 4-40 X 3/8&quot; SOCKET HEAD CAP SCREW (McMaster Ref: 91251A108)" u="1"/>
        <s v="PULSE / TACHO METER" u="1"/>
        <s v="BALL BEARING 6307-2Z (35 X 80 X 21 MM)" u="1"/>
        <s v=" FEEDER NOZZLE PART, V 79.06.26.0" u="1"/>
        <s v=" SCALE" u="1"/>
        <s v="ONE WAY BEARING ST-G AE12-S BA (W+D K 1.960.04) (UF-12)" u="1"/>
        <s v=" 60235K73, ORANGE HANDLE (M4 X 15 MM)" u="1"/>
        <s v="SCORE ROLL 3.259&quot; X 23.62&quot; FOR W&amp;D 141" u="1"/>
        <s v="PLASTIC HAMMER" u="1"/>
        <s v=" 1400H100" u="1"/>
        <s v=" 2A, 500V, FUSE 10 X 38 MM" u="1"/>
        <s v=" CHAIN FOR SHEETER PIV GEAR BOX" u="1"/>
        <s v="PUNCH DIE 50 X 100 MM WINDOW SIZE" u="1"/>
        <s v=" MULTI TURN POTENTIOMETER, RES 5K ohm , BOURNS 3590S-2-502L" u="1"/>
        <s v="TIMING BELT MOW-20088" u="1"/>
        <s v="PUNCH DIE 50 X 105 MM WINDOW SIZE" u="1"/>
        <s v="PAD, WEAR, FILM CLAMP" u="1"/>
        <s v=" ELECTRIC CARD FOR DELIVERY VACUUM CONVEYOR (USED), K4.706.43 (L990.08.0006.0) (REGLER ARI 308 EINBAU-AUSFUHRUNG, ARTIKEL Nr: A-12309. Uin=230 VAC+6%-10%, 50/60Hz. Umot=0-160 VDC, Imot=8 Aeff, U Erreger=200 VDC)" u="1"/>
        <s v=" DUPLEX CHAIN 10B-2" u="1"/>
        <s v=" DISTILLED WATER" u="1"/>
        <s v="TOLOMATIC BRAKE CALIPER" u="1"/>
        <s v=" 50 X 100 MM FLEXIBLE WINDOW KNIFE FOR MOH '1.5' DEG ANGLE  " u="1"/>
        <s v="TIMING BELT (450H200)" u="1"/>
        <s v="GEAR BOX DRIVE BELT (570H300)" u="1"/>
        <s v=" FILTER CARTRIDGE, LFP-D-MIDI-5 (5 MICRON)" u="1"/>
        <s v="FLEXIBLE PROFILE KNIFE 115 X 225 MM FOR 38R, '0' DEG ANGLE C-8740 (FA-167575)" u="1"/>
        <s v=" 55 X 100 MM FLEXIBLE WINDOW KNIFE FOR MOH '1.5' DEG ANGLE  " u="1"/>
        <s v="TIMING BELT (1700H200)" u="1"/>
        <s v="FILTER, LF-1/4-D-MINI-A" u="1"/>
        <s v="TIMING BELT TIMING BELT 450 H 150" u="1"/>
        <s v=" PAPER GUIDE" u="1"/>
        <s v=" P/N: 141258, INLET VALVE GASKET" u="1"/>
        <s v=" PIN FOR PRINTING CYLINDER CLUTCH" u="1"/>
        <s v=" V 87.02.000.0, BRAKE BRUSH" u="1"/>
        <s v=" P/N: CR-22-1120, UNIVERSAL JOINT FOR MOH &amp; MOW" u="1"/>
        <s v=" L. KEY, 2.5 MM (McMASTER REF: 6589A12)" u="1"/>
        <s v=" 4.125&quot; X 9.5&quot; (1.375&quot; V-FLAP) FLEXIBLE PROFILE KNIFE FOR 38R, '0' DEG ANGLE BEST REF: FA-403651" u="1"/>
        <s v=" BLACK ROUND PUSH BUTTON HEAD 22 MM" u="1"/>
        <s v="McMASTER: 3781K59, REPAIR KIT FOR MOTOR SIDE" u="1"/>
        <s v=" NC CONTACT" u="1"/>
        <s v="NEEDLE BEARING BA 2824Z" u="1"/>
        <s v="BALL BEARING 7204 BETNU" u="1"/>
        <s v="DATASENSOR (PHOTO EYE) " u="1"/>
        <s v="BALL BEARING 6206-DDUNR (30 X 62 X 16 MM)" u="1"/>
        <s v="ENVELOPE HIGH DIE 9 X 6, (CAPITAL REF:  R-23)" u="1"/>
        <s v=" NORDSON 7106945, CONTROL MODULE EP 10 STROKE 0.3 snsr" u="1"/>
        <s v=" GUMMER FOR 527 GSV, SIZE: 1-1/8&quot; X 4-1/2&quot;" u="1"/>
        <s v=" PU COATED RUBBER ROLLER, FOR RELEASE LINER, DIA = 38 MM" u="1"/>
        <s v=" 2 FEET, TUBE LIGHT ROD" u="1"/>
        <s v="RIBBON R-3000, FOR TIME &amp; DATE STAMPING" u="1"/>
        <s v=" NO CONTACT" u="1"/>
        <s v="FUSE 500VAC" u="1"/>
        <s v=" INNER RING 40 X 45 X 40 FOR PLATE CYLINDER " u="1"/>
        <s v="BALL BEARING 6901 (12 X 24 X 6 MM)" u="1"/>
        <s v=" 593XX085, FILTER / REGULATOR ASSEMBLY" u="1"/>
        <s v="RUBBER ROLLER 10-1260" u="1"/>
        <s v="FLAT HEAD L. KEY BOLT 10-32 X 5/8&quot;" u="1"/>
        <s v="RUBBER ROLLER N 010.060 (15-3120)" u="1"/>
        <s v=" HYDRAULIC OIL ISO 32" u="1"/>
        <s v="3 1/2 X 6 1/2 (OECS)" u="1"/>
        <s v=" 08B-1" u="1"/>
        <s v="FLAT BELT PART-MOH-41147" u="1"/>
        <s v="ENVELOPE HIGH DIE 4 X 3.5, (CAPITAL REF:  S-03)" u="1"/>
        <s v="SET OF HELICAL GEAR" u="1"/>
        <s v=" SPIDER FOR SPLICER DRIVE" u="1"/>
        <s v="RUBBER ROLLER FEED ROLL MOH-31004" u="1"/>
        <s v=" SOCKET HEAD CAP SCREW  # 6-32 X 1/2&quot;" u="1"/>
        <s v="ENVELOPE HIGH DIE 3-7/8&quot; X 8-7/8&quot; (CAPITAL REF: U-49)" u="1"/>
        <s v=" 162 X 240 MM FLEXIBLE CUT OFF KNIFE FOR 38R, '1' DEG LEFT ANGLE FOR JORDAN TEL" u="1"/>
        <s v=" AUTONICS PHOTO SENSOR, MODEL: BM1M-MDT, NPN" u="1"/>
        <s v="TIMING BELT (237 SYNCHROFLEX DR-186)" u="1"/>
        <s v=" BEARING BLOCK" u="1"/>
        <s v=" HYDRAULIC OIL ISO 46" u="1"/>
        <s v="VACUUM SWITCH" u="1"/>
        <s v="ENVELOPE HIGH DIE 6 X 4, (CAPITAL REF:  R-85)" u="1"/>
        <s v=" P/N: 22749-363, VITON O-RING 0.19 X 6.5" u="1"/>
        <s v="BELT, SPA 1482" u="1"/>
        <s v="PRINTING ROLLER SIZE: 103 X 65 X 280 MM, HARD = 60-70 SHORE" u="1"/>
        <s v="OVER LOAD CUT OUT (MOTOR PROTECTIVE SWITCH) 10--16 A" u="1"/>
        <s v=" GREEN COLOR, LED LIGHT 110V" u="1"/>
        <s v="MULTI SOCKET" u="1"/>
        <s v=" 1A, 500V, FUSE 10 X 38 MM" u="1"/>
        <s v="TIMING BELT 850H200, PART-MOW-30607" u="1"/>
        <s v="HUELSE" u="1"/>
        <s v="BALL BEARING 626-2Z" u="1"/>
        <s v=" TIMING PULLEY 8M30HTD, N.O.T=22" u="1"/>
        <s v=" DIA = 95 MM SOLID PANEL DIE FOR 327G, '0' DEG ANGLE FOR CD JOB" u="1"/>
        <s v="   UPPER P&amp;S KNIFE FOR B2S " u="1"/>
        <s v="HARD KNIVES UPPER P&amp;S KNIFE FOR B2S " u="1"/>
        <s v="ORANGE HANDLE (M8 X 40 MM)" u="1"/>
        <s v=" QM 250009-221, SILENCER, 1/4&quot; NPT (FOR SULLAIR VACUUM PUMP)" u="1"/>
        <s v=" PIN FOR 15-3117 RUBBER ROLLERS" u="1"/>
        <s v=" 40 X 100 MM FLEXIBLE WINDOW KNIFE FOR MOH '1.5' DEG ANGLE  " u="1"/>
        <s v="ENVELOPE HIGH DIE 5 3/4 X 8 3/4 (A9 OSSS), (CAPITAL REF:  U-32)" u="1"/>
        <s v="3 5/8 X 6 1/2 (REMIT)" u="1"/>
        <s v="ENVELOPE HIGH DIE 75 X 110, (CAPITAL REF:  R-39)" u="1"/>
        <s v=" HUELSE, 42.017.007/-" u="1"/>
        <s v="ENVELOPE HIGH DIE 4 1/2 X 10 3/8 (11 OSDS), (CAPITAL REF:  U-17)" u="1"/>
        <s v="FLEXIBLE PROFILE KNIFE 115 X 229 MM FOR 38R, '0' DEG ANGLE SECURITY CUT" u="1"/>
        <s v="BIG GEAR" u="1"/>
        <s v="GROOVED ROLLER" u="1"/>
        <s v="RELAY (14 FLAT PINS)" u="1"/>
        <s v=" 20 X 12 X 5 MM, CARBON BRUSH" u="1"/>
        <s v="CONTACTOR RELAY, 24VAC, 2 NO &amp; 2 NC, 50/60Hz" u="1"/>
        <s v=" CIRCUIT BREAKER, 16A, 1 POLE" u="1"/>
        <s v="ENVELOPE HIGH DIE 323 X 228 (228 X 323), (CAPITAL REF:  R-59)" u="1"/>
        <s v="PARALLEL KEY 16 X 10 X 60" u="1"/>
        <s v=" SHAFT, PART-MOW-30099" u="1"/>
        <s v="FLEXIBLE WINDOW KNIFE 40 X 100 MM, FOR 38R '0' DEG ANGLE  BEST REF: FS-302055" u="1"/>
        <s v=" SQUARE HEAD SCREW" u="1"/>
        <s v="CAM FOLLOWER K3.340.78" u="1"/>
        <s v="RUBBER ROLLER 3.50 X 1/2 INCH. MO8424) (8500, UNICAST REF: 10-1082" u="1"/>
        <s v="LOW HEAD SOCKET CAP SCREW 10-32 X 3/4&quot;" u="1"/>
        <s v=" 50 X 100 MM FLEXIBLE WINDOW KNIFE FOR 38R '0' DEG ANGLE  " u="1"/>
        <s v="SHAFT COLLAR" u="1"/>
        <s v="BALL BEARING R8D" u="1"/>
        <s v=" TIGHTENING BOLT FOR KNIFE CUTTING UNIT" u="1"/>
        <s v=" STANDARD HEAD CAP SCREW 10-32 X 3/8&quot;, 91251A340" u="1"/>
        <s v=" CIRCUIT BREAKER, 32A, 3 POLE" u="1"/>
        <s v="BALL BEARING 6206-DDUNR" u="1"/>
        <s v=" RUBBER ROLLER (MV44.007.0), DIA=58 MM, L=40 MM (60 SHORE)" u="1"/>
        <s v=" 25 AMP, FUSE" u="1"/>
        <s v="SCISSORS" u="1"/>
        <s v="NEEDLE BEARING BA88Z" u="1"/>
        <s v=" 3 POSITION SWITCH HEAD, 22MM" u="1"/>
        <s v="SOLID PANEL DIE DIA = 4 INCH, FOR 327G, '0' DEG ANGLE " u="1"/>
        <s v="FLEXIBLE PROFILE KNIFE 108 X 235 MM FOR 38R, '0' DEG ANGLE " u="1"/>
        <s v="10B-1 OFFSET CHAIN LINK (5/8&quot;)" u="1"/>
        <s v=" MAGNETIC CYLINDER FOR WINDOW KNIFE" u="1"/>
        <s v=" CIRCUIT BREAKER, 6A, 1 POLE" u="1"/>
        <s v="LOCTITE 243" u="1"/>
        <s v="BALL BEARING 62200" u="1"/>
        <s v=" P/N: 3061, 1/4&quot; FILTER SUPPORT" u="1"/>
        <s v=" P/N: 3511, VITON O-RING, 010" u="1"/>
        <s v="FLAP SCORING BLADE W/O SLOT, V03.01.306 WOS (AMERICAN HOLT, INC)" u="1"/>
        <s v="LOW HEAD SOCKET CAP SCREW 1/4&quot;-20 X 5/8&quot;" u="1"/>
        <s v="FLAT BELT 38 X 1460 MM" u="1"/>
        <s v=" GREEN COLOR, INDICATION LAMP 24V-DC" u="1"/>
        <s v=" 0.032&quot;H, 24 RAD COK FLEXIBLE CUT OFF KNIFE FOR 38R, '1' DEG LEFT ANGLE BEST REF: FA-404869" u="1"/>
        <s v="FLAT BELT FOR FOLDER UNIT" u="1"/>
        <s v="MULTI TURN POTENTIOMETER, RES 5K ohm " u="1"/>
        <s v="TIMING BELT 240L100" u="1"/>
        <s v=" FORM ROLLER 34 (L212.00.0034.0), DIA=39MM, L=430 MM, HARDNESS=35 SHORE" u="1"/>
        <s v=" CONNECTORS FOR SERVO MOTOR" u="1"/>
        <s v=" MOELLER PKZMO-4, OVER LOAD CUT OUT (MOTOR PROTECTIVE SWITCH) 0--4A             " u="1"/>
        <s v="ORANGE HANDLE (M6 X 40 MM)" u="1"/>
        <s v=" 38R MODIFIED SILICON ROLLER FOR P&amp;S UNIT (IN OFFICE)" u="1"/>
        <s v="ENVELOPE HIGH DIE 3-1/8&quot; X 5-1/2 (COIN), (CAPITAL REF:  U-47)" u="1"/>
        <s v=" 110 X 232 MM FLEXIBLE PROFILE KNIFE FOR 38R, '0' DEG ANGLE BEST REF: D-7269 FOR OIFC" u="1"/>
        <s v=" SOLENOID VALVE 75-104-02, PARKER PS1-E181. (12000496)" u="1"/>
        <s v=" FORKLIFT BULB" u="1"/>
        <s v=" RUBBER ROLL (MV 36.011.0), DIA=80.3MM, L=525MM, 55 SHORE" u="1"/>
        <s v="CORNER CUTTER NO: 37348 &amp; NO: 37652, &quot;RHS&quot;" u="1"/>
        <s v="SHAFT COLLAR 40 MM BORE" u="1"/>
        <s v="FLASH LIGH" u="1"/>
        <s v="6 X 9 (OESSS)" u="1"/>
        <s v=" DOUBLE SIDE TAPE 18 MM" u="1"/>
        <s v=" BOX OF INK DUCT FOIL, L2.008.148F" u="1"/>
        <s v="ENVELOPE HIGH DIE 114 X 229, (CAPITAL REF:  R-24)" u="1"/>
        <s v="FLAP SCORE BLADES" u="1"/>
        <s v=" COMPLETE PAPER CUTTER" u="1"/>
        <s v="FLAT BELT HABASIT TC-55ER (37 X4000X3MM), PART-MOH-21009 (REFEEDER INNER BELT  (FLS # 43593, ITEM # 21))" u="1"/>
        <s v="ENVELOPE HIGH DIE 3 5/8 X 5 1/8 (4 BAR), (CAPITAL REF:  U-28)" u="1"/>
        <s v="RUBBER ROLLER P/N: 10-1060SYS (LO-3505), DOUBLE ROLL ASSEMBLY" u="1"/>
        <s v="FLBER OPTIC SWITCH" u="1"/>
        <s v="ENVELOPE HIGH DIE 9 1/2 X 12 1/2 (OESSS), (CAPITAL REF:  U-40)" u="1"/>
        <s v=" P/N: AF-509AH, PUNCH DIE" u="1"/>
        <s v=" PLATE SPRING, 419 0486 42006034/01" u="1"/>
        <s v=" B 242.360, CERAMIC SQUARE CUTTING BAR. 12 X 12 X 360 MM LONG" u="1"/>
        <s v="SINGLE OFFSET CHAIN LINK # 60" u="1"/>
        <s v=" L. KEY SET (MM SIZE), 1.5 MM TO 10 MM (McMASTER REF: 5511A41)" u="1"/>
        <s v=" #38PS-5001-C, CARBIDE CYLINDER KNIFE" u="1"/>
        <s v="BUSHING FOR INLET VALVE PLATE" u="1"/>
        <s v=" 10-32&quot;, HEX NUT" u="1"/>
        <s v="6.5 X 9.5 (OSSS)" u="1"/>
        <s v="41-1 CHAIN LINKS (McMASTER REF: 6261K192)" u="1"/>
        <s v="SEGMENT (15-1146T)" u="1"/>
        <s v=" SPECIAL OIL FOR LUBRICATOR" u="1"/>
        <s v=" CIRCUIT BREAKER, 6A, 3 POLE" u="1"/>
        <s v=" P/N: 1651, HA2 MODULE SEAL KIT FOR P/N: 1666 (FOR 38R)" u="1"/>
        <s v="SOLID PANEL DIE &lt;4735&gt;, FOR 327G, '0' DEG ANGLE HALF ROUND DIE" u="1"/>
        <s v=" McMASTER REF: 6063K33, SHAFT COLLAR 15 MM BORE" u="1"/>
        <s v=" NORDSON: 319555, NOZZLE STEM EP10, D6.0MM" u="1"/>
        <s v="UPPER DELIVERY BELT" u="1"/>
        <s v="SHAFT COLLAR 45 MM BORE" u="1"/>
        <s v="SANDPIPER PUMP, McMASTER REF: 4157K72" u="1"/>
        <s v="TIMING BELT TIMING BELT (850H200), PART-MOW-30607" u="1"/>
        <s v="RUBBER ROLLER 0.875 X 0.50 INCH. MO-818, UNICAST REF: 10-1312A" u="1"/>
        <s v=" P/N: 1625, SPRAY NOZZLE ADAPTER" u="1"/>
        <s v="SEGMENT PART-MO-4262-&amp;A" u="1"/>
        <s v="FEED ROLL (PART-SYM-34126)" u="1"/>
        <s v="FLEXIBLE WINDOW KNIFE 35 X 110 MM, FOR 38R '0' DEG ANGLE" u="1"/>
        <s v="FLEXIBLE WINDOW KNIFE 40 X 110 MM, FOR 38R '0' DEG ANGLE" u="1"/>
        <s v="FLEXIBLE WINDOW KNIFE 45 X 110 MM, FOR 38R '0' DEG ANGLE" u="1"/>
        <s v=" 40 X 100 MM FLEXIBLE WINDOW KNIFE FOR 38R '0' DEG ANGLE  " u="1"/>
        <s v="VALVE # 5" u="1"/>
        <s v=" 10 MM, UNIVERSAL SPANNER" u="1"/>
        <s v="CHAIN LINK 25-1" u="1"/>
        <s v=" P/N: 3059, FILTER ADAPTER ASSEMBLY" u="1"/>
        <s v=" 13 MM, UNIVERSAL SPANNER" u="1"/>
        <s v=" 34 X 110 MM FLEXIBLE WINDOW KNIFE FOR MOH '1.5' DEG ANGLE  " u="1"/>
        <s v="RUBBER ROLL (3.50 X 1/2 INCH. MO8424) (8500)" u="1"/>
        <s v="ROLLER BEARING" u="1"/>
        <s v="V-BELT SPA 1482" u="1"/>
        <s v=" 12 AMP, FUSE" u="1"/>
        <s v="BALL BEARING 6204-DDUNR" u="1"/>
        <s v="TIMING BELT 450H200, PART-MOH-30193" u="1"/>
        <s v=" AIR SECTION KIT 637428" u="1"/>
        <s v="FLEXIBLE WINDOW KNIFE 55 X 115 MM, FOR 38R '0' DEG ANGLE" u="1"/>
        <s v=" BLUE INK" u="1"/>
        <s v="PUNCH DIE 14 X 75 MM WINDOW" u="1"/>
        <s v="LO-3607 CRG ROLL ASSEMBLY. (FEED ROLL)" u="1"/>
        <s v="TIMING BELT TIMING BELT (700H300), PART-MOW-20086" u="1"/>
        <s v=" HIGH TEMP SPRAY GREASE" u="1"/>
        <s v="ENVELOPE HIGH DIE 162 X 229 (F.G), (CAPITAL REF:  R-47)" u="1"/>
        <s v=" SHAFT FOR FLAT BELT PULLEY ON DELIVERY UNIT" u="1"/>
        <s v=" SET OF CIRCULAR KNIFE (UPPER &amp; LOWER), (UPPER: V03.03.001.0)  (LOWER: V03.03.000.0) " u="1"/>
        <s v="GUM SEGMENT P/N: 15-0038R/L, 112.5MM STRAIGHT GUMMER 38--527" u="1"/>
        <s v="DAMPENING ROLLER DIA = 48 MM" u="1"/>
        <s v=" P/N: 1661, HA2 SLOT NOZZLE SEAT FOR BAR ASSEMBLY" u="1"/>
        <s v=" BELT ADHESIVE, K-2000 CEMENT" u="1"/>
        <s v="ENVELOPE HIGH DIE 9 1/2 X 12 5/8 (OSSS), (CAPITAL REF:  U-36)" u="1"/>
        <s v=" KEY 5/16X5/16X12 INCH, 98510A150 (McMaster)" u="1"/>
        <s v=" SPRING FOR TANK FILTER" u="1"/>
        <s v="TIMING BELT 23H200" u="1"/>
        <s v=" 40 X 90 MM FLEXIBLE WINDOW KNIFE FOR 38R '0' DEG ANGLE  BEST REF: FS-304490" u="1"/>
        <s v="SELF ALIGNING BEARING 1200" u="1"/>
        <s v="SELF ALIGNING BEARING 1202" u="1"/>
        <s v="SELF ALIGNING BEARING 1203" u="1"/>
        <s v="SELF ALIGNING BEARING 1204" u="1"/>
        <s v="THRUST BEARING 51111-NSK" u="1"/>
        <s v="ENVELOPE HIGH DIE 95 X 120, (CAPITAL REF:  R-81)" u="1"/>
        <s v="GAUGE-OIL LEVEL" u="1"/>
        <s v=" V-BELT B-84 (17 X 2135)" u="1"/>
        <s v=" TUBE BRUSH, RA-70335AH (AMERICAN HOLT, INC)" u="1"/>
        <s v="BALL BEARING 627-2Z" u="1"/>
        <s v=" HEATER 630 W" u="1"/>
        <s v=" 40 X 110 MM FLEXIBLE WINDOW KNIFE FOR 38R '0' DEG ANGLE  " u="1"/>
        <s v=" 45 X 110 MM FLEXIBLE WINDOW KNIFE FOR 38R '0' DEG ANGLE  " u="1"/>
        <s v="VACUUM GAUGE" u="1"/>
        <s v=" GUIDE (V 59.69.525.0)" u="1"/>
        <s v="SET OF SCORE BLADE HOLDER FOR SO" u="1"/>
        <s v="SEGMENT SHIM (BITE)" u="1"/>
        <s v=" RIBBON R-3000, FOR TIME &amp; DATE STAMPING" u="1"/>
        <s v="SELF ALIGNING BEARING 2200" u="1"/>
        <s v=" P/N: 376P, PRE-FILTER FOR SOLBERG 377P" u="1"/>
        <s v="RUBBER COUPLING" u="1"/>
        <s v=" L. KEY, 5 MM (McMASTER REF: 6958A15)" u="1"/>
        <s v="SELF ALIGNING BEARING 2203" u="1"/>
        <s v="TIMING BELT TIMING BLET 510L100" u="1"/>
        <s v="SELF ALIGNING BEARING 2204" u="1"/>
        <s v=" K7.610.31, T-SQUARE HEAD SOCKET WRENCH" u="1"/>
        <s v="SELF ALIGNING BEARING 2205" u="1"/>
        <s v=" ADHESIVE EMERY PAPER ROLL" u="1"/>
        <s v="SELF ALIGNING BEARING 2206" u="1"/>
        <s v="BIG ROLLER" u="1"/>
        <s v=" RUBBER ROLLS, NO 10.001" u="1"/>
        <s v=" AUXILIARY CONTACTOR, 2 NO &amp; 2 NC, AC MAX 1 A &amp; DC MAX 10 A" u="1"/>
        <s v="ARALDITE EPOXY" u="1"/>
        <s v="  7A, FUSE 250VAC (L = 32MM)" u="1"/>
        <s v="CHALK BOX" u="1"/>
        <s v=" 113 X 230 MM FLEXIBLE PROFILE KNIFE FOR 38R, '0' DEG ANGLE " u="1"/>
        <s v="RELAY (8 FLAT PINS) 5 AMP" u="1"/>
        <s v=" FINGER FOR FOLDING SECTION" u="1"/>
        <s v="BALL CAGE " u="1"/>
        <s v="BALL BEARING 1726203-2RS (FOR SM-74 MACHINE)" u="1"/>
        <s v=" P/N: 22880, BUSHING FOR INLET VALVE CYLINDER" u="1"/>
        <s v="FLEXIBLE PROFILE KNIFE 115 X 229 MM FOR 38R, '0' DEG ANGLE SECURITY CUT, PULL LENGTH 80" u="1"/>
        <s v="TIMING BELT 1750T10, W=50MM, 175 TEEHT, 1750MM LENGTH, 10MM PITCH" u="1"/>
        <s v=" SCORE BLADE, FLAP, 13-1/4&quot; LONG, LO-2106AH" u="1"/>
        <s v=" McMASTER REF: 6063K21, SHAFT COLLAR 25 MM BORE" u="1"/>
        <s v="TIMING BELT TIMING BELT (360H200) (72 TEETH), PART-MOH-10019" u="1"/>
        <s v="HEX NUT (01.232.023/)" u="1"/>
        <s v=" PERFORATED TAPE, RA-90609AH" u="1"/>
        <s v="BALL BEARING 6002-DDUNR" u="1"/>
        <s v="BALL BEARING 459 GERMANY" u="1"/>
        <s v=" 30 X 100 MM FLEXIBLE WINDOW KNIFE FOR 38R '0' DEG ANGLE  " u="1"/>
        <s v="EYE BOLT (LEFT &amp; RIGHT THREAD)" u="1"/>
        <s v=" 60V, BULB" u="1"/>
        <s v=" OIL SEAL, MA-0421" u="1"/>
        <s v=" MINIATURE CIRCUIT BREAKER. C63, ABB S203-C63 (2CDS 253 001 R 0634) 63 AMP" u="1"/>
        <s v=" 35 X 100 MM FLEXIBLE WINDOW KNIFE FOR 38R '0' DEG ANGLE  " u="1"/>
        <s v="SQUARE HEAD BOLT" u="1"/>
        <s v="ALIGNER PIN" u="1"/>
        <s v="FLAT BELT LOWER SIDE BELT FOR SO DELIVERY UNIT, 1500 X 50 X 3 MM" u="1"/>
        <s v=" 10-32 X 3/4&quot;" u="1"/>
        <s v=" 084XX500 PSM, POWER SUPPLY MODULE" u="1"/>
        <s v=" McMASTER REF: 6063K23, SHAFT COLLAR 35 MM BORE" u="1"/>
        <s v="FLAT BELT FLAT BELT FOR FEEDER, HABASIT HAT-8P (17 X 605 X 2 MM)" u="1"/>
        <s v=" CAM FOLLOWER, K3.340.78" u="1"/>
        <s v=" ALIGNER PIN, SA-14R" u="1"/>
        <s v=" 35 X 130 MM FLEXIBLE WINDOW KNIFE FOR MOH '1.5' DEG ANGLE  " u="1"/>
        <s v=" POWER SUPPLY 24VDC 2 AMP (ANDELI S-50-24)" u="1"/>
        <s v=" SHANKLIN CYLINDER, P/N: CA-0038" u="1"/>
        <s v=" BRAKE SHOE" u="1"/>
        <s v=" P220SEF, 0733-0220, TOLOMATIC PNEUMATIC BRAKE" u="1"/>
        <s v=" LACQUER THINNER" u="1"/>
        <s v=" FESTO FLOW VALVE W-3-3/8" u="1"/>
        <s v=" FUSE 250VAC, 2.5AMP, GLASS TYPE (6.35 X 32 MM)" u="1"/>
        <s v=" McMASTER REF: 6063K25, SHAFT COLLAR 45 MM BORE" u="1"/>
        <s v=" 1/4&quot; X 5/8&quot;, BUTTON HEAD L. KEY BOLT" u="1"/>
        <s v="   HARD KNIVES FOR MOH NEW DRAWING" u="1"/>
        <s v="BIO CLEAN GEL 750ml (PRINTECH)" u="1"/>
        <s v="ZUNGE" u="1"/>
        <s v="SEPARATOR FINGER (36.017.084/)" u="1"/>
        <s v=" SILICONE CARTRIDGE" u="1"/>
        <s v=" 40 X 93 MM FLEXIBLE WINDOW KNIFE FOR 38R '0' DEG ANGLE  FS-169797" u="1"/>
        <s v=" TACHOMETER, P/N: 14215T11" u="1"/>
        <s v="RUBBER ROLLER PART-MOH-31373" u="1"/>
        <s v="BALL BEARING 6203-DDUNR (17 X 40 X 12 MM)" u="1"/>
        <s v="9 1/2 X 12 5/8 (OSSS)" u="1"/>
        <s v="SET OF CIRCULAR KNIFE (UPPER &amp; LOWER)" u="1"/>
        <s v=" ROTARY ENCODER, E50S8-1000-6-L-5 (FROM FUTURE SKY EQUIPMENT)" u="1"/>
        <s v=" EMERY PAPER 320" u="1"/>
        <s v=" 22 X 15 X 6 MM, CARBON BRUSH" u="1"/>
        <s v="SEGMENT SEGMENT (UNICAST # 15-1122AT)" u="1"/>
        <s v="SWIVEL WHEEL FOR CATERPILLER STACKER" u="1"/>
        <s v=" 30A, AMPERE METER" u="1"/>
        <s v=" P/N: K 3.306.06, VALVE # 3" u="1"/>
        <s v=" 155XX304, VALCO ENCODER VDD-1000 (SERIAL NO 1560551)" u="1"/>
        <s v=" 10 X 100 MM FLEXIBLE WINDOW KNIFE FOR MOH '1.5' DEG ANGLE  " u="1"/>
        <s v="FLEXIBLE WINDOW KNIFE 40 X 100 MM, FOR 38R '0' DEG ANGLE  BEST REF: FD-201232" u="1"/>
        <s v="ENVELOPE HIGH DIE 110 X 232, (CAPITAL REF:  R-72)" u="1"/>
        <s v="SEAL GUM ROLL BLUE. (DSPBL GUM L229.07.0222.0)" u="1"/>
        <s v="ENVELOPE HIGH DIE 6 X 9 1/2 (OSSS), (CAPITAL REF:  U-35)" u="1"/>
        <s v=" 35 X 110 MM FLEXIBLE WINDOW KNIFE FOR 38R '0' DEG ANGLE  " u="1"/>
        <s v="CHAIN FOR PEEL &amp; SEAL UNIT OF MOH" u="1"/>
        <s v=" SUPPORT (MO3923AH)" u="1"/>
        <s v=" 63A-3P, ENCLOSURE SWITCH" u="1"/>
        <s v="V-BELT XPA-1600 FOR 527 GSV" u="1"/>
        <s v=" BALL JOINT ROD END (FEMALE THREAD 12A &amp; 12LA) LEFT &amp; RIGHT HAND THREAD" u="1"/>
        <s v="ENVELOPE HIGH DIE 4-1/8&quot; X 9-1/2&quot; (CAPITAL REF: U-48)" u="1"/>
        <s v=" BRAKE LINING, 300 X 300 X 10 MM" u="1"/>
        <s v="SAFETY SHOE SIZE: 39" u="1"/>
        <s v=" MECHANICAL VALVE, MV-08" u="1"/>
        <s v=" THREADING BUSHING, 42.007.026" u="1"/>
        <s v=" SEAL MASTER BEARINGS, ER-22TC  1 3/8&quot;" u="1"/>
        <s v=" BALL CAGE, 42.018.027/-" u="1"/>
        <s v="ENVELOPE HIGH DIE 12 X 10, (CAPITAL REF:  R-42)" u="1"/>
        <s v=" LOWER BOTTOM CUTTING KNIFE " u="1"/>
        <s v=" SPUR GEAR" u="1"/>
        <s v="NEEDLE BEARING FOR PRINTING CYLINDER" u="1"/>
        <s v="NEEDLE BEARING RC-162110" u="1"/>
        <s v="CROSS SCORING KNIFE" u="1"/>
        <s v="OIL SEAL BECKER" u="1"/>
        <s v="41-1 ADD &amp; CONNECT CHAIN LINK" u="1"/>
        <s v=" COMPRESSION SPRING FOR CARRIAGE, WIRE DIA=1.5MM, OD=10MM, ID=7MM, L=48MM" u="1"/>
        <s v="RUBBER ROLLER FEED ROLL LO-3607" u="1"/>
        <s v="HARD KNIFE UPPER P&amp;S KNIFE FOR B2S " u="1"/>
        <s v=" 231P, POLYESTER FILTER ELEMENT" u="1"/>
        <s v=" PLATE, V 63.06.869.0" u="1"/>
        <s v="COUNTER KICKER, SET" u="1"/>
        <s v=" LEATHER GLOVE" u="1"/>
        <s v="FLEXIBLE PROFILE KNIFE 114 X 232 MM FOR 38R, '0' DEG ANGLE FOR NBD" u="1"/>
        <s v="QUINCY AIR FILTER FOR ROTARY SCREW COMPRESSOR" u="1"/>
        <s v=" CONTACTOR, 9A, 24VDC, 3 POLE, 4KW" u="1"/>
        <s v=" 25 X 100 MM FLEXIBLE WINDOW KNIFE FOR 38R '0' DEG ANGLE  " u="1"/>
        <s v="MINIATURE CIRCUIT BREAKER. C63" u="1"/>
        <s v=" P/N: 126760, INLET VALVE SPRING (FOR VACUUM PUMP)" u="1"/>
        <s v=" ROLLER, 93.033.502/-" u="1"/>
        <s v="NEEDLE BEARING INA NKI 40/20" u="1"/>
        <s v=" FLAT HEAD L. KEY BOLT 10-32 X 5/8&quot;, McMASTER REF: 91253A006" u="1"/>
        <s v="ENVELOPE HIGH DIE 115 X 225, (CAPITAL REF:  R-71)" u="1"/>
        <s v="HD-NUH-5sCn-SmGr, REFEEDER BELT" u="1"/>
        <s v="20 INCH JUMBO YARN FILTER" u="1"/>
        <s v=" GEAR BOX DRIVE BELT (570H300), RA-92009" u="1"/>
        <s v="TIMING BELT TIMING BELT 1700 H 100" u="1"/>
        <s v=" STAPLING PIN, No. 35" u="1"/>
        <s v=" LINK FOR CONVEYOR, OS-12400-2" u="1"/>
        <s v=" 4.125&quot; X 9.5&quot; (1.4375&quot; V-FLAP, 0.032&quot;H) FLEXIBLE PROFILE KNIFE FOR 38R, '0' DEG ANGLE BEST REF: FA-404868" u="1"/>
        <s v="THREADED SPACER" u="1"/>
        <s v="MINIMUM PRESSURE CHECK VALVE KIT" u="1"/>
        <s v=" HALOGEN LAMP, 1000W" u="1"/>
        <s v="SPUR GEAR FOR PULLING SHAFT" u="1"/>
        <s v="THREADING BUSHING" u="1"/>
        <s v=" METAL SEGMENTS (LOCAL MANF)" u="1"/>
        <s v="STEEL WIRE" u="1"/>
        <s v="TIMING BELT 250XL (W=9MM)" u="1"/>
        <s v=" TESA 4863 (EMBOSSED ROLLER GRIP TAPE), 50MM x 25MTR" u="1"/>
        <s v=" L. KEY, 10 MM" u="1"/>
        <s v="HARD KNIFE UPPER KNIFE FOR BOTTOM CUTTING FOR 97G " u="1"/>
        <s v="BALL BEARING R4AA-2Z" u="1"/>
        <s v="HARD KNIFE V.03.02.002.0 UPPER CROSS CUTTING KNIF FOR 97G " u="1"/>
        <s v="CYLINDER SCREW WITH HEX M10X40" u="1"/>
        <s v="CYLINDER SCREW WITH HEX M10X41" u="1"/>
        <s v=" 8-32 X 3/8&quot;, M.S L. KEY BOLT (McMASTER: 91251A192)" u="1"/>
        <s v="MICROSWITCH SMALL LEVER" u="1"/>
        <s v="CYLINDER SCREW WITH HEX M10X42" u="1"/>
        <s v="BALL BEARING 608-2Z" u="1"/>
        <s v="CYLINDER SCREW WITH HEX M10X43" u="1"/>
        <s v="FLEXIBLE CUT OFF KNIFE 114 X 232 MM FOR 38R, '1' DEG LEFT ANGLE NBD" u="1"/>
        <s v="FLEXIBLE WINDOW KNIFE 40 X 100 MM, FOR 38R '0' DEG ANGLE " u="1"/>
        <s v=" P/N: 802423, PLASMA NOZZLES" u="1"/>
        <s v="FLEXIBLE WINDOW KNIFE 25 X 100 MM, FOR 38R '0' DEG ANGLE  " u="1"/>
        <s v="CYLINDER SCREW WITH HEX M10X44" u="1"/>
        <s v="M.S L. KEY BOLT 3/8&quot;-24 X 2&quot;" u="1"/>
        <s v="ENVELOPE HIGH DIE 330 x 250 (250 X 330), (CAPITAL REF:  R-67)" u="1"/>
        <s v=" P/U COATED PERFORATED ROLLER FOR SHAFT # 20, (V 45.83.023.0) (ML 25.081.0), DIA=29.9-0.03+0, BLACK, 60 SHORE, 30 X 21 X 520 MM" u="1"/>
        <s v=" 45 X 100 MM FLEXIBLE WINDOW KNIFE FOR 38R '0' DEG ANGLE  BEST REF: FS-301638" u="1"/>
        <s v=" 35 X 130 MM FLEXIBLE WINDOW KNIFE FOR 38R '0' DEG ANGLE  " u="1"/>
        <s v="BALL BEARING 628-2Z" u="1"/>
        <s v="BULB FOR PLATE MAKER" u="1"/>
        <s v=" VIBRATOR 42 (L214.00.0041.0), DIA=36 MM, L=430 MM, HARDNESS=40 SHORE" u="1"/>
        <s v="9 X 9 (OSSS)" u="1"/>
        <s v=" QUINCY AIR FILTER FOR ROTARY SCREW COMPRESSOR" u="1"/>
        <s v=" PART # 144046-005, QUINSYN-PLUS COMPRESSOR OIL (www.quincycompressor.com) VACUUM # 2 OIL CHANGED ON 80475 HOUR &amp; VACUUM # 1 OIL CHANGED ON 72863 HOUR.         " u="1"/>
        <s v=" POWER SUPPLY, 230VDC-24VDC, 3 AMP (ANDELI REF: S-75-24)" u="1"/>
        <s v="PUNCH DIE 55 X 105 MM WINDOW SIZE" u="1"/>
        <s v="PART # 235P, POLYESTER FILTER ELEMENT" u="1"/>
        <s v=" NEEDLE BEARING NK 45/30, K 1.310.20" u="1"/>
        <s v="ALUMINIUM COUPLING FOR FEED ROLLS" u="1"/>
        <s v=" NORDSON: 7106952, CYLINDER EP 10" u="1"/>
        <s v="ENVELOPE HIGH DIE 12 X 10, (CAPITAL REF:  R-44)" u="1"/>
        <s v=" HEATER 140 W" u="1"/>
        <s v=" P/N: 1659, HA2 SPRAY MODULE SEAL KIT FOR P/N: 1633" u="1"/>
        <s v="SPUR GEAR R120.029.410" u="1"/>
        <s v="HARD KNIVES V.03.02.004.0 LOWER CROSS CUTTING KNIF FOR 97G " u="1"/>
        <s v=" 750XX005, QUICK DISCONNECT ASSEMBLY" u="1"/>
        <s v=" SPECIAL BOLTS" u="1"/>
        <s v="PRINTING ROLLER FOR SM-74" u="1"/>
        <s v="TESA 4156 (CAMERA RED TAPE)" u="1"/>
        <s v="SPRING" u="1"/>
        <s v=" CHAIN NO 06B-1" u="1"/>
        <s v=" TEFLON TAPE, 50 MM WIDE" u="1"/>
        <s v="SCORING ROLL WITH GROOVE" u="1"/>
        <s v=" P/N: 1628-020, SPRAY NOZZLE. 0.020&quot; ORIFICE" u="1"/>
        <s v="NC1 AC CONTACTOR. COIL VOLTAGE 24V. 50Hz" u="1"/>
        <s v="PRINTING ROLLER 78 X 55 X 485 MM" u="1"/>
        <s v="FOLDING ROLLER" u="1"/>
        <s v="COVERALL SIZE: 2XL" u="1"/>
        <s v="BALL BEARING 698-2Z" u="1"/>
        <s v=" FILTER ELEMENT, LFMBP-D-MIDI, MAT # 162678 (1.0 MICRON)" u="1"/>
        <s v="UNICAST CONE ROLL 10-1278" u="1"/>
        <s v=" CARTRIDGE HEATER HIGH DEN, SIZE: 16 X 160 MM, 630 WATT, 220 VOLT" u="1"/>
        <s v=" 8-32 X 3/8&quot;, FLAT HEAD M.S L. KEY BOLT (McMASTER: 91253A192)" u="1"/>
        <s v="TIMING BELT 850H300" u="1"/>
        <s v="CAM" u="1"/>
        <s v=" 115 X 225 MM  FLEXIBLE PROFILE KNIFE FOR 38R, '0' DEG ANGLE C-8740 (FA-167575)" u="1"/>
        <s v="4 3/4 X 6 1/2 (A6 MAC FLAP OSSS)" u="1"/>
        <s v=" CARBON PAPER FOR CUTTING KNIFE IMPRESSION" u="1"/>
        <s v=" 114 X 162 MM FLEXIBLE PROFILE KNIFE FOR 38R, '0' DEG ANGLE BEST REF: D-1587 (FA-169931)" u="1"/>
        <s v="ENVELOPE HIGH DIE 130 X 130, (CAPITAL REF:  R-91)" u="1"/>
        <s v="RUBBER ROLL (ML 14.046.0)" u="1"/>
        <s v=" TNDLY1CO.ZR5MF011 ONDLY TIM.IC/0, TIME DELAY RELAY" u="1"/>
        <s v=" COVER, 42.018.028/-" u="1"/>
        <s v="CAM FOLLOWER L990.00.0087.8" u="1"/>
        <s v="FRICTION DISC FOR SHEETER CLUTCH SHAFT" u="1"/>
        <s v=" 745xx508, O-RING" u="1"/>
        <s v=" HELICAL GEAR" u="1"/>
        <s v="BALL BEARING NSK - 7200 BW" u="1"/>
        <s v=" AIR BLOW NOZZLE (N 003802)" u="1"/>
        <s v="ONE WAY BEARING ST-G AE12-S BA (W+D K 1.960.04)" u="1"/>
        <s v="ORANGE HANDLE (M4 X 15 MM)" u="1"/>
        <s v=" INHOUSE REBULIT SPRAY MODULE FOR STOCK" u="1"/>
        <s v="KEY 5/16X3/8X12 INCH" u="1"/>
        <s v="FLAT BELT HABASIT FD-NUH-5SQ-Smg, B=330, L=6230, T=1.3MM" u="1"/>
        <s v="TESA ADHESIVE TAPE" u="1"/>
        <s v=" BD-ROUND BELT, DIA = 6 MM" u="1"/>
        <s v=" 60235K86, ORANGE HANDLE (M10 X 50)" u="1"/>
        <s v="AUXILIARY CONTACTOR, 2 NO &amp; 2 NC" u="1"/>
        <s v="PHOTOCELL (PROXIMITY SENSOR). 10-35VDC" u="1"/>
        <s v=" P/N: K 3.306.10, VALVE # 10 (100 CU MM)" u="1"/>
        <s v="TIMING BELT TIMING BELT, PART-EW-70947" u="1"/>
        <s v="SPUR GEAR K1 1009 000 4, SPUR GEAR" u="1"/>
        <s v="RUBBER ROLLER ECCENTRIC FEED ROLLS" u="1"/>
        <s v=" 1-1/8&quot; X 4-1/2&quot; SOLID PANEL DIE FOR 327G, '0' DEG ANGLE " u="1"/>
        <s v=" CIRCUIT BREAKER, 63A, 3 POLE" u="1"/>
        <s v=" K 1.020.58, GROOVED BALL BEARING 6208-2Z" u="1"/>
        <s v="ENVELOPE HIGH DIE 115 X 235 (F.G SCB), (CAPITAL REF:  R-52)" u="1"/>
        <s v="NC CONTACT" u="1"/>
        <s v="RUBBER ROLLER FEED ROLL LO-3505" u="1"/>
        <s v="AC CONTACTOR MOELLER DILM50 " u="1"/>
        <s v=" CAP FOR WELDING TORCH (169-724)" u="1"/>
        <s v="ENVELOPE HIGH DIE 152 X 102, (CAPITAL REF:  R-13)" u="1"/>
        <s v=" ELCB 63 AMP (INTERRUPTOR DIFERENCIAL), ABB FH204 AC-63/0.1" u="1"/>
        <s v=" YELLOW FLOOR MARKING TAPE" u="1"/>
        <s v=" HEATER 280 W" u="1"/>
        <s v=" WE-20, DURA FLEX COUPLING ELEMENT FOR SULLAIR VACUUM PUMP" u="1"/>
        <s v="FESTO CONTROL VALVE" u="1"/>
        <s v=" MICRO SWITCH PART, K4.262.08" u="1"/>
        <s v="ENVELOPE HIGH DIE 9 X 6, (CAPITAL REF:  R-20)" u="1"/>
        <s v="LATCHING RELAY 24VDC (10A)" u="1"/>
        <s v=" WHEEL HUB, V 29.65.025.0" u="1"/>
        <s v="KEY 3/16X3/16X12 INCH" u="1"/>
        <s v="BRUSH FOR DELIVERY SPIRAL" u="1"/>
        <s v="SHOULDER BOLTS" u="1"/>
        <s v="FLEXIBLE WINDOW KNIFE 30 X 100 MM, FOR 38R '0' DEG ANGLE" u="1"/>
        <s v="FLEXIBLE WINDOW KNIFE 35 X 100 MM, FOR 38R '0' DEG ANGLE" u="1"/>
        <s v="FLEXIBLE WINDOW KNIFE 50 X 100 MM, FOR 38R '0' DEG ANGLE" u="1"/>
        <s v=" ALIGNER PIN (UNIVERSAL), RA-71106-SG" u="1"/>
        <s v="STEEL SCALE" u="1"/>
        <s v="L. KEY SET (INCH SIZE)" u="1"/>
        <s v="GASKET 6.50 O.D x 4.56 I.D" u="1"/>
        <s v="FUSE 250VAC" u="1"/>
        <s v="CARBON VANES" u="1"/>
        <s v="SPUR GEAR PLASTIC GEAR" u="1"/>
        <s v=" SIDE SCORING KNIFE" u="1"/>
        <s v=" QM 250026-148, AIR FILTER ELEMENT FOR SULLAIR PUMP" u="1"/>
        <s v="FLEXIBLE WINDOW KNIFE 35 X 105 MM, FOR 38R '0' DEG ANGLE" u="1"/>
        <s v=" P/N: 1643, HA2 1.25 INCH SLOT NOZZLE AND SEAT" u="1"/>
        <s v=" 085XX208, FUSE" u="1"/>
        <s v="DC INPUT MODULE 24V DC" u="1"/>
        <s v="PACKING RING SD 45 X 55 X 4 MM" u="1"/>
        <s v="ELECTRIC CARD FOR DELIVERY VACUUM CONVEYOR (USED)" u="1"/>
        <s v="GUM SEGMENT UNICAST REF: 22-480L, LEFT SIDE GUMMER 112.5 MM" u="1"/>
        <s v=" P/N: 1658, HA2 MODULE SEAL KIT FOR P/N: 1601 (FOR MOH)" u="1"/>
        <s v="GRIPPER PLATE (NO 2)" u="1"/>
        <s v=" P/N: 22875 (REPLACED WITH 141917), INLET VALVE GASKET (FOR VACUUM PUMP)" u="1"/>
        <s v=" MOH F.G UNIT PARTS" u="1"/>
        <s v=" P/N: 1318, MAC 24VDC SOLENOID VALVE ASSEMBLY" u="1"/>
        <s v=" POTENTIOMETER, 100K OHM" u="1"/>
        <s v=" CROSS SCORING BLADE, OS-1315" u="1"/>
        <s v="PLASMA NOZZLES" u="1"/>
        <s v="FLAT PLATE" u="1"/>
        <s v=" RUBBER HAMMER" u="1"/>
        <s v=" REBUILT OF HYPERSONIC HYBRID 60 ENGRAVED WITH EZ CLEAN DIAMOND CERAMIC" u="1"/>
        <s v=" PAPER GRIPPER" u="1"/>
        <s v=" PNEUMATIC CYLINDER, DNC-63-50-PPV" u="1"/>
        <s v="OIL SEAL, 415991, 3.50 x 4.501 x 0.468" u="1"/>
        <s v="FLAT BELT HABASIT TC-55ER (37 X 3150 X 3MM), FLS # 43593-1 (ITEM # 22) (WIDTH: 38 MM, LENGTH: 3086 MM ENDLESS) REFEEDER OUTER FLAT GREEN BELT. PART-MOH-21020." u="1"/>
        <s v="   BOTTOM KNIFE FOR WINDOW FILM " u="1"/>
        <s v="ECCENTRIC PIN" u="1"/>
        <s v="BALL BEARING 609-2Z" u="1"/>
        <s v="GUM ROLLER SEAL BLUE. (DSPBL GUM L229.07.0222.0), UNICAST REF: 10-1075" u="1"/>
        <s v=" LOCAL VITON O-RING 3 X 30 MM FOR TANK FILTER" u="1"/>
        <s v="FLEXIBLE WINDOW KNIFE 13 X 75 MM, FOR MOH '1.5' DEG ANGLE  " u="1"/>
        <s v=" CARBON BRUSH" u="1"/>
        <s v="PUNCH DIE 1-3/4&quot; X 4-1/2&quot; WINDOW" u="1"/>
        <s v=" FIBER DISC" u="1"/>
        <s v=" P/N: 3521, VTION O-RING, 145" u="1"/>
        <s v=" COUNTER" u="1"/>
        <s v="WINCH TYPE GEAR" u="1"/>
        <s v=" CROSS SCORING KNIFE, V 03.01.601.0" u="1"/>
        <s v="SET OF GLUE PAD" u="1"/>
        <s v="BALL BEARING 629-2Z" u="1"/>
        <s v="TIMING BELT TIMING BELT 1100H100" u="1"/>
        <s v="FLAT WASHER 0.56" u="1"/>
        <s v="GRIPPER PLATE (NO 5)" u="1"/>
        <s v="TIMING BELT 1400H (280 TEETH)" u="1"/>
        <s v="PIN" u="1"/>
        <s v="NEOPRENE RUBBER 3/32&quot;" u="1"/>
        <s v=" 110 X 220 MM FLEXIBLE PROFILE KNIFE FOR 38R, '0' DEG ANGLE SECURITY CUT, BEST REF: D-3394 (FA-401557)" u="1"/>
        <s v=" PULLEY" u="1"/>
        <s v="REFLECTION-LIGHT SCANNER" u="1"/>
        <s v=" 2A, FUSE 250VAC" u="1"/>
        <s v=" 25-1 CHAIN FOR PEEL &amp; SEAL UNIT OF MOH" u="1"/>
        <s v=" NORDSON 403376, NORDSON 403376 SOLENOID VALVE 3/2 WAYS 24V/8.5" u="1"/>
        <s v="FLEXIBLE WINDOW KNIFE 25 X 90 MM, FOR 38R '0' DEG ANGLE  " u="1"/>
        <s v="FLEXIBLE WINDOW KNIFE 30 X 90 MM, FOR 38R '0' DEG ANGLE  " u="1"/>
        <s v=" GREEN ROUND PUSH BUTTON HEAD 22 MM" u="1"/>
        <s v=" O-RING FOR DELIVERY UNIT BRUSH DRIVE AT SPIRAL" u="1"/>
        <s v="SEAL PE FOAM END SEAL, TYPE 2 (PROFILE: P65-MAX), AKEBOOSE PROD # CEF 0652 02" u="1"/>
        <s v=" P/N: 143144-02, RED LAMP BULB" u="1"/>
        <s v="FLAT BELT HABASIT FD-NUH-5SQ-Smg, B=330, L=660, T=1.3MM" u="1"/>
        <s v=" SIDE SCORE COUPLING, UNICAST REF: 10-5010C" u="1"/>
        <s v=" BEARING" u="1"/>
        <s v=" FLAT BELT 38 X 1460 MM, FD-TG-1030-PaR-YG" u="1"/>
        <s v="VALVE # 10" u="1"/>
        <s v="RUBBER SUCKER" u="1"/>
        <s v=" 24V, BULB" u="1"/>
        <s v=" UNIVERSAL JOINT" u="1"/>
        <s v=" P/N: 1673-005, HA2 1.250&quot; SLOT COATER SHIM FOR 1643 SLOT NOZZLE, 0.005&quot; THICKNESS. BLANK PATTERN" u="1"/>
        <s v=" 50 X 90 MM SOLID PANEL DIE FOR 327G, '0' DEG ANGLE " u="1"/>
        <s v=" LOCTITE 242" u="1"/>
        <s v="FLAT BELT HABASIT FD-NUH-5SQ-Smg, B=330, L=6260, T=1.3MM" u="1"/>
        <s v="NEEDLES FOR CORNER CUTTER UNIT" u="1"/>
        <s v=" TEE HANDLE L. KEY, 5 MM (McMASTER REF: 5629A75)" u="1"/>
        <s v=" 30 V, BULB" u="1"/>
        <s v="BEARING NEEDLES 2 X 8 MM" u="1"/>
        <s v="RUBBER ROLLER N 010.010" u="1"/>
        <s v="TIMING BELT PART-MOW-30018" u="1"/>
        <s v="BALL BEARING6000-2Z" u="1"/>
        <s v="COVERALL SIZE: 3XL" u="1"/>
        <s v="TELEMECHANIQUE CONTACTOR LC1D12F7.  240V, 32A" u="1"/>
        <s v="RUBBER ROLLER N 010.060" u="1"/>
        <s v="THRUST BEARING 51104" u="1"/>
        <s v=" ROLLER, 22 X 14 X 195 MM" u="1"/>
        <s v="OLD GEAR" u="1"/>
        <s v=" P/N: 123157-116, O-RING, 3/32 WIDE x 0.94 OD (FOR VACUUM PUMP)" u="1"/>
        <s v="SHOE (AMERICAN HOLT, INC)" u="1"/>
        <s v="CHAIN NO 35-1" u="1"/>
        <s v=" V.03.02.002.0 UPPER CROSS CUTTING KNIF FOR 97G " u="1"/>
        <s v=" 750XX009, VALCO MALE ADAPTER" u="1"/>
        <s v=" RUBBER SUCKER FOR VACUUM CYLINDER, V87.51.003.0" u="1"/>
        <s v="ENVELOPE HIGH DIE 3 7/8 X 8 7/8 (09 OSDS), (CAPITAL REF:  U-10)" u="1"/>
        <s v=" REFLECTION-LIGHT SCANNER, K 4.717.15" u="1"/>
        <s v="BALL BEARING 6906-2RS (30 X 47 X 9 MM)" u="1"/>
        <s v=" TRANSFER ROLLER FOR B&amp;B, DIA = 29 MM X L = 227 MM, HARD = 60 SHORE" u="1"/>
        <s v="CARTRIDGE HEATER HIGH DEN, SIZE: 16 X 175 MM" u="1"/>
        <s v=" NEW NORDSON NOZZLES" u="1"/>
        <s v=" P/N: 126647, FLAT WASHER 0.56" u="1"/>
        <s v="DIFFERENTIAL PRESSURE INDICATOR" u="1"/>
        <s v=" RUBBER SHEET FOR DIAPHRAGM OFSHEETER BRAKE" u="1"/>
        <s v=" TESA 4204 (CAMERA CLEAR TAPE), 12MM x 66MTR" u="1"/>
        <s v=" FIBRE GLASS FILM CLAMP" u="1"/>
        <s v=" NORDSON 256139, COMPRESSION SPRING 1 X 8 X 13" u="1"/>
        <s v=" 24VDC, DILER 40G CONTATCOR" u="1"/>
        <s v="SHOCK ABSORBER" u="1"/>
        <s v="TIMING BELT N 011.450 (40T5/690)" u="1"/>
        <s v="CHAIN (3/4&quot;)" u="1"/>
        <s v=" SHOULDER BOLTS, McMASTER REF: 9027A695" u="1"/>
        <s v="RUBBER ROLLER N 010.052" u="1"/>
        <s v="FILM CLAMP" u="1"/>
        <s v="CORNER KNIFE (DRIVE SIDE)  'RIGHT'" u="1"/>
        <s v="FLEXIBLE PROFILE KNIFE 4.125&quot; X 9.5&quot; (1.4375&quot; V-FLAP, 0.032&quot;H) FOR 38R, '0' DEG ANGLE BEST REF: FA-404868" u="1"/>
        <s v="WHITE ROGER TMST 2STG DIGITAL 179493" u="1"/>
        <s v="COPPER WASHER" u="1"/>
        <s v=" OLD PUMP FOR GLUE TANK" u="1"/>
        <s v=" 6MM Sq HEAD SCREW" u="1"/>
        <s v="NEEDLE BEARING INA NKI 50/55" u="1"/>
        <s v="OUT PUT CARD ELECTRICAL (FLS # 47096)" u="1"/>
        <s v="BUTTON HEAD SCREW" u="1"/>
        <s v=" 10B-1 CHAIN LINK (5/8&quot;)" u="1"/>
        <s v=" SCALLOP P&amp;S KNIFE" u="1"/>
        <s v="NEEDLE BEARING NA 4900" u="1"/>
        <s v="NEEDLE BEARING NA 4902" u="1"/>
        <s v=" ROUND KNIFE FOR REEL SLITTING" u="1"/>
        <s v="SCORING ROLLER WITH GROOVES, 22 X 14 X 235 MM" u="1"/>
        <s v="RHEEM CONTROL BOARD FOR SLNL085 179509" u="1"/>
        <s v="NEEDLE BEARING NA 4908" u="1"/>
        <s v="RUBBER ROLL (MV 36.011.0)" u="1"/>
        <s v=" 707XX441, REBUILD KIT FOR 12VDC VALVE" u="1"/>
        <s v=" KEY" u="1"/>
        <s v="SCORING ROLLER WITH 1 GROOVE, W&amp;D REF: L 126.07.0001.2, UNICAST: 10-1185, FOR 527 GSV &amp; 327G" u="1"/>
        <s v=" 40 X 80 MM SOLID PANEL DIE FOR 327G, '0' DEG ANGLE " u="1"/>
        <s v=" 40 X 90 MM SOLID PANEL DIE FOR 327G, '0' DEG ANGLE " u="1"/>
        <s v="BALL BEARING 5205-EE" u="1"/>
        <s v="NEEDLE BEARING 16004" u="1"/>
        <s v=" 45 X 90 MM SOLID PANEL DIE FOR 327G, '0' DEG ANGLE " u="1"/>
        <s v="V-BELT B-40 (B1056Ld/17X1016Li)" u="1"/>
        <s v=" LOCTITE 243" u="1"/>
        <s v="RUBBER ROLLER FEED ROLL MOH-31003" u="1"/>
        <s v=" RUBBER STRIP FOR SEALING KNIFE" u="1"/>
        <s v=" 24 V, BULB" u="1"/>
        <s v="McMASTER: 8918K52, BRONZE TUBE" u="1"/>
        <s v="IMPCO LPG PROPANE VALVE" u="1"/>
        <s v="OVERLOAD RELAY" u="1"/>
        <s v="RUBBER ROLLER N 010.024" u="1"/>
        <s v="ROUND KNIFE FOR REEL SLITTING" u="1"/>
        <s v="PU COATED SCORE ROLLER, DIA= 27 MM" u="1"/>
        <s v=" AC 4A, FUSE 500V" u="1"/>
        <s v="TIMING BELT W&amp;D REF: N 011.150, SPECIAL TYPE" u="1"/>
        <s v="BALL BEARING 6006-2Z (30 X 55 X 13 MM)" u="1"/>
        <s v="CORRECTION PEN (WHITE MARKER)" u="1"/>
        <s v="ENVELOPE HIGH DIE 2 1/4 X 3 1/2, (CAPITAL REF:  U-14)" u="1"/>
        <s v="CARTRIDGE HEATER HIGH DEN, SIZE: 16 X 160 MM" u="1"/>
        <s v="SEGMENT 10-1278A" u="1"/>
        <s v="S.S L. KEY BOLT FOR 38R P&amp;S" u="1"/>
        <s v="FLEXIBLE WINDOW KNIFE 35 X 90 MM, FOR 38R '0' DEG ANGLE" u="1"/>
        <s v="FLEXIBLE WINDOW KNIFE 45 X 90 MM, FOR 38R '0' DEG ANGLE" u="1"/>
        <s v=" AIR GUN" u="1"/>
        <s v=" ENCLOSURE LOCKS" u="1"/>
        <s v=" STRAIGHT SET OF CUT OFF KNIFE FOR MO " u="1"/>
        <s v=" CHEMICO GRINDING PASTE, MEDIUM" u="1"/>
        <s v="SOLID PANEL DIE 55 X 115 MM, FOR 327G, '0' DEG ANGLE " u="1"/>
        <s v="RUBBER ROLLER FEED ROLL (3.76 X 3/4 INCH. MP2416 NEW), UNICAST REF: 10-1081" u="1"/>
        <s v=" GLUE STICK, 26 MM WIDE" u="1"/>
        <s v=" MODEL: 111B-601CAAA, MAC AIR SOLENOID VALVES 12V-DC (8.5 WATT)" u="1"/>
        <s v=" ELECTRIC CARD FOR GLUE UNIT" u="1"/>
        <s v="RUBBER ROLLER N 010.025" u="1"/>
        <s v="6 X 9  (THUMB CUT)" u="1"/>
        <s v="DOUBLE SIDE TIMING BELT" u="1"/>
        <s v="CARTRIDGE FOR WATER FILTER" u="1"/>
        <s v="SANDING DISC, 3&quot; DIA, 100 GRIT" u="1"/>
        <s v="SPROCEKT" u="1"/>
        <s v="5 1/4 X 7 1/4 (A7)" u="1"/>
        <s v=" LF-1/2-D-5M-MIDI, FILTER" u="1"/>
        <s v="SCORING ROLLER WITH GROOVES (L038.17.0371.0)" u="1"/>
        <s v="RUBBER ROLLER SW-30417" u="1"/>
        <s v=" 22 MM SWITCH WITH LIGHT" u="1"/>
        <s v="TIMING PULLEY" u="1"/>
        <s v=" ROLLER FOR SHAFT # 11, DIA=30.3-01+0, 55-60 SHORE, (V 45.83.025.0) (ML 25.086.0)" u="1"/>
        <s v="ENVELOPE HIGH DIE 110 X 220, (CAPITAL REF:  R-22)" u="1"/>
        <s v=" 115 X 229 MM FLEXIBLE PROFILE KNIFE FOR 38R, '0' DEG ANGLE SECURITY CUT" u="1"/>
        <s v="SHOULDER BOLTS FOR UNWINDER" u="1"/>
        <s v=" P/N: K 3.306.08, VALVE # 5" u="1"/>
        <s v="ENVELOPE HIGH DIE 162 X 162, (CAPITAL REF:  R-76)" u="1"/>
        <s v="VITON O-RING 1/8 X 5.12 OD" u="1"/>
        <s v=" CARTRIDGE FOR WATER FILTER" u="1"/>
        <s v="SEGMENT MOW-40147, UNICAST REF: 15-1125T" u="1"/>
        <s v=" CHAIN LINK 25-1" u="1"/>
        <s v="SEGMENT BITE SEGMENT (MOW30861. 7.5X2-7/8 20* INCH), UNICAST REF: 15-1321" u="1"/>
        <s v="LED LIGHT 110V" u="1"/>
        <s v="SET OF SPUR GEAR" u="1"/>
        <s v=" BRUSH FOR ANILOX ROLLER CLEANING" u="1"/>
        <s v=" REVERSING CONTACTOR 1NO+1NC, 18A, 24VDC, 3 POLE, 7.5KW" u="1"/>
        <s v=" GASKET" u="1"/>
        <s v="PERFORATED BELT  SM-74 B = 38 mm , L = 217 mm" u="1"/>
        <s v=" EMERY PAPER 800" u="1"/>
        <s v="CLAMP, PHENOLIC FILM, CF1" u="1"/>
        <s v=" V- BELTS, OPTIBELT 3VX 560 FOR QUINCY AIR COMPRESSOR" u="1"/>
        <s v="TIME DELAY RELAY(FROM ABDULLA HASSAN INV # BCSC203459)" u="1"/>
        <s v="FLEXIBLE PROFILE KNIFE 114 X 234 MM FOR 38R, '0' DEG ANGLE BEST REF: REF: D-7165 (FA-177263) FOR P&amp;S)" u="1"/>
        <s v="NEEDLE BEARING NATR6-PP-A" u="1"/>
        <s v=" 30 X 60 MM SOLID PANEL DIE FOR 327G, '0' DEG ANGLE " u="1"/>
        <s v=" COIL 24V DC, RELAY (14 FLAT PINS)" u="1"/>
        <s v=" 30 X 80 MM SOLID PANEL DIE FOR 327G, '0' DEG ANGLE " u="1"/>
        <s v="SCREW DRIVER SET" u="1"/>
        <s v=" R312017007, SPROCKET" u="1"/>
        <s v="PNEUMATIC PUMP (SANDPIPER  SO5B2PUTPNS000)" u="1"/>
        <s v=" 30 X 90 MM SOLID PANEL DIE FOR 327G, '0' DEG ANGLE " u="1"/>
        <s v=" 35 X 80 MM SOLID PANEL DIE FOR 327G, '0' DEG ANGLE " u="1"/>
        <s v="DUST MASK BOX" u="1"/>
        <s v=" 34 X 90 MM SOLID PANEL DIE FOR 327G, '0' DEG ANGLE " u="1"/>
        <s v=" 14 X 75 MM SLOT / PUNCH WINDOW DIE " u="1"/>
        <s v=" 35 X 90 MM SOLID PANEL DIE FOR 327G, '0' DEG ANGLE " u="1"/>
        <s v="SKID BRUSH (AMERICAN HOLT, INC)" u="1"/>
        <s v="BALL BEARING R10-RS" u="1"/>
        <s v=" POWER SUPPLY 24VDC. (ANDELI S-50-24), 2 AMP" u="1"/>
        <s v=" GE FANUC PLC, VERSA MAX, IC200UDR005-BA" u="1"/>
        <s v=" AIR CYLINDER 2&quot; STROKE LENGTH, McMASTER REF: 6498K222" u="1"/>
        <s v="SOLID PANEL DIE 35 X 105 MM, FOR 327G, '0' DEG ANGLE " u="1"/>
        <s v=" 10B-1 OFFSET CHAIN LINK (5/8&quot;)" u="1"/>
        <s v=" SET OF HELICAL GEAR" u="1"/>
        <s v="BOLT" u="1"/>
        <s v="SEGMENT SEGMENT PART-MO-4262-&amp;A" u="1"/>
        <s v=" NYLON GEAR" u="1"/>
        <s v=" PAD, WEAR, FILM CLAMP, N05-1780-001" u="1"/>
        <s v=" 6.3 X 10 X 20 MM, CARBON BRUSH" u="1"/>
        <s v="FLAT BELT FOR FEEDER, HABASIT HAT-8P (17 X 605 X 2 MM)" u="1"/>
        <s v="COVERALL SIZE: 4XL" u="1"/>
        <s v="FLAT BELT HD-NUH-5SCn-SmGr (HABASIT HNB-5E)" u="1"/>
        <s v="RELAY 24VAC. 5AMP. 14 PIN" u="1"/>
        <s v=" P/N: AF-507AH, PUNCH, 11/32&quot;" u="1"/>
        <s v="HELICAL GEAR R220048474" u="1"/>
        <s v=" SCREWS FOR CLIPS" u="1"/>
        <s v=" COVER PLATE, V 79.89.453.0" u="1"/>
        <s v="FLAT BELT HD-NUH-5sCn-SmGr, REFEEDER BELT" u="1"/>
        <s v="ENVELOPE HIGH DIE 364 X 280, (CAPITAL REF:  S-12)" u="1"/>
        <s v="SOLID PANEL DIE 30 X 115 MM, FOR 327G, '0' DEG ANGLE " u="1"/>
        <s v="TIMING BELT 900H100, 180 TEETH" u="1"/>
        <s v="SOLID PANEL DIE 38 X 115 MM, FOR 327G, '0' DEG ANGLE " u="1"/>
        <s v=" SPROCEKT 06B-1-32" u="1"/>
        <s v=" V-BELT, A-41 (57181-43100)" u="1"/>
        <s v=" HIGH PRESSURE Y-STRAINER, McMASTER REF: 4385K28" u="1"/>
        <s v=" SPROCEKT 06B-1-33" u="1"/>
        <s v=" PRESSURE SEGMENTS # 38DC-1006" u="1"/>
        <s v=" SPROCEKT 35B-1-14" u="1"/>
        <s v=" EXHAUST FAN, 220-240VAC. 50/60Hz. 0.14A" u="1"/>
        <s v=" EAR PLUG" u="1"/>
        <s v=" M.S L. KEY BOLT 3/8&quot;-24 X 1-3/4&quot;" u="1"/>
        <s v=" 030XX631, ENCODER CABLE 4M, 8-PIN DIN" u="1"/>
        <s v="SHAFT COLLAR 30 MM BORE" u="1"/>
        <s v=" LOW HEAD SOCKET CAP SCREW 10-32 X 3/4&quot;, 92220A175 (McMaster)" u="1"/>
        <s v=" INTERMEDIATE ROLLER 44 (L212.00.0044.0), DIA=40 MM, L=430 MM, HARDNESS=40 SHORE" u="1"/>
        <s v="PLASMA ELECTRODES" u="1"/>
        <s v=" RUBBER ROLLER (MV44.008.0), DIA=58 MM, L=50 MM (60 SHORE)" u="1"/>
        <s v=" SHAFT" u="1"/>
        <s v="ECU FOR MITSUBISHI FORKLIFT" u="1"/>
        <s v=" 794XX264 (F15), NOZZLE CLEANING DRILL" u="1"/>
        <s v=" 8-32 X 3/4&quot;, M.S L. KEY BOLT (McMASTER: 91251A197)" u="1"/>
        <s v="MTG, BLOCK-WIRE TERMINAL (TEF)" u="1"/>
        <s v=" 40 X 93 MM SOLID PANEL DIE FOR 327G, '0' DEG ANGLE " u="1"/>
        <s v="SPECIAL TIMING BELT FOR 97G FROM W&amp;D" u="1"/>
        <s v="PLATE SPRING" u="1"/>
        <s v=" VALCO PNEUMATIC PUMP" u="1"/>
        <s v=" 52 X 75 MM SOLID PANEL DIE FOR 327G, '0' DEG ANGLE " u="1"/>
        <s v="CROSS FLANGE (U.J CROSS FLANGE 30 X 80 MM)" u="1"/>
        <s v=" 50 X 95 MM SOLID PANEL DIE FOR 327G, '0' DEG ANGLE " u="1"/>
        <s v=" McMaster PART NO: 98015K21, 1 MICRON POLYPROPYLENE FELT BAG FOR 20 GPM, POLYPROPYLENE FILTER BAG  HOUSING" u="1"/>
        <s v="CORNER BLOCK FOR PP1622 MK" u="1"/>
        <s v=" 1 INCH NPT M.S NIPPLE" u="1"/>
        <s v=" PU SCORE ROLLERS FOR W&amp;D 141, SIZE: 54 X 51 X 146 MM (65 TO 70 SHORE)" u="1"/>
        <s v="TIMING BELT, T5-690" u="1"/>
        <s v=" AUTONICS PHOTO SENSOR, MODEL: BEN5M-MDT" u="1"/>
        <s v="SILENCER, 1/4&quot; NPT (FOR SULLAIR VACUUM PUMP)" u="1"/>
        <s v="(blank)" u="1"/>
        <s v=" M.S MIG WIRE ROLL 0.8MM" u="1"/>
        <s v=" AUTONICS PHOTO SENSOR, MODEL: BEN3M-PDT, 12 TO 24 VDC" u="1"/>
        <s v="SEGMENT SEG-MOH 40205 7X1&quot;90*, 15-1126T" u="1"/>
        <s v=" OPTIBELT-VB, Z622Ld/10X600" u="1"/>
        <s v=" 746XX088, O-RING" u="1"/>
        <s v=" D.C MOTOR FOR SHANKLIN" u="1"/>
        <s v="SHAFT COLLAR 35 MM BORE" u="1"/>
        <s v="DUCT TAPE" u="1"/>
        <s v=" HACK SAW BLADE 1/2 INCH" u="1"/>
        <s v=" P/N: 3053 &amp; P/N: 3061, 200 MESH SCREEN FOR 1/4&quot; FILTER SUPPORT" u="1"/>
        <s v=" MOTOR" u="1"/>
        <s v="63A-3P, ENCLOSURE SWITCH" u="1"/>
        <s v=" TEFLON TAPE, 0.13X15X10" u="1"/>
        <s v="ELECTRIC TAPE" u="1"/>
        <s v=" TOOTHED BELT, 419 0486 005401037" u="1"/>
        <s v="FLEXIBLE CUT OFF KNIFE 114 X 234 MM FOR 38R, '1' DEG LEFT ANGLE BEST REF: FA-401047" u="1"/>
        <s v=" AIR REGULATOR, LR-1/4-D-MINI" u="1"/>
        <s v="MOVEABLE SEPARATOR BLADE" u="1"/>
        <s v="TRANSFER ROLLER 41 (L212.00.0041.0)" u="1"/>
        <s v="ELECTRIC BOARD" u="1"/>
        <s v="VARIDRIVE BELT 1422V330 GATES" u="1"/>
        <s v=" P/N: 394769, HIGH TEMPERATURE GREASE (10g can)" u="1"/>
        <s v=" WASHER, 00.540.0260/-" u="1"/>
        <s v=" 25 X 90 MM SOLID PANEL DIE FOR 327G, '0' DEG ANGLE " u="1"/>
        <s v=" WATER APPLICATION ROLLER 33 WITHOUT KEY (L 212.00.0133.0), DIA=58 MM, L=430MM, HARDNESS=30 SHORE" u="1"/>
        <s v="ENVELOPE HIGH DIE 110 X 220, (CAPITAL REF:  R-53)" u="1"/>
        <s v="ENVELOPE HIGH DIE 353 X 250 (250 X 353), (CAPITAL REF:  S-14)" u="1"/>
        <s v=" 60235k82, ORANGE HANDLE (M8 X 40 MM)" u="1"/>
        <s v="STEP KEY 3/8X3/16X5/16 INCH" u="1"/>
        <s v="STEEL CORE FEED ROLL WR-51001" u="1"/>
        <s v=" ROUND BAR. DIA=1/2&quot;, ROUND CERAMIC BAR" u="1"/>
        <s v=" RA-71044, BRUSH HOLDER " u="1"/>
        <s v=" NORDSON 250262, O-RING, 20 X 3 VITON" u="1"/>
        <s v=" KNIFE WITH V-CUT, PRATIKA 56" u="1"/>
        <s v="HARD KNIFE WCCD 02790 FOR MOH AS PER NEW DRAWING" u="1"/>
        <s v=" SET OF SCORE BLADE HOLDER FOR SO" u="1"/>
        <s v="HEATER 220VAC, 1000 WATT, CARTRIDGE HEATER HIGH DEN, 16 X 250 MM" u="1"/>
        <s v="TIMING BELT TIMING PULLEY, 23H200" u="1"/>
        <s v=" 8-32 X 1/2&quot;, BUTTON HEAD SCREW" u="1"/>
        <s v="RUBBER ROLLER FOR 327" u="1"/>
        <s v="3 7/8 X 8 7/8 (REMIT)" u="1"/>
        <s v="BD-ROUND BELT, DIA = 6 MM" u="1"/>
        <s v="HABASIT MAM-5E (ENDLESS FLEXPROOF BELT FOR FOLDING SECTION)" u="1"/>
        <s v=" 3 PORT VALVE" u="1"/>
        <s v=" PHOTOCELL (PROXIMITY SENSOR). 10-35VDC, SIEMENS OPTO-BERO 3RG 7013.0CC00" u="1"/>
        <s v="FLAT BELT HABASIT TC-55ER (37 X 4000 X 3MM), PART-MOH-21009 (REFEEDER INNER BELT  (FLS # 43593, ITEM # 21))" u="1"/>
        <s v=" FLBER OPTIC SWITCH, K 4.720.21" u="1"/>
        <s v=" D 0.030.312, CYLINDER SCREW WITH HEX M10X40" u="1"/>
        <s v=" SPROCEKT 06B-1-19" u="1"/>
        <s v="M.S REDUCING BUSH 1&quot; TO 1/2&quot;" u="1"/>
        <s v="SEAL PTFE END SEAL, TYPE 2 (PROFILE: P65-MAX), AKEBOOSE PROD # CET 0652 02" u="1"/>
        <s v="BALL BEARING 6903-2RS (17 X 30 X 7 MM) FOR STRETCH WRAPPING MACHINE" u="1"/>
        <s v=" FLANGE NUT" u="1"/>
        <s v="RUBBER ROLLER UNICAST REF: 15-3304" u="1"/>
        <s v=" O RING" u="1"/>
        <s v="FLEXIBLE PROFILE KNIFE 110 X 230 MM FOR 38R, '0' DEG ANGLE SECURITY CUT, FOR ABK" u="1"/>
        <s v="TIMING BELT 32T10-3100" u="1"/>
        <s v="PNEUMATIC PUMP (GRACO HUSKY 307)" u="1"/>
        <s v="SEGMENT 15-1314T, MOW-30033 (UNICAST REF: 15-1314T)" u="1"/>
        <s v="SIDE SCORER ROLLER, PART: LO-1901" u="1"/>
        <s v=" ZUNGE, V79.06.793.0" u="1"/>
        <s v=" ZUNGE, V79.06.794.0" u="1"/>
        <s v=" O-RING" u="1"/>
        <s v=" RUBBER ROLLER (MV44.007.0) (L 990.00.0116.4) (12287/03), DIA=58 MM, L=40 MM (60 SHORE)" u="1"/>
        <s v="BRUSH FOR ANILOX ROLLER CLEANING" u="1"/>
        <s v=" P/N: 1478-1, FLAT WASHER 0.52" u="1"/>
        <s v=" INK DUCTOR ROLLER (G), 2.12 INCH DIA, 18.50 INCH FACE LENGTH, 30-35 DUROMETER" u="1"/>
        <s v=" MAGNIFYING GLASS, CODE: 7551" u="1"/>
        <s v=" 37 X 93 MM SOLID PANEL DIE FOR 327G, '0' DEG ANGLE " u="1"/>
        <s v="NEEDLE BEARING 1612 (1 X 1.25 X 0.75 INCH)" u="1"/>
        <s v=" RUBBER SUCKER, 419 0486 42016072" u="1"/>
        <s v=" PINS FOR ALIGNER CYLINDER OF 38R" u="1"/>
        <s v="TIMING BELT TIMING PULLEY 14H100" u="1"/>
        <s v="(RA-50222) TIRE ASSEMBLY. FEED ROLL " u="1"/>
        <s v=" TIGHTENING BOLT" u="1"/>
        <s v="TIMING BELT PART-MOW-30760" u="1"/>
        <s v=" PLASTIC SCRAPERS FOR GLUE CLEANING" u="1"/>
        <s v=" P/N: AF-568-AH, PATCH SHEAR (2.5 MM THICK)" u="1"/>
        <s v=" CARBIDES BARS 12MM SQ X 13 INCH, 12MM SQ X 13INCH" u="1"/>
        <s v="FLEXIBLE STANDARD LABELING TAPE TZ-FX231" u="1"/>
        <s v="SEAL FLAP SCORER BLADE" u="1"/>
        <s v="ENVELOPE HIGH DIE 4 X 3, (CAPITAL REF:  R-31)" u="1"/>
        <s v="RUBBER ROLLER PU COATED , DIA = 45 MM, HARD = 60 SHORE" u="1"/>
        <s v="TIMING BELT (MOW)" u="1"/>
        <s v=" BRASS BUSH" u="1"/>
        <s v="AIR CYLINDER" u="1"/>
        <s v=" GRIPPER PLATES (NO 3), V 79.89.441.0" u="1"/>
        <s v="CAPACITOR" u="1"/>
        <s v=" BLUE INK PAD FOR STAMP" u="1"/>
        <s v="CERAMIC SQUARE CUTTING BAR. 12 X 12 X 360 MM LONG" u="1"/>
        <s v="V-BELT (050-SPZ-1047)" u="1"/>
        <s v="FLEXIBLE PROFILE KNIFE 110 X 232 MM FOR 38R, '0' DEG ANGLE OBSOLETE KNIVES 114 X 234 MM" u="1"/>
        <s v="GUM ROLLER SEAL GUM ROLL BLUE. (DSPBL GUM L229.07.0222.0), UNICAST REF: 10-1075" u="1"/>
        <s v="HARD KNIFE REF: WCCD-03084 ROUND CUTTING KNIFE FOR B&amp;B " u="1"/>
        <s v="CHAIN LINK" u="1"/>
        <s v=" SEAL GUM MO-1502, 10 INCH, 35 SHORE, UNICAST REF: 10-1099A" u="1"/>
        <s v=" 162 X 240 MM FLEXIBLE PROFILE KNIFE FOR 38R, '0' DEG ANGLE BEST REF: C-9578, FOR JORDAN TEL" u="1"/>
        <s v="RUBBER ROLLER (RA-50222) TIRE ASSEMBLY. FEED ROLL , 15-1073 SYS" u="1"/>
        <s v="TIMING BELT (602 SYNCHROFLEX DR 153)" u="1"/>
        <s v="SIDE-MOUNTED AUXILIARY CONTACT FOR DILA. " u="1"/>
        <s v="RUBBER ROLLS (DISP.TIRE/BRNG)" u="1"/>
        <s v="V-BELT, B-40 (B1056Ld/17X1016Li)" u="1"/>
        <s v="NEEDLE BEARING 16004 (20 X 42 X 8 MM)" u="1"/>
        <s v="CARBON BRUSH FOR SLIPRING OF 327G" u="1"/>
        <s v="SAFETY SHOE SIZE: 40" u="1"/>
        <s v="5 1/2 X 8 1/8 (OSSS)" u="1"/>
        <s v="REFLECTOR" u="1"/>
        <s v=" 50 X 68 MM SOLID PANEL DIE FOR 327G, '0' DEG ANGLE " u="1"/>
        <s v=" 108 X 235 MM FLEXIBLE CUT OFF KNIFE FOR 38R, '1' DEG LEFT ANGLE " u="1"/>
        <s v=" POWER SUPPLY 24VDC, 1.5A (ANDELI REF: S-35-24)" u="1"/>
        <s v="SINGLE OFFSET CHAIN LINK" u="1"/>
        <s v=" FESTO AIR LUBRICATOR, LOE-D-MIDI(159587)" u="1"/>
        <s v="SOLID PANEL DIE 55 X 100 MM, FOR 327G, '0' DEG ANGLE " u="1"/>
        <s v=" FLAT HEAD L. KEY BOLT 8-32 X 5/8&quot;, McMASTER REF: 91253A196" u="1"/>
        <s v="LFP-D-MIDI (40 MICRON)" u="1"/>
        <s v="METAL SEGMENTS (LOCAL MANF)" u="1"/>
        <s v=" COMPRESSION SPRING" u="1"/>
        <s v=" DILER - 22, CONTACTOR RELAY, 24VAC, 2 NO &amp; 2 NC, 50/60Hz" u="1"/>
        <s v=" EMERY PAPER 220" u="1"/>
        <s v="BALL BEARING 625-2Z (5 X 16 X 5 MM)" u="1"/>
        <s v="PIVOT MOUNTING BRACKET" u="1"/>
        <s v=" 144 40 0000, WINCH TYPE GEAR" u="1"/>
        <s v="THRUST BEARING 51105" u="1"/>
        <s v=" ENGAGING &amp; DISENGAGING PART" u="1"/>
        <s v=" P/N: 1664, CLOSING PLATE " u="1"/>
        <s v="1 INCH NPT M.S UNION" u="1"/>
        <s v="AUTONICS PHOTO SENSOR" u="1"/>
        <s v="ROUND CERAMIC BAR 12 MM DIA X 360 MM LONG" u="1"/>
        <s v=" FILTER, LF-1/4-D-MINI-A, FESTO REF: 159617" u="1"/>
        <s v=" POWER SUPPLY, 230VAC TO 24VDC, 16.5 AMP" u="1"/>
        <s v=" 15 X 10    ENVELOPES ENVELOPES HARD KNIVES FOR MOH " u="1"/>
        <s v="ELCB 63 AMP (INTERRUPTOR DIFERENCIAL)" u="1"/>
        <s v="FUSE 500V (DIA 10 X L 38 MM)" u="1"/>
        <s v="SEGMENT FEED SEGMENT MOW-40232, UNICAST REF: 15-1124T" u="1"/>
        <s v=" POTENTIOMETER, 50K OHM" u="1"/>
        <s v="BALL BEARING NSK - R8D" u="1"/>
        <s v="06B-1 CHAIN LINKS" u="1"/>
        <s v="RUBBER ROLLER UNICAST CONE ROLL 10-1278, MOH-41190" u="1"/>
        <s v="TIMING BELT TIMING BELT (MOW), 420L" u="1"/>
        <s v=" RELAY 24VDC. 5AMP. 14 PIN, PERRY 1RE 04 05 24VDC" u="1"/>
        <s v=" L. KEY, 3 MM (McMASTER REF: 6958A13)" u="1"/>
        <s v=" UNIVERSAL JOINT, 407-3 FLANGE 6 HOLE TATA 30 X 82" u="1"/>
        <s v=" 24VDC, DILER 22G CONTATCOR" u="1"/>
        <s v=" TEMP CONTROLLER FOR PP1812 28, W2-CU3B" u="1"/>
        <s v=" 30 X 95 MM SOLID PANEL DIE FOR 327G, '0' DEG ANGLE " u="1"/>
        <s v=" ILLUMINATED PUSH BUTTON, 419 0486 81186385502" u="1"/>
        <s v=" 35 X 85 MM SOLID PANEL DIE FOR 327G, '0' DEG ANGLE " u="1"/>
        <s v=" 34 X 95 MM SOLID PANEL DIE FOR 327G, '0' DEG ANGLE " u="1"/>
        <s v="PID TEMPERATURE CONTROLLER (LPA INDIA)           7 AMP" u="1"/>
        <s v="ENVELOPE HIGH DIE 14 X 10, (CAPITAL REF:  R-61)" u="1"/>
        <s v=" PERMANENT MARKER" u="1"/>
        <s v="LOW HEAD SOCKET CAP SCREW 8-32 X 3/4&quot;" u="1"/>
        <s v=" EMERGENCY STOP, 22MM" u="1"/>
        <s v=" RUBBER ROLLS, NO 10.022" u="1"/>
        <s v=" VPEV-1/8, VACUUM SWITCH" u="1"/>
        <s v="RUBBER ROLLER OS-3372" u="1"/>
        <s v="ENVELOPE HIGH DIE 115 X 190, (CAPITAL REF:  R-49)" u="1"/>
        <s v="TIMING BELT T5-690, W = 25MM, 138 TEETH, 690MM LENGTH, 5MM PITCH" u="1"/>
        <s v=" P/N: 3507, VITON O-RING, 037" u="1"/>
        <s v=" TESA 4163, GREY TAPE 25MM X 33MTR" u="1"/>
        <s v="ENVELOPE HIGH DIE 114 X 162, (CAPITAL REF:  R-21)" u="1"/>
        <s v=" STEP KEY 3/8X3/16X5/16 INCH, 92271A113 (McMaster)" u="1"/>
        <s v="M.S L. KEY BOLT (McMASTER: 91251A197)" u="1"/>
        <s v="HARD KNIVES BOTTOM KNIFE FOR WINDOW FILM " u="1"/>
        <s v="TIMING BELT McMASTER REF: 6484K124  FOR ENCODER" u="1"/>
        <s v="SCORING ROLLER (UNICAST REF: 10-1043A), FOR 527 GSV SIDE SCORING" u="1"/>
        <s v="QUINCY OIL FILTER 142136" u="1"/>
        <s v=" PLATE SPRING, 58.353.007/-" u="1"/>
        <s v="GLUE STICK" u="1"/>
        <s v="ENVELOPE HIGH DIE 4 3/8 X 5 3/4 (A2 MAC FLAP), (CAPITAL REF:  U-02)" u="1"/>
        <s v=" FLUSHING OIL" u="1"/>
        <s v=" MASKING TAPE 1 INCH" u="1"/>
        <s v=" P/N: 129945, INLET VALVE GASKET" u="1"/>
        <s v="CHAIN # 41-1" u="1"/>
        <s v=" MASKING TAPE 2 INCH" u="1"/>
        <s v="6 X 6 (OSSS)" u="1"/>
        <s v="TEE HANDLE L. KEY" u="1"/>
        <s v="GEAR (04.017.029/)" u="1"/>
        <s v="3-1/8&quot; X 5-1/2 (COIN)" u="1"/>
        <s v=" 8-32&quot;, HEX NUT" u="1"/>
        <s v="COMPRESSION SPRING" u="1"/>
        <s v="ENVELOPE HIGH DIE 115 X 227, (CAPITAL REF:  R-18)" u="1"/>
        <s v="3 5/8 X 5 1/8 (4 BAR)" u="1"/>
        <s v="BALL BEARING R3-2Z" u="1"/>
        <s v=" SLEEVE, V27.05.020.0" u="1"/>
        <s v="ENVELOPE HIGH DIE 75 X 110, (CAPITAL REF:  R-37)" u="1"/>
        <s v=" 745XX113, O-RING" u="1"/>
        <s v="SEGMENT SEGMENT SHIM (BITE), PART-MOW-30864" u="1"/>
        <s v="BALL BEARING R4-2Z" u="1"/>
        <s v=" CHAIN # 08B-1" u="1"/>
        <s v="SOLID PANEL DIE 30 X 100 MM, FOR 327G, '0' DEG ANGLE " u="1"/>
        <s v="McMASTER REF: 5824T72, RULON SHEET 1/4&quot; X 6&quot; X 6&quot;" u="1"/>
        <s v="SOLID PANEL DIE 35 X 100 MM, FOR 327G, '0' DEG ANGLE " u="1"/>
        <s v="OVER LOAD CUT OUT (MOTOR PROTECTIVE SWITCH) 0--4A" u="1"/>
        <s v="SOLID PANEL DIE 38 X 100 MM, FOR 327G, '0' DEG ANGLE " u="1"/>
        <s v=" FEED ROLL, UNICAST REF: 15-1070SYS" u="1"/>
        <s v="BALL BEARING R6-2Z" u="1"/>
        <s v=" 220V, BULB" u="1"/>
        <s v="BALL BEARING 6008-2Z" u="1"/>
        <s v=" PLAIN WASHER D=5.3, D 0.270.008" u="1"/>
        <s v=" CLIPS FOR 1 GREASE PIPE LINE" u="1"/>
        <s v="STEEL ROLLER" u="1"/>
        <s v="McMASTER REF: 6063K19, SHAFT COLLAR 20 MM BORE" u="1"/>
        <s v="AIR GUN" u="1"/>
        <s v=" P/N: 126645, INLET VALVE COVER PLATE" u="1"/>
        <s v=" 745XX340, RING" u="1"/>
        <s v=" STEEL SCALE" u="1"/>
        <s v="FLEXIBLE PROFILE KNIFE 162 X 240 MM FOR 38R, '0' DEG ANGLE BEST REF: C-9578, FOR JORDAN TEL" u="1"/>
        <s v="COVER PLATE" u="1"/>
        <s v="VARIABLE SPEED BELT, 1422V330 GATES" u="1"/>
        <s v="FLEXIBLE CUT OFF KNIFE 108 X 235 MM FOR 38R, '1' DEG LEFT ANGLE " u="1"/>
        <s v="BALL BEARING 6208-2Z" u="1"/>
        <s v=" NOZZLE FOR VACUUM CYLINDER" u="1"/>
        <s v=" VEHICLE LOG BOOK" u="1"/>
        <s v="P/N: 376P, PRE-FILTER FOR SOLBERG 377P" u="1"/>
        <s v=" SPROCEKT 08B-1-16" u="1"/>
        <s v="STRAIGHT BIT FOR SCREW" u="1"/>
        <s v="SOLID PANEL DIE 35 X 110 MM, FOR 327G, '0' DEG ANGLE " u="1"/>
        <s v="BALL BEARING 6308-2Z" u="1"/>
        <s v="HIGH TEMP SYNTHETIC GREASE" u="1"/>
        <s v="V-BELT B-39(B1040Ld/17X1000Li)" u="1"/>
        <s v=" PULLING SPRING" u="1"/>
        <s v=" POTENTIOMETER, 33K OHM" u="1"/>
        <s v=" NORDSON SHIM 0.005&quot; THICK FOR GLUE NOZZLE (125MM NOTCH CUT)" u="1"/>
        <s v="BELT ADHESIVE" u="1"/>
        <s v="YELLOW TAPE 50MM X 33MTR" u="1"/>
        <s v=" TEE HANDLE L. KEY, 2.5 MM (McMASTER REF: 5629A72)" u="1"/>
        <s v=" 19 X 73 MM SOLID PANEL DIE FOR 327G, '0' DEG ANGLE " u="1"/>
        <s v="GUM SEGMENT FLAP GLUE SEGMENT" u="1"/>
        <s v=" CROSS 22 X 55 MM" u="1"/>
        <s v=" FUSE, PRATIKA 56" u="1"/>
        <s v="MILLER ADAPTER CONTACTOR" u="1"/>
        <s v=" 19 X 83 MM SOLID PANEL DIE FOR 327G, '0' DEG ANGLE " u="1"/>
        <s v=" 20 X 95 MM SOLID PANEL DIE FOR 327G, '0' DEG ANGLE " u="1"/>
        <s v=" 299XX478, PNEUMATIC FITTING" u="1"/>
        <s v="112.5MM STRAIGHT GUMMER 38--527" u="1"/>
        <s v=" CAM" u="1"/>
        <s v="SELF ALIGNING BEARING 2207-C3 (35 X 72 X 23 MM)" u="1"/>
        <s v="HARD KNIFE BOTTOM P&amp;S KNIFE FOR CHEETAH " u="1"/>
        <s v="ENVELOPE HIGH DIE 14 X 10, (CAPITAL REF:  R-43)" u="1"/>
        <s v="ENVELOPE HIGH DIE 162 X 229, (CAPITAL REF:  R-27)" u="1"/>
        <s v="4 1/8 X 5 1/2 (OSDS 5 BAR)" u="1"/>
        <s v=" GEAR (04.017.029/), 131135369/0010 " u="1"/>
        <s v=" P/N: 4063, 400F OVER-TEMPRATURE SENSOR" u="1"/>
        <s v=" HALF ROUND KNIFE" u="1"/>
        <s v=" SCORING ROLL WITH GROOVE, UNICAST REF: 10-2600A" u="1"/>
        <s v=" P/N: 3059, ADAPTER" u="1"/>
        <s v="SIDE SCORER ROLLER" u="1"/>
        <s v="FLEXIBLE PROFILE KNIFE 4.125&quot; X 9.5&quot; (1.375&quot; V-FLAP) FOR 38R, '0' DEG ANGLE BEST REF: FA-403651" u="1"/>
        <s v="NEEDLE BEARING FC-20" u="1"/>
        <s v="SERVICE KIT-FLUID SECTION 637429-AA" u="1"/>
        <s v="BALL BEARING 61903-2RS" u="1"/>
        <s v=" REFLECTION-LIGHT SCANNER, K4.721.40.04 (REPLACEMENT OF K4.717.95)" u="1"/>
        <s v=" PNEUMATIC PUMP (GRACO HUSKY 307), PART NO D32955 (SMALL SIZE)" u="1"/>
        <s v=" PU COATED RUBBER ROLLER, FOR RELEASE LINER" u="1"/>
        <s v="SCORE ROLL LO/MO # 13 SYSTEM" u="1"/>
        <s v=" WASHER" u="1"/>
        <s v=" GUIDE PLATE (12604/13) (MV 60.126.0) (V 65.50.799.0)" u="1"/>
        <s v="FLAT HEAD SCREW" u="1"/>
        <s v="CERAMIC BAR FOR WINDOW" u="1"/>
      </sharedItems>
    </cacheField>
    <cacheField name="Old Part Number" numFmtId="0">
      <sharedItems containsBlank="1" count="2298">
        <s v="A-1-1"/>
        <s v="A-1-2"/>
        <s v="A-1-3"/>
        <s v="A-1-4"/>
        <s v="A-1-5"/>
        <s v="A-1-6"/>
        <s v="A-1-7"/>
        <s v="A-1-8"/>
        <s v="A-1-9"/>
        <s v="A-1-10"/>
        <s v="A-1-11"/>
        <s v="A-1-12"/>
        <s v="A-1-13"/>
        <s v="A-1-14"/>
        <s v="A-1-15"/>
        <s v="A-1-16"/>
        <s v="A-1-17"/>
        <s v="A-1-18"/>
        <s v="A-1-19"/>
        <s v="A-1-20"/>
        <s v="A-1-21"/>
        <s v="A-1-22"/>
        <s v="A-1-23"/>
        <s v="A-1-24"/>
        <s v="A-1-25"/>
        <s v="A-1-26"/>
        <s v="A-1-28"/>
        <s v="A-1-29"/>
        <s v="A-1-30"/>
        <s v="A-1-31"/>
        <s v="A-1-32"/>
        <s v="A-1-33"/>
        <s v="A-1-34"/>
        <s v="A-1-35"/>
        <s v="A-1-37"/>
        <s v="A-1-38"/>
        <s v="A-1-39"/>
        <s v="A-1-40"/>
        <s v="A-2-1"/>
        <s v="A-2-2"/>
        <s v="A-2-3"/>
        <s v="A-2-4"/>
        <s v="A-2-5"/>
        <s v="A-2-6"/>
        <s v="A-2-7"/>
        <s v="A-2-8"/>
        <s v="A-2-9"/>
        <s v="A-2-10"/>
        <s v="A-2-11"/>
        <s v="A-2-12"/>
        <s v="A-2-13"/>
        <s v="A-2-14"/>
        <s v="A-2-15"/>
        <s v="A-2-16"/>
        <s v="A-2-17"/>
        <s v="A-2-18"/>
        <s v="A-2-19"/>
        <s v="A-2-20"/>
        <s v="A-2-21"/>
        <s v="A-2-22"/>
        <s v="A-2-23"/>
        <s v="A-2-24"/>
        <s v="A-2-25"/>
        <s v="A-2-26"/>
        <s v="A-2-28"/>
        <s v="A-2-29"/>
        <s v="A-2-30"/>
        <s v="A-2-31"/>
        <s v="A-2-32"/>
        <s v="A-3-1"/>
        <s v="A-3-2"/>
        <s v="A-3-3"/>
        <s v="A-3-4"/>
        <s v="A-3-5"/>
        <s v="A-3-6"/>
        <s v="A-3-7"/>
        <s v="A-3-8"/>
        <s v="A-3-9"/>
        <s v="A-3-10"/>
        <s v="A-3-11"/>
        <s v="A-3-12"/>
        <s v="A-3-13"/>
        <s v="A-3-14"/>
        <s v="A-3-15"/>
        <s v="A-3-16"/>
        <s v="A-3-17"/>
        <s v="A-3-18"/>
        <s v="A-3-19"/>
        <s v="A-3-20"/>
        <s v="A-3-21"/>
        <s v="A-3-22"/>
        <s v="A-3-23"/>
        <s v="A-3-24"/>
        <s v="A-3-25"/>
        <s v="A-3-26"/>
        <s v="A-3-27"/>
        <s v="A-3-28"/>
        <s v="A-3-29"/>
        <s v="A-3-30"/>
        <s v="A-3-31"/>
        <s v="A-3-32"/>
        <s v="A-3-33"/>
        <s v="A-3-34"/>
        <s v="A-3-35"/>
        <s v="A-3-36"/>
        <s v="A-3-37"/>
        <s v="A-3-38"/>
        <s v="A-3-39"/>
        <s v="A-3-40"/>
        <s v="A-3-41"/>
        <s v="A-3-42"/>
        <s v="A-3-44"/>
        <s v="A-3-45"/>
        <s v="A-3-46"/>
        <s v="A-3-47"/>
        <s v="A-4-1"/>
        <s v="A-4-2"/>
        <s v="A-4-3"/>
        <s v="A-4-4"/>
        <s v="A-4-5"/>
        <s v="A-4-6"/>
        <s v="A-4-7"/>
        <s v="A-4-8"/>
        <s v="A-4-9"/>
        <s v="A-4-10"/>
        <s v="A-4-11"/>
        <s v="A-4-12"/>
        <s v="A-4-13"/>
        <s v="A-4-14"/>
        <s v="A-4-15"/>
        <s v="A-4-16"/>
        <s v="A-4-17"/>
        <s v="A-4-18"/>
        <s v="A-4-19"/>
        <s v="A-4-20"/>
        <s v="A-4-21"/>
        <s v="A-4-22"/>
        <s v="A-4-23"/>
        <s v="A-4-24"/>
        <s v="A-4-25"/>
        <s v="A-4-26"/>
        <s v="A-4-27"/>
        <s v="A-4-28"/>
        <s v="A-4-29"/>
        <s v="A-4-30"/>
        <s v="A-4-31"/>
        <s v="A-4-32"/>
        <s v="A-4-34"/>
        <s v="A-4-35"/>
        <s v="A-4-36"/>
        <s v="A-4-37"/>
        <s v="A-4-38"/>
        <s v="A-4-39"/>
        <s v="A-4-40"/>
        <s v="A-4-41"/>
        <s v="A-4-42"/>
        <s v="A-5-1"/>
        <s v="A-5-2"/>
        <s v="A-5-3"/>
        <s v="A-5-4"/>
        <s v="A-5-5"/>
        <s v="A-5-6"/>
        <s v="A-5-7"/>
        <s v="A-5-8"/>
        <s v="A-5-9"/>
        <s v="A-5-10"/>
        <s v="A-5-11"/>
        <s v="A-5-12"/>
        <s v="A-5-13"/>
        <s v="A-5-14"/>
        <s v="A-5-15"/>
        <s v="A-5-18"/>
        <s v="A-5-19"/>
        <s v="A-5-21"/>
        <s v="A-5-22"/>
        <s v="A-5-23"/>
        <s v="A-5-24"/>
        <s v="A-5-25"/>
        <s v="A-5-26"/>
        <s v="A-5-27"/>
        <s v="A-5-28"/>
        <s v="A-5-30"/>
        <s v="A-5-32"/>
        <s v="A-5-33"/>
        <s v="A-5-34"/>
        <s v="A-5-35"/>
        <s v="A-5-36"/>
        <s v="A-5-37"/>
        <s v="A-5-38"/>
        <s v="A-5-39"/>
        <s v="A-5-42"/>
        <s v="A-5-45"/>
        <s v="A-5-48"/>
        <s v="A-5-50"/>
        <s v="A-5-51"/>
        <s v="A-5-52"/>
        <s v="A-5-53"/>
        <s v="A-5-54"/>
        <s v="A-5-55"/>
        <s v="B-1-1"/>
        <s v="B-1-2"/>
        <s v="B-1-3"/>
        <s v="B-1-4"/>
        <s v="B-1-5"/>
        <s v="B-1-6"/>
        <s v="B-1-7"/>
        <s v="B-1-8"/>
        <s v="B-1-9"/>
        <s v="B-1-10"/>
        <s v="B-1-11"/>
        <s v="B-1-12"/>
        <s v="B-1-13"/>
        <s v="B-1-14"/>
        <s v="B-1-15"/>
        <s v="B-1-16"/>
        <s v="B-1-17"/>
        <s v="B-1-18"/>
        <s v="B-1-19"/>
        <s v="B-1-20"/>
        <s v="B-1-21"/>
        <s v="B-1-22"/>
        <s v="B-1-23"/>
        <s v="B-1-24"/>
        <s v="B-1-25"/>
        <s v="B-1-26"/>
        <s v="B-2-1"/>
        <s v="B-2-2"/>
        <s v="B-2-3"/>
        <s v="B-2-4"/>
        <s v="B-2-5"/>
        <s v="B-2-6"/>
        <s v="B-2-7"/>
        <s v="B-2-8"/>
        <s v="B-2-9"/>
        <s v="B-2-10"/>
        <s v="B-2-11"/>
        <s v="B-2-12"/>
        <s v="B-2-13"/>
        <s v="B-2-14"/>
        <s v="B-2-15"/>
        <s v="B-2-16"/>
        <s v="B-2-17"/>
        <s v="B-2-18"/>
        <s v="B-2-19"/>
        <s v="B-2-20"/>
        <s v="B-2-21"/>
        <s v="B-2-22"/>
        <s v="B-2-23"/>
        <s v="B-2-24"/>
        <s v="B-2-25"/>
        <s v="B-3-1"/>
        <s v="B-3-2"/>
        <s v="B-3-3"/>
        <s v="B-3-4"/>
        <s v="B-3-5"/>
        <s v="B-3-6"/>
        <s v="B-3-7"/>
        <s v="B-3-8"/>
        <s v="B-3-9"/>
        <s v="B-3-10"/>
        <s v="B-3-11"/>
        <s v="B-3-12"/>
        <s v="B-3-13"/>
        <s v="B-3-14"/>
        <s v="B-3-15"/>
        <s v="B-3-16"/>
        <s v="B-3-17"/>
        <s v="B-3-18"/>
        <s v="B-3-21"/>
        <s v="B-3-22"/>
        <s v="B-3-23"/>
        <s v="B-3-24"/>
        <s v="B-3-25"/>
        <s v="B-3-26"/>
        <s v="B-3-27"/>
        <s v="B-3-28"/>
        <s v="B-3-29"/>
        <s v="B-3-30"/>
        <s v="B-4-1"/>
        <s v="B-4-2"/>
        <s v="B-4-3"/>
        <s v="B-4-4"/>
        <s v="B-4-6"/>
        <s v="B-4-7"/>
        <s v="B-4-8"/>
        <s v="B-4-9"/>
        <s v="B-4-10"/>
        <s v="B-4-11"/>
        <s v="B-4-12"/>
        <s v="B-4-13"/>
        <s v="B-4-14"/>
        <s v="B-4-15"/>
        <s v="B-4-16"/>
        <s v="B-4-19"/>
        <s v="B-4-22"/>
        <s v="B-5-1"/>
        <s v="B-5-2"/>
        <s v="B-5-3"/>
        <s v="B-5-4"/>
        <s v="B-5-5"/>
        <s v="B-5-6"/>
        <s v="B-5-7"/>
        <s v="B-5-8"/>
        <s v="B-5-24"/>
        <s v="C-1-1"/>
        <s v="C-1-2"/>
        <s v="C-1-3"/>
        <s v="C-1-4"/>
        <s v="C-1-5"/>
        <s v="C-1-6"/>
        <s v="C-1-7"/>
        <s v="C-1-8"/>
        <s v="C-1-9"/>
        <s v="C-1-10"/>
        <s v="C-1-11"/>
        <s v="C-1-12"/>
        <s v="C-1-14"/>
        <s v="C-1-15"/>
        <s v="C-1-16"/>
        <s v="C-1-17"/>
        <s v="C-1-19"/>
        <s v="C-1-20"/>
        <s v="C-1-21"/>
        <s v="C-1-22"/>
        <s v="C-1-23"/>
        <s v="C-1-24"/>
        <s v="C-1-25"/>
        <s v="C-1-27"/>
        <s v="C-1-28"/>
        <s v="C-1-29"/>
        <s v="C-1-30"/>
        <s v="C-1-31"/>
        <s v="C-1-32"/>
        <s v="C-1-33"/>
        <s v="C-1-34"/>
        <s v="C-1-36"/>
        <s v="C-1-37"/>
        <s v="C-1-38"/>
        <s v="C-1-39"/>
        <s v="C-1-42"/>
        <s v="C-1-43"/>
        <s v="C-1-44"/>
        <s v="C-1-45"/>
        <s v="C-1-46"/>
        <s v="C-1-51"/>
        <s v="C-1-52"/>
        <s v="C-1-55"/>
        <s v="C-1-56"/>
        <s v="C-1-57"/>
        <s v="C-1-60"/>
        <s v="C-1-61"/>
        <s v="C-1-62"/>
        <s v="C-1-63"/>
        <s v="C-1-64"/>
        <s v="C-1-65"/>
        <s v="C-1-66"/>
        <s v="C-1-67"/>
        <s v="C-2-1"/>
        <s v="C-2-2"/>
        <s v="C-2-3"/>
        <s v="C-2-4"/>
        <s v="C-2-5"/>
        <s v="C-2-6"/>
        <s v="C-2-7"/>
        <s v="C-2-8"/>
        <s v="C-2-9"/>
        <s v="C-2-10"/>
        <s v="C-2-11"/>
        <s v="C-2-12"/>
        <s v="C-2-13"/>
        <s v="C-2-14"/>
        <s v="C-2-16"/>
        <s v="C-2-17"/>
        <s v="C-2-18"/>
        <s v="C-2-19"/>
        <s v="C-2-22"/>
        <s v="C-2-23"/>
        <s v="C-2-24"/>
        <s v="C-2-25"/>
        <s v="C-2-26"/>
        <s v="C-2-30"/>
        <s v="C-2-31"/>
        <s v="C-2-32"/>
        <s v="C-2-33"/>
        <s v="C-2-34"/>
        <s v="C-2-35"/>
        <s v="C-2-36"/>
        <s v="C-2-37"/>
        <s v="C-2-39"/>
        <s v="C-2-40"/>
        <s v="C-2-41"/>
        <s v="C-2-42"/>
        <s v="C-2-43"/>
        <s v="C-2-44"/>
        <s v="C-2-45"/>
        <s v="C-2-46"/>
        <s v="C-2-47"/>
        <s v="C-2-48"/>
        <s v="C-2-49"/>
        <s v="C-2-50"/>
        <s v="C-2-51"/>
        <s v="C-3-2"/>
        <s v="C-3-3"/>
        <s v="C-3-4"/>
        <s v="C-3-5"/>
        <s v="C-3-6"/>
        <s v="C-3-7"/>
        <s v="C-3-8"/>
        <s v="C-3-9"/>
        <s v="C-3-10"/>
        <s v="C-3-11"/>
        <s v="C-3-12"/>
        <s v="C-3-15"/>
        <s v="C-3-17"/>
        <s v="C-3-18"/>
        <s v="C-3-19"/>
        <s v="C-3-20"/>
        <s v="C-3-21"/>
        <s v="C-3-27"/>
        <s v="C-3-28"/>
        <s v="C-3-29"/>
        <s v="C-3-30"/>
        <s v="C-3-31"/>
        <s v="C-3-32"/>
        <s v="C-3-33"/>
        <s v="C-3-36"/>
        <s v="C-3-38"/>
        <s v="C-3-39"/>
        <s v="C-3-40"/>
        <s v="C-3-41"/>
        <s v="C-3-42"/>
        <s v="C-3-43"/>
        <s v="C-3-44"/>
        <s v="C-3-45"/>
        <s v="C-3-46"/>
        <s v="C-3-49"/>
        <s v="C-3-51"/>
        <s v="C-3-52"/>
        <s v="C-3-54"/>
        <s v="C-3-56"/>
        <s v="C-3-58"/>
        <s v="C-3-59"/>
        <s v="C-3-60"/>
        <s v="C-3-61"/>
        <s v="C-3-62"/>
        <s v="C-3-63"/>
        <s v="C-3-64"/>
        <s v="C-3-65"/>
        <s v="C-3-66"/>
        <s v="C-4-1"/>
        <s v="C-4-2"/>
        <s v="C-4-3"/>
        <s v="C-4-4"/>
        <s v="C-4-5"/>
        <s v="C-4-6"/>
        <s v="C-4-7"/>
        <s v="C-4-8"/>
        <s v="C-4-9"/>
        <s v="C-4-11"/>
        <s v="C-4-12"/>
        <s v="C-4-13"/>
        <s v="C-4-14"/>
        <s v="C-4-15"/>
        <s v="C-4-16"/>
        <s v="C-4-17"/>
        <s v="C-4-18"/>
        <s v="C-4-19"/>
        <s v="C-4-20"/>
        <s v="C-4-21"/>
        <s v="C-4-22"/>
        <s v="C-4-23"/>
        <s v="C-4-24"/>
        <s v="C-4-25"/>
        <s v="C-4-26"/>
        <s v="C-4-27"/>
        <s v="C-4-28"/>
        <s v="C-4-29"/>
        <s v="C-4-30"/>
        <s v="C-4-31"/>
        <s v="C-4-32"/>
        <s v="C-4-33"/>
        <s v="C-4-36"/>
        <s v="C-4-37"/>
        <s v="C-4-38"/>
        <s v="C-4-39"/>
        <s v="D-1-1"/>
        <s v="D-1-3"/>
        <s v="D-1-4"/>
        <s v="D-1-5"/>
        <s v="D-1-8"/>
        <s v="D-1-9"/>
        <s v="D-1-10"/>
        <s v="D-1-11"/>
        <s v="D-1-12"/>
        <s v="D-1-13"/>
        <s v="D-1-14"/>
        <s v="D-2-15"/>
        <s v="D-2-16"/>
        <s v="D-2-17"/>
        <s v="D-1-18"/>
        <s v="D-2-19"/>
        <s v="D-2-20"/>
        <s v="D-2-21"/>
        <s v="D-2-22"/>
        <s v="D-2-23"/>
        <s v="D-2-24"/>
        <s v="D-2-25"/>
        <s v="D-2-26"/>
        <s v="D-2-27"/>
        <s v="D-2-28"/>
        <s v="D-2-29"/>
        <s v="D-2-30"/>
        <s v="D-2-31"/>
        <s v="D-2-32"/>
        <s v="D-3-2"/>
        <s v="D-3-3"/>
        <s v="D-3-4"/>
        <s v="D-3-5"/>
        <s v="D-3-6"/>
        <s v="D-3-7"/>
        <s v="D-3-8"/>
        <s v="D-3-9"/>
        <s v="D-3-10"/>
        <s v="D-3-11"/>
        <s v="D-3-13"/>
        <s v="D-3-14"/>
        <s v="D-3-16"/>
        <s v="D-3-17"/>
        <s v="D-3-18"/>
        <s v="D-3-19"/>
        <s v="D-3-20"/>
        <s v="D-3-21"/>
        <s v="D-4-2"/>
        <s v="D-4-5"/>
        <s v="D-4-6"/>
        <s v="D-4-8"/>
        <s v="D-4-9"/>
        <s v="D-4-10"/>
        <s v="D-4-20"/>
        <s v="D-5-2"/>
        <s v="D-5-3"/>
        <s v="D-5-4"/>
        <s v="E-1-1"/>
        <s v="E-1-2"/>
        <s v="E-1-3"/>
        <s v="E-1-5"/>
        <s v="E-1-6"/>
        <s v="E-1-9"/>
        <s v="E-1-11"/>
        <s v="E-1-15"/>
        <s v="E-1-16"/>
        <s v="E-1-17"/>
        <s v="E-1-18"/>
        <s v="E-1-19"/>
        <s v="E-1-20"/>
        <s v="E-1-21"/>
        <s v="E-1-22"/>
        <s v="E-1-23"/>
        <s v="E-1-24"/>
        <s v="E-1-25"/>
        <s v="E-1-30"/>
        <s v="E-2-3"/>
        <s v="E-2-4"/>
        <s v="E-2-5"/>
        <s v="E-2-6"/>
        <s v="E-2-9"/>
        <s v="E-2-12"/>
        <s v="E-2-13"/>
        <s v="E-2-14"/>
        <s v="E-2-15"/>
        <s v="E-2-16"/>
        <s v="E-2-17"/>
        <s v="E-2-18"/>
        <s v="E-2-19"/>
        <s v="E-2-20"/>
        <s v="E-2-22"/>
        <s v="E-2-24"/>
        <s v="E-2-25"/>
        <s v="E-2-26"/>
        <s v="E-2-27"/>
        <s v="E-2-28"/>
        <s v="E-2-29"/>
        <s v="E-2-30"/>
        <s v="E-2-31"/>
        <s v="E-2-32"/>
        <s v="E-2-33"/>
        <s v="E-2-34"/>
        <s v="E-2-35"/>
        <s v="E-2-36"/>
        <s v="E-3-1"/>
        <s v="E-3-3"/>
        <s v="E-3-4"/>
        <s v="E-3-5"/>
        <s v="E-3-6"/>
        <s v="E-3-7"/>
        <s v="E-3-8"/>
        <s v="E-3-9"/>
        <s v="E-3-10"/>
        <s v="E-3-11"/>
        <s v="E-3-12"/>
        <s v="E-3-13"/>
        <s v="E-3-27"/>
        <s v="E-3-28"/>
        <s v="E-3-29"/>
        <s v="E-3-30"/>
        <s v="E-3-31"/>
        <s v="E-3-32"/>
        <s v="E-3-33"/>
        <s v="E-3-36"/>
        <s v="E-3-37"/>
        <s v="E-3-41"/>
        <s v="E-3-42"/>
        <s v="E-3-43"/>
        <s v="E-3-45"/>
        <s v="E-4-4"/>
        <s v="E-4-8"/>
        <s v="E-4-9"/>
        <s v="E-4-10"/>
        <s v="E-4-11"/>
        <s v="E-4-13"/>
        <s v="E-4-15"/>
        <s v="E-4-20"/>
        <s v="E-5-1"/>
        <s v="E-5-4"/>
        <s v="E-5-5"/>
        <s v="E-5-6"/>
        <s v="E-5-7"/>
        <s v="E-6-1"/>
        <s v="E-6-2"/>
        <s v="E-6-3"/>
        <s v="E-6-4"/>
        <s v="E-6-5"/>
        <s v="E-6-6"/>
        <s v="F-1-1"/>
        <s v="F-1-2"/>
        <s v="F-1-3"/>
        <s v="F-1-4"/>
        <s v="F-1-5"/>
        <s v="F-1-7"/>
        <s v="F-1-8"/>
        <s v="F-1-9"/>
        <s v="F-1-10"/>
        <s v="F-1-11"/>
        <s v="F-1-12"/>
        <s v="F-1-13"/>
        <s v="F-1-14"/>
        <s v="F-1-15"/>
        <s v="F-1-16"/>
        <s v="F-1-17"/>
        <s v="F-1-18"/>
        <s v="F-1-19"/>
        <s v="F-1-20"/>
        <s v="F-1-21"/>
        <s v="F-1-22"/>
        <s v="F-1-23"/>
        <s v="F-1-24"/>
        <s v="F-1-25"/>
        <s v="F-1-26"/>
        <s v="F-1-27"/>
        <s v="F-1-28"/>
        <s v="F-1-29"/>
        <s v="F-1-30"/>
        <s v="F-1-31"/>
        <s v="F-1-32"/>
        <s v="F-1-34"/>
        <s v="F-1-35"/>
        <s v="F-1-36"/>
        <s v="F-1-37"/>
        <s v="F-1-38"/>
        <s v="F-2-1"/>
        <s v="F-2-2"/>
        <s v="F-2-3"/>
        <s v="F-2-4"/>
        <s v="F-2-5"/>
        <s v="F-2-6"/>
        <s v="F-2-7"/>
        <s v="F-2-8"/>
        <s v="F-2-9"/>
        <s v="F-2-10"/>
        <s v="F-2-11"/>
        <s v="F-2-12"/>
        <s v="F-2-14"/>
        <s v="F-2-15"/>
        <s v="F-2-18"/>
        <s v="F-2-19"/>
        <s v="F-2-20"/>
        <s v="F-2-21"/>
        <s v="F-2-22"/>
        <s v="F-2-24"/>
        <s v="F-2-26"/>
        <s v="F-3-1"/>
        <s v="F-3-2"/>
        <s v="F-3-3"/>
        <s v="F-3-4"/>
        <s v="F-3-5"/>
        <s v="F-3-6"/>
        <s v="F-3-7"/>
        <s v="F-3-8"/>
        <s v="F-3-9"/>
        <s v="F-3-10"/>
        <s v="F-3-11"/>
        <s v="F-3-12"/>
        <s v="F-3-13"/>
        <s v="F-3-14"/>
        <s v="F-3-15"/>
        <s v="F-3-16"/>
        <s v="F-3-17"/>
        <s v="F-3-18"/>
        <s v="F-3-19"/>
        <s v="F-3-20"/>
        <s v="F-3-21"/>
        <s v="F-3-22"/>
        <s v="F-4-1"/>
        <s v="F-4-2"/>
        <s v="F-4-3"/>
        <s v="F-4-4"/>
        <s v="F-4-5"/>
        <s v="F-4-6"/>
        <s v="F-4-7"/>
        <s v="F-4-8"/>
        <s v="F-4-9"/>
        <s v="F-4-10"/>
        <s v="F-4-11"/>
        <s v="F-4-12"/>
        <s v="F-4-13"/>
        <s v="F-4-14"/>
        <s v="F-4-15"/>
        <s v="F-4-16"/>
        <s v="F-4-17"/>
        <s v="F-4-18"/>
        <s v="F-4-19"/>
        <s v="F-4-20"/>
        <s v="F-4-21"/>
        <s v="F-4-22"/>
        <s v="F-4-23"/>
        <s v="F-4-24"/>
        <s v="F-4-25"/>
        <s v="F-4-26"/>
        <s v="F-4-27"/>
        <s v="F-4-28"/>
        <s v="F-4-29"/>
        <s v="F-4-30"/>
        <s v="F-4-31"/>
        <s v="F-4-32"/>
        <s v="F-4-33"/>
        <s v="F-4-34"/>
        <s v="F-4-35"/>
        <s v="F-4-36"/>
        <s v="F-4-37"/>
        <s v="F-4-38"/>
        <s v="F-4-39"/>
        <s v="F-4-40"/>
        <s v="F-4-41"/>
        <s v="F-4-42"/>
        <s v="F-4-43"/>
        <s v="F-4-44"/>
        <s v="F-4-45"/>
        <s v="F-4-46"/>
        <s v="G-1-3"/>
        <s v="G-2-1"/>
        <s v="G-2-2"/>
        <s v="G-3-1"/>
        <s v="G-3-2"/>
        <s v="G-3-4"/>
        <s v="G-3-5"/>
        <s v="G-3-6"/>
        <s v="G-3-7"/>
        <s v="G-3-8"/>
        <s v="G-3-9"/>
        <s v="G-3-10"/>
        <s v="G-3-11"/>
        <s v="G-3-12"/>
        <s v="G-3-13"/>
        <s v="G-3-14"/>
        <s v="G-3-15"/>
        <s v="G-3-16"/>
        <s v="G-3-17"/>
        <s v="G-3-18"/>
        <s v="G-3-19"/>
        <s v="G-3-20"/>
        <s v="G-3-21"/>
        <s v="G-3-22"/>
        <s v="G-3-23"/>
        <s v="G-3-24"/>
        <s v="G-3-25"/>
        <s v="G-3-26"/>
        <s v="G-3-27"/>
        <s v="G-4-1"/>
        <s v="G-4-2"/>
        <s v="G-4-3"/>
        <s v="G-4-4"/>
        <s v="G-4-5"/>
        <s v="G-4-6"/>
        <s v="G-4-7"/>
        <s v="G-4-8"/>
        <s v="G-4-9"/>
        <s v="G-4-10"/>
        <s v="G-4-11"/>
        <s v="G-4-12"/>
        <s v="G-4-13"/>
        <s v="G-4-14"/>
        <s v="G-4-15"/>
        <s v="G-4-16"/>
        <s v="G-4-17"/>
        <s v="G-4-18"/>
        <s v="G-4-19"/>
        <s v="G-4-20"/>
        <s v="G-4-21"/>
        <s v="G-4-22"/>
        <s v="G-4-23"/>
        <s v="G-4-24"/>
        <s v="G-4-25"/>
        <s v="G-4-26"/>
        <s v="G-4-27"/>
        <s v="G-4-28"/>
        <s v="G-4-29"/>
        <s v="G-5-1"/>
        <s v="G-5-2"/>
        <s v="G-5-3"/>
        <s v="G-5-4"/>
        <s v="G-5-5"/>
        <s v="G-5-6"/>
        <s v="G-5-7"/>
        <s v="G-5-8"/>
        <s v="G-5-9"/>
        <s v="H-1-1"/>
        <s v="H-1-2"/>
        <s v="H-1-3"/>
        <s v="H-1-4"/>
        <s v="H-1-5"/>
        <s v="H-1-6"/>
        <s v="H-1-7"/>
        <s v="H-1-8"/>
        <s v="H-1-9"/>
        <s v="H-1-10"/>
        <s v="H-1-11"/>
        <s v="H-1-12"/>
        <s v="H-1-13"/>
        <s v="H-1-14"/>
        <s v="H-1-15"/>
        <s v="H-1-17"/>
        <s v="H-1-19"/>
        <s v="H-1-20"/>
        <s v="H-1-23"/>
        <s v="H-1-25"/>
        <s v="H-1-26"/>
        <s v="H-1-27"/>
        <s v="H-1-29"/>
        <s v="H-1-30"/>
        <s v="H-2-1"/>
        <s v="H-2-2"/>
        <s v="H-2-3"/>
        <s v="H-2-4"/>
        <s v="H-2-5"/>
        <s v="H-2-6"/>
        <s v="H-2-7"/>
        <s v="H-2-8"/>
        <s v="H-2-9"/>
        <s v="H-2-10"/>
        <s v="H-2-11"/>
        <s v="H-2-12"/>
        <s v="H-2-13"/>
        <s v="H-2-14"/>
        <s v="H-2-18"/>
        <s v="H-2-20"/>
        <s v="H-3-1"/>
        <s v="H-3-2"/>
        <s v="H-3-3"/>
        <s v="H-3-4"/>
        <s v="H-3-5"/>
        <s v="H-3-6"/>
        <s v="H-3-8"/>
        <s v="H-3-9"/>
        <s v="H-3-10"/>
        <s v="H-3-11"/>
        <s v="H-3-12"/>
        <s v="H-3-13"/>
        <s v="H-3-14"/>
        <s v="H-3-15"/>
        <s v="H-3-16"/>
        <s v="H-3-17"/>
        <s v="H-3-18"/>
        <s v="H-3-19"/>
        <s v="H-3-20"/>
        <s v="H-3-21"/>
        <s v="H-3-22"/>
        <s v="H-3-23"/>
        <s v="H-3-24"/>
        <s v="H-4-1"/>
        <s v="H-4-2"/>
        <s v="H-4-3"/>
        <s v="H-4-4"/>
        <s v="H-4-5"/>
        <s v="H-4-6"/>
        <s v="H-4-7"/>
        <s v="H-4-8"/>
        <s v="H-4-9"/>
        <s v="H-4-10"/>
        <s v="H-4-11"/>
        <s v="H-4-12"/>
        <s v="H-4-13"/>
        <s v="H-4-14"/>
        <s v="H-4-15"/>
        <s v="H-4-16"/>
        <s v="H-4-17"/>
        <s v="H-4-18"/>
        <s v="H-4-19"/>
        <s v="H-4-20"/>
        <s v="H-4-21"/>
        <s v="H-4-22"/>
        <s v="H-4-23"/>
        <s v="H-4-24"/>
        <s v="H-4-25"/>
        <s v="H-4-26"/>
        <s v="H-4-27"/>
        <s v="H-4-28"/>
        <s v="H-4-29"/>
        <s v="H-4-30"/>
        <s v="H-4-31"/>
        <s v="H-4-32"/>
        <s v="H-4-33"/>
        <s v="H-4-34"/>
        <s v="H-4-35"/>
        <s v="H-5-1"/>
        <s v="H-5-2"/>
        <s v="H-5-3"/>
        <s v="H-5-4"/>
        <s v="H-5-5"/>
        <s v="H-5-6"/>
        <s v="H-5-7"/>
        <s v="H-5-8"/>
        <s v="H-5-9"/>
        <s v="H-5-10"/>
        <s v="H-5-11"/>
        <s v="H-5-12"/>
        <s v="H-5-13"/>
        <s v="H-5-14"/>
        <s v="H-5-15"/>
        <s v="H-5-16"/>
        <s v="H-5-19"/>
        <s v="H-5-20"/>
        <s v="H-5-21"/>
        <s v="H-5-22"/>
        <s v="H-5-23"/>
        <s v="H-5-24"/>
        <s v="H-5-25"/>
        <s v="H-5-26"/>
        <s v="H-5-27"/>
        <s v="H-5-28"/>
        <s v="H-5-29"/>
        <s v="H-5-30"/>
        <s v="H-5-35"/>
        <s v="H-5-36"/>
        <s v="H-5-41"/>
        <s v="H-5-42"/>
        <s v="H-5-47"/>
        <s v="H-5-48"/>
        <m/>
        <s v="H-6-1"/>
        <s v="H-7-1"/>
        <s v="H-7-2"/>
        <s v="H-7-3"/>
        <s v="H-7-4"/>
        <s v="H-7-5"/>
        <s v="H-7-6"/>
        <s v="H-7-7"/>
        <s v="H-7-9"/>
        <s v="H-7-10"/>
        <s v="H-7-11"/>
        <s v="H-7-12"/>
        <s v="H-7-13"/>
        <s v="H-7-14"/>
        <s v="H-7-15"/>
        <s v="H-7-16"/>
        <s v="H-7-19"/>
        <s v="H-7-20"/>
        <s v="H-7-21"/>
        <s v="H-7-22"/>
        <s v="H-7-23"/>
        <s v="H-7-24"/>
        <s v="H-7-25"/>
        <s v="H-7-26"/>
        <s v="H-7-27"/>
        <s v="H-7-28"/>
        <s v="J-1-1"/>
        <s v="J-1-2"/>
        <s v="J-1-3"/>
        <s v="J-1-4"/>
        <s v="J-1-5"/>
        <s v="J-1-6"/>
        <s v="J-1-7"/>
        <s v="J-1-8"/>
        <s v="J-1-9"/>
        <s v="J-1-10"/>
        <s v="J-1-11"/>
        <s v="J-1-12"/>
        <s v="J-1-13"/>
        <s v="J-1-14"/>
        <s v="J-1-15"/>
        <s v="J-1-16"/>
        <s v="J-1-17"/>
        <s v="J-1-18"/>
        <s v="J-1-19"/>
        <s v="J-1-20"/>
        <s v="J-1-21"/>
        <s v="J-1-22"/>
        <s v="J-1-23"/>
        <s v="J-1-24"/>
        <s v="J-1-25"/>
        <s v="J-1-26"/>
        <s v="J-1-27"/>
        <s v="J-1-28"/>
        <s v="J-1-29"/>
        <s v="J-1-30"/>
        <s v="J-1-31"/>
        <s v="J-1-33"/>
        <s v="J-1-34"/>
        <s v="J-1-35"/>
        <s v="J-1-36"/>
        <s v="J-1-37"/>
        <s v="J-1-38"/>
        <s v="J-2-1"/>
        <s v="J-2-2"/>
        <s v="J-2-3"/>
        <s v="J-2-4"/>
        <s v="J-2-5"/>
        <s v="J-2-6"/>
        <s v="J-2-7"/>
        <s v="J-2-9"/>
        <s v="J-2-10"/>
        <s v="J-2-11"/>
        <s v="J-2-12"/>
        <s v="J-2-13"/>
        <s v="J-2-14"/>
        <s v="J-2-15"/>
        <s v="J-2-16"/>
        <s v="J-2-17"/>
        <s v="J-2-18"/>
        <s v="J-2-19"/>
        <s v="J-2-20"/>
        <s v="J-2-21"/>
        <s v="J-2-22"/>
        <s v="J-2-23"/>
        <s v="J-2-24"/>
        <s v="J-2-25"/>
        <s v="J-2-26"/>
        <s v="J-2-27"/>
        <s v="J-2-28"/>
        <s v="J-2-29"/>
        <s v="J-2-30"/>
        <s v="J-2-31"/>
        <s v="J-2-32"/>
        <s v="J-2-33"/>
        <s v="J-3-1"/>
        <s v="J-3-2"/>
        <s v="J-3-3"/>
        <s v="J-3-4"/>
        <s v="J-3-5"/>
        <s v="J-3-6"/>
        <s v="J-3-7"/>
        <s v="J-3-8"/>
        <s v="J-3-9"/>
        <s v="J-3-10"/>
        <s v="J-3-11"/>
        <s v="J-3-12"/>
        <s v="J-3-13"/>
        <s v="J-3-14"/>
        <s v="J-3-15"/>
        <s v="J-3-16"/>
        <s v="J-3-17"/>
        <s v="J-3-18"/>
        <s v="J-3-19"/>
        <s v="J-3-20"/>
        <s v="J-3-21"/>
        <s v="J-3-22"/>
        <s v="J-3-23"/>
        <s v="J-3-24"/>
        <s v="J-3-25"/>
        <s v="J-3-26"/>
        <s v="J-3-27"/>
        <s v="J-3-28"/>
        <s v="J-3-29"/>
        <s v="J-3-30"/>
        <s v="J-3-31"/>
        <s v="J-3-32"/>
        <s v="J-3-33"/>
        <s v="J-3-34"/>
        <s v="J-3-35"/>
        <s v="J-3-36"/>
        <s v="J-3-39"/>
        <s v="J-3-40"/>
        <s v="J-3-41"/>
        <s v="J-3-42"/>
        <s v="J-3-43"/>
        <s v="J-3-44"/>
        <s v="K-1-1"/>
        <s v="K-1-2"/>
        <s v="K-1-3"/>
        <s v="K-1-4"/>
        <s v="K-1-5"/>
        <s v="K-1-6"/>
        <s v="K-1-7"/>
        <s v="K-1-8"/>
        <s v="K-1-9"/>
        <s v="K-1-10"/>
        <s v="K-1-11"/>
        <s v="K-1-12"/>
        <s v="K-1-13"/>
        <s v="K-1-14"/>
        <s v="K-1-15"/>
        <s v="K-1-16"/>
        <s v="K-1-17"/>
        <s v="K-1-18"/>
        <s v="K-1-19"/>
        <s v="K-1-20"/>
        <s v="K-1-21"/>
        <s v="K-1-22"/>
        <s v="K-1-23"/>
        <s v="K-1-24"/>
        <s v="K-1-25"/>
        <s v="K-1-26"/>
        <s v="K-1-27"/>
        <s v="K-1-28"/>
        <s v="K-1-29"/>
        <s v="K-2-1"/>
        <s v="K-2-2"/>
        <s v="K-2-3"/>
        <s v="K-2-4"/>
        <s v="K-2-5"/>
        <s v="K-2-6"/>
        <s v="K-2-7"/>
        <s v="K-2-8"/>
        <s v="K-2-9"/>
        <s v="K-2-10"/>
        <s v="K-2-11"/>
        <s v="K-2-12"/>
        <s v="K-2-13"/>
        <s v="K-2-14"/>
        <s v="K-2-15"/>
        <s v="K-2-16"/>
        <s v="K-2-17"/>
        <s v="K-2-18"/>
        <s v="K-2-19"/>
        <s v="K-2-20"/>
        <s v="K-2-21"/>
        <s v="K-2-22"/>
        <s v="K-2-23"/>
        <s v="K-2-24"/>
        <s v="K-2-25"/>
        <s v="K-2-26"/>
        <s v="K-2-27"/>
        <s v="K-2-28"/>
        <s v="L-1-1"/>
        <s v="L-1-2"/>
        <s v="L-1-3"/>
        <s v="L-1-4"/>
        <s v="L-1-5"/>
        <s v="L-1-6"/>
        <s v="L-1-7"/>
        <s v="L-1-8"/>
        <s v="L-1-9"/>
        <s v="L-1-10"/>
        <s v="L-2-1"/>
        <s v="L-2-2"/>
        <s v="L-2-3"/>
        <s v="L-2-5"/>
        <s v="L-2-6"/>
        <s v="L-2-7"/>
        <s v="L-2-9"/>
        <s v="L-2-10"/>
        <s v="L-2-11"/>
        <s v="L-2-12"/>
        <s v="L-3-1"/>
        <s v="L-3-3"/>
        <s v="L-3-4"/>
        <s v="L-3-5"/>
        <s v="L-3-6"/>
        <s v="L-3-8"/>
        <s v="L-3-9"/>
        <s v="L-4-1"/>
        <s v="L-4-2"/>
        <s v="L-4-3"/>
        <s v="L-4-4"/>
        <s v="L-4-5"/>
        <s v="L-4-6"/>
        <s v="L-4-7"/>
        <s v="L-4-8"/>
        <s v="L-4-9"/>
        <s v="L-4-10"/>
        <s v="L-4-11"/>
        <s v="L-4-12"/>
        <s v="L-4-13"/>
        <s v="L-4-14"/>
        <s v="L-4-15"/>
        <s v="L-4-16"/>
        <s v="L-4-17"/>
        <s v="L-4-19"/>
        <s v="L-4-23"/>
        <s v="L-4-24"/>
        <s v="L-4-25"/>
        <s v="L-4-26"/>
        <s v="L-4-27"/>
        <s v="L-5-1"/>
        <s v="L-5-4"/>
        <s v="L-5-5"/>
        <s v="L-5-6"/>
        <s v="L-5-7"/>
        <s v="L-5-8"/>
        <s v="M-1-1"/>
        <s v="M-1-2"/>
        <s v="M-1-3"/>
        <s v="M-1-4"/>
        <s v="M-1-5"/>
        <s v="M-1-6"/>
        <s v="M-2-1"/>
        <s v="M-2-2"/>
        <s v="M-2-3"/>
        <s v="M-2-4"/>
        <s v="M-2-5"/>
        <s v="M-2-6"/>
        <s v="M-2-7"/>
        <s v="M-5-1"/>
        <s v="M-5-2"/>
        <s v="N-1-1"/>
        <s v="N-1-2"/>
        <s v="N-1-3"/>
        <s v="N-1-4"/>
        <s v="N-1-5"/>
        <s v="N-1-6"/>
        <s v="N-1-7"/>
        <s v="N-1-8"/>
        <s v="N-2-1"/>
        <s v="N-2-3"/>
        <s v="N-2-4"/>
        <s v="N-2-7"/>
        <s v="N-2-8"/>
        <s v="N-2-13"/>
        <s v="N-3-1"/>
        <s v="N-3-3"/>
        <s v="N-3-4"/>
        <s v="N-3-5"/>
        <s v="N-3-7"/>
        <s v="N-3-8"/>
        <s v="N-3-20"/>
        <s v="N-3-21"/>
        <s v="N-4-1"/>
        <s v="N-4-2"/>
        <s v="N-4-5"/>
        <s v="N-4-6"/>
        <s v="N-4-7"/>
        <s v="N-4-8"/>
        <s v="N-5-1"/>
        <s v="N-5-2"/>
        <s v="N-5-3"/>
        <s v="N-5-4"/>
        <s v="O-1-1"/>
        <s v="O-1-2"/>
        <s v="O-1-3"/>
        <s v="O-1-4"/>
        <s v="O-1-5"/>
        <s v="O-1-6"/>
        <s v="O-1-7"/>
        <s v="O-1-8"/>
        <s v="O-1-9"/>
        <s v="O-1-10"/>
        <s v="O-1-11"/>
        <s v="O-1-12"/>
        <s v="O-1-13"/>
        <s v="O-1-14"/>
        <s v="O-1-15"/>
        <s v="O-1-16"/>
        <s v="O-1-17"/>
        <s v="O-1-18"/>
        <s v="O-1-19"/>
        <s v="O-1-20"/>
        <s v="O-1-21"/>
        <s v="O-1-22"/>
        <s v="O-1-23"/>
        <s v="O-1-24"/>
        <s v="O-1-25"/>
        <s v="O-1-26"/>
        <s v="O-1-27"/>
        <s v="O-1-28"/>
        <s v="O-1-29"/>
        <s v="O-1-30"/>
        <s v="O-1-31"/>
        <s v="O-1-32"/>
        <s v="O-1-33"/>
        <s v="O-1-34"/>
        <s v="O-1-35"/>
        <s v="O-1-36"/>
        <s v="O-1-37"/>
        <s v="O-1-38"/>
        <s v="O-1-39"/>
        <s v="O-1-40"/>
        <s v="O-1-41"/>
        <s v="O-1-42"/>
        <s v="O-1-43"/>
        <s v="O-2-2"/>
        <s v="O-2-3"/>
        <s v="O-2-4"/>
        <s v="O-2-5"/>
        <s v="O-2-6"/>
        <s v="O-2-7"/>
        <s v="O-2-9"/>
        <s v="O-2-10"/>
        <s v="O-2-11"/>
        <s v="O-2-12"/>
        <s v="O-2-13"/>
        <s v="O-2-14"/>
        <s v="O-2-15"/>
        <s v="O-2-16"/>
        <s v="O-2-17"/>
        <s v="O-2-18"/>
        <s v="O-2-19"/>
        <s v="O-2-20"/>
        <s v="O-2-21"/>
        <s v="O-2-22"/>
        <s v="O-2-23"/>
        <s v="O-2-24"/>
        <s v="O-2-25"/>
        <s v="O-2-26"/>
        <s v="O-2-27"/>
        <s v="O-2-28"/>
        <s v="O-2-29"/>
        <s v="O-2-30"/>
        <s v="O-2-31"/>
        <s v="O-2-32"/>
        <s v="O-2-33"/>
        <s v="O-2-34"/>
        <s v="O-2-35"/>
        <s v="O-2-36"/>
        <s v="O-2-38"/>
        <s v="O-2-39"/>
        <s v="O-2-40"/>
        <s v="O-2-41"/>
        <s v="O-2-42"/>
        <s v="O-2-43"/>
        <s v="O-2-44"/>
        <s v="O-2-46"/>
        <s v="O-2-47"/>
        <s v="O-2-48"/>
        <s v="O-2-49"/>
        <s v="O-2-50"/>
        <s v="O-2-51"/>
        <s v="O-2-52"/>
        <s v="O-2-53"/>
        <s v="O-2-54"/>
        <s v="O-2-55"/>
        <s v="O-2-56"/>
        <s v="O-2-57"/>
        <s v="O-2-58"/>
        <s v="O-2-59"/>
        <s v="O-2-60"/>
        <s v="O-2-61"/>
        <s v="O-2-62"/>
        <s v="O-2-63"/>
        <s v="O-2-64"/>
        <s v="O-2-65"/>
        <s v="O-2-66"/>
        <s v="O-2-67"/>
        <s v="O-2-68"/>
        <s v="O-2-69"/>
        <s v="O-2-70"/>
        <s v="O-2-71"/>
        <s v="O-2-72"/>
        <s v="O-2-73"/>
        <s v="O-2-74"/>
        <s v="O-2-75"/>
        <s v="O-2-76"/>
        <s v="O-2-77"/>
        <s v="O-2-78"/>
        <s v="O-2-79"/>
        <s v="O-2-80"/>
        <s v="O-2-81"/>
        <s v="O-2-82"/>
        <s v="O-2-83"/>
        <s v="O-2-84"/>
        <s v="O-2-85"/>
        <s v="O-2-86"/>
        <s v="O-2-87"/>
        <s v="O-2-88"/>
        <s v="O-2-89"/>
        <s v="O-3-1"/>
        <s v="O-4-1"/>
        <s v="O-4-2"/>
        <s v="O-4-3"/>
        <s v="O-4-4"/>
        <s v="O-4-5"/>
        <s v="O-4-6"/>
        <s v="O-4-7"/>
        <s v="O-4-8"/>
        <s v="O-4-9"/>
        <s v="O-4-10"/>
        <s v="O-4-11"/>
        <s v="O-4-12"/>
        <s v="O-4-13"/>
        <s v="O-4-14"/>
        <s v="O-4-15"/>
        <s v="O-4-16"/>
        <s v="O-4-17"/>
        <s v="O-4-18"/>
        <s v="O-4-20"/>
        <s v="O-4-21"/>
        <s v="O-4-22"/>
        <s v="O-4-23"/>
        <s v="O-4-24"/>
        <s v="O-4-25"/>
        <s v="O-4-26"/>
        <s v="O-4-27"/>
        <s v="O-4-28"/>
        <s v="O-4-29"/>
        <s v="O-4-30"/>
        <s v="O-4-31"/>
        <s v="O-4-32"/>
        <s v="O-4-33"/>
        <s v="O-4-34"/>
        <s v="O-5-2"/>
        <s v="O-5-3"/>
        <s v="O-5-6"/>
        <s v="O-5-7"/>
        <s v="O-5-8"/>
        <s v="O-5-9"/>
        <s v="O-5-11"/>
        <s v="P-1-1"/>
        <s v="P-1-2"/>
        <s v="P-1-3"/>
        <s v="P-1-4"/>
        <s v="P-1-5"/>
        <s v="P-1-6"/>
        <s v="P-1-7"/>
        <s v="P-1-8"/>
        <s v="P-1-9"/>
        <s v="P-1-10"/>
        <s v="P-1-11"/>
        <s v="P-1-12"/>
        <s v="P-2-1"/>
        <s v="P-2-2"/>
        <s v="P-2-3"/>
        <s v="P-2-4"/>
        <s v="P-2-5"/>
        <s v="P-2-6"/>
        <s v="P-2-7"/>
        <s v="P-2-8"/>
        <s v="P-2-9"/>
        <s v="P-2-10"/>
        <s v="P-2-11"/>
        <s v="P-2-12"/>
        <s v="P-2-13"/>
        <s v="P-2-14"/>
        <s v="P-2-15"/>
        <s v="P-3-1"/>
        <s v="P-3-2"/>
        <s v="P-3-3"/>
        <s v="P-3-4"/>
        <s v="P-3-5"/>
        <s v="P-3-6"/>
        <s v="P-3-7"/>
        <s v="P-3-8"/>
        <s v="P-3-9"/>
        <s v="P-3-10"/>
        <s v="P-3-11"/>
        <s v="P-3-12"/>
        <s v="P-4-1"/>
        <s v="P-4-2"/>
        <s v="P-4-3"/>
        <s v="P-4-4"/>
        <s v="P-4-5"/>
        <s v="P-4-6"/>
        <s v="P-4-7"/>
        <s v="P-4-8"/>
        <s v="P-4-9"/>
        <s v="P-4-10"/>
        <s v="P-4-11"/>
        <s v="P-4-12"/>
        <s v="P-4-13"/>
        <s v="P-4-15"/>
        <s v="P-4-16"/>
        <s v="P-4-17"/>
        <s v="P-4-18"/>
        <s v="P-4-19"/>
        <s v="P-5-1"/>
        <s v="P-5-2"/>
        <s v="P-5-3"/>
        <s v="P-5-4"/>
        <s v="P-5-5"/>
        <s v="P-5-6"/>
        <s v="P-5-7"/>
        <s v="P-5-8"/>
        <s v="P-5-9"/>
        <s v="P-5-10"/>
        <s v="P-5-11"/>
        <s v="P-5-12"/>
        <s v="P-5-13"/>
        <s v="P-5-14"/>
        <s v="P-5-15"/>
        <s v="P-5-16"/>
        <s v="P-5-17"/>
        <s v="P-5-18"/>
        <s v="P-5-19"/>
        <s v="P-5-20"/>
        <s v="P-5-21"/>
        <s v="P-5-22"/>
        <s v="P-5-23"/>
        <s v="P-5-24"/>
        <s v="P-5-25"/>
        <s v="P-5-26"/>
        <s v="P-5-27"/>
        <s v="P-5-28"/>
        <s v="P-5-29"/>
        <s v="P-5-30"/>
        <s v="P-5-31"/>
        <s v="P-5-32"/>
        <s v="P-5-33"/>
        <s v="P-5-34"/>
        <s v="P-5-35"/>
        <s v="P-5-36"/>
        <s v="P-5-37"/>
        <s v="P-5-38"/>
        <s v="P-5-39"/>
        <s v="P-5-40"/>
        <s v="P-5-41"/>
        <s v="P-5-42"/>
        <s v="P-5-43"/>
        <s v="P-5-44"/>
        <s v="P-5-45"/>
        <s v="P-5-46"/>
        <s v="P-5-47"/>
        <s v="P-5-48"/>
        <s v="P-5-49"/>
        <s v="P-5-50"/>
        <s v="P-5-51"/>
        <s v="P-5-52"/>
        <s v="P-5-53"/>
        <s v="Y-1-1"/>
        <s v="Y-1-2"/>
        <s v="Y-1-3"/>
        <s v="Y-1-4"/>
        <s v="Y-1-5"/>
        <s v="Y-1-6"/>
        <s v="Y-1-8"/>
        <s v="Y-1-10"/>
        <s v="Y-1-13"/>
        <s v="Y-2-1"/>
        <s v="Y-2-2"/>
        <s v="Y-2-3"/>
        <s v="Y-2-4"/>
        <s v="Y-2-5"/>
        <s v="Y-2-6"/>
        <s v="Y-2-7"/>
        <s v="Y-2-8"/>
        <s v="Y-2-9"/>
        <s v="Y-2-10"/>
        <s v="Y-2-11"/>
        <s v="Y-2-12"/>
        <s v="Y-2-13"/>
        <s v="Y-2-16"/>
        <s v="Y-2-17"/>
        <s v="Y-2-18"/>
        <s v="Y-2-19"/>
        <s v="Y-2-25"/>
        <s v="Y-2-27"/>
        <s v="Y-2-29"/>
        <s v="Y-2-30"/>
        <s v="Y-2-34"/>
        <s v="Y-2-35"/>
        <s v="Y-2-36"/>
        <s v="Z-1-1"/>
        <s v="Z-1-2"/>
        <s v="Z-1-3"/>
        <s v="Z-1-4"/>
        <s v="Z-1-5"/>
        <s v="Z-1-6"/>
        <s v="Z-1-7"/>
        <s v="Z-1-8"/>
        <s v="Z-1-9"/>
        <s v="Z-1-10"/>
        <s v="Z-1-11"/>
        <s v="Z-1-12"/>
        <s v="Z-1-13"/>
        <s v="Z-2-4"/>
        <s v="Z-2-5"/>
        <s v="Z-2-6"/>
        <s v="Z-2-7"/>
        <s v="Z-4-1"/>
        <s v="Z-4-2"/>
        <s v="Z-4-3"/>
        <s v="Z-4-4"/>
        <s v="Z-4-5"/>
        <s v="Z-4-6"/>
        <s v="Z-4-7"/>
        <s v="Z-4-8"/>
        <s v="Z-4-9"/>
        <s v="Z-4-10"/>
        <s v="Z-4-11"/>
        <s v="Z-4-12"/>
        <s v="Z-4-13"/>
        <s v="Z-4-14"/>
        <s v="Z-4-15"/>
        <s v="Z-4-16"/>
        <s v="Z-4-17"/>
        <s v="Z-4-18"/>
        <s v="Z-4-19"/>
        <s v="Z-4-20"/>
        <s v="Z-4-21"/>
        <s v="Z-4-22"/>
        <s v="Z-4-23"/>
        <s v="Z-4-24"/>
        <s v="Z-4-26"/>
        <s v="Z-4-27"/>
        <s v="Z-4-28"/>
        <s v="Z-4-29"/>
        <s v="Z-4-35"/>
        <s v="Z-4-37"/>
        <s v="Z-4-38"/>
        <s v="Z-4-39"/>
        <s v="Z-4-40"/>
        <s v="Z-4-41"/>
        <s v="Z-5-1"/>
        <s v="Z-5-2"/>
        <s v="Z-5-3"/>
        <s v="Z-5-4"/>
        <s v="Z-5-5"/>
        <s v="Z-5-6"/>
        <s v="Z-5-7"/>
        <s v="Z-5-8"/>
        <s v="Z-5-9"/>
        <s v="Z-5-10"/>
        <s v="Z-5-11"/>
        <s v="Z-5-12"/>
        <s v="Z-5-13"/>
        <s v="Z-5-14"/>
        <s v="Z-5-15"/>
        <s v="Z-5-16"/>
        <s v="Z-5-17"/>
        <s v="Z-5-18"/>
        <s v="Z-5-19"/>
        <s v="Z-5-20"/>
        <s v="Z-5-21"/>
        <s v="Z-5-22"/>
        <s v="Z-5-23"/>
        <s v="Z-5-24"/>
        <s v="Z-5-25"/>
        <s v="Z-5-26"/>
        <s v="Z-5-27"/>
        <s v="Z-5-28"/>
        <s v="Z-5-29"/>
        <s v="Z-5-30"/>
        <s v="Z-5-31"/>
        <s v="Z-5-32"/>
        <s v="Z-5-33"/>
        <s v="Z-5-34"/>
        <s v="Z-5-35"/>
        <s v="Z-5-36"/>
        <s v="Z-5-37"/>
        <s v="Z-5-38"/>
        <s v="Z-5-39"/>
        <s v="Z-5-40"/>
        <s v="Z-5-41"/>
        <s v="Z-5-42"/>
        <s v="Z-5-43"/>
        <s v="Z-5-44"/>
        <s v="Z-5-45"/>
        <s v="Z-5-46"/>
        <s v="Z-5-47"/>
        <s v="Z-5-48"/>
        <s v="Z-5-49"/>
        <s v="Z-7-1"/>
        <s v="Z-7-2"/>
        <s v="Z-7-3"/>
        <s v="Z-7-4"/>
        <s v="Z-7-5"/>
        <s v="Z-7-6"/>
        <s v="Z-7-7"/>
        <s v="Z-7-8"/>
        <s v="Z-7-9"/>
        <s v="Z-10-1"/>
        <s v="Z-10-2"/>
        <s v="Z-10-3"/>
        <s v="Z-10-4"/>
        <s v="Z-10-5"/>
        <s v="Z-10-6"/>
        <s v="Z-10-7"/>
        <s v="Z-10-8"/>
        <s v="Z-10-9"/>
        <s v="Z-10-10"/>
        <s v="Z-10-11"/>
        <s v="Z-10-12"/>
        <s v="Z-10-13"/>
        <s v="Z-10-14"/>
        <s v="Z-10-15"/>
        <s v="Z-10-16"/>
        <s v="Z-10-17"/>
        <s v="Z-10-18"/>
        <s v="Z-10-19"/>
        <s v="Z-10-20"/>
        <s v="Z-10-21"/>
        <s v="Z-10-22"/>
        <s v="Z-10-23"/>
        <s v="Z-10-24"/>
        <s v="Z-10-25"/>
        <s v="Z-10-26"/>
        <s v="Z-10-27"/>
        <s v="Z-10-28"/>
        <s v="Z-10-29"/>
        <s v="Z-10-30"/>
        <s v="Z-10-31"/>
        <s v="Z-10-32"/>
        <s v="Z-10-33"/>
        <s v="Z-13-1"/>
        <s v="Z-13-2"/>
        <s v="Z-13-3"/>
        <s v="Z-13-4"/>
        <s v="Z-13-5"/>
        <s v="Z-13-6"/>
        <s v="Z-13-7"/>
        <s v="Z-13-8"/>
        <s v="Z-13-9"/>
        <s v="Z-13-10"/>
        <s v="Z-13-11"/>
        <s v="Z-13-12"/>
        <s v="Z-13-13"/>
        <s v="Z-13-15"/>
        <s v="Z-13-16"/>
        <s v="Z-13-17"/>
        <s v="Z-13-18"/>
        <s v="Z-13-19"/>
        <s v="Z-13-20"/>
        <s v="Z-13-21"/>
        <s v="Z-13-22"/>
        <s v="Z-13-23"/>
        <s v="Z-13-24"/>
        <s v="Z-13-25"/>
        <s v="Z-4-25"/>
        <s v="N-1-9"/>
        <s v="N-3-6"/>
        <s v="F-1-39"/>
        <s v="F-1-40"/>
        <s v="F-1-41"/>
        <s v="B-5-9"/>
        <s v="B-5-10"/>
        <s v="E-6-7"/>
        <s v="C-3-1"/>
        <s v="Y-2-14"/>
        <s v="E-3-2"/>
        <s v="U-1-28" u="1"/>
        <s v="I-5-88" u="1"/>
        <s v="R-1-70" u="1"/>
        <s v="B-3-19" u="1"/>
        <s v="B-5-19" u="1"/>
        <s v="I-1-11" u="1"/>
        <s v="I-2-11" u="1"/>
        <s v="I-5-11" u="1"/>
        <s v="Y-2-42" u="1"/>
        <s v="F-1-33" u="1"/>
        <s v="R-1-84" u="1"/>
        <s v="I-1-25" u="1"/>
        <s v="I-2-25" u="1"/>
        <s v="I-5-25" u="1"/>
        <s v="I-1-39" u="1"/>
        <s v="I-5-39" u="1"/>
        <s v="R-1-21" u="1"/>
        <s v="D-5-5" u="1"/>
        <s v="U-1-13" u="1"/>
        <s v="I-5-73" u="1"/>
        <s v="R-1-35" u="1"/>
        <s v="A-5-16" u="1"/>
        <s v="U-1-27" u="1"/>
        <s v="I-5-87" u="1"/>
        <s v="B-4-18" u="1"/>
        <s v="I-1-10" u="1"/>
        <s v="I-2-10" u="1"/>
        <s v="I-5-10" u="1"/>
        <s v="R-1-49" u="1"/>
        <s v="I-1-8" u="1"/>
        <s v="S-1-3" u="1"/>
        <s v="U-1-2" u="1"/>
        <s v="Y-2-41" u="1"/>
        <s v="I-2-8" u="1"/>
        <s v="I-5-8" u="1"/>
        <s v="O-5-5" u="1"/>
        <s v="H-1-22" u="1"/>
        <s v="R-1-83" u="1"/>
        <s v="I-1-24" u="1"/>
        <s v="I-2-24" u="1"/>
        <s v="I-5-24" u="1"/>
        <s v="I-1-38" u="1"/>
        <s v="I-5-38" u="1"/>
        <s v="R-1-20" u="1"/>
        <s v="R-1-9" u="1"/>
        <s v="U-1-12" u="1"/>
        <s v="I-5-72" u="1"/>
        <s v="R-1-34" u="1"/>
        <s v="U-1-26" u="1"/>
        <s v="I-5-86" u="1"/>
        <s v="B-4-17" u="1"/>
        <s v="B-5-17" u="1"/>
        <s v="R-1-48" u="1"/>
        <s v="Y-2-40" u="1"/>
        <s v="A-5-29" u="1"/>
        <s v="H-1-21" u="1"/>
        <s v="R-1-82" u="1"/>
        <s v="C-1-53" u="1"/>
        <s v="I-1-23" u="1"/>
        <s v="I-2-23" u="1"/>
        <s v="I-5-23" u="1"/>
        <s v="I-1-37" u="1"/>
        <s v="I-5-37" u="1"/>
        <s v="H-5-49" u="1"/>
        <s v="U-1-11" u="1"/>
        <s v="I-1-3" u="1"/>
        <s v="I-2-3" u="1"/>
        <s v="I-3-3" u="1"/>
        <s v="E-4-5" u="1"/>
        <s v="I-5-71" u="1"/>
        <s v="I-5-3" u="1"/>
        <s v="R-1-33" u="1"/>
        <s v="U-1-25" u="1"/>
        <s v="I-5-85" u="1"/>
        <s v="B-5-16" u="1"/>
        <s v="R-1-47" u="1"/>
        <s v="C-1-18" u="1"/>
        <s v="U-1-39" u="1"/>
        <s v="R-1-81" u="1"/>
        <s v="R-1-4" u="1"/>
        <s v="J-2-8" u="1"/>
        <s v="N-2-6" u="1"/>
        <s v="L-3-7" u="1"/>
        <s v="I-1-22" u="1"/>
        <s v="I-2-22" u="1"/>
        <s v="I-5-22" u="1"/>
        <s v="I-1-36" u="1"/>
        <s v="I-5-36" u="1"/>
        <s v="J-3-38" u="1"/>
        <s v="N-3-18" u="1"/>
        <s v="U-1-10" u="1"/>
        <s v="I-5-70" u="1"/>
        <s v="S-1-9" u="1"/>
        <s v="U-1-8" u="1"/>
        <s v="R-1-32" u="1"/>
        <s v="U-1-24" u="1"/>
        <s v="I-5-84" u="1"/>
        <s v="B-5-15" u="1"/>
        <s v="R-1-46" u="1"/>
        <s v="A-1-27" u="1"/>
        <s v="A-2-27" u="1"/>
        <s v="U-1-38" u="1"/>
        <s v="R-1-80" u="1"/>
        <s v="D-4-19" u="1"/>
        <s v="E-1-41" u="1"/>
        <s v="I-1-21" u="1"/>
        <s v="I-2-21" u="1"/>
        <s v="I-5-21" u="1"/>
        <s v="I-1-35" u="1"/>
        <s v="I-5-35" u="1"/>
        <s v="J-3-37" u="1"/>
        <s v="N-3-17" u="1"/>
        <s v="O-4-19" u="1"/>
        <s v="I-5-49" u="1"/>
        <s v="R-1-31" u="1"/>
        <s v="L-3-2" u="1"/>
        <s v="D-5-6" u="1"/>
        <s v="L-5-2" u="1"/>
        <s v="U-1-23" u="1"/>
        <s v="I-5-83" u="1"/>
        <s v="B-5-14" u="1"/>
        <s v="R-1-45" u="1"/>
        <s v="C-3-16" u="1"/>
        <s v="U-1-37" u="1"/>
        <s v="D-2-18" u="1"/>
        <s v="D-4-18" u="1"/>
        <s v="E-1-40" u="1"/>
        <s v="I-1-20" u="1"/>
        <s v="I-2-20" u="1"/>
        <s v="C-3-50" u="1"/>
        <s v="E-3-40" u="1"/>
        <s v="I-5-20" u="1"/>
        <s v="R-1-59" u="1"/>
        <s v="I-1-9" u="1"/>
        <s v="S-1-4" u="1"/>
        <s v="U-1-3" u="1"/>
        <s v="I-2-9" u="1"/>
        <s v="I-5-9" u="1"/>
        <s v="I-1-34" u="1"/>
        <s v="I-5-34" u="1"/>
        <s v="N-3-16" u="1"/>
        <s v="I-5-48" u="1"/>
        <s v="R-1-30" u="1"/>
        <s v="U-1-22" u="1"/>
        <s v="I-5-82" u="1"/>
        <s v="B-5-13" u="1"/>
        <s v="R-1-44" u="1"/>
        <s v="C-2-15" u="1"/>
        <s v="U-1-36" u="1"/>
        <s v="D-4-17" u="1"/>
        <s v="R-1-58" u="1"/>
        <s v="C-2-29" u="1"/>
        <s v="E-4-19" u="1"/>
        <s v="D-3-1" u="1"/>
        <s v="D-4-1" u="1"/>
        <s v="R-1-92" u="1"/>
        <s v="I-1-33" u="1"/>
        <s v="I-5-33" u="1"/>
        <s v="N-3-15" u="1"/>
        <s v="I-5-47" u="1"/>
        <s v="U-1-21" u="1"/>
        <s v="I-1-4" u="1"/>
        <s v="I-2-4" u="1"/>
        <s v="O-2-1" u="1"/>
        <s v="I-3-4" u="1"/>
        <s v="E-4-6" u="1"/>
        <s v="I-5-81" u="1"/>
        <s v="I-5-4" u="1"/>
        <s v="O-5-1" u="1"/>
        <s v="B-5-12" u="1"/>
        <s v="R-1-43" u="1"/>
        <s v="C-3-14" u="1"/>
        <s v="U-1-35" u="1"/>
        <s v="Y-2-15" u="1"/>
        <s v="D-4-16" u="1"/>
        <s v="R-1-57" u="1"/>
        <s v="C-2-28" u="1"/>
        <s v="E-4-18" u="1"/>
        <s v="U-1-49" u="1"/>
        <s v="R-1-91" u="1"/>
        <s v="R-1-5" u="1"/>
        <s v="L-2-8" u="1"/>
        <s v="Z-2-1" u="1"/>
        <s v="I-1-32" u="1"/>
        <s v="I-5-32" u="1"/>
        <s v="N-3-14" u="1"/>
        <s v="I-5-46" u="1"/>
        <s v="U-1-20" u="1"/>
        <s v="I-5-80" u="1"/>
        <s v="U-1-9" u="1"/>
        <s v="R-1-42" u="1"/>
        <s v="C-1-13" u="1"/>
        <s v="C-3-13" u="1"/>
        <s v="U-1-34" u="1"/>
        <s v="I-5-94" u="1"/>
        <s v="D-3-15" u="1"/>
        <s v="D-4-15" u="1"/>
        <s v="D-5-15" u="1"/>
        <s v="R-1-56" u="1"/>
        <s v="C-2-27" u="1"/>
        <s v="E-4-17" u="1"/>
        <s v="U-1-48" u="1"/>
        <s v="Y-2-28" u="1"/>
        <s v="R-1-90" u="1"/>
        <s v="I-1-31" u="1"/>
        <s v="E-2-1" u="1"/>
        <s v="E-4-1" u="1"/>
        <s v="I-5-31" u="1"/>
        <s v="N-3-13" u="1"/>
        <s v="I-5-45" u="1"/>
        <s v="I-5-59" u="1"/>
        <s v="R-1-41" u="1"/>
        <s v="D-1-7" u="1"/>
        <s v="F-1-6" u="1"/>
        <s v="N-2-2" u="1"/>
        <s v="N-3-2" u="1"/>
        <s v="D-4-7" u="1"/>
        <s v="D-5-7" u="1"/>
        <s v="L-5-3" u="1"/>
        <s v="U-1-33" u="1"/>
        <s v="I-5-93" u="1"/>
        <s v="D-4-14" u="1"/>
        <s v="D-5-14" u="1"/>
        <s v="R-1-55" u="1"/>
        <s v="A-1-36" u="1"/>
        <s v="C-3-26" u="1"/>
        <s v="E-3-16" u="1"/>
        <s v="E-4-16" u="1"/>
        <s v="U-1-47" u="1"/>
        <s v="I-1-30" u="1"/>
        <s v="I-5-30" u="1"/>
        <s v="R-1-69" u="1"/>
        <s v="S-1-5" u="1"/>
        <s v="U-1-4" u="1"/>
        <s v="J-1-32" u="1"/>
        <s v="N-2-12" u="1"/>
        <s v="N-3-12" u="1"/>
        <s v="L-4-22" u="1"/>
        <s v="I-5-44" u="1"/>
        <s v="I-5-58" u="1"/>
        <s v="R-1-40" u="1"/>
        <s v="U-1-32" u="1"/>
        <s v="Y-1-12" u="1"/>
        <s v="I-5-92" u="1"/>
        <s v="D-4-13" u="1"/>
        <s v="B-5-23" u="1"/>
        <s v="R-1-54" u="1"/>
        <s v="C-3-25" u="1"/>
        <s v="E-3-15" u="1"/>
        <s v="U-1-46" u="1"/>
        <s v="Y-2-26" u="1"/>
        <s v="F-2-17" u="1"/>
        <s v="R-1-68" u="1"/>
        <s v="A-5-49" u="1"/>
        <s v="D-1-2" u="1"/>
        <s v="N-2-11" u="1"/>
        <s v="N-3-11" u="1"/>
        <s v="L-4-21" u="1"/>
        <s v="I-5-43" u="1"/>
        <s v="I-5-57" u="1"/>
        <s v="C-4-10" u="1"/>
        <s v="A-5-20" u="1"/>
        <s v="R-1-19" u="1"/>
        <s v="U-1-31" u="1"/>
        <s v="Y-1-11" u="1"/>
        <s v="E-1-7" u="1"/>
        <s v="I-1-5" u="1"/>
        <s v="E-2-7" u="1"/>
        <s v="I-2-5" u="1"/>
        <s v="I-3-5" u="1"/>
        <s v="O-3-2" u="1"/>
        <s v="E-4-7" u="1"/>
        <s v="I-5-91" u="1"/>
        <s v="I-5-5" u="1"/>
        <s v="D-3-12" u="1"/>
        <s v="D-4-12" u="1"/>
        <s v="B-5-22" u="1"/>
        <s v="R-1-53" u="1"/>
        <s v="C-3-24" u="1"/>
        <s v="E-3-14" u="1"/>
        <s v="E-4-14" u="1"/>
        <s v="U-1-45" u="1"/>
        <s v="F-2-16" u="1"/>
        <s v="R-1-67" u="1"/>
        <s v="C-2-38" u="1"/>
        <s v="N-2-10" u="1"/>
        <s v="N-3-10" u="1"/>
        <s v="L-4-20" u="1"/>
        <s v="H-5-40" u="1"/>
        <s v="Y-2-39" u="1"/>
        <s v="R-1-6" u="1"/>
        <s v="Z-2-2" u="1"/>
        <s v="L-5-9" u="1"/>
        <s v="I-5-42" u="1"/>
        <s v="I-5-56" u="1"/>
        <s v="R-1-18" u="1"/>
        <s v="U-1-30" u="1"/>
        <s v="I-5-90" u="1"/>
        <s v="D-2-11" u="1"/>
        <s v="B-4-21" u="1"/>
        <s v="D-4-11" u="1"/>
        <s v="B-5-21" u="1"/>
        <s v="D-5-11" u="1"/>
        <s v="R-1-52" u="1"/>
        <s v="C-3-23" u="1"/>
        <s v="A-4-33" u="1"/>
        <s v="U-1-44" u="1"/>
        <s v="Y-2-24" u="1"/>
        <s v="R-1-66" u="1"/>
        <s v="A-5-47" u="1"/>
        <s v="Y-2-38" u="1"/>
        <s v="I-1-41" u="1"/>
        <s v="E-2-2" u="1"/>
        <s v="E-4-2" u="1"/>
        <s v="I-5-41" u="1"/>
        <s v="I-5-55" u="1"/>
        <s v="R-1-17" u="1"/>
        <s v="B-3-20" u="1"/>
        <s v="B-4-20" u="1"/>
        <s v="B-5-20" u="1"/>
        <s v="D-5-10" u="1"/>
        <s v="I-5-69" u="1"/>
        <s v="R-1-51" u="1"/>
        <s v="R-1-1" u="1"/>
        <s v="L-2-4" u="1"/>
        <s v="N-4-3" u="1"/>
        <s v="D-5-8" u="1"/>
        <s v="C-3-22" u="1"/>
        <s v="E-4-12" u="1"/>
        <s v="U-1-43" u="1"/>
        <s v="Y-2-23" u="1"/>
        <s v="D-3-24" u="1"/>
        <s v="R-1-65" u="1"/>
        <s v="A-5-46" u="1"/>
        <s v="Y-2-37" u="1"/>
        <s v="H-1-18" u="1"/>
        <s v="H-5-18" u="1"/>
        <s v="H-7-18" u="1"/>
        <s v="I-1-40" u="1"/>
        <s v="I-5-40" u="1"/>
        <s v="O-5-10" u="1"/>
        <s v="R-1-79" u="1"/>
        <s v="S-1-6" u="1"/>
        <s v="U-1-5" u="1"/>
        <s v="O-2-8" u="1"/>
        <s v="I-5-54" u="1"/>
        <s v="R-1-16" u="1"/>
        <s v="I-5-68" u="1"/>
        <s v="R-1-50" u="1"/>
        <s v="C-2-21" u="1"/>
        <s v="E-2-11" u="1"/>
        <s v="A-5-31" u="1"/>
        <s v="E-6-11" u="1"/>
        <s v="U-1-42" u="1"/>
        <s v="Y-2-22" u="1"/>
        <s v="F-2-13" u="1"/>
        <s v="D-3-23" u="1"/>
        <s v="R-1-64" u="1"/>
        <s v="C-1-35" u="1"/>
        <s v="H-5-17" u="1"/>
        <s v="H-7-17" u="1"/>
        <s v="R-1-78" u="1"/>
        <s v="E-1-39" u="1"/>
        <s v="I-1-19" u="1"/>
        <s v="I-2-19" u="1"/>
        <s v="I-5-19" u="1"/>
        <s v="D-4-3" u="1"/>
        <s v="I-5-53" u="1"/>
        <s v="R-1-15" u="1"/>
        <s v="O-2-37" u="1"/>
        <s v="I-5-67" u="1"/>
        <s v="C-2-20" u="1"/>
        <s v="E-2-10" u="1"/>
        <s v="E-6-10" u="1"/>
        <s v="R-1-29" u="1"/>
        <s v="U-1-41" u="1"/>
        <s v="E-1-8" u="1"/>
        <s v="I-1-6" u="1"/>
        <s v="S-1-1" u="1"/>
        <s v="Y-2-21" u="1"/>
        <s v="E-2-8" u="1"/>
        <s v="I-2-6" u="1"/>
        <s v="I-3-6" u="1"/>
        <s v="E-5-8" u="1"/>
        <s v="I-5-6" u="1"/>
        <s v="E-6-8" u="1"/>
        <s v="D-3-22" u="1"/>
        <s v="R-1-63" u="1"/>
        <s v="C-3-34" u="1"/>
        <s v="A-5-44" u="1"/>
        <s v="H-1-16" u="1"/>
        <s v="R-1-77" u="1"/>
        <s v="E-1-38" u="1"/>
        <s v="I-1-18" u="1"/>
        <s v="I-2-18" u="1"/>
        <s v="C-3-48" u="1"/>
        <s v="I-5-18" u="1"/>
        <s v="R-1-7" u="1"/>
        <s v="N-2-9" u="1"/>
        <s v="Z-2-3" u="1"/>
        <s v="N-3-9" u="1"/>
        <s v="I-5-52" u="1"/>
        <s v="R-1-14" u="1"/>
        <s v="S-1-16" u="1"/>
        <s v="I-5-66" u="1"/>
        <s v="R-1-28" u="1"/>
        <s v="U-1-40" u="1"/>
        <s v="Y-2-20" u="1"/>
        <s v="Y-1-9" u="1"/>
        <s v="R-1-62" u="1"/>
        <s v="E-2-23" u="1"/>
        <s v="A-5-43" u="1"/>
        <s v="F-2-25" u="1"/>
        <s v="R-1-76" u="1"/>
        <s v="E-1-37" u="1"/>
        <s v="I-1-17" u="1"/>
        <s v="E-2-37" u="1"/>
        <s v="I-2-17" u="1"/>
        <s v="C-3-47" u="1"/>
        <s v="I-5-17" u="1"/>
        <s v="G-1-2" u="1"/>
        <s v="I-1-1" u="1"/>
        <s v="I-2-1" u="1"/>
        <s v="I-3-1" u="1"/>
        <s v="E-4-3" u="1"/>
        <s v="I-5-51" u="1"/>
        <s v="I-5-1" u="1"/>
        <s v="R-1-13" u="1"/>
        <s v="S-1-15" u="1"/>
        <s v="O-3-35" u="1"/>
        <s v="I-5-65" u="1"/>
        <s v="R-1-27" u="1"/>
        <s v="U-1-19" u="1"/>
        <s v="I-5-79" u="1"/>
        <s v="R-1-61" u="1"/>
        <s v="R-1-2" u="1"/>
        <s v="H-3-7" u="1"/>
        <s v="N-4-4" u="1"/>
        <s v="Y-2-33" u="1"/>
        <s v="R-1-75" u="1"/>
        <s v="I-1-16" u="1"/>
        <s v="I-2-16" u="1"/>
        <s v="I-5-16" u="1"/>
        <s v="I-5-50" u="1"/>
        <s v="R-1-89" u="1"/>
        <s v="S-1-7" u="1"/>
        <s v="U-1-6" u="1"/>
        <s v="R-1-12" u="1"/>
        <s v="S-1-14" u="1"/>
        <s v="O-3-34" u="1"/>
        <s v="I-5-64" u="1"/>
        <s v="R-1-26" u="1"/>
        <s v="U-1-18" u="1"/>
        <s v="I-5-78" u="1"/>
        <s v="R-1-60" u="1"/>
        <s v="E-2-21" u="1"/>
        <s v="A-5-41" u="1"/>
        <s v="Y-2-32" u="1"/>
        <s v="F-2-23" u="1"/>
        <s v="R-1-74" u="1"/>
        <s v="I-1-15" u="1"/>
        <s v="I-2-15" u="1"/>
        <s v="I-5-15" u="1"/>
        <s v="R-1-88" u="1"/>
        <s v="C-1-59" u="1"/>
        <s v="I-1-29" u="1"/>
        <s v="I-2-29" u="1"/>
        <s v="I-5-29" u="1"/>
        <s v="R-1-11" u="1"/>
        <s v="B-4-5" u="1"/>
        <s v="D-4-4" u="1"/>
        <s v="S-1-13" u="1"/>
        <s v="O-3-33" u="1"/>
        <s v="I-5-63" u="1"/>
        <s v="R-1-25" u="1"/>
        <s v="U-1-17" u="1"/>
        <s v="I-5-77" u="1"/>
        <s v="A-5-40" u="1"/>
        <s v="R-1-39" u="1"/>
        <s v="I-1-7" u="1"/>
        <s v="S-1-2" u="1"/>
        <s v="U-1-1" u="1"/>
        <s v="Y-2-31" u="1"/>
        <s v="I-2-7" u="1"/>
        <s v="I-3-7" u="1"/>
        <s v="I-5-7" u="1"/>
        <s v="O-5-4" u="1"/>
        <s v="E-6-9" u="1"/>
        <s v="R-1-73" u="1"/>
        <s v="I-1-14" u="1"/>
        <s v="I-2-14" u="1"/>
        <s v="E-3-34" u="1"/>
        <s v="I-5-14" u="1"/>
        <s v="R-1-87" u="1"/>
        <s v="C-1-58" u="1"/>
        <s v="I-1-28" u="1"/>
        <s v="I-2-28" u="1"/>
        <s v="I-5-28" u="1"/>
        <s v="R-1-10" u="1"/>
        <s v="R-1-8" u="1"/>
        <s v="S-1-12" u="1"/>
        <s v="O-3-32" u="1"/>
        <s v="I-5-62" u="1"/>
        <s v="R-1-24" u="1"/>
        <s v="U-1-16" u="1"/>
        <s v="I-5-76" u="1"/>
        <s v="R-1-38" u="1"/>
        <s v="R-1-72" u="1"/>
        <s v="I-1-13" u="1"/>
        <s v="I-2-13" u="1"/>
        <s v="I-5-13" u="1"/>
        <s v="R-1-86" u="1"/>
        <s v="I-1-27" u="1"/>
        <s v="I-2-27" u="1"/>
        <s v="I-5-27" u="1"/>
        <s v="S-1-11" u="1"/>
        <s v="E-1-4" u="1"/>
        <s v="I-1-2" u="1"/>
        <s v="I-2-2" u="1"/>
        <s v="O-3-31" u="1"/>
        <s v="G-3-3" u="1"/>
        <s v="I-3-2" u="1"/>
        <s v="I-5-61" u="1"/>
        <s v="I-5-2" u="1"/>
        <s v="R-1-23" u="1"/>
        <s v="U-1-15" u="1"/>
        <s v="O-2-45" u="1"/>
        <s v="I-5-75" u="1"/>
        <s v="R-1-37" u="1"/>
        <s v="U-1-29" u="1"/>
        <s v="I-5-89" u="1"/>
        <s v="R-1-71" u="1"/>
        <s v="R-1-3" u="1"/>
        <s v="N-2-5" u="1"/>
        <s v="H-7-8" u="1"/>
        <s v="I-1-12" u="1"/>
        <s v="I-2-12" u="1"/>
        <s v="I-5-12" u="1"/>
        <s v="Y-2-43" u="1"/>
        <s v="H-1-24" u="1"/>
        <s v="R-1-85" u="1"/>
        <s v="I-1-26" u="1"/>
        <s v="I-2-26" u="1"/>
        <s v="I-5-26" u="1"/>
        <s v="L-4-18" u="1"/>
        <s v="S-1-10" u="1"/>
        <s v="I-5-60" u="1"/>
        <s v="S-1-8" u="1"/>
        <s v="U-1-7" u="1"/>
        <s v="R-1-22" u="1"/>
        <s v="U-1-14" u="1"/>
        <s v="I-5-74" u="1"/>
        <s v="R-1-36" u="1"/>
      </sharedItems>
    </cacheField>
    <cacheField name="Default Location" numFmtId="0">
      <sharedItems containsBlank="1"/>
    </cacheField>
    <cacheField name="Machine" numFmtId="0">
      <sharedItems containsNonDate="0" containsString="0" containsBlank="1" containsNumber="1" containsInteger="1" minValue="214" maxValue="214" count="2">
        <m/>
        <n v="214" u="1"/>
      </sharedItems>
    </cacheField>
    <cacheField name="Lead time" numFmtId="0">
      <sharedItems containsNonDate="0" containsString="0" containsBlank="1"/>
    </cacheField>
    <cacheField name="Minimum Stock Level" numFmtId="0">
      <sharedItems containsNonDate="0" containsString="0" containsBlank="1"/>
    </cacheField>
    <cacheField name="Minimum order quantity" numFmtId="0">
      <sharedItems containsNonDate="0" containsString="0" containsBlank="1"/>
    </cacheField>
    <cacheField name="Quantity Initial" numFmtId="0">
      <sharedItems containsNonDate="0" containsString="0" containsBlank="1"/>
    </cacheField>
    <cacheField name="Quantity Total" numFmtId="0">
      <sharedItems containsSemiMixedTypes="0" containsString="0" containsNumber="1" containsInteger="1" minValue="0" maxValue="30" count="13">
        <n v="0"/>
        <n v="2"/>
        <n v="5"/>
        <n v="15" u="1"/>
        <n v="6" u="1"/>
        <n v="7" u="1"/>
        <n v="1" u="1"/>
        <n v="3" u="1"/>
        <n v="8" u="1"/>
        <n v="11" u="1"/>
        <n v="30" u="1"/>
        <n v="4" u="1"/>
        <n v="12" u="1"/>
      </sharedItems>
    </cacheField>
    <cacheField name="Unit of Measure" numFmtId="0">
      <sharedItems containsNonDate="0" containsString="0" containsBlank="1"/>
    </cacheField>
    <cacheField name="Unit Price AED" numFmtId="0">
      <sharedItems containsNonDate="0" containsString="0" containsBlank="1"/>
    </cacheField>
    <cacheField name="Initial Value" numFmtId="0">
      <sharedItems containsNonDate="0" containsString="0" containsBlank="1"/>
    </cacheField>
    <cacheField name="Total Value AED" numFmtId="0">
      <sharedItems containsSemiMixedTypes="0" containsString="0" containsNumber="1" containsInteger="1" minValue="0" maxValue="370"/>
    </cacheField>
    <cacheField name="Audit Catagor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52">
  <r>
    <x v="0"/>
    <s v="BEARINGS"/>
    <x v="0"/>
    <x v="0"/>
    <x v="0"/>
    <x v="0"/>
    <s v="A1"/>
    <x v="0"/>
    <m/>
    <m/>
    <m/>
    <m/>
    <x v="0"/>
    <m/>
    <m/>
    <m/>
    <n v="0"/>
    <m/>
  </r>
  <r>
    <x v="1"/>
    <s v="BEARINGS"/>
    <x v="0"/>
    <x v="0"/>
    <x v="1"/>
    <x v="1"/>
    <s v="A1"/>
    <x v="0"/>
    <m/>
    <m/>
    <m/>
    <m/>
    <x v="0"/>
    <m/>
    <m/>
    <m/>
    <n v="0"/>
    <m/>
  </r>
  <r>
    <x v="2"/>
    <s v="BEARINGS"/>
    <x v="0"/>
    <x v="0"/>
    <x v="2"/>
    <x v="2"/>
    <s v="A1"/>
    <x v="0"/>
    <m/>
    <m/>
    <m/>
    <m/>
    <x v="0"/>
    <m/>
    <m/>
    <m/>
    <n v="0"/>
    <m/>
  </r>
  <r>
    <x v="3"/>
    <s v="BEARINGS"/>
    <x v="0"/>
    <x v="0"/>
    <x v="3"/>
    <x v="3"/>
    <s v="A1"/>
    <x v="0"/>
    <m/>
    <m/>
    <m/>
    <m/>
    <x v="0"/>
    <m/>
    <m/>
    <m/>
    <n v="0"/>
    <m/>
  </r>
  <r>
    <x v="4"/>
    <s v="BEARINGS"/>
    <x v="0"/>
    <x v="0"/>
    <x v="4"/>
    <x v="4"/>
    <s v="A1"/>
    <x v="0"/>
    <m/>
    <m/>
    <m/>
    <m/>
    <x v="0"/>
    <m/>
    <m/>
    <m/>
    <n v="0"/>
    <m/>
  </r>
  <r>
    <x v="5"/>
    <s v="BEARINGS"/>
    <x v="0"/>
    <x v="0"/>
    <x v="5"/>
    <x v="5"/>
    <s v="A1"/>
    <x v="0"/>
    <m/>
    <m/>
    <m/>
    <m/>
    <x v="0"/>
    <m/>
    <m/>
    <m/>
    <n v="0"/>
    <m/>
  </r>
  <r>
    <x v="6"/>
    <s v="BEARINGS"/>
    <x v="0"/>
    <x v="0"/>
    <x v="6"/>
    <x v="6"/>
    <s v="A1"/>
    <x v="0"/>
    <m/>
    <m/>
    <m/>
    <m/>
    <x v="0"/>
    <m/>
    <m/>
    <m/>
    <n v="0"/>
    <m/>
  </r>
  <r>
    <x v="7"/>
    <s v="BEARINGS"/>
    <x v="0"/>
    <x v="0"/>
    <x v="7"/>
    <x v="7"/>
    <s v="A1"/>
    <x v="0"/>
    <m/>
    <m/>
    <m/>
    <m/>
    <x v="0"/>
    <m/>
    <m/>
    <m/>
    <n v="0"/>
    <m/>
  </r>
  <r>
    <x v="8"/>
    <s v="BEARINGS"/>
    <x v="0"/>
    <x v="0"/>
    <x v="8"/>
    <x v="8"/>
    <s v="A1"/>
    <x v="0"/>
    <m/>
    <m/>
    <m/>
    <m/>
    <x v="0"/>
    <m/>
    <m/>
    <m/>
    <n v="0"/>
    <m/>
  </r>
  <r>
    <x v="9"/>
    <s v="BEARINGS"/>
    <x v="0"/>
    <x v="0"/>
    <x v="9"/>
    <x v="9"/>
    <s v="A1"/>
    <x v="0"/>
    <m/>
    <m/>
    <m/>
    <m/>
    <x v="0"/>
    <m/>
    <m/>
    <m/>
    <n v="0"/>
    <m/>
  </r>
  <r>
    <x v="10"/>
    <s v="BEARINGS"/>
    <x v="1"/>
    <x v="0"/>
    <x v="10"/>
    <x v="10"/>
    <s v="A1"/>
    <x v="0"/>
    <m/>
    <m/>
    <m/>
    <m/>
    <x v="0"/>
    <m/>
    <m/>
    <m/>
    <n v="0"/>
    <m/>
  </r>
  <r>
    <x v="11"/>
    <s v="BEARINGS"/>
    <x v="0"/>
    <x v="0"/>
    <x v="11"/>
    <x v="11"/>
    <s v="A1"/>
    <x v="0"/>
    <m/>
    <m/>
    <m/>
    <m/>
    <x v="0"/>
    <m/>
    <m/>
    <m/>
    <n v="0"/>
    <m/>
  </r>
  <r>
    <x v="12"/>
    <s v="BEARINGS"/>
    <x v="0"/>
    <x v="0"/>
    <x v="12"/>
    <x v="12"/>
    <s v="A1"/>
    <x v="0"/>
    <m/>
    <m/>
    <m/>
    <m/>
    <x v="0"/>
    <m/>
    <m/>
    <m/>
    <n v="0"/>
    <m/>
  </r>
  <r>
    <x v="13"/>
    <s v="BEARINGS"/>
    <x v="0"/>
    <x v="0"/>
    <x v="13"/>
    <x v="13"/>
    <s v="A1"/>
    <x v="0"/>
    <m/>
    <m/>
    <m/>
    <m/>
    <x v="0"/>
    <m/>
    <m/>
    <m/>
    <n v="0"/>
    <m/>
  </r>
  <r>
    <x v="14"/>
    <s v="BEARINGS"/>
    <x v="0"/>
    <x v="0"/>
    <x v="14"/>
    <x v="14"/>
    <s v="A1"/>
    <x v="0"/>
    <m/>
    <m/>
    <m/>
    <m/>
    <x v="0"/>
    <m/>
    <m/>
    <m/>
    <n v="0"/>
    <m/>
  </r>
  <r>
    <x v="15"/>
    <s v="BEARINGS"/>
    <x v="0"/>
    <x v="0"/>
    <x v="15"/>
    <x v="15"/>
    <s v="A1"/>
    <x v="0"/>
    <m/>
    <m/>
    <m/>
    <m/>
    <x v="0"/>
    <m/>
    <m/>
    <m/>
    <n v="0"/>
    <m/>
  </r>
  <r>
    <x v="16"/>
    <s v="BEARINGS"/>
    <x v="0"/>
    <x v="0"/>
    <x v="16"/>
    <x v="16"/>
    <s v="A1"/>
    <x v="0"/>
    <m/>
    <m/>
    <m/>
    <m/>
    <x v="0"/>
    <m/>
    <m/>
    <m/>
    <n v="0"/>
    <m/>
  </r>
  <r>
    <x v="17"/>
    <s v="BEARINGS"/>
    <x v="0"/>
    <x v="0"/>
    <x v="17"/>
    <x v="17"/>
    <s v="A1"/>
    <x v="0"/>
    <m/>
    <m/>
    <m/>
    <m/>
    <x v="0"/>
    <m/>
    <m/>
    <m/>
    <n v="0"/>
    <m/>
  </r>
  <r>
    <x v="18"/>
    <s v="BEARINGS"/>
    <x v="0"/>
    <x v="0"/>
    <x v="18"/>
    <x v="18"/>
    <s v="A1"/>
    <x v="0"/>
    <m/>
    <m/>
    <m/>
    <m/>
    <x v="0"/>
    <m/>
    <m/>
    <m/>
    <n v="0"/>
    <m/>
  </r>
  <r>
    <x v="19"/>
    <s v="BEARINGS"/>
    <x v="0"/>
    <x v="0"/>
    <x v="19"/>
    <x v="19"/>
    <s v="A1"/>
    <x v="0"/>
    <m/>
    <m/>
    <m/>
    <m/>
    <x v="0"/>
    <m/>
    <m/>
    <m/>
    <n v="0"/>
    <m/>
  </r>
  <r>
    <x v="20"/>
    <s v="BEARINGS"/>
    <x v="0"/>
    <x v="0"/>
    <x v="20"/>
    <x v="20"/>
    <s v="A1"/>
    <x v="0"/>
    <m/>
    <m/>
    <m/>
    <m/>
    <x v="0"/>
    <m/>
    <m/>
    <m/>
    <n v="0"/>
    <m/>
  </r>
  <r>
    <x v="21"/>
    <s v="BEARINGS"/>
    <x v="0"/>
    <x v="0"/>
    <x v="21"/>
    <x v="21"/>
    <s v="A1"/>
    <x v="0"/>
    <m/>
    <m/>
    <m/>
    <m/>
    <x v="0"/>
    <m/>
    <m/>
    <m/>
    <n v="0"/>
    <m/>
  </r>
  <r>
    <x v="22"/>
    <s v="BEARINGS"/>
    <x v="0"/>
    <x v="0"/>
    <x v="22"/>
    <x v="22"/>
    <s v="A1"/>
    <x v="0"/>
    <m/>
    <m/>
    <m/>
    <m/>
    <x v="0"/>
    <m/>
    <m/>
    <m/>
    <n v="0"/>
    <m/>
  </r>
  <r>
    <x v="23"/>
    <s v="BEARINGS"/>
    <x v="0"/>
    <x v="0"/>
    <x v="23"/>
    <x v="23"/>
    <s v="A1"/>
    <x v="0"/>
    <m/>
    <m/>
    <m/>
    <m/>
    <x v="0"/>
    <m/>
    <m/>
    <m/>
    <n v="0"/>
    <m/>
  </r>
  <r>
    <x v="24"/>
    <s v="BEARINGS"/>
    <x v="0"/>
    <x v="0"/>
    <x v="24"/>
    <x v="24"/>
    <s v="A1"/>
    <x v="0"/>
    <m/>
    <m/>
    <m/>
    <m/>
    <x v="0"/>
    <m/>
    <m/>
    <m/>
    <n v="0"/>
    <m/>
  </r>
  <r>
    <x v="25"/>
    <s v="BEARINGS"/>
    <x v="0"/>
    <x v="0"/>
    <x v="25"/>
    <x v="25"/>
    <s v="A1"/>
    <x v="0"/>
    <m/>
    <m/>
    <m/>
    <m/>
    <x v="0"/>
    <m/>
    <m/>
    <m/>
    <n v="0"/>
    <m/>
  </r>
  <r>
    <x v="26"/>
    <s v="BEARINGS"/>
    <x v="0"/>
    <x v="0"/>
    <x v="26"/>
    <x v="26"/>
    <s v="A1"/>
    <x v="0"/>
    <m/>
    <m/>
    <m/>
    <m/>
    <x v="0"/>
    <m/>
    <m/>
    <m/>
    <n v="0"/>
    <m/>
  </r>
  <r>
    <x v="27"/>
    <s v="BEARINGS"/>
    <x v="0"/>
    <x v="0"/>
    <x v="27"/>
    <x v="27"/>
    <s v="A1"/>
    <x v="0"/>
    <m/>
    <m/>
    <m/>
    <m/>
    <x v="0"/>
    <m/>
    <m/>
    <m/>
    <n v="0"/>
    <m/>
  </r>
  <r>
    <x v="28"/>
    <s v="BEARINGS"/>
    <x v="0"/>
    <x v="0"/>
    <x v="28"/>
    <x v="28"/>
    <s v="A1"/>
    <x v="0"/>
    <m/>
    <m/>
    <m/>
    <m/>
    <x v="0"/>
    <m/>
    <m/>
    <m/>
    <n v="0"/>
    <m/>
  </r>
  <r>
    <x v="29"/>
    <s v="BEARINGS"/>
    <x v="1"/>
    <x v="0"/>
    <x v="29"/>
    <x v="29"/>
    <s v="A1"/>
    <x v="0"/>
    <m/>
    <m/>
    <m/>
    <m/>
    <x v="0"/>
    <m/>
    <m/>
    <m/>
    <n v="0"/>
    <m/>
  </r>
  <r>
    <x v="30"/>
    <s v="BEARINGS"/>
    <x v="2"/>
    <x v="0"/>
    <x v="30"/>
    <x v="30"/>
    <s v="A1"/>
    <x v="0"/>
    <m/>
    <m/>
    <m/>
    <m/>
    <x v="0"/>
    <m/>
    <m/>
    <m/>
    <n v="0"/>
    <m/>
  </r>
  <r>
    <x v="31"/>
    <s v="BEARINGS"/>
    <x v="3"/>
    <x v="0"/>
    <x v="31"/>
    <x v="31"/>
    <s v="A1"/>
    <x v="0"/>
    <m/>
    <m/>
    <m/>
    <m/>
    <x v="0"/>
    <m/>
    <m/>
    <m/>
    <n v="0"/>
    <m/>
  </r>
  <r>
    <x v="32"/>
    <s v="BEARINGS"/>
    <x v="3"/>
    <x v="0"/>
    <x v="32"/>
    <x v="32"/>
    <s v="A1"/>
    <x v="0"/>
    <m/>
    <m/>
    <m/>
    <m/>
    <x v="0"/>
    <m/>
    <m/>
    <m/>
    <n v="0"/>
    <m/>
  </r>
  <r>
    <x v="33"/>
    <s v="BEARINGS"/>
    <x v="2"/>
    <x v="0"/>
    <x v="33"/>
    <x v="33"/>
    <s v="A1"/>
    <x v="0"/>
    <m/>
    <m/>
    <m/>
    <m/>
    <x v="0"/>
    <m/>
    <m/>
    <m/>
    <n v="0"/>
    <m/>
  </r>
  <r>
    <x v="34"/>
    <s v="BEARINGS"/>
    <x v="2"/>
    <x v="0"/>
    <x v="34"/>
    <x v="34"/>
    <s v="A1"/>
    <x v="0"/>
    <m/>
    <m/>
    <m/>
    <m/>
    <x v="0"/>
    <m/>
    <m/>
    <m/>
    <n v="0"/>
    <m/>
  </r>
  <r>
    <x v="35"/>
    <s v="BEARINGS"/>
    <x v="2"/>
    <x v="0"/>
    <x v="35"/>
    <x v="35"/>
    <s v="A1"/>
    <x v="0"/>
    <m/>
    <m/>
    <m/>
    <m/>
    <x v="0"/>
    <m/>
    <m/>
    <m/>
    <n v="0"/>
    <m/>
  </r>
  <r>
    <x v="36"/>
    <s v="BEARINGS"/>
    <x v="0"/>
    <x v="0"/>
    <x v="36"/>
    <x v="36"/>
    <s v="A1"/>
    <x v="0"/>
    <m/>
    <m/>
    <m/>
    <m/>
    <x v="0"/>
    <m/>
    <m/>
    <m/>
    <n v="0"/>
    <m/>
  </r>
  <r>
    <x v="37"/>
    <s v="BEARINGS"/>
    <x v="0"/>
    <x v="0"/>
    <x v="37"/>
    <x v="37"/>
    <s v="A1"/>
    <x v="0"/>
    <m/>
    <m/>
    <m/>
    <m/>
    <x v="0"/>
    <m/>
    <m/>
    <m/>
    <n v="0"/>
    <m/>
  </r>
  <r>
    <x v="38"/>
    <s v="BEARINGS"/>
    <x v="0"/>
    <x v="0"/>
    <x v="38"/>
    <x v="38"/>
    <s v="A2"/>
    <x v="0"/>
    <m/>
    <m/>
    <m/>
    <m/>
    <x v="0"/>
    <m/>
    <m/>
    <m/>
    <n v="0"/>
    <m/>
  </r>
  <r>
    <x v="39"/>
    <s v="BEARINGS"/>
    <x v="0"/>
    <x v="0"/>
    <x v="39"/>
    <x v="39"/>
    <s v="A2"/>
    <x v="0"/>
    <m/>
    <m/>
    <m/>
    <m/>
    <x v="0"/>
    <m/>
    <m/>
    <m/>
    <n v="0"/>
    <m/>
  </r>
  <r>
    <x v="40"/>
    <s v="BEARINGS"/>
    <x v="0"/>
    <x v="0"/>
    <x v="40"/>
    <x v="40"/>
    <s v="A2"/>
    <x v="0"/>
    <m/>
    <m/>
    <m/>
    <m/>
    <x v="0"/>
    <m/>
    <m/>
    <m/>
    <n v="0"/>
    <m/>
  </r>
  <r>
    <x v="41"/>
    <s v="BEARINGS"/>
    <x v="0"/>
    <x v="0"/>
    <x v="41"/>
    <x v="41"/>
    <s v="A2"/>
    <x v="0"/>
    <m/>
    <m/>
    <m/>
    <m/>
    <x v="0"/>
    <m/>
    <m/>
    <m/>
    <n v="0"/>
    <m/>
  </r>
  <r>
    <x v="42"/>
    <s v="BEARINGS"/>
    <x v="0"/>
    <x v="0"/>
    <x v="42"/>
    <x v="42"/>
    <s v="A2"/>
    <x v="0"/>
    <m/>
    <m/>
    <m/>
    <m/>
    <x v="0"/>
    <m/>
    <m/>
    <m/>
    <n v="0"/>
    <m/>
  </r>
  <r>
    <x v="43"/>
    <s v="BEARINGS"/>
    <x v="0"/>
    <x v="0"/>
    <x v="43"/>
    <x v="43"/>
    <s v="A2"/>
    <x v="0"/>
    <m/>
    <m/>
    <m/>
    <m/>
    <x v="0"/>
    <m/>
    <m/>
    <m/>
    <n v="0"/>
    <m/>
  </r>
  <r>
    <x v="44"/>
    <s v="BEARINGS"/>
    <x v="0"/>
    <x v="0"/>
    <x v="44"/>
    <x v="44"/>
    <s v="A2"/>
    <x v="0"/>
    <m/>
    <m/>
    <m/>
    <m/>
    <x v="0"/>
    <m/>
    <m/>
    <m/>
    <n v="0"/>
    <m/>
  </r>
  <r>
    <x v="45"/>
    <s v="BEARINGS"/>
    <x v="0"/>
    <x v="0"/>
    <x v="45"/>
    <x v="45"/>
    <s v="A2"/>
    <x v="0"/>
    <m/>
    <m/>
    <m/>
    <m/>
    <x v="0"/>
    <m/>
    <m/>
    <m/>
    <n v="0"/>
    <m/>
  </r>
  <r>
    <x v="46"/>
    <s v="BEARINGS"/>
    <x v="1"/>
    <x v="0"/>
    <x v="46"/>
    <x v="46"/>
    <s v="A2"/>
    <x v="0"/>
    <m/>
    <m/>
    <m/>
    <m/>
    <x v="0"/>
    <m/>
    <m/>
    <m/>
    <n v="0"/>
    <m/>
  </r>
  <r>
    <x v="47"/>
    <s v="BEARINGS"/>
    <x v="1"/>
    <x v="0"/>
    <x v="47"/>
    <x v="47"/>
    <s v="A2"/>
    <x v="0"/>
    <m/>
    <m/>
    <m/>
    <m/>
    <x v="0"/>
    <m/>
    <m/>
    <m/>
    <n v="0"/>
    <m/>
  </r>
  <r>
    <x v="48"/>
    <s v="BEARINGS"/>
    <x v="1"/>
    <x v="0"/>
    <x v="48"/>
    <x v="48"/>
    <s v="A2"/>
    <x v="0"/>
    <m/>
    <m/>
    <m/>
    <m/>
    <x v="0"/>
    <m/>
    <m/>
    <m/>
    <n v="0"/>
    <m/>
  </r>
  <r>
    <x v="49"/>
    <s v="BEARINGS"/>
    <x v="1"/>
    <x v="0"/>
    <x v="49"/>
    <x v="49"/>
    <s v="A2"/>
    <x v="0"/>
    <m/>
    <m/>
    <m/>
    <m/>
    <x v="0"/>
    <m/>
    <m/>
    <m/>
    <n v="0"/>
    <m/>
  </r>
  <r>
    <x v="50"/>
    <s v="BEARINGS"/>
    <x v="1"/>
    <x v="0"/>
    <x v="50"/>
    <x v="50"/>
    <s v="A2"/>
    <x v="0"/>
    <m/>
    <m/>
    <m/>
    <m/>
    <x v="0"/>
    <m/>
    <m/>
    <m/>
    <n v="0"/>
    <m/>
  </r>
  <r>
    <x v="51"/>
    <s v="BEARINGS"/>
    <x v="1"/>
    <x v="0"/>
    <x v="51"/>
    <x v="51"/>
    <s v="A2"/>
    <x v="0"/>
    <m/>
    <m/>
    <m/>
    <m/>
    <x v="0"/>
    <m/>
    <m/>
    <m/>
    <n v="0"/>
    <m/>
  </r>
  <r>
    <x v="52"/>
    <s v="BEARINGS"/>
    <x v="1"/>
    <x v="0"/>
    <x v="52"/>
    <x v="52"/>
    <s v="A2"/>
    <x v="0"/>
    <m/>
    <m/>
    <m/>
    <m/>
    <x v="0"/>
    <m/>
    <m/>
    <m/>
    <n v="0"/>
    <m/>
  </r>
  <r>
    <x v="53"/>
    <s v="BEARINGS"/>
    <x v="0"/>
    <x v="0"/>
    <x v="53"/>
    <x v="53"/>
    <s v="A2"/>
    <x v="0"/>
    <m/>
    <m/>
    <m/>
    <m/>
    <x v="0"/>
    <m/>
    <m/>
    <m/>
    <n v="0"/>
    <m/>
  </r>
  <r>
    <x v="54"/>
    <s v="BEARINGS"/>
    <x v="3"/>
    <x v="0"/>
    <x v="54"/>
    <x v="54"/>
    <s v="A2"/>
    <x v="0"/>
    <m/>
    <m/>
    <m/>
    <m/>
    <x v="0"/>
    <m/>
    <m/>
    <m/>
    <n v="0"/>
    <m/>
  </r>
  <r>
    <x v="55"/>
    <s v="BEARINGS"/>
    <x v="3"/>
    <x v="0"/>
    <x v="55"/>
    <x v="55"/>
    <s v="A2"/>
    <x v="0"/>
    <m/>
    <m/>
    <m/>
    <m/>
    <x v="0"/>
    <m/>
    <m/>
    <m/>
    <n v="0"/>
    <m/>
  </r>
  <r>
    <x v="56"/>
    <s v="BEARINGS"/>
    <x v="3"/>
    <x v="0"/>
    <x v="56"/>
    <x v="56"/>
    <s v="A2"/>
    <x v="0"/>
    <m/>
    <m/>
    <m/>
    <m/>
    <x v="0"/>
    <m/>
    <m/>
    <m/>
    <n v="0"/>
    <m/>
  </r>
  <r>
    <x v="57"/>
    <s v="BEARINGS"/>
    <x v="0"/>
    <x v="0"/>
    <x v="57"/>
    <x v="57"/>
    <s v="A2"/>
    <x v="0"/>
    <m/>
    <m/>
    <m/>
    <m/>
    <x v="0"/>
    <m/>
    <m/>
    <m/>
    <n v="0"/>
    <m/>
  </r>
  <r>
    <x v="58"/>
    <s v="BEARINGS"/>
    <x v="0"/>
    <x v="0"/>
    <x v="58"/>
    <x v="58"/>
    <s v="A2"/>
    <x v="0"/>
    <m/>
    <m/>
    <m/>
    <m/>
    <x v="0"/>
    <m/>
    <m/>
    <m/>
    <n v="0"/>
    <m/>
  </r>
  <r>
    <x v="59"/>
    <s v="BEARINGS"/>
    <x v="0"/>
    <x v="0"/>
    <x v="59"/>
    <x v="59"/>
    <s v="A2"/>
    <x v="0"/>
    <m/>
    <m/>
    <m/>
    <m/>
    <x v="0"/>
    <m/>
    <m/>
    <m/>
    <n v="0"/>
    <m/>
  </r>
  <r>
    <x v="60"/>
    <s v="BEARINGS"/>
    <x v="0"/>
    <x v="0"/>
    <x v="60"/>
    <x v="60"/>
    <s v="A2"/>
    <x v="0"/>
    <m/>
    <m/>
    <m/>
    <m/>
    <x v="0"/>
    <m/>
    <m/>
    <m/>
    <n v="0"/>
    <m/>
  </r>
  <r>
    <x v="61"/>
    <s v="BEARINGS"/>
    <x v="0"/>
    <x v="0"/>
    <x v="61"/>
    <x v="61"/>
    <s v="A2"/>
    <x v="0"/>
    <m/>
    <m/>
    <m/>
    <m/>
    <x v="0"/>
    <m/>
    <m/>
    <m/>
    <n v="0"/>
    <m/>
  </r>
  <r>
    <x v="62"/>
    <s v="BEARINGS"/>
    <x v="0"/>
    <x v="0"/>
    <x v="62"/>
    <x v="62"/>
    <s v="A2"/>
    <x v="0"/>
    <m/>
    <m/>
    <m/>
    <m/>
    <x v="0"/>
    <m/>
    <m/>
    <m/>
    <n v="0"/>
    <m/>
  </r>
  <r>
    <x v="63"/>
    <s v="BEARINGS"/>
    <x v="4"/>
    <x v="0"/>
    <x v="63"/>
    <x v="63"/>
    <s v="A2"/>
    <x v="0"/>
    <m/>
    <m/>
    <m/>
    <m/>
    <x v="0"/>
    <m/>
    <m/>
    <m/>
    <n v="0"/>
    <m/>
  </r>
  <r>
    <x v="64"/>
    <s v="BEARINGS"/>
    <x v="2"/>
    <x v="0"/>
    <x v="64"/>
    <x v="64"/>
    <s v="A2"/>
    <x v="0"/>
    <m/>
    <m/>
    <m/>
    <m/>
    <x v="0"/>
    <m/>
    <m/>
    <m/>
    <n v="0"/>
    <m/>
  </r>
  <r>
    <x v="65"/>
    <s v="BEARINGS"/>
    <x v="2"/>
    <x v="0"/>
    <x v="65"/>
    <x v="65"/>
    <s v="A2"/>
    <x v="0"/>
    <m/>
    <m/>
    <m/>
    <m/>
    <x v="0"/>
    <m/>
    <m/>
    <m/>
    <n v="0"/>
    <m/>
  </r>
  <r>
    <x v="66"/>
    <s v="BEARINGS"/>
    <x v="2"/>
    <x v="0"/>
    <x v="66"/>
    <x v="66"/>
    <s v="A2"/>
    <x v="0"/>
    <m/>
    <m/>
    <m/>
    <m/>
    <x v="0"/>
    <m/>
    <m/>
    <m/>
    <n v="0"/>
    <m/>
  </r>
  <r>
    <x v="67"/>
    <s v="BEARINGS"/>
    <x v="5"/>
    <x v="0"/>
    <x v="67"/>
    <x v="67"/>
    <s v="A2"/>
    <x v="0"/>
    <m/>
    <m/>
    <m/>
    <m/>
    <x v="0"/>
    <m/>
    <m/>
    <m/>
    <n v="0"/>
    <m/>
  </r>
  <r>
    <x v="68"/>
    <s v="BEARINGS"/>
    <x v="0"/>
    <x v="0"/>
    <x v="68"/>
    <x v="68"/>
    <s v="A2"/>
    <x v="0"/>
    <m/>
    <m/>
    <m/>
    <m/>
    <x v="0"/>
    <m/>
    <m/>
    <m/>
    <n v="0"/>
    <m/>
  </r>
  <r>
    <x v="69"/>
    <s v="BEARINGS"/>
    <x v="2"/>
    <x v="0"/>
    <x v="69"/>
    <x v="69"/>
    <s v="A3"/>
    <x v="0"/>
    <m/>
    <m/>
    <m/>
    <m/>
    <x v="0"/>
    <m/>
    <m/>
    <m/>
    <n v="0"/>
    <m/>
  </r>
  <r>
    <x v="70"/>
    <s v="BEARINGS"/>
    <x v="2"/>
    <x v="0"/>
    <x v="70"/>
    <x v="70"/>
    <s v="A3"/>
    <x v="0"/>
    <m/>
    <m/>
    <m/>
    <m/>
    <x v="0"/>
    <m/>
    <m/>
    <m/>
    <n v="0"/>
    <m/>
  </r>
  <r>
    <x v="71"/>
    <s v="BEARINGS"/>
    <x v="2"/>
    <x v="0"/>
    <x v="71"/>
    <x v="71"/>
    <s v="A3"/>
    <x v="0"/>
    <m/>
    <m/>
    <m/>
    <m/>
    <x v="0"/>
    <m/>
    <m/>
    <m/>
    <n v="0"/>
    <m/>
  </r>
  <r>
    <x v="72"/>
    <s v="BEARINGS"/>
    <x v="0"/>
    <x v="0"/>
    <x v="72"/>
    <x v="72"/>
    <s v="A3"/>
    <x v="0"/>
    <m/>
    <m/>
    <m/>
    <m/>
    <x v="0"/>
    <m/>
    <m/>
    <m/>
    <n v="0"/>
    <m/>
  </r>
  <r>
    <x v="73"/>
    <s v="BEARINGS"/>
    <x v="0"/>
    <x v="0"/>
    <x v="73"/>
    <x v="73"/>
    <s v="A3"/>
    <x v="0"/>
    <m/>
    <m/>
    <m/>
    <m/>
    <x v="0"/>
    <m/>
    <m/>
    <m/>
    <n v="0"/>
    <m/>
  </r>
  <r>
    <x v="74"/>
    <s v="BEARINGS"/>
    <x v="2"/>
    <x v="0"/>
    <x v="74"/>
    <x v="74"/>
    <s v="A3"/>
    <x v="0"/>
    <m/>
    <m/>
    <m/>
    <m/>
    <x v="0"/>
    <m/>
    <m/>
    <m/>
    <n v="0"/>
    <m/>
  </r>
  <r>
    <x v="75"/>
    <s v="BEARINGS"/>
    <x v="2"/>
    <x v="0"/>
    <x v="75"/>
    <x v="75"/>
    <s v="A3"/>
    <x v="0"/>
    <m/>
    <m/>
    <m/>
    <m/>
    <x v="0"/>
    <m/>
    <m/>
    <m/>
    <n v="0"/>
    <m/>
  </r>
  <r>
    <x v="76"/>
    <s v="BEARINGS"/>
    <x v="2"/>
    <x v="0"/>
    <x v="76"/>
    <x v="76"/>
    <s v="A3"/>
    <x v="0"/>
    <m/>
    <m/>
    <m/>
    <m/>
    <x v="0"/>
    <m/>
    <m/>
    <m/>
    <n v="0"/>
    <m/>
  </r>
  <r>
    <x v="77"/>
    <s v="BEARINGS"/>
    <x v="2"/>
    <x v="0"/>
    <x v="77"/>
    <x v="77"/>
    <s v="A3"/>
    <x v="0"/>
    <m/>
    <m/>
    <m/>
    <m/>
    <x v="0"/>
    <m/>
    <m/>
    <m/>
    <n v="0"/>
    <m/>
  </r>
  <r>
    <x v="78"/>
    <s v="BEARINGS"/>
    <x v="2"/>
    <x v="0"/>
    <x v="78"/>
    <x v="78"/>
    <s v="A3"/>
    <x v="0"/>
    <m/>
    <m/>
    <m/>
    <m/>
    <x v="0"/>
    <m/>
    <m/>
    <m/>
    <n v="0"/>
    <m/>
  </r>
  <r>
    <x v="79"/>
    <s v="BEARINGS"/>
    <x v="6"/>
    <x v="0"/>
    <x v="79"/>
    <x v="79"/>
    <s v="A3"/>
    <x v="0"/>
    <m/>
    <m/>
    <m/>
    <m/>
    <x v="0"/>
    <m/>
    <m/>
    <m/>
    <n v="0"/>
    <m/>
  </r>
  <r>
    <x v="80"/>
    <s v="BEARINGS"/>
    <x v="0"/>
    <x v="0"/>
    <x v="80"/>
    <x v="80"/>
    <s v="A3"/>
    <x v="0"/>
    <m/>
    <m/>
    <m/>
    <m/>
    <x v="0"/>
    <m/>
    <m/>
    <m/>
    <n v="0"/>
    <m/>
  </r>
  <r>
    <x v="81"/>
    <s v="BEARINGS"/>
    <x v="0"/>
    <x v="0"/>
    <x v="81"/>
    <x v="81"/>
    <s v="A3"/>
    <x v="0"/>
    <m/>
    <m/>
    <m/>
    <m/>
    <x v="0"/>
    <m/>
    <m/>
    <m/>
    <n v="0"/>
    <m/>
  </r>
  <r>
    <x v="82"/>
    <s v="BEARINGS"/>
    <x v="4"/>
    <x v="0"/>
    <x v="82"/>
    <x v="82"/>
    <s v="A3"/>
    <x v="0"/>
    <m/>
    <m/>
    <m/>
    <m/>
    <x v="0"/>
    <m/>
    <m/>
    <m/>
    <n v="0"/>
    <m/>
  </r>
  <r>
    <x v="83"/>
    <s v="BEARINGS"/>
    <x v="0"/>
    <x v="0"/>
    <x v="83"/>
    <x v="83"/>
    <s v="A3"/>
    <x v="0"/>
    <m/>
    <m/>
    <m/>
    <m/>
    <x v="0"/>
    <m/>
    <m/>
    <m/>
    <n v="0"/>
    <m/>
  </r>
  <r>
    <x v="84"/>
    <s v="BEARINGS"/>
    <x v="0"/>
    <x v="0"/>
    <x v="84"/>
    <x v="84"/>
    <s v="A3"/>
    <x v="0"/>
    <m/>
    <m/>
    <m/>
    <m/>
    <x v="0"/>
    <m/>
    <m/>
    <m/>
    <n v="0"/>
    <m/>
  </r>
  <r>
    <x v="85"/>
    <s v="BEARINGS"/>
    <x v="0"/>
    <x v="0"/>
    <x v="85"/>
    <x v="85"/>
    <s v="A3"/>
    <x v="0"/>
    <m/>
    <m/>
    <m/>
    <m/>
    <x v="0"/>
    <m/>
    <m/>
    <m/>
    <n v="0"/>
    <m/>
  </r>
  <r>
    <x v="86"/>
    <s v="BEARINGS"/>
    <x v="0"/>
    <x v="0"/>
    <x v="86"/>
    <x v="86"/>
    <s v="A3"/>
    <x v="0"/>
    <m/>
    <m/>
    <m/>
    <m/>
    <x v="0"/>
    <m/>
    <m/>
    <m/>
    <n v="0"/>
    <m/>
  </r>
  <r>
    <x v="87"/>
    <s v="BEARINGS"/>
    <x v="0"/>
    <x v="0"/>
    <x v="87"/>
    <x v="87"/>
    <s v="A3"/>
    <x v="0"/>
    <m/>
    <m/>
    <m/>
    <m/>
    <x v="0"/>
    <m/>
    <m/>
    <m/>
    <n v="0"/>
    <m/>
  </r>
  <r>
    <x v="88"/>
    <s v="BEARINGS"/>
    <x v="0"/>
    <x v="0"/>
    <x v="88"/>
    <x v="88"/>
    <s v="A3"/>
    <x v="0"/>
    <m/>
    <m/>
    <m/>
    <m/>
    <x v="0"/>
    <m/>
    <m/>
    <m/>
    <n v="0"/>
    <m/>
  </r>
  <r>
    <x v="89"/>
    <s v="BEARINGS"/>
    <x v="2"/>
    <x v="0"/>
    <x v="89"/>
    <x v="89"/>
    <s v="A3"/>
    <x v="0"/>
    <m/>
    <m/>
    <m/>
    <m/>
    <x v="0"/>
    <m/>
    <m/>
    <m/>
    <n v="0"/>
    <m/>
  </r>
  <r>
    <x v="90"/>
    <s v="BEARINGS"/>
    <x v="0"/>
    <x v="0"/>
    <x v="90"/>
    <x v="90"/>
    <s v="A3"/>
    <x v="0"/>
    <m/>
    <m/>
    <m/>
    <m/>
    <x v="0"/>
    <m/>
    <m/>
    <m/>
    <n v="0"/>
    <m/>
  </r>
  <r>
    <x v="91"/>
    <s v="BEARINGS"/>
    <x v="2"/>
    <x v="0"/>
    <x v="91"/>
    <x v="91"/>
    <s v="A3"/>
    <x v="0"/>
    <m/>
    <m/>
    <m/>
    <m/>
    <x v="0"/>
    <m/>
    <m/>
    <m/>
    <n v="0"/>
    <m/>
  </r>
  <r>
    <x v="92"/>
    <s v="BEARINGS"/>
    <x v="2"/>
    <x v="0"/>
    <x v="92"/>
    <x v="92"/>
    <s v="A3"/>
    <x v="0"/>
    <m/>
    <m/>
    <m/>
    <m/>
    <x v="0"/>
    <m/>
    <m/>
    <m/>
    <n v="0"/>
    <m/>
  </r>
  <r>
    <x v="93"/>
    <s v="BEARINGS"/>
    <x v="2"/>
    <x v="0"/>
    <x v="93"/>
    <x v="93"/>
    <s v="A3"/>
    <x v="0"/>
    <m/>
    <m/>
    <m/>
    <m/>
    <x v="0"/>
    <m/>
    <m/>
    <m/>
    <n v="0"/>
    <m/>
  </r>
  <r>
    <x v="94"/>
    <s v="BEARINGS"/>
    <x v="6"/>
    <x v="0"/>
    <x v="94"/>
    <x v="94"/>
    <s v="A3"/>
    <x v="0"/>
    <m/>
    <m/>
    <m/>
    <m/>
    <x v="0"/>
    <m/>
    <m/>
    <m/>
    <n v="0"/>
    <m/>
  </r>
  <r>
    <x v="95"/>
    <s v="BEARINGS"/>
    <x v="0"/>
    <x v="0"/>
    <x v="95"/>
    <x v="95"/>
    <s v="A3"/>
    <x v="0"/>
    <m/>
    <m/>
    <m/>
    <m/>
    <x v="0"/>
    <m/>
    <m/>
    <m/>
    <n v="0"/>
    <m/>
  </r>
  <r>
    <x v="96"/>
    <s v="BEARINGS"/>
    <x v="0"/>
    <x v="0"/>
    <x v="96"/>
    <x v="96"/>
    <s v="A3"/>
    <x v="0"/>
    <m/>
    <m/>
    <m/>
    <m/>
    <x v="0"/>
    <m/>
    <m/>
    <m/>
    <n v="0"/>
    <m/>
  </r>
  <r>
    <x v="97"/>
    <s v="BEARINGS"/>
    <x v="0"/>
    <x v="0"/>
    <x v="97"/>
    <x v="97"/>
    <s v="A3"/>
    <x v="0"/>
    <m/>
    <m/>
    <m/>
    <m/>
    <x v="0"/>
    <m/>
    <m/>
    <m/>
    <n v="0"/>
    <m/>
  </r>
  <r>
    <x v="98"/>
    <s v="BEARINGS"/>
    <x v="0"/>
    <x v="0"/>
    <x v="98"/>
    <x v="98"/>
    <s v="A3"/>
    <x v="0"/>
    <m/>
    <m/>
    <m/>
    <m/>
    <x v="0"/>
    <m/>
    <m/>
    <m/>
    <n v="0"/>
    <m/>
  </r>
  <r>
    <x v="99"/>
    <s v="BEARINGS"/>
    <x v="2"/>
    <x v="0"/>
    <x v="99"/>
    <x v="99"/>
    <s v="A3"/>
    <x v="0"/>
    <m/>
    <m/>
    <m/>
    <m/>
    <x v="0"/>
    <m/>
    <m/>
    <m/>
    <n v="0"/>
    <m/>
  </r>
  <r>
    <x v="100"/>
    <s v="BEARINGS"/>
    <x v="0"/>
    <x v="0"/>
    <x v="100"/>
    <x v="100"/>
    <s v="A3"/>
    <x v="0"/>
    <m/>
    <m/>
    <m/>
    <m/>
    <x v="0"/>
    <m/>
    <m/>
    <m/>
    <n v="0"/>
    <m/>
  </r>
  <r>
    <x v="101"/>
    <s v="BEARINGS"/>
    <x v="0"/>
    <x v="0"/>
    <x v="101"/>
    <x v="101"/>
    <s v="A3"/>
    <x v="0"/>
    <m/>
    <m/>
    <m/>
    <m/>
    <x v="0"/>
    <m/>
    <m/>
    <m/>
    <n v="0"/>
    <m/>
  </r>
  <r>
    <x v="102"/>
    <s v="BEARINGS"/>
    <x v="0"/>
    <x v="0"/>
    <x v="102"/>
    <x v="102"/>
    <s v="A3"/>
    <x v="0"/>
    <m/>
    <m/>
    <m/>
    <m/>
    <x v="0"/>
    <m/>
    <m/>
    <m/>
    <n v="0"/>
    <m/>
  </r>
  <r>
    <x v="103"/>
    <s v="BEARINGS"/>
    <x v="0"/>
    <x v="0"/>
    <x v="103"/>
    <x v="103"/>
    <s v="A3"/>
    <x v="0"/>
    <m/>
    <m/>
    <m/>
    <m/>
    <x v="0"/>
    <m/>
    <m/>
    <m/>
    <n v="0"/>
    <m/>
  </r>
  <r>
    <x v="104"/>
    <s v="BEARINGS"/>
    <x v="0"/>
    <x v="0"/>
    <x v="104"/>
    <x v="104"/>
    <s v="A3"/>
    <x v="0"/>
    <m/>
    <m/>
    <m/>
    <m/>
    <x v="0"/>
    <m/>
    <m/>
    <m/>
    <n v="0"/>
    <m/>
  </r>
  <r>
    <x v="105"/>
    <s v="BEARINGS"/>
    <x v="0"/>
    <x v="0"/>
    <x v="105"/>
    <x v="105"/>
    <s v="A3"/>
    <x v="0"/>
    <m/>
    <m/>
    <m/>
    <m/>
    <x v="0"/>
    <m/>
    <m/>
    <m/>
    <n v="0"/>
    <m/>
  </r>
  <r>
    <x v="106"/>
    <s v="BEARINGS"/>
    <x v="0"/>
    <x v="0"/>
    <x v="106"/>
    <x v="106"/>
    <s v="A3"/>
    <x v="0"/>
    <m/>
    <m/>
    <m/>
    <m/>
    <x v="0"/>
    <m/>
    <m/>
    <m/>
    <n v="0"/>
    <m/>
  </r>
  <r>
    <x v="107"/>
    <s v="BEARINGS"/>
    <x v="0"/>
    <x v="0"/>
    <x v="107"/>
    <x v="107"/>
    <s v="A3"/>
    <x v="0"/>
    <m/>
    <m/>
    <m/>
    <m/>
    <x v="0"/>
    <m/>
    <m/>
    <m/>
    <n v="0"/>
    <m/>
  </r>
  <r>
    <x v="108"/>
    <s v="BEARINGS"/>
    <x v="2"/>
    <x v="0"/>
    <x v="108"/>
    <x v="108"/>
    <s v="A3"/>
    <x v="0"/>
    <m/>
    <m/>
    <m/>
    <m/>
    <x v="0"/>
    <m/>
    <m/>
    <m/>
    <n v="0"/>
    <m/>
  </r>
  <r>
    <x v="109"/>
    <s v="BEARINGS"/>
    <x v="2"/>
    <x v="0"/>
    <x v="109"/>
    <x v="109"/>
    <s v="A3"/>
    <x v="0"/>
    <m/>
    <m/>
    <m/>
    <m/>
    <x v="0"/>
    <m/>
    <m/>
    <m/>
    <n v="0"/>
    <m/>
  </r>
  <r>
    <x v="110"/>
    <s v="BEARINGS"/>
    <x v="0"/>
    <x v="0"/>
    <x v="110"/>
    <x v="110"/>
    <s v="A3"/>
    <x v="0"/>
    <m/>
    <m/>
    <m/>
    <m/>
    <x v="0"/>
    <m/>
    <m/>
    <m/>
    <n v="0"/>
    <m/>
  </r>
  <r>
    <x v="111"/>
    <s v="BEARINGS"/>
    <x v="0"/>
    <x v="0"/>
    <x v="111"/>
    <x v="111"/>
    <s v="A3"/>
    <x v="0"/>
    <m/>
    <m/>
    <m/>
    <m/>
    <x v="0"/>
    <m/>
    <m/>
    <m/>
    <n v="0"/>
    <m/>
  </r>
  <r>
    <x v="112"/>
    <s v="BEARINGS"/>
    <x v="3"/>
    <x v="0"/>
    <x v="112"/>
    <x v="112"/>
    <s v="A3"/>
    <x v="0"/>
    <m/>
    <m/>
    <m/>
    <m/>
    <x v="0"/>
    <m/>
    <m/>
    <m/>
    <n v="0"/>
    <m/>
  </r>
  <r>
    <x v="113"/>
    <s v="BEARINGS"/>
    <x v="0"/>
    <x v="0"/>
    <x v="113"/>
    <x v="113"/>
    <s v="A3"/>
    <x v="0"/>
    <m/>
    <m/>
    <m/>
    <m/>
    <x v="0"/>
    <m/>
    <m/>
    <m/>
    <n v="0"/>
    <m/>
  </r>
  <r>
    <x v="114"/>
    <s v="BEARINGS"/>
    <x v="0"/>
    <x v="0"/>
    <x v="114"/>
    <x v="114"/>
    <s v="A3"/>
    <x v="0"/>
    <m/>
    <m/>
    <m/>
    <m/>
    <x v="0"/>
    <m/>
    <m/>
    <m/>
    <n v="0"/>
    <m/>
  </r>
  <r>
    <x v="115"/>
    <s v="BEARINGS"/>
    <x v="0"/>
    <x v="0"/>
    <x v="115"/>
    <x v="115"/>
    <s v="A4"/>
    <x v="0"/>
    <m/>
    <m/>
    <m/>
    <m/>
    <x v="0"/>
    <m/>
    <m/>
    <m/>
    <n v="0"/>
    <m/>
  </r>
  <r>
    <x v="116"/>
    <s v="BEARINGS"/>
    <x v="0"/>
    <x v="0"/>
    <x v="116"/>
    <x v="116"/>
    <s v="A4"/>
    <x v="0"/>
    <m/>
    <m/>
    <m/>
    <m/>
    <x v="0"/>
    <m/>
    <m/>
    <m/>
    <n v="0"/>
    <m/>
  </r>
  <r>
    <x v="117"/>
    <s v="BEARINGS"/>
    <x v="0"/>
    <x v="0"/>
    <x v="117"/>
    <x v="117"/>
    <s v="A4"/>
    <x v="0"/>
    <m/>
    <m/>
    <m/>
    <m/>
    <x v="0"/>
    <m/>
    <m/>
    <m/>
    <n v="0"/>
    <m/>
  </r>
  <r>
    <x v="118"/>
    <s v="BEARINGS"/>
    <x v="0"/>
    <x v="0"/>
    <x v="118"/>
    <x v="118"/>
    <s v="A4"/>
    <x v="0"/>
    <m/>
    <m/>
    <m/>
    <m/>
    <x v="0"/>
    <m/>
    <m/>
    <m/>
    <n v="0"/>
    <m/>
  </r>
  <r>
    <x v="119"/>
    <s v="BEARINGS"/>
    <x v="2"/>
    <x v="0"/>
    <x v="119"/>
    <x v="119"/>
    <s v="A4"/>
    <x v="0"/>
    <m/>
    <m/>
    <m/>
    <m/>
    <x v="0"/>
    <m/>
    <m/>
    <m/>
    <n v="0"/>
    <m/>
  </r>
  <r>
    <x v="120"/>
    <s v="BEARINGS"/>
    <x v="2"/>
    <x v="0"/>
    <x v="120"/>
    <x v="120"/>
    <s v="A4"/>
    <x v="0"/>
    <m/>
    <m/>
    <m/>
    <m/>
    <x v="0"/>
    <m/>
    <m/>
    <m/>
    <n v="0"/>
    <m/>
  </r>
  <r>
    <x v="121"/>
    <s v="BEARINGS"/>
    <x v="0"/>
    <x v="0"/>
    <x v="121"/>
    <x v="121"/>
    <s v="A4"/>
    <x v="0"/>
    <m/>
    <m/>
    <m/>
    <m/>
    <x v="0"/>
    <m/>
    <m/>
    <m/>
    <n v="0"/>
    <m/>
  </r>
  <r>
    <x v="122"/>
    <s v="BEARINGS"/>
    <x v="2"/>
    <x v="0"/>
    <x v="122"/>
    <x v="122"/>
    <s v="A4"/>
    <x v="0"/>
    <m/>
    <m/>
    <m/>
    <m/>
    <x v="0"/>
    <m/>
    <m/>
    <m/>
    <n v="0"/>
    <m/>
  </r>
  <r>
    <x v="123"/>
    <s v="BEARINGS"/>
    <x v="4"/>
    <x v="0"/>
    <x v="123"/>
    <x v="123"/>
    <s v="A4"/>
    <x v="0"/>
    <m/>
    <m/>
    <m/>
    <m/>
    <x v="0"/>
    <m/>
    <m/>
    <m/>
    <n v="0"/>
    <m/>
  </r>
  <r>
    <x v="124"/>
    <s v="BEARINGS"/>
    <x v="0"/>
    <x v="0"/>
    <x v="124"/>
    <x v="124"/>
    <s v="A4"/>
    <x v="0"/>
    <m/>
    <m/>
    <m/>
    <m/>
    <x v="0"/>
    <m/>
    <m/>
    <m/>
    <n v="0"/>
    <m/>
  </r>
  <r>
    <x v="125"/>
    <s v="BEARINGS"/>
    <x v="0"/>
    <x v="0"/>
    <x v="125"/>
    <x v="125"/>
    <s v="A4"/>
    <x v="0"/>
    <m/>
    <m/>
    <m/>
    <m/>
    <x v="0"/>
    <m/>
    <m/>
    <m/>
    <n v="0"/>
    <m/>
  </r>
  <r>
    <x v="126"/>
    <s v="BEARINGS"/>
    <x v="1"/>
    <x v="0"/>
    <x v="126"/>
    <x v="126"/>
    <s v="A4"/>
    <x v="0"/>
    <m/>
    <m/>
    <m/>
    <m/>
    <x v="0"/>
    <m/>
    <m/>
    <m/>
    <n v="0"/>
    <m/>
  </r>
  <r>
    <x v="127"/>
    <s v="BEARINGS"/>
    <x v="0"/>
    <x v="0"/>
    <x v="127"/>
    <x v="127"/>
    <s v="A4"/>
    <x v="0"/>
    <m/>
    <m/>
    <m/>
    <m/>
    <x v="0"/>
    <m/>
    <m/>
    <m/>
    <n v="0"/>
    <m/>
  </r>
  <r>
    <x v="128"/>
    <s v="BEARINGS"/>
    <x v="0"/>
    <x v="0"/>
    <x v="128"/>
    <x v="128"/>
    <s v="A4"/>
    <x v="0"/>
    <m/>
    <m/>
    <m/>
    <m/>
    <x v="0"/>
    <m/>
    <m/>
    <m/>
    <n v="0"/>
    <m/>
  </r>
  <r>
    <x v="129"/>
    <s v="BEARINGS"/>
    <x v="0"/>
    <x v="0"/>
    <x v="129"/>
    <x v="129"/>
    <s v="A4"/>
    <x v="0"/>
    <m/>
    <m/>
    <m/>
    <m/>
    <x v="0"/>
    <m/>
    <m/>
    <m/>
    <n v="0"/>
    <m/>
  </r>
  <r>
    <x v="130"/>
    <s v="BEARINGS"/>
    <x v="0"/>
    <x v="0"/>
    <x v="130"/>
    <x v="130"/>
    <s v="A4"/>
    <x v="0"/>
    <m/>
    <m/>
    <m/>
    <m/>
    <x v="0"/>
    <m/>
    <m/>
    <m/>
    <n v="0"/>
    <m/>
  </r>
  <r>
    <x v="131"/>
    <s v="BEARINGS"/>
    <x v="6"/>
    <x v="0"/>
    <x v="131"/>
    <x v="131"/>
    <s v="A4"/>
    <x v="0"/>
    <m/>
    <m/>
    <m/>
    <m/>
    <x v="0"/>
    <m/>
    <m/>
    <m/>
    <n v="0"/>
    <m/>
  </r>
  <r>
    <x v="132"/>
    <s v="BEARINGS"/>
    <x v="0"/>
    <x v="0"/>
    <x v="132"/>
    <x v="132"/>
    <s v="A4"/>
    <x v="0"/>
    <m/>
    <m/>
    <m/>
    <m/>
    <x v="0"/>
    <m/>
    <m/>
    <m/>
    <n v="0"/>
    <m/>
  </r>
  <r>
    <x v="133"/>
    <s v="BEARINGS"/>
    <x v="0"/>
    <x v="0"/>
    <x v="133"/>
    <x v="133"/>
    <s v="A4"/>
    <x v="0"/>
    <m/>
    <m/>
    <m/>
    <m/>
    <x v="0"/>
    <m/>
    <m/>
    <m/>
    <n v="0"/>
    <m/>
  </r>
  <r>
    <x v="134"/>
    <s v="BEARINGS"/>
    <x v="0"/>
    <x v="0"/>
    <x v="134"/>
    <x v="134"/>
    <s v="A4"/>
    <x v="0"/>
    <m/>
    <m/>
    <m/>
    <m/>
    <x v="0"/>
    <m/>
    <m/>
    <m/>
    <n v="0"/>
    <m/>
  </r>
  <r>
    <x v="135"/>
    <s v="BEARINGS"/>
    <x v="2"/>
    <x v="0"/>
    <x v="135"/>
    <x v="135"/>
    <s v="A4"/>
    <x v="0"/>
    <m/>
    <m/>
    <m/>
    <m/>
    <x v="0"/>
    <m/>
    <m/>
    <m/>
    <n v="0"/>
    <m/>
  </r>
  <r>
    <x v="136"/>
    <s v="BEARINGS"/>
    <x v="0"/>
    <x v="0"/>
    <x v="136"/>
    <x v="136"/>
    <s v="A4"/>
    <x v="0"/>
    <m/>
    <m/>
    <m/>
    <m/>
    <x v="0"/>
    <m/>
    <m/>
    <m/>
    <n v="0"/>
    <m/>
  </r>
  <r>
    <x v="137"/>
    <s v="BEARINGS"/>
    <x v="0"/>
    <x v="0"/>
    <x v="137"/>
    <x v="137"/>
    <s v="A4"/>
    <x v="0"/>
    <m/>
    <m/>
    <m/>
    <m/>
    <x v="0"/>
    <m/>
    <m/>
    <m/>
    <n v="0"/>
    <m/>
  </r>
  <r>
    <x v="138"/>
    <s v="BEARINGS"/>
    <x v="0"/>
    <x v="0"/>
    <x v="138"/>
    <x v="138"/>
    <s v="A4"/>
    <x v="0"/>
    <m/>
    <m/>
    <m/>
    <m/>
    <x v="0"/>
    <m/>
    <m/>
    <m/>
    <n v="0"/>
    <m/>
  </r>
  <r>
    <x v="139"/>
    <s v="BEARINGS"/>
    <x v="0"/>
    <x v="0"/>
    <x v="104"/>
    <x v="139"/>
    <s v="A4"/>
    <x v="0"/>
    <m/>
    <m/>
    <m/>
    <m/>
    <x v="0"/>
    <m/>
    <m/>
    <m/>
    <n v="0"/>
    <m/>
  </r>
  <r>
    <x v="140"/>
    <s v="BEARINGS"/>
    <x v="0"/>
    <x v="0"/>
    <x v="139"/>
    <x v="140"/>
    <s v="A4"/>
    <x v="0"/>
    <m/>
    <m/>
    <m/>
    <m/>
    <x v="0"/>
    <m/>
    <m/>
    <m/>
    <n v="0"/>
    <m/>
  </r>
  <r>
    <x v="141"/>
    <s v="BEARINGS"/>
    <x v="0"/>
    <x v="0"/>
    <x v="140"/>
    <x v="141"/>
    <s v="A4"/>
    <x v="0"/>
    <m/>
    <m/>
    <m/>
    <m/>
    <x v="0"/>
    <m/>
    <m/>
    <m/>
    <n v="0"/>
    <m/>
  </r>
  <r>
    <x v="142"/>
    <s v="BEARINGS"/>
    <x v="0"/>
    <x v="0"/>
    <x v="141"/>
    <x v="142"/>
    <s v="A4"/>
    <x v="0"/>
    <m/>
    <m/>
    <m/>
    <m/>
    <x v="0"/>
    <m/>
    <m/>
    <m/>
    <n v="0"/>
    <m/>
  </r>
  <r>
    <x v="143"/>
    <s v="BEARINGS"/>
    <x v="2"/>
    <x v="0"/>
    <x v="142"/>
    <x v="143"/>
    <s v="A4"/>
    <x v="0"/>
    <m/>
    <m/>
    <m/>
    <m/>
    <x v="0"/>
    <m/>
    <m/>
    <m/>
    <n v="0"/>
    <m/>
  </r>
  <r>
    <x v="144"/>
    <s v="BEARINGS"/>
    <x v="0"/>
    <x v="0"/>
    <x v="143"/>
    <x v="144"/>
    <s v="A4"/>
    <x v="0"/>
    <m/>
    <m/>
    <m/>
    <m/>
    <x v="0"/>
    <m/>
    <m/>
    <m/>
    <n v="0"/>
    <m/>
  </r>
  <r>
    <x v="145"/>
    <s v="BEARINGS"/>
    <x v="0"/>
    <x v="0"/>
    <x v="144"/>
    <x v="145"/>
    <s v="A4"/>
    <x v="0"/>
    <m/>
    <m/>
    <m/>
    <m/>
    <x v="0"/>
    <m/>
    <m/>
    <m/>
    <n v="0"/>
    <m/>
  </r>
  <r>
    <x v="146"/>
    <s v="BEARINGS"/>
    <x v="0"/>
    <x v="0"/>
    <x v="145"/>
    <x v="146"/>
    <s v="A4"/>
    <x v="0"/>
    <m/>
    <m/>
    <m/>
    <m/>
    <x v="0"/>
    <m/>
    <m/>
    <m/>
    <n v="0"/>
    <m/>
  </r>
  <r>
    <x v="147"/>
    <s v="BEARINGS"/>
    <x v="0"/>
    <x v="0"/>
    <x v="146"/>
    <x v="147"/>
    <s v="A4"/>
    <x v="0"/>
    <m/>
    <m/>
    <m/>
    <m/>
    <x v="0"/>
    <m/>
    <m/>
    <m/>
    <n v="0"/>
    <m/>
  </r>
  <r>
    <x v="148"/>
    <s v="BEARINGS"/>
    <x v="0"/>
    <x v="0"/>
    <x v="147"/>
    <x v="148"/>
    <s v="A4"/>
    <x v="0"/>
    <m/>
    <m/>
    <m/>
    <m/>
    <x v="0"/>
    <m/>
    <m/>
    <m/>
    <n v="0"/>
    <m/>
  </r>
  <r>
    <x v="149"/>
    <s v="BEARINGS"/>
    <x v="0"/>
    <x v="0"/>
    <x v="148"/>
    <x v="149"/>
    <s v="A4"/>
    <x v="0"/>
    <m/>
    <m/>
    <m/>
    <m/>
    <x v="0"/>
    <m/>
    <m/>
    <m/>
    <n v="0"/>
    <m/>
  </r>
  <r>
    <x v="150"/>
    <s v="BEARINGS"/>
    <x v="0"/>
    <x v="0"/>
    <x v="149"/>
    <x v="150"/>
    <s v="A4"/>
    <x v="0"/>
    <m/>
    <m/>
    <m/>
    <m/>
    <x v="0"/>
    <m/>
    <m/>
    <m/>
    <n v="0"/>
    <m/>
  </r>
  <r>
    <x v="151"/>
    <s v="BEARINGS"/>
    <x v="7"/>
    <x v="0"/>
    <x v="150"/>
    <x v="151"/>
    <s v="A4"/>
    <x v="0"/>
    <m/>
    <m/>
    <m/>
    <m/>
    <x v="0"/>
    <m/>
    <m/>
    <m/>
    <n v="0"/>
    <m/>
  </r>
  <r>
    <x v="152"/>
    <s v="BEARINGS"/>
    <x v="7"/>
    <x v="0"/>
    <x v="151"/>
    <x v="152"/>
    <s v="A4"/>
    <x v="0"/>
    <m/>
    <m/>
    <m/>
    <m/>
    <x v="0"/>
    <m/>
    <m/>
    <m/>
    <n v="0"/>
    <m/>
  </r>
  <r>
    <x v="153"/>
    <s v="BEARINGS"/>
    <x v="2"/>
    <x v="0"/>
    <x v="152"/>
    <x v="153"/>
    <s v="A4"/>
    <x v="0"/>
    <m/>
    <m/>
    <m/>
    <m/>
    <x v="0"/>
    <m/>
    <m/>
    <m/>
    <n v="0"/>
    <m/>
  </r>
  <r>
    <x v="154"/>
    <s v="BEARINGS"/>
    <x v="3"/>
    <x v="0"/>
    <x v="153"/>
    <x v="154"/>
    <s v="A4"/>
    <x v="0"/>
    <m/>
    <m/>
    <m/>
    <m/>
    <x v="0"/>
    <m/>
    <m/>
    <m/>
    <n v="0"/>
    <m/>
  </r>
  <r>
    <x v="155"/>
    <s v="BEARINGS"/>
    <x v="2"/>
    <x v="0"/>
    <x v="154"/>
    <x v="155"/>
    <s v="A4"/>
    <x v="0"/>
    <m/>
    <m/>
    <m/>
    <m/>
    <x v="0"/>
    <m/>
    <m/>
    <m/>
    <n v="0"/>
    <m/>
  </r>
  <r>
    <x v="156"/>
    <s v="GEAR"/>
    <x v="8"/>
    <x v="0"/>
    <x v="155"/>
    <x v="156"/>
    <s v="A5"/>
    <x v="0"/>
    <m/>
    <m/>
    <m/>
    <m/>
    <x v="0"/>
    <m/>
    <m/>
    <m/>
    <n v="0"/>
    <m/>
  </r>
  <r>
    <x v="157"/>
    <s v="MECHANICAL"/>
    <x v="9"/>
    <x v="0"/>
    <x v="156"/>
    <x v="157"/>
    <s v="A5"/>
    <x v="0"/>
    <m/>
    <m/>
    <m/>
    <m/>
    <x v="0"/>
    <m/>
    <m/>
    <m/>
    <n v="0"/>
    <m/>
  </r>
  <r>
    <x v="158"/>
    <s v="GEAR"/>
    <x v="8"/>
    <x v="0"/>
    <x v="157"/>
    <x v="158"/>
    <s v="A5"/>
    <x v="0"/>
    <m/>
    <m/>
    <m/>
    <m/>
    <x v="0"/>
    <m/>
    <m/>
    <m/>
    <n v="0"/>
    <m/>
  </r>
  <r>
    <x v="159"/>
    <s v="MECHANICAL"/>
    <x v="9"/>
    <x v="0"/>
    <x v="158"/>
    <x v="159"/>
    <s v="A5"/>
    <x v="0"/>
    <m/>
    <m/>
    <m/>
    <m/>
    <x v="0"/>
    <m/>
    <m/>
    <m/>
    <n v="0"/>
    <m/>
  </r>
  <r>
    <x v="160"/>
    <s v="MECHANICAL"/>
    <x v="9"/>
    <x v="0"/>
    <x v="159"/>
    <x v="160"/>
    <s v="A5"/>
    <x v="0"/>
    <m/>
    <m/>
    <m/>
    <m/>
    <x v="0"/>
    <m/>
    <m/>
    <m/>
    <n v="0"/>
    <m/>
  </r>
  <r>
    <x v="161"/>
    <s v="MECHANICAL"/>
    <x v="9"/>
    <x v="0"/>
    <x v="160"/>
    <x v="161"/>
    <s v="A5"/>
    <x v="0"/>
    <m/>
    <m/>
    <m/>
    <m/>
    <x v="0"/>
    <m/>
    <m/>
    <m/>
    <n v="0"/>
    <m/>
  </r>
  <r>
    <x v="162"/>
    <s v="BEARINGS"/>
    <x v="10"/>
    <x v="0"/>
    <x v="161"/>
    <x v="162"/>
    <s v="A5"/>
    <x v="0"/>
    <m/>
    <m/>
    <m/>
    <m/>
    <x v="0"/>
    <m/>
    <m/>
    <m/>
    <n v="0"/>
    <m/>
  </r>
  <r>
    <x v="163"/>
    <s v="MECHANICAL"/>
    <x v="9"/>
    <x v="0"/>
    <x v="162"/>
    <x v="163"/>
    <s v="A5"/>
    <x v="0"/>
    <m/>
    <m/>
    <m/>
    <m/>
    <x v="0"/>
    <m/>
    <m/>
    <m/>
    <n v="0"/>
    <m/>
  </r>
  <r>
    <x v="164"/>
    <s v="FASTENERS"/>
    <x v="11"/>
    <x v="0"/>
    <x v="163"/>
    <x v="164"/>
    <s v="A5"/>
    <x v="0"/>
    <m/>
    <m/>
    <m/>
    <m/>
    <x v="0"/>
    <m/>
    <m/>
    <m/>
    <n v="0"/>
    <m/>
  </r>
  <r>
    <x v="165"/>
    <s v="ROLLERS"/>
    <x v="12"/>
    <x v="0"/>
    <x v="164"/>
    <x v="165"/>
    <s v="A5"/>
    <x v="0"/>
    <m/>
    <m/>
    <m/>
    <m/>
    <x v="0"/>
    <m/>
    <m/>
    <m/>
    <n v="0"/>
    <m/>
  </r>
  <r>
    <x v="166"/>
    <s v="ROLLERS"/>
    <x v="12"/>
    <x v="0"/>
    <x v="165"/>
    <x v="166"/>
    <s v="A5"/>
    <x v="0"/>
    <m/>
    <m/>
    <m/>
    <m/>
    <x v="0"/>
    <m/>
    <m/>
    <m/>
    <n v="0"/>
    <m/>
  </r>
  <r>
    <x v="167"/>
    <s v="MECHANICAL"/>
    <x v="9"/>
    <x v="0"/>
    <x v="166"/>
    <x v="167"/>
    <s v="A5"/>
    <x v="0"/>
    <m/>
    <m/>
    <m/>
    <m/>
    <x v="0"/>
    <m/>
    <m/>
    <m/>
    <n v="0"/>
    <m/>
  </r>
  <r>
    <x v="168"/>
    <s v="GEAR"/>
    <x v="8"/>
    <x v="0"/>
    <x v="167"/>
    <x v="168"/>
    <s v="A5"/>
    <x v="0"/>
    <m/>
    <m/>
    <m/>
    <m/>
    <x v="0"/>
    <m/>
    <m/>
    <m/>
    <n v="0"/>
    <m/>
  </r>
  <r>
    <x v="169"/>
    <s v="GEAR"/>
    <x v="8"/>
    <x v="0"/>
    <x v="168"/>
    <x v="169"/>
    <s v="A5"/>
    <x v="0"/>
    <m/>
    <m/>
    <m/>
    <m/>
    <x v="0"/>
    <m/>
    <m/>
    <m/>
    <n v="0"/>
    <m/>
  </r>
  <r>
    <x v="170"/>
    <s v="ROLLERS"/>
    <x v="12"/>
    <x v="0"/>
    <x v="169"/>
    <x v="170"/>
    <s v="A5"/>
    <x v="0"/>
    <m/>
    <m/>
    <m/>
    <m/>
    <x v="0"/>
    <m/>
    <m/>
    <m/>
    <n v="0"/>
    <m/>
  </r>
  <r>
    <x v="171"/>
    <s v="KNIVES"/>
    <x v="13"/>
    <x v="0"/>
    <x v="170"/>
    <x v="171"/>
    <s v="A5"/>
    <x v="0"/>
    <m/>
    <m/>
    <m/>
    <m/>
    <x v="0"/>
    <m/>
    <m/>
    <m/>
    <n v="0"/>
    <m/>
  </r>
  <r>
    <x v="172"/>
    <s v="ROLLERS"/>
    <x v="14"/>
    <x v="0"/>
    <x v="171"/>
    <x v="172"/>
    <s v="A5"/>
    <x v="0"/>
    <m/>
    <m/>
    <m/>
    <m/>
    <x v="0"/>
    <m/>
    <m/>
    <m/>
    <n v="0"/>
    <m/>
  </r>
  <r>
    <x v="173"/>
    <s v="KNIVES"/>
    <x v="13"/>
    <x v="0"/>
    <x v="170"/>
    <x v="173"/>
    <s v="A5"/>
    <x v="0"/>
    <m/>
    <m/>
    <m/>
    <m/>
    <x v="0"/>
    <m/>
    <m/>
    <m/>
    <n v="0"/>
    <m/>
  </r>
  <r>
    <x v="174"/>
    <s v="MECHANICAL"/>
    <x v="9"/>
    <x v="0"/>
    <x v="172"/>
    <x v="174"/>
    <s v="A5"/>
    <x v="0"/>
    <m/>
    <m/>
    <m/>
    <m/>
    <x v="0"/>
    <m/>
    <m/>
    <m/>
    <n v="0"/>
    <m/>
  </r>
  <r>
    <x v="175"/>
    <s v="MECHANICAL"/>
    <x v="9"/>
    <x v="0"/>
    <x v="158"/>
    <x v="175"/>
    <s v="A5"/>
    <x v="0"/>
    <m/>
    <m/>
    <m/>
    <m/>
    <x v="0"/>
    <m/>
    <m/>
    <m/>
    <n v="0"/>
    <m/>
  </r>
  <r>
    <x v="176"/>
    <s v="MECHANICAL"/>
    <x v="15"/>
    <x v="0"/>
    <x v="173"/>
    <x v="176"/>
    <s v="A5"/>
    <x v="0"/>
    <m/>
    <m/>
    <m/>
    <m/>
    <x v="0"/>
    <m/>
    <m/>
    <m/>
    <n v="0"/>
    <m/>
  </r>
  <r>
    <x v="177"/>
    <s v="FASTENERS"/>
    <x v="11"/>
    <x v="0"/>
    <x v="163"/>
    <x v="177"/>
    <s v="A5"/>
    <x v="0"/>
    <m/>
    <m/>
    <m/>
    <m/>
    <x v="0"/>
    <m/>
    <m/>
    <m/>
    <n v="0"/>
    <m/>
  </r>
  <r>
    <x v="178"/>
    <s v="GEAR"/>
    <x v="8"/>
    <x v="0"/>
    <x v="174"/>
    <x v="178"/>
    <s v="A5"/>
    <x v="0"/>
    <m/>
    <m/>
    <m/>
    <m/>
    <x v="0"/>
    <m/>
    <m/>
    <m/>
    <n v="0"/>
    <m/>
  </r>
  <r>
    <x v="179"/>
    <s v="GEAR"/>
    <x v="8"/>
    <x v="0"/>
    <x v="175"/>
    <x v="179"/>
    <s v="A5"/>
    <x v="0"/>
    <m/>
    <m/>
    <m/>
    <m/>
    <x v="0"/>
    <m/>
    <m/>
    <m/>
    <n v="0"/>
    <m/>
  </r>
  <r>
    <x v="180"/>
    <s v="GEAR"/>
    <x v="8"/>
    <x v="0"/>
    <x v="176"/>
    <x v="180"/>
    <s v="A5"/>
    <x v="0"/>
    <m/>
    <m/>
    <m/>
    <m/>
    <x v="0"/>
    <m/>
    <m/>
    <m/>
    <n v="0"/>
    <m/>
  </r>
  <r>
    <x v="181"/>
    <s v="GEAR"/>
    <x v="8"/>
    <x v="0"/>
    <x v="177"/>
    <x v="181"/>
    <s v="A5"/>
    <x v="0"/>
    <m/>
    <m/>
    <m/>
    <m/>
    <x v="0"/>
    <m/>
    <m/>
    <m/>
    <n v="0"/>
    <m/>
  </r>
  <r>
    <x v="182"/>
    <s v="GEAR"/>
    <x v="16"/>
    <x v="0"/>
    <x v="178"/>
    <x v="182"/>
    <s v="A5"/>
    <x v="0"/>
    <m/>
    <m/>
    <m/>
    <m/>
    <x v="0"/>
    <m/>
    <m/>
    <m/>
    <n v="0"/>
    <m/>
  </r>
  <r>
    <x v="183"/>
    <s v="MECHANICAL"/>
    <x v="9"/>
    <x v="0"/>
    <x v="179"/>
    <x v="183"/>
    <s v="A5"/>
    <x v="0"/>
    <m/>
    <m/>
    <m/>
    <m/>
    <x v="0"/>
    <m/>
    <m/>
    <m/>
    <n v="0"/>
    <m/>
  </r>
  <r>
    <x v="184"/>
    <s v="MECHANICAL"/>
    <x v="9"/>
    <x v="0"/>
    <x v="180"/>
    <x v="184"/>
    <s v="A5"/>
    <x v="0"/>
    <m/>
    <m/>
    <m/>
    <m/>
    <x v="0"/>
    <m/>
    <m/>
    <m/>
    <n v="0"/>
    <m/>
  </r>
  <r>
    <x v="185"/>
    <s v="GEAR"/>
    <x v="8"/>
    <x v="0"/>
    <x v="181"/>
    <x v="185"/>
    <s v="A5"/>
    <x v="0"/>
    <m/>
    <m/>
    <m/>
    <m/>
    <x v="0"/>
    <m/>
    <m/>
    <m/>
    <n v="0"/>
    <m/>
  </r>
  <r>
    <x v="186"/>
    <s v="MECHANICAL"/>
    <x v="9"/>
    <x v="0"/>
    <x v="182"/>
    <x v="186"/>
    <s v="A5"/>
    <x v="0"/>
    <m/>
    <m/>
    <m/>
    <m/>
    <x v="0"/>
    <m/>
    <m/>
    <m/>
    <n v="0"/>
    <m/>
  </r>
  <r>
    <x v="187"/>
    <s v="BELTS"/>
    <x v="17"/>
    <x v="0"/>
    <x v="183"/>
    <x v="187"/>
    <s v="A5"/>
    <x v="0"/>
    <m/>
    <m/>
    <m/>
    <m/>
    <x v="1"/>
    <m/>
    <m/>
    <m/>
    <n v="370"/>
    <m/>
  </r>
  <r>
    <x v="188"/>
    <s v="GEAR"/>
    <x v="8"/>
    <x v="0"/>
    <x v="184"/>
    <x v="188"/>
    <s v="A5"/>
    <x v="0"/>
    <m/>
    <m/>
    <m/>
    <m/>
    <x v="0"/>
    <m/>
    <m/>
    <m/>
    <n v="0"/>
    <m/>
  </r>
  <r>
    <x v="189"/>
    <s v="ROLLERS"/>
    <x v="18"/>
    <x v="0"/>
    <x v="185"/>
    <x v="189"/>
    <s v="A5"/>
    <x v="0"/>
    <m/>
    <m/>
    <m/>
    <m/>
    <x v="0"/>
    <m/>
    <m/>
    <m/>
    <n v="0"/>
    <m/>
  </r>
  <r>
    <x v="190"/>
    <s v="ELECTRICAL"/>
    <x v="19"/>
    <x v="0"/>
    <x v="186"/>
    <x v="190"/>
    <s v="A5"/>
    <x v="0"/>
    <m/>
    <m/>
    <m/>
    <m/>
    <x v="0"/>
    <m/>
    <m/>
    <m/>
    <n v="0"/>
    <m/>
  </r>
  <r>
    <x v="191"/>
    <s v="MECHANICAL"/>
    <x v="20"/>
    <x v="0"/>
    <x v="187"/>
    <x v="191"/>
    <s v="A5"/>
    <x v="0"/>
    <m/>
    <m/>
    <m/>
    <m/>
    <x v="0"/>
    <m/>
    <m/>
    <m/>
    <n v="0"/>
    <m/>
  </r>
  <r>
    <x v="192"/>
    <s v="FASTENERS"/>
    <x v="11"/>
    <x v="0"/>
    <x v="188"/>
    <x v="192"/>
    <s v="A5"/>
    <x v="0"/>
    <m/>
    <m/>
    <m/>
    <m/>
    <x v="0"/>
    <m/>
    <m/>
    <m/>
    <n v="0"/>
    <m/>
  </r>
  <r>
    <x v="193"/>
    <s v="MECHANICAL"/>
    <x v="9"/>
    <x v="0"/>
    <x v="189"/>
    <x v="193"/>
    <s v="A5"/>
    <x v="0"/>
    <m/>
    <m/>
    <m/>
    <m/>
    <x v="0"/>
    <m/>
    <m/>
    <m/>
    <n v="0"/>
    <m/>
  </r>
  <r>
    <x v="194"/>
    <s v="MECHANICAL"/>
    <x v="9"/>
    <x v="0"/>
    <x v="190"/>
    <x v="194"/>
    <s v="A5"/>
    <x v="0"/>
    <m/>
    <m/>
    <m/>
    <m/>
    <x v="0"/>
    <m/>
    <m/>
    <m/>
    <n v="0"/>
    <m/>
  </r>
  <r>
    <x v="195"/>
    <s v="MECHANICAL"/>
    <x v="9"/>
    <x v="0"/>
    <x v="191"/>
    <x v="195"/>
    <s v="A5"/>
    <x v="0"/>
    <m/>
    <m/>
    <m/>
    <m/>
    <x v="0"/>
    <m/>
    <m/>
    <m/>
    <n v="0"/>
    <m/>
  </r>
  <r>
    <x v="196"/>
    <s v="MECHANICAL"/>
    <x v="9"/>
    <x v="0"/>
    <x v="192"/>
    <x v="196"/>
    <s v="A5"/>
    <x v="0"/>
    <m/>
    <m/>
    <m/>
    <m/>
    <x v="0"/>
    <m/>
    <m/>
    <m/>
    <n v="0"/>
    <m/>
  </r>
  <r>
    <x v="197"/>
    <s v="MECHANICAL"/>
    <x v="9"/>
    <x v="0"/>
    <x v="193"/>
    <x v="197"/>
    <s v="A5"/>
    <x v="0"/>
    <m/>
    <m/>
    <m/>
    <m/>
    <x v="0"/>
    <m/>
    <m/>
    <m/>
    <n v="0"/>
    <m/>
  </r>
  <r>
    <x v="198"/>
    <s v="MECHANICAL"/>
    <x v="9"/>
    <x v="0"/>
    <x v="33"/>
    <x v="198"/>
    <s v="A5"/>
    <x v="0"/>
    <m/>
    <m/>
    <m/>
    <m/>
    <x v="0"/>
    <m/>
    <m/>
    <m/>
    <n v="0"/>
    <m/>
  </r>
  <r>
    <x v="199"/>
    <s v="GEAR"/>
    <x v="8"/>
    <x v="0"/>
    <x v="194"/>
    <x v="199"/>
    <s v="B1"/>
    <x v="0"/>
    <m/>
    <m/>
    <m/>
    <m/>
    <x v="0"/>
    <m/>
    <m/>
    <m/>
    <n v="0"/>
    <m/>
  </r>
  <r>
    <x v="200"/>
    <s v="PNEUMATIC"/>
    <x v="21"/>
    <x v="0"/>
    <x v="195"/>
    <x v="200"/>
    <s v="B1"/>
    <x v="0"/>
    <m/>
    <m/>
    <m/>
    <m/>
    <x v="0"/>
    <m/>
    <m/>
    <m/>
    <n v="0"/>
    <m/>
  </r>
  <r>
    <x v="201"/>
    <s v="BEARINGS"/>
    <x v="6"/>
    <x v="0"/>
    <x v="196"/>
    <x v="201"/>
    <s v="B1"/>
    <x v="0"/>
    <m/>
    <m/>
    <m/>
    <m/>
    <x v="0"/>
    <m/>
    <m/>
    <m/>
    <n v="0"/>
    <m/>
  </r>
  <r>
    <x v="202"/>
    <s v="BELTS"/>
    <x v="17"/>
    <x v="0"/>
    <x v="197"/>
    <x v="202"/>
    <s v="B1"/>
    <x v="0"/>
    <m/>
    <m/>
    <m/>
    <m/>
    <x v="2"/>
    <m/>
    <m/>
    <m/>
    <n v="60"/>
    <m/>
  </r>
  <r>
    <x v="203"/>
    <s v="GEAR"/>
    <x v="8"/>
    <x v="0"/>
    <x v="198"/>
    <x v="203"/>
    <s v="B1"/>
    <x v="0"/>
    <m/>
    <m/>
    <m/>
    <m/>
    <x v="0"/>
    <m/>
    <m/>
    <m/>
    <n v="0"/>
    <m/>
  </r>
  <r>
    <x v="204"/>
    <s v="FASTENERS"/>
    <x v="11"/>
    <x v="0"/>
    <x v="199"/>
    <x v="204"/>
    <s v="B1"/>
    <x v="0"/>
    <m/>
    <m/>
    <m/>
    <m/>
    <x v="0"/>
    <m/>
    <m/>
    <m/>
    <n v="0"/>
    <m/>
  </r>
  <r>
    <x v="205"/>
    <s v="ELECTRICAL"/>
    <x v="22"/>
    <x v="0"/>
    <x v="200"/>
    <x v="205"/>
    <s v="B1"/>
    <x v="0"/>
    <m/>
    <m/>
    <m/>
    <m/>
    <x v="0"/>
    <m/>
    <m/>
    <m/>
    <n v="0"/>
    <m/>
  </r>
  <r>
    <x v="206"/>
    <s v="MECHANICAL"/>
    <x v="9"/>
    <x v="0"/>
    <x v="201"/>
    <x v="206"/>
    <s v="B1"/>
    <x v="0"/>
    <m/>
    <m/>
    <m/>
    <m/>
    <x v="0"/>
    <m/>
    <m/>
    <m/>
    <n v="0"/>
    <m/>
  </r>
  <r>
    <x v="207"/>
    <s v="MECHANICAL"/>
    <x v="9"/>
    <x v="0"/>
    <x v="202"/>
    <x v="207"/>
    <s v="B1"/>
    <x v="0"/>
    <m/>
    <m/>
    <m/>
    <m/>
    <x v="0"/>
    <m/>
    <m/>
    <m/>
    <n v="0"/>
    <m/>
  </r>
  <r>
    <x v="208"/>
    <s v="PNEUMATIC"/>
    <x v="23"/>
    <x v="0"/>
    <x v="203"/>
    <x v="208"/>
    <s v="B1"/>
    <x v="0"/>
    <m/>
    <m/>
    <m/>
    <m/>
    <x v="0"/>
    <m/>
    <m/>
    <m/>
    <n v="0"/>
    <m/>
  </r>
  <r>
    <x v="209"/>
    <s v="MECHANICAL"/>
    <x v="24"/>
    <x v="0"/>
    <x v="204"/>
    <x v="209"/>
    <s v="B1"/>
    <x v="0"/>
    <m/>
    <m/>
    <m/>
    <m/>
    <x v="0"/>
    <m/>
    <m/>
    <m/>
    <n v="0"/>
    <m/>
  </r>
  <r>
    <x v="210"/>
    <s v="PNEUMATIC"/>
    <x v="25"/>
    <x v="0"/>
    <x v="205"/>
    <x v="210"/>
    <s v="B1"/>
    <x v="0"/>
    <m/>
    <m/>
    <m/>
    <m/>
    <x v="0"/>
    <m/>
    <m/>
    <m/>
    <n v="0"/>
    <m/>
  </r>
  <r>
    <x v="211"/>
    <s v="MECHANICAL"/>
    <x v="26"/>
    <x v="0"/>
    <x v="206"/>
    <x v="211"/>
    <s v="B1"/>
    <x v="0"/>
    <m/>
    <m/>
    <m/>
    <m/>
    <x v="0"/>
    <m/>
    <m/>
    <m/>
    <n v="0"/>
    <m/>
  </r>
  <r>
    <x v="212"/>
    <s v="PNEUMATIC"/>
    <x v="27"/>
    <x v="0"/>
    <x v="207"/>
    <x v="212"/>
    <s v="B1"/>
    <x v="0"/>
    <m/>
    <m/>
    <m/>
    <m/>
    <x v="0"/>
    <m/>
    <m/>
    <m/>
    <n v="0"/>
    <m/>
  </r>
  <r>
    <x v="213"/>
    <s v="CHAINS"/>
    <x v="28"/>
    <x v="0"/>
    <x v="208"/>
    <x v="213"/>
    <s v="B1"/>
    <x v="0"/>
    <m/>
    <m/>
    <m/>
    <m/>
    <x v="0"/>
    <m/>
    <m/>
    <m/>
    <n v="0"/>
    <m/>
  </r>
  <r>
    <x v="214"/>
    <s v="MECHANICAL"/>
    <x v="26"/>
    <x v="0"/>
    <x v="209"/>
    <x v="214"/>
    <s v="B1"/>
    <x v="0"/>
    <m/>
    <m/>
    <m/>
    <m/>
    <x v="0"/>
    <m/>
    <m/>
    <m/>
    <n v="0"/>
    <m/>
  </r>
  <r>
    <x v="215"/>
    <s v="MECHANICAL"/>
    <x v="24"/>
    <x v="0"/>
    <x v="210"/>
    <x v="215"/>
    <s v="B1"/>
    <x v="0"/>
    <m/>
    <m/>
    <m/>
    <m/>
    <x v="0"/>
    <m/>
    <m/>
    <m/>
    <n v="0"/>
    <m/>
  </r>
  <r>
    <x v="216"/>
    <s v="MECHANICAL"/>
    <x v="26"/>
    <x v="0"/>
    <x v="211"/>
    <x v="216"/>
    <s v="B1"/>
    <x v="0"/>
    <m/>
    <m/>
    <m/>
    <m/>
    <x v="0"/>
    <m/>
    <m/>
    <m/>
    <n v="0"/>
    <m/>
  </r>
  <r>
    <x v="217"/>
    <s v="MISCELLANEOUS"/>
    <x v="29"/>
    <x v="0"/>
    <x v="212"/>
    <x v="217"/>
    <s v="B1"/>
    <x v="0"/>
    <m/>
    <m/>
    <m/>
    <m/>
    <x v="0"/>
    <m/>
    <m/>
    <m/>
    <n v="0"/>
    <m/>
  </r>
  <r>
    <x v="218"/>
    <s v="PNEUMATIC"/>
    <x v="30"/>
    <x v="0"/>
    <x v="213"/>
    <x v="218"/>
    <s v="B1"/>
    <x v="0"/>
    <m/>
    <m/>
    <m/>
    <m/>
    <x v="0"/>
    <m/>
    <m/>
    <m/>
    <n v="0"/>
    <m/>
  </r>
  <r>
    <x v="219"/>
    <s v="MECHANICAL"/>
    <x v="20"/>
    <x v="0"/>
    <x v="214"/>
    <x v="219"/>
    <s v="B1"/>
    <x v="0"/>
    <m/>
    <m/>
    <m/>
    <m/>
    <x v="0"/>
    <m/>
    <m/>
    <m/>
    <n v="0"/>
    <m/>
  </r>
  <r>
    <x v="220"/>
    <s v="TAPES"/>
    <x v="31"/>
    <x v="0"/>
    <x v="215"/>
    <x v="220"/>
    <s v="B1"/>
    <x v="0"/>
    <m/>
    <m/>
    <m/>
    <m/>
    <x v="0"/>
    <m/>
    <m/>
    <m/>
    <n v="0"/>
    <m/>
  </r>
  <r>
    <x v="221"/>
    <s v="MISCELLANEOUS"/>
    <x v="29"/>
    <x v="0"/>
    <x v="216"/>
    <x v="221"/>
    <s v="B1"/>
    <x v="0"/>
    <m/>
    <m/>
    <m/>
    <m/>
    <x v="0"/>
    <m/>
    <m/>
    <m/>
    <n v="0"/>
    <m/>
  </r>
  <r>
    <x v="222"/>
    <s v="MECHANICAL"/>
    <x v="32"/>
    <x v="0"/>
    <x v="217"/>
    <x v="222"/>
    <s v="B1"/>
    <x v="0"/>
    <m/>
    <m/>
    <m/>
    <m/>
    <x v="0"/>
    <m/>
    <m/>
    <m/>
    <n v="0"/>
    <m/>
  </r>
  <r>
    <x v="223"/>
    <s v="HYDRAULICS"/>
    <x v="33"/>
    <x v="0"/>
    <x v="218"/>
    <x v="223"/>
    <s v="B1"/>
    <x v="0"/>
    <m/>
    <m/>
    <m/>
    <m/>
    <x v="0"/>
    <m/>
    <m/>
    <m/>
    <n v="0"/>
    <m/>
  </r>
  <r>
    <x v="224"/>
    <s v="HYDRAULICS"/>
    <x v="34"/>
    <x v="0"/>
    <x v="219"/>
    <x v="224"/>
    <s v="B1"/>
    <x v="0"/>
    <m/>
    <m/>
    <m/>
    <m/>
    <x v="0"/>
    <m/>
    <m/>
    <m/>
    <n v="0"/>
    <m/>
  </r>
  <r>
    <x v="225"/>
    <s v="MECHANICAL"/>
    <x v="35"/>
    <x v="0"/>
    <x v="220"/>
    <x v="225"/>
    <s v="B2"/>
    <x v="0"/>
    <m/>
    <m/>
    <m/>
    <m/>
    <x v="0"/>
    <m/>
    <m/>
    <m/>
    <n v="0"/>
    <m/>
  </r>
  <r>
    <x v="226"/>
    <s v="MECHANICAL"/>
    <x v="20"/>
    <x v="0"/>
    <x v="187"/>
    <x v="226"/>
    <s v="B2"/>
    <x v="0"/>
    <m/>
    <m/>
    <m/>
    <m/>
    <x v="0"/>
    <m/>
    <m/>
    <m/>
    <n v="0"/>
    <m/>
  </r>
  <r>
    <x v="227"/>
    <s v="MECHANICAL"/>
    <x v="24"/>
    <x v="0"/>
    <x v="221"/>
    <x v="227"/>
    <s v="B2"/>
    <x v="0"/>
    <m/>
    <m/>
    <m/>
    <m/>
    <x v="0"/>
    <m/>
    <m/>
    <m/>
    <n v="0"/>
    <m/>
  </r>
  <r>
    <x v="228"/>
    <s v="MECHANICAL"/>
    <x v="21"/>
    <x v="0"/>
    <x v="222"/>
    <x v="228"/>
    <s v="B2"/>
    <x v="0"/>
    <m/>
    <m/>
    <m/>
    <m/>
    <x v="0"/>
    <m/>
    <m/>
    <m/>
    <n v="0"/>
    <m/>
  </r>
  <r>
    <x v="229"/>
    <s v="GEAR"/>
    <x v="16"/>
    <x v="0"/>
    <x v="223"/>
    <x v="229"/>
    <s v="B2"/>
    <x v="0"/>
    <m/>
    <m/>
    <m/>
    <m/>
    <x v="0"/>
    <m/>
    <m/>
    <m/>
    <n v="0"/>
    <m/>
  </r>
  <r>
    <x v="230"/>
    <s v="MECHANICAL"/>
    <x v="36"/>
    <x v="0"/>
    <x v="224"/>
    <x v="230"/>
    <s v="B2"/>
    <x v="0"/>
    <m/>
    <m/>
    <m/>
    <m/>
    <x v="0"/>
    <m/>
    <m/>
    <m/>
    <n v="0"/>
    <m/>
  </r>
  <r>
    <x v="231"/>
    <s v="MECHANICAL"/>
    <x v="20"/>
    <x v="0"/>
    <x v="187"/>
    <x v="231"/>
    <s v="B2"/>
    <x v="0"/>
    <m/>
    <m/>
    <m/>
    <m/>
    <x v="0"/>
    <m/>
    <m/>
    <m/>
    <n v="0"/>
    <m/>
  </r>
  <r>
    <x v="232"/>
    <s v="MECHANICAL"/>
    <x v="21"/>
    <x v="0"/>
    <x v="225"/>
    <x v="232"/>
    <s v="B2"/>
    <x v="0"/>
    <m/>
    <m/>
    <m/>
    <m/>
    <x v="0"/>
    <m/>
    <m/>
    <m/>
    <n v="0"/>
    <m/>
  </r>
  <r>
    <x v="233"/>
    <s v="MISCELLANEOUS"/>
    <x v="37"/>
    <x v="0"/>
    <x v="226"/>
    <x v="233"/>
    <s v="B2"/>
    <x v="0"/>
    <m/>
    <m/>
    <m/>
    <m/>
    <x v="0"/>
    <m/>
    <m/>
    <m/>
    <n v="0"/>
    <m/>
  </r>
  <r>
    <x v="234"/>
    <s v="MECHANICAL"/>
    <x v="35"/>
    <x v="0"/>
    <x v="227"/>
    <x v="234"/>
    <s v="B2"/>
    <x v="0"/>
    <m/>
    <m/>
    <m/>
    <m/>
    <x v="0"/>
    <m/>
    <m/>
    <m/>
    <n v="0"/>
    <m/>
  </r>
  <r>
    <x v="235"/>
    <s v="MECHANICAL"/>
    <x v="35"/>
    <x v="0"/>
    <x v="228"/>
    <x v="235"/>
    <s v="B2"/>
    <x v="0"/>
    <m/>
    <m/>
    <m/>
    <m/>
    <x v="0"/>
    <m/>
    <m/>
    <m/>
    <n v="0"/>
    <m/>
  </r>
  <r>
    <x v="236"/>
    <s v="MECHANICAL"/>
    <x v="35"/>
    <x v="0"/>
    <x v="229"/>
    <x v="236"/>
    <s v="B2"/>
    <x v="0"/>
    <m/>
    <m/>
    <m/>
    <m/>
    <x v="0"/>
    <m/>
    <m/>
    <m/>
    <n v="0"/>
    <m/>
  </r>
  <r>
    <x v="237"/>
    <s v="MECHANICAL"/>
    <x v="35"/>
    <x v="0"/>
    <x v="230"/>
    <x v="237"/>
    <s v="B2"/>
    <x v="0"/>
    <m/>
    <m/>
    <m/>
    <m/>
    <x v="0"/>
    <m/>
    <m/>
    <m/>
    <n v="0"/>
    <m/>
  </r>
  <r>
    <x v="238"/>
    <s v="MECHANICAL"/>
    <x v="21"/>
    <x v="0"/>
    <x v="231"/>
    <x v="238"/>
    <s v="B2"/>
    <x v="0"/>
    <m/>
    <m/>
    <m/>
    <m/>
    <x v="0"/>
    <m/>
    <m/>
    <m/>
    <n v="0"/>
    <m/>
  </r>
  <r>
    <x v="239"/>
    <s v="MECHANICAL"/>
    <x v="35"/>
    <x v="0"/>
    <x v="232"/>
    <x v="239"/>
    <s v="B2"/>
    <x v="0"/>
    <m/>
    <m/>
    <m/>
    <m/>
    <x v="0"/>
    <m/>
    <m/>
    <m/>
    <n v="0"/>
    <m/>
  </r>
  <r>
    <x v="240"/>
    <s v="MECHANICAL"/>
    <x v="35"/>
    <x v="0"/>
    <x v="233"/>
    <x v="240"/>
    <s v="B2"/>
    <x v="0"/>
    <m/>
    <m/>
    <m/>
    <m/>
    <x v="0"/>
    <m/>
    <m/>
    <m/>
    <n v="0"/>
    <m/>
  </r>
  <r>
    <x v="241"/>
    <s v="MECHANICAL"/>
    <x v="35"/>
    <x v="0"/>
    <x v="234"/>
    <x v="241"/>
    <s v="B2"/>
    <x v="0"/>
    <m/>
    <m/>
    <m/>
    <m/>
    <x v="0"/>
    <m/>
    <m/>
    <m/>
    <n v="0"/>
    <m/>
  </r>
  <r>
    <x v="242"/>
    <s v="FASTENERS"/>
    <x v="11"/>
    <x v="0"/>
    <x v="235"/>
    <x v="242"/>
    <s v="B2"/>
    <x v="0"/>
    <m/>
    <m/>
    <m/>
    <m/>
    <x v="0"/>
    <m/>
    <m/>
    <m/>
    <n v="0"/>
    <m/>
  </r>
  <r>
    <x v="243"/>
    <s v="MECHANICAL"/>
    <x v="21"/>
    <x v="0"/>
    <x v="236"/>
    <x v="243"/>
    <s v="B2"/>
    <x v="0"/>
    <m/>
    <m/>
    <m/>
    <m/>
    <x v="0"/>
    <m/>
    <m/>
    <m/>
    <n v="0"/>
    <m/>
  </r>
  <r>
    <x v="244"/>
    <s v="MECHANICAL"/>
    <x v="35"/>
    <x v="0"/>
    <x v="237"/>
    <x v="244"/>
    <s v="B2"/>
    <x v="0"/>
    <m/>
    <m/>
    <m/>
    <m/>
    <x v="0"/>
    <m/>
    <m/>
    <m/>
    <n v="0"/>
    <m/>
  </r>
  <r>
    <x v="245"/>
    <s v="MECHANICAL"/>
    <x v="35"/>
    <x v="0"/>
    <x v="238"/>
    <x v="245"/>
    <s v="B2"/>
    <x v="0"/>
    <m/>
    <m/>
    <m/>
    <m/>
    <x v="0"/>
    <m/>
    <m/>
    <m/>
    <n v="0"/>
    <m/>
  </r>
  <r>
    <x v="246"/>
    <s v="MISCELLANEOUS"/>
    <x v="38"/>
    <x v="0"/>
    <x v="239"/>
    <x v="246"/>
    <s v="B2"/>
    <x v="0"/>
    <m/>
    <m/>
    <m/>
    <m/>
    <x v="0"/>
    <m/>
    <m/>
    <m/>
    <n v="0"/>
    <m/>
  </r>
  <r>
    <x v="247"/>
    <s v="MECHANICAL"/>
    <x v="26"/>
    <x v="0"/>
    <x v="240"/>
    <x v="247"/>
    <s v="B2"/>
    <x v="0"/>
    <m/>
    <m/>
    <m/>
    <m/>
    <x v="0"/>
    <m/>
    <m/>
    <m/>
    <n v="0"/>
    <m/>
  </r>
  <r>
    <x v="248"/>
    <s v="MECHANICAL"/>
    <x v="26"/>
    <x v="0"/>
    <x v="241"/>
    <x v="248"/>
    <s v="B2"/>
    <x v="0"/>
    <m/>
    <m/>
    <m/>
    <m/>
    <x v="0"/>
    <m/>
    <m/>
    <m/>
    <n v="0"/>
    <m/>
  </r>
  <r>
    <x v="249"/>
    <s v="MECHANICAL"/>
    <x v="21"/>
    <x v="0"/>
    <x v="242"/>
    <x v="249"/>
    <s v="B2"/>
    <x v="0"/>
    <m/>
    <m/>
    <m/>
    <m/>
    <x v="0"/>
    <m/>
    <m/>
    <m/>
    <n v="0"/>
    <m/>
  </r>
  <r>
    <x v="250"/>
    <s v="MISCELLANEOUS"/>
    <x v="37"/>
    <x v="0"/>
    <x v="243"/>
    <x v="250"/>
    <s v="B3"/>
    <x v="0"/>
    <m/>
    <m/>
    <m/>
    <m/>
    <x v="0"/>
    <m/>
    <m/>
    <m/>
    <n v="0"/>
    <m/>
  </r>
  <r>
    <x v="251"/>
    <s v="BELTS"/>
    <x v="39"/>
    <x v="0"/>
    <x v="244"/>
    <x v="251"/>
    <s v="B3"/>
    <x v="0"/>
    <m/>
    <m/>
    <m/>
    <m/>
    <x v="0"/>
    <m/>
    <m/>
    <m/>
    <n v="0"/>
    <m/>
  </r>
  <r>
    <x v="252"/>
    <s v="MECHANICAL"/>
    <x v="21"/>
    <x v="0"/>
    <x v="245"/>
    <x v="252"/>
    <s v="B3"/>
    <x v="0"/>
    <m/>
    <m/>
    <m/>
    <m/>
    <x v="0"/>
    <m/>
    <m/>
    <m/>
    <n v="0"/>
    <m/>
  </r>
  <r>
    <x v="253"/>
    <s v="MECHANICAL"/>
    <x v="15"/>
    <x v="0"/>
    <x v="246"/>
    <x v="253"/>
    <s v="B3"/>
    <x v="0"/>
    <m/>
    <m/>
    <m/>
    <m/>
    <x v="0"/>
    <m/>
    <m/>
    <m/>
    <n v="0"/>
    <m/>
  </r>
  <r>
    <x v="254"/>
    <s v="GEAR"/>
    <x v="16"/>
    <x v="0"/>
    <x v="247"/>
    <x v="254"/>
    <s v="B3"/>
    <x v="0"/>
    <m/>
    <m/>
    <m/>
    <m/>
    <x v="0"/>
    <m/>
    <m/>
    <m/>
    <n v="0"/>
    <m/>
  </r>
  <r>
    <x v="255"/>
    <s v="MECHANICAL"/>
    <x v="15"/>
    <x v="0"/>
    <x v="248"/>
    <x v="255"/>
    <s v="B3"/>
    <x v="0"/>
    <m/>
    <m/>
    <m/>
    <m/>
    <x v="0"/>
    <m/>
    <m/>
    <m/>
    <n v="0"/>
    <m/>
  </r>
  <r>
    <x v="256"/>
    <s v="GEAR"/>
    <x v="16"/>
    <x v="0"/>
    <x v="178"/>
    <x v="256"/>
    <s v="B3"/>
    <x v="0"/>
    <m/>
    <m/>
    <m/>
    <m/>
    <x v="0"/>
    <m/>
    <m/>
    <m/>
    <n v="0"/>
    <m/>
  </r>
  <r>
    <x v="257"/>
    <s v="GEAR"/>
    <x v="16"/>
    <x v="0"/>
    <x v="249"/>
    <x v="257"/>
    <s v="B3"/>
    <x v="0"/>
    <m/>
    <m/>
    <m/>
    <m/>
    <x v="0"/>
    <m/>
    <m/>
    <m/>
    <n v="0"/>
    <m/>
  </r>
  <r>
    <x v="258"/>
    <s v="MECHANICAL"/>
    <x v="40"/>
    <x v="0"/>
    <x v="250"/>
    <x v="258"/>
    <s v="B3"/>
    <x v="0"/>
    <m/>
    <m/>
    <m/>
    <m/>
    <x v="0"/>
    <m/>
    <m/>
    <m/>
    <n v="0"/>
    <m/>
  </r>
  <r>
    <x v="259"/>
    <s v="MECHANICAL"/>
    <x v="21"/>
    <x v="0"/>
    <x v="251"/>
    <x v="259"/>
    <s v="B3"/>
    <x v="0"/>
    <m/>
    <m/>
    <m/>
    <m/>
    <x v="0"/>
    <m/>
    <m/>
    <m/>
    <n v="0"/>
    <m/>
  </r>
  <r>
    <x v="260"/>
    <s v="MECHANICAL"/>
    <x v="21"/>
    <x v="0"/>
    <x v="252"/>
    <x v="260"/>
    <s v="B3"/>
    <x v="0"/>
    <m/>
    <m/>
    <m/>
    <m/>
    <x v="0"/>
    <m/>
    <m/>
    <m/>
    <n v="0"/>
    <m/>
  </r>
  <r>
    <x v="261"/>
    <s v="MECHANICAL"/>
    <x v="20"/>
    <x v="0"/>
    <x v="187"/>
    <x v="261"/>
    <s v="B3"/>
    <x v="0"/>
    <m/>
    <m/>
    <m/>
    <m/>
    <x v="0"/>
    <m/>
    <m/>
    <m/>
    <n v="0"/>
    <m/>
  </r>
  <r>
    <x v="262"/>
    <s v="MECHANICAL"/>
    <x v="41"/>
    <x v="0"/>
    <x v="253"/>
    <x v="262"/>
    <s v="B3"/>
    <x v="0"/>
    <m/>
    <m/>
    <m/>
    <m/>
    <x v="0"/>
    <m/>
    <m/>
    <m/>
    <n v="0"/>
    <m/>
  </r>
  <r>
    <x v="263"/>
    <s v="MISCELLANEOUS"/>
    <x v="42"/>
    <x v="0"/>
    <x v="254"/>
    <x v="263"/>
    <s v="B3"/>
    <x v="0"/>
    <m/>
    <m/>
    <m/>
    <m/>
    <x v="0"/>
    <m/>
    <m/>
    <m/>
    <n v="0"/>
    <m/>
  </r>
  <r>
    <x v="264"/>
    <s v="MECHANICAL"/>
    <x v="36"/>
    <x v="0"/>
    <x v="255"/>
    <x v="264"/>
    <s v="B3"/>
    <x v="0"/>
    <m/>
    <m/>
    <m/>
    <m/>
    <x v="0"/>
    <m/>
    <m/>
    <m/>
    <n v="0"/>
    <m/>
  </r>
  <r>
    <x v="265"/>
    <s v="MECHANICAL"/>
    <x v="43"/>
    <x v="0"/>
    <x v="256"/>
    <x v="265"/>
    <s v="B3"/>
    <x v="0"/>
    <m/>
    <m/>
    <m/>
    <m/>
    <x v="0"/>
    <m/>
    <m/>
    <m/>
    <n v="0"/>
    <m/>
  </r>
  <r>
    <x v="266"/>
    <s v="MECHANICAL"/>
    <x v="15"/>
    <x v="0"/>
    <x v="257"/>
    <x v="266"/>
    <s v="B3"/>
    <x v="0"/>
    <m/>
    <m/>
    <m/>
    <m/>
    <x v="0"/>
    <m/>
    <m/>
    <m/>
    <n v="0"/>
    <m/>
  </r>
  <r>
    <x v="267"/>
    <s v="MECHANICAL"/>
    <x v="23"/>
    <x v="0"/>
    <x v="258"/>
    <x v="267"/>
    <s v="B3"/>
    <x v="0"/>
    <m/>
    <m/>
    <m/>
    <m/>
    <x v="0"/>
    <m/>
    <m/>
    <m/>
    <n v="0"/>
    <m/>
  </r>
  <r>
    <x v="268"/>
    <s v="FASTENERS"/>
    <x v="44"/>
    <x v="0"/>
    <x v="259"/>
    <x v="268"/>
    <s v="B3"/>
    <x v="0"/>
    <m/>
    <m/>
    <m/>
    <m/>
    <x v="0"/>
    <m/>
    <m/>
    <m/>
    <n v="0"/>
    <m/>
  </r>
  <r>
    <x v="269"/>
    <s v="FASTENERS"/>
    <x v="44"/>
    <x v="0"/>
    <x v="260"/>
    <x v="269"/>
    <s v="B3"/>
    <x v="0"/>
    <m/>
    <m/>
    <m/>
    <m/>
    <x v="0"/>
    <m/>
    <m/>
    <m/>
    <n v="0"/>
    <m/>
  </r>
  <r>
    <x v="270"/>
    <s v="FASTENERS"/>
    <x v="44"/>
    <x v="0"/>
    <x v="261"/>
    <x v="270"/>
    <s v="B3"/>
    <x v="0"/>
    <m/>
    <m/>
    <m/>
    <m/>
    <x v="0"/>
    <m/>
    <m/>
    <m/>
    <n v="0"/>
    <m/>
  </r>
  <r>
    <x v="271"/>
    <s v="FASTENERS"/>
    <x v="44"/>
    <x v="0"/>
    <x v="262"/>
    <x v="271"/>
    <s v="B3"/>
    <x v="0"/>
    <m/>
    <m/>
    <m/>
    <m/>
    <x v="0"/>
    <m/>
    <m/>
    <m/>
    <n v="0"/>
    <m/>
  </r>
  <r>
    <x v="272"/>
    <s v="FASTENERS"/>
    <x v="11"/>
    <x v="0"/>
    <x v="263"/>
    <x v="272"/>
    <s v="B3"/>
    <x v="0"/>
    <m/>
    <m/>
    <m/>
    <m/>
    <x v="0"/>
    <m/>
    <m/>
    <m/>
    <n v="0"/>
    <m/>
  </r>
  <r>
    <x v="273"/>
    <s v="MECHANICAL"/>
    <x v="21"/>
    <x v="0"/>
    <x v="264"/>
    <x v="273"/>
    <s v="B3"/>
    <x v="0"/>
    <m/>
    <m/>
    <m/>
    <m/>
    <x v="0"/>
    <m/>
    <m/>
    <m/>
    <n v="0"/>
    <m/>
  </r>
  <r>
    <x v="274"/>
    <s v="MECHANICAL"/>
    <x v="45"/>
    <x v="0"/>
    <x v="265"/>
    <x v="274"/>
    <s v="B3"/>
    <x v="0"/>
    <m/>
    <m/>
    <m/>
    <m/>
    <x v="0"/>
    <m/>
    <m/>
    <m/>
    <n v="0"/>
    <m/>
  </r>
  <r>
    <x v="275"/>
    <s v="TAPES"/>
    <x v="31"/>
    <x v="0"/>
    <x v="266"/>
    <x v="275"/>
    <s v="B3"/>
    <x v="0"/>
    <m/>
    <m/>
    <m/>
    <m/>
    <x v="0"/>
    <m/>
    <m/>
    <m/>
    <n v="0"/>
    <m/>
  </r>
  <r>
    <x v="276"/>
    <s v="MECHANICAL"/>
    <x v="21"/>
    <x v="0"/>
    <x v="267"/>
    <x v="276"/>
    <s v="B3"/>
    <x v="0"/>
    <m/>
    <m/>
    <m/>
    <m/>
    <x v="0"/>
    <m/>
    <m/>
    <m/>
    <n v="0"/>
    <m/>
  </r>
  <r>
    <x v="277"/>
    <s v="MECHANICAL"/>
    <x v="21"/>
    <x v="0"/>
    <x v="268"/>
    <x v="277"/>
    <s v="B3"/>
    <x v="0"/>
    <m/>
    <m/>
    <m/>
    <m/>
    <x v="0"/>
    <m/>
    <m/>
    <m/>
    <n v="0"/>
    <m/>
  </r>
  <r>
    <x v="278"/>
    <s v="GEAR"/>
    <x v="8"/>
    <x v="0"/>
    <x v="181"/>
    <x v="278"/>
    <s v="B4"/>
    <x v="0"/>
    <m/>
    <m/>
    <m/>
    <m/>
    <x v="0"/>
    <m/>
    <m/>
    <m/>
    <n v="0"/>
    <m/>
  </r>
  <r>
    <x v="279"/>
    <s v="MECHANICAL"/>
    <x v="36"/>
    <x v="0"/>
    <x v="269"/>
    <x v="279"/>
    <s v="B4"/>
    <x v="0"/>
    <m/>
    <m/>
    <m/>
    <m/>
    <x v="0"/>
    <m/>
    <m/>
    <m/>
    <n v="0"/>
    <m/>
  </r>
  <r>
    <x v="280"/>
    <s v="MECHANICAL"/>
    <x v="36"/>
    <x v="0"/>
    <x v="270"/>
    <x v="280"/>
    <s v="B4"/>
    <x v="0"/>
    <m/>
    <m/>
    <m/>
    <m/>
    <x v="0"/>
    <m/>
    <m/>
    <m/>
    <n v="0"/>
    <m/>
  </r>
  <r>
    <x v="281"/>
    <s v="MECHANICAL"/>
    <x v="26"/>
    <x v="0"/>
    <x v="271"/>
    <x v="281"/>
    <s v="B4"/>
    <x v="0"/>
    <m/>
    <m/>
    <m/>
    <m/>
    <x v="0"/>
    <m/>
    <m/>
    <m/>
    <n v="0"/>
    <m/>
  </r>
  <r>
    <x v="282"/>
    <s v="MECHANICAL"/>
    <x v="21"/>
    <x v="0"/>
    <x v="272"/>
    <x v="282"/>
    <s v="B4"/>
    <x v="0"/>
    <m/>
    <m/>
    <m/>
    <m/>
    <x v="0"/>
    <m/>
    <m/>
    <m/>
    <n v="0"/>
    <m/>
  </r>
  <r>
    <x v="283"/>
    <s v="BEARINGS"/>
    <x v="6"/>
    <x v="0"/>
    <x v="273"/>
    <x v="283"/>
    <s v="B4"/>
    <x v="0"/>
    <m/>
    <m/>
    <m/>
    <m/>
    <x v="0"/>
    <m/>
    <m/>
    <m/>
    <n v="0"/>
    <m/>
  </r>
  <r>
    <x v="284"/>
    <s v="MECHANICAL"/>
    <x v="46"/>
    <x v="0"/>
    <x v="274"/>
    <x v="284"/>
    <s v="B4"/>
    <x v="0"/>
    <m/>
    <m/>
    <m/>
    <m/>
    <x v="0"/>
    <m/>
    <m/>
    <m/>
    <n v="0"/>
    <m/>
  </r>
  <r>
    <x v="285"/>
    <s v="MECHANICAL"/>
    <x v="43"/>
    <x v="0"/>
    <x v="275"/>
    <x v="285"/>
    <s v="B4"/>
    <x v="0"/>
    <m/>
    <m/>
    <m/>
    <m/>
    <x v="0"/>
    <m/>
    <m/>
    <m/>
    <n v="0"/>
    <m/>
  </r>
  <r>
    <x v="286"/>
    <s v="ROLLERS"/>
    <x v="47"/>
    <x v="0"/>
    <x v="276"/>
    <x v="286"/>
    <s v="B4"/>
    <x v="0"/>
    <m/>
    <m/>
    <m/>
    <m/>
    <x v="0"/>
    <m/>
    <m/>
    <m/>
    <n v="0"/>
    <m/>
  </r>
  <r>
    <x v="287"/>
    <s v="BEARINGS"/>
    <x v="10"/>
    <x v="0"/>
    <x v="277"/>
    <x v="287"/>
    <s v="B4"/>
    <x v="0"/>
    <m/>
    <m/>
    <m/>
    <m/>
    <x v="0"/>
    <m/>
    <m/>
    <m/>
    <n v="0"/>
    <m/>
  </r>
  <r>
    <x v="288"/>
    <s v="BEARINGS"/>
    <x v="10"/>
    <x v="0"/>
    <x v="278"/>
    <x v="288"/>
    <s v="B4"/>
    <x v="0"/>
    <m/>
    <m/>
    <m/>
    <m/>
    <x v="0"/>
    <m/>
    <m/>
    <m/>
    <n v="0"/>
    <m/>
  </r>
  <r>
    <x v="289"/>
    <s v="BEARINGS"/>
    <x v="10"/>
    <x v="0"/>
    <x v="279"/>
    <x v="289"/>
    <s v="B4"/>
    <x v="0"/>
    <m/>
    <m/>
    <m/>
    <m/>
    <x v="0"/>
    <m/>
    <m/>
    <m/>
    <n v="0"/>
    <m/>
  </r>
  <r>
    <x v="290"/>
    <s v="BEARINGS"/>
    <x v="6"/>
    <x v="0"/>
    <x v="280"/>
    <x v="290"/>
    <s v="B4"/>
    <x v="0"/>
    <m/>
    <m/>
    <m/>
    <m/>
    <x v="0"/>
    <m/>
    <m/>
    <m/>
    <n v="0"/>
    <m/>
  </r>
  <r>
    <x v="291"/>
    <s v="ROLLERS"/>
    <x v="18"/>
    <x v="0"/>
    <x v="281"/>
    <x v="291"/>
    <s v="B4"/>
    <x v="0"/>
    <m/>
    <m/>
    <m/>
    <m/>
    <x v="0"/>
    <m/>
    <m/>
    <m/>
    <n v="0"/>
    <m/>
  </r>
  <r>
    <x v="292"/>
    <s v="ROLLERS"/>
    <x v="48"/>
    <x v="0"/>
    <x v="282"/>
    <x v="292"/>
    <s v="B4"/>
    <x v="0"/>
    <m/>
    <m/>
    <m/>
    <m/>
    <x v="0"/>
    <m/>
    <m/>
    <m/>
    <n v="0"/>
    <m/>
  </r>
  <r>
    <x v="293"/>
    <s v="MECHANICAL"/>
    <x v="21"/>
    <x v="0"/>
    <x v="283"/>
    <x v="293"/>
    <s v="B4"/>
    <x v="0"/>
    <m/>
    <m/>
    <m/>
    <m/>
    <x v="0"/>
    <m/>
    <m/>
    <m/>
    <n v="0"/>
    <m/>
  </r>
  <r>
    <x v="294"/>
    <s v="MECHANICAL"/>
    <x v="21"/>
    <x v="0"/>
    <x v="284"/>
    <x v="294"/>
    <s v="B4"/>
    <x v="0"/>
    <m/>
    <m/>
    <m/>
    <m/>
    <x v="0"/>
    <m/>
    <m/>
    <m/>
    <n v="0"/>
    <m/>
  </r>
  <r>
    <x v="295"/>
    <s v="GEAR"/>
    <x v="8"/>
    <x v="0"/>
    <x v="285"/>
    <x v="295"/>
    <s v="B5"/>
    <x v="0"/>
    <m/>
    <m/>
    <m/>
    <m/>
    <x v="0"/>
    <m/>
    <m/>
    <m/>
    <n v="0"/>
    <m/>
  </r>
  <r>
    <x v="296"/>
    <s v="MECHANICAL"/>
    <x v="49"/>
    <x v="0"/>
    <x v="286"/>
    <x v="296"/>
    <s v="B5"/>
    <x v="0"/>
    <m/>
    <m/>
    <m/>
    <m/>
    <x v="0"/>
    <m/>
    <m/>
    <m/>
    <n v="0"/>
    <m/>
  </r>
  <r>
    <x v="297"/>
    <s v="MECHANICAL"/>
    <x v="20"/>
    <x v="0"/>
    <x v="287"/>
    <x v="297"/>
    <s v="B5"/>
    <x v="0"/>
    <m/>
    <m/>
    <m/>
    <m/>
    <x v="0"/>
    <m/>
    <m/>
    <m/>
    <n v="0"/>
    <m/>
  </r>
  <r>
    <x v="298"/>
    <s v="MECHANICAL"/>
    <x v="50"/>
    <x v="0"/>
    <x v="288"/>
    <x v="298"/>
    <s v="B5"/>
    <x v="0"/>
    <m/>
    <m/>
    <m/>
    <m/>
    <x v="0"/>
    <m/>
    <m/>
    <m/>
    <n v="0"/>
    <m/>
  </r>
  <r>
    <x v="299"/>
    <s v="ROLLERS"/>
    <x v="18"/>
    <x v="0"/>
    <x v="289"/>
    <x v="299"/>
    <s v="B5"/>
    <x v="0"/>
    <m/>
    <m/>
    <m/>
    <m/>
    <x v="0"/>
    <m/>
    <m/>
    <m/>
    <n v="0"/>
    <m/>
  </r>
  <r>
    <x v="300"/>
    <s v="ROLLERS"/>
    <x v="18"/>
    <x v="0"/>
    <x v="290"/>
    <x v="300"/>
    <s v="B5"/>
    <x v="0"/>
    <m/>
    <m/>
    <m/>
    <m/>
    <x v="0"/>
    <m/>
    <m/>
    <m/>
    <n v="0"/>
    <m/>
  </r>
  <r>
    <x v="301"/>
    <s v="MECHANICAL"/>
    <x v="50"/>
    <x v="0"/>
    <x v="291"/>
    <x v="301"/>
    <s v="B5"/>
    <x v="0"/>
    <m/>
    <m/>
    <m/>
    <m/>
    <x v="0"/>
    <m/>
    <m/>
    <m/>
    <n v="0"/>
    <m/>
  </r>
  <r>
    <x v="302"/>
    <s v="MECHANICAL"/>
    <x v="50"/>
    <x v="0"/>
    <x v="292"/>
    <x v="302"/>
    <s v="B5"/>
    <x v="0"/>
    <m/>
    <m/>
    <m/>
    <m/>
    <x v="0"/>
    <m/>
    <m/>
    <m/>
    <n v="0"/>
    <m/>
  </r>
  <r>
    <x v="303"/>
    <s v="ROLLERS"/>
    <x v="51"/>
    <x v="0"/>
    <x v="293"/>
    <x v="303"/>
    <s v="B5"/>
    <x v="0"/>
    <m/>
    <m/>
    <m/>
    <m/>
    <x v="0"/>
    <m/>
    <m/>
    <m/>
    <n v="0"/>
    <m/>
  </r>
  <r>
    <x v="304"/>
    <s v="ELECTRICAL"/>
    <x v="52"/>
    <x v="0"/>
    <x v="294"/>
    <x v="304"/>
    <s v="C1"/>
    <x v="0"/>
    <m/>
    <m/>
    <m/>
    <m/>
    <x v="0"/>
    <m/>
    <m/>
    <m/>
    <n v="0"/>
    <m/>
  </r>
  <r>
    <x v="305"/>
    <s v="PNEUMATIC"/>
    <x v="19"/>
    <x v="0"/>
    <x v="295"/>
    <x v="305"/>
    <s v="C1"/>
    <x v="0"/>
    <m/>
    <m/>
    <m/>
    <m/>
    <x v="0"/>
    <m/>
    <m/>
    <m/>
    <n v="0"/>
    <m/>
  </r>
  <r>
    <x v="306"/>
    <s v="ELECTRICAL"/>
    <x v="52"/>
    <x v="0"/>
    <x v="296"/>
    <x v="306"/>
    <s v="C1"/>
    <x v="0"/>
    <m/>
    <m/>
    <m/>
    <m/>
    <x v="0"/>
    <m/>
    <m/>
    <m/>
    <n v="0"/>
    <m/>
  </r>
  <r>
    <x v="307"/>
    <s v="ELECTRICAL"/>
    <x v="53"/>
    <x v="0"/>
    <x v="297"/>
    <x v="307"/>
    <s v="C1"/>
    <x v="0"/>
    <m/>
    <m/>
    <m/>
    <m/>
    <x v="0"/>
    <m/>
    <m/>
    <m/>
    <n v="0"/>
    <m/>
  </r>
  <r>
    <x v="308"/>
    <s v="ELECTRICAL"/>
    <x v="54"/>
    <x v="0"/>
    <x v="298"/>
    <x v="308"/>
    <s v="C1"/>
    <x v="0"/>
    <m/>
    <m/>
    <m/>
    <m/>
    <x v="0"/>
    <m/>
    <m/>
    <m/>
    <n v="0"/>
    <m/>
  </r>
  <r>
    <x v="309"/>
    <s v="ELECTRICAL"/>
    <x v="21"/>
    <x v="0"/>
    <x v="299"/>
    <x v="309"/>
    <s v="C1"/>
    <x v="0"/>
    <m/>
    <m/>
    <m/>
    <m/>
    <x v="0"/>
    <m/>
    <m/>
    <m/>
    <n v="0"/>
    <m/>
  </r>
  <r>
    <x v="310"/>
    <s v="ELECTRICAL"/>
    <x v="55"/>
    <x v="0"/>
    <x v="300"/>
    <x v="310"/>
    <s v="C1"/>
    <x v="0"/>
    <m/>
    <m/>
    <m/>
    <m/>
    <x v="0"/>
    <m/>
    <m/>
    <m/>
    <n v="0"/>
    <m/>
  </r>
  <r>
    <x v="311"/>
    <s v="ELECTRICAL"/>
    <x v="54"/>
    <x v="0"/>
    <x v="301"/>
    <x v="311"/>
    <s v="C1"/>
    <x v="0"/>
    <m/>
    <m/>
    <m/>
    <m/>
    <x v="0"/>
    <m/>
    <m/>
    <m/>
    <n v="0"/>
    <m/>
  </r>
  <r>
    <x v="312"/>
    <s v="ELECTRICAL"/>
    <x v="56"/>
    <x v="0"/>
    <x v="302"/>
    <x v="312"/>
    <s v="C1"/>
    <x v="0"/>
    <m/>
    <m/>
    <m/>
    <m/>
    <x v="0"/>
    <m/>
    <m/>
    <m/>
    <n v="0"/>
    <m/>
  </r>
  <r>
    <x v="313"/>
    <s v="PNEUMATIC"/>
    <x v="19"/>
    <x v="0"/>
    <x v="303"/>
    <x v="313"/>
    <s v="C1"/>
    <x v="0"/>
    <m/>
    <m/>
    <m/>
    <m/>
    <x v="0"/>
    <m/>
    <m/>
    <m/>
    <n v="0"/>
    <m/>
  </r>
  <r>
    <x v="314"/>
    <s v="ELECTRICAL"/>
    <x v="53"/>
    <x v="0"/>
    <x v="304"/>
    <x v="314"/>
    <s v="C1"/>
    <x v="0"/>
    <m/>
    <m/>
    <m/>
    <m/>
    <x v="0"/>
    <m/>
    <m/>
    <m/>
    <n v="0"/>
    <m/>
  </r>
  <r>
    <x v="315"/>
    <s v="ELECTRICAL"/>
    <x v="21"/>
    <x v="0"/>
    <x v="305"/>
    <x v="315"/>
    <s v="C1"/>
    <x v="0"/>
    <m/>
    <m/>
    <m/>
    <m/>
    <x v="0"/>
    <m/>
    <m/>
    <m/>
    <n v="0"/>
    <m/>
  </r>
  <r>
    <x v="316"/>
    <s v="ELECTRICAL"/>
    <x v="52"/>
    <x v="0"/>
    <x v="306"/>
    <x v="316"/>
    <s v="C1"/>
    <x v="0"/>
    <m/>
    <m/>
    <m/>
    <m/>
    <x v="0"/>
    <m/>
    <m/>
    <m/>
    <n v="0"/>
    <m/>
  </r>
  <r>
    <x v="317"/>
    <s v="ELECTRICAL"/>
    <x v="56"/>
    <x v="0"/>
    <x v="307"/>
    <x v="317"/>
    <s v="C1"/>
    <x v="0"/>
    <m/>
    <m/>
    <m/>
    <m/>
    <x v="0"/>
    <m/>
    <m/>
    <m/>
    <n v="0"/>
    <m/>
  </r>
  <r>
    <x v="318"/>
    <s v="ELECTRICAL"/>
    <x v="54"/>
    <x v="0"/>
    <x v="308"/>
    <x v="318"/>
    <s v="C1"/>
    <x v="0"/>
    <m/>
    <m/>
    <m/>
    <m/>
    <x v="0"/>
    <m/>
    <m/>
    <m/>
    <n v="0"/>
    <m/>
  </r>
  <r>
    <x v="319"/>
    <s v="ELECTRICAL"/>
    <x v="56"/>
    <x v="0"/>
    <x v="309"/>
    <x v="319"/>
    <s v="C1"/>
    <x v="0"/>
    <m/>
    <m/>
    <m/>
    <m/>
    <x v="0"/>
    <m/>
    <m/>
    <m/>
    <n v="0"/>
    <m/>
  </r>
  <r>
    <x v="320"/>
    <s v="ELECTRICAL"/>
    <x v="54"/>
    <x v="0"/>
    <x v="310"/>
    <x v="320"/>
    <s v="C1"/>
    <x v="0"/>
    <m/>
    <m/>
    <m/>
    <m/>
    <x v="0"/>
    <m/>
    <m/>
    <m/>
    <n v="0"/>
    <m/>
  </r>
  <r>
    <x v="321"/>
    <s v="ELECTRICAL"/>
    <x v="56"/>
    <x v="0"/>
    <x v="311"/>
    <x v="321"/>
    <s v="C1"/>
    <x v="0"/>
    <m/>
    <m/>
    <m/>
    <m/>
    <x v="0"/>
    <m/>
    <m/>
    <m/>
    <n v="0"/>
    <m/>
  </r>
  <r>
    <x v="322"/>
    <s v="ELECTRICAL"/>
    <x v="56"/>
    <x v="0"/>
    <x v="312"/>
    <x v="322"/>
    <s v="C1"/>
    <x v="0"/>
    <m/>
    <m/>
    <m/>
    <m/>
    <x v="0"/>
    <m/>
    <m/>
    <m/>
    <n v="0"/>
    <m/>
  </r>
  <r>
    <x v="323"/>
    <s v="ELECTRICAL"/>
    <x v="57"/>
    <x v="0"/>
    <x v="313"/>
    <x v="323"/>
    <s v="C1"/>
    <x v="0"/>
    <m/>
    <m/>
    <m/>
    <m/>
    <x v="0"/>
    <m/>
    <m/>
    <m/>
    <n v="0"/>
    <m/>
  </r>
  <r>
    <x v="324"/>
    <s v="ELECTRICAL"/>
    <x v="21"/>
    <x v="0"/>
    <x v="314"/>
    <x v="324"/>
    <s v="C1"/>
    <x v="0"/>
    <m/>
    <m/>
    <m/>
    <m/>
    <x v="0"/>
    <m/>
    <m/>
    <m/>
    <n v="0"/>
    <m/>
  </r>
  <r>
    <x v="325"/>
    <s v="ELECTRICAL"/>
    <x v="58"/>
    <x v="0"/>
    <x v="315"/>
    <x v="325"/>
    <s v="C1"/>
    <x v="0"/>
    <m/>
    <m/>
    <m/>
    <m/>
    <x v="0"/>
    <m/>
    <m/>
    <m/>
    <n v="0"/>
    <m/>
  </r>
  <r>
    <x v="326"/>
    <s v="ELECTRICAL"/>
    <x v="56"/>
    <x v="0"/>
    <x v="316"/>
    <x v="326"/>
    <s v="C1"/>
    <x v="0"/>
    <m/>
    <m/>
    <m/>
    <m/>
    <x v="0"/>
    <m/>
    <m/>
    <m/>
    <n v="0"/>
    <m/>
  </r>
  <r>
    <x v="327"/>
    <s v="ELECTRICAL"/>
    <x v="59"/>
    <x v="0"/>
    <x v="317"/>
    <x v="327"/>
    <s v="C1"/>
    <x v="0"/>
    <m/>
    <m/>
    <m/>
    <m/>
    <x v="0"/>
    <m/>
    <m/>
    <m/>
    <n v="0"/>
    <m/>
  </r>
  <r>
    <x v="328"/>
    <s v="ELECTRICAL"/>
    <x v="59"/>
    <x v="0"/>
    <x v="318"/>
    <x v="328"/>
    <s v="C1"/>
    <x v="0"/>
    <m/>
    <m/>
    <m/>
    <m/>
    <x v="0"/>
    <m/>
    <m/>
    <m/>
    <n v="0"/>
    <m/>
  </r>
  <r>
    <x v="329"/>
    <s v="ELECTRICAL"/>
    <x v="53"/>
    <x v="0"/>
    <x v="319"/>
    <x v="329"/>
    <s v="C1"/>
    <x v="0"/>
    <m/>
    <m/>
    <m/>
    <m/>
    <x v="0"/>
    <m/>
    <m/>
    <m/>
    <n v="0"/>
    <m/>
  </r>
  <r>
    <x v="330"/>
    <s v="ELECTRICAL"/>
    <x v="53"/>
    <x v="0"/>
    <x v="320"/>
    <x v="330"/>
    <s v="C1"/>
    <x v="0"/>
    <m/>
    <m/>
    <m/>
    <m/>
    <x v="0"/>
    <m/>
    <m/>
    <m/>
    <n v="0"/>
    <m/>
  </r>
  <r>
    <x v="331"/>
    <s v="ELECTRICAL"/>
    <x v="58"/>
    <x v="0"/>
    <x v="321"/>
    <x v="331"/>
    <s v="C1"/>
    <x v="0"/>
    <m/>
    <m/>
    <m/>
    <m/>
    <x v="0"/>
    <m/>
    <m/>
    <m/>
    <n v="0"/>
    <m/>
  </r>
  <r>
    <x v="332"/>
    <s v="ELECTRICAL"/>
    <x v="52"/>
    <x v="0"/>
    <x v="322"/>
    <x v="332"/>
    <s v="C1"/>
    <x v="0"/>
    <m/>
    <m/>
    <m/>
    <m/>
    <x v="0"/>
    <m/>
    <m/>
    <m/>
    <n v="0"/>
    <m/>
  </r>
  <r>
    <x v="333"/>
    <s v="ELECTRICAL"/>
    <x v="21"/>
    <x v="0"/>
    <x v="323"/>
    <x v="333"/>
    <s v="C1"/>
    <x v="0"/>
    <m/>
    <m/>
    <m/>
    <m/>
    <x v="0"/>
    <m/>
    <m/>
    <m/>
    <n v="0"/>
    <m/>
  </r>
  <r>
    <x v="334"/>
    <s v="ELECTRICAL"/>
    <x v="60"/>
    <x v="0"/>
    <x v="324"/>
    <x v="334"/>
    <s v="C1"/>
    <x v="0"/>
    <m/>
    <m/>
    <m/>
    <m/>
    <x v="0"/>
    <m/>
    <m/>
    <m/>
    <n v="0"/>
    <m/>
  </r>
  <r>
    <x v="335"/>
    <s v="ELECTRICAL"/>
    <x v="58"/>
    <x v="0"/>
    <x v="325"/>
    <x v="335"/>
    <s v="C1"/>
    <x v="0"/>
    <m/>
    <m/>
    <m/>
    <m/>
    <x v="0"/>
    <m/>
    <m/>
    <m/>
    <n v="0"/>
    <m/>
  </r>
  <r>
    <x v="336"/>
    <s v="ELECTRICAL"/>
    <x v="56"/>
    <x v="0"/>
    <x v="326"/>
    <x v="336"/>
    <s v="C1"/>
    <x v="0"/>
    <m/>
    <m/>
    <m/>
    <m/>
    <x v="0"/>
    <m/>
    <m/>
    <m/>
    <n v="0"/>
    <m/>
  </r>
  <r>
    <x v="337"/>
    <s v="ELECTRICAL"/>
    <x v="53"/>
    <x v="0"/>
    <x v="327"/>
    <x v="337"/>
    <s v="C1"/>
    <x v="0"/>
    <m/>
    <m/>
    <m/>
    <m/>
    <x v="0"/>
    <m/>
    <m/>
    <m/>
    <n v="0"/>
    <m/>
  </r>
  <r>
    <x v="338"/>
    <s v="ELECTRICAL"/>
    <x v="53"/>
    <x v="0"/>
    <x v="328"/>
    <x v="338"/>
    <s v="C1"/>
    <x v="0"/>
    <m/>
    <m/>
    <m/>
    <m/>
    <x v="0"/>
    <m/>
    <m/>
    <m/>
    <n v="0"/>
    <m/>
  </r>
  <r>
    <x v="339"/>
    <s v="ELECTRICAL"/>
    <x v="21"/>
    <x v="0"/>
    <x v="329"/>
    <x v="339"/>
    <s v="C1"/>
    <x v="0"/>
    <m/>
    <m/>
    <m/>
    <m/>
    <x v="0"/>
    <m/>
    <m/>
    <m/>
    <n v="0"/>
    <m/>
  </r>
  <r>
    <x v="340"/>
    <s v="ELECTRICAL"/>
    <x v="61"/>
    <x v="0"/>
    <x v="330"/>
    <x v="340"/>
    <s v="C1"/>
    <x v="0"/>
    <m/>
    <m/>
    <m/>
    <m/>
    <x v="0"/>
    <m/>
    <m/>
    <m/>
    <n v="0"/>
    <m/>
  </r>
  <r>
    <x v="341"/>
    <s v="ELECTRICAL"/>
    <x v="62"/>
    <x v="0"/>
    <x v="331"/>
    <x v="341"/>
    <s v="C1"/>
    <x v="0"/>
    <m/>
    <m/>
    <m/>
    <m/>
    <x v="0"/>
    <m/>
    <m/>
    <m/>
    <n v="0"/>
    <m/>
  </r>
  <r>
    <x v="342"/>
    <s v="ELECTRICAL"/>
    <x v="62"/>
    <x v="0"/>
    <x v="332"/>
    <x v="342"/>
    <s v="C1"/>
    <x v="0"/>
    <m/>
    <m/>
    <m/>
    <m/>
    <x v="0"/>
    <m/>
    <m/>
    <m/>
    <n v="0"/>
    <m/>
  </r>
  <r>
    <x v="343"/>
    <s v="ELECTRICAL"/>
    <x v="62"/>
    <x v="0"/>
    <x v="333"/>
    <x v="343"/>
    <s v="C1"/>
    <x v="0"/>
    <m/>
    <m/>
    <m/>
    <m/>
    <x v="0"/>
    <m/>
    <m/>
    <m/>
    <n v="0"/>
    <m/>
  </r>
  <r>
    <x v="344"/>
    <s v="ELECTRICAL"/>
    <x v="62"/>
    <x v="0"/>
    <x v="334"/>
    <x v="344"/>
    <s v="C1"/>
    <x v="0"/>
    <m/>
    <m/>
    <m/>
    <m/>
    <x v="0"/>
    <m/>
    <m/>
    <m/>
    <n v="0"/>
    <m/>
  </r>
  <r>
    <x v="345"/>
    <s v="ELECTRICAL"/>
    <x v="54"/>
    <x v="0"/>
    <x v="335"/>
    <x v="345"/>
    <s v="C1"/>
    <x v="0"/>
    <m/>
    <m/>
    <m/>
    <m/>
    <x v="0"/>
    <m/>
    <m/>
    <m/>
    <n v="0"/>
    <m/>
  </r>
  <r>
    <x v="346"/>
    <s v="ELECTRICAL"/>
    <x v="53"/>
    <x v="0"/>
    <x v="336"/>
    <x v="346"/>
    <s v="C1"/>
    <x v="0"/>
    <m/>
    <m/>
    <m/>
    <m/>
    <x v="0"/>
    <m/>
    <m/>
    <m/>
    <n v="0"/>
    <m/>
  </r>
  <r>
    <x v="347"/>
    <s v="ELECTRICAL"/>
    <x v="53"/>
    <x v="0"/>
    <x v="337"/>
    <x v="347"/>
    <s v="C1"/>
    <x v="0"/>
    <m/>
    <m/>
    <m/>
    <m/>
    <x v="0"/>
    <m/>
    <m/>
    <m/>
    <n v="0"/>
    <m/>
  </r>
  <r>
    <x v="348"/>
    <s v="ELECTRICAL"/>
    <x v="58"/>
    <x v="0"/>
    <x v="338"/>
    <x v="348"/>
    <s v="C1"/>
    <x v="0"/>
    <m/>
    <m/>
    <m/>
    <m/>
    <x v="0"/>
    <m/>
    <m/>
    <m/>
    <n v="0"/>
    <m/>
  </r>
  <r>
    <x v="349"/>
    <s v="ELECTRICAL"/>
    <x v="58"/>
    <x v="0"/>
    <x v="339"/>
    <x v="349"/>
    <s v="C1"/>
    <x v="0"/>
    <m/>
    <m/>
    <m/>
    <m/>
    <x v="0"/>
    <m/>
    <m/>
    <m/>
    <n v="0"/>
    <m/>
  </r>
  <r>
    <x v="350"/>
    <s v="ELECTRICAL"/>
    <x v="58"/>
    <x v="0"/>
    <x v="340"/>
    <x v="350"/>
    <s v="C1"/>
    <x v="0"/>
    <m/>
    <m/>
    <m/>
    <m/>
    <x v="0"/>
    <m/>
    <m/>
    <m/>
    <n v="0"/>
    <m/>
  </r>
  <r>
    <x v="351"/>
    <s v="ELECTRICAL"/>
    <x v="58"/>
    <x v="0"/>
    <x v="341"/>
    <x v="351"/>
    <s v="C1"/>
    <x v="0"/>
    <m/>
    <m/>
    <m/>
    <m/>
    <x v="0"/>
    <m/>
    <m/>
    <m/>
    <n v="0"/>
    <m/>
  </r>
  <r>
    <x v="352"/>
    <s v="ELECTRICAL"/>
    <x v="58"/>
    <x v="0"/>
    <x v="342"/>
    <x v="352"/>
    <s v="C1"/>
    <x v="0"/>
    <m/>
    <m/>
    <m/>
    <m/>
    <x v="0"/>
    <m/>
    <m/>
    <m/>
    <n v="0"/>
    <m/>
  </r>
  <r>
    <x v="353"/>
    <s v="ELECTRICAL"/>
    <x v="54"/>
    <x v="0"/>
    <x v="343"/>
    <x v="353"/>
    <s v="C1"/>
    <x v="0"/>
    <m/>
    <m/>
    <m/>
    <m/>
    <x v="0"/>
    <m/>
    <m/>
    <m/>
    <n v="0"/>
    <m/>
  </r>
  <r>
    <x v="354"/>
    <s v="ELECTRICAL"/>
    <x v="54"/>
    <x v="0"/>
    <x v="344"/>
    <x v="354"/>
    <s v="C1"/>
    <x v="0"/>
    <m/>
    <m/>
    <m/>
    <m/>
    <x v="0"/>
    <m/>
    <m/>
    <m/>
    <n v="0"/>
    <m/>
  </r>
  <r>
    <x v="355"/>
    <s v="ELECTRICAL"/>
    <x v="54"/>
    <x v="0"/>
    <x v="345"/>
    <x v="355"/>
    <s v="C1"/>
    <x v="0"/>
    <m/>
    <m/>
    <m/>
    <m/>
    <x v="0"/>
    <m/>
    <m/>
    <m/>
    <n v="0"/>
    <m/>
  </r>
  <r>
    <x v="356"/>
    <s v="ELECTRICAL"/>
    <x v="54"/>
    <x v="0"/>
    <x v="346"/>
    <x v="356"/>
    <s v="C1"/>
    <x v="0"/>
    <m/>
    <m/>
    <m/>
    <m/>
    <x v="0"/>
    <m/>
    <m/>
    <m/>
    <n v="0"/>
    <m/>
  </r>
  <r>
    <x v="357"/>
    <s v="ELECTRICAL"/>
    <x v="55"/>
    <x v="0"/>
    <x v="347"/>
    <x v="357"/>
    <s v="C2"/>
    <x v="0"/>
    <m/>
    <m/>
    <m/>
    <m/>
    <x v="0"/>
    <m/>
    <m/>
    <m/>
    <n v="0"/>
    <m/>
  </r>
  <r>
    <x v="358"/>
    <s v="ELECTRICAL"/>
    <x v="55"/>
    <x v="0"/>
    <x v="348"/>
    <x v="358"/>
    <s v="C2"/>
    <x v="0"/>
    <m/>
    <m/>
    <m/>
    <m/>
    <x v="0"/>
    <m/>
    <m/>
    <m/>
    <n v="0"/>
    <m/>
  </r>
  <r>
    <x v="359"/>
    <s v="ELECTRICAL"/>
    <x v="55"/>
    <x v="0"/>
    <x v="349"/>
    <x v="359"/>
    <s v="C2"/>
    <x v="0"/>
    <m/>
    <m/>
    <m/>
    <m/>
    <x v="0"/>
    <m/>
    <m/>
    <m/>
    <n v="0"/>
    <m/>
  </r>
  <r>
    <x v="360"/>
    <s v="ELECTRICAL"/>
    <x v="55"/>
    <x v="0"/>
    <x v="350"/>
    <x v="360"/>
    <s v="C2"/>
    <x v="0"/>
    <m/>
    <m/>
    <m/>
    <m/>
    <x v="0"/>
    <m/>
    <m/>
    <m/>
    <n v="0"/>
    <m/>
  </r>
  <r>
    <x v="361"/>
    <s v="ELECTRICAL"/>
    <x v="55"/>
    <x v="0"/>
    <x v="351"/>
    <x v="361"/>
    <s v="C2"/>
    <x v="0"/>
    <m/>
    <m/>
    <m/>
    <m/>
    <x v="0"/>
    <m/>
    <m/>
    <m/>
    <n v="0"/>
    <m/>
  </r>
  <r>
    <x v="362"/>
    <s v="ELECTRICAL"/>
    <x v="55"/>
    <x v="0"/>
    <x v="352"/>
    <x v="362"/>
    <s v="C2"/>
    <x v="0"/>
    <m/>
    <m/>
    <m/>
    <m/>
    <x v="0"/>
    <m/>
    <m/>
    <m/>
    <n v="0"/>
    <m/>
  </r>
  <r>
    <x v="363"/>
    <s v="ELECTRICAL"/>
    <x v="55"/>
    <x v="0"/>
    <x v="353"/>
    <x v="363"/>
    <s v="C2"/>
    <x v="0"/>
    <m/>
    <m/>
    <m/>
    <m/>
    <x v="0"/>
    <m/>
    <m/>
    <m/>
    <n v="0"/>
    <m/>
  </r>
  <r>
    <x v="364"/>
    <s v="ELECTRICAL"/>
    <x v="55"/>
    <x v="0"/>
    <x v="354"/>
    <x v="364"/>
    <s v="C2"/>
    <x v="0"/>
    <m/>
    <m/>
    <m/>
    <m/>
    <x v="0"/>
    <m/>
    <m/>
    <m/>
    <n v="0"/>
    <m/>
  </r>
  <r>
    <x v="365"/>
    <s v="ELECTRICAL"/>
    <x v="55"/>
    <x v="0"/>
    <x v="355"/>
    <x v="365"/>
    <s v="C2"/>
    <x v="0"/>
    <m/>
    <m/>
    <m/>
    <m/>
    <x v="0"/>
    <m/>
    <m/>
    <m/>
    <n v="0"/>
    <m/>
  </r>
  <r>
    <x v="366"/>
    <s v="ELECTRICAL"/>
    <x v="55"/>
    <x v="0"/>
    <x v="356"/>
    <x v="366"/>
    <s v="C2"/>
    <x v="0"/>
    <m/>
    <m/>
    <m/>
    <m/>
    <x v="0"/>
    <m/>
    <m/>
    <m/>
    <n v="0"/>
    <m/>
  </r>
  <r>
    <x v="367"/>
    <s v="ELECTRICAL"/>
    <x v="55"/>
    <x v="0"/>
    <x v="357"/>
    <x v="367"/>
    <s v="C2"/>
    <x v="0"/>
    <m/>
    <m/>
    <m/>
    <m/>
    <x v="0"/>
    <m/>
    <m/>
    <m/>
    <n v="0"/>
    <m/>
  </r>
  <r>
    <x v="368"/>
    <s v="ELECTRICAL"/>
    <x v="55"/>
    <x v="0"/>
    <x v="358"/>
    <x v="368"/>
    <s v="C2"/>
    <x v="0"/>
    <m/>
    <m/>
    <m/>
    <m/>
    <x v="0"/>
    <m/>
    <m/>
    <m/>
    <n v="0"/>
    <m/>
  </r>
  <r>
    <x v="369"/>
    <s v="ELECTRICAL"/>
    <x v="55"/>
    <x v="0"/>
    <x v="359"/>
    <x v="369"/>
    <s v="C2"/>
    <x v="0"/>
    <m/>
    <m/>
    <m/>
    <m/>
    <x v="0"/>
    <m/>
    <m/>
    <m/>
    <n v="0"/>
    <m/>
  </r>
  <r>
    <x v="370"/>
    <s v="ELECTRICAL"/>
    <x v="55"/>
    <x v="0"/>
    <x v="360"/>
    <x v="370"/>
    <s v="C2"/>
    <x v="0"/>
    <m/>
    <m/>
    <m/>
    <m/>
    <x v="0"/>
    <m/>
    <m/>
    <m/>
    <n v="0"/>
    <m/>
  </r>
  <r>
    <x v="371"/>
    <s v="ELECTRICAL"/>
    <x v="55"/>
    <x v="0"/>
    <x v="361"/>
    <x v="371"/>
    <s v="C2"/>
    <x v="0"/>
    <m/>
    <m/>
    <m/>
    <m/>
    <x v="0"/>
    <m/>
    <m/>
    <m/>
    <n v="0"/>
    <m/>
  </r>
  <r>
    <x v="372"/>
    <s v="ELECTRICAL"/>
    <x v="55"/>
    <x v="0"/>
    <x v="362"/>
    <x v="372"/>
    <s v="C2"/>
    <x v="0"/>
    <m/>
    <m/>
    <m/>
    <m/>
    <x v="0"/>
    <m/>
    <m/>
    <m/>
    <n v="0"/>
    <m/>
  </r>
  <r>
    <x v="373"/>
    <s v="ELECTRICAL"/>
    <x v="55"/>
    <x v="0"/>
    <x v="363"/>
    <x v="373"/>
    <s v="C2"/>
    <x v="0"/>
    <m/>
    <m/>
    <m/>
    <m/>
    <x v="0"/>
    <m/>
    <m/>
    <m/>
    <n v="0"/>
    <m/>
  </r>
  <r>
    <x v="374"/>
    <s v="ELECTRICAL"/>
    <x v="55"/>
    <x v="0"/>
    <x v="364"/>
    <x v="374"/>
    <s v="C2"/>
    <x v="0"/>
    <m/>
    <m/>
    <m/>
    <m/>
    <x v="0"/>
    <m/>
    <m/>
    <m/>
    <n v="0"/>
    <m/>
  </r>
  <r>
    <x v="375"/>
    <s v="ELECTRICAL"/>
    <x v="55"/>
    <x v="0"/>
    <x v="365"/>
    <x v="375"/>
    <s v="C2"/>
    <x v="0"/>
    <m/>
    <m/>
    <m/>
    <m/>
    <x v="0"/>
    <m/>
    <m/>
    <m/>
    <n v="0"/>
    <m/>
  </r>
  <r>
    <x v="376"/>
    <s v="ELECTRICAL"/>
    <x v="55"/>
    <x v="0"/>
    <x v="366"/>
    <x v="376"/>
    <s v="C2"/>
    <x v="0"/>
    <m/>
    <m/>
    <m/>
    <m/>
    <x v="0"/>
    <m/>
    <m/>
    <m/>
    <n v="0"/>
    <m/>
  </r>
  <r>
    <x v="377"/>
    <s v="ELECTRICAL"/>
    <x v="55"/>
    <x v="0"/>
    <x v="367"/>
    <x v="377"/>
    <s v="C2"/>
    <x v="0"/>
    <m/>
    <m/>
    <m/>
    <m/>
    <x v="0"/>
    <m/>
    <m/>
    <m/>
    <n v="0"/>
    <m/>
  </r>
  <r>
    <x v="378"/>
    <s v="ELECTRICAL"/>
    <x v="55"/>
    <x v="0"/>
    <x v="368"/>
    <x v="378"/>
    <s v="C2"/>
    <x v="0"/>
    <m/>
    <m/>
    <m/>
    <m/>
    <x v="0"/>
    <m/>
    <m/>
    <m/>
    <n v="0"/>
    <m/>
  </r>
  <r>
    <x v="379"/>
    <s v="ELECTRICAL"/>
    <x v="63"/>
    <x v="0"/>
    <x v="369"/>
    <x v="379"/>
    <s v="C2"/>
    <x v="0"/>
    <m/>
    <m/>
    <m/>
    <m/>
    <x v="0"/>
    <m/>
    <m/>
    <m/>
    <n v="0"/>
    <m/>
  </r>
  <r>
    <x v="380"/>
    <s v="ELECTRICAL"/>
    <x v="55"/>
    <x v="0"/>
    <x v="370"/>
    <x v="380"/>
    <s v="C2"/>
    <x v="0"/>
    <m/>
    <m/>
    <m/>
    <m/>
    <x v="0"/>
    <m/>
    <m/>
    <m/>
    <n v="0"/>
    <m/>
  </r>
  <r>
    <x v="381"/>
    <s v="ELECTRICAL"/>
    <x v="55"/>
    <x v="0"/>
    <x v="371"/>
    <x v="381"/>
    <s v="C2"/>
    <x v="0"/>
    <m/>
    <m/>
    <m/>
    <m/>
    <x v="0"/>
    <m/>
    <m/>
    <m/>
    <n v="0"/>
    <m/>
  </r>
  <r>
    <x v="382"/>
    <s v="ELECTRICAL"/>
    <x v="53"/>
    <x v="0"/>
    <x v="372"/>
    <x v="382"/>
    <s v="C2"/>
    <x v="0"/>
    <m/>
    <m/>
    <m/>
    <m/>
    <x v="0"/>
    <m/>
    <m/>
    <m/>
    <n v="0"/>
    <m/>
  </r>
  <r>
    <x v="383"/>
    <s v="PNEUMATIC"/>
    <x v="19"/>
    <x v="0"/>
    <x v="373"/>
    <x v="383"/>
    <s v="C2"/>
    <x v="0"/>
    <m/>
    <m/>
    <m/>
    <m/>
    <x v="0"/>
    <m/>
    <m/>
    <m/>
    <n v="0"/>
    <m/>
  </r>
  <r>
    <x v="384"/>
    <s v="ELECTRICAL"/>
    <x v="55"/>
    <x v="0"/>
    <x v="374"/>
    <x v="384"/>
    <s v="C2"/>
    <x v="0"/>
    <m/>
    <m/>
    <m/>
    <m/>
    <x v="0"/>
    <m/>
    <m/>
    <m/>
    <n v="0"/>
    <m/>
  </r>
  <r>
    <x v="385"/>
    <s v="ELECTRICAL"/>
    <x v="53"/>
    <x v="0"/>
    <x v="375"/>
    <x v="385"/>
    <s v="C2"/>
    <x v="0"/>
    <m/>
    <m/>
    <m/>
    <m/>
    <x v="0"/>
    <m/>
    <m/>
    <m/>
    <n v="0"/>
    <m/>
  </r>
  <r>
    <x v="386"/>
    <s v="ELECTRICAL"/>
    <x v="63"/>
    <x v="0"/>
    <x v="376"/>
    <x v="386"/>
    <s v="C2"/>
    <x v="0"/>
    <m/>
    <m/>
    <m/>
    <m/>
    <x v="0"/>
    <m/>
    <m/>
    <m/>
    <n v="0"/>
    <m/>
  </r>
  <r>
    <x v="387"/>
    <s v="ELECTRICAL"/>
    <x v="63"/>
    <x v="0"/>
    <x v="377"/>
    <x v="387"/>
    <s v="C2"/>
    <x v="0"/>
    <m/>
    <m/>
    <m/>
    <m/>
    <x v="0"/>
    <m/>
    <m/>
    <m/>
    <n v="0"/>
    <m/>
  </r>
  <r>
    <x v="388"/>
    <s v="ELECTRICAL"/>
    <x v="52"/>
    <x v="0"/>
    <x v="378"/>
    <x v="388"/>
    <s v="C2"/>
    <x v="0"/>
    <m/>
    <m/>
    <m/>
    <m/>
    <x v="0"/>
    <m/>
    <m/>
    <m/>
    <n v="0"/>
    <m/>
  </r>
  <r>
    <x v="389"/>
    <s v="ELECTRICAL"/>
    <x v="63"/>
    <x v="0"/>
    <x v="379"/>
    <x v="389"/>
    <s v="C2"/>
    <x v="0"/>
    <m/>
    <m/>
    <m/>
    <m/>
    <x v="0"/>
    <m/>
    <m/>
    <m/>
    <n v="0"/>
    <m/>
  </r>
  <r>
    <x v="390"/>
    <s v="ELECTRICAL"/>
    <x v="63"/>
    <x v="0"/>
    <x v="380"/>
    <x v="390"/>
    <s v="C2"/>
    <x v="0"/>
    <m/>
    <m/>
    <m/>
    <m/>
    <x v="0"/>
    <m/>
    <m/>
    <m/>
    <n v="0"/>
    <m/>
  </r>
  <r>
    <x v="391"/>
    <s v="ELECTRICAL"/>
    <x v="22"/>
    <x v="0"/>
    <x v="381"/>
    <x v="391"/>
    <s v="C2"/>
    <x v="0"/>
    <m/>
    <m/>
    <m/>
    <m/>
    <x v="0"/>
    <m/>
    <m/>
    <m/>
    <n v="0"/>
    <m/>
  </r>
  <r>
    <x v="392"/>
    <s v="ELECTRICAL"/>
    <x v="55"/>
    <x v="0"/>
    <x v="382"/>
    <x v="392"/>
    <s v="C2"/>
    <x v="0"/>
    <m/>
    <m/>
    <m/>
    <m/>
    <x v="0"/>
    <m/>
    <m/>
    <m/>
    <n v="0"/>
    <m/>
  </r>
  <r>
    <x v="393"/>
    <s v="ELECTRICAL"/>
    <x v="64"/>
    <x v="0"/>
    <x v="383"/>
    <x v="393"/>
    <s v="C2"/>
    <x v="0"/>
    <m/>
    <m/>
    <m/>
    <m/>
    <x v="0"/>
    <m/>
    <m/>
    <m/>
    <n v="0"/>
    <m/>
  </r>
  <r>
    <x v="394"/>
    <s v="ELECTRICAL"/>
    <x v="55"/>
    <x v="0"/>
    <x v="384"/>
    <x v="394"/>
    <s v="C2"/>
    <x v="0"/>
    <m/>
    <m/>
    <m/>
    <m/>
    <x v="0"/>
    <m/>
    <m/>
    <m/>
    <n v="0"/>
    <m/>
  </r>
  <r>
    <x v="395"/>
    <s v="ELECTRICAL"/>
    <x v="55"/>
    <x v="0"/>
    <x v="385"/>
    <x v="395"/>
    <s v="C2"/>
    <x v="0"/>
    <m/>
    <m/>
    <m/>
    <m/>
    <x v="0"/>
    <m/>
    <m/>
    <m/>
    <n v="0"/>
    <m/>
  </r>
  <r>
    <x v="396"/>
    <s v="ELECTRICAL"/>
    <x v="55"/>
    <x v="0"/>
    <x v="386"/>
    <x v="396"/>
    <s v="C2"/>
    <x v="0"/>
    <m/>
    <m/>
    <m/>
    <m/>
    <x v="0"/>
    <m/>
    <m/>
    <m/>
    <n v="0"/>
    <m/>
  </r>
  <r>
    <x v="397"/>
    <s v="ELECTRICAL"/>
    <x v="55"/>
    <x v="0"/>
    <x v="387"/>
    <x v="397"/>
    <s v="C2"/>
    <x v="0"/>
    <m/>
    <m/>
    <m/>
    <m/>
    <x v="0"/>
    <m/>
    <m/>
    <m/>
    <n v="0"/>
    <m/>
  </r>
  <r>
    <x v="398"/>
    <s v="ELECTRICAL"/>
    <x v="55"/>
    <x v="0"/>
    <x v="388"/>
    <x v="398"/>
    <s v="C2"/>
    <x v="0"/>
    <m/>
    <m/>
    <m/>
    <m/>
    <x v="0"/>
    <m/>
    <m/>
    <m/>
    <n v="0"/>
    <m/>
  </r>
  <r>
    <x v="399"/>
    <s v="ELECTRICAL"/>
    <x v="63"/>
    <x v="0"/>
    <x v="389"/>
    <x v="399"/>
    <s v="C2"/>
    <x v="0"/>
    <m/>
    <m/>
    <m/>
    <m/>
    <x v="0"/>
    <m/>
    <m/>
    <m/>
    <n v="0"/>
    <m/>
  </r>
  <r>
    <x v="400"/>
    <s v="ELECTRICAL"/>
    <x v="55"/>
    <x v="0"/>
    <x v="390"/>
    <x v="400"/>
    <s v="C2"/>
    <x v="0"/>
    <m/>
    <m/>
    <m/>
    <m/>
    <x v="0"/>
    <m/>
    <m/>
    <m/>
    <n v="0"/>
    <m/>
  </r>
  <r>
    <x v="401"/>
    <s v="ELECTRICAL"/>
    <x v="52"/>
    <x v="0"/>
    <x v="391"/>
    <x v="401"/>
    <s v="C3"/>
    <x v="0"/>
    <m/>
    <m/>
    <m/>
    <m/>
    <x v="0"/>
    <m/>
    <m/>
    <m/>
    <n v="0"/>
    <m/>
  </r>
  <r>
    <x v="402"/>
    <s v="ELECTRICAL"/>
    <x v="22"/>
    <x v="0"/>
    <x v="392"/>
    <x v="402"/>
    <s v="C3"/>
    <x v="0"/>
    <m/>
    <m/>
    <m/>
    <m/>
    <x v="0"/>
    <m/>
    <m/>
    <m/>
    <n v="0"/>
    <m/>
  </r>
  <r>
    <x v="403"/>
    <s v="ELECTRICAL"/>
    <x v="22"/>
    <x v="0"/>
    <x v="393"/>
    <x v="403"/>
    <s v="C3"/>
    <x v="0"/>
    <m/>
    <m/>
    <m/>
    <m/>
    <x v="0"/>
    <m/>
    <m/>
    <m/>
    <n v="0"/>
    <m/>
  </r>
  <r>
    <x v="404"/>
    <s v="ELECTRICAL"/>
    <x v="22"/>
    <x v="0"/>
    <x v="394"/>
    <x v="404"/>
    <s v="C3"/>
    <x v="0"/>
    <m/>
    <m/>
    <m/>
    <m/>
    <x v="0"/>
    <m/>
    <m/>
    <m/>
    <n v="0"/>
    <m/>
  </r>
  <r>
    <x v="405"/>
    <s v="ELECTRICAL"/>
    <x v="65"/>
    <x v="0"/>
    <x v="395"/>
    <x v="405"/>
    <s v="C3"/>
    <x v="0"/>
    <m/>
    <m/>
    <m/>
    <m/>
    <x v="0"/>
    <m/>
    <m/>
    <m/>
    <n v="0"/>
    <m/>
  </r>
  <r>
    <x v="406"/>
    <s v="ELECTRICAL"/>
    <x v="61"/>
    <x v="0"/>
    <x v="396"/>
    <x v="406"/>
    <s v="C3"/>
    <x v="0"/>
    <m/>
    <m/>
    <m/>
    <m/>
    <x v="0"/>
    <m/>
    <m/>
    <m/>
    <n v="0"/>
    <m/>
  </r>
  <r>
    <x v="407"/>
    <s v="ELECTRICAL"/>
    <x v="22"/>
    <x v="0"/>
    <x v="397"/>
    <x v="407"/>
    <s v="C3"/>
    <x v="0"/>
    <m/>
    <m/>
    <m/>
    <m/>
    <x v="0"/>
    <m/>
    <m/>
    <m/>
    <n v="0"/>
    <m/>
  </r>
  <r>
    <x v="408"/>
    <s v="ELECTRICAL"/>
    <x v="65"/>
    <x v="0"/>
    <x v="398"/>
    <x v="408"/>
    <s v="C3"/>
    <x v="0"/>
    <m/>
    <m/>
    <m/>
    <m/>
    <x v="0"/>
    <m/>
    <m/>
    <m/>
    <n v="0"/>
    <m/>
  </r>
  <r>
    <x v="409"/>
    <s v="ELECTRICAL"/>
    <x v="65"/>
    <x v="0"/>
    <x v="399"/>
    <x v="409"/>
    <s v="C3"/>
    <x v="0"/>
    <m/>
    <m/>
    <m/>
    <m/>
    <x v="0"/>
    <m/>
    <m/>
    <m/>
    <n v="0"/>
    <m/>
  </r>
  <r>
    <x v="410"/>
    <s v="ELECTRICAL"/>
    <x v="56"/>
    <x v="0"/>
    <x v="400"/>
    <x v="410"/>
    <s v="C3"/>
    <x v="0"/>
    <m/>
    <m/>
    <m/>
    <m/>
    <x v="0"/>
    <m/>
    <m/>
    <m/>
    <n v="0"/>
    <m/>
  </r>
  <r>
    <x v="411"/>
    <s v="ELECTRICAL"/>
    <x v="65"/>
    <x v="0"/>
    <x v="401"/>
    <x v="411"/>
    <s v="C3"/>
    <x v="0"/>
    <m/>
    <m/>
    <m/>
    <m/>
    <x v="0"/>
    <m/>
    <m/>
    <m/>
    <n v="0"/>
    <m/>
  </r>
  <r>
    <x v="412"/>
    <s v="ELECTRICAL"/>
    <x v="53"/>
    <x v="0"/>
    <x v="402"/>
    <x v="412"/>
    <s v="C3"/>
    <x v="0"/>
    <m/>
    <m/>
    <m/>
    <m/>
    <x v="0"/>
    <m/>
    <m/>
    <m/>
    <n v="0"/>
    <m/>
  </r>
  <r>
    <x v="413"/>
    <s v="ELECTRICAL"/>
    <x v="22"/>
    <x v="0"/>
    <x v="403"/>
    <x v="413"/>
    <s v="C3"/>
    <x v="0"/>
    <m/>
    <m/>
    <m/>
    <m/>
    <x v="0"/>
    <m/>
    <m/>
    <m/>
    <n v="0"/>
    <m/>
  </r>
  <r>
    <x v="414"/>
    <s v="ELECTRICAL"/>
    <x v="22"/>
    <x v="0"/>
    <x v="404"/>
    <x v="414"/>
    <s v="C3"/>
    <x v="0"/>
    <m/>
    <m/>
    <m/>
    <m/>
    <x v="0"/>
    <m/>
    <m/>
    <m/>
    <n v="0"/>
    <m/>
  </r>
  <r>
    <x v="415"/>
    <s v="ELECTRICAL"/>
    <x v="22"/>
    <x v="0"/>
    <x v="405"/>
    <x v="415"/>
    <s v="C3"/>
    <x v="0"/>
    <m/>
    <m/>
    <m/>
    <m/>
    <x v="0"/>
    <m/>
    <m/>
    <m/>
    <n v="0"/>
    <m/>
  </r>
  <r>
    <x v="416"/>
    <s v="ELECTRICAL"/>
    <x v="65"/>
    <x v="0"/>
    <x v="406"/>
    <x v="416"/>
    <s v="C3"/>
    <x v="0"/>
    <m/>
    <m/>
    <m/>
    <m/>
    <x v="0"/>
    <m/>
    <m/>
    <m/>
    <n v="0"/>
    <m/>
  </r>
  <r>
    <x v="417"/>
    <s v="ELECTRICAL"/>
    <x v="54"/>
    <x v="0"/>
    <x v="407"/>
    <x v="417"/>
    <s v="C3"/>
    <x v="0"/>
    <m/>
    <m/>
    <m/>
    <m/>
    <x v="0"/>
    <m/>
    <m/>
    <m/>
    <n v="0"/>
    <m/>
  </r>
  <r>
    <x v="418"/>
    <s v="ELECTRICAL"/>
    <x v="66"/>
    <x v="0"/>
    <x v="408"/>
    <x v="418"/>
    <s v="C3"/>
    <x v="0"/>
    <m/>
    <m/>
    <m/>
    <m/>
    <x v="0"/>
    <m/>
    <m/>
    <m/>
    <n v="0"/>
    <m/>
  </r>
  <r>
    <x v="419"/>
    <s v="ELECTRICAL"/>
    <x v="22"/>
    <x v="0"/>
    <x v="409"/>
    <x v="419"/>
    <s v="C3"/>
    <x v="0"/>
    <m/>
    <m/>
    <m/>
    <m/>
    <x v="0"/>
    <m/>
    <m/>
    <m/>
    <n v="0"/>
    <m/>
  </r>
  <r>
    <x v="420"/>
    <s v="ELECTRICAL"/>
    <x v="22"/>
    <x v="0"/>
    <x v="410"/>
    <x v="420"/>
    <s v="C3"/>
    <x v="0"/>
    <m/>
    <m/>
    <m/>
    <m/>
    <x v="0"/>
    <m/>
    <m/>
    <m/>
    <n v="0"/>
    <m/>
  </r>
  <r>
    <x v="421"/>
    <s v="ELECTRICAL"/>
    <x v="22"/>
    <x v="0"/>
    <x v="411"/>
    <x v="421"/>
    <s v="C3"/>
    <x v="0"/>
    <m/>
    <m/>
    <m/>
    <m/>
    <x v="0"/>
    <m/>
    <m/>
    <m/>
    <n v="0"/>
    <m/>
  </r>
  <r>
    <x v="422"/>
    <s v="ELECTRICAL"/>
    <x v="22"/>
    <x v="0"/>
    <x v="412"/>
    <x v="422"/>
    <s v="C3"/>
    <x v="0"/>
    <m/>
    <m/>
    <m/>
    <m/>
    <x v="0"/>
    <m/>
    <m/>
    <m/>
    <n v="0"/>
    <m/>
  </r>
  <r>
    <x v="423"/>
    <s v="ELECTRICAL"/>
    <x v="22"/>
    <x v="0"/>
    <x v="413"/>
    <x v="423"/>
    <s v="C3"/>
    <x v="0"/>
    <m/>
    <m/>
    <m/>
    <m/>
    <x v="0"/>
    <m/>
    <m/>
    <m/>
    <n v="0"/>
    <m/>
  </r>
  <r>
    <x v="424"/>
    <s v="ELECTRICAL"/>
    <x v="53"/>
    <x v="0"/>
    <x v="414"/>
    <x v="424"/>
    <s v="C3"/>
    <x v="0"/>
    <m/>
    <m/>
    <m/>
    <m/>
    <x v="0"/>
    <m/>
    <m/>
    <m/>
    <n v="0"/>
    <m/>
  </r>
  <r>
    <x v="425"/>
    <s v="ELECTRICAL"/>
    <x v="65"/>
    <x v="0"/>
    <x v="415"/>
    <x v="425"/>
    <s v="C3"/>
    <x v="0"/>
    <m/>
    <m/>
    <m/>
    <m/>
    <x v="0"/>
    <m/>
    <m/>
    <m/>
    <n v="0"/>
    <m/>
  </r>
  <r>
    <x v="426"/>
    <s v="ELECTRICAL"/>
    <x v="21"/>
    <x v="0"/>
    <x v="416"/>
    <x v="426"/>
    <s v="C3"/>
    <x v="0"/>
    <m/>
    <m/>
    <m/>
    <m/>
    <x v="0"/>
    <m/>
    <m/>
    <m/>
    <n v="0"/>
    <m/>
  </r>
  <r>
    <x v="427"/>
    <s v="ELECTRICAL"/>
    <x v="66"/>
    <x v="0"/>
    <x v="417"/>
    <x v="427"/>
    <s v="C3"/>
    <x v="0"/>
    <m/>
    <m/>
    <m/>
    <m/>
    <x v="0"/>
    <m/>
    <m/>
    <m/>
    <n v="0"/>
    <m/>
  </r>
  <r>
    <x v="428"/>
    <s v="ELECTRICAL"/>
    <x v="53"/>
    <x v="0"/>
    <x v="418"/>
    <x v="428"/>
    <s v="C3"/>
    <x v="0"/>
    <m/>
    <m/>
    <m/>
    <m/>
    <x v="0"/>
    <m/>
    <m/>
    <m/>
    <n v="0"/>
    <m/>
  </r>
  <r>
    <x v="429"/>
    <s v="ELECTRICAL"/>
    <x v="58"/>
    <x v="0"/>
    <x v="419"/>
    <x v="429"/>
    <s v="C3"/>
    <x v="0"/>
    <m/>
    <m/>
    <m/>
    <m/>
    <x v="0"/>
    <m/>
    <m/>
    <m/>
    <n v="0"/>
    <m/>
  </r>
  <r>
    <x v="430"/>
    <s v="ELECTRICAL"/>
    <x v="56"/>
    <x v="0"/>
    <x v="420"/>
    <x v="430"/>
    <s v="C3"/>
    <x v="0"/>
    <m/>
    <m/>
    <m/>
    <m/>
    <x v="0"/>
    <m/>
    <m/>
    <m/>
    <n v="0"/>
    <m/>
  </r>
  <r>
    <x v="431"/>
    <s v="ELECTRICAL"/>
    <x v="54"/>
    <x v="0"/>
    <x v="421"/>
    <x v="431"/>
    <s v="C3"/>
    <x v="0"/>
    <m/>
    <m/>
    <m/>
    <m/>
    <x v="0"/>
    <m/>
    <m/>
    <m/>
    <n v="0"/>
    <m/>
  </r>
  <r>
    <x v="432"/>
    <s v="ELECTRICAL"/>
    <x v="63"/>
    <x v="0"/>
    <x v="422"/>
    <x v="432"/>
    <s v="C3"/>
    <x v="0"/>
    <m/>
    <m/>
    <m/>
    <m/>
    <x v="0"/>
    <m/>
    <m/>
    <m/>
    <n v="0"/>
    <m/>
  </r>
  <r>
    <x v="433"/>
    <s v="ELECTRICAL"/>
    <x v="67"/>
    <x v="0"/>
    <x v="423"/>
    <x v="433"/>
    <s v="C3"/>
    <x v="0"/>
    <m/>
    <m/>
    <m/>
    <m/>
    <x v="0"/>
    <m/>
    <m/>
    <m/>
    <n v="0"/>
    <m/>
  </r>
  <r>
    <x v="434"/>
    <s v="ELECTRICAL"/>
    <x v="67"/>
    <x v="0"/>
    <x v="424"/>
    <x v="434"/>
    <s v="C3"/>
    <x v="0"/>
    <m/>
    <m/>
    <m/>
    <m/>
    <x v="0"/>
    <m/>
    <m/>
    <m/>
    <n v="0"/>
    <m/>
  </r>
  <r>
    <x v="435"/>
    <s v="ELECTRICAL"/>
    <x v="67"/>
    <x v="0"/>
    <x v="425"/>
    <x v="435"/>
    <s v="C3"/>
    <x v="0"/>
    <m/>
    <m/>
    <m/>
    <m/>
    <x v="0"/>
    <m/>
    <m/>
    <m/>
    <n v="0"/>
    <m/>
  </r>
  <r>
    <x v="436"/>
    <s v="ELECTRICAL"/>
    <x v="67"/>
    <x v="0"/>
    <x v="426"/>
    <x v="436"/>
    <s v="C3"/>
    <x v="0"/>
    <m/>
    <m/>
    <m/>
    <m/>
    <x v="0"/>
    <m/>
    <m/>
    <m/>
    <n v="0"/>
    <m/>
  </r>
  <r>
    <x v="437"/>
    <s v="ELECTRICAL"/>
    <x v="53"/>
    <x v="0"/>
    <x v="427"/>
    <x v="437"/>
    <s v="C3"/>
    <x v="0"/>
    <m/>
    <m/>
    <m/>
    <m/>
    <x v="0"/>
    <m/>
    <m/>
    <m/>
    <n v="0"/>
    <m/>
  </r>
  <r>
    <x v="438"/>
    <s v="ELECTRICAL"/>
    <x v="67"/>
    <x v="0"/>
    <x v="428"/>
    <x v="438"/>
    <s v="C3"/>
    <x v="0"/>
    <m/>
    <m/>
    <m/>
    <m/>
    <x v="0"/>
    <m/>
    <m/>
    <m/>
    <n v="0"/>
    <m/>
  </r>
  <r>
    <x v="439"/>
    <s v="ELECTRICAL"/>
    <x v="56"/>
    <x v="0"/>
    <x v="429"/>
    <x v="439"/>
    <s v="C3"/>
    <x v="0"/>
    <m/>
    <m/>
    <m/>
    <m/>
    <x v="0"/>
    <m/>
    <m/>
    <m/>
    <n v="0"/>
    <m/>
  </r>
  <r>
    <x v="440"/>
    <s v="FASTENERS"/>
    <x v="44"/>
    <x v="0"/>
    <x v="430"/>
    <x v="440"/>
    <s v="C3"/>
    <x v="0"/>
    <m/>
    <m/>
    <m/>
    <m/>
    <x v="0"/>
    <m/>
    <m/>
    <m/>
    <n v="0"/>
    <m/>
  </r>
  <r>
    <x v="441"/>
    <s v="ELECTRICAL"/>
    <x v="67"/>
    <x v="0"/>
    <x v="431"/>
    <x v="441"/>
    <s v="C3"/>
    <x v="0"/>
    <m/>
    <m/>
    <m/>
    <m/>
    <x v="0"/>
    <m/>
    <m/>
    <m/>
    <n v="0"/>
    <m/>
  </r>
  <r>
    <x v="442"/>
    <s v="ELECTRICAL"/>
    <x v="56"/>
    <x v="0"/>
    <x v="432"/>
    <x v="442"/>
    <s v="C3"/>
    <x v="0"/>
    <m/>
    <m/>
    <m/>
    <m/>
    <x v="0"/>
    <m/>
    <m/>
    <m/>
    <n v="0"/>
    <m/>
  </r>
  <r>
    <x v="443"/>
    <s v="ELECTRICAL"/>
    <x v="53"/>
    <x v="0"/>
    <x v="433"/>
    <x v="443"/>
    <s v="C3"/>
    <x v="0"/>
    <m/>
    <m/>
    <m/>
    <m/>
    <x v="0"/>
    <m/>
    <m/>
    <m/>
    <n v="0"/>
    <m/>
  </r>
  <r>
    <x v="444"/>
    <s v="ELECTRICAL"/>
    <x v="54"/>
    <x v="0"/>
    <x v="434"/>
    <x v="444"/>
    <s v="C3"/>
    <x v="0"/>
    <m/>
    <m/>
    <m/>
    <m/>
    <x v="0"/>
    <m/>
    <m/>
    <m/>
    <n v="0"/>
    <m/>
  </r>
  <r>
    <x v="445"/>
    <s v="ELECTRICAL"/>
    <x v="54"/>
    <x v="0"/>
    <x v="435"/>
    <x v="445"/>
    <s v="C3"/>
    <x v="0"/>
    <m/>
    <m/>
    <m/>
    <m/>
    <x v="0"/>
    <m/>
    <m/>
    <m/>
    <n v="0"/>
    <m/>
  </r>
  <r>
    <x v="446"/>
    <s v="ELECTRICAL"/>
    <x v="54"/>
    <x v="0"/>
    <x v="436"/>
    <x v="446"/>
    <s v="C3"/>
    <x v="0"/>
    <m/>
    <m/>
    <m/>
    <m/>
    <x v="0"/>
    <m/>
    <m/>
    <m/>
    <n v="0"/>
    <m/>
  </r>
  <r>
    <x v="447"/>
    <s v="ELECTRICAL"/>
    <x v="53"/>
    <x v="0"/>
    <x v="437"/>
    <x v="447"/>
    <s v="C3"/>
    <x v="0"/>
    <m/>
    <m/>
    <m/>
    <m/>
    <x v="0"/>
    <m/>
    <m/>
    <m/>
    <n v="0"/>
    <m/>
  </r>
  <r>
    <x v="448"/>
    <s v="ELECTRICAL"/>
    <x v="56"/>
    <x v="0"/>
    <x v="438"/>
    <x v="448"/>
    <s v="C3"/>
    <x v="0"/>
    <m/>
    <m/>
    <m/>
    <m/>
    <x v="0"/>
    <m/>
    <m/>
    <m/>
    <n v="0"/>
    <m/>
  </r>
  <r>
    <x v="449"/>
    <s v="ELECTRICAL"/>
    <x v="22"/>
    <x v="0"/>
    <x v="439"/>
    <x v="449"/>
    <s v="C4"/>
    <x v="0"/>
    <m/>
    <m/>
    <m/>
    <m/>
    <x v="0"/>
    <m/>
    <m/>
    <m/>
    <n v="0"/>
    <m/>
  </r>
  <r>
    <x v="450"/>
    <s v="ELECTRICAL"/>
    <x v="22"/>
    <x v="0"/>
    <x v="440"/>
    <x v="450"/>
    <s v="C4"/>
    <x v="0"/>
    <m/>
    <m/>
    <m/>
    <m/>
    <x v="0"/>
    <m/>
    <m/>
    <m/>
    <n v="0"/>
    <m/>
  </r>
  <r>
    <x v="451"/>
    <s v="ELECTRICAL"/>
    <x v="21"/>
    <x v="0"/>
    <x v="441"/>
    <x v="451"/>
    <s v="C4"/>
    <x v="0"/>
    <m/>
    <m/>
    <m/>
    <m/>
    <x v="0"/>
    <m/>
    <m/>
    <m/>
    <n v="0"/>
    <m/>
  </r>
  <r>
    <x v="452"/>
    <s v="ELECTRICAL"/>
    <x v="21"/>
    <x v="0"/>
    <x v="441"/>
    <x v="452"/>
    <s v="C4"/>
    <x v="0"/>
    <m/>
    <m/>
    <m/>
    <m/>
    <x v="0"/>
    <m/>
    <m/>
    <m/>
    <n v="0"/>
    <m/>
  </r>
  <r>
    <x v="453"/>
    <s v="ELECTRICAL"/>
    <x v="66"/>
    <x v="0"/>
    <x v="442"/>
    <x v="453"/>
    <s v="C4"/>
    <x v="0"/>
    <m/>
    <m/>
    <m/>
    <m/>
    <x v="0"/>
    <m/>
    <m/>
    <m/>
    <n v="0"/>
    <m/>
  </r>
  <r>
    <x v="454"/>
    <s v="ELECTRICAL"/>
    <x v="57"/>
    <x v="0"/>
    <x v="443"/>
    <x v="454"/>
    <s v="C4"/>
    <x v="0"/>
    <m/>
    <m/>
    <m/>
    <m/>
    <x v="0"/>
    <m/>
    <m/>
    <m/>
    <n v="0"/>
    <m/>
  </r>
  <r>
    <x v="455"/>
    <s v="ELECTRICAL"/>
    <x v="57"/>
    <x v="0"/>
    <x v="444"/>
    <x v="455"/>
    <s v="C4"/>
    <x v="0"/>
    <m/>
    <m/>
    <m/>
    <m/>
    <x v="0"/>
    <m/>
    <m/>
    <m/>
    <n v="0"/>
    <m/>
  </r>
  <r>
    <x v="456"/>
    <s v="ELECTRICAL"/>
    <x v="57"/>
    <x v="0"/>
    <x v="445"/>
    <x v="456"/>
    <s v="C4"/>
    <x v="0"/>
    <m/>
    <m/>
    <m/>
    <m/>
    <x v="0"/>
    <m/>
    <m/>
    <m/>
    <n v="0"/>
    <m/>
  </r>
  <r>
    <x v="457"/>
    <s v="ELECTRICAL"/>
    <x v="68"/>
    <x v="0"/>
    <x v="446"/>
    <x v="457"/>
    <s v="C4"/>
    <x v="0"/>
    <m/>
    <m/>
    <m/>
    <m/>
    <x v="0"/>
    <m/>
    <m/>
    <m/>
    <n v="0"/>
    <m/>
  </r>
  <r>
    <x v="458"/>
    <s v="ELECTRICAL"/>
    <x v="61"/>
    <x v="0"/>
    <x v="447"/>
    <x v="458"/>
    <s v="C4"/>
    <x v="0"/>
    <m/>
    <m/>
    <m/>
    <m/>
    <x v="0"/>
    <m/>
    <m/>
    <m/>
    <n v="0"/>
    <m/>
  </r>
  <r>
    <x v="459"/>
    <s v="ELECTRICAL"/>
    <x v="68"/>
    <x v="0"/>
    <x v="448"/>
    <x v="459"/>
    <s v="C4"/>
    <x v="0"/>
    <m/>
    <m/>
    <m/>
    <m/>
    <x v="0"/>
    <m/>
    <m/>
    <m/>
    <n v="0"/>
    <m/>
  </r>
  <r>
    <x v="460"/>
    <s v="ELECTRICAL"/>
    <x v="22"/>
    <x v="0"/>
    <x v="449"/>
    <x v="460"/>
    <s v="C4"/>
    <x v="0"/>
    <m/>
    <m/>
    <m/>
    <m/>
    <x v="0"/>
    <m/>
    <m/>
    <m/>
    <n v="0"/>
    <m/>
  </r>
  <r>
    <x v="461"/>
    <s v="ELECTRICAL"/>
    <x v="66"/>
    <x v="0"/>
    <x v="450"/>
    <x v="461"/>
    <s v="C4"/>
    <x v="0"/>
    <m/>
    <m/>
    <m/>
    <m/>
    <x v="0"/>
    <m/>
    <m/>
    <m/>
    <n v="0"/>
    <m/>
  </r>
  <r>
    <x v="462"/>
    <s v="ELECTRICAL"/>
    <x v="66"/>
    <x v="0"/>
    <x v="451"/>
    <x v="462"/>
    <s v="C4"/>
    <x v="0"/>
    <m/>
    <m/>
    <m/>
    <m/>
    <x v="0"/>
    <m/>
    <m/>
    <m/>
    <n v="0"/>
    <m/>
  </r>
  <r>
    <x v="463"/>
    <s v="ELECTRICAL"/>
    <x v="66"/>
    <x v="0"/>
    <x v="452"/>
    <x v="463"/>
    <s v="C4"/>
    <x v="0"/>
    <m/>
    <m/>
    <m/>
    <m/>
    <x v="0"/>
    <m/>
    <m/>
    <m/>
    <n v="0"/>
    <m/>
  </r>
  <r>
    <x v="464"/>
    <s v="ELECTRICAL"/>
    <x v="66"/>
    <x v="0"/>
    <x v="453"/>
    <x v="464"/>
    <s v="C4"/>
    <x v="0"/>
    <m/>
    <m/>
    <m/>
    <m/>
    <x v="0"/>
    <m/>
    <m/>
    <m/>
    <n v="0"/>
    <m/>
  </r>
  <r>
    <x v="465"/>
    <s v="ELECTRICAL"/>
    <x v="69"/>
    <x v="0"/>
    <x v="454"/>
    <x v="465"/>
    <s v="C4"/>
    <x v="0"/>
    <m/>
    <m/>
    <m/>
    <m/>
    <x v="0"/>
    <m/>
    <m/>
    <m/>
    <n v="0"/>
    <m/>
  </r>
  <r>
    <x v="466"/>
    <s v="ELECTRICAL"/>
    <x v="69"/>
    <x v="0"/>
    <x v="455"/>
    <x v="466"/>
    <s v="C4"/>
    <x v="0"/>
    <m/>
    <m/>
    <m/>
    <m/>
    <x v="0"/>
    <m/>
    <m/>
    <m/>
    <n v="0"/>
    <m/>
  </r>
  <r>
    <x v="467"/>
    <s v="ELECTRICAL"/>
    <x v="69"/>
    <x v="0"/>
    <x v="456"/>
    <x v="467"/>
    <s v="C4"/>
    <x v="0"/>
    <m/>
    <m/>
    <m/>
    <m/>
    <x v="0"/>
    <m/>
    <m/>
    <m/>
    <n v="0"/>
    <m/>
  </r>
  <r>
    <x v="468"/>
    <s v="ELECTRICAL"/>
    <x v="66"/>
    <x v="0"/>
    <x v="457"/>
    <x v="468"/>
    <s v="C4"/>
    <x v="0"/>
    <m/>
    <m/>
    <m/>
    <m/>
    <x v="0"/>
    <m/>
    <m/>
    <m/>
    <n v="0"/>
    <m/>
  </r>
  <r>
    <x v="469"/>
    <s v="ELECTRICAL"/>
    <x v="66"/>
    <x v="0"/>
    <x v="458"/>
    <x v="469"/>
    <s v="C4"/>
    <x v="0"/>
    <m/>
    <m/>
    <m/>
    <m/>
    <x v="0"/>
    <m/>
    <m/>
    <m/>
    <n v="0"/>
    <m/>
  </r>
  <r>
    <x v="470"/>
    <s v="ELECTRICAL"/>
    <x v="66"/>
    <x v="0"/>
    <x v="459"/>
    <x v="470"/>
    <s v="C4"/>
    <x v="0"/>
    <m/>
    <m/>
    <m/>
    <m/>
    <x v="0"/>
    <m/>
    <m/>
    <m/>
    <n v="0"/>
    <m/>
  </r>
  <r>
    <x v="471"/>
    <s v="ELECTRICAL"/>
    <x v="70"/>
    <x v="0"/>
    <x v="460"/>
    <x v="471"/>
    <s v="C4"/>
    <x v="0"/>
    <m/>
    <m/>
    <m/>
    <m/>
    <x v="0"/>
    <m/>
    <m/>
    <m/>
    <n v="0"/>
    <m/>
  </r>
  <r>
    <x v="472"/>
    <s v="ELECTRICAL"/>
    <x v="57"/>
    <x v="0"/>
    <x v="461"/>
    <x v="472"/>
    <s v="C4"/>
    <x v="0"/>
    <m/>
    <m/>
    <m/>
    <m/>
    <x v="0"/>
    <m/>
    <m/>
    <m/>
    <n v="0"/>
    <m/>
  </r>
  <r>
    <x v="473"/>
    <s v="ELECTRICAL"/>
    <x v="66"/>
    <x v="0"/>
    <x v="462"/>
    <x v="473"/>
    <s v="C4"/>
    <x v="0"/>
    <m/>
    <m/>
    <m/>
    <m/>
    <x v="0"/>
    <m/>
    <m/>
    <m/>
    <n v="0"/>
    <m/>
  </r>
  <r>
    <x v="474"/>
    <s v="ELECTRICAL"/>
    <x v="58"/>
    <x v="0"/>
    <x v="463"/>
    <x v="474"/>
    <s v="C4"/>
    <x v="0"/>
    <m/>
    <m/>
    <m/>
    <m/>
    <x v="0"/>
    <m/>
    <m/>
    <m/>
    <n v="0"/>
    <m/>
  </r>
  <r>
    <x v="475"/>
    <s v="ELECTRICAL"/>
    <x v="66"/>
    <x v="0"/>
    <x v="464"/>
    <x v="475"/>
    <s v="C4"/>
    <x v="0"/>
    <m/>
    <m/>
    <m/>
    <m/>
    <x v="0"/>
    <m/>
    <m/>
    <m/>
    <n v="0"/>
    <m/>
  </r>
  <r>
    <x v="476"/>
    <s v="ELECTRICAL"/>
    <x v="61"/>
    <x v="0"/>
    <x v="465"/>
    <x v="476"/>
    <s v="C4"/>
    <x v="0"/>
    <m/>
    <m/>
    <m/>
    <m/>
    <x v="0"/>
    <m/>
    <m/>
    <m/>
    <n v="0"/>
    <m/>
  </r>
  <r>
    <x v="477"/>
    <s v="ELECTRICAL"/>
    <x v="61"/>
    <x v="0"/>
    <x v="466"/>
    <x v="477"/>
    <s v="C4"/>
    <x v="0"/>
    <m/>
    <m/>
    <m/>
    <m/>
    <x v="0"/>
    <m/>
    <m/>
    <m/>
    <n v="0"/>
    <m/>
  </r>
  <r>
    <x v="478"/>
    <s v="ELECTRICAL"/>
    <x v="66"/>
    <x v="0"/>
    <x v="467"/>
    <x v="478"/>
    <s v="C4"/>
    <x v="0"/>
    <m/>
    <m/>
    <m/>
    <m/>
    <x v="0"/>
    <m/>
    <m/>
    <m/>
    <n v="0"/>
    <m/>
  </r>
  <r>
    <x v="479"/>
    <s v="ELECTRICAL"/>
    <x v="68"/>
    <x v="0"/>
    <x v="468"/>
    <x v="479"/>
    <s v="C4"/>
    <x v="0"/>
    <m/>
    <m/>
    <m/>
    <m/>
    <x v="0"/>
    <m/>
    <m/>
    <m/>
    <n v="0"/>
    <m/>
  </r>
  <r>
    <x v="480"/>
    <s v="ELECTRICAL"/>
    <x v="62"/>
    <x v="0"/>
    <x v="469"/>
    <x v="480"/>
    <s v="C4"/>
    <x v="0"/>
    <m/>
    <m/>
    <m/>
    <m/>
    <x v="0"/>
    <m/>
    <m/>
    <m/>
    <n v="0"/>
    <m/>
  </r>
  <r>
    <x v="481"/>
    <s v="ELECTRICAL"/>
    <x v="71"/>
    <x v="0"/>
    <x v="470"/>
    <x v="481"/>
    <s v="C4"/>
    <x v="0"/>
    <m/>
    <m/>
    <m/>
    <m/>
    <x v="0"/>
    <m/>
    <m/>
    <m/>
    <n v="0"/>
    <m/>
  </r>
  <r>
    <x v="482"/>
    <s v="ELECTRICAL"/>
    <x v="21"/>
    <x v="0"/>
    <x v="471"/>
    <x v="482"/>
    <s v="C4"/>
    <x v="0"/>
    <m/>
    <m/>
    <m/>
    <m/>
    <x v="0"/>
    <m/>
    <m/>
    <m/>
    <n v="0"/>
    <m/>
  </r>
  <r>
    <x v="483"/>
    <s v="ELECTRICAL"/>
    <x v="21"/>
    <x v="0"/>
    <x v="472"/>
    <x v="483"/>
    <s v="C4"/>
    <x v="0"/>
    <m/>
    <m/>
    <m/>
    <m/>
    <x v="0"/>
    <m/>
    <m/>
    <m/>
    <n v="0"/>
    <m/>
  </r>
  <r>
    <x v="484"/>
    <s v="ELECTRICAL"/>
    <x v="21"/>
    <x v="0"/>
    <x v="473"/>
    <x v="484"/>
    <s v="C4"/>
    <x v="0"/>
    <m/>
    <m/>
    <m/>
    <m/>
    <x v="0"/>
    <m/>
    <m/>
    <m/>
    <n v="0"/>
    <m/>
  </r>
  <r>
    <x v="485"/>
    <s v="BELTS"/>
    <x v="72"/>
    <x v="0"/>
    <x v="474"/>
    <x v="485"/>
    <s v="D1"/>
    <x v="0"/>
    <m/>
    <m/>
    <m/>
    <m/>
    <x v="0"/>
    <m/>
    <m/>
    <m/>
    <n v="0"/>
    <m/>
  </r>
  <r>
    <x v="486"/>
    <s v="BELTS"/>
    <x v="72"/>
    <x v="0"/>
    <x v="475"/>
    <x v="486"/>
    <s v="D1"/>
    <x v="0"/>
    <m/>
    <m/>
    <m/>
    <m/>
    <x v="0"/>
    <m/>
    <m/>
    <m/>
    <n v="0"/>
    <m/>
  </r>
  <r>
    <x v="487"/>
    <s v="BELTS"/>
    <x v="72"/>
    <x v="0"/>
    <x v="476"/>
    <x v="487"/>
    <s v="D1"/>
    <x v="0"/>
    <m/>
    <m/>
    <m/>
    <m/>
    <x v="0"/>
    <m/>
    <m/>
    <m/>
    <n v="0"/>
    <m/>
  </r>
  <r>
    <x v="488"/>
    <s v="BELTS"/>
    <x v="72"/>
    <x v="0"/>
    <x v="477"/>
    <x v="488"/>
    <s v="D1"/>
    <x v="0"/>
    <m/>
    <m/>
    <m/>
    <m/>
    <x v="0"/>
    <m/>
    <m/>
    <m/>
    <n v="0"/>
    <m/>
  </r>
  <r>
    <x v="489"/>
    <s v="BELTS"/>
    <x v="72"/>
    <x v="0"/>
    <x v="478"/>
    <x v="489"/>
    <s v="D1"/>
    <x v="0"/>
    <m/>
    <m/>
    <m/>
    <m/>
    <x v="0"/>
    <m/>
    <m/>
    <m/>
    <n v="0"/>
    <m/>
  </r>
  <r>
    <x v="490"/>
    <s v="BELTS"/>
    <x v="72"/>
    <x v="0"/>
    <x v="479"/>
    <x v="490"/>
    <s v="D1"/>
    <x v="0"/>
    <m/>
    <m/>
    <m/>
    <m/>
    <x v="0"/>
    <m/>
    <m/>
    <m/>
    <n v="0"/>
    <m/>
  </r>
  <r>
    <x v="491"/>
    <s v="BELTS"/>
    <x v="72"/>
    <x v="0"/>
    <x v="480"/>
    <x v="491"/>
    <s v="D1"/>
    <x v="0"/>
    <m/>
    <m/>
    <m/>
    <m/>
    <x v="0"/>
    <m/>
    <m/>
    <m/>
    <n v="0"/>
    <m/>
  </r>
  <r>
    <x v="492"/>
    <s v="BELTS"/>
    <x v="72"/>
    <x v="0"/>
    <x v="481"/>
    <x v="492"/>
    <s v="D1"/>
    <x v="0"/>
    <m/>
    <m/>
    <m/>
    <m/>
    <x v="0"/>
    <m/>
    <m/>
    <m/>
    <n v="0"/>
    <m/>
  </r>
  <r>
    <x v="493"/>
    <s v="BELTS"/>
    <x v="72"/>
    <x v="0"/>
    <x v="482"/>
    <x v="493"/>
    <s v="D1"/>
    <x v="0"/>
    <m/>
    <m/>
    <m/>
    <m/>
    <x v="0"/>
    <m/>
    <m/>
    <m/>
    <n v="0"/>
    <m/>
  </r>
  <r>
    <x v="494"/>
    <s v="BELTS"/>
    <x v="72"/>
    <x v="0"/>
    <x v="483"/>
    <x v="494"/>
    <s v="D1"/>
    <x v="0"/>
    <m/>
    <m/>
    <m/>
    <m/>
    <x v="0"/>
    <m/>
    <m/>
    <m/>
    <n v="0"/>
    <m/>
  </r>
  <r>
    <x v="495"/>
    <s v="BELTS"/>
    <x v="72"/>
    <x v="0"/>
    <x v="484"/>
    <x v="495"/>
    <s v="D1"/>
    <x v="0"/>
    <m/>
    <m/>
    <m/>
    <m/>
    <x v="0"/>
    <m/>
    <m/>
    <m/>
    <n v="0"/>
    <m/>
  </r>
  <r>
    <x v="496"/>
    <s v="BELTS"/>
    <x v="73"/>
    <x v="0"/>
    <x v="485"/>
    <x v="496"/>
    <s v="D2"/>
    <x v="0"/>
    <m/>
    <m/>
    <m/>
    <m/>
    <x v="0"/>
    <m/>
    <m/>
    <m/>
    <n v="0"/>
    <m/>
  </r>
  <r>
    <x v="497"/>
    <s v="BELTS"/>
    <x v="72"/>
    <x v="0"/>
    <x v="486"/>
    <x v="497"/>
    <s v="D2"/>
    <x v="0"/>
    <m/>
    <m/>
    <m/>
    <m/>
    <x v="0"/>
    <m/>
    <m/>
    <m/>
    <n v="0"/>
    <m/>
  </r>
  <r>
    <x v="498"/>
    <s v="BELTS"/>
    <x v="72"/>
    <x v="0"/>
    <x v="487"/>
    <x v="498"/>
    <s v="D2"/>
    <x v="0"/>
    <m/>
    <m/>
    <m/>
    <m/>
    <x v="0"/>
    <m/>
    <m/>
    <m/>
    <n v="0"/>
    <m/>
  </r>
  <r>
    <x v="499"/>
    <s v="BELTS"/>
    <x v="72"/>
    <x v="0"/>
    <x v="488"/>
    <x v="499"/>
    <s v="D2"/>
    <x v="0"/>
    <m/>
    <m/>
    <m/>
    <m/>
    <x v="0"/>
    <m/>
    <m/>
    <m/>
    <n v="0"/>
    <m/>
  </r>
  <r>
    <x v="500"/>
    <s v="BELTS"/>
    <x v="72"/>
    <x v="0"/>
    <x v="489"/>
    <x v="500"/>
    <s v="D2"/>
    <x v="0"/>
    <m/>
    <m/>
    <m/>
    <m/>
    <x v="0"/>
    <m/>
    <m/>
    <m/>
    <n v="0"/>
    <m/>
  </r>
  <r>
    <x v="501"/>
    <s v="BELTS"/>
    <x v="72"/>
    <x v="0"/>
    <x v="490"/>
    <x v="501"/>
    <s v="D2"/>
    <x v="0"/>
    <m/>
    <m/>
    <m/>
    <m/>
    <x v="0"/>
    <m/>
    <m/>
    <m/>
    <n v="0"/>
    <m/>
  </r>
  <r>
    <x v="502"/>
    <s v="BELTS"/>
    <x v="73"/>
    <x v="0"/>
    <x v="491"/>
    <x v="502"/>
    <s v="D2"/>
    <x v="0"/>
    <m/>
    <m/>
    <m/>
    <m/>
    <x v="0"/>
    <m/>
    <m/>
    <m/>
    <n v="0"/>
    <m/>
  </r>
  <r>
    <x v="503"/>
    <s v="BELTS"/>
    <x v="72"/>
    <x v="0"/>
    <x v="492"/>
    <x v="503"/>
    <s v="D2"/>
    <x v="0"/>
    <m/>
    <m/>
    <m/>
    <m/>
    <x v="0"/>
    <m/>
    <m/>
    <m/>
    <n v="0"/>
    <m/>
  </r>
  <r>
    <x v="504"/>
    <s v="BELTS"/>
    <x v="72"/>
    <x v="0"/>
    <x v="493"/>
    <x v="504"/>
    <s v="D2"/>
    <x v="0"/>
    <m/>
    <m/>
    <m/>
    <m/>
    <x v="0"/>
    <m/>
    <m/>
    <m/>
    <n v="0"/>
    <m/>
  </r>
  <r>
    <x v="505"/>
    <s v="BELTS"/>
    <x v="72"/>
    <x v="0"/>
    <x v="494"/>
    <x v="505"/>
    <s v="D2"/>
    <x v="0"/>
    <m/>
    <m/>
    <m/>
    <m/>
    <x v="0"/>
    <m/>
    <m/>
    <m/>
    <n v="0"/>
    <m/>
  </r>
  <r>
    <x v="506"/>
    <s v="BELTS"/>
    <x v="72"/>
    <x v="0"/>
    <x v="495"/>
    <x v="506"/>
    <s v="D2"/>
    <x v="0"/>
    <m/>
    <m/>
    <m/>
    <m/>
    <x v="0"/>
    <m/>
    <m/>
    <m/>
    <n v="0"/>
    <m/>
  </r>
  <r>
    <x v="507"/>
    <s v="BELTS"/>
    <x v="72"/>
    <x v="0"/>
    <x v="496"/>
    <x v="507"/>
    <s v="D2"/>
    <x v="0"/>
    <m/>
    <m/>
    <m/>
    <m/>
    <x v="0"/>
    <m/>
    <m/>
    <m/>
    <n v="0"/>
    <m/>
  </r>
  <r>
    <x v="508"/>
    <s v="BELTS"/>
    <x v="72"/>
    <x v="0"/>
    <x v="497"/>
    <x v="508"/>
    <s v="D2"/>
    <x v="0"/>
    <m/>
    <m/>
    <m/>
    <m/>
    <x v="0"/>
    <m/>
    <m/>
    <m/>
    <n v="0"/>
    <m/>
  </r>
  <r>
    <x v="509"/>
    <s v="BELTS"/>
    <x v="72"/>
    <x v="0"/>
    <x v="498"/>
    <x v="509"/>
    <s v="D2"/>
    <x v="0"/>
    <m/>
    <m/>
    <m/>
    <m/>
    <x v="0"/>
    <m/>
    <m/>
    <m/>
    <n v="0"/>
    <m/>
  </r>
  <r>
    <x v="510"/>
    <s v="BELTS"/>
    <x v="72"/>
    <x v="0"/>
    <x v="499"/>
    <x v="510"/>
    <s v="D2"/>
    <x v="0"/>
    <m/>
    <m/>
    <m/>
    <m/>
    <x v="0"/>
    <m/>
    <m/>
    <m/>
    <n v="0"/>
    <m/>
  </r>
  <r>
    <x v="511"/>
    <s v="BELTS"/>
    <x v="72"/>
    <x v="0"/>
    <x v="500"/>
    <x v="511"/>
    <s v="D2"/>
    <x v="0"/>
    <m/>
    <m/>
    <m/>
    <m/>
    <x v="0"/>
    <m/>
    <m/>
    <m/>
    <n v="0"/>
    <m/>
  </r>
  <r>
    <x v="512"/>
    <s v="BELTS"/>
    <x v="72"/>
    <x v="0"/>
    <x v="501"/>
    <x v="512"/>
    <s v="D2"/>
    <x v="0"/>
    <m/>
    <m/>
    <m/>
    <m/>
    <x v="0"/>
    <m/>
    <m/>
    <m/>
    <n v="0"/>
    <m/>
  </r>
  <r>
    <x v="513"/>
    <s v="BELTS"/>
    <x v="72"/>
    <x v="0"/>
    <x v="502"/>
    <x v="513"/>
    <s v="D2"/>
    <x v="0"/>
    <m/>
    <m/>
    <m/>
    <m/>
    <x v="0"/>
    <m/>
    <m/>
    <m/>
    <n v="0"/>
    <m/>
  </r>
  <r>
    <x v="514"/>
    <s v="PNEUMATIC"/>
    <x v="74"/>
    <x v="0"/>
    <x v="503"/>
    <x v="514"/>
    <s v="D3"/>
    <x v="0"/>
    <m/>
    <m/>
    <m/>
    <m/>
    <x v="0"/>
    <m/>
    <m/>
    <m/>
    <n v="0"/>
    <m/>
  </r>
  <r>
    <x v="515"/>
    <s v="PNEUMATIC"/>
    <x v="74"/>
    <x v="0"/>
    <x v="504"/>
    <x v="515"/>
    <s v="D3"/>
    <x v="0"/>
    <m/>
    <m/>
    <m/>
    <m/>
    <x v="0"/>
    <m/>
    <m/>
    <m/>
    <n v="0"/>
    <m/>
  </r>
  <r>
    <x v="516"/>
    <s v="PNEUMATIC"/>
    <x v="23"/>
    <x v="0"/>
    <x v="505"/>
    <x v="516"/>
    <s v="D3"/>
    <x v="0"/>
    <m/>
    <m/>
    <m/>
    <m/>
    <x v="0"/>
    <m/>
    <m/>
    <m/>
    <n v="0"/>
    <m/>
  </r>
  <r>
    <x v="517"/>
    <s v="MECHANICAL"/>
    <x v="45"/>
    <x v="0"/>
    <x v="506"/>
    <x v="517"/>
    <s v="D3"/>
    <x v="0"/>
    <m/>
    <m/>
    <m/>
    <m/>
    <x v="0"/>
    <m/>
    <m/>
    <m/>
    <n v="0"/>
    <m/>
  </r>
  <r>
    <x v="518"/>
    <s v="MECHANICAL"/>
    <x v="21"/>
    <x v="0"/>
    <x v="507"/>
    <x v="518"/>
    <s v="D3"/>
    <x v="0"/>
    <m/>
    <m/>
    <m/>
    <m/>
    <x v="0"/>
    <m/>
    <m/>
    <m/>
    <n v="0"/>
    <m/>
  </r>
  <r>
    <x v="519"/>
    <s v="PNEUMATIC"/>
    <x v="75"/>
    <x v="0"/>
    <x v="508"/>
    <x v="519"/>
    <s v="D3"/>
    <x v="0"/>
    <m/>
    <m/>
    <m/>
    <m/>
    <x v="0"/>
    <m/>
    <m/>
    <m/>
    <n v="0"/>
    <m/>
  </r>
  <r>
    <x v="520"/>
    <s v="PNEUMATIC"/>
    <x v="76"/>
    <x v="0"/>
    <x v="509"/>
    <x v="520"/>
    <s v="D3"/>
    <x v="0"/>
    <m/>
    <m/>
    <m/>
    <m/>
    <x v="0"/>
    <m/>
    <m/>
    <m/>
    <n v="0"/>
    <m/>
  </r>
  <r>
    <x v="521"/>
    <s v="PNEUMATIC"/>
    <x v="76"/>
    <x v="0"/>
    <x v="510"/>
    <x v="521"/>
    <s v="D3"/>
    <x v="0"/>
    <m/>
    <m/>
    <m/>
    <m/>
    <x v="0"/>
    <m/>
    <m/>
    <m/>
    <n v="0"/>
    <m/>
  </r>
  <r>
    <x v="522"/>
    <s v="PNEUMATIC"/>
    <x v="76"/>
    <x v="0"/>
    <x v="511"/>
    <x v="522"/>
    <s v="D3"/>
    <x v="0"/>
    <m/>
    <m/>
    <m/>
    <m/>
    <x v="0"/>
    <m/>
    <m/>
    <m/>
    <n v="0"/>
    <m/>
  </r>
  <r>
    <x v="523"/>
    <s v="PNEUMATIC"/>
    <x v="76"/>
    <x v="0"/>
    <x v="511"/>
    <x v="523"/>
    <s v="D3"/>
    <x v="0"/>
    <m/>
    <m/>
    <m/>
    <m/>
    <x v="0"/>
    <m/>
    <m/>
    <m/>
    <n v="0"/>
    <m/>
  </r>
  <r>
    <x v="524"/>
    <s v="PNEUMATIC"/>
    <x v="76"/>
    <x v="0"/>
    <x v="512"/>
    <x v="524"/>
    <s v="D3"/>
    <x v="0"/>
    <m/>
    <m/>
    <m/>
    <m/>
    <x v="0"/>
    <m/>
    <m/>
    <m/>
    <n v="0"/>
    <m/>
  </r>
  <r>
    <x v="525"/>
    <s v="PNEUMATIC"/>
    <x v="74"/>
    <x v="0"/>
    <x v="513"/>
    <x v="525"/>
    <s v="D3"/>
    <x v="0"/>
    <m/>
    <m/>
    <m/>
    <m/>
    <x v="0"/>
    <m/>
    <m/>
    <m/>
    <n v="0"/>
    <m/>
  </r>
  <r>
    <x v="526"/>
    <s v="PRODUCTION SUPPLY"/>
    <x v="21"/>
    <x v="0"/>
    <x v="514"/>
    <x v="526"/>
    <s v="D3"/>
    <x v="0"/>
    <m/>
    <m/>
    <m/>
    <m/>
    <x v="0"/>
    <m/>
    <m/>
    <m/>
    <n v="0"/>
    <m/>
  </r>
  <r>
    <x v="527"/>
    <s v="PNEUMATIC"/>
    <x v="75"/>
    <x v="0"/>
    <x v="515"/>
    <x v="527"/>
    <s v="D3"/>
    <x v="0"/>
    <m/>
    <m/>
    <m/>
    <m/>
    <x v="0"/>
    <m/>
    <m/>
    <m/>
    <n v="0"/>
    <m/>
  </r>
  <r>
    <x v="528"/>
    <s v="TAPES"/>
    <x v="77"/>
    <x v="0"/>
    <x v="516"/>
    <x v="528"/>
    <s v="D3"/>
    <x v="0"/>
    <m/>
    <m/>
    <m/>
    <m/>
    <x v="0"/>
    <m/>
    <m/>
    <m/>
    <n v="0"/>
    <m/>
  </r>
  <r>
    <x v="529"/>
    <s v="MECHANICAL"/>
    <x v="26"/>
    <x v="0"/>
    <x v="517"/>
    <x v="529"/>
    <s v="D3"/>
    <x v="0"/>
    <m/>
    <m/>
    <m/>
    <m/>
    <x v="0"/>
    <m/>
    <m/>
    <m/>
    <n v="0"/>
    <m/>
  </r>
  <r>
    <x v="530"/>
    <s v="MECHANICAL"/>
    <x v="26"/>
    <x v="0"/>
    <x v="518"/>
    <x v="530"/>
    <s v="D3"/>
    <x v="0"/>
    <m/>
    <m/>
    <m/>
    <m/>
    <x v="0"/>
    <m/>
    <m/>
    <m/>
    <n v="0"/>
    <m/>
  </r>
  <r>
    <x v="531"/>
    <s v="PRODUCTION SUPPLY"/>
    <x v="78"/>
    <x v="0"/>
    <x v="519"/>
    <x v="531"/>
    <s v="D3"/>
    <x v="0"/>
    <m/>
    <m/>
    <m/>
    <m/>
    <x v="0"/>
    <m/>
    <m/>
    <m/>
    <n v="0"/>
    <m/>
  </r>
  <r>
    <x v="532"/>
    <s v="MISCELLANEOUS"/>
    <x v="79"/>
    <x v="0"/>
    <x v="520"/>
    <x v="532"/>
    <s v="D4"/>
    <x v="0"/>
    <m/>
    <m/>
    <m/>
    <m/>
    <x v="0"/>
    <m/>
    <m/>
    <m/>
    <n v="0"/>
    <m/>
  </r>
  <r>
    <x v="533"/>
    <s v="MISCELLANEOUS"/>
    <x v="38"/>
    <x v="0"/>
    <x v="521"/>
    <x v="533"/>
    <s v="D4"/>
    <x v="0"/>
    <m/>
    <m/>
    <m/>
    <m/>
    <x v="0"/>
    <m/>
    <m/>
    <m/>
    <n v="0"/>
    <m/>
  </r>
  <r>
    <x v="534"/>
    <s v="MISCELLANEOUS"/>
    <x v="38"/>
    <x v="0"/>
    <x v="522"/>
    <x v="534"/>
    <s v="D4"/>
    <x v="0"/>
    <m/>
    <m/>
    <m/>
    <m/>
    <x v="0"/>
    <m/>
    <m/>
    <m/>
    <n v="0"/>
    <m/>
  </r>
  <r>
    <x v="535"/>
    <s v="MECHANICAL"/>
    <x v="21"/>
    <x v="0"/>
    <x v="523"/>
    <x v="535"/>
    <s v="D4"/>
    <x v="0"/>
    <m/>
    <m/>
    <m/>
    <m/>
    <x v="0"/>
    <m/>
    <m/>
    <m/>
    <n v="0"/>
    <m/>
  </r>
  <r>
    <x v="536"/>
    <s v="MISCELLANEOUS"/>
    <x v="38"/>
    <x v="0"/>
    <x v="524"/>
    <x v="536"/>
    <s v="D4"/>
    <x v="0"/>
    <m/>
    <m/>
    <m/>
    <m/>
    <x v="0"/>
    <m/>
    <m/>
    <m/>
    <n v="0"/>
    <m/>
  </r>
  <r>
    <x v="537"/>
    <s v="MECHANICAL"/>
    <x v="21"/>
    <x v="0"/>
    <x v="525"/>
    <x v="537"/>
    <s v="D4"/>
    <x v="0"/>
    <m/>
    <m/>
    <m/>
    <m/>
    <x v="0"/>
    <m/>
    <m/>
    <m/>
    <n v="0"/>
    <m/>
  </r>
  <r>
    <x v="538"/>
    <s v="MISCELLANEOUS"/>
    <x v="38"/>
    <x v="0"/>
    <x v="526"/>
    <x v="538"/>
    <s v="D4"/>
    <x v="0"/>
    <m/>
    <m/>
    <m/>
    <m/>
    <x v="0"/>
    <m/>
    <m/>
    <m/>
    <n v="0"/>
    <m/>
  </r>
  <r>
    <x v="539"/>
    <s v="PPE"/>
    <x v="80"/>
    <x v="0"/>
    <x v="527"/>
    <x v="539"/>
    <s v="D5"/>
    <x v="0"/>
    <m/>
    <m/>
    <m/>
    <m/>
    <x v="0"/>
    <m/>
    <m/>
    <m/>
    <n v="0"/>
    <m/>
  </r>
  <r>
    <x v="540"/>
    <s v="PPE"/>
    <x v="80"/>
    <x v="0"/>
    <x v="528"/>
    <x v="540"/>
    <s v="D5"/>
    <x v="0"/>
    <m/>
    <m/>
    <m/>
    <m/>
    <x v="0"/>
    <m/>
    <m/>
    <m/>
    <n v="0"/>
    <m/>
  </r>
  <r>
    <x v="541"/>
    <s v="PPE"/>
    <x v="80"/>
    <x v="0"/>
    <x v="529"/>
    <x v="541"/>
    <s v="D5"/>
    <x v="0"/>
    <m/>
    <m/>
    <m/>
    <m/>
    <x v="0"/>
    <m/>
    <m/>
    <m/>
    <n v="0"/>
    <m/>
  </r>
  <r>
    <x v="542"/>
    <s v="MECHANICAL"/>
    <x v="21"/>
    <x v="0"/>
    <x v="530"/>
    <x v="542"/>
    <s v="E1"/>
    <x v="0"/>
    <m/>
    <m/>
    <m/>
    <m/>
    <x v="0"/>
    <m/>
    <m/>
    <m/>
    <n v="0"/>
    <m/>
  </r>
  <r>
    <x v="543"/>
    <s v="MECHANICAL"/>
    <x v="45"/>
    <x v="0"/>
    <x v="531"/>
    <x v="543"/>
    <s v="E1"/>
    <x v="0"/>
    <m/>
    <m/>
    <m/>
    <m/>
    <x v="0"/>
    <m/>
    <m/>
    <m/>
    <n v="0"/>
    <m/>
  </r>
  <r>
    <x v="544"/>
    <s v="MECHANICAL"/>
    <x v="23"/>
    <x v="0"/>
    <x v="532"/>
    <x v="544"/>
    <s v="E1"/>
    <x v="0"/>
    <m/>
    <m/>
    <m/>
    <m/>
    <x v="0"/>
    <m/>
    <m/>
    <m/>
    <n v="0"/>
    <m/>
  </r>
  <r>
    <x v="545"/>
    <s v="MECHANICAL"/>
    <x v="21"/>
    <x v="0"/>
    <x v="533"/>
    <x v="545"/>
    <s v="E1"/>
    <x v="0"/>
    <m/>
    <m/>
    <m/>
    <m/>
    <x v="0"/>
    <m/>
    <m/>
    <m/>
    <n v="0"/>
    <m/>
  </r>
  <r>
    <x v="546"/>
    <s v="GEAR"/>
    <x v="8"/>
    <x v="0"/>
    <x v="534"/>
    <x v="546"/>
    <s v="E1"/>
    <x v="0"/>
    <m/>
    <m/>
    <m/>
    <m/>
    <x v="0"/>
    <m/>
    <m/>
    <m/>
    <n v="0"/>
    <m/>
  </r>
  <r>
    <x v="547"/>
    <s v="FASTENERS"/>
    <x v="11"/>
    <x v="0"/>
    <x v="535"/>
    <x v="547"/>
    <s v="E1"/>
    <x v="0"/>
    <m/>
    <m/>
    <m/>
    <m/>
    <x v="0"/>
    <m/>
    <m/>
    <m/>
    <n v="0"/>
    <m/>
  </r>
  <r>
    <x v="548"/>
    <s v="FASTENERS"/>
    <x v="81"/>
    <x v="0"/>
    <x v="536"/>
    <x v="548"/>
    <s v="E1"/>
    <x v="0"/>
    <m/>
    <m/>
    <m/>
    <m/>
    <x v="0"/>
    <m/>
    <m/>
    <m/>
    <n v="0"/>
    <m/>
  </r>
  <r>
    <x v="549"/>
    <s v="MECHANICAL"/>
    <x v="21"/>
    <x v="0"/>
    <x v="537"/>
    <x v="549"/>
    <s v="E1"/>
    <x v="0"/>
    <m/>
    <m/>
    <m/>
    <m/>
    <x v="0"/>
    <m/>
    <m/>
    <m/>
    <n v="0"/>
    <m/>
  </r>
  <r>
    <x v="550"/>
    <s v="MECHANICAL"/>
    <x v="21"/>
    <x v="0"/>
    <x v="538"/>
    <x v="550"/>
    <s v="E1"/>
    <x v="0"/>
    <m/>
    <m/>
    <m/>
    <m/>
    <x v="0"/>
    <m/>
    <m/>
    <m/>
    <n v="0"/>
    <m/>
  </r>
  <r>
    <x v="551"/>
    <s v="MECHANICAL"/>
    <x v="21"/>
    <x v="0"/>
    <x v="539"/>
    <x v="551"/>
    <s v="E1"/>
    <x v="0"/>
    <m/>
    <m/>
    <m/>
    <m/>
    <x v="0"/>
    <m/>
    <m/>
    <m/>
    <n v="0"/>
    <m/>
  </r>
  <r>
    <x v="552"/>
    <s v="MECHANICAL"/>
    <x v="24"/>
    <x v="0"/>
    <x v="540"/>
    <x v="552"/>
    <s v="E1"/>
    <x v="0"/>
    <m/>
    <m/>
    <m/>
    <m/>
    <x v="0"/>
    <m/>
    <m/>
    <m/>
    <n v="0"/>
    <m/>
  </r>
  <r>
    <x v="553"/>
    <s v="FASTENERS"/>
    <x v="11"/>
    <x v="0"/>
    <x v="541"/>
    <x v="553"/>
    <s v="E1"/>
    <x v="0"/>
    <m/>
    <m/>
    <m/>
    <m/>
    <x v="0"/>
    <m/>
    <m/>
    <m/>
    <n v="0"/>
    <m/>
  </r>
  <r>
    <x v="554"/>
    <s v="MECHANICAL"/>
    <x v="21"/>
    <x v="0"/>
    <x v="542"/>
    <x v="554"/>
    <s v="E1"/>
    <x v="0"/>
    <m/>
    <m/>
    <m/>
    <m/>
    <x v="0"/>
    <m/>
    <m/>
    <m/>
    <n v="0"/>
    <m/>
  </r>
  <r>
    <x v="555"/>
    <s v="MECHANICAL"/>
    <x v="21"/>
    <x v="0"/>
    <x v="543"/>
    <x v="555"/>
    <s v="E1"/>
    <x v="0"/>
    <m/>
    <m/>
    <m/>
    <m/>
    <x v="0"/>
    <m/>
    <m/>
    <m/>
    <n v="0"/>
    <m/>
  </r>
  <r>
    <x v="556"/>
    <s v="FASTENERS"/>
    <x v="82"/>
    <x v="0"/>
    <x v="544"/>
    <x v="556"/>
    <s v="E1"/>
    <x v="0"/>
    <m/>
    <m/>
    <m/>
    <m/>
    <x v="0"/>
    <m/>
    <m/>
    <m/>
    <n v="0"/>
    <m/>
  </r>
  <r>
    <x v="557"/>
    <s v="MECHANICAL"/>
    <x v="21"/>
    <x v="0"/>
    <x v="545"/>
    <x v="557"/>
    <s v="E1"/>
    <x v="0"/>
    <m/>
    <m/>
    <m/>
    <m/>
    <x v="0"/>
    <m/>
    <m/>
    <m/>
    <n v="0"/>
    <m/>
  </r>
  <r>
    <x v="558"/>
    <s v="MECHANICAL"/>
    <x v="21"/>
    <x v="0"/>
    <x v="546"/>
    <x v="558"/>
    <s v="E1"/>
    <x v="0"/>
    <m/>
    <m/>
    <m/>
    <m/>
    <x v="0"/>
    <m/>
    <m/>
    <m/>
    <n v="0"/>
    <m/>
  </r>
  <r>
    <x v="559"/>
    <s v="MECHANICAL"/>
    <x v="21"/>
    <x v="0"/>
    <x v="547"/>
    <x v="559"/>
    <s v="E1"/>
    <x v="0"/>
    <m/>
    <m/>
    <m/>
    <m/>
    <x v="0"/>
    <m/>
    <m/>
    <m/>
    <n v="0"/>
    <m/>
  </r>
  <r>
    <x v="560"/>
    <s v="MECHANICAL"/>
    <x v="21"/>
    <x v="0"/>
    <x v="548"/>
    <x v="560"/>
    <s v="E1"/>
    <x v="0"/>
    <m/>
    <m/>
    <m/>
    <m/>
    <x v="0"/>
    <m/>
    <m/>
    <m/>
    <n v="0"/>
    <m/>
  </r>
  <r>
    <x v="561"/>
    <s v="MECHANICAL"/>
    <x v="21"/>
    <x v="0"/>
    <x v="549"/>
    <x v="561"/>
    <s v="E2"/>
    <x v="0"/>
    <m/>
    <m/>
    <m/>
    <m/>
    <x v="0"/>
    <m/>
    <m/>
    <m/>
    <n v="0"/>
    <m/>
  </r>
  <r>
    <x v="562"/>
    <s v="MECHANICAL"/>
    <x v="83"/>
    <x v="0"/>
    <x v="550"/>
    <x v="562"/>
    <s v="E2"/>
    <x v="0"/>
    <m/>
    <m/>
    <m/>
    <m/>
    <x v="0"/>
    <m/>
    <m/>
    <m/>
    <n v="0"/>
    <m/>
  </r>
  <r>
    <x v="563"/>
    <s v="MECHANICAL"/>
    <x v="21"/>
    <x v="0"/>
    <x v="551"/>
    <x v="563"/>
    <s v="E2"/>
    <x v="0"/>
    <m/>
    <m/>
    <m/>
    <m/>
    <x v="0"/>
    <m/>
    <m/>
    <m/>
    <n v="0"/>
    <m/>
  </r>
  <r>
    <x v="564"/>
    <s v="MECHANICAL"/>
    <x v="21"/>
    <x v="0"/>
    <x v="552"/>
    <x v="564"/>
    <s v="E2"/>
    <x v="0"/>
    <m/>
    <m/>
    <m/>
    <m/>
    <x v="0"/>
    <m/>
    <m/>
    <m/>
    <n v="0"/>
    <m/>
  </r>
  <r>
    <x v="565"/>
    <s v="BELTS"/>
    <x v="72"/>
    <x v="0"/>
    <x v="553"/>
    <x v="565"/>
    <s v="E2"/>
    <x v="0"/>
    <m/>
    <m/>
    <m/>
    <m/>
    <x v="0"/>
    <m/>
    <m/>
    <m/>
    <n v="0"/>
    <m/>
  </r>
  <r>
    <x v="566"/>
    <s v="MECHANICAL"/>
    <x v="21"/>
    <x v="0"/>
    <x v="554"/>
    <x v="566"/>
    <s v="E2"/>
    <x v="0"/>
    <m/>
    <m/>
    <m/>
    <m/>
    <x v="0"/>
    <m/>
    <m/>
    <m/>
    <n v="0"/>
    <m/>
  </r>
  <r>
    <x v="567"/>
    <s v="MECHANICAL"/>
    <x v="21"/>
    <x v="0"/>
    <x v="555"/>
    <x v="567"/>
    <s v="E2"/>
    <x v="0"/>
    <m/>
    <m/>
    <m/>
    <m/>
    <x v="0"/>
    <m/>
    <m/>
    <m/>
    <n v="0"/>
    <m/>
  </r>
  <r>
    <x v="568"/>
    <s v="MECHANICAL"/>
    <x v="21"/>
    <x v="0"/>
    <x v="556"/>
    <x v="568"/>
    <s v="E2"/>
    <x v="0"/>
    <m/>
    <m/>
    <m/>
    <m/>
    <x v="0"/>
    <m/>
    <m/>
    <m/>
    <n v="0"/>
    <m/>
  </r>
  <r>
    <x v="569"/>
    <s v="MECHANICAL"/>
    <x v="46"/>
    <x v="0"/>
    <x v="557"/>
    <x v="569"/>
    <s v="E2"/>
    <x v="0"/>
    <m/>
    <m/>
    <m/>
    <m/>
    <x v="0"/>
    <m/>
    <m/>
    <m/>
    <n v="0"/>
    <m/>
  </r>
  <r>
    <x v="570"/>
    <s v="MECHANICAL"/>
    <x v="21"/>
    <x v="0"/>
    <x v="558"/>
    <x v="570"/>
    <s v="E2"/>
    <x v="0"/>
    <m/>
    <m/>
    <m/>
    <m/>
    <x v="0"/>
    <m/>
    <m/>
    <m/>
    <n v="0"/>
    <m/>
  </r>
  <r>
    <x v="571"/>
    <s v="MECHANICAL"/>
    <x v="21"/>
    <x v="0"/>
    <x v="559"/>
    <x v="571"/>
    <s v="E2"/>
    <x v="0"/>
    <m/>
    <m/>
    <m/>
    <m/>
    <x v="0"/>
    <m/>
    <m/>
    <m/>
    <n v="0"/>
    <m/>
  </r>
  <r>
    <x v="572"/>
    <s v="FASTENERS"/>
    <x v="11"/>
    <x v="0"/>
    <x v="560"/>
    <x v="572"/>
    <s v="E2"/>
    <x v="0"/>
    <m/>
    <m/>
    <m/>
    <m/>
    <x v="0"/>
    <m/>
    <m/>
    <m/>
    <n v="0"/>
    <m/>
  </r>
  <r>
    <x v="573"/>
    <s v="MECHANICAL"/>
    <x v="21"/>
    <x v="0"/>
    <x v="561"/>
    <x v="573"/>
    <s v="E2"/>
    <x v="0"/>
    <m/>
    <m/>
    <m/>
    <m/>
    <x v="0"/>
    <m/>
    <m/>
    <m/>
    <n v="0"/>
    <m/>
  </r>
  <r>
    <x v="574"/>
    <s v="FASTENERS"/>
    <x v="82"/>
    <x v="0"/>
    <x v="562"/>
    <x v="574"/>
    <s v="E2"/>
    <x v="0"/>
    <m/>
    <m/>
    <m/>
    <m/>
    <x v="0"/>
    <m/>
    <m/>
    <m/>
    <n v="0"/>
    <m/>
  </r>
  <r>
    <x v="575"/>
    <s v="MECHANICAL"/>
    <x v="21"/>
    <x v="0"/>
    <x v="563"/>
    <x v="575"/>
    <s v="E2"/>
    <x v="0"/>
    <m/>
    <m/>
    <m/>
    <m/>
    <x v="0"/>
    <m/>
    <m/>
    <m/>
    <n v="0"/>
    <m/>
  </r>
  <r>
    <x v="576"/>
    <s v="MECHANICAL"/>
    <x v="21"/>
    <x v="0"/>
    <x v="564"/>
    <x v="576"/>
    <s v="E2"/>
    <x v="0"/>
    <m/>
    <m/>
    <m/>
    <m/>
    <x v="0"/>
    <m/>
    <m/>
    <m/>
    <n v="0"/>
    <m/>
  </r>
  <r>
    <x v="577"/>
    <s v="FASTENERS"/>
    <x v="11"/>
    <x v="0"/>
    <x v="565"/>
    <x v="577"/>
    <s v="E2"/>
    <x v="0"/>
    <m/>
    <m/>
    <m/>
    <m/>
    <x v="0"/>
    <m/>
    <m/>
    <m/>
    <n v="0"/>
    <m/>
  </r>
  <r>
    <x v="578"/>
    <s v="MECHANICAL"/>
    <x v="21"/>
    <x v="0"/>
    <x v="566"/>
    <x v="578"/>
    <s v="E2"/>
    <x v="0"/>
    <m/>
    <m/>
    <m/>
    <m/>
    <x v="0"/>
    <m/>
    <m/>
    <m/>
    <n v="0"/>
    <m/>
  </r>
  <r>
    <x v="579"/>
    <s v="MECHANICAL"/>
    <x v="21"/>
    <x v="0"/>
    <x v="567"/>
    <x v="579"/>
    <s v="E2"/>
    <x v="0"/>
    <m/>
    <m/>
    <m/>
    <m/>
    <x v="0"/>
    <m/>
    <m/>
    <m/>
    <n v="0"/>
    <m/>
  </r>
  <r>
    <x v="580"/>
    <s v="MECHANICAL"/>
    <x v="21"/>
    <x v="0"/>
    <x v="568"/>
    <x v="580"/>
    <s v="E2"/>
    <x v="0"/>
    <m/>
    <m/>
    <m/>
    <m/>
    <x v="0"/>
    <m/>
    <m/>
    <m/>
    <n v="0"/>
    <m/>
  </r>
  <r>
    <x v="581"/>
    <s v="MECHANICAL"/>
    <x v="84"/>
    <x v="0"/>
    <x v="569"/>
    <x v="581"/>
    <s v="E2"/>
    <x v="0"/>
    <m/>
    <m/>
    <m/>
    <m/>
    <x v="0"/>
    <m/>
    <m/>
    <m/>
    <n v="0"/>
    <m/>
  </r>
  <r>
    <x v="582"/>
    <s v="FASTENERS"/>
    <x v="11"/>
    <x v="0"/>
    <x v="570"/>
    <x v="582"/>
    <s v="E2"/>
    <x v="0"/>
    <m/>
    <m/>
    <m/>
    <m/>
    <x v="0"/>
    <m/>
    <m/>
    <m/>
    <n v="0"/>
    <m/>
  </r>
  <r>
    <x v="583"/>
    <s v="ELECTRICAL"/>
    <x v="61"/>
    <x v="0"/>
    <x v="571"/>
    <x v="583"/>
    <s v="E2"/>
    <x v="0"/>
    <m/>
    <m/>
    <m/>
    <m/>
    <x v="0"/>
    <m/>
    <m/>
    <m/>
    <n v="0"/>
    <m/>
  </r>
  <r>
    <x v="584"/>
    <s v="MECHANICAL"/>
    <x v="21"/>
    <x v="0"/>
    <x v="572"/>
    <x v="584"/>
    <s v="E2"/>
    <x v="0"/>
    <m/>
    <m/>
    <m/>
    <m/>
    <x v="0"/>
    <m/>
    <m/>
    <m/>
    <n v="0"/>
    <m/>
  </r>
  <r>
    <x v="585"/>
    <s v="MECHANICAL"/>
    <x v="21"/>
    <x v="0"/>
    <x v="573"/>
    <x v="585"/>
    <s v="E2"/>
    <x v="0"/>
    <m/>
    <m/>
    <m/>
    <m/>
    <x v="0"/>
    <m/>
    <m/>
    <m/>
    <n v="0"/>
    <m/>
  </r>
  <r>
    <x v="586"/>
    <s v="FASTENERS"/>
    <x v="82"/>
    <x v="0"/>
    <x v="574"/>
    <x v="586"/>
    <s v="E2"/>
    <x v="0"/>
    <m/>
    <m/>
    <m/>
    <m/>
    <x v="0"/>
    <m/>
    <m/>
    <m/>
    <n v="0"/>
    <m/>
  </r>
  <r>
    <x v="587"/>
    <s v="MECHANICAL"/>
    <x v="21"/>
    <x v="0"/>
    <x v="575"/>
    <x v="587"/>
    <s v="E2"/>
    <x v="0"/>
    <m/>
    <m/>
    <m/>
    <m/>
    <x v="0"/>
    <m/>
    <m/>
    <m/>
    <n v="0"/>
    <m/>
  </r>
  <r>
    <x v="588"/>
    <s v="MECHANICAL"/>
    <x v="21"/>
    <x v="0"/>
    <x v="576"/>
    <x v="588"/>
    <s v="E2"/>
    <x v="0"/>
    <m/>
    <m/>
    <m/>
    <m/>
    <x v="0"/>
    <m/>
    <m/>
    <m/>
    <n v="0"/>
    <m/>
  </r>
  <r>
    <x v="589"/>
    <s v="BELTS"/>
    <x v="17"/>
    <x v="0"/>
    <x v="577"/>
    <x v="589"/>
    <s v="E3"/>
    <x v="0"/>
    <m/>
    <m/>
    <m/>
    <m/>
    <x v="0"/>
    <m/>
    <m/>
    <m/>
    <n v="0"/>
    <m/>
  </r>
  <r>
    <x v="590"/>
    <s v="BELTS"/>
    <x v="17"/>
    <x v="0"/>
    <x v="578"/>
    <x v="590"/>
    <s v="E3"/>
    <x v="0"/>
    <m/>
    <m/>
    <m/>
    <m/>
    <x v="0"/>
    <m/>
    <m/>
    <m/>
    <n v="0"/>
    <m/>
  </r>
  <r>
    <x v="591"/>
    <s v="BELTS"/>
    <x v="17"/>
    <x v="0"/>
    <x v="579"/>
    <x v="591"/>
    <s v="E3"/>
    <x v="0"/>
    <m/>
    <m/>
    <m/>
    <m/>
    <x v="0"/>
    <m/>
    <m/>
    <m/>
    <n v="0"/>
    <m/>
  </r>
  <r>
    <x v="592"/>
    <s v="BEARINGS"/>
    <x v="6"/>
    <x v="0"/>
    <x v="580"/>
    <x v="592"/>
    <s v="E3"/>
    <x v="0"/>
    <m/>
    <m/>
    <m/>
    <m/>
    <x v="0"/>
    <m/>
    <m/>
    <m/>
    <n v="0"/>
    <m/>
  </r>
  <r>
    <x v="593"/>
    <s v="ELECTRICAL"/>
    <x v="63"/>
    <x v="0"/>
    <x v="581"/>
    <x v="593"/>
    <s v="E3"/>
    <x v="0"/>
    <m/>
    <m/>
    <m/>
    <m/>
    <x v="0"/>
    <m/>
    <m/>
    <m/>
    <n v="0"/>
    <m/>
  </r>
  <r>
    <x v="594"/>
    <s v="ELECTRICAL"/>
    <x v="56"/>
    <x v="0"/>
    <x v="582"/>
    <x v="594"/>
    <s v="E3"/>
    <x v="0"/>
    <m/>
    <m/>
    <m/>
    <m/>
    <x v="0"/>
    <m/>
    <m/>
    <m/>
    <n v="0"/>
    <m/>
  </r>
  <r>
    <x v="595"/>
    <s v="BEARINGS"/>
    <x v="2"/>
    <x v="0"/>
    <x v="583"/>
    <x v="595"/>
    <s v="E3"/>
    <x v="0"/>
    <m/>
    <m/>
    <m/>
    <m/>
    <x v="0"/>
    <m/>
    <m/>
    <m/>
    <n v="0"/>
    <m/>
  </r>
  <r>
    <x v="596"/>
    <s v="ELECTRICAL"/>
    <x v="85"/>
    <x v="0"/>
    <x v="584"/>
    <x v="596"/>
    <s v="E3"/>
    <x v="0"/>
    <m/>
    <m/>
    <m/>
    <m/>
    <x v="0"/>
    <m/>
    <m/>
    <m/>
    <n v="0"/>
    <m/>
  </r>
  <r>
    <x v="597"/>
    <s v="ELECTRICAL"/>
    <x v="85"/>
    <x v="0"/>
    <x v="585"/>
    <x v="597"/>
    <s v="E3"/>
    <x v="0"/>
    <m/>
    <m/>
    <m/>
    <m/>
    <x v="0"/>
    <m/>
    <m/>
    <m/>
    <n v="0"/>
    <m/>
  </r>
  <r>
    <x v="598"/>
    <s v="MECHANICAL"/>
    <x v="23"/>
    <x v="0"/>
    <x v="586"/>
    <x v="598"/>
    <s v="E3"/>
    <x v="0"/>
    <m/>
    <m/>
    <m/>
    <m/>
    <x v="0"/>
    <m/>
    <m/>
    <m/>
    <n v="0"/>
    <m/>
  </r>
  <r>
    <x v="599"/>
    <s v="MECHANICAL"/>
    <x v="26"/>
    <x v="0"/>
    <x v="587"/>
    <x v="599"/>
    <s v="E3"/>
    <x v="0"/>
    <m/>
    <m/>
    <m/>
    <m/>
    <x v="0"/>
    <m/>
    <m/>
    <m/>
    <n v="0"/>
    <m/>
  </r>
  <r>
    <x v="600"/>
    <s v="MECHANICAL"/>
    <x v="21"/>
    <x v="0"/>
    <x v="588"/>
    <x v="600"/>
    <s v="E3"/>
    <x v="0"/>
    <m/>
    <m/>
    <m/>
    <m/>
    <x v="0"/>
    <m/>
    <m/>
    <m/>
    <n v="0"/>
    <m/>
  </r>
  <r>
    <x v="601"/>
    <s v="MECHANICAL"/>
    <x v="21"/>
    <x v="0"/>
    <x v="589"/>
    <x v="601"/>
    <s v="E3"/>
    <x v="0"/>
    <m/>
    <m/>
    <m/>
    <m/>
    <x v="0"/>
    <m/>
    <m/>
    <m/>
    <n v="0"/>
    <m/>
  </r>
  <r>
    <x v="602"/>
    <s v="ELECTRICAL"/>
    <x v="68"/>
    <x v="0"/>
    <x v="590"/>
    <x v="602"/>
    <s v="E3"/>
    <x v="0"/>
    <m/>
    <m/>
    <m/>
    <m/>
    <x v="0"/>
    <m/>
    <m/>
    <m/>
    <n v="0"/>
    <m/>
  </r>
  <r>
    <x v="603"/>
    <s v="ELECTRICAL"/>
    <x v="53"/>
    <x v="0"/>
    <x v="591"/>
    <x v="603"/>
    <s v="E3"/>
    <x v="0"/>
    <m/>
    <m/>
    <m/>
    <m/>
    <x v="0"/>
    <m/>
    <m/>
    <m/>
    <n v="0"/>
    <m/>
  </r>
  <r>
    <x v="604"/>
    <s v="MECHANICAL"/>
    <x v="21"/>
    <x v="0"/>
    <x v="592"/>
    <x v="604"/>
    <s v="E3"/>
    <x v="0"/>
    <m/>
    <m/>
    <m/>
    <m/>
    <x v="0"/>
    <m/>
    <m/>
    <m/>
    <n v="0"/>
    <m/>
  </r>
  <r>
    <x v="605"/>
    <s v="ELECTRICAL"/>
    <x v="63"/>
    <x v="0"/>
    <x v="593"/>
    <x v="605"/>
    <s v="E3"/>
    <x v="0"/>
    <m/>
    <m/>
    <m/>
    <m/>
    <x v="0"/>
    <m/>
    <m/>
    <m/>
    <n v="0"/>
    <m/>
  </r>
  <r>
    <x v="606"/>
    <s v="MECHANICAL"/>
    <x v="21"/>
    <x v="0"/>
    <x v="594"/>
    <x v="606"/>
    <s v="E3"/>
    <x v="0"/>
    <m/>
    <m/>
    <m/>
    <m/>
    <x v="0"/>
    <m/>
    <m/>
    <m/>
    <n v="0"/>
    <m/>
  </r>
  <r>
    <x v="607"/>
    <s v="ELECTRICAL"/>
    <x v="61"/>
    <x v="0"/>
    <x v="595"/>
    <x v="606"/>
    <s v="E3"/>
    <x v="0"/>
    <m/>
    <m/>
    <m/>
    <m/>
    <x v="0"/>
    <m/>
    <m/>
    <m/>
    <n v="0"/>
    <m/>
  </r>
  <r>
    <x v="608"/>
    <s v="ELECTRICAL"/>
    <x v="21"/>
    <x v="0"/>
    <x v="596"/>
    <x v="607"/>
    <s v="E3"/>
    <x v="0"/>
    <m/>
    <m/>
    <m/>
    <m/>
    <x v="0"/>
    <m/>
    <m/>
    <m/>
    <n v="0"/>
    <m/>
  </r>
  <r>
    <x v="609"/>
    <s v="FASTENERS"/>
    <x v="11"/>
    <x v="0"/>
    <x v="597"/>
    <x v="608"/>
    <s v="E3"/>
    <x v="0"/>
    <m/>
    <m/>
    <m/>
    <m/>
    <x v="0"/>
    <m/>
    <m/>
    <m/>
    <n v="0"/>
    <m/>
  </r>
  <r>
    <x v="610"/>
    <s v="MECHANICAL"/>
    <x v="21"/>
    <x v="0"/>
    <x v="598"/>
    <x v="609"/>
    <s v="E3"/>
    <x v="0"/>
    <m/>
    <m/>
    <m/>
    <m/>
    <x v="0"/>
    <m/>
    <m/>
    <m/>
    <n v="0"/>
    <m/>
  </r>
  <r>
    <x v="611"/>
    <s v="PNEUMATIC"/>
    <x v="23"/>
    <x v="0"/>
    <x v="599"/>
    <x v="610"/>
    <s v="E3"/>
    <x v="0"/>
    <m/>
    <m/>
    <m/>
    <m/>
    <x v="0"/>
    <m/>
    <m/>
    <m/>
    <n v="0"/>
    <m/>
  </r>
  <r>
    <x v="612"/>
    <s v="PNEUMATIC"/>
    <x v="23"/>
    <x v="0"/>
    <x v="600"/>
    <x v="611"/>
    <s v="E3"/>
    <x v="0"/>
    <m/>
    <m/>
    <m/>
    <m/>
    <x v="0"/>
    <m/>
    <m/>
    <m/>
    <n v="0"/>
    <m/>
  </r>
  <r>
    <x v="613"/>
    <s v="PNEUMATIC"/>
    <x v="30"/>
    <x v="0"/>
    <x v="601"/>
    <x v="612"/>
    <s v="E3"/>
    <x v="0"/>
    <m/>
    <m/>
    <m/>
    <m/>
    <x v="0"/>
    <m/>
    <m/>
    <m/>
    <n v="0"/>
    <m/>
  </r>
  <r>
    <x v="614"/>
    <s v="PNEUMATIC"/>
    <x v="27"/>
    <x v="0"/>
    <x v="602"/>
    <x v="613"/>
    <s v="E3"/>
    <x v="0"/>
    <m/>
    <m/>
    <m/>
    <m/>
    <x v="0"/>
    <m/>
    <m/>
    <m/>
    <n v="0"/>
    <m/>
  </r>
  <r>
    <x v="615"/>
    <s v="ELECTRICAL"/>
    <x v="56"/>
    <x v="0"/>
    <x v="603"/>
    <x v="614"/>
    <s v="E4"/>
    <x v="0"/>
    <m/>
    <m/>
    <m/>
    <m/>
    <x v="0"/>
    <m/>
    <m/>
    <m/>
    <n v="0"/>
    <m/>
  </r>
  <r>
    <x v="616"/>
    <s v="ROLLERS"/>
    <x v="18"/>
    <x v="0"/>
    <x v="604"/>
    <x v="615"/>
    <s v="E4"/>
    <x v="0"/>
    <m/>
    <m/>
    <m/>
    <m/>
    <x v="0"/>
    <m/>
    <m/>
    <m/>
    <n v="0"/>
    <m/>
  </r>
  <r>
    <x v="617"/>
    <s v="ROLLERS"/>
    <x v="18"/>
    <x v="0"/>
    <x v="605"/>
    <x v="616"/>
    <s v="E4"/>
    <x v="0"/>
    <m/>
    <m/>
    <m/>
    <m/>
    <x v="0"/>
    <m/>
    <m/>
    <m/>
    <n v="0"/>
    <m/>
  </r>
  <r>
    <x v="618"/>
    <s v="ROLLERS"/>
    <x v="18"/>
    <x v="0"/>
    <x v="606"/>
    <x v="617"/>
    <s v="E4"/>
    <x v="0"/>
    <m/>
    <m/>
    <m/>
    <m/>
    <x v="0"/>
    <m/>
    <m/>
    <m/>
    <n v="0"/>
    <m/>
  </r>
  <r>
    <x v="619"/>
    <s v="BELTS"/>
    <x v="73"/>
    <x v="0"/>
    <x v="607"/>
    <x v="618"/>
    <s v="E4"/>
    <x v="0"/>
    <m/>
    <m/>
    <m/>
    <m/>
    <x v="0"/>
    <m/>
    <m/>
    <m/>
    <n v="0"/>
    <m/>
  </r>
  <r>
    <x v="620"/>
    <s v="BELTS"/>
    <x v="72"/>
    <x v="0"/>
    <x v="608"/>
    <x v="619"/>
    <s v="E4"/>
    <x v="0"/>
    <m/>
    <m/>
    <m/>
    <m/>
    <x v="0"/>
    <m/>
    <m/>
    <m/>
    <n v="0"/>
    <m/>
  </r>
  <r>
    <x v="621"/>
    <s v="MECHANICAL"/>
    <x v="21"/>
    <x v="0"/>
    <x v="609"/>
    <x v="620"/>
    <s v="E4"/>
    <x v="0"/>
    <m/>
    <m/>
    <m/>
    <m/>
    <x v="0"/>
    <m/>
    <m/>
    <m/>
    <n v="0"/>
    <m/>
  </r>
  <r>
    <x v="622"/>
    <s v="ELECTRICAL"/>
    <x v="64"/>
    <x v="0"/>
    <x v="610"/>
    <x v="621"/>
    <s v="E4"/>
    <x v="0"/>
    <m/>
    <m/>
    <m/>
    <m/>
    <x v="0"/>
    <m/>
    <m/>
    <m/>
    <n v="0"/>
    <m/>
  </r>
  <r>
    <x v="623"/>
    <s v="MECHANICAL"/>
    <x v="21"/>
    <x v="0"/>
    <x v="611"/>
    <x v="622"/>
    <s v="E5"/>
    <x v="0"/>
    <m/>
    <m/>
    <m/>
    <m/>
    <x v="0"/>
    <m/>
    <m/>
    <m/>
    <n v="0"/>
    <m/>
  </r>
  <r>
    <x v="624"/>
    <s v="ROLLERS"/>
    <x v="86"/>
    <x v="0"/>
    <x v="612"/>
    <x v="623"/>
    <s v="E5"/>
    <x v="0"/>
    <m/>
    <m/>
    <m/>
    <m/>
    <x v="0"/>
    <m/>
    <m/>
    <m/>
    <n v="0"/>
    <m/>
  </r>
  <r>
    <x v="625"/>
    <s v="ROLLERS"/>
    <x v="87"/>
    <x v="0"/>
    <x v="613"/>
    <x v="624"/>
    <s v="E5"/>
    <x v="0"/>
    <m/>
    <m/>
    <m/>
    <m/>
    <x v="0"/>
    <m/>
    <m/>
    <m/>
    <n v="0"/>
    <m/>
  </r>
  <r>
    <x v="626"/>
    <s v="ROLLERS"/>
    <x v="88"/>
    <x v="0"/>
    <x v="614"/>
    <x v="625"/>
    <s v="E5"/>
    <x v="0"/>
    <m/>
    <m/>
    <m/>
    <m/>
    <x v="0"/>
    <m/>
    <m/>
    <m/>
    <n v="0"/>
    <m/>
  </r>
  <r>
    <x v="627"/>
    <s v="ROLLERS"/>
    <x v="89"/>
    <x v="0"/>
    <x v="615"/>
    <x v="626"/>
    <s v="E5"/>
    <x v="0"/>
    <m/>
    <m/>
    <m/>
    <m/>
    <x v="0"/>
    <m/>
    <m/>
    <m/>
    <n v="0"/>
    <m/>
  </r>
  <r>
    <x v="628"/>
    <s v="ROLLERS"/>
    <x v="90"/>
    <x v="0"/>
    <x v="616"/>
    <x v="627"/>
    <s v="E6"/>
    <x v="0"/>
    <m/>
    <m/>
    <m/>
    <m/>
    <x v="0"/>
    <m/>
    <m/>
    <m/>
    <n v="0"/>
    <m/>
  </r>
  <r>
    <x v="629"/>
    <s v="ROLLERS"/>
    <x v="88"/>
    <x v="0"/>
    <x v="617"/>
    <x v="628"/>
    <s v="E6"/>
    <x v="0"/>
    <m/>
    <m/>
    <m/>
    <m/>
    <x v="0"/>
    <m/>
    <m/>
    <m/>
    <n v="0"/>
    <m/>
  </r>
  <r>
    <x v="630"/>
    <s v="ROLLERS"/>
    <x v="89"/>
    <x v="0"/>
    <x v="618"/>
    <x v="629"/>
    <s v="E6"/>
    <x v="0"/>
    <m/>
    <m/>
    <m/>
    <m/>
    <x v="0"/>
    <m/>
    <m/>
    <m/>
    <n v="0"/>
    <m/>
  </r>
  <r>
    <x v="631"/>
    <s v="ROLLERS"/>
    <x v="91"/>
    <x v="0"/>
    <x v="619"/>
    <x v="630"/>
    <s v="E6"/>
    <x v="0"/>
    <m/>
    <m/>
    <m/>
    <m/>
    <x v="0"/>
    <m/>
    <m/>
    <m/>
    <n v="0"/>
    <m/>
  </r>
  <r>
    <x v="632"/>
    <s v="ROLLERS"/>
    <x v="51"/>
    <x v="0"/>
    <x v="620"/>
    <x v="631"/>
    <s v="E6"/>
    <x v="0"/>
    <m/>
    <m/>
    <m/>
    <m/>
    <x v="0"/>
    <m/>
    <m/>
    <m/>
    <n v="0"/>
    <m/>
  </r>
  <r>
    <x v="633"/>
    <s v="ROLLERS"/>
    <x v="92"/>
    <x v="0"/>
    <x v="621"/>
    <x v="632"/>
    <s v="E6"/>
    <x v="0"/>
    <m/>
    <m/>
    <m/>
    <m/>
    <x v="0"/>
    <m/>
    <m/>
    <m/>
    <n v="0"/>
    <m/>
  </r>
  <r>
    <x v="634"/>
    <s v="ROLLERS"/>
    <x v="12"/>
    <x v="0"/>
    <x v="622"/>
    <x v="633"/>
    <s v="F1"/>
    <x v="0"/>
    <m/>
    <m/>
    <m/>
    <m/>
    <x v="0"/>
    <m/>
    <m/>
    <m/>
    <n v="0"/>
    <m/>
  </r>
  <r>
    <x v="635"/>
    <s v="CHAINS"/>
    <x v="93"/>
    <x v="0"/>
    <x v="623"/>
    <x v="634"/>
    <s v="F1"/>
    <x v="0"/>
    <m/>
    <m/>
    <m/>
    <m/>
    <x v="0"/>
    <m/>
    <m/>
    <m/>
    <n v="0"/>
    <m/>
  </r>
  <r>
    <x v="636"/>
    <s v="MECHANICAL"/>
    <x v="21"/>
    <x v="0"/>
    <x v="624"/>
    <x v="635"/>
    <s v="F1"/>
    <x v="0"/>
    <m/>
    <m/>
    <m/>
    <m/>
    <x v="0"/>
    <m/>
    <m/>
    <m/>
    <n v="0"/>
    <m/>
  </r>
  <r>
    <x v="637"/>
    <s v="BELTS"/>
    <x v="17"/>
    <x v="0"/>
    <x v="625"/>
    <x v="636"/>
    <s v="F1"/>
    <x v="0"/>
    <m/>
    <m/>
    <m/>
    <m/>
    <x v="0"/>
    <m/>
    <m/>
    <m/>
    <n v="0"/>
    <m/>
  </r>
  <r>
    <x v="638"/>
    <s v="ELECTRICAL"/>
    <x v="22"/>
    <x v="0"/>
    <x v="626"/>
    <x v="637"/>
    <s v="F1"/>
    <x v="0"/>
    <m/>
    <m/>
    <m/>
    <m/>
    <x v="0"/>
    <m/>
    <m/>
    <m/>
    <n v="0"/>
    <m/>
  </r>
  <r>
    <x v="639"/>
    <s v="ROLLERS"/>
    <x v="51"/>
    <x v="0"/>
    <x v="627"/>
    <x v="638"/>
    <s v="F1"/>
    <x v="0"/>
    <m/>
    <m/>
    <m/>
    <m/>
    <x v="0"/>
    <m/>
    <m/>
    <m/>
    <n v="0"/>
    <m/>
  </r>
  <r>
    <x v="640"/>
    <s v="MECHANICAL"/>
    <x v="21"/>
    <x v="0"/>
    <x v="628"/>
    <x v="639"/>
    <s v="F1"/>
    <x v="0"/>
    <m/>
    <m/>
    <m/>
    <m/>
    <x v="0"/>
    <m/>
    <m/>
    <m/>
    <n v="0"/>
    <m/>
  </r>
  <r>
    <x v="641"/>
    <s v="MECHANICAL"/>
    <x v="35"/>
    <x v="0"/>
    <x v="629"/>
    <x v="640"/>
    <s v="F1"/>
    <x v="0"/>
    <m/>
    <m/>
    <m/>
    <m/>
    <x v="0"/>
    <m/>
    <m/>
    <m/>
    <n v="0"/>
    <m/>
  </r>
  <r>
    <x v="642"/>
    <s v="ELECTRICAL"/>
    <x v="22"/>
    <x v="0"/>
    <x v="630"/>
    <x v="641"/>
    <s v="F1"/>
    <x v="0"/>
    <m/>
    <m/>
    <m/>
    <m/>
    <x v="0"/>
    <m/>
    <m/>
    <m/>
    <n v="0"/>
    <m/>
  </r>
  <r>
    <x v="643"/>
    <s v="CHAINS"/>
    <x v="94"/>
    <x v="0"/>
    <x v="631"/>
    <x v="642"/>
    <s v="F1"/>
    <x v="0"/>
    <m/>
    <m/>
    <m/>
    <m/>
    <x v="0"/>
    <m/>
    <m/>
    <m/>
    <n v="0"/>
    <m/>
  </r>
  <r>
    <x v="644"/>
    <s v="CHAINS"/>
    <x v="94"/>
    <x v="0"/>
    <x v="632"/>
    <x v="643"/>
    <s v="F1"/>
    <x v="0"/>
    <m/>
    <m/>
    <m/>
    <m/>
    <x v="0"/>
    <m/>
    <m/>
    <m/>
    <n v="0"/>
    <m/>
  </r>
  <r>
    <x v="645"/>
    <s v="ROLLERS"/>
    <x v="12"/>
    <x v="0"/>
    <x v="633"/>
    <x v="644"/>
    <s v="F1"/>
    <x v="0"/>
    <m/>
    <m/>
    <m/>
    <m/>
    <x v="0"/>
    <m/>
    <m/>
    <m/>
    <n v="0"/>
    <m/>
  </r>
  <r>
    <x v="646"/>
    <s v="ROLLERS"/>
    <x v="18"/>
    <x v="0"/>
    <x v="634"/>
    <x v="645"/>
    <s v="F1"/>
    <x v="0"/>
    <m/>
    <m/>
    <m/>
    <m/>
    <x v="0"/>
    <m/>
    <m/>
    <m/>
    <n v="0"/>
    <m/>
  </r>
  <r>
    <x v="647"/>
    <s v="ROLLERS"/>
    <x v="51"/>
    <x v="0"/>
    <x v="635"/>
    <x v="646"/>
    <s v="F1"/>
    <x v="0"/>
    <m/>
    <m/>
    <m/>
    <m/>
    <x v="0"/>
    <m/>
    <m/>
    <m/>
    <n v="0"/>
    <m/>
  </r>
  <r>
    <x v="648"/>
    <s v="ROLLERS"/>
    <x v="18"/>
    <x v="0"/>
    <x v="636"/>
    <x v="647"/>
    <s v="F1"/>
    <x v="0"/>
    <m/>
    <m/>
    <m/>
    <m/>
    <x v="0"/>
    <m/>
    <m/>
    <m/>
    <n v="0"/>
    <m/>
  </r>
  <r>
    <x v="649"/>
    <s v="ROLLERS"/>
    <x v="51"/>
    <x v="0"/>
    <x v="637"/>
    <x v="648"/>
    <s v="F1"/>
    <x v="0"/>
    <m/>
    <m/>
    <m/>
    <m/>
    <x v="0"/>
    <m/>
    <m/>
    <m/>
    <n v="0"/>
    <m/>
  </r>
  <r>
    <x v="650"/>
    <s v="ROLLERS"/>
    <x v="92"/>
    <x v="0"/>
    <x v="638"/>
    <x v="649"/>
    <s v="F1"/>
    <x v="0"/>
    <m/>
    <m/>
    <m/>
    <m/>
    <x v="0"/>
    <m/>
    <m/>
    <m/>
    <n v="0"/>
    <m/>
  </r>
  <r>
    <x v="651"/>
    <s v="ROLLERS"/>
    <x v="51"/>
    <x v="0"/>
    <x v="639"/>
    <x v="650"/>
    <s v="F1"/>
    <x v="0"/>
    <m/>
    <m/>
    <m/>
    <m/>
    <x v="0"/>
    <m/>
    <m/>
    <m/>
    <n v="0"/>
    <m/>
  </r>
  <r>
    <x v="652"/>
    <s v="MECHANICAL"/>
    <x v="21"/>
    <x v="0"/>
    <x v="640"/>
    <x v="651"/>
    <s v="F1"/>
    <x v="0"/>
    <m/>
    <m/>
    <m/>
    <m/>
    <x v="0"/>
    <m/>
    <m/>
    <m/>
    <n v="0"/>
    <m/>
  </r>
  <r>
    <x v="653"/>
    <s v="CHAINS"/>
    <x v="93"/>
    <x v="0"/>
    <x v="641"/>
    <x v="652"/>
    <s v="F1"/>
    <x v="0"/>
    <m/>
    <m/>
    <m/>
    <m/>
    <x v="0"/>
    <m/>
    <m/>
    <m/>
    <n v="0"/>
    <m/>
  </r>
  <r>
    <x v="654"/>
    <s v="MECHANICAL"/>
    <x v="21"/>
    <x v="0"/>
    <x v="642"/>
    <x v="653"/>
    <s v="F1"/>
    <x v="0"/>
    <m/>
    <m/>
    <m/>
    <m/>
    <x v="0"/>
    <m/>
    <m/>
    <m/>
    <n v="0"/>
    <m/>
  </r>
  <r>
    <x v="655"/>
    <s v="MECHANICAL"/>
    <x v="15"/>
    <x v="0"/>
    <x v="643"/>
    <x v="654"/>
    <s v="F1"/>
    <x v="0"/>
    <m/>
    <m/>
    <m/>
    <m/>
    <x v="0"/>
    <m/>
    <m/>
    <m/>
    <n v="0"/>
    <m/>
  </r>
  <r>
    <x v="656"/>
    <s v="BELTS"/>
    <x v="17"/>
    <x v="0"/>
    <x v="644"/>
    <x v="655"/>
    <s v="F1"/>
    <x v="0"/>
    <m/>
    <m/>
    <m/>
    <m/>
    <x v="0"/>
    <m/>
    <m/>
    <m/>
    <n v="0"/>
    <m/>
  </r>
  <r>
    <x v="657"/>
    <s v="ROLLERS"/>
    <x v="89"/>
    <x v="0"/>
    <x v="645"/>
    <x v="656"/>
    <s v="F1"/>
    <x v="0"/>
    <m/>
    <m/>
    <m/>
    <m/>
    <x v="0"/>
    <m/>
    <m/>
    <m/>
    <n v="0"/>
    <m/>
  </r>
  <r>
    <x v="658"/>
    <s v="ROLLERS"/>
    <x v="51"/>
    <x v="0"/>
    <x v="646"/>
    <x v="657"/>
    <s v="F1"/>
    <x v="0"/>
    <m/>
    <m/>
    <m/>
    <m/>
    <x v="0"/>
    <m/>
    <m/>
    <m/>
    <n v="0"/>
    <m/>
  </r>
  <r>
    <x v="659"/>
    <s v="MECHANICAL"/>
    <x v="21"/>
    <x v="0"/>
    <x v="647"/>
    <x v="658"/>
    <s v="F1"/>
    <x v="0"/>
    <m/>
    <m/>
    <m/>
    <m/>
    <x v="0"/>
    <m/>
    <m/>
    <m/>
    <n v="0"/>
    <m/>
  </r>
  <r>
    <x v="660"/>
    <s v="CHAINS"/>
    <x v="21"/>
    <x v="0"/>
    <x v="648"/>
    <x v="659"/>
    <s v="F1"/>
    <x v="0"/>
    <m/>
    <m/>
    <m/>
    <m/>
    <x v="0"/>
    <m/>
    <m/>
    <m/>
    <n v="0"/>
    <m/>
  </r>
  <r>
    <x v="661"/>
    <s v="MECHANICAL"/>
    <x v="24"/>
    <x v="0"/>
    <x v="649"/>
    <x v="660"/>
    <s v="F1"/>
    <x v="0"/>
    <m/>
    <m/>
    <m/>
    <m/>
    <x v="0"/>
    <m/>
    <m/>
    <m/>
    <n v="0"/>
    <m/>
  </r>
  <r>
    <x v="662"/>
    <s v="BELTS"/>
    <x v="17"/>
    <x v="0"/>
    <x v="650"/>
    <x v="661"/>
    <s v="F1"/>
    <x v="0"/>
    <m/>
    <m/>
    <m/>
    <m/>
    <x v="0"/>
    <m/>
    <m/>
    <m/>
    <n v="0"/>
    <m/>
  </r>
  <r>
    <x v="663"/>
    <s v="CHAINS"/>
    <x v="93"/>
    <x v="0"/>
    <x v="651"/>
    <x v="662"/>
    <s v="F1"/>
    <x v="0"/>
    <m/>
    <m/>
    <m/>
    <m/>
    <x v="0"/>
    <m/>
    <m/>
    <m/>
    <n v="0"/>
    <m/>
  </r>
  <r>
    <x v="664"/>
    <s v="MECHANICAL"/>
    <x v="21"/>
    <x v="0"/>
    <x v="652"/>
    <x v="663"/>
    <s v="F1"/>
    <x v="0"/>
    <m/>
    <m/>
    <m/>
    <m/>
    <x v="0"/>
    <m/>
    <m/>
    <m/>
    <n v="0"/>
    <m/>
  </r>
  <r>
    <x v="665"/>
    <s v="PRODUCTION SUPPLY"/>
    <x v="95"/>
    <x v="0"/>
    <x v="653"/>
    <x v="664"/>
    <s v="F1"/>
    <x v="0"/>
    <m/>
    <m/>
    <m/>
    <m/>
    <x v="0"/>
    <m/>
    <m/>
    <m/>
    <n v="0"/>
    <m/>
  </r>
  <r>
    <x v="666"/>
    <s v="BELTS"/>
    <x v="17"/>
    <x v="0"/>
    <x v="654"/>
    <x v="665"/>
    <s v="F1"/>
    <x v="0"/>
    <m/>
    <m/>
    <m/>
    <m/>
    <x v="0"/>
    <m/>
    <m/>
    <m/>
    <n v="0"/>
    <m/>
  </r>
  <r>
    <x v="667"/>
    <s v="BELTS"/>
    <x v="17"/>
    <x v="0"/>
    <x v="655"/>
    <x v="666"/>
    <s v="F1"/>
    <x v="0"/>
    <m/>
    <m/>
    <m/>
    <m/>
    <x v="0"/>
    <m/>
    <m/>
    <m/>
    <n v="0"/>
    <m/>
  </r>
  <r>
    <x v="668"/>
    <s v="MECHANICAL"/>
    <x v="24"/>
    <x v="0"/>
    <x v="656"/>
    <x v="667"/>
    <s v="F1"/>
    <x v="0"/>
    <m/>
    <m/>
    <m/>
    <m/>
    <x v="0"/>
    <m/>
    <m/>
    <m/>
    <n v="0"/>
    <m/>
  </r>
  <r>
    <x v="669"/>
    <s v="MECHANICAL"/>
    <x v="24"/>
    <x v="0"/>
    <x v="657"/>
    <x v="668"/>
    <s v="F1"/>
    <x v="0"/>
    <m/>
    <m/>
    <m/>
    <m/>
    <x v="0"/>
    <m/>
    <m/>
    <m/>
    <n v="0"/>
    <m/>
  </r>
  <r>
    <x v="670"/>
    <s v="ELECTRICAL"/>
    <x v="96"/>
    <x v="0"/>
    <x v="658"/>
    <x v="669"/>
    <s v="F2"/>
    <x v="0"/>
    <m/>
    <m/>
    <m/>
    <m/>
    <x v="0"/>
    <m/>
    <m/>
    <m/>
    <n v="0"/>
    <m/>
  </r>
  <r>
    <x v="671"/>
    <s v="ELECTRICAL"/>
    <x v="96"/>
    <x v="0"/>
    <x v="659"/>
    <x v="670"/>
    <s v="F2"/>
    <x v="0"/>
    <m/>
    <m/>
    <m/>
    <m/>
    <x v="0"/>
    <m/>
    <m/>
    <m/>
    <n v="0"/>
    <m/>
  </r>
  <r>
    <x v="672"/>
    <s v="ELECTRICAL"/>
    <x v="96"/>
    <x v="0"/>
    <x v="660"/>
    <x v="671"/>
    <s v="F2"/>
    <x v="0"/>
    <m/>
    <m/>
    <m/>
    <m/>
    <x v="0"/>
    <m/>
    <m/>
    <m/>
    <n v="0"/>
    <m/>
  </r>
  <r>
    <x v="673"/>
    <s v="ELECTRICAL"/>
    <x v="96"/>
    <x v="0"/>
    <x v="661"/>
    <x v="672"/>
    <s v="F2"/>
    <x v="0"/>
    <m/>
    <m/>
    <m/>
    <m/>
    <x v="0"/>
    <m/>
    <m/>
    <m/>
    <n v="0"/>
    <m/>
  </r>
  <r>
    <x v="674"/>
    <s v="ELECTRICAL"/>
    <x v="96"/>
    <x v="0"/>
    <x v="662"/>
    <x v="673"/>
    <s v="F2"/>
    <x v="0"/>
    <m/>
    <m/>
    <m/>
    <m/>
    <x v="0"/>
    <m/>
    <m/>
    <m/>
    <n v="0"/>
    <m/>
  </r>
  <r>
    <x v="675"/>
    <s v="ELECTRICAL"/>
    <x v="96"/>
    <x v="0"/>
    <x v="663"/>
    <x v="674"/>
    <s v="F2"/>
    <x v="0"/>
    <m/>
    <m/>
    <m/>
    <m/>
    <x v="0"/>
    <m/>
    <m/>
    <m/>
    <n v="0"/>
    <m/>
  </r>
  <r>
    <x v="676"/>
    <s v="ELECTRICAL"/>
    <x v="96"/>
    <x v="0"/>
    <x v="664"/>
    <x v="675"/>
    <s v="F2"/>
    <x v="0"/>
    <m/>
    <m/>
    <m/>
    <m/>
    <x v="0"/>
    <m/>
    <m/>
    <m/>
    <n v="0"/>
    <m/>
  </r>
  <r>
    <x v="677"/>
    <s v="ELECTRICAL"/>
    <x v="96"/>
    <x v="0"/>
    <x v="665"/>
    <x v="676"/>
    <s v="F2"/>
    <x v="0"/>
    <m/>
    <m/>
    <m/>
    <m/>
    <x v="0"/>
    <m/>
    <m/>
    <m/>
    <n v="0"/>
    <m/>
  </r>
  <r>
    <x v="678"/>
    <s v="ELECTRICAL"/>
    <x v="96"/>
    <x v="0"/>
    <x v="666"/>
    <x v="677"/>
    <s v="F2"/>
    <x v="0"/>
    <m/>
    <m/>
    <m/>
    <m/>
    <x v="0"/>
    <m/>
    <m/>
    <m/>
    <n v="0"/>
    <m/>
  </r>
  <r>
    <x v="679"/>
    <s v="PRODUCTION SUPPLY"/>
    <x v="21"/>
    <x v="0"/>
    <x v="667"/>
    <x v="678"/>
    <s v="F2"/>
    <x v="0"/>
    <m/>
    <m/>
    <m/>
    <m/>
    <x v="0"/>
    <m/>
    <m/>
    <m/>
    <n v="0"/>
    <m/>
  </r>
  <r>
    <x v="680"/>
    <s v="TAPES"/>
    <x v="97"/>
    <x v="0"/>
    <x v="668"/>
    <x v="679"/>
    <s v="F2"/>
    <x v="0"/>
    <m/>
    <m/>
    <m/>
    <m/>
    <x v="0"/>
    <m/>
    <m/>
    <m/>
    <n v="0"/>
    <m/>
  </r>
  <r>
    <x v="681"/>
    <s v="KNIVES"/>
    <x v="98"/>
    <x v="0"/>
    <x v="669"/>
    <x v="680"/>
    <s v="F2"/>
    <x v="0"/>
    <m/>
    <m/>
    <m/>
    <m/>
    <x v="0"/>
    <m/>
    <m/>
    <m/>
    <n v="0"/>
    <m/>
  </r>
  <r>
    <x v="682"/>
    <s v="ELECTRICAL"/>
    <x v="96"/>
    <x v="0"/>
    <x v="670"/>
    <x v="681"/>
    <s v="F2"/>
    <x v="0"/>
    <m/>
    <m/>
    <m/>
    <m/>
    <x v="0"/>
    <m/>
    <m/>
    <m/>
    <n v="0"/>
    <m/>
  </r>
  <r>
    <x v="683"/>
    <s v="KNIVES"/>
    <x v="98"/>
    <x v="0"/>
    <x v="671"/>
    <x v="682"/>
    <s v="F2"/>
    <x v="0"/>
    <m/>
    <m/>
    <m/>
    <m/>
    <x v="0"/>
    <m/>
    <m/>
    <m/>
    <n v="0"/>
    <m/>
  </r>
  <r>
    <x v="684"/>
    <s v="MECHANICAL"/>
    <x v="21"/>
    <x v="0"/>
    <x v="672"/>
    <x v="683"/>
    <s v="F2"/>
    <x v="0"/>
    <m/>
    <m/>
    <m/>
    <m/>
    <x v="0"/>
    <m/>
    <m/>
    <m/>
    <n v="0"/>
    <m/>
  </r>
  <r>
    <x v="685"/>
    <s v="TAPES"/>
    <x v="97"/>
    <x v="0"/>
    <x v="673"/>
    <x v="684"/>
    <s v="F2"/>
    <x v="0"/>
    <m/>
    <m/>
    <m/>
    <m/>
    <x v="0"/>
    <m/>
    <m/>
    <m/>
    <n v="0"/>
    <m/>
  </r>
  <r>
    <x v="686"/>
    <s v="MECHANICAL"/>
    <x v="99"/>
    <x v="0"/>
    <x v="674"/>
    <x v="685"/>
    <s v="F2"/>
    <x v="0"/>
    <m/>
    <m/>
    <m/>
    <m/>
    <x v="0"/>
    <m/>
    <m/>
    <m/>
    <n v="0"/>
    <m/>
  </r>
  <r>
    <x v="687"/>
    <s v="ELECTRICAL"/>
    <x v="60"/>
    <x v="0"/>
    <x v="675"/>
    <x v="686"/>
    <s v="F2"/>
    <x v="0"/>
    <m/>
    <m/>
    <m/>
    <m/>
    <x v="0"/>
    <m/>
    <m/>
    <m/>
    <n v="0"/>
    <m/>
  </r>
  <r>
    <x v="688"/>
    <s v="MECHANICAL"/>
    <x v="21"/>
    <x v="0"/>
    <x v="676"/>
    <x v="687"/>
    <s v="F2"/>
    <x v="0"/>
    <m/>
    <m/>
    <m/>
    <m/>
    <x v="0"/>
    <m/>
    <m/>
    <m/>
    <n v="0"/>
    <m/>
  </r>
  <r>
    <x v="689"/>
    <s v="ROLLERS"/>
    <x v="89"/>
    <x v="0"/>
    <x v="677"/>
    <x v="688"/>
    <s v="F2"/>
    <x v="0"/>
    <m/>
    <m/>
    <m/>
    <m/>
    <x v="0"/>
    <m/>
    <m/>
    <m/>
    <n v="0"/>
    <m/>
  </r>
  <r>
    <x v="690"/>
    <s v="ELECTRICAL"/>
    <x v="96"/>
    <x v="0"/>
    <x v="678"/>
    <x v="689"/>
    <s v="F2"/>
    <x v="0"/>
    <m/>
    <m/>
    <m/>
    <m/>
    <x v="0"/>
    <m/>
    <m/>
    <m/>
    <n v="0"/>
    <m/>
  </r>
  <r>
    <x v="691"/>
    <s v="PNEUMATIC"/>
    <x v="19"/>
    <x v="0"/>
    <x v="679"/>
    <x v="690"/>
    <s v="F3"/>
    <x v="0"/>
    <m/>
    <m/>
    <m/>
    <m/>
    <x v="0"/>
    <m/>
    <m/>
    <m/>
    <n v="0"/>
    <m/>
  </r>
  <r>
    <x v="692"/>
    <s v="BELTS"/>
    <x v="17"/>
    <x v="0"/>
    <x v="680"/>
    <x v="691"/>
    <s v="F3"/>
    <x v="0"/>
    <m/>
    <m/>
    <m/>
    <m/>
    <x v="0"/>
    <m/>
    <m/>
    <m/>
    <n v="0"/>
    <m/>
  </r>
  <r>
    <x v="693"/>
    <s v="BELTS"/>
    <x v="73"/>
    <x v="0"/>
    <x v="681"/>
    <x v="692"/>
    <s v="F3"/>
    <x v="0"/>
    <m/>
    <m/>
    <m/>
    <m/>
    <x v="0"/>
    <m/>
    <m/>
    <m/>
    <n v="0"/>
    <m/>
  </r>
  <r>
    <x v="694"/>
    <s v="TAPES"/>
    <x v="31"/>
    <x v="0"/>
    <x v="682"/>
    <x v="693"/>
    <s v="F3"/>
    <x v="0"/>
    <m/>
    <m/>
    <m/>
    <m/>
    <x v="0"/>
    <m/>
    <m/>
    <m/>
    <n v="0"/>
    <m/>
  </r>
  <r>
    <x v="695"/>
    <s v="FASTENERS"/>
    <x v="100"/>
    <x v="0"/>
    <x v="683"/>
    <x v="694"/>
    <s v="F3"/>
    <x v="0"/>
    <m/>
    <m/>
    <m/>
    <m/>
    <x v="0"/>
    <m/>
    <m/>
    <m/>
    <n v="0"/>
    <m/>
  </r>
  <r>
    <x v="696"/>
    <s v="ROLLERS"/>
    <x v="12"/>
    <x v="0"/>
    <x v="684"/>
    <x v="695"/>
    <s v="F3"/>
    <x v="0"/>
    <m/>
    <m/>
    <m/>
    <m/>
    <x v="0"/>
    <m/>
    <m/>
    <m/>
    <n v="0"/>
    <m/>
  </r>
  <r>
    <x v="697"/>
    <s v="TAPES"/>
    <x v="31"/>
    <x v="0"/>
    <x v="685"/>
    <x v="696"/>
    <s v="F3"/>
    <x v="0"/>
    <m/>
    <m/>
    <m/>
    <m/>
    <x v="0"/>
    <m/>
    <m/>
    <m/>
    <n v="0"/>
    <m/>
  </r>
  <r>
    <x v="698"/>
    <s v="PNEUMATIC"/>
    <x v="19"/>
    <x v="0"/>
    <x v="679"/>
    <x v="697"/>
    <s v="F3"/>
    <x v="0"/>
    <m/>
    <m/>
    <m/>
    <m/>
    <x v="0"/>
    <m/>
    <m/>
    <m/>
    <n v="0"/>
    <m/>
  </r>
  <r>
    <x v="699"/>
    <s v="BELTS"/>
    <x v="72"/>
    <x v="0"/>
    <x v="686"/>
    <x v="698"/>
    <s v="F3"/>
    <x v="0"/>
    <m/>
    <m/>
    <m/>
    <m/>
    <x v="0"/>
    <m/>
    <m/>
    <m/>
    <n v="0"/>
    <m/>
  </r>
  <r>
    <x v="700"/>
    <s v="BELTS"/>
    <x v="72"/>
    <x v="0"/>
    <x v="687"/>
    <x v="699"/>
    <s v="F3"/>
    <x v="0"/>
    <m/>
    <m/>
    <m/>
    <m/>
    <x v="0"/>
    <m/>
    <m/>
    <m/>
    <n v="0"/>
    <m/>
  </r>
  <r>
    <x v="701"/>
    <s v="BELTS"/>
    <x v="72"/>
    <x v="0"/>
    <x v="688"/>
    <x v="700"/>
    <s v="F3"/>
    <x v="0"/>
    <m/>
    <m/>
    <m/>
    <m/>
    <x v="0"/>
    <m/>
    <m/>
    <m/>
    <n v="0"/>
    <m/>
  </r>
  <r>
    <x v="702"/>
    <s v="BELTS"/>
    <x v="72"/>
    <x v="0"/>
    <x v="689"/>
    <x v="701"/>
    <s v="F3"/>
    <x v="0"/>
    <m/>
    <m/>
    <m/>
    <m/>
    <x v="0"/>
    <m/>
    <m/>
    <m/>
    <n v="0"/>
    <m/>
  </r>
  <r>
    <x v="703"/>
    <s v="BELTS"/>
    <x v="72"/>
    <x v="0"/>
    <x v="690"/>
    <x v="702"/>
    <s v="F3"/>
    <x v="0"/>
    <m/>
    <m/>
    <m/>
    <m/>
    <x v="0"/>
    <m/>
    <m/>
    <m/>
    <n v="0"/>
    <m/>
  </r>
  <r>
    <x v="704"/>
    <s v="MECHANICAL"/>
    <x v="21"/>
    <x v="0"/>
    <x v="691"/>
    <x v="703"/>
    <s v="F3"/>
    <x v="0"/>
    <m/>
    <m/>
    <m/>
    <m/>
    <x v="0"/>
    <m/>
    <m/>
    <m/>
    <n v="0"/>
    <m/>
  </r>
  <r>
    <x v="705"/>
    <s v="MECHANICAL"/>
    <x v="21"/>
    <x v="0"/>
    <x v="692"/>
    <x v="704"/>
    <s v="F3"/>
    <x v="0"/>
    <m/>
    <m/>
    <m/>
    <m/>
    <x v="0"/>
    <m/>
    <m/>
    <m/>
    <n v="0"/>
    <m/>
  </r>
  <r>
    <x v="706"/>
    <s v="MECHANICAL"/>
    <x v="99"/>
    <x v="0"/>
    <x v="693"/>
    <x v="705"/>
    <s v="F3"/>
    <x v="0"/>
    <m/>
    <m/>
    <m/>
    <m/>
    <x v="0"/>
    <m/>
    <m/>
    <m/>
    <n v="0"/>
    <m/>
  </r>
  <r>
    <x v="707"/>
    <s v="ELECTRICAL"/>
    <x v="55"/>
    <x v="0"/>
    <x v="694"/>
    <x v="706"/>
    <s v="F3"/>
    <x v="0"/>
    <m/>
    <m/>
    <m/>
    <m/>
    <x v="0"/>
    <m/>
    <m/>
    <m/>
    <n v="0"/>
    <m/>
  </r>
  <r>
    <x v="708"/>
    <s v="MECHANICAL"/>
    <x v="84"/>
    <x v="0"/>
    <x v="695"/>
    <x v="707"/>
    <s v="F3"/>
    <x v="0"/>
    <m/>
    <m/>
    <m/>
    <m/>
    <x v="0"/>
    <m/>
    <m/>
    <m/>
    <n v="0"/>
    <m/>
  </r>
  <r>
    <x v="709"/>
    <s v="PRODUCTION SUPPLY"/>
    <x v="21"/>
    <x v="0"/>
    <x v="696"/>
    <x v="708"/>
    <s v="F3"/>
    <x v="0"/>
    <m/>
    <m/>
    <m/>
    <m/>
    <x v="0"/>
    <m/>
    <m/>
    <m/>
    <n v="0"/>
    <m/>
  </r>
  <r>
    <x v="710"/>
    <s v="MECHANICAL"/>
    <x v="83"/>
    <x v="0"/>
    <x v="697"/>
    <x v="709"/>
    <s v="F3"/>
    <x v="0"/>
    <m/>
    <m/>
    <m/>
    <m/>
    <x v="0"/>
    <m/>
    <m/>
    <m/>
    <n v="0"/>
    <m/>
  </r>
  <r>
    <x v="711"/>
    <s v="BELTS"/>
    <x v="72"/>
    <x v="0"/>
    <x v="698"/>
    <x v="710"/>
    <s v="F3"/>
    <x v="0"/>
    <m/>
    <m/>
    <m/>
    <m/>
    <x v="0"/>
    <m/>
    <m/>
    <m/>
    <n v="0"/>
    <m/>
  </r>
  <r>
    <x v="712"/>
    <s v="ELECTRICAL"/>
    <x v="96"/>
    <x v="0"/>
    <x v="699"/>
    <x v="711"/>
    <s v="F3"/>
    <x v="0"/>
    <m/>
    <m/>
    <m/>
    <m/>
    <x v="0"/>
    <m/>
    <m/>
    <m/>
    <n v="0"/>
    <m/>
  </r>
  <r>
    <x v="713"/>
    <s v="MECHANICAL"/>
    <x v="21"/>
    <x v="0"/>
    <x v="700"/>
    <x v="712"/>
    <s v="F4"/>
    <x v="0"/>
    <m/>
    <m/>
    <m/>
    <m/>
    <x v="0"/>
    <m/>
    <m/>
    <m/>
    <n v="0"/>
    <m/>
  </r>
  <r>
    <x v="714"/>
    <s v="MECHANICAL"/>
    <x v="101"/>
    <x v="0"/>
    <x v="701"/>
    <x v="713"/>
    <s v="F4"/>
    <x v="0"/>
    <m/>
    <m/>
    <m/>
    <m/>
    <x v="0"/>
    <m/>
    <m/>
    <m/>
    <n v="0"/>
    <m/>
  </r>
  <r>
    <x v="715"/>
    <s v="PNEUMATIC"/>
    <x v="102"/>
    <x v="0"/>
    <x v="702"/>
    <x v="714"/>
    <s v="F4"/>
    <x v="0"/>
    <m/>
    <m/>
    <m/>
    <m/>
    <x v="0"/>
    <m/>
    <m/>
    <m/>
    <n v="0"/>
    <m/>
  </r>
  <r>
    <x v="716"/>
    <s v="ELECTRICAL"/>
    <x v="96"/>
    <x v="0"/>
    <x v="703"/>
    <x v="715"/>
    <s v="F4"/>
    <x v="0"/>
    <m/>
    <m/>
    <m/>
    <m/>
    <x v="0"/>
    <m/>
    <m/>
    <m/>
    <n v="0"/>
    <m/>
  </r>
  <r>
    <x v="717"/>
    <s v="MECHANICAL"/>
    <x v="101"/>
    <x v="0"/>
    <x v="704"/>
    <x v="716"/>
    <s v="F4"/>
    <x v="0"/>
    <m/>
    <m/>
    <m/>
    <m/>
    <x v="0"/>
    <m/>
    <m/>
    <m/>
    <n v="0"/>
    <m/>
  </r>
  <r>
    <x v="718"/>
    <s v="ELECTRICAL"/>
    <x v="56"/>
    <x v="0"/>
    <x v="705"/>
    <x v="717"/>
    <s v="F4"/>
    <x v="0"/>
    <m/>
    <m/>
    <m/>
    <m/>
    <x v="0"/>
    <m/>
    <m/>
    <m/>
    <n v="0"/>
    <m/>
  </r>
  <r>
    <x v="719"/>
    <s v="ELECTRICAL"/>
    <x v="64"/>
    <x v="0"/>
    <x v="706"/>
    <x v="718"/>
    <s v="F4"/>
    <x v="0"/>
    <m/>
    <m/>
    <m/>
    <m/>
    <x v="0"/>
    <m/>
    <m/>
    <m/>
    <n v="0"/>
    <m/>
  </r>
  <r>
    <x v="720"/>
    <s v="MECHANICAL"/>
    <x v="103"/>
    <x v="0"/>
    <x v="707"/>
    <x v="719"/>
    <s v="F4"/>
    <x v="0"/>
    <m/>
    <m/>
    <m/>
    <m/>
    <x v="0"/>
    <m/>
    <m/>
    <m/>
    <n v="0"/>
    <m/>
  </r>
  <r>
    <x v="721"/>
    <s v="BEARINGS"/>
    <x v="7"/>
    <x v="0"/>
    <x v="708"/>
    <x v="720"/>
    <s v="F4"/>
    <x v="0"/>
    <m/>
    <m/>
    <m/>
    <m/>
    <x v="0"/>
    <m/>
    <m/>
    <m/>
    <n v="0"/>
    <m/>
  </r>
  <r>
    <x v="722"/>
    <s v="MECHANICAL"/>
    <x v="21"/>
    <x v="0"/>
    <x v="709"/>
    <x v="721"/>
    <s v="F4"/>
    <x v="0"/>
    <m/>
    <m/>
    <m/>
    <m/>
    <x v="0"/>
    <m/>
    <m/>
    <m/>
    <n v="0"/>
    <m/>
  </r>
  <r>
    <x v="723"/>
    <s v="BELTS"/>
    <x v="17"/>
    <x v="0"/>
    <x v="710"/>
    <x v="722"/>
    <s v="F4"/>
    <x v="0"/>
    <m/>
    <m/>
    <m/>
    <m/>
    <x v="0"/>
    <m/>
    <m/>
    <m/>
    <n v="0"/>
    <m/>
  </r>
  <r>
    <x v="724"/>
    <s v="MECHANICAL"/>
    <x v="21"/>
    <x v="0"/>
    <x v="711"/>
    <x v="723"/>
    <s v="F4"/>
    <x v="0"/>
    <m/>
    <m/>
    <m/>
    <m/>
    <x v="0"/>
    <m/>
    <m/>
    <m/>
    <n v="0"/>
    <m/>
  </r>
  <r>
    <x v="725"/>
    <s v="PNEUMATIC"/>
    <x v="19"/>
    <x v="0"/>
    <x v="712"/>
    <x v="724"/>
    <s v="F4"/>
    <x v="0"/>
    <m/>
    <m/>
    <m/>
    <m/>
    <x v="0"/>
    <m/>
    <m/>
    <m/>
    <n v="0"/>
    <m/>
  </r>
  <r>
    <x v="726"/>
    <s v="TAPES"/>
    <x v="31"/>
    <x v="0"/>
    <x v="713"/>
    <x v="725"/>
    <s v="F4"/>
    <x v="0"/>
    <m/>
    <m/>
    <m/>
    <m/>
    <x v="0"/>
    <m/>
    <m/>
    <m/>
    <n v="0"/>
    <m/>
  </r>
  <r>
    <x v="727"/>
    <s v="ELECTRICAL"/>
    <x v="64"/>
    <x v="0"/>
    <x v="714"/>
    <x v="726"/>
    <s v="F4"/>
    <x v="0"/>
    <m/>
    <m/>
    <m/>
    <m/>
    <x v="0"/>
    <m/>
    <m/>
    <m/>
    <n v="0"/>
    <m/>
  </r>
  <r>
    <x v="728"/>
    <s v="ELECTRICAL"/>
    <x v="104"/>
    <x v="0"/>
    <x v="715"/>
    <x v="727"/>
    <s v="F4"/>
    <x v="0"/>
    <m/>
    <m/>
    <m/>
    <m/>
    <x v="0"/>
    <m/>
    <m/>
    <m/>
    <n v="0"/>
    <m/>
  </r>
  <r>
    <x v="729"/>
    <s v="MECHANICAL"/>
    <x v="101"/>
    <x v="0"/>
    <x v="716"/>
    <x v="728"/>
    <s v="F4"/>
    <x v="0"/>
    <m/>
    <m/>
    <m/>
    <m/>
    <x v="0"/>
    <m/>
    <m/>
    <m/>
    <n v="0"/>
    <m/>
  </r>
  <r>
    <x v="730"/>
    <s v="KNIVES"/>
    <x v="105"/>
    <x v="0"/>
    <x v="717"/>
    <x v="729"/>
    <s v="F4"/>
    <x v="0"/>
    <m/>
    <m/>
    <m/>
    <m/>
    <x v="0"/>
    <m/>
    <m/>
    <m/>
    <n v="0"/>
    <m/>
  </r>
  <r>
    <x v="731"/>
    <s v="HYDRAULICS"/>
    <x v="106"/>
    <x v="0"/>
    <x v="718"/>
    <x v="730"/>
    <s v="F4"/>
    <x v="0"/>
    <m/>
    <m/>
    <m/>
    <m/>
    <x v="0"/>
    <m/>
    <m/>
    <m/>
    <n v="0"/>
    <m/>
  </r>
  <r>
    <x v="732"/>
    <s v="MECHANICAL"/>
    <x v="107"/>
    <x v="0"/>
    <x v="719"/>
    <x v="731"/>
    <s v="F4"/>
    <x v="0"/>
    <m/>
    <m/>
    <m/>
    <m/>
    <x v="0"/>
    <m/>
    <m/>
    <m/>
    <n v="0"/>
    <m/>
  </r>
  <r>
    <x v="733"/>
    <s v="MECHANICAL"/>
    <x v="20"/>
    <x v="0"/>
    <x v="720"/>
    <x v="732"/>
    <s v="F4"/>
    <x v="0"/>
    <m/>
    <m/>
    <m/>
    <m/>
    <x v="0"/>
    <m/>
    <m/>
    <m/>
    <n v="0"/>
    <m/>
  </r>
  <r>
    <x v="734"/>
    <s v="KNIVES"/>
    <x v="105"/>
    <x v="0"/>
    <x v="721"/>
    <x v="733"/>
    <s v="F4"/>
    <x v="0"/>
    <m/>
    <m/>
    <m/>
    <m/>
    <x v="0"/>
    <m/>
    <m/>
    <m/>
    <n v="0"/>
    <m/>
  </r>
  <r>
    <x v="735"/>
    <s v="HYDRAULICS"/>
    <x v="106"/>
    <x v="0"/>
    <x v="722"/>
    <x v="734"/>
    <s v="F4"/>
    <x v="0"/>
    <m/>
    <m/>
    <m/>
    <m/>
    <x v="0"/>
    <m/>
    <m/>
    <m/>
    <n v="0"/>
    <m/>
  </r>
  <r>
    <x v="736"/>
    <s v="MECHANICAL"/>
    <x v="101"/>
    <x v="0"/>
    <x v="723"/>
    <x v="735"/>
    <s v="F4"/>
    <x v="0"/>
    <m/>
    <m/>
    <m/>
    <m/>
    <x v="0"/>
    <m/>
    <m/>
    <m/>
    <n v="0"/>
    <m/>
  </r>
  <r>
    <x v="737"/>
    <s v="TAPES"/>
    <x v="31"/>
    <x v="0"/>
    <x v="724"/>
    <x v="736"/>
    <s v="F4"/>
    <x v="0"/>
    <m/>
    <m/>
    <m/>
    <m/>
    <x v="0"/>
    <m/>
    <m/>
    <m/>
    <n v="0"/>
    <m/>
  </r>
  <r>
    <x v="738"/>
    <s v="MECHANICAL"/>
    <x v="101"/>
    <x v="0"/>
    <x v="725"/>
    <x v="737"/>
    <s v="F4"/>
    <x v="0"/>
    <m/>
    <m/>
    <m/>
    <m/>
    <x v="0"/>
    <m/>
    <m/>
    <m/>
    <n v="0"/>
    <m/>
  </r>
  <r>
    <x v="739"/>
    <s v="MECHANICAL"/>
    <x v="101"/>
    <x v="0"/>
    <x v="726"/>
    <x v="738"/>
    <s v="F4"/>
    <x v="0"/>
    <m/>
    <m/>
    <m/>
    <m/>
    <x v="0"/>
    <m/>
    <m/>
    <m/>
    <n v="0"/>
    <m/>
  </r>
  <r>
    <x v="740"/>
    <s v="ELECTRICAL"/>
    <x v="96"/>
    <x v="0"/>
    <x v="727"/>
    <x v="739"/>
    <s v="F4"/>
    <x v="0"/>
    <m/>
    <m/>
    <m/>
    <m/>
    <x v="0"/>
    <m/>
    <m/>
    <m/>
    <n v="0"/>
    <m/>
  </r>
  <r>
    <x v="741"/>
    <s v="ELECTRICAL"/>
    <x v="104"/>
    <x v="0"/>
    <x v="715"/>
    <x v="740"/>
    <s v="F4"/>
    <x v="0"/>
    <m/>
    <m/>
    <m/>
    <m/>
    <x v="0"/>
    <m/>
    <m/>
    <m/>
    <n v="0"/>
    <m/>
  </r>
  <r>
    <x v="742"/>
    <s v="BEARINGS"/>
    <x v="108"/>
    <x v="0"/>
    <x v="728"/>
    <x v="741"/>
    <s v="F4"/>
    <x v="0"/>
    <m/>
    <m/>
    <m/>
    <m/>
    <x v="0"/>
    <m/>
    <m/>
    <m/>
    <n v="0"/>
    <m/>
  </r>
  <r>
    <x v="743"/>
    <s v="MECHANICAL"/>
    <x v="10"/>
    <x v="0"/>
    <x v="729"/>
    <x v="742"/>
    <s v="F4"/>
    <x v="0"/>
    <m/>
    <m/>
    <m/>
    <m/>
    <x v="0"/>
    <m/>
    <m/>
    <m/>
    <n v="0"/>
    <m/>
  </r>
  <r>
    <x v="744"/>
    <s v="MECHANICAL"/>
    <x v="10"/>
    <x v="0"/>
    <x v="730"/>
    <x v="743"/>
    <s v="F4"/>
    <x v="0"/>
    <m/>
    <m/>
    <m/>
    <m/>
    <x v="0"/>
    <m/>
    <m/>
    <m/>
    <n v="0"/>
    <m/>
  </r>
  <r>
    <x v="745"/>
    <s v="ROLLERS"/>
    <x v="12"/>
    <x v="0"/>
    <x v="731"/>
    <x v="744"/>
    <s v="F4"/>
    <x v="0"/>
    <m/>
    <m/>
    <m/>
    <m/>
    <x v="0"/>
    <m/>
    <m/>
    <m/>
    <n v="0"/>
    <m/>
  </r>
  <r>
    <x v="746"/>
    <s v="ELECTRICAL"/>
    <x v="96"/>
    <x v="0"/>
    <x v="732"/>
    <x v="745"/>
    <s v="F4"/>
    <x v="0"/>
    <m/>
    <m/>
    <m/>
    <m/>
    <x v="0"/>
    <m/>
    <m/>
    <m/>
    <n v="0"/>
    <m/>
  </r>
  <r>
    <x v="747"/>
    <s v="ROLLERS"/>
    <x v="12"/>
    <x v="0"/>
    <x v="733"/>
    <x v="746"/>
    <s v="F4"/>
    <x v="0"/>
    <m/>
    <m/>
    <m/>
    <m/>
    <x v="0"/>
    <m/>
    <m/>
    <m/>
    <n v="0"/>
    <m/>
  </r>
  <r>
    <x v="748"/>
    <s v="FASTENERS"/>
    <x v="82"/>
    <x v="0"/>
    <x v="734"/>
    <x v="747"/>
    <s v="F4"/>
    <x v="0"/>
    <m/>
    <m/>
    <m/>
    <m/>
    <x v="0"/>
    <m/>
    <m/>
    <m/>
    <n v="0"/>
    <m/>
  </r>
  <r>
    <x v="749"/>
    <s v="FASTENERS"/>
    <x v="109"/>
    <x v="0"/>
    <x v="735"/>
    <x v="748"/>
    <s v="F4"/>
    <x v="0"/>
    <m/>
    <m/>
    <m/>
    <m/>
    <x v="0"/>
    <m/>
    <m/>
    <m/>
    <n v="0"/>
    <m/>
  </r>
  <r>
    <x v="750"/>
    <s v="KNIVES"/>
    <x v="110"/>
    <x v="0"/>
    <x v="736"/>
    <x v="749"/>
    <s v="F4"/>
    <x v="0"/>
    <m/>
    <m/>
    <m/>
    <m/>
    <x v="0"/>
    <m/>
    <m/>
    <m/>
    <n v="0"/>
    <m/>
  </r>
  <r>
    <x v="751"/>
    <s v="BELTS"/>
    <x v="17"/>
    <x v="0"/>
    <x v="737"/>
    <x v="750"/>
    <s v="F4"/>
    <x v="0"/>
    <m/>
    <m/>
    <m/>
    <m/>
    <x v="0"/>
    <m/>
    <m/>
    <m/>
    <n v="0"/>
    <m/>
  </r>
  <r>
    <x v="752"/>
    <s v="ELECTRICAL"/>
    <x v="96"/>
    <x v="0"/>
    <x v="738"/>
    <x v="751"/>
    <s v="F4"/>
    <x v="0"/>
    <m/>
    <m/>
    <m/>
    <m/>
    <x v="0"/>
    <m/>
    <m/>
    <m/>
    <n v="0"/>
    <m/>
  </r>
  <r>
    <x v="753"/>
    <s v="ELECTRICAL"/>
    <x v="104"/>
    <x v="0"/>
    <x v="739"/>
    <x v="752"/>
    <s v="F4"/>
    <x v="0"/>
    <m/>
    <m/>
    <m/>
    <m/>
    <x v="0"/>
    <m/>
    <m/>
    <m/>
    <n v="0"/>
    <m/>
  </r>
  <r>
    <x v="754"/>
    <s v="KNIVES"/>
    <x v="105"/>
    <x v="0"/>
    <x v="740"/>
    <x v="753"/>
    <s v="F4"/>
    <x v="0"/>
    <m/>
    <m/>
    <m/>
    <m/>
    <x v="0"/>
    <m/>
    <m/>
    <m/>
    <n v="0"/>
    <m/>
  </r>
  <r>
    <x v="755"/>
    <s v="MECHANICAL"/>
    <x v="101"/>
    <x v="0"/>
    <x v="741"/>
    <x v="754"/>
    <s v="F4"/>
    <x v="0"/>
    <m/>
    <m/>
    <m/>
    <m/>
    <x v="0"/>
    <m/>
    <m/>
    <m/>
    <n v="0"/>
    <m/>
  </r>
  <r>
    <x v="756"/>
    <s v="MECHANICAL"/>
    <x v="101"/>
    <x v="0"/>
    <x v="742"/>
    <x v="755"/>
    <s v="F4"/>
    <x v="0"/>
    <m/>
    <m/>
    <m/>
    <m/>
    <x v="0"/>
    <m/>
    <m/>
    <m/>
    <n v="0"/>
    <m/>
  </r>
  <r>
    <x v="757"/>
    <s v="MECHANICAL"/>
    <x v="21"/>
    <x v="0"/>
    <x v="743"/>
    <x v="756"/>
    <s v="F4"/>
    <x v="0"/>
    <m/>
    <m/>
    <m/>
    <m/>
    <x v="0"/>
    <m/>
    <m/>
    <m/>
    <n v="0"/>
    <m/>
  </r>
  <r>
    <x v="758"/>
    <s v="BELTS"/>
    <x v="111"/>
    <x v="0"/>
    <x v="744"/>
    <x v="757"/>
    <s v="F4"/>
    <x v="0"/>
    <m/>
    <m/>
    <m/>
    <m/>
    <x v="0"/>
    <m/>
    <m/>
    <m/>
    <n v="0"/>
    <m/>
  </r>
  <r>
    <x v="759"/>
    <s v="ELECTRICAL"/>
    <x v="67"/>
    <x v="0"/>
    <x v="745"/>
    <x v="758"/>
    <s v="G1"/>
    <x v="0"/>
    <m/>
    <m/>
    <m/>
    <m/>
    <x v="0"/>
    <m/>
    <m/>
    <m/>
    <n v="0"/>
    <m/>
  </r>
  <r>
    <x v="760"/>
    <s v="ELECTRICAL"/>
    <x v="70"/>
    <x v="0"/>
    <x v="746"/>
    <x v="759"/>
    <s v="G2"/>
    <x v="0"/>
    <m/>
    <m/>
    <m/>
    <m/>
    <x v="0"/>
    <m/>
    <m/>
    <m/>
    <n v="0"/>
    <m/>
  </r>
  <r>
    <x v="761"/>
    <s v="ELECTRICAL"/>
    <x v="64"/>
    <x v="0"/>
    <x v="747"/>
    <x v="760"/>
    <s v="G2"/>
    <x v="0"/>
    <m/>
    <m/>
    <m/>
    <m/>
    <x v="0"/>
    <m/>
    <m/>
    <m/>
    <n v="0"/>
    <m/>
  </r>
  <r>
    <x v="762"/>
    <s v="ROLLERS"/>
    <x v="92"/>
    <x v="0"/>
    <x v="748"/>
    <x v="761"/>
    <s v="G3"/>
    <x v="0"/>
    <m/>
    <m/>
    <m/>
    <m/>
    <x v="0"/>
    <m/>
    <m/>
    <m/>
    <n v="0"/>
    <m/>
  </r>
  <r>
    <x v="763"/>
    <s v="GEAR"/>
    <x v="8"/>
    <x v="0"/>
    <x v="749"/>
    <x v="762"/>
    <s v="G3"/>
    <x v="0"/>
    <m/>
    <m/>
    <m/>
    <m/>
    <x v="0"/>
    <m/>
    <m/>
    <m/>
    <n v="0"/>
    <m/>
  </r>
  <r>
    <x v="764"/>
    <s v="FASTENERS"/>
    <x v="11"/>
    <x v="0"/>
    <x v="750"/>
    <x v="763"/>
    <s v="G3"/>
    <x v="0"/>
    <m/>
    <m/>
    <m/>
    <m/>
    <x v="0"/>
    <m/>
    <m/>
    <m/>
    <n v="0"/>
    <m/>
  </r>
  <r>
    <x v="765"/>
    <s v="FASTENERS"/>
    <x v="82"/>
    <x v="0"/>
    <x v="751"/>
    <x v="764"/>
    <s v="G3"/>
    <x v="0"/>
    <m/>
    <m/>
    <m/>
    <m/>
    <x v="0"/>
    <m/>
    <m/>
    <m/>
    <n v="0"/>
    <m/>
  </r>
  <r>
    <x v="766"/>
    <s v="MECHANICAL"/>
    <x v="101"/>
    <x v="0"/>
    <x v="752"/>
    <x v="765"/>
    <s v="G3"/>
    <x v="0"/>
    <m/>
    <m/>
    <m/>
    <m/>
    <x v="0"/>
    <m/>
    <m/>
    <m/>
    <n v="0"/>
    <m/>
  </r>
  <r>
    <x v="767"/>
    <s v="ELECTRICAL"/>
    <x v="21"/>
    <x v="0"/>
    <x v="753"/>
    <x v="766"/>
    <s v="G3"/>
    <x v="0"/>
    <m/>
    <m/>
    <m/>
    <m/>
    <x v="0"/>
    <m/>
    <m/>
    <m/>
    <n v="0"/>
    <m/>
  </r>
  <r>
    <x v="768"/>
    <s v="GEAR"/>
    <x v="8"/>
    <x v="0"/>
    <x v="754"/>
    <x v="767"/>
    <s v="G3"/>
    <x v="0"/>
    <m/>
    <m/>
    <m/>
    <m/>
    <x v="0"/>
    <m/>
    <m/>
    <m/>
    <n v="0"/>
    <m/>
  </r>
  <r>
    <x v="769"/>
    <s v="MECHANICAL"/>
    <x v="84"/>
    <x v="0"/>
    <x v="755"/>
    <x v="768"/>
    <s v="G3"/>
    <x v="0"/>
    <m/>
    <m/>
    <m/>
    <m/>
    <x v="0"/>
    <m/>
    <m/>
    <m/>
    <n v="0"/>
    <m/>
  </r>
  <r>
    <x v="770"/>
    <s v="ELECTRICAL"/>
    <x v="61"/>
    <x v="0"/>
    <x v="756"/>
    <x v="769"/>
    <s v="G3"/>
    <x v="0"/>
    <m/>
    <m/>
    <m/>
    <m/>
    <x v="0"/>
    <m/>
    <m/>
    <m/>
    <n v="0"/>
    <m/>
  </r>
  <r>
    <x v="771"/>
    <s v="ELECTRICAL"/>
    <x v="61"/>
    <x v="0"/>
    <x v="757"/>
    <x v="770"/>
    <s v="G3"/>
    <x v="0"/>
    <m/>
    <m/>
    <m/>
    <m/>
    <x v="0"/>
    <m/>
    <m/>
    <m/>
    <n v="0"/>
    <m/>
  </r>
  <r>
    <x v="772"/>
    <s v="FASTENERS"/>
    <x v="11"/>
    <x v="0"/>
    <x v="758"/>
    <x v="771"/>
    <s v="G3"/>
    <x v="0"/>
    <m/>
    <m/>
    <m/>
    <m/>
    <x v="0"/>
    <m/>
    <m/>
    <m/>
    <n v="0"/>
    <m/>
  </r>
  <r>
    <x v="773"/>
    <s v="ELECTRICAL"/>
    <x v="21"/>
    <x v="0"/>
    <x v="759"/>
    <x v="772"/>
    <s v="G3"/>
    <x v="0"/>
    <m/>
    <m/>
    <m/>
    <m/>
    <x v="0"/>
    <m/>
    <m/>
    <m/>
    <n v="0"/>
    <m/>
  </r>
  <r>
    <x v="774"/>
    <s v="FASTENERS"/>
    <x v="82"/>
    <x v="0"/>
    <x v="760"/>
    <x v="773"/>
    <s v="G3"/>
    <x v="0"/>
    <m/>
    <m/>
    <m/>
    <m/>
    <x v="0"/>
    <m/>
    <m/>
    <m/>
    <n v="0"/>
    <m/>
  </r>
  <r>
    <x v="775"/>
    <s v="MISCELLANEOUS"/>
    <x v="112"/>
    <x v="0"/>
    <x v="761"/>
    <x v="774"/>
    <s v="G3"/>
    <x v="0"/>
    <m/>
    <m/>
    <m/>
    <m/>
    <x v="0"/>
    <m/>
    <m/>
    <m/>
    <n v="0"/>
    <m/>
  </r>
  <r>
    <x v="776"/>
    <s v="MISCELLANEOUS"/>
    <x v="112"/>
    <x v="0"/>
    <x v="762"/>
    <x v="775"/>
    <s v="G3"/>
    <x v="0"/>
    <m/>
    <m/>
    <m/>
    <m/>
    <x v="0"/>
    <m/>
    <m/>
    <m/>
    <n v="0"/>
    <m/>
  </r>
  <r>
    <x v="777"/>
    <s v="MECHANICAL"/>
    <x v="21"/>
    <x v="0"/>
    <x v="763"/>
    <x v="776"/>
    <s v="G3"/>
    <x v="0"/>
    <m/>
    <m/>
    <m/>
    <m/>
    <x v="0"/>
    <m/>
    <m/>
    <m/>
    <n v="0"/>
    <m/>
  </r>
  <r>
    <x v="778"/>
    <s v="MECHANICAL"/>
    <x v="46"/>
    <x v="0"/>
    <x v="764"/>
    <x v="777"/>
    <s v="G3"/>
    <x v="0"/>
    <m/>
    <m/>
    <m/>
    <m/>
    <x v="0"/>
    <m/>
    <m/>
    <m/>
    <n v="0"/>
    <m/>
  </r>
  <r>
    <x v="779"/>
    <s v="BELTS"/>
    <x v="73"/>
    <x v="0"/>
    <x v="765"/>
    <x v="778"/>
    <s v="G3"/>
    <x v="0"/>
    <m/>
    <m/>
    <m/>
    <m/>
    <x v="0"/>
    <m/>
    <m/>
    <m/>
    <n v="0"/>
    <m/>
  </r>
  <r>
    <x v="780"/>
    <s v="MECHANICAL"/>
    <x v="24"/>
    <x v="0"/>
    <x v="766"/>
    <x v="779"/>
    <s v="G3"/>
    <x v="0"/>
    <m/>
    <m/>
    <m/>
    <m/>
    <x v="0"/>
    <m/>
    <m/>
    <m/>
    <n v="0"/>
    <m/>
  </r>
  <r>
    <x v="781"/>
    <s v="MECHANICAL"/>
    <x v="24"/>
    <x v="0"/>
    <x v="767"/>
    <x v="780"/>
    <s v="G3"/>
    <x v="0"/>
    <m/>
    <m/>
    <m/>
    <m/>
    <x v="0"/>
    <m/>
    <m/>
    <m/>
    <n v="0"/>
    <m/>
  </r>
  <r>
    <x v="782"/>
    <s v="MECHANICAL"/>
    <x v="23"/>
    <x v="0"/>
    <x v="768"/>
    <x v="781"/>
    <s v="G3"/>
    <x v="0"/>
    <m/>
    <m/>
    <m/>
    <m/>
    <x v="0"/>
    <m/>
    <m/>
    <m/>
    <n v="0"/>
    <m/>
  </r>
  <r>
    <x v="783"/>
    <s v="MECHANICAL"/>
    <x v="84"/>
    <x v="0"/>
    <x v="769"/>
    <x v="782"/>
    <s v="G3"/>
    <x v="0"/>
    <m/>
    <m/>
    <m/>
    <m/>
    <x v="0"/>
    <m/>
    <m/>
    <m/>
    <n v="0"/>
    <m/>
  </r>
  <r>
    <x v="784"/>
    <s v="MECHANICAL"/>
    <x v="24"/>
    <x v="0"/>
    <x v="770"/>
    <x v="783"/>
    <s v="G3"/>
    <x v="0"/>
    <m/>
    <m/>
    <m/>
    <m/>
    <x v="0"/>
    <m/>
    <m/>
    <m/>
    <n v="0"/>
    <m/>
  </r>
  <r>
    <x v="785"/>
    <s v="GEAR"/>
    <x v="8"/>
    <x v="0"/>
    <x v="771"/>
    <x v="784"/>
    <s v="G3"/>
    <x v="0"/>
    <m/>
    <m/>
    <m/>
    <m/>
    <x v="0"/>
    <m/>
    <m/>
    <m/>
    <n v="0"/>
    <m/>
  </r>
  <r>
    <x v="786"/>
    <s v="GEAR"/>
    <x v="8"/>
    <x v="0"/>
    <x v="772"/>
    <x v="785"/>
    <s v="G3"/>
    <x v="0"/>
    <m/>
    <m/>
    <m/>
    <m/>
    <x v="0"/>
    <m/>
    <m/>
    <m/>
    <n v="0"/>
    <m/>
  </r>
  <r>
    <x v="787"/>
    <s v="GEAR"/>
    <x v="8"/>
    <x v="0"/>
    <x v="773"/>
    <x v="786"/>
    <s v="G3"/>
    <x v="0"/>
    <m/>
    <m/>
    <m/>
    <m/>
    <x v="0"/>
    <m/>
    <m/>
    <m/>
    <n v="0"/>
    <m/>
  </r>
  <r>
    <x v="788"/>
    <s v="ROLLERS"/>
    <x v="89"/>
    <x v="0"/>
    <x v="774"/>
    <x v="787"/>
    <s v="G4"/>
    <x v="0"/>
    <m/>
    <m/>
    <m/>
    <m/>
    <x v="0"/>
    <m/>
    <m/>
    <m/>
    <n v="0"/>
    <m/>
  </r>
  <r>
    <x v="789"/>
    <s v="ROLLERS"/>
    <x v="18"/>
    <x v="0"/>
    <x v="775"/>
    <x v="788"/>
    <s v="G4"/>
    <x v="0"/>
    <m/>
    <m/>
    <m/>
    <m/>
    <x v="0"/>
    <m/>
    <m/>
    <m/>
    <n v="0"/>
    <m/>
  </r>
  <r>
    <x v="790"/>
    <s v="ROLLERS"/>
    <x v="51"/>
    <x v="0"/>
    <x v="776"/>
    <x v="789"/>
    <s v="G4"/>
    <x v="0"/>
    <m/>
    <m/>
    <m/>
    <m/>
    <x v="0"/>
    <m/>
    <m/>
    <m/>
    <n v="0"/>
    <m/>
  </r>
  <r>
    <x v="791"/>
    <s v="ROLLERS"/>
    <x v="12"/>
    <x v="0"/>
    <x v="777"/>
    <x v="790"/>
    <s v="G4"/>
    <x v="0"/>
    <m/>
    <m/>
    <m/>
    <m/>
    <x v="0"/>
    <m/>
    <m/>
    <m/>
    <n v="0"/>
    <m/>
  </r>
  <r>
    <x v="792"/>
    <s v="KNIVES"/>
    <x v="113"/>
    <x v="0"/>
    <x v="778"/>
    <x v="791"/>
    <s v="G4"/>
    <x v="0"/>
    <m/>
    <m/>
    <m/>
    <m/>
    <x v="0"/>
    <m/>
    <m/>
    <m/>
    <n v="0"/>
    <m/>
  </r>
  <r>
    <x v="793"/>
    <s v="MECHANICAL"/>
    <x v="21"/>
    <x v="0"/>
    <x v="779"/>
    <x v="792"/>
    <s v="G4"/>
    <x v="0"/>
    <m/>
    <m/>
    <m/>
    <m/>
    <x v="0"/>
    <m/>
    <m/>
    <m/>
    <n v="0"/>
    <m/>
  </r>
  <r>
    <x v="794"/>
    <s v="ROLLERS"/>
    <x v="89"/>
    <x v="0"/>
    <x v="780"/>
    <x v="793"/>
    <s v="G4"/>
    <x v="0"/>
    <m/>
    <m/>
    <m/>
    <m/>
    <x v="0"/>
    <m/>
    <m/>
    <m/>
    <n v="0"/>
    <m/>
  </r>
  <r>
    <x v="795"/>
    <s v="FASTENERS"/>
    <x v="11"/>
    <x v="0"/>
    <x v="781"/>
    <x v="794"/>
    <s v="G4"/>
    <x v="0"/>
    <m/>
    <m/>
    <m/>
    <m/>
    <x v="0"/>
    <m/>
    <m/>
    <m/>
    <n v="0"/>
    <m/>
  </r>
  <r>
    <x v="796"/>
    <s v="FASTENERS"/>
    <x v="11"/>
    <x v="0"/>
    <x v="782"/>
    <x v="795"/>
    <s v="G4"/>
    <x v="0"/>
    <m/>
    <m/>
    <m/>
    <m/>
    <x v="0"/>
    <m/>
    <m/>
    <m/>
    <n v="0"/>
    <m/>
  </r>
  <r>
    <x v="797"/>
    <s v="FASTENERS"/>
    <x v="81"/>
    <x v="0"/>
    <x v="783"/>
    <x v="796"/>
    <s v="G4"/>
    <x v="0"/>
    <m/>
    <m/>
    <m/>
    <m/>
    <x v="0"/>
    <m/>
    <m/>
    <m/>
    <n v="0"/>
    <m/>
  </r>
  <r>
    <x v="798"/>
    <s v="MECHANICAL"/>
    <x v="24"/>
    <x v="0"/>
    <x v="784"/>
    <x v="797"/>
    <s v="G4"/>
    <x v="0"/>
    <m/>
    <m/>
    <m/>
    <m/>
    <x v="0"/>
    <m/>
    <m/>
    <m/>
    <n v="0"/>
    <m/>
  </r>
  <r>
    <x v="799"/>
    <s v="MECHANICAL"/>
    <x v="107"/>
    <x v="0"/>
    <x v="785"/>
    <x v="798"/>
    <s v="G4"/>
    <x v="0"/>
    <m/>
    <m/>
    <m/>
    <m/>
    <x v="0"/>
    <m/>
    <m/>
    <m/>
    <n v="0"/>
    <m/>
  </r>
  <r>
    <x v="800"/>
    <s v="KNIVES"/>
    <x v="113"/>
    <x v="0"/>
    <x v="786"/>
    <x v="799"/>
    <s v="G4"/>
    <x v="0"/>
    <m/>
    <m/>
    <m/>
    <m/>
    <x v="0"/>
    <m/>
    <m/>
    <m/>
    <n v="0"/>
    <m/>
  </r>
  <r>
    <x v="801"/>
    <s v="MECHANICAL"/>
    <x v="21"/>
    <x v="0"/>
    <x v="787"/>
    <x v="800"/>
    <s v="G4"/>
    <x v="0"/>
    <m/>
    <m/>
    <m/>
    <m/>
    <x v="0"/>
    <m/>
    <m/>
    <m/>
    <n v="0"/>
    <m/>
  </r>
  <r>
    <x v="802"/>
    <s v="ELECTRICAL"/>
    <x v="68"/>
    <x v="0"/>
    <x v="788"/>
    <x v="801"/>
    <s v="G4"/>
    <x v="0"/>
    <m/>
    <m/>
    <m/>
    <m/>
    <x v="0"/>
    <m/>
    <m/>
    <m/>
    <n v="0"/>
    <m/>
  </r>
  <r>
    <x v="803"/>
    <s v="MECHANICAL"/>
    <x v="21"/>
    <x v="0"/>
    <x v="789"/>
    <x v="802"/>
    <s v="G4"/>
    <x v="0"/>
    <m/>
    <m/>
    <m/>
    <m/>
    <x v="0"/>
    <m/>
    <m/>
    <m/>
    <n v="0"/>
    <m/>
  </r>
  <r>
    <x v="804"/>
    <s v="FASTENERS"/>
    <x v="81"/>
    <x v="0"/>
    <x v="790"/>
    <x v="803"/>
    <s v="G4"/>
    <x v="0"/>
    <m/>
    <m/>
    <m/>
    <m/>
    <x v="0"/>
    <m/>
    <m/>
    <m/>
    <n v="0"/>
    <m/>
  </r>
  <r>
    <x v="805"/>
    <s v="FASTENERS"/>
    <x v="11"/>
    <x v="0"/>
    <x v="791"/>
    <x v="804"/>
    <s v="G4"/>
    <x v="0"/>
    <m/>
    <m/>
    <m/>
    <m/>
    <x v="0"/>
    <m/>
    <m/>
    <m/>
    <n v="0"/>
    <m/>
  </r>
  <r>
    <x v="806"/>
    <s v="PRODUCTION SUPPLY"/>
    <x v="95"/>
    <x v="0"/>
    <x v="792"/>
    <x v="805"/>
    <s v="G4"/>
    <x v="0"/>
    <m/>
    <m/>
    <m/>
    <m/>
    <x v="0"/>
    <m/>
    <m/>
    <m/>
    <n v="0"/>
    <m/>
  </r>
  <r>
    <x v="807"/>
    <s v="MECHANICAL"/>
    <x v="103"/>
    <x v="0"/>
    <x v="793"/>
    <x v="806"/>
    <s v="G4"/>
    <x v="0"/>
    <m/>
    <m/>
    <m/>
    <m/>
    <x v="0"/>
    <m/>
    <m/>
    <m/>
    <n v="0"/>
    <m/>
  </r>
  <r>
    <x v="808"/>
    <s v="FASTENERS"/>
    <x v="82"/>
    <x v="0"/>
    <x v="794"/>
    <x v="807"/>
    <s v="G4"/>
    <x v="0"/>
    <m/>
    <m/>
    <m/>
    <m/>
    <x v="0"/>
    <m/>
    <m/>
    <m/>
    <n v="0"/>
    <m/>
  </r>
  <r>
    <x v="809"/>
    <s v="FASTENERS"/>
    <x v="11"/>
    <x v="0"/>
    <x v="795"/>
    <x v="808"/>
    <s v="G4"/>
    <x v="0"/>
    <m/>
    <m/>
    <m/>
    <m/>
    <x v="0"/>
    <m/>
    <m/>
    <m/>
    <n v="0"/>
    <m/>
  </r>
  <r>
    <x v="810"/>
    <s v="FASTENERS"/>
    <x v="11"/>
    <x v="0"/>
    <x v="796"/>
    <x v="809"/>
    <s v="G4"/>
    <x v="0"/>
    <m/>
    <m/>
    <m/>
    <m/>
    <x v="0"/>
    <m/>
    <m/>
    <m/>
    <n v="0"/>
    <m/>
  </r>
  <r>
    <x v="811"/>
    <s v="MECHANICAL"/>
    <x v="21"/>
    <x v="0"/>
    <x v="797"/>
    <x v="810"/>
    <s v="G4"/>
    <x v="0"/>
    <m/>
    <m/>
    <m/>
    <m/>
    <x v="0"/>
    <m/>
    <m/>
    <m/>
    <n v="0"/>
    <m/>
  </r>
  <r>
    <x v="812"/>
    <s v="MECHANICAL"/>
    <x v="21"/>
    <x v="0"/>
    <x v="798"/>
    <x v="811"/>
    <s v="G4"/>
    <x v="0"/>
    <m/>
    <m/>
    <m/>
    <m/>
    <x v="0"/>
    <m/>
    <m/>
    <m/>
    <n v="0"/>
    <m/>
  </r>
  <r>
    <x v="813"/>
    <s v="MECHANICAL"/>
    <x v="21"/>
    <x v="0"/>
    <x v="799"/>
    <x v="812"/>
    <s v="G4"/>
    <x v="0"/>
    <m/>
    <m/>
    <m/>
    <m/>
    <x v="0"/>
    <m/>
    <m/>
    <m/>
    <n v="0"/>
    <m/>
  </r>
  <r>
    <x v="814"/>
    <s v="MECHANICAL"/>
    <x v="24"/>
    <x v="0"/>
    <x v="800"/>
    <x v="813"/>
    <s v="G4"/>
    <x v="0"/>
    <m/>
    <m/>
    <m/>
    <m/>
    <x v="0"/>
    <m/>
    <m/>
    <m/>
    <n v="0"/>
    <m/>
  </r>
  <r>
    <x v="815"/>
    <s v="MECHANICAL"/>
    <x v="21"/>
    <x v="0"/>
    <x v="801"/>
    <x v="814"/>
    <s v="G4"/>
    <x v="0"/>
    <m/>
    <m/>
    <m/>
    <m/>
    <x v="0"/>
    <m/>
    <m/>
    <m/>
    <n v="0"/>
    <m/>
  </r>
  <r>
    <x v="816"/>
    <s v="MECHANICAL"/>
    <x v="21"/>
    <x v="0"/>
    <x v="802"/>
    <x v="815"/>
    <s v="G4"/>
    <x v="0"/>
    <m/>
    <m/>
    <m/>
    <m/>
    <x v="0"/>
    <m/>
    <m/>
    <m/>
    <n v="0"/>
    <m/>
  </r>
  <r>
    <x v="817"/>
    <s v="ROLLERS"/>
    <x v="12"/>
    <x v="0"/>
    <x v="803"/>
    <x v="816"/>
    <s v="G5"/>
    <x v="0"/>
    <m/>
    <m/>
    <m/>
    <m/>
    <x v="0"/>
    <m/>
    <m/>
    <m/>
    <n v="0"/>
    <m/>
  </r>
  <r>
    <x v="818"/>
    <s v="PRODUCTION SUPPLY"/>
    <x v="95"/>
    <x v="0"/>
    <x v="804"/>
    <x v="817"/>
    <s v="G5"/>
    <x v="0"/>
    <m/>
    <m/>
    <m/>
    <m/>
    <x v="0"/>
    <m/>
    <m/>
    <m/>
    <n v="0"/>
    <m/>
  </r>
  <r>
    <x v="819"/>
    <s v="ROLLERS"/>
    <x v="12"/>
    <x v="0"/>
    <x v="805"/>
    <x v="818"/>
    <s v="G5"/>
    <x v="0"/>
    <m/>
    <m/>
    <m/>
    <m/>
    <x v="0"/>
    <m/>
    <m/>
    <m/>
    <n v="0"/>
    <m/>
  </r>
  <r>
    <x v="820"/>
    <s v="BELTS"/>
    <x v="72"/>
    <x v="0"/>
    <x v="806"/>
    <x v="819"/>
    <s v="G5"/>
    <x v="0"/>
    <m/>
    <m/>
    <m/>
    <m/>
    <x v="0"/>
    <m/>
    <m/>
    <m/>
    <n v="0"/>
    <m/>
  </r>
  <r>
    <x v="821"/>
    <s v="BELTS"/>
    <x v="17"/>
    <x v="0"/>
    <x v="807"/>
    <x v="820"/>
    <s v="G5"/>
    <x v="0"/>
    <m/>
    <m/>
    <m/>
    <m/>
    <x v="0"/>
    <m/>
    <m/>
    <m/>
    <n v="0"/>
    <m/>
  </r>
  <r>
    <x v="822"/>
    <s v="ROLLERS"/>
    <x v="12"/>
    <x v="0"/>
    <x v="808"/>
    <x v="821"/>
    <s v="G5"/>
    <x v="0"/>
    <m/>
    <m/>
    <m/>
    <m/>
    <x v="0"/>
    <m/>
    <m/>
    <m/>
    <n v="0"/>
    <m/>
  </r>
  <r>
    <x v="823"/>
    <s v="ROLLERS"/>
    <x v="12"/>
    <x v="0"/>
    <x v="809"/>
    <x v="822"/>
    <s v="G5"/>
    <x v="0"/>
    <m/>
    <m/>
    <m/>
    <m/>
    <x v="0"/>
    <m/>
    <m/>
    <m/>
    <n v="0"/>
    <m/>
  </r>
  <r>
    <x v="824"/>
    <s v="MECHANICAL"/>
    <x v="21"/>
    <x v="0"/>
    <x v="810"/>
    <x v="823"/>
    <s v="G5"/>
    <x v="0"/>
    <m/>
    <m/>
    <m/>
    <m/>
    <x v="0"/>
    <m/>
    <m/>
    <m/>
    <n v="0"/>
    <m/>
  </r>
  <r>
    <x v="825"/>
    <s v="ROLLERS"/>
    <x v="12"/>
    <x v="0"/>
    <x v="811"/>
    <x v="824"/>
    <s v="G5"/>
    <x v="0"/>
    <m/>
    <m/>
    <m/>
    <m/>
    <x v="0"/>
    <m/>
    <m/>
    <m/>
    <n v="0"/>
    <m/>
  </r>
  <r>
    <x v="826"/>
    <s v="PNEUMATIC"/>
    <x v="114"/>
    <x v="0"/>
    <x v="812"/>
    <x v="825"/>
    <s v="H1"/>
    <x v="0"/>
    <m/>
    <m/>
    <m/>
    <m/>
    <x v="0"/>
    <m/>
    <m/>
    <m/>
    <n v="0"/>
    <m/>
  </r>
  <r>
    <x v="827"/>
    <s v="PNEUMATIC"/>
    <x v="114"/>
    <x v="0"/>
    <x v="813"/>
    <x v="826"/>
    <s v="H1"/>
    <x v="0"/>
    <m/>
    <m/>
    <m/>
    <m/>
    <x v="0"/>
    <m/>
    <m/>
    <m/>
    <n v="0"/>
    <m/>
  </r>
  <r>
    <x v="828"/>
    <s v="PNEUMATIC"/>
    <x v="114"/>
    <x v="0"/>
    <x v="814"/>
    <x v="827"/>
    <s v="H1"/>
    <x v="0"/>
    <m/>
    <m/>
    <m/>
    <m/>
    <x v="0"/>
    <m/>
    <m/>
    <m/>
    <n v="0"/>
    <m/>
  </r>
  <r>
    <x v="829"/>
    <s v="BEARINGS"/>
    <x v="115"/>
    <x v="0"/>
    <x v="815"/>
    <x v="828"/>
    <s v="H1"/>
    <x v="0"/>
    <m/>
    <m/>
    <m/>
    <m/>
    <x v="0"/>
    <m/>
    <m/>
    <m/>
    <n v="0"/>
    <m/>
  </r>
  <r>
    <x v="830"/>
    <s v="ROLLERS"/>
    <x v="51"/>
    <x v="0"/>
    <x v="816"/>
    <x v="829"/>
    <s v="H1"/>
    <x v="0"/>
    <m/>
    <m/>
    <m/>
    <m/>
    <x v="0"/>
    <m/>
    <m/>
    <m/>
    <n v="0"/>
    <m/>
  </r>
  <r>
    <x v="831"/>
    <s v="PRODUCTION SUPPLY"/>
    <x v="116"/>
    <x v="0"/>
    <x v="817"/>
    <x v="830"/>
    <s v="H1"/>
    <x v="0"/>
    <m/>
    <m/>
    <m/>
    <m/>
    <x v="0"/>
    <m/>
    <m/>
    <m/>
    <n v="0"/>
    <m/>
  </r>
  <r>
    <x v="832"/>
    <s v="PRODUCTION SUPPLY"/>
    <x v="117"/>
    <x v="0"/>
    <x v="818"/>
    <x v="831"/>
    <s v="H1"/>
    <x v="0"/>
    <m/>
    <m/>
    <m/>
    <m/>
    <x v="0"/>
    <m/>
    <m/>
    <m/>
    <n v="0"/>
    <m/>
  </r>
  <r>
    <x v="833"/>
    <s v="BEARINGS"/>
    <x v="115"/>
    <x v="0"/>
    <x v="819"/>
    <x v="832"/>
    <s v="H1"/>
    <x v="0"/>
    <m/>
    <m/>
    <m/>
    <m/>
    <x v="0"/>
    <m/>
    <m/>
    <m/>
    <n v="0"/>
    <m/>
  </r>
  <r>
    <x v="834"/>
    <s v="ELECTRICAL"/>
    <x v="85"/>
    <x v="0"/>
    <x v="820"/>
    <x v="833"/>
    <s v="H1"/>
    <x v="0"/>
    <m/>
    <m/>
    <m/>
    <m/>
    <x v="0"/>
    <m/>
    <m/>
    <m/>
    <n v="0"/>
    <m/>
  </r>
  <r>
    <x v="835"/>
    <s v="ELECTRICAL"/>
    <x v="85"/>
    <x v="0"/>
    <x v="821"/>
    <x v="834"/>
    <s v="H1"/>
    <x v="0"/>
    <m/>
    <m/>
    <m/>
    <m/>
    <x v="0"/>
    <m/>
    <m/>
    <m/>
    <n v="0"/>
    <m/>
  </r>
  <r>
    <x v="836"/>
    <s v="ELECTRICAL"/>
    <x v="85"/>
    <x v="0"/>
    <x v="822"/>
    <x v="835"/>
    <s v="H1"/>
    <x v="0"/>
    <m/>
    <m/>
    <m/>
    <m/>
    <x v="0"/>
    <m/>
    <m/>
    <m/>
    <n v="0"/>
    <m/>
  </r>
  <r>
    <x v="837"/>
    <s v="ROLLERS"/>
    <x v="51"/>
    <x v="0"/>
    <x v="823"/>
    <x v="836"/>
    <s v="H1"/>
    <x v="0"/>
    <m/>
    <m/>
    <m/>
    <m/>
    <x v="0"/>
    <m/>
    <m/>
    <m/>
    <n v="0"/>
    <m/>
  </r>
  <r>
    <x v="838"/>
    <s v="MECHANICAL"/>
    <x v="46"/>
    <x v="0"/>
    <x v="824"/>
    <x v="837"/>
    <s v="H1"/>
    <x v="0"/>
    <m/>
    <m/>
    <m/>
    <m/>
    <x v="0"/>
    <m/>
    <m/>
    <m/>
    <n v="0"/>
    <m/>
  </r>
  <r>
    <x v="839"/>
    <s v="BELTS"/>
    <x v="73"/>
    <x v="0"/>
    <x v="825"/>
    <x v="838"/>
    <s v="H1"/>
    <x v="0"/>
    <m/>
    <m/>
    <m/>
    <m/>
    <x v="0"/>
    <m/>
    <m/>
    <m/>
    <n v="0"/>
    <m/>
  </r>
  <r>
    <x v="840"/>
    <s v="PRODUCTION SUPPLY"/>
    <x v="46"/>
    <x v="0"/>
    <x v="826"/>
    <x v="839"/>
    <s v="H1"/>
    <x v="0"/>
    <m/>
    <m/>
    <m/>
    <m/>
    <x v="0"/>
    <m/>
    <m/>
    <m/>
    <n v="0"/>
    <m/>
  </r>
  <r>
    <x v="841"/>
    <s v="ELECTRICAL"/>
    <x v="61"/>
    <x v="0"/>
    <x v="827"/>
    <x v="840"/>
    <s v="H1"/>
    <x v="0"/>
    <m/>
    <m/>
    <m/>
    <m/>
    <x v="0"/>
    <m/>
    <m/>
    <m/>
    <n v="0"/>
    <m/>
  </r>
  <r>
    <x v="842"/>
    <s v="MECHANICAL"/>
    <x v="21"/>
    <x v="0"/>
    <x v="828"/>
    <x v="841"/>
    <s v="H1"/>
    <x v="0"/>
    <m/>
    <m/>
    <m/>
    <m/>
    <x v="0"/>
    <m/>
    <m/>
    <m/>
    <n v="0"/>
    <m/>
  </r>
  <r>
    <x v="843"/>
    <s v="MECHANICAL"/>
    <x v="21"/>
    <x v="0"/>
    <x v="829"/>
    <x v="842"/>
    <s v="H1"/>
    <x v="0"/>
    <m/>
    <m/>
    <m/>
    <m/>
    <x v="0"/>
    <m/>
    <m/>
    <m/>
    <n v="0"/>
    <m/>
  </r>
  <r>
    <x v="844"/>
    <s v="ELECTRICAL"/>
    <x v="52"/>
    <x v="0"/>
    <x v="830"/>
    <x v="843"/>
    <s v="H1"/>
    <x v="0"/>
    <m/>
    <m/>
    <m/>
    <m/>
    <x v="0"/>
    <m/>
    <m/>
    <m/>
    <n v="0"/>
    <m/>
  </r>
  <r>
    <x v="845"/>
    <s v="MECHANICAL"/>
    <x v="103"/>
    <x v="0"/>
    <x v="831"/>
    <x v="844"/>
    <s v="H1"/>
    <x v="0"/>
    <m/>
    <m/>
    <m/>
    <m/>
    <x v="0"/>
    <m/>
    <m/>
    <m/>
    <n v="0"/>
    <m/>
  </r>
  <r>
    <x v="846"/>
    <s v="MECHANICAL"/>
    <x v="21"/>
    <x v="0"/>
    <x v="829"/>
    <x v="845"/>
    <s v="H1"/>
    <x v="0"/>
    <m/>
    <m/>
    <m/>
    <m/>
    <x v="0"/>
    <m/>
    <m/>
    <m/>
    <n v="0"/>
    <m/>
  </r>
  <r>
    <x v="847"/>
    <s v="MECHANICAL"/>
    <x v="21"/>
    <x v="0"/>
    <x v="832"/>
    <x v="846"/>
    <s v="H1"/>
    <x v="0"/>
    <m/>
    <m/>
    <m/>
    <m/>
    <x v="0"/>
    <m/>
    <m/>
    <m/>
    <n v="0"/>
    <m/>
  </r>
  <r>
    <x v="848"/>
    <s v="PRODUCTION SUPPLY"/>
    <x v="46"/>
    <x v="0"/>
    <x v="833"/>
    <x v="847"/>
    <s v="H1"/>
    <x v="0"/>
    <m/>
    <m/>
    <m/>
    <m/>
    <x v="0"/>
    <m/>
    <m/>
    <m/>
    <n v="0"/>
    <m/>
  </r>
  <r>
    <x v="849"/>
    <s v="PNEUMATIC"/>
    <x v="114"/>
    <x v="0"/>
    <x v="834"/>
    <x v="848"/>
    <s v="H1"/>
    <x v="0"/>
    <m/>
    <m/>
    <m/>
    <m/>
    <x v="0"/>
    <m/>
    <m/>
    <m/>
    <n v="0"/>
    <m/>
  </r>
  <r>
    <x v="850"/>
    <s v="ROLLERS"/>
    <x v="118"/>
    <x v="0"/>
    <x v="835"/>
    <x v="849"/>
    <s v="H2"/>
    <x v="0"/>
    <m/>
    <m/>
    <m/>
    <m/>
    <x v="0"/>
    <m/>
    <m/>
    <m/>
    <n v="0"/>
    <m/>
  </r>
  <r>
    <x v="851"/>
    <s v="ROLLERS"/>
    <x v="118"/>
    <x v="0"/>
    <x v="836"/>
    <x v="850"/>
    <s v="H2"/>
    <x v="0"/>
    <m/>
    <m/>
    <m/>
    <m/>
    <x v="0"/>
    <m/>
    <m/>
    <m/>
    <n v="0"/>
    <m/>
  </r>
  <r>
    <x v="852"/>
    <s v="ROLLERS"/>
    <x v="118"/>
    <x v="0"/>
    <x v="837"/>
    <x v="851"/>
    <s v="H2"/>
    <x v="0"/>
    <m/>
    <m/>
    <m/>
    <m/>
    <x v="0"/>
    <m/>
    <m/>
    <m/>
    <n v="0"/>
    <m/>
  </r>
  <r>
    <x v="853"/>
    <s v="ROLLERS"/>
    <x v="118"/>
    <x v="0"/>
    <x v="838"/>
    <x v="852"/>
    <s v="H2"/>
    <x v="0"/>
    <m/>
    <m/>
    <m/>
    <m/>
    <x v="0"/>
    <m/>
    <m/>
    <m/>
    <n v="0"/>
    <m/>
  </r>
  <r>
    <x v="854"/>
    <s v="ROLLERS"/>
    <x v="118"/>
    <x v="0"/>
    <x v="839"/>
    <x v="853"/>
    <s v="H2"/>
    <x v="0"/>
    <m/>
    <m/>
    <m/>
    <m/>
    <x v="0"/>
    <m/>
    <m/>
    <m/>
    <n v="0"/>
    <m/>
  </r>
  <r>
    <x v="855"/>
    <s v="ROLLERS"/>
    <x v="118"/>
    <x v="0"/>
    <x v="840"/>
    <x v="854"/>
    <s v="H2"/>
    <x v="0"/>
    <m/>
    <m/>
    <m/>
    <m/>
    <x v="0"/>
    <m/>
    <m/>
    <m/>
    <n v="0"/>
    <m/>
  </r>
  <r>
    <x v="856"/>
    <s v="ELECTRICAL"/>
    <x v="52"/>
    <x v="0"/>
    <x v="841"/>
    <x v="855"/>
    <s v="H2"/>
    <x v="0"/>
    <m/>
    <m/>
    <m/>
    <m/>
    <x v="0"/>
    <m/>
    <m/>
    <m/>
    <n v="0"/>
    <m/>
  </r>
  <r>
    <x v="857"/>
    <s v="ROLLERS"/>
    <x v="118"/>
    <x v="0"/>
    <x v="842"/>
    <x v="856"/>
    <s v="H2"/>
    <x v="0"/>
    <m/>
    <m/>
    <m/>
    <m/>
    <x v="0"/>
    <m/>
    <m/>
    <m/>
    <n v="0"/>
    <m/>
  </r>
  <r>
    <x v="858"/>
    <s v="ROLLERS"/>
    <x v="118"/>
    <x v="0"/>
    <x v="843"/>
    <x v="857"/>
    <s v="H2"/>
    <x v="0"/>
    <m/>
    <m/>
    <m/>
    <m/>
    <x v="0"/>
    <m/>
    <m/>
    <m/>
    <n v="0"/>
    <m/>
  </r>
  <r>
    <x v="859"/>
    <s v="ROLLERS"/>
    <x v="118"/>
    <x v="0"/>
    <x v="844"/>
    <x v="858"/>
    <s v="H2"/>
    <x v="0"/>
    <m/>
    <m/>
    <m/>
    <m/>
    <x v="0"/>
    <m/>
    <m/>
    <m/>
    <n v="0"/>
    <m/>
  </r>
  <r>
    <x v="860"/>
    <s v="ROLLERS"/>
    <x v="118"/>
    <x v="0"/>
    <x v="845"/>
    <x v="859"/>
    <s v="H2"/>
    <x v="0"/>
    <m/>
    <m/>
    <m/>
    <m/>
    <x v="0"/>
    <m/>
    <m/>
    <m/>
    <n v="0"/>
    <m/>
  </r>
  <r>
    <x v="861"/>
    <s v="ROLLERS"/>
    <x v="118"/>
    <x v="0"/>
    <x v="846"/>
    <x v="860"/>
    <s v="H2"/>
    <x v="0"/>
    <m/>
    <m/>
    <m/>
    <m/>
    <x v="0"/>
    <m/>
    <m/>
    <m/>
    <n v="0"/>
    <m/>
  </r>
  <r>
    <x v="862"/>
    <s v="ROLLERS"/>
    <x v="118"/>
    <x v="0"/>
    <x v="847"/>
    <x v="861"/>
    <s v="H2"/>
    <x v="0"/>
    <m/>
    <m/>
    <m/>
    <m/>
    <x v="0"/>
    <m/>
    <m/>
    <m/>
    <n v="0"/>
    <m/>
  </r>
  <r>
    <x v="863"/>
    <s v="ELECTRICAL"/>
    <x v="52"/>
    <x v="0"/>
    <x v="848"/>
    <x v="862"/>
    <s v="H2"/>
    <x v="0"/>
    <m/>
    <m/>
    <m/>
    <m/>
    <x v="0"/>
    <m/>
    <m/>
    <m/>
    <n v="0"/>
    <m/>
  </r>
  <r>
    <x v="864"/>
    <s v="ROLLERS"/>
    <x v="118"/>
    <x v="0"/>
    <x v="849"/>
    <x v="863"/>
    <s v="H2"/>
    <x v="0"/>
    <m/>
    <m/>
    <m/>
    <m/>
    <x v="0"/>
    <m/>
    <m/>
    <m/>
    <n v="0"/>
    <m/>
  </r>
  <r>
    <x v="865"/>
    <s v="ROLLERS"/>
    <x v="118"/>
    <x v="0"/>
    <x v="850"/>
    <x v="864"/>
    <s v="H2"/>
    <x v="0"/>
    <m/>
    <m/>
    <m/>
    <m/>
    <x v="0"/>
    <m/>
    <m/>
    <m/>
    <n v="0"/>
    <m/>
  </r>
  <r>
    <x v="866"/>
    <s v="ROLLERS"/>
    <x v="18"/>
    <x v="0"/>
    <x v="851"/>
    <x v="865"/>
    <s v="H3"/>
    <x v="0"/>
    <m/>
    <m/>
    <m/>
    <m/>
    <x v="0"/>
    <m/>
    <m/>
    <m/>
    <n v="0"/>
    <m/>
  </r>
  <r>
    <x v="867"/>
    <s v="ROLLERS"/>
    <x v="18"/>
    <x v="0"/>
    <x v="852"/>
    <x v="866"/>
    <s v="H3"/>
    <x v="0"/>
    <m/>
    <m/>
    <m/>
    <m/>
    <x v="0"/>
    <m/>
    <m/>
    <m/>
    <n v="0"/>
    <m/>
  </r>
  <r>
    <x v="868"/>
    <s v="ROLLERS"/>
    <x v="18"/>
    <x v="0"/>
    <x v="853"/>
    <x v="867"/>
    <s v="H3"/>
    <x v="0"/>
    <m/>
    <m/>
    <m/>
    <m/>
    <x v="0"/>
    <m/>
    <m/>
    <m/>
    <n v="0"/>
    <m/>
  </r>
  <r>
    <x v="869"/>
    <s v="ROLLERS"/>
    <x v="18"/>
    <x v="0"/>
    <x v="854"/>
    <x v="868"/>
    <s v="H3"/>
    <x v="0"/>
    <m/>
    <m/>
    <m/>
    <m/>
    <x v="0"/>
    <m/>
    <m/>
    <m/>
    <n v="0"/>
    <m/>
  </r>
  <r>
    <x v="870"/>
    <s v="ELECTRICAL"/>
    <x v="63"/>
    <x v="0"/>
    <x v="855"/>
    <x v="869"/>
    <s v="H3"/>
    <x v="0"/>
    <m/>
    <m/>
    <m/>
    <m/>
    <x v="0"/>
    <m/>
    <m/>
    <m/>
    <n v="0"/>
    <m/>
  </r>
  <r>
    <x v="871"/>
    <s v="ROLLERS"/>
    <x v="18"/>
    <x v="0"/>
    <x v="636"/>
    <x v="870"/>
    <s v="H3"/>
    <x v="0"/>
    <m/>
    <m/>
    <m/>
    <m/>
    <x v="0"/>
    <m/>
    <m/>
    <m/>
    <n v="0"/>
    <m/>
  </r>
  <r>
    <x v="872"/>
    <s v="ROLLERS"/>
    <x v="18"/>
    <x v="0"/>
    <x v="856"/>
    <x v="871"/>
    <s v="H3"/>
    <x v="0"/>
    <m/>
    <m/>
    <m/>
    <m/>
    <x v="0"/>
    <m/>
    <m/>
    <m/>
    <n v="0"/>
    <m/>
  </r>
  <r>
    <x v="873"/>
    <s v="KNIVES"/>
    <x v="113"/>
    <x v="0"/>
    <x v="857"/>
    <x v="872"/>
    <s v="H3"/>
    <x v="0"/>
    <m/>
    <m/>
    <m/>
    <m/>
    <x v="0"/>
    <m/>
    <m/>
    <m/>
    <n v="0"/>
    <m/>
  </r>
  <r>
    <x v="874"/>
    <s v="ROLLERS"/>
    <x v="12"/>
    <x v="0"/>
    <x v="858"/>
    <x v="873"/>
    <s v="H3"/>
    <x v="0"/>
    <m/>
    <m/>
    <m/>
    <m/>
    <x v="0"/>
    <m/>
    <m/>
    <m/>
    <n v="0"/>
    <m/>
  </r>
  <r>
    <x v="875"/>
    <s v="ROLLERS"/>
    <x v="18"/>
    <x v="0"/>
    <x v="859"/>
    <x v="874"/>
    <s v="H3"/>
    <x v="0"/>
    <m/>
    <m/>
    <m/>
    <m/>
    <x v="0"/>
    <m/>
    <m/>
    <m/>
    <n v="0"/>
    <m/>
  </r>
  <r>
    <x v="876"/>
    <s v="ROLLERS"/>
    <x v="18"/>
    <x v="0"/>
    <x v="860"/>
    <x v="875"/>
    <s v="H3"/>
    <x v="0"/>
    <m/>
    <m/>
    <m/>
    <m/>
    <x v="0"/>
    <m/>
    <m/>
    <m/>
    <n v="0"/>
    <m/>
  </r>
  <r>
    <x v="877"/>
    <s v="ROLLERS"/>
    <x v="18"/>
    <x v="0"/>
    <x v="861"/>
    <x v="876"/>
    <s v="H3"/>
    <x v="0"/>
    <m/>
    <m/>
    <m/>
    <m/>
    <x v="0"/>
    <m/>
    <m/>
    <m/>
    <n v="0"/>
    <m/>
  </r>
  <r>
    <x v="878"/>
    <s v="ROLLERS"/>
    <x v="18"/>
    <x v="0"/>
    <x v="862"/>
    <x v="877"/>
    <s v="H3"/>
    <x v="0"/>
    <m/>
    <m/>
    <m/>
    <m/>
    <x v="0"/>
    <m/>
    <m/>
    <m/>
    <n v="0"/>
    <m/>
  </r>
  <r>
    <x v="879"/>
    <s v="ROLLERS"/>
    <x v="18"/>
    <x v="0"/>
    <x v="863"/>
    <x v="878"/>
    <s v="H3"/>
    <x v="0"/>
    <m/>
    <m/>
    <m/>
    <m/>
    <x v="0"/>
    <m/>
    <m/>
    <m/>
    <n v="0"/>
    <m/>
  </r>
  <r>
    <x v="880"/>
    <s v="MECHANICAL"/>
    <x v="20"/>
    <x v="0"/>
    <x v="864"/>
    <x v="879"/>
    <s v="H3"/>
    <x v="0"/>
    <m/>
    <m/>
    <m/>
    <m/>
    <x v="0"/>
    <m/>
    <m/>
    <m/>
    <n v="0"/>
    <m/>
  </r>
  <r>
    <x v="881"/>
    <s v="MECHANICAL"/>
    <x v="35"/>
    <x v="0"/>
    <x v="865"/>
    <x v="880"/>
    <s v="H3"/>
    <x v="0"/>
    <m/>
    <m/>
    <m/>
    <m/>
    <x v="0"/>
    <m/>
    <m/>
    <m/>
    <n v="0"/>
    <m/>
  </r>
  <r>
    <x v="882"/>
    <s v="MECHANICAL"/>
    <x v="21"/>
    <x v="0"/>
    <x v="866"/>
    <x v="881"/>
    <s v="H3"/>
    <x v="0"/>
    <m/>
    <m/>
    <m/>
    <m/>
    <x v="0"/>
    <m/>
    <m/>
    <m/>
    <n v="0"/>
    <m/>
  </r>
  <r>
    <x v="883"/>
    <s v="ROLLERS"/>
    <x v="12"/>
    <x v="0"/>
    <x v="867"/>
    <x v="882"/>
    <s v="H3"/>
    <x v="0"/>
    <m/>
    <m/>
    <m/>
    <m/>
    <x v="0"/>
    <m/>
    <m/>
    <m/>
    <n v="0"/>
    <m/>
  </r>
  <r>
    <x v="884"/>
    <s v="ROLLERS"/>
    <x v="51"/>
    <x v="0"/>
    <x v="868"/>
    <x v="883"/>
    <s v="H3"/>
    <x v="0"/>
    <m/>
    <m/>
    <m/>
    <m/>
    <x v="0"/>
    <m/>
    <m/>
    <m/>
    <n v="0"/>
    <m/>
  </r>
  <r>
    <x v="885"/>
    <s v="MECHANICAL"/>
    <x v="35"/>
    <x v="0"/>
    <x v="869"/>
    <x v="884"/>
    <s v="H3"/>
    <x v="0"/>
    <m/>
    <m/>
    <m/>
    <m/>
    <x v="0"/>
    <m/>
    <m/>
    <m/>
    <n v="0"/>
    <m/>
  </r>
  <r>
    <x v="886"/>
    <s v="KNIVES"/>
    <x v="113"/>
    <x v="0"/>
    <x v="870"/>
    <x v="885"/>
    <s v="H3"/>
    <x v="0"/>
    <m/>
    <m/>
    <m/>
    <m/>
    <x v="0"/>
    <m/>
    <m/>
    <m/>
    <n v="0"/>
    <m/>
  </r>
  <r>
    <x v="887"/>
    <s v="KNIVES"/>
    <x v="113"/>
    <x v="0"/>
    <x v="871"/>
    <x v="886"/>
    <s v="H3"/>
    <x v="0"/>
    <m/>
    <m/>
    <m/>
    <m/>
    <x v="0"/>
    <m/>
    <m/>
    <m/>
    <n v="0"/>
    <m/>
  </r>
  <r>
    <x v="888"/>
    <s v="KNIVES"/>
    <x v="113"/>
    <x v="0"/>
    <x v="872"/>
    <x v="887"/>
    <s v="H3"/>
    <x v="0"/>
    <m/>
    <m/>
    <m/>
    <m/>
    <x v="0"/>
    <m/>
    <m/>
    <m/>
    <n v="0"/>
    <m/>
  </r>
  <r>
    <x v="889"/>
    <s v="KNIVES"/>
    <x v="113"/>
    <x v="0"/>
    <x v="873"/>
    <x v="888"/>
    <s v="H4"/>
    <x v="0"/>
    <m/>
    <m/>
    <m/>
    <m/>
    <x v="0"/>
    <m/>
    <m/>
    <m/>
    <n v="0"/>
    <m/>
  </r>
  <r>
    <x v="890"/>
    <s v="BELTS"/>
    <x v="72"/>
    <x v="0"/>
    <x v="874"/>
    <x v="889"/>
    <s v="H4"/>
    <x v="0"/>
    <m/>
    <m/>
    <m/>
    <m/>
    <x v="0"/>
    <m/>
    <m/>
    <m/>
    <n v="0"/>
    <m/>
  </r>
  <r>
    <x v="891"/>
    <s v="BELTS"/>
    <x v="72"/>
    <x v="0"/>
    <x v="875"/>
    <x v="890"/>
    <s v="H4"/>
    <x v="0"/>
    <m/>
    <m/>
    <m/>
    <m/>
    <x v="0"/>
    <m/>
    <m/>
    <m/>
    <n v="0"/>
    <m/>
  </r>
  <r>
    <x v="892"/>
    <s v="BELTS"/>
    <x v="72"/>
    <x v="0"/>
    <x v="876"/>
    <x v="891"/>
    <s v="H4"/>
    <x v="0"/>
    <m/>
    <m/>
    <m/>
    <m/>
    <x v="0"/>
    <m/>
    <m/>
    <m/>
    <n v="0"/>
    <m/>
  </r>
  <r>
    <x v="893"/>
    <s v="BELTS"/>
    <x v="72"/>
    <x v="0"/>
    <x v="877"/>
    <x v="892"/>
    <s v="H4"/>
    <x v="0"/>
    <m/>
    <m/>
    <m/>
    <m/>
    <x v="0"/>
    <m/>
    <m/>
    <m/>
    <n v="0"/>
    <m/>
  </r>
  <r>
    <x v="894"/>
    <s v="BELTS"/>
    <x v="72"/>
    <x v="0"/>
    <x v="878"/>
    <x v="893"/>
    <s v="H4"/>
    <x v="0"/>
    <m/>
    <m/>
    <m/>
    <m/>
    <x v="0"/>
    <m/>
    <m/>
    <m/>
    <n v="0"/>
    <m/>
  </r>
  <r>
    <x v="895"/>
    <s v="BELTS"/>
    <x v="17"/>
    <x v="0"/>
    <x v="879"/>
    <x v="894"/>
    <s v="H4"/>
    <x v="0"/>
    <m/>
    <m/>
    <m/>
    <m/>
    <x v="0"/>
    <m/>
    <m/>
    <m/>
    <n v="0"/>
    <m/>
  </r>
  <r>
    <x v="896"/>
    <s v="BELTS"/>
    <x v="73"/>
    <x v="0"/>
    <x v="880"/>
    <x v="895"/>
    <s v="H4"/>
    <x v="0"/>
    <m/>
    <m/>
    <m/>
    <m/>
    <x v="0"/>
    <m/>
    <m/>
    <m/>
    <n v="0"/>
    <m/>
  </r>
  <r>
    <x v="897"/>
    <s v="BELTS"/>
    <x v="72"/>
    <x v="0"/>
    <x v="881"/>
    <x v="896"/>
    <s v="H4"/>
    <x v="0"/>
    <m/>
    <m/>
    <m/>
    <m/>
    <x v="0"/>
    <m/>
    <m/>
    <m/>
    <n v="0"/>
    <m/>
  </r>
  <r>
    <x v="898"/>
    <s v="BELTS"/>
    <x v="72"/>
    <x v="0"/>
    <x v="882"/>
    <x v="897"/>
    <s v="H4"/>
    <x v="0"/>
    <m/>
    <m/>
    <m/>
    <m/>
    <x v="0"/>
    <m/>
    <m/>
    <m/>
    <n v="0"/>
    <m/>
  </r>
  <r>
    <x v="899"/>
    <s v="BELTS"/>
    <x v="17"/>
    <x v="0"/>
    <x v="883"/>
    <x v="898"/>
    <s v="H4"/>
    <x v="0"/>
    <m/>
    <m/>
    <m/>
    <m/>
    <x v="0"/>
    <m/>
    <m/>
    <m/>
    <n v="0"/>
    <m/>
  </r>
  <r>
    <x v="900"/>
    <s v="BELTS"/>
    <x v="72"/>
    <x v="0"/>
    <x v="884"/>
    <x v="899"/>
    <s v="H4"/>
    <x v="0"/>
    <m/>
    <m/>
    <m/>
    <m/>
    <x v="0"/>
    <m/>
    <m/>
    <m/>
    <n v="0"/>
    <m/>
  </r>
  <r>
    <x v="901"/>
    <s v="BELTS"/>
    <x v="72"/>
    <x v="0"/>
    <x v="498"/>
    <x v="900"/>
    <s v="H4"/>
    <x v="0"/>
    <m/>
    <m/>
    <m/>
    <m/>
    <x v="0"/>
    <m/>
    <m/>
    <m/>
    <n v="0"/>
    <m/>
  </r>
  <r>
    <x v="902"/>
    <s v="BELTS"/>
    <x v="73"/>
    <x v="0"/>
    <x v="885"/>
    <x v="901"/>
    <s v="H4"/>
    <x v="0"/>
    <m/>
    <m/>
    <m/>
    <m/>
    <x v="0"/>
    <m/>
    <m/>
    <m/>
    <n v="0"/>
    <m/>
  </r>
  <r>
    <x v="903"/>
    <s v="BELTS"/>
    <x v="72"/>
    <x v="0"/>
    <x v="886"/>
    <x v="902"/>
    <s v="H4"/>
    <x v="0"/>
    <m/>
    <m/>
    <m/>
    <m/>
    <x v="0"/>
    <m/>
    <m/>
    <m/>
    <n v="0"/>
    <m/>
  </r>
  <r>
    <x v="904"/>
    <s v="BELTS"/>
    <x v="17"/>
    <x v="0"/>
    <x v="887"/>
    <x v="903"/>
    <s v="H4"/>
    <x v="0"/>
    <m/>
    <m/>
    <m/>
    <m/>
    <x v="0"/>
    <m/>
    <m/>
    <m/>
    <n v="0"/>
    <m/>
  </r>
  <r>
    <x v="905"/>
    <s v="BELTS"/>
    <x v="72"/>
    <x v="0"/>
    <x v="888"/>
    <x v="904"/>
    <s v="H4"/>
    <x v="0"/>
    <m/>
    <m/>
    <m/>
    <m/>
    <x v="0"/>
    <m/>
    <m/>
    <m/>
    <n v="0"/>
    <m/>
  </r>
  <r>
    <x v="906"/>
    <s v="BELTS"/>
    <x v="72"/>
    <x v="0"/>
    <x v="889"/>
    <x v="905"/>
    <s v="H4"/>
    <x v="0"/>
    <m/>
    <m/>
    <m/>
    <m/>
    <x v="0"/>
    <m/>
    <m/>
    <m/>
    <n v="0"/>
    <m/>
  </r>
  <r>
    <x v="907"/>
    <s v="BELTS"/>
    <x v="72"/>
    <x v="0"/>
    <x v="890"/>
    <x v="906"/>
    <s v="H4"/>
    <x v="0"/>
    <m/>
    <m/>
    <m/>
    <m/>
    <x v="0"/>
    <m/>
    <m/>
    <m/>
    <n v="0"/>
    <m/>
  </r>
  <r>
    <x v="908"/>
    <s v="BELTS"/>
    <x v="72"/>
    <x v="0"/>
    <x v="891"/>
    <x v="907"/>
    <s v="H4"/>
    <x v="0"/>
    <m/>
    <m/>
    <m/>
    <m/>
    <x v="0"/>
    <m/>
    <m/>
    <m/>
    <n v="0"/>
    <m/>
  </r>
  <r>
    <x v="909"/>
    <s v="BELTS"/>
    <x v="17"/>
    <x v="0"/>
    <x v="892"/>
    <x v="908"/>
    <s v="H4"/>
    <x v="0"/>
    <m/>
    <m/>
    <m/>
    <m/>
    <x v="0"/>
    <m/>
    <m/>
    <m/>
    <n v="0"/>
    <m/>
  </r>
  <r>
    <x v="910"/>
    <s v="BELTS"/>
    <x v="72"/>
    <x v="0"/>
    <x v="893"/>
    <x v="909"/>
    <s v="H4"/>
    <x v="0"/>
    <m/>
    <m/>
    <m/>
    <m/>
    <x v="0"/>
    <m/>
    <m/>
    <m/>
    <n v="0"/>
    <m/>
  </r>
  <r>
    <x v="911"/>
    <s v="BELTS"/>
    <x v="72"/>
    <x v="0"/>
    <x v="894"/>
    <x v="910"/>
    <s v="H4"/>
    <x v="0"/>
    <m/>
    <m/>
    <m/>
    <m/>
    <x v="0"/>
    <m/>
    <m/>
    <m/>
    <n v="0"/>
    <m/>
  </r>
  <r>
    <x v="912"/>
    <s v="BELTS"/>
    <x v="72"/>
    <x v="0"/>
    <x v="895"/>
    <x v="911"/>
    <s v="H4"/>
    <x v="0"/>
    <m/>
    <m/>
    <m/>
    <m/>
    <x v="0"/>
    <m/>
    <m/>
    <m/>
    <n v="0"/>
    <m/>
  </r>
  <r>
    <x v="913"/>
    <s v="BELTS"/>
    <x v="72"/>
    <x v="0"/>
    <x v="896"/>
    <x v="912"/>
    <s v="H4"/>
    <x v="0"/>
    <m/>
    <m/>
    <m/>
    <m/>
    <x v="0"/>
    <m/>
    <m/>
    <m/>
    <n v="0"/>
    <m/>
  </r>
  <r>
    <x v="914"/>
    <s v="MECHANICAL"/>
    <x v="35"/>
    <x v="0"/>
    <x v="897"/>
    <x v="913"/>
    <s v="H4"/>
    <x v="0"/>
    <m/>
    <m/>
    <m/>
    <m/>
    <x v="0"/>
    <m/>
    <m/>
    <m/>
    <n v="0"/>
    <m/>
  </r>
  <r>
    <x v="915"/>
    <s v="BELTS"/>
    <x v="72"/>
    <x v="0"/>
    <x v="898"/>
    <x v="914"/>
    <s v="H4"/>
    <x v="0"/>
    <m/>
    <m/>
    <m/>
    <m/>
    <x v="0"/>
    <m/>
    <m/>
    <m/>
    <n v="0"/>
    <m/>
  </r>
  <r>
    <x v="916"/>
    <s v="BELTS"/>
    <x v="72"/>
    <x v="0"/>
    <x v="899"/>
    <x v="915"/>
    <s v="H4"/>
    <x v="0"/>
    <m/>
    <m/>
    <m/>
    <m/>
    <x v="0"/>
    <m/>
    <m/>
    <m/>
    <n v="0"/>
    <m/>
  </r>
  <r>
    <x v="917"/>
    <s v="BELTS"/>
    <x v="17"/>
    <x v="0"/>
    <x v="900"/>
    <x v="916"/>
    <s v="H4"/>
    <x v="0"/>
    <m/>
    <m/>
    <m/>
    <m/>
    <x v="0"/>
    <m/>
    <m/>
    <m/>
    <n v="0"/>
    <m/>
  </r>
  <r>
    <x v="918"/>
    <s v="BELTS"/>
    <x v="72"/>
    <x v="0"/>
    <x v="901"/>
    <x v="917"/>
    <s v="H4"/>
    <x v="0"/>
    <m/>
    <m/>
    <m/>
    <m/>
    <x v="0"/>
    <m/>
    <m/>
    <m/>
    <n v="0"/>
    <m/>
  </r>
  <r>
    <x v="919"/>
    <s v="BELTS"/>
    <x v="72"/>
    <x v="0"/>
    <x v="902"/>
    <x v="918"/>
    <s v="H4"/>
    <x v="0"/>
    <m/>
    <m/>
    <m/>
    <m/>
    <x v="0"/>
    <m/>
    <m/>
    <m/>
    <n v="0"/>
    <m/>
  </r>
  <r>
    <x v="920"/>
    <s v="BELTS"/>
    <x v="72"/>
    <x v="0"/>
    <x v="903"/>
    <x v="919"/>
    <s v="H4"/>
    <x v="0"/>
    <m/>
    <m/>
    <m/>
    <m/>
    <x v="0"/>
    <m/>
    <m/>
    <m/>
    <n v="0"/>
    <m/>
  </r>
  <r>
    <x v="921"/>
    <s v="BELTS"/>
    <x v="72"/>
    <x v="0"/>
    <x v="904"/>
    <x v="920"/>
    <s v="H4"/>
    <x v="0"/>
    <m/>
    <m/>
    <m/>
    <m/>
    <x v="0"/>
    <m/>
    <m/>
    <m/>
    <n v="0"/>
    <m/>
  </r>
  <r>
    <x v="922"/>
    <s v="BELTS"/>
    <x v="72"/>
    <x v="0"/>
    <x v="905"/>
    <x v="921"/>
    <s v="H4"/>
    <x v="0"/>
    <m/>
    <m/>
    <m/>
    <m/>
    <x v="0"/>
    <m/>
    <m/>
    <m/>
    <n v="0"/>
    <m/>
  </r>
  <r>
    <x v="923"/>
    <s v="BELTS"/>
    <x v="72"/>
    <x v="0"/>
    <x v="906"/>
    <x v="922"/>
    <s v="H4"/>
    <x v="0"/>
    <m/>
    <m/>
    <m/>
    <m/>
    <x v="0"/>
    <m/>
    <m/>
    <m/>
    <n v="0"/>
    <m/>
  </r>
  <r>
    <x v="924"/>
    <s v="MECHANICAL"/>
    <x v="20"/>
    <x v="0"/>
    <x v="907"/>
    <x v="923"/>
    <s v="H5"/>
    <x v="0"/>
    <m/>
    <m/>
    <m/>
    <m/>
    <x v="0"/>
    <m/>
    <m/>
    <m/>
    <n v="0"/>
    <m/>
  </r>
  <r>
    <x v="925"/>
    <s v="ROLLERS"/>
    <x v="12"/>
    <x v="0"/>
    <x v="908"/>
    <x v="924"/>
    <s v="H5"/>
    <x v="0"/>
    <m/>
    <m/>
    <m/>
    <m/>
    <x v="0"/>
    <m/>
    <m/>
    <m/>
    <n v="0"/>
    <m/>
  </r>
  <r>
    <x v="926"/>
    <s v="BELTS"/>
    <x v="72"/>
    <x v="0"/>
    <x v="909"/>
    <x v="925"/>
    <s v="H5"/>
    <x v="0"/>
    <m/>
    <m/>
    <m/>
    <m/>
    <x v="0"/>
    <m/>
    <m/>
    <m/>
    <n v="0"/>
    <m/>
  </r>
  <r>
    <x v="927"/>
    <s v="ROLLERS"/>
    <x v="118"/>
    <x v="0"/>
    <x v="910"/>
    <x v="926"/>
    <s v="H5"/>
    <x v="0"/>
    <m/>
    <m/>
    <m/>
    <m/>
    <x v="0"/>
    <m/>
    <m/>
    <m/>
    <n v="0"/>
    <m/>
  </r>
  <r>
    <x v="928"/>
    <s v="ROLLERS"/>
    <x v="12"/>
    <x v="0"/>
    <x v="911"/>
    <x v="927"/>
    <s v="H5"/>
    <x v="0"/>
    <m/>
    <m/>
    <m/>
    <m/>
    <x v="0"/>
    <m/>
    <m/>
    <m/>
    <n v="0"/>
    <m/>
  </r>
  <r>
    <x v="929"/>
    <s v="FASTENERS"/>
    <x v="119"/>
    <x v="0"/>
    <x v="912"/>
    <x v="928"/>
    <s v="H5"/>
    <x v="0"/>
    <m/>
    <m/>
    <m/>
    <m/>
    <x v="0"/>
    <m/>
    <m/>
    <m/>
    <n v="0"/>
    <m/>
  </r>
  <r>
    <x v="930"/>
    <s v="FASTENERS"/>
    <x v="119"/>
    <x v="0"/>
    <x v="912"/>
    <x v="929"/>
    <s v="H5"/>
    <x v="0"/>
    <m/>
    <m/>
    <m/>
    <m/>
    <x v="0"/>
    <m/>
    <m/>
    <m/>
    <n v="0"/>
    <m/>
  </r>
  <r>
    <x v="931"/>
    <s v="ROLLERS"/>
    <x v="12"/>
    <x v="0"/>
    <x v="913"/>
    <x v="930"/>
    <s v="H5"/>
    <x v="0"/>
    <m/>
    <m/>
    <m/>
    <m/>
    <x v="0"/>
    <m/>
    <m/>
    <m/>
    <n v="0"/>
    <m/>
  </r>
  <r>
    <x v="932"/>
    <s v="ROLLERS"/>
    <x v="18"/>
    <x v="0"/>
    <x v="914"/>
    <x v="931"/>
    <s v="H5"/>
    <x v="0"/>
    <m/>
    <m/>
    <m/>
    <m/>
    <x v="0"/>
    <m/>
    <m/>
    <m/>
    <n v="0"/>
    <m/>
  </r>
  <r>
    <x v="933"/>
    <s v="KNIVES"/>
    <x v="113"/>
    <x v="0"/>
    <x v="915"/>
    <x v="932"/>
    <s v="H5"/>
    <x v="0"/>
    <m/>
    <m/>
    <m/>
    <m/>
    <x v="0"/>
    <m/>
    <m/>
    <m/>
    <n v="0"/>
    <m/>
  </r>
  <r>
    <x v="934"/>
    <s v="BEARINGS"/>
    <x v="0"/>
    <x v="0"/>
    <x v="916"/>
    <x v="933"/>
    <s v="H5"/>
    <x v="0"/>
    <m/>
    <m/>
    <m/>
    <m/>
    <x v="0"/>
    <m/>
    <m/>
    <m/>
    <n v="0"/>
    <m/>
  </r>
  <r>
    <x v="935"/>
    <s v="MECHANICAL"/>
    <x v="21"/>
    <x v="0"/>
    <x v="917"/>
    <x v="934"/>
    <s v="H5"/>
    <x v="0"/>
    <m/>
    <m/>
    <m/>
    <m/>
    <x v="0"/>
    <m/>
    <m/>
    <m/>
    <n v="0"/>
    <m/>
  </r>
  <r>
    <x v="936"/>
    <s v="ROLLERS"/>
    <x v="118"/>
    <x v="0"/>
    <x v="918"/>
    <x v="935"/>
    <s v="H5"/>
    <x v="0"/>
    <m/>
    <m/>
    <m/>
    <m/>
    <x v="0"/>
    <m/>
    <m/>
    <m/>
    <n v="0"/>
    <m/>
  </r>
  <r>
    <x v="937"/>
    <s v="ROLLERS"/>
    <x v="118"/>
    <x v="0"/>
    <x v="919"/>
    <x v="936"/>
    <s v="H5"/>
    <x v="0"/>
    <m/>
    <m/>
    <m/>
    <m/>
    <x v="0"/>
    <m/>
    <m/>
    <m/>
    <n v="0"/>
    <m/>
  </r>
  <r>
    <x v="938"/>
    <s v="MECHANICAL"/>
    <x v="40"/>
    <x v="0"/>
    <x v="920"/>
    <x v="937"/>
    <s v="H5"/>
    <x v="0"/>
    <m/>
    <m/>
    <m/>
    <m/>
    <x v="0"/>
    <m/>
    <m/>
    <m/>
    <n v="0"/>
    <m/>
  </r>
  <r>
    <x v="939"/>
    <s v="MECHANICAL"/>
    <x v="40"/>
    <x v="0"/>
    <x v="921"/>
    <x v="938"/>
    <s v="H5"/>
    <x v="0"/>
    <m/>
    <m/>
    <m/>
    <m/>
    <x v="0"/>
    <m/>
    <m/>
    <m/>
    <n v="0"/>
    <m/>
  </r>
  <r>
    <x v="940"/>
    <s v="MECHANICAL"/>
    <x v="21"/>
    <x v="0"/>
    <x v="922"/>
    <x v="938"/>
    <s v="H5"/>
    <x v="0"/>
    <m/>
    <m/>
    <m/>
    <m/>
    <x v="0"/>
    <m/>
    <m/>
    <m/>
    <n v="0"/>
    <m/>
  </r>
  <r>
    <x v="941"/>
    <s v="BELTS"/>
    <x v="17"/>
    <x v="0"/>
    <x v="923"/>
    <x v="939"/>
    <s v="H5"/>
    <x v="0"/>
    <m/>
    <m/>
    <m/>
    <m/>
    <x v="0"/>
    <m/>
    <m/>
    <m/>
    <n v="0"/>
    <m/>
  </r>
  <r>
    <x v="942"/>
    <s v="ROLLERS"/>
    <x v="18"/>
    <x v="0"/>
    <x v="924"/>
    <x v="940"/>
    <s v="H5"/>
    <x v="0"/>
    <m/>
    <m/>
    <m/>
    <m/>
    <x v="0"/>
    <m/>
    <m/>
    <m/>
    <n v="0"/>
    <m/>
  </r>
  <r>
    <x v="943"/>
    <s v="ROLLERS"/>
    <x v="18"/>
    <x v="0"/>
    <x v="925"/>
    <x v="941"/>
    <s v="H5"/>
    <x v="0"/>
    <m/>
    <m/>
    <m/>
    <m/>
    <x v="0"/>
    <m/>
    <m/>
    <m/>
    <n v="0"/>
    <m/>
  </r>
  <r>
    <x v="944"/>
    <s v="ROLLERS"/>
    <x v="18"/>
    <x v="0"/>
    <x v="926"/>
    <x v="942"/>
    <s v="H5"/>
    <x v="0"/>
    <m/>
    <m/>
    <m/>
    <m/>
    <x v="0"/>
    <m/>
    <m/>
    <m/>
    <n v="0"/>
    <m/>
  </r>
  <r>
    <x v="945"/>
    <s v="MECHANICAL"/>
    <x v="24"/>
    <x v="0"/>
    <x v="927"/>
    <x v="943"/>
    <s v="H5"/>
    <x v="0"/>
    <m/>
    <m/>
    <m/>
    <m/>
    <x v="0"/>
    <m/>
    <m/>
    <m/>
    <n v="0"/>
    <m/>
  </r>
  <r>
    <x v="946"/>
    <s v="MECHANICAL"/>
    <x v="21"/>
    <x v="0"/>
    <x v="928"/>
    <x v="944"/>
    <s v="H5"/>
    <x v="0"/>
    <m/>
    <m/>
    <m/>
    <m/>
    <x v="0"/>
    <m/>
    <m/>
    <m/>
    <n v="0"/>
    <m/>
  </r>
  <r>
    <x v="947"/>
    <s v="MECHANICAL"/>
    <x v="21"/>
    <x v="0"/>
    <x v="929"/>
    <x v="945"/>
    <s v="H5"/>
    <x v="0"/>
    <m/>
    <m/>
    <m/>
    <m/>
    <x v="0"/>
    <m/>
    <m/>
    <m/>
    <n v="0"/>
    <m/>
  </r>
  <r>
    <x v="948"/>
    <s v="CHAINS"/>
    <x v="93"/>
    <x v="0"/>
    <x v="930"/>
    <x v="946"/>
    <s v="H5"/>
    <x v="0"/>
    <m/>
    <m/>
    <m/>
    <m/>
    <x v="0"/>
    <m/>
    <m/>
    <m/>
    <n v="0"/>
    <m/>
  </r>
  <r>
    <x v="949"/>
    <s v="BELTS"/>
    <x v="39"/>
    <x v="0"/>
    <x v="931"/>
    <x v="947"/>
    <s v="H5"/>
    <x v="0"/>
    <m/>
    <m/>
    <m/>
    <m/>
    <x v="0"/>
    <m/>
    <m/>
    <m/>
    <n v="0"/>
    <m/>
  </r>
  <r>
    <x v="950"/>
    <s v="MECHANICAL"/>
    <x v="35"/>
    <x v="0"/>
    <x v="932"/>
    <x v="948"/>
    <s v="H5"/>
    <x v="0"/>
    <m/>
    <m/>
    <m/>
    <m/>
    <x v="0"/>
    <m/>
    <m/>
    <m/>
    <n v="0"/>
    <m/>
  </r>
  <r>
    <x v="951"/>
    <s v="BELTS"/>
    <x v="17"/>
    <x v="0"/>
    <x v="933"/>
    <x v="949"/>
    <s v="H5"/>
    <x v="0"/>
    <m/>
    <m/>
    <m/>
    <m/>
    <x v="0"/>
    <m/>
    <m/>
    <m/>
    <n v="0"/>
    <m/>
  </r>
  <r>
    <x v="952"/>
    <s v="BELTS"/>
    <x v="17"/>
    <x v="0"/>
    <x v="934"/>
    <x v="950"/>
    <s v="H5"/>
    <x v="0"/>
    <m/>
    <m/>
    <m/>
    <m/>
    <x v="0"/>
    <m/>
    <m/>
    <m/>
    <n v="0"/>
    <m/>
  </r>
  <r>
    <x v="953"/>
    <s v="MECHANICAL"/>
    <x v="35"/>
    <x v="0"/>
    <x v="935"/>
    <x v="951"/>
    <s v="H5"/>
    <x v="0"/>
    <m/>
    <m/>
    <m/>
    <m/>
    <x v="0"/>
    <m/>
    <m/>
    <m/>
    <n v="0"/>
    <m/>
  </r>
  <r>
    <x v="954"/>
    <s v="MECHANICAL"/>
    <x v="24"/>
    <x v="0"/>
    <x v="936"/>
    <x v="952"/>
    <s v="H5"/>
    <x v="0"/>
    <m/>
    <m/>
    <m/>
    <m/>
    <x v="0"/>
    <m/>
    <m/>
    <m/>
    <n v="0"/>
    <m/>
  </r>
  <r>
    <x v="955"/>
    <s v="ROLLERS"/>
    <x v="12"/>
    <x v="0"/>
    <x v="937"/>
    <x v="953"/>
    <s v="H5"/>
    <x v="0"/>
    <m/>
    <m/>
    <m/>
    <m/>
    <x v="0"/>
    <m/>
    <m/>
    <m/>
    <n v="0"/>
    <m/>
  </r>
  <r>
    <x v="956"/>
    <s v="MECHANICAL"/>
    <x v="40"/>
    <x v="0"/>
    <x v="938"/>
    <x v="954"/>
    <s v="H5"/>
    <x v="0"/>
    <m/>
    <m/>
    <m/>
    <m/>
    <x v="0"/>
    <m/>
    <m/>
    <m/>
    <n v="0"/>
    <m/>
  </r>
  <r>
    <x v="957"/>
    <s v="CHAINS"/>
    <x v="94"/>
    <x v="0"/>
    <x v="939"/>
    <x v="955"/>
    <s v="H5"/>
    <x v="0"/>
    <m/>
    <m/>
    <m/>
    <m/>
    <x v="0"/>
    <m/>
    <m/>
    <m/>
    <n v="0"/>
    <m/>
  </r>
  <r>
    <x v="958"/>
    <s v="BELTS"/>
    <x v="17"/>
    <x v="0"/>
    <x v="940"/>
    <x v="956"/>
    <s v="H5"/>
    <x v="0"/>
    <m/>
    <m/>
    <m/>
    <m/>
    <x v="0"/>
    <m/>
    <m/>
    <m/>
    <n v="0"/>
    <m/>
  </r>
  <r>
    <x v="959"/>
    <s v="BELTS"/>
    <x v="17"/>
    <x v="0"/>
    <x v="941"/>
    <x v="957"/>
    <m/>
    <x v="0"/>
    <m/>
    <m/>
    <m/>
    <m/>
    <x v="0"/>
    <m/>
    <m/>
    <m/>
    <n v="0"/>
    <m/>
  </r>
  <r>
    <x v="960"/>
    <s v="MECHANICAL"/>
    <x v="21"/>
    <x v="0"/>
    <x v="942"/>
    <x v="958"/>
    <s v="H6"/>
    <x v="0"/>
    <m/>
    <m/>
    <m/>
    <m/>
    <x v="0"/>
    <m/>
    <m/>
    <m/>
    <n v="0"/>
    <m/>
  </r>
  <r>
    <x v="961"/>
    <s v="MECHANICAL"/>
    <x v="21"/>
    <x v="0"/>
    <x v="943"/>
    <x v="959"/>
    <s v="H7"/>
    <x v="0"/>
    <m/>
    <m/>
    <m/>
    <m/>
    <x v="0"/>
    <m/>
    <m/>
    <m/>
    <n v="0"/>
    <m/>
  </r>
  <r>
    <x v="962"/>
    <s v="MECHANICAL"/>
    <x v="20"/>
    <x v="0"/>
    <x v="944"/>
    <x v="960"/>
    <s v="H7"/>
    <x v="0"/>
    <m/>
    <m/>
    <m/>
    <m/>
    <x v="0"/>
    <m/>
    <m/>
    <m/>
    <n v="0"/>
    <m/>
  </r>
  <r>
    <x v="963"/>
    <s v="BELTS"/>
    <x v="72"/>
    <x v="0"/>
    <x v="945"/>
    <x v="961"/>
    <s v="H7"/>
    <x v="0"/>
    <m/>
    <m/>
    <m/>
    <m/>
    <x v="0"/>
    <m/>
    <m/>
    <m/>
    <n v="0"/>
    <m/>
  </r>
  <r>
    <x v="964"/>
    <s v="KNIVES"/>
    <x v="113"/>
    <x v="0"/>
    <x v="946"/>
    <x v="962"/>
    <s v="H7"/>
    <x v="0"/>
    <m/>
    <m/>
    <m/>
    <m/>
    <x v="0"/>
    <m/>
    <m/>
    <m/>
    <n v="0"/>
    <m/>
  </r>
  <r>
    <x v="965"/>
    <s v="BEARINGS"/>
    <x v="0"/>
    <x v="0"/>
    <x v="947"/>
    <x v="963"/>
    <s v="H7"/>
    <x v="0"/>
    <m/>
    <m/>
    <m/>
    <m/>
    <x v="0"/>
    <m/>
    <m/>
    <m/>
    <n v="0"/>
    <m/>
  </r>
  <r>
    <x v="966"/>
    <s v="MECHANICAL"/>
    <x v="103"/>
    <x v="0"/>
    <x v="948"/>
    <x v="964"/>
    <s v="H7"/>
    <x v="0"/>
    <m/>
    <m/>
    <m/>
    <m/>
    <x v="0"/>
    <m/>
    <m/>
    <m/>
    <n v="0"/>
    <m/>
  </r>
  <r>
    <x v="967"/>
    <s v="BEARINGS"/>
    <x v="0"/>
    <x v="0"/>
    <x v="949"/>
    <x v="965"/>
    <s v="H7"/>
    <x v="0"/>
    <m/>
    <m/>
    <m/>
    <m/>
    <x v="0"/>
    <m/>
    <m/>
    <m/>
    <n v="0"/>
    <m/>
  </r>
  <r>
    <x v="968"/>
    <s v="ELECTRICAL"/>
    <x v="85"/>
    <x v="0"/>
    <x v="950"/>
    <x v="966"/>
    <s v="H7"/>
    <x v="0"/>
    <m/>
    <m/>
    <m/>
    <m/>
    <x v="0"/>
    <m/>
    <m/>
    <m/>
    <n v="0"/>
    <m/>
  </r>
  <r>
    <x v="969"/>
    <s v="MECHANICAL"/>
    <x v="21"/>
    <x v="0"/>
    <x v="951"/>
    <x v="967"/>
    <s v="H7"/>
    <x v="0"/>
    <m/>
    <m/>
    <m/>
    <m/>
    <x v="0"/>
    <m/>
    <m/>
    <m/>
    <n v="0"/>
    <m/>
  </r>
  <r>
    <x v="970"/>
    <s v="ELECTRICAL"/>
    <x v="60"/>
    <x v="0"/>
    <x v="952"/>
    <x v="968"/>
    <s v="H7"/>
    <x v="0"/>
    <m/>
    <m/>
    <m/>
    <m/>
    <x v="0"/>
    <m/>
    <m/>
    <m/>
    <n v="0"/>
    <m/>
  </r>
  <r>
    <x v="971"/>
    <s v="BEARINGS"/>
    <x v="0"/>
    <x v="0"/>
    <x v="953"/>
    <x v="969"/>
    <s v="H7"/>
    <x v="0"/>
    <m/>
    <m/>
    <m/>
    <m/>
    <x v="0"/>
    <m/>
    <m/>
    <m/>
    <n v="0"/>
    <m/>
  </r>
  <r>
    <x v="972"/>
    <s v="MECHANICAL"/>
    <x v="10"/>
    <x v="0"/>
    <x v="954"/>
    <x v="970"/>
    <s v="H7"/>
    <x v="0"/>
    <m/>
    <m/>
    <m/>
    <m/>
    <x v="0"/>
    <m/>
    <m/>
    <m/>
    <n v="0"/>
    <m/>
  </r>
  <r>
    <x v="973"/>
    <s v="ELECTRICAL"/>
    <x v="21"/>
    <x v="0"/>
    <x v="955"/>
    <x v="971"/>
    <s v="H7"/>
    <x v="0"/>
    <m/>
    <m/>
    <m/>
    <m/>
    <x v="0"/>
    <m/>
    <m/>
    <m/>
    <n v="0"/>
    <m/>
  </r>
  <r>
    <x v="974"/>
    <s v="BEARINGS"/>
    <x v="115"/>
    <x v="0"/>
    <x v="956"/>
    <x v="972"/>
    <s v="H7"/>
    <x v="0"/>
    <m/>
    <m/>
    <m/>
    <m/>
    <x v="0"/>
    <m/>
    <m/>
    <m/>
    <n v="0"/>
    <m/>
  </r>
  <r>
    <x v="975"/>
    <s v="BELTS"/>
    <x v="17"/>
    <x v="0"/>
    <x v="957"/>
    <x v="973"/>
    <s v="H7"/>
    <x v="0"/>
    <m/>
    <m/>
    <m/>
    <m/>
    <x v="0"/>
    <m/>
    <m/>
    <m/>
    <n v="0"/>
    <m/>
  </r>
  <r>
    <x v="976"/>
    <s v="BEARINGS"/>
    <x v="115"/>
    <x v="0"/>
    <x v="958"/>
    <x v="974"/>
    <s v="H7"/>
    <x v="0"/>
    <m/>
    <m/>
    <m/>
    <m/>
    <x v="0"/>
    <m/>
    <m/>
    <m/>
    <n v="0"/>
    <m/>
  </r>
  <r>
    <x v="977"/>
    <s v="BEARINGS"/>
    <x v="0"/>
    <x v="0"/>
    <x v="130"/>
    <x v="975"/>
    <s v="H7"/>
    <x v="0"/>
    <m/>
    <m/>
    <m/>
    <m/>
    <x v="0"/>
    <m/>
    <m/>
    <m/>
    <n v="0"/>
    <m/>
  </r>
  <r>
    <x v="978"/>
    <s v="MECHANICAL"/>
    <x v="20"/>
    <x v="0"/>
    <x v="959"/>
    <x v="976"/>
    <s v="H7"/>
    <x v="0"/>
    <m/>
    <m/>
    <m/>
    <m/>
    <x v="0"/>
    <m/>
    <m/>
    <m/>
    <n v="0"/>
    <m/>
  </r>
  <r>
    <x v="979"/>
    <s v="MECHANICAL"/>
    <x v="20"/>
    <x v="0"/>
    <x v="960"/>
    <x v="977"/>
    <s v="H7"/>
    <x v="0"/>
    <m/>
    <m/>
    <m/>
    <m/>
    <x v="0"/>
    <m/>
    <m/>
    <m/>
    <n v="0"/>
    <m/>
  </r>
  <r>
    <x v="980"/>
    <s v="MECHANICAL"/>
    <x v="20"/>
    <x v="0"/>
    <x v="961"/>
    <x v="978"/>
    <s v="H7"/>
    <x v="0"/>
    <m/>
    <m/>
    <m/>
    <m/>
    <x v="0"/>
    <m/>
    <m/>
    <m/>
    <n v="0"/>
    <m/>
  </r>
  <r>
    <x v="981"/>
    <s v="MECHANICAL"/>
    <x v="20"/>
    <x v="0"/>
    <x v="962"/>
    <x v="979"/>
    <s v="H7"/>
    <x v="0"/>
    <m/>
    <m/>
    <m/>
    <m/>
    <x v="0"/>
    <m/>
    <m/>
    <m/>
    <n v="0"/>
    <m/>
  </r>
  <r>
    <x v="982"/>
    <s v="MECHANICAL"/>
    <x v="20"/>
    <x v="0"/>
    <x v="963"/>
    <x v="980"/>
    <s v="H7"/>
    <x v="0"/>
    <m/>
    <m/>
    <m/>
    <m/>
    <x v="0"/>
    <m/>
    <m/>
    <m/>
    <n v="0"/>
    <m/>
  </r>
  <r>
    <x v="983"/>
    <s v="MECHANICAL"/>
    <x v="20"/>
    <x v="0"/>
    <x v="964"/>
    <x v="981"/>
    <s v="H7"/>
    <x v="0"/>
    <m/>
    <m/>
    <m/>
    <m/>
    <x v="0"/>
    <m/>
    <m/>
    <m/>
    <n v="0"/>
    <m/>
  </r>
  <r>
    <x v="984"/>
    <s v="MECHANICAL"/>
    <x v="20"/>
    <x v="0"/>
    <x v="965"/>
    <x v="982"/>
    <s v="H7"/>
    <x v="0"/>
    <m/>
    <m/>
    <m/>
    <m/>
    <x v="0"/>
    <m/>
    <m/>
    <m/>
    <n v="0"/>
    <m/>
  </r>
  <r>
    <x v="985"/>
    <s v="PNEUMATIC"/>
    <x v="102"/>
    <x v="0"/>
    <x v="966"/>
    <x v="983"/>
    <s v="H7"/>
    <x v="0"/>
    <m/>
    <m/>
    <m/>
    <m/>
    <x v="0"/>
    <m/>
    <m/>
    <m/>
    <n v="0"/>
    <m/>
  </r>
  <r>
    <x v="986"/>
    <s v="FASTENERS"/>
    <x v="11"/>
    <x v="0"/>
    <x v="967"/>
    <x v="984"/>
    <s v="J1"/>
    <x v="0"/>
    <m/>
    <m/>
    <m/>
    <m/>
    <x v="0"/>
    <m/>
    <m/>
    <m/>
    <n v="0"/>
    <m/>
  </r>
  <r>
    <x v="987"/>
    <s v="PNEUMATIC"/>
    <x v="30"/>
    <x v="0"/>
    <x v="968"/>
    <x v="985"/>
    <s v="J1"/>
    <x v="0"/>
    <m/>
    <m/>
    <m/>
    <m/>
    <x v="0"/>
    <m/>
    <m/>
    <m/>
    <n v="0"/>
    <m/>
  </r>
  <r>
    <x v="988"/>
    <s v="MECHANICAL"/>
    <x v="21"/>
    <x v="0"/>
    <x v="969"/>
    <x v="986"/>
    <s v="J1"/>
    <x v="0"/>
    <m/>
    <m/>
    <m/>
    <m/>
    <x v="0"/>
    <m/>
    <m/>
    <m/>
    <n v="0"/>
    <m/>
  </r>
  <r>
    <x v="989"/>
    <s v="KNIVES"/>
    <x v="113"/>
    <x v="0"/>
    <x v="970"/>
    <x v="987"/>
    <s v="J1"/>
    <x v="0"/>
    <m/>
    <m/>
    <m/>
    <m/>
    <x v="0"/>
    <m/>
    <m/>
    <m/>
    <n v="0"/>
    <m/>
  </r>
  <r>
    <x v="990"/>
    <s v="MECHANICAL"/>
    <x v="10"/>
    <x v="0"/>
    <x v="971"/>
    <x v="988"/>
    <s v="J1"/>
    <x v="0"/>
    <m/>
    <m/>
    <m/>
    <m/>
    <x v="0"/>
    <m/>
    <m/>
    <m/>
    <n v="0"/>
    <m/>
  </r>
  <r>
    <x v="991"/>
    <s v="FASTENERS"/>
    <x v="11"/>
    <x v="0"/>
    <x v="535"/>
    <x v="989"/>
    <s v="J1"/>
    <x v="0"/>
    <m/>
    <m/>
    <m/>
    <m/>
    <x v="0"/>
    <m/>
    <m/>
    <m/>
    <n v="0"/>
    <m/>
  </r>
  <r>
    <x v="992"/>
    <s v="MECHANICAL"/>
    <x v="103"/>
    <x v="0"/>
    <x v="972"/>
    <x v="990"/>
    <s v="J1"/>
    <x v="0"/>
    <m/>
    <m/>
    <m/>
    <m/>
    <x v="0"/>
    <m/>
    <m/>
    <m/>
    <n v="0"/>
    <m/>
  </r>
  <r>
    <x v="993"/>
    <s v="FASTENERS"/>
    <x v="11"/>
    <x v="0"/>
    <x v="973"/>
    <x v="991"/>
    <s v="J1"/>
    <x v="0"/>
    <m/>
    <m/>
    <m/>
    <m/>
    <x v="0"/>
    <m/>
    <m/>
    <m/>
    <n v="0"/>
    <m/>
  </r>
  <r>
    <x v="994"/>
    <s v="MECHANICAL"/>
    <x v="84"/>
    <x v="0"/>
    <x v="974"/>
    <x v="992"/>
    <s v="J1"/>
    <x v="0"/>
    <m/>
    <m/>
    <m/>
    <m/>
    <x v="0"/>
    <m/>
    <m/>
    <m/>
    <n v="0"/>
    <m/>
  </r>
  <r>
    <x v="995"/>
    <s v="FASTENERS"/>
    <x v="11"/>
    <x v="0"/>
    <x v="975"/>
    <x v="993"/>
    <s v="J1"/>
    <x v="0"/>
    <m/>
    <m/>
    <m/>
    <m/>
    <x v="0"/>
    <m/>
    <m/>
    <m/>
    <n v="0"/>
    <m/>
  </r>
  <r>
    <x v="996"/>
    <s v="MECHANICAL"/>
    <x v="83"/>
    <x v="0"/>
    <x v="976"/>
    <x v="994"/>
    <s v="J1"/>
    <x v="0"/>
    <m/>
    <m/>
    <m/>
    <m/>
    <x v="0"/>
    <m/>
    <m/>
    <m/>
    <n v="0"/>
    <m/>
  </r>
  <r>
    <x v="997"/>
    <s v="CHAINS"/>
    <x v="94"/>
    <x v="0"/>
    <x v="977"/>
    <x v="995"/>
    <s v="J1"/>
    <x v="0"/>
    <m/>
    <m/>
    <m/>
    <m/>
    <x v="0"/>
    <m/>
    <m/>
    <m/>
    <n v="0"/>
    <m/>
  </r>
  <r>
    <x v="998"/>
    <s v="GEAR"/>
    <x v="120"/>
    <x v="0"/>
    <x v="978"/>
    <x v="996"/>
    <s v="J1"/>
    <x v="0"/>
    <m/>
    <m/>
    <m/>
    <m/>
    <x v="0"/>
    <m/>
    <m/>
    <m/>
    <n v="0"/>
    <m/>
  </r>
  <r>
    <x v="999"/>
    <s v="MECHANICAL"/>
    <x v="21"/>
    <x v="0"/>
    <x v="979"/>
    <x v="997"/>
    <s v="J1"/>
    <x v="0"/>
    <m/>
    <m/>
    <m/>
    <m/>
    <x v="0"/>
    <m/>
    <m/>
    <m/>
    <n v="0"/>
    <m/>
  </r>
  <r>
    <x v="1000"/>
    <s v="MECHANICAL"/>
    <x v="20"/>
    <x v="0"/>
    <x v="980"/>
    <x v="998"/>
    <s v="J1"/>
    <x v="0"/>
    <m/>
    <m/>
    <m/>
    <m/>
    <x v="0"/>
    <m/>
    <m/>
    <m/>
    <n v="0"/>
    <m/>
  </r>
  <r>
    <x v="1001"/>
    <s v="MECHANICAL"/>
    <x v="21"/>
    <x v="0"/>
    <x v="981"/>
    <x v="999"/>
    <s v="J1"/>
    <x v="0"/>
    <m/>
    <m/>
    <m/>
    <m/>
    <x v="0"/>
    <m/>
    <m/>
    <m/>
    <n v="0"/>
    <m/>
  </r>
  <r>
    <x v="1002"/>
    <s v="MECHANICAL"/>
    <x v="21"/>
    <x v="0"/>
    <x v="982"/>
    <x v="1000"/>
    <s v="J1"/>
    <x v="0"/>
    <m/>
    <m/>
    <m/>
    <m/>
    <x v="0"/>
    <m/>
    <m/>
    <m/>
    <n v="0"/>
    <m/>
  </r>
  <r>
    <x v="1003"/>
    <s v="FASTENERS"/>
    <x v="11"/>
    <x v="0"/>
    <x v="983"/>
    <x v="1001"/>
    <s v="J1"/>
    <x v="0"/>
    <m/>
    <m/>
    <m/>
    <m/>
    <x v="0"/>
    <m/>
    <m/>
    <m/>
    <n v="0"/>
    <m/>
  </r>
  <r>
    <x v="1004"/>
    <s v="MECHANICAL"/>
    <x v="21"/>
    <x v="0"/>
    <x v="984"/>
    <x v="1002"/>
    <s v="J1"/>
    <x v="0"/>
    <m/>
    <m/>
    <m/>
    <m/>
    <x v="0"/>
    <m/>
    <m/>
    <m/>
    <n v="0"/>
    <m/>
  </r>
  <r>
    <x v="1005"/>
    <s v="MECHANICAL"/>
    <x v="21"/>
    <x v="0"/>
    <x v="985"/>
    <x v="1003"/>
    <s v="J1"/>
    <x v="0"/>
    <m/>
    <m/>
    <m/>
    <m/>
    <x v="0"/>
    <m/>
    <m/>
    <m/>
    <n v="0"/>
    <m/>
  </r>
  <r>
    <x v="1006"/>
    <s v="FASTENERS"/>
    <x v="11"/>
    <x v="0"/>
    <x v="986"/>
    <x v="1004"/>
    <s v="J1"/>
    <x v="0"/>
    <m/>
    <m/>
    <m/>
    <m/>
    <x v="0"/>
    <m/>
    <m/>
    <m/>
    <n v="0"/>
    <m/>
  </r>
  <r>
    <x v="1007"/>
    <s v="FASTENERS"/>
    <x v="11"/>
    <x v="0"/>
    <x v="987"/>
    <x v="1005"/>
    <s v="J1"/>
    <x v="0"/>
    <m/>
    <m/>
    <m/>
    <m/>
    <x v="0"/>
    <m/>
    <m/>
    <m/>
    <n v="0"/>
    <m/>
  </r>
  <r>
    <x v="1008"/>
    <s v="FASTENERS"/>
    <x v="11"/>
    <x v="0"/>
    <x v="988"/>
    <x v="1006"/>
    <s v="J1"/>
    <x v="0"/>
    <m/>
    <m/>
    <m/>
    <m/>
    <x v="0"/>
    <m/>
    <m/>
    <m/>
    <n v="0"/>
    <m/>
  </r>
  <r>
    <x v="1009"/>
    <s v="FASTENERS"/>
    <x v="11"/>
    <x v="0"/>
    <x v="989"/>
    <x v="1007"/>
    <s v="J1"/>
    <x v="0"/>
    <m/>
    <m/>
    <m/>
    <m/>
    <x v="0"/>
    <m/>
    <m/>
    <m/>
    <n v="0"/>
    <m/>
  </r>
  <r>
    <x v="1010"/>
    <s v="MECHANICAL"/>
    <x v="107"/>
    <x v="0"/>
    <x v="990"/>
    <x v="1008"/>
    <s v="J1"/>
    <x v="0"/>
    <m/>
    <m/>
    <m/>
    <m/>
    <x v="0"/>
    <m/>
    <m/>
    <m/>
    <n v="0"/>
    <m/>
  </r>
  <r>
    <x v="1011"/>
    <s v="MECHANICAL"/>
    <x v="21"/>
    <x v="0"/>
    <x v="991"/>
    <x v="1009"/>
    <s v="J1"/>
    <x v="0"/>
    <m/>
    <m/>
    <m/>
    <m/>
    <x v="0"/>
    <m/>
    <m/>
    <m/>
    <n v="0"/>
    <m/>
  </r>
  <r>
    <x v="1012"/>
    <s v="MECHANICAL"/>
    <x v="21"/>
    <x v="0"/>
    <x v="992"/>
    <x v="1010"/>
    <s v="J1"/>
    <x v="0"/>
    <m/>
    <m/>
    <m/>
    <m/>
    <x v="0"/>
    <m/>
    <m/>
    <m/>
    <n v="0"/>
    <m/>
  </r>
  <r>
    <x v="1013"/>
    <s v="MECHANICAL"/>
    <x v="21"/>
    <x v="0"/>
    <x v="993"/>
    <x v="1011"/>
    <s v="J1"/>
    <x v="0"/>
    <m/>
    <m/>
    <m/>
    <m/>
    <x v="0"/>
    <m/>
    <m/>
    <m/>
    <n v="0"/>
    <m/>
  </r>
  <r>
    <x v="1014"/>
    <s v="MECHANICAL"/>
    <x v="21"/>
    <x v="0"/>
    <x v="251"/>
    <x v="1012"/>
    <s v="J1"/>
    <x v="0"/>
    <m/>
    <m/>
    <m/>
    <m/>
    <x v="0"/>
    <m/>
    <m/>
    <m/>
    <n v="0"/>
    <m/>
  </r>
  <r>
    <x v="1015"/>
    <s v="MECHANICAL"/>
    <x v="21"/>
    <x v="0"/>
    <x v="994"/>
    <x v="1013"/>
    <s v="J1"/>
    <x v="0"/>
    <m/>
    <m/>
    <m/>
    <m/>
    <x v="0"/>
    <m/>
    <m/>
    <m/>
    <n v="0"/>
    <m/>
  </r>
  <r>
    <x v="1016"/>
    <s v="FASTENERS"/>
    <x v="11"/>
    <x v="0"/>
    <x v="995"/>
    <x v="1014"/>
    <s v="J1"/>
    <x v="0"/>
    <m/>
    <m/>
    <m/>
    <m/>
    <x v="0"/>
    <m/>
    <m/>
    <m/>
    <n v="0"/>
    <m/>
  </r>
  <r>
    <x v="1017"/>
    <s v="MECHANICAL"/>
    <x v="21"/>
    <x v="0"/>
    <x v="996"/>
    <x v="1015"/>
    <s v="J1"/>
    <x v="0"/>
    <m/>
    <m/>
    <m/>
    <m/>
    <x v="0"/>
    <m/>
    <m/>
    <m/>
    <n v="0"/>
    <m/>
  </r>
  <r>
    <x v="1018"/>
    <s v="GEAR"/>
    <x v="16"/>
    <x v="0"/>
    <x v="178"/>
    <x v="1016"/>
    <s v="J1"/>
    <x v="0"/>
    <m/>
    <m/>
    <m/>
    <m/>
    <x v="0"/>
    <m/>
    <m/>
    <m/>
    <n v="0"/>
    <m/>
  </r>
  <r>
    <x v="1019"/>
    <s v="FASTENERS"/>
    <x v="11"/>
    <x v="0"/>
    <x v="997"/>
    <x v="1017"/>
    <s v="J1"/>
    <x v="0"/>
    <m/>
    <m/>
    <m/>
    <m/>
    <x v="0"/>
    <m/>
    <m/>
    <m/>
    <n v="0"/>
    <m/>
  </r>
  <r>
    <x v="1020"/>
    <s v="FASTENERS"/>
    <x v="11"/>
    <x v="0"/>
    <x v="998"/>
    <x v="1018"/>
    <s v="J1"/>
    <x v="0"/>
    <m/>
    <m/>
    <m/>
    <m/>
    <x v="0"/>
    <m/>
    <m/>
    <m/>
    <n v="0"/>
    <m/>
  </r>
  <r>
    <x v="1021"/>
    <s v="FASTENERS"/>
    <x v="11"/>
    <x v="0"/>
    <x v="999"/>
    <x v="1019"/>
    <s v="J1"/>
    <x v="0"/>
    <m/>
    <m/>
    <m/>
    <m/>
    <x v="0"/>
    <m/>
    <m/>
    <m/>
    <n v="0"/>
    <m/>
  </r>
  <r>
    <x v="1022"/>
    <s v="PNEUMATIC"/>
    <x v="30"/>
    <x v="0"/>
    <x v="1000"/>
    <x v="1020"/>
    <s v="J1"/>
    <x v="0"/>
    <m/>
    <m/>
    <m/>
    <m/>
    <x v="0"/>
    <m/>
    <m/>
    <m/>
    <n v="0"/>
    <m/>
  </r>
  <r>
    <x v="1023"/>
    <s v="ROLLERS"/>
    <x v="18"/>
    <x v="0"/>
    <x v="1001"/>
    <x v="1021"/>
    <s v="J2"/>
    <x v="0"/>
    <m/>
    <m/>
    <m/>
    <m/>
    <x v="0"/>
    <m/>
    <m/>
    <m/>
    <n v="0"/>
    <m/>
  </r>
  <r>
    <x v="1024"/>
    <s v="MECHANICAL"/>
    <x v="40"/>
    <x v="0"/>
    <x v="1002"/>
    <x v="1022"/>
    <s v="J2"/>
    <x v="0"/>
    <m/>
    <m/>
    <m/>
    <m/>
    <x v="0"/>
    <m/>
    <m/>
    <m/>
    <n v="0"/>
    <m/>
  </r>
  <r>
    <x v="1025"/>
    <s v="MECHANICAL"/>
    <x v="35"/>
    <x v="0"/>
    <x v="1003"/>
    <x v="1023"/>
    <s v="J2"/>
    <x v="0"/>
    <m/>
    <m/>
    <m/>
    <m/>
    <x v="0"/>
    <m/>
    <m/>
    <m/>
    <n v="0"/>
    <m/>
  </r>
  <r>
    <x v="1026"/>
    <s v="ROLLERS"/>
    <x v="92"/>
    <x v="0"/>
    <x v="1004"/>
    <x v="1024"/>
    <s v="J2"/>
    <x v="0"/>
    <m/>
    <m/>
    <m/>
    <m/>
    <x v="0"/>
    <m/>
    <m/>
    <m/>
    <n v="0"/>
    <m/>
  </r>
  <r>
    <x v="1027"/>
    <s v="GEAR"/>
    <x v="8"/>
    <x v="0"/>
    <x v="1005"/>
    <x v="1025"/>
    <s v="J2"/>
    <x v="0"/>
    <m/>
    <m/>
    <m/>
    <m/>
    <x v="0"/>
    <m/>
    <m/>
    <m/>
    <n v="0"/>
    <m/>
  </r>
  <r>
    <x v="1028"/>
    <s v="GEAR"/>
    <x v="8"/>
    <x v="0"/>
    <x v="1006"/>
    <x v="1026"/>
    <s v="J2"/>
    <x v="0"/>
    <m/>
    <m/>
    <m/>
    <m/>
    <x v="0"/>
    <m/>
    <m/>
    <m/>
    <n v="0"/>
    <m/>
  </r>
  <r>
    <x v="1029"/>
    <s v="GEAR"/>
    <x v="8"/>
    <x v="0"/>
    <x v="1007"/>
    <x v="1027"/>
    <s v="J2"/>
    <x v="0"/>
    <m/>
    <m/>
    <m/>
    <m/>
    <x v="0"/>
    <m/>
    <m/>
    <m/>
    <n v="0"/>
    <m/>
  </r>
  <r>
    <x v="1030"/>
    <s v="MECHANICAL"/>
    <x v="21"/>
    <x v="0"/>
    <x v="1008"/>
    <x v="1028"/>
    <s v="J2"/>
    <x v="0"/>
    <m/>
    <m/>
    <m/>
    <m/>
    <x v="0"/>
    <m/>
    <m/>
    <m/>
    <n v="0"/>
    <m/>
  </r>
  <r>
    <x v="1031"/>
    <s v="ELECTRICAL"/>
    <x v="56"/>
    <x v="0"/>
    <x v="1009"/>
    <x v="1029"/>
    <s v="J2"/>
    <x v="0"/>
    <m/>
    <m/>
    <m/>
    <m/>
    <x v="0"/>
    <m/>
    <m/>
    <m/>
    <n v="0"/>
    <m/>
  </r>
  <r>
    <x v="1032"/>
    <s v="MECHANICAL"/>
    <x v="21"/>
    <x v="0"/>
    <x v="1010"/>
    <x v="1030"/>
    <s v="J2"/>
    <x v="0"/>
    <m/>
    <m/>
    <m/>
    <m/>
    <x v="0"/>
    <m/>
    <m/>
    <m/>
    <n v="0"/>
    <m/>
  </r>
  <r>
    <x v="1033"/>
    <s v="ELECTRICAL"/>
    <x v="70"/>
    <x v="0"/>
    <x v="1011"/>
    <x v="1031"/>
    <s v="J2"/>
    <x v="0"/>
    <m/>
    <m/>
    <m/>
    <m/>
    <x v="0"/>
    <m/>
    <m/>
    <m/>
    <n v="0"/>
    <m/>
  </r>
  <r>
    <x v="1034"/>
    <s v="PNEUMATIC"/>
    <x v="102"/>
    <x v="0"/>
    <x v="1012"/>
    <x v="1032"/>
    <s v="J2"/>
    <x v="0"/>
    <m/>
    <m/>
    <m/>
    <m/>
    <x v="0"/>
    <m/>
    <m/>
    <m/>
    <n v="0"/>
    <m/>
  </r>
  <r>
    <x v="1035"/>
    <s v="MECHANICAL"/>
    <x v="24"/>
    <x v="0"/>
    <x v="936"/>
    <x v="1033"/>
    <s v="J2"/>
    <x v="0"/>
    <m/>
    <m/>
    <m/>
    <m/>
    <x v="0"/>
    <m/>
    <m/>
    <m/>
    <n v="0"/>
    <m/>
  </r>
  <r>
    <x v="1036"/>
    <s v="ROLLERS"/>
    <x v="18"/>
    <x v="0"/>
    <x v="1013"/>
    <x v="1034"/>
    <s v="J2"/>
    <x v="0"/>
    <m/>
    <m/>
    <m/>
    <m/>
    <x v="0"/>
    <m/>
    <m/>
    <m/>
    <n v="0"/>
    <m/>
  </r>
  <r>
    <x v="1037"/>
    <s v="MECHANICAL"/>
    <x v="10"/>
    <x v="0"/>
    <x v="1014"/>
    <x v="1035"/>
    <s v="J2"/>
    <x v="0"/>
    <m/>
    <m/>
    <m/>
    <m/>
    <x v="0"/>
    <m/>
    <m/>
    <m/>
    <n v="0"/>
    <m/>
  </r>
  <r>
    <x v="1038"/>
    <s v="MECHANICAL"/>
    <x v="35"/>
    <x v="0"/>
    <x v="1015"/>
    <x v="1036"/>
    <s v="J2"/>
    <x v="0"/>
    <m/>
    <m/>
    <m/>
    <m/>
    <x v="0"/>
    <m/>
    <m/>
    <m/>
    <n v="0"/>
    <m/>
  </r>
  <r>
    <x v="1039"/>
    <s v="MISCELLANEOUS"/>
    <x v="112"/>
    <x v="0"/>
    <x v="1016"/>
    <x v="1037"/>
    <s v="J2"/>
    <x v="0"/>
    <m/>
    <m/>
    <m/>
    <m/>
    <x v="0"/>
    <m/>
    <m/>
    <m/>
    <n v="0"/>
    <m/>
  </r>
  <r>
    <x v="1040"/>
    <s v="FASTENERS"/>
    <x v="81"/>
    <x v="0"/>
    <x v="1017"/>
    <x v="1038"/>
    <s v="J2"/>
    <x v="0"/>
    <m/>
    <m/>
    <m/>
    <m/>
    <x v="0"/>
    <m/>
    <m/>
    <m/>
    <n v="0"/>
    <m/>
  </r>
  <r>
    <x v="1041"/>
    <s v="BELTS"/>
    <x v="72"/>
    <x v="0"/>
    <x v="1018"/>
    <x v="1039"/>
    <s v="J2"/>
    <x v="0"/>
    <m/>
    <m/>
    <m/>
    <m/>
    <x v="0"/>
    <m/>
    <m/>
    <m/>
    <n v="0"/>
    <m/>
  </r>
  <r>
    <x v="1042"/>
    <s v="MECHANICAL"/>
    <x v="35"/>
    <x v="0"/>
    <x v="1019"/>
    <x v="1040"/>
    <s v="J2"/>
    <x v="0"/>
    <m/>
    <m/>
    <m/>
    <m/>
    <x v="0"/>
    <m/>
    <m/>
    <m/>
    <n v="0"/>
    <m/>
  </r>
  <r>
    <x v="1043"/>
    <s v="GEAR"/>
    <x v="8"/>
    <x v="0"/>
    <x v="1020"/>
    <x v="1041"/>
    <s v="J2"/>
    <x v="0"/>
    <m/>
    <m/>
    <m/>
    <m/>
    <x v="0"/>
    <m/>
    <m/>
    <m/>
    <n v="0"/>
    <m/>
  </r>
  <r>
    <x v="1044"/>
    <s v="MECHANICAL"/>
    <x v="35"/>
    <x v="0"/>
    <x v="1021"/>
    <x v="1042"/>
    <s v="J2"/>
    <x v="0"/>
    <m/>
    <m/>
    <m/>
    <m/>
    <x v="0"/>
    <m/>
    <m/>
    <m/>
    <n v="0"/>
    <m/>
  </r>
  <r>
    <x v="1045"/>
    <s v="FASTENERS"/>
    <x v="81"/>
    <x v="0"/>
    <x v="1022"/>
    <x v="1043"/>
    <s v="J2"/>
    <x v="0"/>
    <m/>
    <m/>
    <m/>
    <m/>
    <x v="0"/>
    <m/>
    <m/>
    <m/>
    <n v="0"/>
    <m/>
  </r>
  <r>
    <x v="1046"/>
    <s v="FASTENERS"/>
    <x v="109"/>
    <x v="0"/>
    <x v="1023"/>
    <x v="1044"/>
    <s v="J2"/>
    <x v="0"/>
    <m/>
    <m/>
    <m/>
    <m/>
    <x v="0"/>
    <m/>
    <m/>
    <m/>
    <n v="0"/>
    <m/>
  </r>
  <r>
    <x v="1047"/>
    <s v="PNEUMATIC"/>
    <x v="27"/>
    <x v="0"/>
    <x v="1024"/>
    <x v="1045"/>
    <s v="J2"/>
    <x v="0"/>
    <m/>
    <m/>
    <m/>
    <m/>
    <x v="0"/>
    <m/>
    <m/>
    <m/>
    <n v="0"/>
    <m/>
  </r>
  <r>
    <x v="1048"/>
    <s v="MECHANICAL"/>
    <x v="21"/>
    <x v="0"/>
    <x v="1025"/>
    <x v="1046"/>
    <s v="J2"/>
    <x v="0"/>
    <m/>
    <m/>
    <m/>
    <m/>
    <x v="0"/>
    <m/>
    <m/>
    <m/>
    <n v="0"/>
    <m/>
  </r>
  <r>
    <x v="1049"/>
    <s v="MECHANICAL"/>
    <x v="103"/>
    <x v="0"/>
    <x v="1026"/>
    <x v="1047"/>
    <s v="J2"/>
    <x v="0"/>
    <m/>
    <m/>
    <m/>
    <m/>
    <x v="0"/>
    <m/>
    <m/>
    <m/>
    <n v="0"/>
    <m/>
  </r>
  <r>
    <x v="1050"/>
    <s v="MECHANICAL"/>
    <x v="35"/>
    <x v="0"/>
    <x v="1027"/>
    <x v="1048"/>
    <s v="J2"/>
    <x v="0"/>
    <m/>
    <m/>
    <m/>
    <m/>
    <x v="0"/>
    <m/>
    <m/>
    <m/>
    <n v="0"/>
    <m/>
  </r>
  <r>
    <x v="1051"/>
    <s v="MECHANICAL"/>
    <x v="21"/>
    <x v="0"/>
    <x v="1028"/>
    <x v="1049"/>
    <s v="J2"/>
    <x v="0"/>
    <m/>
    <m/>
    <m/>
    <m/>
    <x v="0"/>
    <m/>
    <m/>
    <m/>
    <n v="0"/>
    <m/>
  </r>
  <r>
    <x v="1052"/>
    <s v="FASTENERS"/>
    <x v="11"/>
    <x v="0"/>
    <x v="1029"/>
    <x v="1050"/>
    <s v="J2"/>
    <x v="0"/>
    <m/>
    <m/>
    <m/>
    <m/>
    <x v="0"/>
    <m/>
    <m/>
    <m/>
    <n v="0"/>
    <m/>
  </r>
  <r>
    <x v="1053"/>
    <s v="MECHANICAL"/>
    <x v="35"/>
    <x v="0"/>
    <x v="1030"/>
    <x v="1051"/>
    <s v="J2"/>
    <x v="0"/>
    <m/>
    <m/>
    <m/>
    <m/>
    <x v="0"/>
    <m/>
    <m/>
    <m/>
    <n v="0"/>
    <m/>
  </r>
  <r>
    <x v="1054"/>
    <s v="FASTENERS"/>
    <x v="11"/>
    <x v="0"/>
    <x v="1031"/>
    <x v="1052"/>
    <s v="J2"/>
    <x v="0"/>
    <m/>
    <m/>
    <m/>
    <m/>
    <x v="0"/>
    <m/>
    <m/>
    <m/>
    <n v="0"/>
    <m/>
  </r>
  <r>
    <x v="1055"/>
    <s v="BELTS"/>
    <x v="17"/>
    <x v="0"/>
    <x v="1032"/>
    <x v="1053"/>
    <s v="J3"/>
    <x v="0"/>
    <m/>
    <m/>
    <m/>
    <m/>
    <x v="0"/>
    <m/>
    <m/>
    <m/>
    <n v="0"/>
    <m/>
  </r>
  <r>
    <x v="1056"/>
    <s v="BELTS"/>
    <x v="17"/>
    <x v="0"/>
    <x v="1033"/>
    <x v="1054"/>
    <s v="J3"/>
    <x v="0"/>
    <m/>
    <m/>
    <m/>
    <m/>
    <x v="0"/>
    <m/>
    <m/>
    <m/>
    <n v="0"/>
    <m/>
  </r>
  <r>
    <x v="1057"/>
    <s v="MECHANICAL"/>
    <x v="30"/>
    <x v="0"/>
    <x v="1034"/>
    <x v="1055"/>
    <s v="J3"/>
    <x v="0"/>
    <m/>
    <m/>
    <m/>
    <m/>
    <x v="0"/>
    <m/>
    <m/>
    <m/>
    <n v="0"/>
    <m/>
  </r>
  <r>
    <x v="1058"/>
    <s v="BELTS"/>
    <x v="17"/>
    <x v="0"/>
    <x v="1035"/>
    <x v="1056"/>
    <s v="J3"/>
    <x v="0"/>
    <m/>
    <m/>
    <m/>
    <m/>
    <x v="0"/>
    <m/>
    <m/>
    <m/>
    <n v="0"/>
    <m/>
  </r>
  <r>
    <x v="1059"/>
    <s v="BELTS"/>
    <x v="17"/>
    <x v="0"/>
    <x v="1035"/>
    <x v="1057"/>
    <s v="J3"/>
    <x v="0"/>
    <m/>
    <m/>
    <m/>
    <m/>
    <x v="0"/>
    <m/>
    <m/>
    <m/>
    <n v="0"/>
    <m/>
  </r>
  <r>
    <x v="1060"/>
    <s v="BELTS"/>
    <x v="17"/>
    <x v="0"/>
    <x v="1035"/>
    <x v="1058"/>
    <s v="J3"/>
    <x v="0"/>
    <m/>
    <m/>
    <m/>
    <m/>
    <x v="0"/>
    <m/>
    <m/>
    <m/>
    <n v="0"/>
    <m/>
  </r>
  <r>
    <x v="1061"/>
    <s v="MECHANICAL"/>
    <x v="21"/>
    <x v="0"/>
    <x v="1036"/>
    <x v="1059"/>
    <s v="J3"/>
    <x v="0"/>
    <m/>
    <m/>
    <m/>
    <m/>
    <x v="0"/>
    <m/>
    <m/>
    <m/>
    <n v="0"/>
    <m/>
  </r>
  <r>
    <x v="1062"/>
    <s v="BELTS"/>
    <x v="72"/>
    <x v="0"/>
    <x v="1037"/>
    <x v="1060"/>
    <s v="J3"/>
    <x v="0"/>
    <m/>
    <m/>
    <m/>
    <m/>
    <x v="0"/>
    <m/>
    <m/>
    <m/>
    <n v="0"/>
    <m/>
  </r>
  <r>
    <x v="1063"/>
    <s v="ROLLERS"/>
    <x v="51"/>
    <x v="0"/>
    <x v="1038"/>
    <x v="1061"/>
    <s v="J3"/>
    <x v="0"/>
    <m/>
    <m/>
    <m/>
    <m/>
    <x v="0"/>
    <m/>
    <m/>
    <m/>
    <n v="0"/>
    <m/>
  </r>
  <r>
    <x v="1064"/>
    <s v="ROLLERS"/>
    <x v="92"/>
    <x v="0"/>
    <x v="1039"/>
    <x v="1062"/>
    <s v="J3"/>
    <x v="0"/>
    <m/>
    <m/>
    <m/>
    <m/>
    <x v="0"/>
    <m/>
    <m/>
    <m/>
    <n v="0"/>
    <m/>
  </r>
  <r>
    <x v="1065"/>
    <s v="MECHANICAL"/>
    <x v="35"/>
    <x v="0"/>
    <x v="1040"/>
    <x v="1063"/>
    <s v="J3"/>
    <x v="0"/>
    <m/>
    <m/>
    <m/>
    <m/>
    <x v="0"/>
    <m/>
    <m/>
    <m/>
    <n v="0"/>
    <m/>
  </r>
  <r>
    <x v="1066"/>
    <s v="MECHANICAL"/>
    <x v="21"/>
    <x v="0"/>
    <x v="1041"/>
    <x v="1064"/>
    <s v="J3"/>
    <x v="0"/>
    <m/>
    <m/>
    <m/>
    <m/>
    <x v="0"/>
    <m/>
    <m/>
    <m/>
    <n v="0"/>
    <m/>
  </r>
  <r>
    <x v="1067"/>
    <s v="BELTS"/>
    <x v="72"/>
    <x v="0"/>
    <x v="1042"/>
    <x v="1065"/>
    <s v="J3"/>
    <x v="0"/>
    <m/>
    <m/>
    <m/>
    <m/>
    <x v="0"/>
    <m/>
    <m/>
    <m/>
    <n v="0"/>
    <m/>
  </r>
  <r>
    <x v="1068"/>
    <s v="MECHANICAL"/>
    <x v="103"/>
    <x v="0"/>
    <x v="1043"/>
    <x v="1066"/>
    <s v="J3"/>
    <x v="0"/>
    <m/>
    <m/>
    <m/>
    <m/>
    <x v="0"/>
    <m/>
    <m/>
    <m/>
    <n v="0"/>
    <m/>
  </r>
  <r>
    <x v="1069"/>
    <s v="BELTS"/>
    <x v="72"/>
    <x v="0"/>
    <x v="1044"/>
    <x v="1067"/>
    <s v="J3"/>
    <x v="0"/>
    <m/>
    <m/>
    <m/>
    <m/>
    <x v="0"/>
    <m/>
    <m/>
    <m/>
    <n v="0"/>
    <m/>
  </r>
  <r>
    <x v="1070"/>
    <s v="MECHANICAL"/>
    <x v="21"/>
    <x v="0"/>
    <x v="1045"/>
    <x v="1068"/>
    <s v="J3"/>
    <x v="0"/>
    <m/>
    <m/>
    <m/>
    <m/>
    <x v="0"/>
    <m/>
    <m/>
    <m/>
    <n v="0"/>
    <m/>
  </r>
  <r>
    <x v="1071"/>
    <s v="GEAR"/>
    <x v="8"/>
    <x v="0"/>
    <x v="1046"/>
    <x v="1069"/>
    <s v="J3"/>
    <x v="0"/>
    <m/>
    <m/>
    <m/>
    <m/>
    <x v="0"/>
    <m/>
    <m/>
    <m/>
    <n v="0"/>
    <m/>
  </r>
  <r>
    <x v="1072"/>
    <s v="MECHANICAL"/>
    <x v="21"/>
    <x v="0"/>
    <x v="1047"/>
    <x v="1070"/>
    <s v="J3"/>
    <x v="0"/>
    <m/>
    <m/>
    <m/>
    <m/>
    <x v="0"/>
    <m/>
    <m/>
    <m/>
    <n v="0"/>
    <m/>
  </r>
  <r>
    <x v="1073"/>
    <s v="MECHANICAL"/>
    <x v="21"/>
    <x v="0"/>
    <x v="1048"/>
    <x v="1071"/>
    <s v="J3"/>
    <x v="0"/>
    <m/>
    <m/>
    <m/>
    <m/>
    <x v="0"/>
    <m/>
    <m/>
    <m/>
    <n v="0"/>
    <m/>
  </r>
  <r>
    <x v="1074"/>
    <s v="PNEUMATIC"/>
    <x v="30"/>
    <x v="0"/>
    <x v="1049"/>
    <x v="1072"/>
    <s v="J3"/>
    <x v="0"/>
    <m/>
    <m/>
    <m/>
    <m/>
    <x v="0"/>
    <m/>
    <m/>
    <m/>
    <n v="0"/>
    <m/>
  </r>
  <r>
    <x v="1075"/>
    <s v="MECHANICAL"/>
    <x v="103"/>
    <x v="0"/>
    <x v="1050"/>
    <x v="1073"/>
    <s v="J3"/>
    <x v="0"/>
    <m/>
    <m/>
    <m/>
    <m/>
    <x v="0"/>
    <m/>
    <m/>
    <m/>
    <n v="0"/>
    <m/>
  </r>
  <r>
    <x v="1076"/>
    <s v="MECHANICAL"/>
    <x v="35"/>
    <x v="0"/>
    <x v="1051"/>
    <x v="1074"/>
    <s v="J3"/>
    <x v="0"/>
    <m/>
    <m/>
    <m/>
    <m/>
    <x v="0"/>
    <m/>
    <m/>
    <m/>
    <n v="0"/>
    <m/>
  </r>
  <r>
    <x v="1077"/>
    <s v="MECHANICAL"/>
    <x v="21"/>
    <x v="0"/>
    <x v="1052"/>
    <x v="1075"/>
    <s v="J3"/>
    <x v="0"/>
    <m/>
    <m/>
    <m/>
    <m/>
    <x v="0"/>
    <m/>
    <m/>
    <m/>
    <n v="0"/>
    <m/>
  </r>
  <r>
    <x v="1078"/>
    <s v="ELECTRICAL"/>
    <x v="64"/>
    <x v="0"/>
    <x v="1053"/>
    <x v="1076"/>
    <s v="J3"/>
    <x v="0"/>
    <m/>
    <m/>
    <m/>
    <m/>
    <x v="0"/>
    <m/>
    <m/>
    <m/>
    <n v="0"/>
    <m/>
  </r>
  <r>
    <x v="1079"/>
    <s v="TAPES"/>
    <x v="31"/>
    <x v="0"/>
    <x v="1054"/>
    <x v="1077"/>
    <s v="J3"/>
    <x v="0"/>
    <m/>
    <m/>
    <m/>
    <m/>
    <x v="0"/>
    <m/>
    <m/>
    <m/>
    <n v="0"/>
    <m/>
  </r>
  <r>
    <x v="1080"/>
    <s v="TAPES"/>
    <x v="31"/>
    <x v="0"/>
    <x v="1055"/>
    <x v="1078"/>
    <s v="J3"/>
    <x v="0"/>
    <m/>
    <m/>
    <m/>
    <m/>
    <x v="0"/>
    <m/>
    <m/>
    <m/>
    <n v="0"/>
    <m/>
  </r>
  <r>
    <x v="1081"/>
    <s v="TAPES"/>
    <x v="31"/>
    <x v="0"/>
    <x v="1056"/>
    <x v="1079"/>
    <s v="J3"/>
    <x v="0"/>
    <m/>
    <m/>
    <m/>
    <m/>
    <x v="0"/>
    <m/>
    <m/>
    <m/>
    <n v="0"/>
    <m/>
  </r>
  <r>
    <x v="1082"/>
    <s v="TAPES"/>
    <x v="31"/>
    <x v="0"/>
    <x v="1057"/>
    <x v="1080"/>
    <s v="J3"/>
    <x v="0"/>
    <m/>
    <m/>
    <m/>
    <m/>
    <x v="0"/>
    <m/>
    <m/>
    <m/>
    <n v="0"/>
    <m/>
  </r>
  <r>
    <x v="1083"/>
    <s v="BEARINGS"/>
    <x v="108"/>
    <x v="0"/>
    <x v="1058"/>
    <x v="1081"/>
    <s v="J3"/>
    <x v="0"/>
    <m/>
    <m/>
    <m/>
    <m/>
    <x v="0"/>
    <m/>
    <m/>
    <m/>
    <n v="0"/>
    <m/>
  </r>
  <r>
    <x v="1084"/>
    <s v="KNIVES"/>
    <x v="113"/>
    <x v="0"/>
    <x v="1059"/>
    <x v="1082"/>
    <s v="J3"/>
    <x v="0"/>
    <m/>
    <m/>
    <m/>
    <m/>
    <x v="0"/>
    <m/>
    <m/>
    <m/>
    <n v="0"/>
    <m/>
  </r>
  <r>
    <x v="1085"/>
    <s v="BELTS"/>
    <x v="17"/>
    <x v="0"/>
    <x v="1060"/>
    <x v="1083"/>
    <s v="J3"/>
    <x v="0"/>
    <m/>
    <m/>
    <m/>
    <m/>
    <x v="0"/>
    <m/>
    <m/>
    <m/>
    <n v="0"/>
    <m/>
  </r>
  <r>
    <x v="1086"/>
    <s v="BELTS"/>
    <x v="17"/>
    <x v="0"/>
    <x v="1061"/>
    <x v="1084"/>
    <s v="J3"/>
    <x v="0"/>
    <m/>
    <m/>
    <m/>
    <m/>
    <x v="0"/>
    <m/>
    <m/>
    <m/>
    <n v="0"/>
    <m/>
  </r>
  <r>
    <x v="1087"/>
    <s v="ROLLERS"/>
    <x v="118"/>
    <x v="0"/>
    <x v="1062"/>
    <x v="1085"/>
    <s v="J3"/>
    <x v="0"/>
    <m/>
    <m/>
    <m/>
    <m/>
    <x v="0"/>
    <m/>
    <m/>
    <m/>
    <n v="0"/>
    <m/>
  </r>
  <r>
    <x v="1088"/>
    <s v="MECHANICAL"/>
    <x v="21"/>
    <x v="0"/>
    <x v="1063"/>
    <x v="1086"/>
    <s v="J3"/>
    <x v="0"/>
    <m/>
    <m/>
    <m/>
    <m/>
    <x v="0"/>
    <m/>
    <m/>
    <m/>
    <n v="0"/>
    <m/>
  </r>
  <r>
    <x v="1089"/>
    <s v="BEARINGS"/>
    <x v="108"/>
    <x v="0"/>
    <x v="1064"/>
    <x v="1087"/>
    <s v="J3"/>
    <x v="0"/>
    <m/>
    <m/>
    <m/>
    <m/>
    <x v="0"/>
    <m/>
    <m/>
    <m/>
    <n v="0"/>
    <m/>
  </r>
  <r>
    <x v="1090"/>
    <s v="MECHANICAL"/>
    <x v="103"/>
    <x v="0"/>
    <x v="1065"/>
    <x v="1088"/>
    <s v="J3"/>
    <x v="0"/>
    <m/>
    <m/>
    <m/>
    <m/>
    <x v="0"/>
    <m/>
    <m/>
    <m/>
    <n v="0"/>
    <m/>
  </r>
  <r>
    <x v="1091"/>
    <s v="TAPES"/>
    <x v="31"/>
    <x v="0"/>
    <x v="1066"/>
    <x v="1089"/>
    <s v="J3"/>
    <x v="0"/>
    <m/>
    <m/>
    <m/>
    <m/>
    <x v="0"/>
    <m/>
    <m/>
    <m/>
    <n v="0"/>
    <m/>
  </r>
  <r>
    <x v="1092"/>
    <s v="BELTS"/>
    <x v="72"/>
    <x v="0"/>
    <x v="1067"/>
    <x v="1090"/>
    <s v="J3"/>
    <x v="0"/>
    <m/>
    <m/>
    <m/>
    <m/>
    <x v="0"/>
    <m/>
    <m/>
    <m/>
    <n v="0"/>
    <m/>
  </r>
  <r>
    <x v="1093"/>
    <s v="MECHANICAL"/>
    <x v="41"/>
    <x v="0"/>
    <x v="1068"/>
    <x v="1091"/>
    <s v="J3"/>
    <x v="0"/>
    <m/>
    <m/>
    <m/>
    <m/>
    <x v="0"/>
    <m/>
    <m/>
    <m/>
    <n v="0"/>
    <m/>
  </r>
  <r>
    <x v="1094"/>
    <s v="ROLLERS"/>
    <x v="118"/>
    <x v="0"/>
    <x v="1069"/>
    <x v="1092"/>
    <s v="J3"/>
    <x v="0"/>
    <m/>
    <m/>
    <m/>
    <m/>
    <x v="0"/>
    <m/>
    <m/>
    <m/>
    <n v="0"/>
    <m/>
  </r>
  <r>
    <x v="1095"/>
    <s v="ROLLERS"/>
    <x v="118"/>
    <x v="0"/>
    <x v="1070"/>
    <x v="1093"/>
    <s v="J3"/>
    <x v="0"/>
    <m/>
    <m/>
    <m/>
    <m/>
    <x v="0"/>
    <m/>
    <m/>
    <m/>
    <n v="0"/>
    <m/>
  </r>
  <r>
    <x v="1096"/>
    <s v="TAPES"/>
    <x v="31"/>
    <x v="0"/>
    <x v="1071"/>
    <x v="1094"/>
    <s v="J3"/>
    <x v="0"/>
    <m/>
    <m/>
    <m/>
    <m/>
    <x v="0"/>
    <m/>
    <m/>
    <m/>
    <n v="0"/>
    <m/>
  </r>
  <r>
    <x v="1097"/>
    <s v="FASTENERS"/>
    <x v="11"/>
    <x v="0"/>
    <x v="1072"/>
    <x v="1095"/>
    <s v="K1"/>
    <x v="0"/>
    <m/>
    <m/>
    <m/>
    <m/>
    <x v="0"/>
    <m/>
    <m/>
    <m/>
    <n v="0"/>
    <m/>
  </r>
  <r>
    <x v="1098"/>
    <s v="FASTENERS"/>
    <x v="11"/>
    <x v="0"/>
    <x v="1073"/>
    <x v="1096"/>
    <s v="K1"/>
    <x v="0"/>
    <m/>
    <m/>
    <m/>
    <m/>
    <x v="0"/>
    <m/>
    <m/>
    <m/>
    <n v="0"/>
    <m/>
  </r>
  <r>
    <x v="1099"/>
    <s v="FASTENERS"/>
    <x v="11"/>
    <x v="0"/>
    <x v="1074"/>
    <x v="1097"/>
    <s v="K1"/>
    <x v="0"/>
    <m/>
    <m/>
    <m/>
    <m/>
    <x v="0"/>
    <m/>
    <m/>
    <m/>
    <n v="0"/>
    <m/>
  </r>
  <r>
    <x v="1100"/>
    <s v="FASTENERS"/>
    <x v="11"/>
    <x v="0"/>
    <x v="1075"/>
    <x v="1098"/>
    <s v="K1"/>
    <x v="0"/>
    <m/>
    <m/>
    <m/>
    <m/>
    <x v="0"/>
    <m/>
    <m/>
    <m/>
    <n v="0"/>
    <m/>
  </r>
  <r>
    <x v="1101"/>
    <s v="FASTENERS"/>
    <x v="11"/>
    <x v="0"/>
    <x v="1076"/>
    <x v="1099"/>
    <s v="K1"/>
    <x v="0"/>
    <m/>
    <m/>
    <m/>
    <m/>
    <x v="0"/>
    <m/>
    <m/>
    <m/>
    <n v="0"/>
    <m/>
  </r>
  <r>
    <x v="1102"/>
    <s v="FASTENERS"/>
    <x v="11"/>
    <x v="0"/>
    <x v="1077"/>
    <x v="1100"/>
    <s v="K1"/>
    <x v="0"/>
    <m/>
    <m/>
    <m/>
    <m/>
    <x v="0"/>
    <m/>
    <m/>
    <m/>
    <n v="0"/>
    <m/>
  </r>
  <r>
    <x v="1103"/>
    <s v="FASTENERS"/>
    <x v="11"/>
    <x v="0"/>
    <x v="1078"/>
    <x v="1101"/>
    <s v="K1"/>
    <x v="0"/>
    <m/>
    <m/>
    <m/>
    <m/>
    <x v="0"/>
    <m/>
    <m/>
    <m/>
    <n v="0"/>
    <m/>
  </r>
  <r>
    <x v="1104"/>
    <s v="FASTENERS"/>
    <x v="11"/>
    <x v="0"/>
    <x v="1079"/>
    <x v="1102"/>
    <s v="K1"/>
    <x v="0"/>
    <m/>
    <m/>
    <m/>
    <m/>
    <x v="0"/>
    <m/>
    <m/>
    <m/>
    <n v="0"/>
    <m/>
  </r>
  <r>
    <x v="1105"/>
    <s v="FASTENERS"/>
    <x v="11"/>
    <x v="0"/>
    <x v="1080"/>
    <x v="1103"/>
    <s v="K1"/>
    <x v="0"/>
    <m/>
    <m/>
    <m/>
    <m/>
    <x v="0"/>
    <m/>
    <m/>
    <m/>
    <n v="0"/>
    <m/>
  </r>
  <r>
    <x v="1106"/>
    <s v="FASTENERS"/>
    <x v="11"/>
    <x v="0"/>
    <x v="1081"/>
    <x v="1104"/>
    <s v="K1"/>
    <x v="0"/>
    <m/>
    <m/>
    <m/>
    <m/>
    <x v="0"/>
    <m/>
    <m/>
    <m/>
    <n v="0"/>
    <m/>
  </r>
  <r>
    <x v="1107"/>
    <s v="FASTENERS"/>
    <x v="11"/>
    <x v="0"/>
    <x v="1082"/>
    <x v="1105"/>
    <s v="K1"/>
    <x v="0"/>
    <m/>
    <m/>
    <m/>
    <m/>
    <x v="0"/>
    <m/>
    <m/>
    <m/>
    <n v="0"/>
    <m/>
  </r>
  <r>
    <x v="1108"/>
    <s v="FASTENERS"/>
    <x v="11"/>
    <x v="0"/>
    <x v="1083"/>
    <x v="1106"/>
    <s v="K1"/>
    <x v="0"/>
    <m/>
    <m/>
    <m/>
    <m/>
    <x v="0"/>
    <m/>
    <m/>
    <m/>
    <n v="0"/>
    <m/>
  </r>
  <r>
    <x v="1109"/>
    <s v="FASTENERS"/>
    <x v="11"/>
    <x v="0"/>
    <x v="1084"/>
    <x v="1107"/>
    <s v="K1"/>
    <x v="0"/>
    <m/>
    <m/>
    <m/>
    <m/>
    <x v="0"/>
    <m/>
    <m/>
    <m/>
    <n v="0"/>
    <m/>
  </r>
  <r>
    <x v="1110"/>
    <s v="FASTENERS"/>
    <x v="11"/>
    <x v="0"/>
    <x v="1085"/>
    <x v="1108"/>
    <s v="K1"/>
    <x v="0"/>
    <m/>
    <m/>
    <m/>
    <m/>
    <x v="0"/>
    <m/>
    <m/>
    <m/>
    <n v="0"/>
    <m/>
  </r>
  <r>
    <x v="1111"/>
    <s v="FASTENERS"/>
    <x v="11"/>
    <x v="0"/>
    <x v="1086"/>
    <x v="1109"/>
    <s v="K1"/>
    <x v="0"/>
    <m/>
    <m/>
    <m/>
    <m/>
    <x v="0"/>
    <m/>
    <m/>
    <m/>
    <n v="0"/>
    <m/>
  </r>
  <r>
    <x v="1112"/>
    <s v="FASTENERS"/>
    <x v="11"/>
    <x v="0"/>
    <x v="1087"/>
    <x v="1110"/>
    <s v="K1"/>
    <x v="0"/>
    <m/>
    <m/>
    <m/>
    <m/>
    <x v="0"/>
    <m/>
    <m/>
    <m/>
    <n v="0"/>
    <m/>
  </r>
  <r>
    <x v="1113"/>
    <s v="FASTENERS"/>
    <x v="11"/>
    <x v="0"/>
    <x v="1088"/>
    <x v="1111"/>
    <s v="K1"/>
    <x v="0"/>
    <m/>
    <m/>
    <m/>
    <m/>
    <x v="0"/>
    <m/>
    <m/>
    <m/>
    <n v="0"/>
    <m/>
  </r>
  <r>
    <x v="1114"/>
    <s v="FASTENERS"/>
    <x v="11"/>
    <x v="0"/>
    <x v="1089"/>
    <x v="1112"/>
    <s v="K1"/>
    <x v="0"/>
    <m/>
    <m/>
    <m/>
    <m/>
    <x v="0"/>
    <m/>
    <m/>
    <m/>
    <n v="0"/>
    <m/>
  </r>
  <r>
    <x v="1115"/>
    <s v="FASTENERS"/>
    <x v="11"/>
    <x v="0"/>
    <x v="1090"/>
    <x v="1113"/>
    <s v="K1"/>
    <x v="0"/>
    <m/>
    <m/>
    <m/>
    <m/>
    <x v="0"/>
    <m/>
    <m/>
    <m/>
    <n v="0"/>
    <m/>
  </r>
  <r>
    <x v="1116"/>
    <s v="FASTENERS"/>
    <x v="11"/>
    <x v="0"/>
    <x v="1091"/>
    <x v="1114"/>
    <s v="K1"/>
    <x v="0"/>
    <m/>
    <m/>
    <m/>
    <m/>
    <x v="0"/>
    <m/>
    <m/>
    <m/>
    <n v="0"/>
    <m/>
  </r>
  <r>
    <x v="1117"/>
    <s v="FASTENERS"/>
    <x v="11"/>
    <x v="0"/>
    <x v="1092"/>
    <x v="1115"/>
    <s v="K1"/>
    <x v="0"/>
    <m/>
    <m/>
    <m/>
    <m/>
    <x v="0"/>
    <m/>
    <m/>
    <m/>
    <n v="0"/>
    <m/>
  </r>
  <r>
    <x v="1118"/>
    <s v="FASTENERS"/>
    <x v="11"/>
    <x v="0"/>
    <x v="1093"/>
    <x v="1116"/>
    <s v="K1"/>
    <x v="0"/>
    <m/>
    <m/>
    <m/>
    <m/>
    <x v="0"/>
    <m/>
    <m/>
    <m/>
    <n v="0"/>
    <m/>
  </r>
  <r>
    <x v="1119"/>
    <s v="FASTENERS"/>
    <x v="11"/>
    <x v="0"/>
    <x v="1094"/>
    <x v="1117"/>
    <s v="K1"/>
    <x v="0"/>
    <m/>
    <m/>
    <m/>
    <m/>
    <x v="0"/>
    <m/>
    <m/>
    <m/>
    <n v="0"/>
    <m/>
  </r>
  <r>
    <x v="1120"/>
    <s v="FASTENERS"/>
    <x v="11"/>
    <x v="0"/>
    <x v="1095"/>
    <x v="1118"/>
    <s v="K1"/>
    <x v="0"/>
    <m/>
    <m/>
    <m/>
    <m/>
    <x v="0"/>
    <m/>
    <m/>
    <m/>
    <n v="0"/>
    <m/>
  </r>
  <r>
    <x v="1121"/>
    <s v="FASTENERS"/>
    <x v="11"/>
    <x v="0"/>
    <x v="1096"/>
    <x v="1119"/>
    <s v="K1"/>
    <x v="0"/>
    <m/>
    <m/>
    <m/>
    <m/>
    <x v="0"/>
    <m/>
    <m/>
    <m/>
    <n v="0"/>
    <m/>
  </r>
  <r>
    <x v="1122"/>
    <s v="FASTENERS"/>
    <x v="11"/>
    <x v="0"/>
    <x v="1097"/>
    <x v="1120"/>
    <s v="K1"/>
    <x v="0"/>
    <m/>
    <m/>
    <m/>
    <m/>
    <x v="0"/>
    <m/>
    <m/>
    <m/>
    <n v="0"/>
    <m/>
  </r>
  <r>
    <x v="1123"/>
    <s v="FASTENERS"/>
    <x v="11"/>
    <x v="0"/>
    <x v="1098"/>
    <x v="1121"/>
    <s v="K1"/>
    <x v="0"/>
    <m/>
    <m/>
    <m/>
    <m/>
    <x v="0"/>
    <m/>
    <m/>
    <m/>
    <n v="0"/>
    <m/>
  </r>
  <r>
    <x v="1124"/>
    <s v="FASTENERS"/>
    <x v="11"/>
    <x v="0"/>
    <x v="1099"/>
    <x v="1122"/>
    <s v="K1"/>
    <x v="0"/>
    <m/>
    <m/>
    <m/>
    <m/>
    <x v="0"/>
    <m/>
    <m/>
    <m/>
    <n v="0"/>
    <m/>
  </r>
  <r>
    <x v="1125"/>
    <s v="FASTENERS"/>
    <x v="11"/>
    <x v="0"/>
    <x v="1100"/>
    <x v="1123"/>
    <s v="K1"/>
    <x v="0"/>
    <m/>
    <m/>
    <m/>
    <m/>
    <x v="0"/>
    <m/>
    <m/>
    <m/>
    <n v="0"/>
    <m/>
  </r>
  <r>
    <x v="1126"/>
    <s v="CIVIL"/>
    <x v="121"/>
    <x v="0"/>
    <x v="1101"/>
    <x v="1124"/>
    <s v="K2"/>
    <x v="0"/>
    <m/>
    <m/>
    <m/>
    <m/>
    <x v="0"/>
    <m/>
    <m/>
    <m/>
    <n v="0"/>
    <m/>
  </r>
  <r>
    <x v="1127"/>
    <s v="CIVIL"/>
    <x v="121"/>
    <x v="0"/>
    <x v="1102"/>
    <x v="1125"/>
    <s v="K2"/>
    <x v="0"/>
    <m/>
    <m/>
    <m/>
    <m/>
    <x v="0"/>
    <m/>
    <m/>
    <m/>
    <n v="0"/>
    <m/>
  </r>
  <r>
    <x v="1128"/>
    <s v="CIVIL"/>
    <x v="121"/>
    <x v="0"/>
    <x v="1102"/>
    <x v="1125"/>
    <s v="K2"/>
    <x v="0"/>
    <m/>
    <m/>
    <m/>
    <m/>
    <x v="0"/>
    <m/>
    <m/>
    <m/>
    <n v="0"/>
    <m/>
  </r>
  <r>
    <x v="1129"/>
    <s v="CIVIL"/>
    <x v="121"/>
    <x v="0"/>
    <x v="1103"/>
    <x v="1126"/>
    <s v="K2"/>
    <x v="0"/>
    <m/>
    <m/>
    <m/>
    <m/>
    <x v="0"/>
    <m/>
    <m/>
    <m/>
    <n v="0"/>
    <m/>
  </r>
  <r>
    <x v="1130"/>
    <s v="CIVIL"/>
    <x v="121"/>
    <x v="0"/>
    <x v="1104"/>
    <x v="1127"/>
    <s v="K2"/>
    <x v="0"/>
    <m/>
    <m/>
    <m/>
    <m/>
    <x v="0"/>
    <m/>
    <m/>
    <m/>
    <n v="0"/>
    <m/>
  </r>
  <r>
    <x v="1131"/>
    <s v="CIVIL"/>
    <x v="121"/>
    <x v="0"/>
    <x v="1105"/>
    <x v="1128"/>
    <s v="K2"/>
    <x v="0"/>
    <m/>
    <m/>
    <m/>
    <m/>
    <x v="0"/>
    <m/>
    <m/>
    <m/>
    <n v="0"/>
    <m/>
  </r>
  <r>
    <x v="1132"/>
    <s v="CIVIL"/>
    <x v="121"/>
    <x v="0"/>
    <x v="1106"/>
    <x v="1129"/>
    <s v="K2"/>
    <x v="0"/>
    <m/>
    <m/>
    <m/>
    <m/>
    <x v="0"/>
    <m/>
    <m/>
    <m/>
    <n v="0"/>
    <m/>
  </r>
  <r>
    <x v="1133"/>
    <s v="CIVIL"/>
    <x v="121"/>
    <x v="0"/>
    <x v="1107"/>
    <x v="1130"/>
    <s v="K2"/>
    <x v="0"/>
    <m/>
    <m/>
    <m/>
    <m/>
    <x v="0"/>
    <m/>
    <m/>
    <m/>
    <n v="0"/>
    <m/>
  </r>
  <r>
    <x v="1134"/>
    <s v="CIVIL"/>
    <x v="122"/>
    <x v="0"/>
    <x v="1108"/>
    <x v="1131"/>
    <s v="K2"/>
    <x v="0"/>
    <m/>
    <m/>
    <m/>
    <m/>
    <x v="0"/>
    <m/>
    <m/>
    <m/>
    <n v="0"/>
    <m/>
  </r>
  <r>
    <x v="1135"/>
    <s v="CIVIL"/>
    <x v="123"/>
    <x v="0"/>
    <x v="1109"/>
    <x v="1132"/>
    <s v="K2"/>
    <x v="0"/>
    <m/>
    <m/>
    <m/>
    <m/>
    <x v="0"/>
    <m/>
    <m/>
    <m/>
    <n v="0"/>
    <m/>
  </r>
  <r>
    <x v="1136"/>
    <s v="CIVIL"/>
    <x v="124"/>
    <x v="0"/>
    <x v="1110"/>
    <x v="1133"/>
    <s v="K2"/>
    <x v="0"/>
    <m/>
    <m/>
    <m/>
    <m/>
    <x v="0"/>
    <m/>
    <m/>
    <m/>
    <n v="0"/>
    <m/>
  </r>
  <r>
    <x v="1137"/>
    <s v="CIVIL"/>
    <x v="125"/>
    <x v="0"/>
    <x v="1111"/>
    <x v="1134"/>
    <s v="K2"/>
    <x v="0"/>
    <m/>
    <m/>
    <m/>
    <m/>
    <x v="0"/>
    <m/>
    <m/>
    <m/>
    <n v="0"/>
    <m/>
  </r>
  <r>
    <x v="1138"/>
    <s v="CIVIL"/>
    <x v="125"/>
    <x v="0"/>
    <x v="1112"/>
    <x v="1135"/>
    <s v="K2"/>
    <x v="0"/>
    <m/>
    <m/>
    <m/>
    <m/>
    <x v="0"/>
    <m/>
    <m/>
    <m/>
    <n v="0"/>
    <m/>
  </r>
  <r>
    <x v="1139"/>
    <s v="CIVIL"/>
    <x v="125"/>
    <x v="0"/>
    <x v="1113"/>
    <x v="1136"/>
    <s v="K2"/>
    <x v="0"/>
    <m/>
    <m/>
    <m/>
    <m/>
    <x v="0"/>
    <m/>
    <m/>
    <m/>
    <n v="0"/>
    <m/>
  </r>
  <r>
    <x v="1140"/>
    <s v="CIVIL"/>
    <x v="125"/>
    <x v="0"/>
    <x v="1114"/>
    <x v="1137"/>
    <s v="K2"/>
    <x v="0"/>
    <m/>
    <m/>
    <m/>
    <m/>
    <x v="0"/>
    <m/>
    <m/>
    <m/>
    <n v="0"/>
    <m/>
  </r>
  <r>
    <x v="1141"/>
    <s v="PPE"/>
    <x v="80"/>
    <x v="0"/>
    <x v="1115"/>
    <x v="1138"/>
    <s v="K2"/>
    <x v="0"/>
    <m/>
    <m/>
    <m/>
    <m/>
    <x v="0"/>
    <m/>
    <m/>
    <m/>
    <n v="0"/>
    <m/>
  </r>
  <r>
    <x v="1142"/>
    <s v="CIVIL"/>
    <x v="121"/>
    <x v="0"/>
    <x v="1116"/>
    <x v="1139"/>
    <s v="K2"/>
    <x v="0"/>
    <m/>
    <m/>
    <m/>
    <m/>
    <x v="0"/>
    <m/>
    <m/>
    <m/>
    <n v="0"/>
    <m/>
  </r>
  <r>
    <x v="1143"/>
    <s v="CIVIL"/>
    <x v="126"/>
    <x v="0"/>
    <x v="1117"/>
    <x v="1140"/>
    <s v="K2"/>
    <x v="0"/>
    <m/>
    <m/>
    <m/>
    <m/>
    <x v="0"/>
    <m/>
    <m/>
    <m/>
    <n v="0"/>
    <m/>
  </r>
  <r>
    <x v="1144"/>
    <s v="CIVIL"/>
    <x v="126"/>
    <x v="0"/>
    <x v="1118"/>
    <x v="1141"/>
    <s v="K2"/>
    <x v="0"/>
    <m/>
    <m/>
    <m/>
    <m/>
    <x v="0"/>
    <m/>
    <m/>
    <m/>
    <n v="0"/>
    <m/>
  </r>
  <r>
    <x v="1145"/>
    <s v="CIVIL"/>
    <x v="126"/>
    <x v="0"/>
    <x v="1119"/>
    <x v="1142"/>
    <s v="K2"/>
    <x v="0"/>
    <m/>
    <m/>
    <m/>
    <m/>
    <x v="0"/>
    <m/>
    <m/>
    <m/>
    <n v="0"/>
    <m/>
  </r>
  <r>
    <x v="1146"/>
    <s v="CIVIL"/>
    <x v="126"/>
    <x v="0"/>
    <x v="1120"/>
    <x v="1143"/>
    <s v="K2"/>
    <x v="0"/>
    <m/>
    <m/>
    <m/>
    <m/>
    <x v="0"/>
    <m/>
    <m/>
    <m/>
    <n v="0"/>
    <m/>
  </r>
  <r>
    <x v="1147"/>
    <s v="CIVIL"/>
    <x v="126"/>
    <x v="0"/>
    <x v="1121"/>
    <x v="1144"/>
    <s v="K2"/>
    <x v="0"/>
    <m/>
    <m/>
    <m/>
    <m/>
    <x v="0"/>
    <m/>
    <m/>
    <m/>
    <n v="0"/>
    <m/>
  </r>
  <r>
    <x v="1148"/>
    <s v="CIVIL"/>
    <x v="127"/>
    <x v="0"/>
    <x v="1122"/>
    <x v="1145"/>
    <s v="K2"/>
    <x v="0"/>
    <m/>
    <m/>
    <m/>
    <m/>
    <x v="0"/>
    <m/>
    <m/>
    <m/>
    <n v="0"/>
    <m/>
  </r>
  <r>
    <x v="1149"/>
    <s v="CIVIL"/>
    <x v="127"/>
    <x v="0"/>
    <x v="1123"/>
    <x v="1146"/>
    <s v="K2"/>
    <x v="0"/>
    <m/>
    <m/>
    <m/>
    <m/>
    <x v="0"/>
    <m/>
    <m/>
    <m/>
    <n v="0"/>
    <m/>
  </r>
  <r>
    <x v="1150"/>
    <s v="CIVIL"/>
    <x v="127"/>
    <x v="0"/>
    <x v="1124"/>
    <x v="1147"/>
    <s v="K2"/>
    <x v="0"/>
    <m/>
    <m/>
    <m/>
    <m/>
    <x v="0"/>
    <m/>
    <m/>
    <m/>
    <n v="0"/>
    <m/>
  </r>
  <r>
    <x v="1151"/>
    <s v="CIVIL"/>
    <x v="127"/>
    <x v="0"/>
    <x v="1125"/>
    <x v="1148"/>
    <s v="K2"/>
    <x v="0"/>
    <m/>
    <m/>
    <m/>
    <m/>
    <x v="0"/>
    <m/>
    <m/>
    <m/>
    <n v="0"/>
    <m/>
  </r>
  <r>
    <x v="1152"/>
    <s v="CIVIL"/>
    <x v="127"/>
    <x v="0"/>
    <x v="1126"/>
    <x v="1149"/>
    <s v="K2"/>
    <x v="0"/>
    <m/>
    <m/>
    <m/>
    <m/>
    <x v="0"/>
    <m/>
    <m/>
    <m/>
    <n v="0"/>
    <m/>
  </r>
  <r>
    <x v="1153"/>
    <s v="CIVIL"/>
    <x v="128"/>
    <x v="0"/>
    <x v="1127"/>
    <x v="1150"/>
    <s v="K2"/>
    <x v="0"/>
    <m/>
    <m/>
    <m/>
    <m/>
    <x v="0"/>
    <m/>
    <m/>
    <m/>
    <n v="0"/>
    <m/>
  </r>
  <r>
    <x v="1154"/>
    <s v="CIVIL"/>
    <x v="129"/>
    <x v="0"/>
    <x v="1128"/>
    <x v="1151"/>
    <s v="K2"/>
    <x v="0"/>
    <m/>
    <m/>
    <m/>
    <m/>
    <x v="0"/>
    <m/>
    <m/>
    <m/>
    <n v="0"/>
    <m/>
  </r>
  <r>
    <x v="1155"/>
    <s v="PRODUCTION SUPPLY"/>
    <x v="130"/>
    <x v="0"/>
    <x v="1129"/>
    <x v="1152"/>
    <s v="L1"/>
    <x v="0"/>
    <m/>
    <m/>
    <m/>
    <m/>
    <x v="0"/>
    <m/>
    <m/>
    <m/>
    <n v="0"/>
    <m/>
  </r>
  <r>
    <x v="1156"/>
    <s v="MISCELLANEOUS"/>
    <x v="131"/>
    <x v="0"/>
    <x v="1130"/>
    <x v="1153"/>
    <s v="L1"/>
    <x v="0"/>
    <m/>
    <m/>
    <m/>
    <m/>
    <x v="0"/>
    <m/>
    <m/>
    <m/>
    <n v="0"/>
    <m/>
  </r>
  <r>
    <x v="1157"/>
    <s v="MISCELLANEOUS"/>
    <x v="37"/>
    <x v="0"/>
    <x v="1131"/>
    <x v="1154"/>
    <s v="L1"/>
    <x v="0"/>
    <m/>
    <m/>
    <m/>
    <m/>
    <x v="0"/>
    <m/>
    <m/>
    <m/>
    <n v="0"/>
    <m/>
  </r>
  <r>
    <x v="1158"/>
    <s v="MISCELLANEOUS"/>
    <x v="37"/>
    <x v="0"/>
    <x v="1132"/>
    <x v="1155"/>
    <s v="L1"/>
    <x v="0"/>
    <m/>
    <m/>
    <m/>
    <m/>
    <x v="0"/>
    <m/>
    <m/>
    <m/>
    <n v="0"/>
    <m/>
  </r>
  <r>
    <x v="1159"/>
    <s v="MISCELLANEOUS"/>
    <x v="132"/>
    <x v="0"/>
    <x v="1133"/>
    <x v="1156"/>
    <s v="L1"/>
    <x v="0"/>
    <m/>
    <m/>
    <m/>
    <m/>
    <x v="0"/>
    <m/>
    <m/>
    <m/>
    <n v="0"/>
    <m/>
  </r>
  <r>
    <x v="1160"/>
    <s v="PPE"/>
    <x v="133"/>
    <x v="0"/>
    <x v="1134"/>
    <x v="1157"/>
    <s v="L1"/>
    <x v="0"/>
    <m/>
    <m/>
    <m/>
    <m/>
    <x v="0"/>
    <m/>
    <m/>
    <m/>
    <n v="0"/>
    <m/>
  </r>
  <r>
    <x v="1161"/>
    <s v="LUBRICANT"/>
    <x v="134"/>
    <x v="0"/>
    <x v="1135"/>
    <x v="1158"/>
    <s v="L1"/>
    <x v="0"/>
    <m/>
    <m/>
    <m/>
    <m/>
    <x v="0"/>
    <m/>
    <m/>
    <m/>
    <n v="0"/>
    <m/>
  </r>
  <r>
    <x v="1162"/>
    <s v="MISCELLANEOUS"/>
    <x v="128"/>
    <x v="0"/>
    <x v="1136"/>
    <x v="1159"/>
    <s v="L1"/>
    <x v="0"/>
    <m/>
    <m/>
    <m/>
    <m/>
    <x v="0"/>
    <m/>
    <m/>
    <m/>
    <n v="0"/>
    <m/>
  </r>
  <r>
    <x v="1163"/>
    <s v="MISCELLANEOUS"/>
    <x v="37"/>
    <x v="0"/>
    <x v="1137"/>
    <x v="1160"/>
    <s v="L1"/>
    <x v="0"/>
    <m/>
    <m/>
    <m/>
    <m/>
    <x v="0"/>
    <m/>
    <m/>
    <m/>
    <n v="0"/>
    <m/>
  </r>
  <r>
    <x v="1164"/>
    <s v="PPE"/>
    <x v="135"/>
    <x v="0"/>
    <x v="1138"/>
    <x v="1161"/>
    <s v="L1"/>
    <x v="0"/>
    <m/>
    <m/>
    <m/>
    <m/>
    <x v="0"/>
    <m/>
    <m/>
    <m/>
    <n v="0"/>
    <m/>
  </r>
  <r>
    <x v="1165"/>
    <s v="MISCELLANEOUS"/>
    <x v="128"/>
    <x v="0"/>
    <x v="1139"/>
    <x v="1162"/>
    <s v="L2"/>
    <x v="0"/>
    <m/>
    <m/>
    <m/>
    <m/>
    <x v="0"/>
    <m/>
    <m/>
    <m/>
    <n v="0"/>
    <m/>
  </r>
  <r>
    <x v="1166"/>
    <s v="MISCELLANEOUS"/>
    <x v="128"/>
    <x v="0"/>
    <x v="1140"/>
    <x v="1163"/>
    <s v="L2"/>
    <x v="0"/>
    <m/>
    <m/>
    <m/>
    <m/>
    <x v="0"/>
    <m/>
    <m/>
    <m/>
    <n v="0"/>
    <m/>
  </r>
  <r>
    <x v="1167"/>
    <s v="MISCELLANEOUS"/>
    <x v="128"/>
    <x v="0"/>
    <x v="1141"/>
    <x v="1164"/>
    <s v="L2"/>
    <x v="0"/>
    <m/>
    <m/>
    <m/>
    <m/>
    <x v="0"/>
    <m/>
    <m/>
    <m/>
    <n v="0"/>
    <m/>
  </r>
  <r>
    <x v="1168"/>
    <s v="MISCELLANEOUS"/>
    <x v="128"/>
    <x v="0"/>
    <x v="1142"/>
    <x v="1165"/>
    <s v="L2"/>
    <x v="0"/>
    <m/>
    <m/>
    <m/>
    <m/>
    <x v="0"/>
    <m/>
    <m/>
    <m/>
    <n v="0"/>
    <m/>
  </r>
  <r>
    <x v="1169"/>
    <s v="TAPES"/>
    <x v="31"/>
    <x v="0"/>
    <x v="1143"/>
    <x v="1166"/>
    <s v="L2"/>
    <x v="0"/>
    <m/>
    <m/>
    <m/>
    <m/>
    <x v="0"/>
    <m/>
    <m/>
    <m/>
    <n v="0"/>
    <m/>
  </r>
  <r>
    <x v="1170"/>
    <s v="TAPES"/>
    <x v="31"/>
    <x v="0"/>
    <x v="1144"/>
    <x v="1167"/>
    <s v="L2"/>
    <x v="0"/>
    <m/>
    <m/>
    <m/>
    <m/>
    <x v="0"/>
    <m/>
    <m/>
    <m/>
    <n v="0"/>
    <m/>
  </r>
  <r>
    <x v="1171"/>
    <s v="MISCELLANEOUS"/>
    <x v="128"/>
    <x v="0"/>
    <x v="1145"/>
    <x v="1168"/>
    <s v="L2"/>
    <x v="0"/>
    <m/>
    <m/>
    <m/>
    <m/>
    <x v="0"/>
    <m/>
    <m/>
    <m/>
    <n v="0"/>
    <m/>
  </r>
  <r>
    <x v="1172"/>
    <s v="MISCELLANEOUS"/>
    <x v="128"/>
    <x v="0"/>
    <x v="1146"/>
    <x v="1169"/>
    <s v="L2"/>
    <x v="0"/>
    <m/>
    <m/>
    <m/>
    <m/>
    <x v="0"/>
    <m/>
    <m/>
    <m/>
    <n v="0"/>
    <m/>
  </r>
  <r>
    <x v="1173"/>
    <s v="MISCELLANEOUS"/>
    <x v="128"/>
    <x v="0"/>
    <x v="1147"/>
    <x v="1170"/>
    <s v="L2"/>
    <x v="0"/>
    <m/>
    <m/>
    <m/>
    <m/>
    <x v="0"/>
    <m/>
    <m/>
    <m/>
    <n v="0"/>
    <m/>
  </r>
  <r>
    <x v="1174"/>
    <s v="TAPES"/>
    <x v="136"/>
    <x v="0"/>
    <x v="1148"/>
    <x v="1171"/>
    <s v="L2"/>
    <x v="0"/>
    <m/>
    <m/>
    <m/>
    <m/>
    <x v="0"/>
    <m/>
    <m/>
    <m/>
    <n v="0"/>
    <m/>
  </r>
  <r>
    <x v="1175"/>
    <s v="TAPES"/>
    <x v="136"/>
    <x v="0"/>
    <x v="1149"/>
    <x v="1172"/>
    <s v="L3"/>
    <x v="0"/>
    <m/>
    <m/>
    <m/>
    <m/>
    <x v="0"/>
    <m/>
    <m/>
    <m/>
    <n v="0"/>
    <m/>
  </r>
  <r>
    <x v="1176"/>
    <s v="TAPES"/>
    <x v="137"/>
    <x v="0"/>
    <x v="1150"/>
    <x v="1173"/>
    <s v="L3"/>
    <x v="0"/>
    <m/>
    <m/>
    <m/>
    <m/>
    <x v="0"/>
    <m/>
    <m/>
    <m/>
    <n v="0"/>
    <m/>
  </r>
  <r>
    <x v="1177"/>
    <s v="TAPES"/>
    <x v="138"/>
    <x v="0"/>
    <x v="1151"/>
    <x v="1174"/>
    <s v="L3"/>
    <x v="0"/>
    <m/>
    <m/>
    <m/>
    <m/>
    <x v="0"/>
    <m/>
    <m/>
    <m/>
    <n v="0"/>
    <m/>
  </r>
  <r>
    <x v="1178"/>
    <s v="MISCELLANEOUS"/>
    <x v="128"/>
    <x v="0"/>
    <x v="1152"/>
    <x v="1175"/>
    <s v="L3"/>
    <x v="0"/>
    <m/>
    <m/>
    <m/>
    <m/>
    <x v="0"/>
    <m/>
    <m/>
    <m/>
    <n v="0"/>
    <m/>
  </r>
  <r>
    <x v="1179"/>
    <s v="TAPES"/>
    <x v="97"/>
    <x v="0"/>
    <x v="1153"/>
    <x v="1176"/>
    <s v="L3"/>
    <x v="0"/>
    <m/>
    <m/>
    <m/>
    <m/>
    <x v="0"/>
    <m/>
    <m/>
    <m/>
    <n v="0"/>
    <m/>
  </r>
  <r>
    <x v="1180"/>
    <s v="TAPES"/>
    <x v="137"/>
    <x v="0"/>
    <x v="1150"/>
    <x v="1177"/>
    <s v="L3"/>
    <x v="0"/>
    <m/>
    <m/>
    <m/>
    <m/>
    <x v="0"/>
    <m/>
    <m/>
    <m/>
    <n v="0"/>
    <m/>
  </r>
  <r>
    <x v="1181"/>
    <s v="MISCELLANEOUS"/>
    <x v="128"/>
    <x v="0"/>
    <x v="1154"/>
    <x v="1178"/>
    <s v="L3"/>
    <x v="0"/>
    <m/>
    <m/>
    <m/>
    <m/>
    <x v="0"/>
    <m/>
    <m/>
    <m/>
    <n v="0"/>
    <m/>
  </r>
  <r>
    <x v="1182"/>
    <s v="ROLLERS"/>
    <x v="18"/>
    <x v="0"/>
    <x v="1155"/>
    <x v="1179"/>
    <s v="L4"/>
    <x v="0"/>
    <m/>
    <m/>
    <m/>
    <m/>
    <x v="0"/>
    <m/>
    <m/>
    <m/>
    <n v="0"/>
    <m/>
  </r>
  <r>
    <x v="1183"/>
    <s v="ROLLERS"/>
    <x v="18"/>
    <x v="0"/>
    <x v="1156"/>
    <x v="1180"/>
    <s v="L4"/>
    <x v="0"/>
    <m/>
    <m/>
    <m/>
    <m/>
    <x v="0"/>
    <m/>
    <m/>
    <m/>
    <n v="0"/>
    <m/>
  </r>
  <r>
    <x v="1184"/>
    <s v="ROLLERS"/>
    <x v="18"/>
    <x v="0"/>
    <x v="1157"/>
    <x v="1181"/>
    <s v="L4"/>
    <x v="0"/>
    <m/>
    <m/>
    <m/>
    <m/>
    <x v="0"/>
    <m/>
    <m/>
    <m/>
    <n v="0"/>
    <m/>
  </r>
  <r>
    <x v="1185"/>
    <s v="ROLLERS"/>
    <x v="18"/>
    <x v="0"/>
    <x v="1013"/>
    <x v="1182"/>
    <s v="L4"/>
    <x v="0"/>
    <m/>
    <m/>
    <m/>
    <m/>
    <x v="0"/>
    <m/>
    <m/>
    <m/>
    <n v="0"/>
    <m/>
  </r>
  <r>
    <x v="1186"/>
    <s v="ROLLERS"/>
    <x v="18"/>
    <x v="0"/>
    <x v="1158"/>
    <x v="1183"/>
    <s v="L4"/>
    <x v="0"/>
    <m/>
    <m/>
    <m/>
    <m/>
    <x v="0"/>
    <m/>
    <m/>
    <m/>
    <n v="0"/>
    <m/>
  </r>
  <r>
    <x v="1187"/>
    <s v="ROLLERS"/>
    <x v="18"/>
    <x v="0"/>
    <x v="1159"/>
    <x v="1184"/>
    <s v="L4"/>
    <x v="0"/>
    <m/>
    <m/>
    <m/>
    <m/>
    <x v="0"/>
    <m/>
    <m/>
    <m/>
    <n v="0"/>
    <m/>
  </r>
  <r>
    <x v="1188"/>
    <s v="ROLLERS"/>
    <x v="18"/>
    <x v="0"/>
    <x v="1160"/>
    <x v="1185"/>
    <s v="L4"/>
    <x v="0"/>
    <m/>
    <m/>
    <m/>
    <m/>
    <x v="0"/>
    <m/>
    <m/>
    <m/>
    <n v="0"/>
    <m/>
  </r>
  <r>
    <x v="1189"/>
    <s v="ROLLERS"/>
    <x v="18"/>
    <x v="0"/>
    <x v="1161"/>
    <x v="1186"/>
    <s v="L4"/>
    <x v="0"/>
    <m/>
    <m/>
    <m/>
    <m/>
    <x v="0"/>
    <m/>
    <m/>
    <m/>
    <n v="0"/>
    <m/>
  </r>
  <r>
    <x v="1190"/>
    <s v="ROLLERS"/>
    <x v="18"/>
    <x v="0"/>
    <x v="1162"/>
    <x v="1187"/>
    <s v="L4"/>
    <x v="0"/>
    <m/>
    <m/>
    <m/>
    <m/>
    <x v="0"/>
    <m/>
    <m/>
    <m/>
    <n v="0"/>
    <m/>
  </r>
  <r>
    <x v="1191"/>
    <s v="ROLLERS"/>
    <x v="18"/>
    <x v="0"/>
    <x v="1163"/>
    <x v="1188"/>
    <s v="L4"/>
    <x v="0"/>
    <m/>
    <m/>
    <m/>
    <m/>
    <x v="0"/>
    <m/>
    <m/>
    <m/>
    <n v="0"/>
    <m/>
  </r>
  <r>
    <x v="1192"/>
    <s v="ROLLERS"/>
    <x v="18"/>
    <x v="0"/>
    <x v="1164"/>
    <x v="1189"/>
    <s v="L4"/>
    <x v="0"/>
    <m/>
    <m/>
    <m/>
    <m/>
    <x v="0"/>
    <m/>
    <m/>
    <m/>
    <n v="0"/>
    <m/>
  </r>
  <r>
    <x v="1193"/>
    <s v="ROLLERS"/>
    <x v="18"/>
    <x v="0"/>
    <x v="1165"/>
    <x v="1190"/>
    <s v="L4"/>
    <x v="0"/>
    <m/>
    <m/>
    <m/>
    <m/>
    <x v="0"/>
    <m/>
    <m/>
    <m/>
    <n v="0"/>
    <m/>
  </r>
  <r>
    <x v="1194"/>
    <s v="ROLLERS"/>
    <x v="18"/>
    <x v="0"/>
    <x v="1166"/>
    <x v="1191"/>
    <s v="L4"/>
    <x v="0"/>
    <m/>
    <m/>
    <m/>
    <m/>
    <x v="0"/>
    <m/>
    <m/>
    <m/>
    <n v="0"/>
    <m/>
  </r>
  <r>
    <x v="1195"/>
    <s v="ROLLERS"/>
    <x v="18"/>
    <x v="0"/>
    <x v="1167"/>
    <x v="1192"/>
    <s v="L4"/>
    <x v="0"/>
    <m/>
    <m/>
    <m/>
    <m/>
    <x v="0"/>
    <m/>
    <m/>
    <m/>
    <n v="0"/>
    <m/>
  </r>
  <r>
    <x v="1196"/>
    <s v="ROLLERS"/>
    <x v="18"/>
    <x v="0"/>
    <x v="1168"/>
    <x v="1193"/>
    <s v="L4"/>
    <x v="0"/>
    <m/>
    <m/>
    <m/>
    <m/>
    <x v="0"/>
    <m/>
    <m/>
    <m/>
    <n v="0"/>
    <m/>
  </r>
  <r>
    <x v="1197"/>
    <s v="ROLLERS"/>
    <x v="18"/>
    <x v="0"/>
    <x v="1169"/>
    <x v="1194"/>
    <s v="L4"/>
    <x v="0"/>
    <m/>
    <m/>
    <m/>
    <m/>
    <x v="0"/>
    <m/>
    <m/>
    <m/>
    <n v="0"/>
    <m/>
  </r>
  <r>
    <x v="1198"/>
    <s v="ROLLERS"/>
    <x v="18"/>
    <x v="0"/>
    <x v="1170"/>
    <x v="1195"/>
    <s v="L4"/>
    <x v="0"/>
    <m/>
    <m/>
    <m/>
    <m/>
    <x v="0"/>
    <m/>
    <m/>
    <m/>
    <n v="0"/>
    <m/>
  </r>
  <r>
    <x v="1199"/>
    <s v="ROLLERS"/>
    <x v="18"/>
    <x v="0"/>
    <x v="1171"/>
    <x v="1196"/>
    <s v="L4"/>
    <x v="0"/>
    <m/>
    <m/>
    <m/>
    <m/>
    <x v="0"/>
    <m/>
    <m/>
    <m/>
    <n v="0"/>
    <m/>
  </r>
  <r>
    <x v="1200"/>
    <s v="ROLLERS"/>
    <x v="18"/>
    <x v="0"/>
    <x v="1172"/>
    <x v="1197"/>
    <s v="L4"/>
    <x v="0"/>
    <m/>
    <m/>
    <m/>
    <m/>
    <x v="0"/>
    <m/>
    <m/>
    <m/>
    <n v="0"/>
    <m/>
  </r>
  <r>
    <x v="1201"/>
    <s v="ROLLERS"/>
    <x v="18"/>
    <x v="0"/>
    <x v="1173"/>
    <x v="1198"/>
    <s v="L4"/>
    <x v="0"/>
    <m/>
    <m/>
    <m/>
    <m/>
    <x v="0"/>
    <m/>
    <m/>
    <m/>
    <n v="0"/>
    <m/>
  </r>
  <r>
    <x v="1202"/>
    <s v="ROLLERS"/>
    <x v="18"/>
    <x v="0"/>
    <x v="1174"/>
    <x v="1199"/>
    <s v="L4"/>
    <x v="0"/>
    <m/>
    <m/>
    <m/>
    <m/>
    <x v="0"/>
    <m/>
    <m/>
    <m/>
    <n v="0"/>
    <m/>
  </r>
  <r>
    <x v="1203"/>
    <s v="ROLLERS"/>
    <x v="18"/>
    <x v="0"/>
    <x v="1175"/>
    <x v="1200"/>
    <s v="L4"/>
    <x v="0"/>
    <m/>
    <m/>
    <m/>
    <m/>
    <x v="0"/>
    <m/>
    <m/>
    <m/>
    <n v="0"/>
    <m/>
  </r>
  <r>
    <x v="1204"/>
    <s v="ROLLERS"/>
    <x v="18"/>
    <x v="0"/>
    <x v="1176"/>
    <x v="1201"/>
    <s v="L4"/>
    <x v="0"/>
    <m/>
    <m/>
    <m/>
    <m/>
    <x v="0"/>
    <m/>
    <m/>
    <m/>
    <n v="0"/>
    <m/>
  </r>
  <r>
    <x v="1205"/>
    <s v="PNEUMATIC"/>
    <x v="30"/>
    <x v="0"/>
    <x v="1177"/>
    <x v="1202"/>
    <s v="L5"/>
    <x v="0"/>
    <m/>
    <m/>
    <m/>
    <m/>
    <x v="0"/>
    <m/>
    <m/>
    <m/>
    <n v="0"/>
    <m/>
  </r>
  <r>
    <x v="1206"/>
    <s v="PNEUMATIC"/>
    <x v="30"/>
    <x v="0"/>
    <x v="1178"/>
    <x v="1203"/>
    <s v="L5"/>
    <x v="0"/>
    <m/>
    <m/>
    <m/>
    <m/>
    <x v="0"/>
    <m/>
    <m/>
    <m/>
    <n v="0"/>
    <m/>
  </r>
  <r>
    <x v="1207"/>
    <s v="MECHANICAL"/>
    <x v="76"/>
    <x v="0"/>
    <x v="1179"/>
    <x v="1204"/>
    <s v="L5"/>
    <x v="0"/>
    <m/>
    <m/>
    <m/>
    <m/>
    <x v="0"/>
    <m/>
    <m/>
    <m/>
    <n v="0"/>
    <m/>
  </r>
  <r>
    <x v="1208"/>
    <s v="ROLLERS"/>
    <x v="92"/>
    <x v="0"/>
    <x v="1180"/>
    <x v="1205"/>
    <s v="L5"/>
    <x v="0"/>
    <m/>
    <m/>
    <m/>
    <m/>
    <x v="0"/>
    <m/>
    <m/>
    <m/>
    <n v="0"/>
    <m/>
  </r>
  <r>
    <x v="1209"/>
    <s v="PNEUMATIC"/>
    <x v="23"/>
    <x v="0"/>
    <x v="1181"/>
    <x v="1206"/>
    <s v="L5"/>
    <x v="0"/>
    <m/>
    <m/>
    <m/>
    <m/>
    <x v="0"/>
    <m/>
    <m/>
    <m/>
    <n v="0"/>
    <m/>
  </r>
  <r>
    <x v="1210"/>
    <s v="PNEUMATIC"/>
    <x v="23"/>
    <x v="0"/>
    <x v="1182"/>
    <x v="1207"/>
    <s v="L5"/>
    <x v="0"/>
    <m/>
    <m/>
    <m/>
    <m/>
    <x v="0"/>
    <m/>
    <m/>
    <m/>
    <n v="0"/>
    <m/>
  </r>
  <r>
    <x v="1211"/>
    <s v="PPE"/>
    <x v="139"/>
    <x v="0"/>
    <x v="1183"/>
    <x v="1208"/>
    <s v="M1"/>
    <x v="0"/>
    <m/>
    <m/>
    <m/>
    <m/>
    <x v="0"/>
    <m/>
    <m/>
    <m/>
    <n v="0"/>
    <m/>
  </r>
  <r>
    <x v="1212"/>
    <s v="PPE"/>
    <x v="139"/>
    <x v="0"/>
    <x v="1184"/>
    <x v="1209"/>
    <s v="M1"/>
    <x v="0"/>
    <m/>
    <m/>
    <m/>
    <m/>
    <x v="0"/>
    <m/>
    <m/>
    <m/>
    <n v="0"/>
    <m/>
  </r>
  <r>
    <x v="1213"/>
    <s v="PPE"/>
    <x v="139"/>
    <x v="0"/>
    <x v="1185"/>
    <x v="1210"/>
    <s v="M1"/>
    <x v="0"/>
    <m/>
    <m/>
    <m/>
    <m/>
    <x v="0"/>
    <m/>
    <m/>
    <m/>
    <n v="0"/>
    <m/>
  </r>
  <r>
    <x v="1214"/>
    <s v="PPE"/>
    <x v="139"/>
    <x v="0"/>
    <x v="1186"/>
    <x v="1211"/>
    <s v="M1"/>
    <x v="0"/>
    <m/>
    <m/>
    <m/>
    <m/>
    <x v="0"/>
    <m/>
    <m/>
    <m/>
    <n v="0"/>
    <m/>
  </r>
  <r>
    <x v="1215"/>
    <s v="PPE"/>
    <x v="139"/>
    <x v="0"/>
    <x v="1187"/>
    <x v="1212"/>
    <s v="M1"/>
    <x v="0"/>
    <m/>
    <m/>
    <m/>
    <m/>
    <x v="0"/>
    <m/>
    <m/>
    <m/>
    <n v="0"/>
    <m/>
  </r>
  <r>
    <x v="1216"/>
    <s v="PPE"/>
    <x v="139"/>
    <x v="0"/>
    <x v="1188"/>
    <x v="1213"/>
    <s v="M1"/>
    <x v="0"/>
    <m/>
    <m/>
    <m/>
    <m/>
    <x v="0"/>
    <m/>
    <m/>
    <m/>
    <n v="0"/>
    <m/>
  </r>
  <r>
    <x v="1217"/>
    <s v="PPE"/>
    <x v="140"/>
    <x v="0"/>
    <x v="1189"/>
    <x v="1214"/>
    <s v="M2"/>
    <x v="0"/>
    <m/>
    <m/>
    <m/>
    <m/>
    <x v="0"/>
    <m/>
    <m/>
    <m/>
    <n v="0"/>
    <m/>
  </r>
  <r>
    <x v="1218"/>
    <s v="PPE"/>
    <x v="140"/>
    <x v="0"/>
    <x v="1190"/>
    <x v="1215"/>
    <s v="M2"/>
    <x v="0"/>
    <m/>
    <m/>
    <m/>
    <m/>
    <x v="0"/>
    <m/>
    <m/>
    <m/>
    <n v="0"/>
    <m/>
  </r>
  <r>
    <x v="1219"/>
    <s v="PPE"/>
    <x v="140"/>
    <x v="0"/>
    <x v="1191"/>
    <x v="1216"/>
    <s v="M2"/>
    <x v="0"/>
    <m/>
    <m/>
    <m/>
    <m/>
    <x v="0"/>
    <m/>
    <m/>
    <m/>
    <n v="0"/>
    <m/>
  </r>
  <r>
    <x v="1220"/>
    <s v="PPE"/>
    <x v="140"/>
    <x v="0"/>
    <x v="1192"/>
    <x v="1217"/>
    <s v="M2"/>
    <x v="0"/>
    <m/>
    <m/>
    <m/>
    <m/>
    <x v="0"/>
    <m/>
    <m/>
    <m/>
    <n v="0"/>
    <m/>
  </r>
  <r>
    <x v="1221"/>
    <s v="PPE"/>
    <x v="140"/>
    <x v="0"/>
    <x v="1193"/>
    <x v="1218"/>
    <s v="M2"/>
    <x v="0"/>
    <m/>
    <m/>
    <m/>
    <m/>
    <x v="0"/>
    <m/>
    <m/>
    <m/>
    <n v="0"/>
    <m/>
  </r>
  <r>
    <x v="1222"/>
    <s v="PPE"/>
    <x v="140"/>
    <x v="0"/>
    <x v="1194"/>
    <x v="1219"/>
    <s v="M2"/>
    <x v="0"/>
    <m/>
    <m/>
    <m/>
    <m/>
    <x v="0"/>
    <m/>
    <m/>
    <m/>
    <n v="0"/>
    <m/>
  </r>
  <r>
    <x v="1223"/>
    <s v="PPE"/>
    <x v="140"/>
    <x v="0"/>
    <x v="1195"/>
    <x v="1220"/>
    <s v="M2"/>
    <x v="0"/>
    <m/>
    <m/>
    <m/>
    <m/>
    <x v="0"/>
    <m/>
    <m/>
    <m/>
    <n v="0"/>
    <m/>
  </r>
  <r>
    <x v="1224"/>
    <s v="PPE"/>
    <x v="139"/>
    <x v="0"/>
    <x v="1196"/>
    <x v="1221"/>
    <s v="M5"/>
    <x v="0"/>
    <m/>
    <m/>
    <m/>
    <m/>
    <x v="0"/>
    <m/>
    <m/>
    <m/>
    <n v="0"/>
    <m/>
  </r>
  <r>
    <x v="1225"/>
    <s v="PPE"/>
    <x v="139"/>
    <x v="0"/>
    <x v="1197"/>
    <x v="1222"/>
    <s v="M5"/>
    <x v="0"/>
    <m/>
    <m/>
    <m/>
    <m/>
    <x v="0"/>
    <m/>
    <m/>
    <m/>
    <n v="0"/>
    <m/>
  </r>
  <r>
    <x v="1226"/>
    <s v="MISCELLANEOUS"/>
    <x v="112"/>
    <x v="0"/>
    <x v="1198"/>
    <x v="1223"/>
    <s v="N1"/>
    <x v="0"/>
    <m/>
    <m/>
    <m/>
    <m/>
    <x v="0"/>
    <m/>
    <m/>
    <m/>
    <n v="0"/>
    <m/>
  </r>
  <r>
    <x v="1227"/>
    <s v="MISCELLANEOUS"/>
    <x v="112"/>
    <x v="0"/>
    <x v="1199"/>
    <x v="1224"/>
    <s v="N1"/>
    <x v="0"/>
    <m/>
    <m/>
    <m/>
    <m/>
    <x v="0"/>
    <m/>
    <m/>
    <m/>
    <n v="0"/>
    <m/>
  </r>
  <r>
    <x v="1228"/>
    <s v="MISCELLANEOUS"/>
    <x v="112"/>
    <x v="0"/>
    <x v="1200"/>
    <x v="1225"/>
    <s v="N1"/>
    <x v="0"/>
    <m/>
    <m/>
    <m/>
    <m/>
    <x v="0"/>
    <m/>
    <m/>
    <m/>
    <n v="0"/>
    <m/>
  </r>
  <r>
    <x v="1229"/>
    <s v="MISCELLANEOUS"/>
    <x v="112"/>
    <x v="0"/>
    <x v="1201"/>
    <x v="1226"/>
    <s v="N1"/>
    <x v="0"/>
    <m/>
    <m/>
    <m/>
    <m/>
    <x v="0"/>
    <m/>
    <m/>
    <m/>
    <n v="0"/>
    <m/>
  </r>
  <r>
    <x v="1230"/>
    <s v="MISCELLANEOUS"/>
    <x v="112"/>
    <x v="0"/>
    <x v="1202"/>
    <x v="1227"/>
    <s v="N1"/>
    <x v="0"/>
    <m/>
    <m/>
    <m/>
    <m/>
    <x v="0"/>
    <m/>
    <m/>
    <m/>
    <n v="0"/>
    <m/>
  </r>
  <r>
    <x v="1231"/>
    <s v="MISCELLANEOUS"/>
    <x v="112"/>
    <x v="0"/>
    <x v="1203"/>
    <x v="1228"/>
    <s v="N1"/>
    <x v="0"/>
    <m/>
    <m/>
    <m/>
    <m/>
    <x v="0"/>
    <m/>
    <m/>
    <m/>
    <n v="0"/>
    <m/>
  </r>
  <r>
    <x v="1232"/>
    <s v="MISCELLANEOUS"/>
    <x v="112"/>
    <x v="0"/>
    <x v="1204"/>
    <x v="1229"/>
    <s v="N1"/>
    <x v="0"/>
    <m/>
    <m/>
    <m/>
    <m/>
    <x v="0"/>
    <m/>
    <m/>
    <m/>
    <n v="0"/>
    <m/>
  </r>
  <r>
    <x v="1233"/>
    <s v="MISCELLANEOUS"/>
    <x v="112"/>
    <x v="0"/>
    <x v="1205"/>
    <x v="1230"/>
    <s v="N1"/>
    <x v="0"/>
    <m/>
    <m/>
    <m/>
    <m/>
    <x v="0"/>
    <m/>
    <m/>
    <m/>
    <n v="0"/>
    <m/>
  </r>
  <r>
    <x v="1234"/>
    <s v="MISCELLANEOUS"/>
    <x v="112"/>
    <x v="0"/>
    <x v="1206"/>
    <x v="1231"/>
    <s v="N2"/>
    <x v="0"/>
    <m/>
    <m/>
    <m/>
    <m/>
    <x v="0"/>
    <m/>
    <m/>
    <m/>
    <n v="0"/>
    <m/>
  </r>
  <r>
    <x v="1235"/>
    <s v="MISCELLANEOUS"/>
    <x v="112"/>
    <x v="0"/>
    <x v="1207"/>
    <x v="1232"/>
    <s v="N2"/>
    <x v="0"/>
    <m/>
    <m/>
    <m/>
    <m/>
    <x v="0"/>
    <m/>
    <m/>
    <m/>
    <n v="0"/>
    <m/>
  </r>
  <r>
    <x v="1236"/>
    <s v="MISCELLANEOUS"/>
    <x v="112"/>
    <x v="0"/>
    <x v="1208"/>
    <x v="1233"/>
    <s v="N2"/>
    <x v="0"/>
    <m/>
    <m/>
    <m/>
    <m/>
    <x v="0"/>
    <m/>
    <m/>
    <m/>
    <n v="0"/>
    <m/>
  </r>
  <r>
    <x v="1237"/>
    <s v="MISCELLANEOUS"/>
    <x v="112"/>
    <x v="0"/>
    <x v="1209"/>
    <x v="1234"/>
    <s v="N2"/>
    <x v="0"/>
    <m/>
    <m/>
    <m/>
    <m/>
    <x v="0"/>
    <m/>
    <m/>
    <m/>
    <n v="0"/>
    <m/>
  </r>
  <r>
    <x v="1238"/>
    <s v="MISCELLANEOUS"/>
    <x v="112"/>
    <x v="0"/>
    <x v="1210"/>
    <x v="1235"/>
    <s v="N2"/>
    <x v="0"/>
    <m/>
    <m/>
    <m/>
    <m/>
    <x v="0"/>
    <m/>
    <m/>
    <m/>
    <n v="0"/>
    <m/>
  </r>
  <r>
    <x v="1239"/>
    <s v="MISCELLANEOUS"/>
    <x v="112"/>
    <x v="0"/>
    <x v="1211"/>
    <x v="1236"/>
    <s v="N2"/>
    <x v="0"/>
    <m/>
    <m/>
    <m/>
    <m/>
    <x v="0"/>
    <m/>
    <m/>
    <m/>
    <n v="0"/>
    <m/>
  </r>
  <r>
    <x v="1240"/>
    <s v="FASTENERS"/>
    <x v="141"/>
    <x v="0"/>
    <x v="1212"/>
    <x v="1237"/>
    <s v="N3"/>
    <x v="0"/>
    <m/>
    <m/>
    <m/>
    <m/>
    <x v="0"/>
    <m/>
    <m/>
    <m/>
    <n v="0"/>
    <m/>
  </r>
  <r>
    <x v="1241"/>
    <s v="MISCELLANEOUS"/>
    <x v="112"/>
    <x v="0"/>
    <x v="1213"/>
    <x v="1238"/>
    <s v="N3"/>
    <x v="0"/>
    <m/>
    <m/>
    <m/>
    <m/>
    <x v="0"/>
    <m/>
    <m/>
    <m/>
    <n v="0"/>
    <m/>
  </r>
  <r>
    <x v="1242"/>
    <s v="ELECTRICAL"/>
    <x v="61"/>
    <x v="0"/>
    <x v="1214"/>
    <x v="1239"/>
    <s v="N3"/>
    <x v="0"/>
    <m/>
    <m/>
    <m/>
    <m/>
    <x v="0"/>
    <m/>
    <m/>
    <m/>
    <n v="0"/>
    <m/>
  </r>
  <r>
    <x v="1243"/>
    <s v="PNEUMATIC"/>
    <x v="25"/>
    <x v="0"/>
    <x v="1215"/>
    <x v="1240"/>
    <s v="N3"/>
    <x v="0"/>
    <m/>
    <m/>
    <m/>
    <m/>
    <x v="0"/>
    <m/>
    <m/>
    <m/>
    <n v="0"/>
    <m/>
  </r>
  <r>
    <x v="1244"/>
    <s v="MISCELLANEOUS"/>
    <x v="112"/>
    <x v="0"/>
    <x v="1216"/>
    <x v="1241"/>
    <s v="N3"/>
    <x v="0"/>
    <m/>
    <m/>
    <m/>
    <m/>
    <x v="0"/>
    <m/>
    <m/>
    <m/>
    <n v="0"/>
    <m/>
  </r>
  <r>
    <x v="1245"/>
    <s v="MISCELLANEOUS"/>
    <x v="112"/>
    <x v="0"/>
    <x v="1217"/>
    <x v="1242"/>
    <s v="N3"/>
    <x v="0"/>
    <m/>
    <m/>
    <m/>
    <m/>
    <x v="0"/>
    <m/>
    <m/>
    <m/>
    <n v="0"/>
    <m/>
  </r>
  <r>
    <x v="1246"/>
    <s v="MISCELLANEOUS"/>
    <x v="112"/>
    <x v="0"/>
    <x v="1218"/>
    <x v="1243"/>
    <s v="N3"/>
    <x v="0"/>
    <m/>
    <m/>
    <m/>
    <m/>
    <x v="0"/>
    <m/>
    <m/>
    <m/>
    <n v="0"/>
    <m/>
  </r>
  <r>
    <x v="1247"/>
    <s v="MISCELLANEOUS"/>
    <x v="112"/>
    <x v="0"/>
    <x v="1219"/>
    <x v="1244"/>
    <s v="N3"/>
    <x v="0"/>
    <m/>
    <m/>
    <m/>
    <m/>
    <x v="0"/>
    <m/>
    <m/>
    <m/>
    <n v="0"/>
    <m/>
  </r>
  <r>
    <x v="1248"/>
    <s v="ELECTRICAL"/>
    <x v="142"/>
    <x v="0"/>
    <x v="1220"/>
    <x v="1245"/>
    <s v="N4"/>
    <x v="0"/>
    <m/>
    <m/>
    <m/>
    <m/>
    <x v="0"/>
    <m/>
    <m/>
    <m/>
    <n v="0"/>
    <m/>
  </r>
  <r>
    <x v="1249"/>
    <s v="ELECTRICAL"/>
    <x v="64"/>
    <x v="0"/>
    <x v="1221"/>
    <x v="1246"/>
    <s v="N4"/>
    <x v="0"/>
    <m/>
    <m/>
    <m/>
    <m/>
    <x v="0"/>
    <m/>
    <m/>
    <m/>
    <n v="0"/>
    <m/>
  </r>
  <r>
    <x v="1250"/>
    <s v="ELECTRICAL"/>
    <x v="85"/>
    <x v="0"/>
    <x v="1222"/>
    <x v="1247"/>
    <s v="N4"/>
    <x v="0"/>
    <m/>
    <m/>
    <m/>
    <m/>
    <x v="0"/>
    <m/>
    <m/>
    <m/>
    <n v="0"/>
    <m/>
  </r>
  <r>
    <x v="1251"/>
    <s v="ELECTRICAL"/>
    <x v="60"/>
    <x v="0"/>
    <x v="1223"/>
    <x v="1248"/>
    <s v="N4"/>
    <x v="0"/>
    <m/>
    <m/>
    <m/>
    <m/>
    <x v="0"/>
    <m/>
    <m/>
    <m/>
    <n v="0"/>
    <m/>
  </r>
  <r>
    <x v="1252"/>
    <s v="ELECTRICAL"/>
    <x v="142"/>
    <x v="0"/>
    <x v="1224"/>
    <x v="1249"/>
    <s v="N4"/>
    <x v="0"/>
    <m/>
    <m/>
    <m/>
    <m/>
    <x v="0"/>
    <m/>
    <m/>
    <m/>
    <n v="0"/>
    <m/>
  </r>
  <r>
    <x v="1253"/>
    <s v="ELECTRICAL"/>
    <x v="142"/>
    <x v="0"/>
    <x v="1225"/>
    <x v="1250"/>
    <s v="N4"/>
    <x v="0"/>
    <m/>
    <m/>
    <m/>
    <m/>
    <x v="0"/>
    <m/>
    <m/>
    <m/>
    <n v="0"/>
    <m/>
  </r>
  <r>
    <x v="1254"/>
    <s v="MISCELLANEOUS"/>
    <x v="112"/>
    <x v="0"/>
    <x v="1226"/>
    <x v="1251"/>
    <s v="N5"/>
    <x v="0"/>
    <m/>
    <m/>
    <m/>
    <m/>
    <x v="0"/>
    <m/>
    <m/>
    <m/>
    <n v="0"/>
    <m/>
  </r>
  <r>
    <x v="1255"/>
    <s v="MISCELLANEOUS"/>
    <x v="112"/>
    <x v="0"/>
    <x v="1227"/>
    <x v="1252"/>
    <s v="N5"/>
    <x v="0"/>
    <m/>
    <m/>
    <m/>
    <m/>
    <x v="0"/>
    <m/>
    <m/>
    <m/>
    <n v="0"/>
    <m/>
  </r>
  <r>
    <x v="1256"/>
    <s v="HYDRAULICS"/>
    <x v="30"/>
    <x v="0"/>
    <x v="1228"/>
    <x v="1253"/>
    <s v="N5"/>
    <x v="0"/>
    <m/>
    <m/>
    <m/>
    <m/>
    <x v="0"/>
    <m/>
    <m/>
    <m/>
    <n v="0"/>
    <m/>
  </r>
  <r>
    <x v="1257"/>
    <s v="HYDRAULICS"/>
    <x v="143"/>
    <x v="0"/>
    <x v="1229"/>
    <x v="1254"/>
    <s v="N5"/>
    <x v="0"/>
    <m/>
    <m/>
    <m/>
    <m/>
    <x v="0"/>
    <m/>
    <m/>
    <m/>
    <n v="0"/>
    <m/>
  </r>
  <r>
    <x v="1258"/>
    <s v="ELECTRICAL"/>
    <x v="70"/>
    <x v="0"/>
    <x v="1230"/>
    <x v="1255"/>
    <s v="O1"/>
    <x v="0"/>
    <m/>
    <m/>
    <m/>
    <m/>
    <x v="0"/>
    <m/>
    <m/>
    <m/>
    <n v="0"/>
    <m/>
  </r>
  <r>
    <x v="1259"/>
    <s v="LUBRICANT"/>
    <x v="134"/>
    <x v="0"/>
    <x v="1231"/>
    <x v="1256"/>
    <s v="O1"/>
    <x v="0"/>
    <m/>
    <m/>
    <m/>
    <m/>
    <x v="0"/>
    <m/>
    <m/>
    <m/>
    <n v="0"/>
    <m/>
  </r>
  <r>
    <x v="1260"/>
    <s v="MECHANICAL"/>
    <x v="83"/>
    <x v="0"/>
    <x v="1232"/>
    <x v="1257"/>
    <s v="O1"/>
    <x v="0"/>
    <m/>
    <m/>
    <m/>
    <m/>
    <x v="0"/>
    <m/>
    <m/>
    <m/>
    <n v="0"/>
    <m/>
  </r>
  <r>
    <x v="1261"/>
    <s v="MECHANICAL"/>
    <x v="76"/>
    <x v="0"/>
    <x v="1233"/>
    <x v="1258"/>
    <s v="O1"/>
    <x v="0"/>
    <m/>
    <m/>
    <m/>
    <m/>
    <x v="0"/>
    <m/>
    <m/>
    <m/>
    <n v="0"/>
    <m/>
  </r>
  <r>
    <x v="1262"/>
    <s v="MECHANICAL"/>
    <x v="21"/>
    <x v="0"/>
    <x v="1234"/>
    <x v="1259"/>
    <s v="O1"/>
    <x v="0"/>
    <m/>
    <m/>
    <m/>
    <m/>
    <x v="0"/>
    <m/>
    <m/>
    <m/>
    <n v="0"/>
    <m/>
  </r>
  <r>
    <x v="1263"/>
    <s v="MECHANICAL"/>
    <x v="76"/>
    <x v="0"/>
    <x v="1235"/>
    <x v="1260"/>
    <s v="O1"/>
    <x v="0"/>
    <m/>
    <m/>
    <m/>
    <m/>
    <x v="0"/>
    <m/>
    <m/>
    <m/>
    <n v="0"/>
    <m/>
  </r>
  <r>
    <x v="1264"/>
    <s v="MECHANICAL"/>
    <x v="144"/>
    <x v="0"/>
    <x v="1236"/>
    <x v="1261"/>
    <s v="O1"/>
    <x v="0"/>
    <m/>
    <m/>
    <m/>
    <m/>
    <x v="0"/>
    <m/>
    <m/>
    <m/>
    <n v="0"/>
    <m/>
  </r>
  <r>
    <x v="1265"/>
    <s v="MECHANICAL"/>
    <x v="144"/>
    <x v="0"/>
    <x v="1237"/>
    <x v="1262"/>
    <s v="O1"/>
    <x v="0"/>
    <m/>
    <m/>
    <m/>
    <m/>
    <x v="0"/>
    <m/>
    <m/>
    <m/>
    <n v="0"/>
    <m/>
  </r>
  <r>
    <x v="1266"/>
    <s v="MECHANICAL"/>
    <x v="36"/>
    <x v="0"/>
    <x v="1238"/>
    <x v="1263"/>
    <s v="O1"/>
    <x v="0"/>
    <m/>
    <m/>
    <m/>
    <m/>
    <x v="0"/>
    <m/>
    <m/>
    <m/>
    <n v="0"/>
    <m/>
  </r>
  <r>
    <x v="1267"/>
    <s v="MECHANICAL"/>
    <x v="83"/>
    <x v="0"/>
    <x v="1239"/>
    <x v="1264"/>
    <s v="O1"/>
    <x v="0"/>
    <m/>
    <m/>
    <m/>
    <m/>
    <x v="0"/>
    <m/>
    <m/>
    <m/>
    <n v="0"/>
    <m/>
  </r>
  <r>
    <x v="1268"/>
    <s v="MECHANICAL"/>
    <x v="83"/>
    <x v="0"/>
    <x v="1240"/>
    <x v="1265"/>
    <s v="O1"/>
    <x v="0"/>
    <m/>
    <m/>
    <m/>
    <m/>
    <x v="0"/>
    <m/>
    <m/>
    <m/>
    <n v="0"/>
    <m/>
  </r>
  <r>
    <x v="1269"/>
    <s v="MECHANICAL"/>
    <x v="83"/>
    <x v="0"/>
    <x v="1241"/>
    <x v="1266"/>
    <s v="O1"/>
    <x v="0"/>
    <m/>
    <m/>
    <m/>
    <m/>
    <x v="0"/>
    <m/>
    <m/>
    <m/>
    <n v="0"/>
    <m/>
  </r>
  <r>
    <x v="1270"/>
    <s v="MECHANICAL"/>
    <x v="83"/>
    <x v="0"/>
    <x v="1242"/>
    <x v="1267"/>
    <s v="O1"/>
    <x v="0"/>
    <m/>
    <m/>
    <m/>
    <m/>
    <x v="0"/>
    <m/>
    <m/>
    <m/>
    <n v="0"/>
    <m/>
  </r>
  <r>
    <x v="1271"/>
    <s v="MECHANICAL"/>
    <x v="83"/>
    <x v="0"/>
    <x v="1243"/>
    <x v="1268"/>
    <s v="O1"/>
    <x v="0"/>
    <m/>
    <m/>
    <m/>
    <m/>
    <x v="0"/>
    <m/>
    <m/>
    <m/>
    <n v="0"/>
    <m/>
  </r>
  <r>
    <x v="1272"/>
    <s v="MECHANICAL"/>
    <x v="83"/>
    <x v="0"/>
    <x v="1244"/>
    <x v="1269"/>
    <s v="O1"/>
    <x v="0"/>
    <m/>
    <m/>
    <m/>
    <m/>
    <x v="0"/>
    <m/>
    <m/>
    <m/>
    <n v="0"/>
    <m/>
  </r>
  <r>
    <x v="1273"/>
    <s v="MECHANICAL"/>
    <x v="83"/>
    <x v="0"/>
    <x v="1245"/>
    <x v="1270"/>
    <s v="O1"/>
    <x v="0"/>
    <m/>
    <m/>
    <m/>
    <m/>
    <x v="0"/>
    <m/>
    <m/>
    <m/>
    <n v="0"/>
    <m/>
  </r>
  <r>
    <x v="1274"/>
    <s v="MECHANICAL"/>
    <x v="83"/>
    <x v="0"/>
    <x v="1246"/>
    <x v="1271"/>
    <s v="O1"/>
    <x v="0"/>
    <m/>
    <m/>
    <m/>
    <m/>
    <x v="0"/>
    <m/>
    <m/>
    <m/>
    <n v="0"/>
    <m/>
  </r>
  <r>
    <x v="1275"/>
    <s v="MECHANICAL"/>
    <x v="83"/>
    <x v="0"/>
    <x v="1247"/>
    <x v="1272"/>
    <s v="O1"/>
    <x v="0"/>
    <m/>
    <m/>
    <m/>
    <m/>
    <x v="0"/>
    <m/>
    <m/>
    <m/>
    <n v="0"/>
    <m/>
  </r>
  <r>
    <x v="1276"/>
    <s v="MISCELLANEOUS"/>
    <x v="112"/>
    <x v="0"/>
    <x v="1248"/>
    <x v="1273"/>
    <s v="O1"/>
    <x v="0"/>
    <m/>
    <m/>
    <m/>
    <m/>
    <x v="0"/>
    <m/>
    <m/>
    <m/>
    <n v="0"/>
    <m/>
  </r>
  <r>
    <x v="1277"/>
    <s v="MECHANICAL"/>
    <x v="84"/>
    <x v="0"/>
    <x v="1249"/>
    <x v="1274"/>
    <s v="O1"/>
    <x v="0"/>
    <m/>
    <m/>
    <m/>
    <m/>
    <x v="0"/>
    <m/>
    <m/>
    <m/>
    <n v="0"/>
    <m/>
  </r>
  <r>
    <x v="1278"/>
    <s v="MECHANICAL"/>
    <x v="46"/>
    <x v="0"/>
    <x v="1250"/>
    <x v="1275"/>
    <s v="O1"/>
    <x v="0"/>
    <m/>
    <m/>
    <m/>
    <m/>
    <x v="0"/>
    <m/>
    <m/>
    <m/>
    <n v="0"/>
    <m/>
  </r>
  <r>
    <x v="1279"/>
    <s v="MECHANICAL"/>
    <x v="26"/>
    <x v="0"/>
    <x v="1251"/>
    <x v="1276"/>
    <s v="O1"/>
    <x v="0"/>
    <m/>
    <m/>
    <m/>
    <m/>
    <x v="0"/>
    <m/>
    <m/>
    <m/>
    <n v="0"/>
    <m/>
  </r>
  <r>
    <x v="1280"/>
    <s v="MECHANICAL"/>
    <x v="145"/>
    <x v="0"/>
    <x v="1252"/>
    <x v="1277"/>
    <s v="O1"/>
    <x v="0"/>
    <m/>
    <m/>
    <m/>
    <m/>
    <x v="0"/>
    <m/>
    <m/>
    <m/>
    <n v="0"/>
    <m/>
  </r>
  <r>
    <x v="1281"/>
    <s v="LUBRICANT"/>
    <x v="146"/>
    <x v="0"/>
    <x v="1253"/>
    <x v="1278"/>
    <s v="O1"/>
    <x v="0"/>
    <m/>
    <m/>
    <m/>
    <m/>
    <x v="0"/>
    <m/>
    <m/>
    <m/>
    <n v="0"/>
    <m/>
  </r>
  <r>
    <x v="1282"/>
    <s v="MISCELLANEOUS"/>
    <x v="112"/>
    <x v="0"/>
    <x v="1254"/>
    <x v="1279"/>
    <s v="O1"/>
    <x v="0"/>
    <m/>
    <m/>
    <m/>
    <m/>
    <x v="0"/>
    <m/>
    <m/>
    <m/>
    <n v="0"/>
    <m/>
  </r>
  <r>
    <x v="1283"/>
    <s v="PNEUMATIC"/>
    <x v="19"/>
    <x v="0"/>
    <x v="1255"/>
    <x v="1280"/>
    <s v="O1"/>
    <x v="0"/>
    <m/>
    <m/>
    <m/>
    <m/>
    <x v="0"/>
    <m/>
    <m/>
    <m/>
    <n v="0"/>
    <m/>
  </r>
  <r>
    <x v="1284"/>
    <s v="MECHANICAL"/>
    <x v="76"/>
    <x v="0"/>
    <x v="1256"/>
    <x v="1281"/>
    <s v="O1"/>
    <x v="0"/>
    <m/>
    <m/>
    <m/>
    <m/>
    <x v="0"/>
    <m/>
    <m/>
    <m/>
    <n v="0"/>
    <m/>
  </r>
  <r>
    <x v="1285"/>
    <s v="ELECTRICAL"/>
    <x v="96"/>
    <x v="0"/>
    <x v="1257"/>
    <x v="1282"/>
    <s v="O1"/>
    <x v="0"/>
    <m/>
    <m/>
    <m/>
    <m/>
    <x v="0"/>
    <m/>
    <m/>
    <m/>
    <n v="0"/>
    <m/>
  </r>
  <r>
    <x v="1286"/>
    <s v="MECHANICAL"/>
    <x v="36"/>
    <x v="0"/>
    <x v="1258"/>
    <x v="1283"/>
    <s v="O1"/>
    <x v="0"/>
    <m/>
    <m/>
    <m/>
    <m/>
    <x v="0"/>
    <m/>
    <m/>
    <m/>
    <n v="0"/>
    <m/>
  </r>
  <r>
    <x v="1287"/>
    <s v="MECHANICAL"/>
    <x v="83"/>
    <x v="0"/>
    <x v="1259"/>
    <x v="1284"/>
    <s v="O1"/>
    <x v="0"/>
    <m/>
    <m/>
    <m/>
    <m/>
    <x v="0"/>
    <m/>
    <m/>
    <m/>
    <n v="0"/>
    <m/>
  </r>
  <r>
    <x v="1288"/>
    <s v="MECHANICAL"/>
    <x v="30"/>
    <x v="0"/>
    <x v="1260"/>
    <x v="1285"/>
    <s v="O1"/>
    <x v="0"/>
    <m/>
    <m/>
    <m/>
    <m/>
    <x v="0"/>
    <m/>
    <m/>
    <m/>
    <n v="0"/>
    <m/>
  </r>
  <r>
    <x v="1289"/>
    <s v="FASTENERS"/>
    <x v="82"/>
    <x v="0"/>
    <x v="1261"/>
    <x v="1286"/>
    <s v="O1"/>
    <x v="0"/>
    <m/>
    <m/>
    <m/>
    <m/>
    <x v="0"/>
    <m/>
    <m/>
    <m/>
    <n v="0"/>
    <m/>
  </r>
  <r>
    <x v="1290"/>
    <s v="MECHANICAL"/>
    <x v="83"/>
    <x v="0"/>
    <x v="1262"/>
    <x v="1287"/>
    <s v="O1"/>
    <x v="0"/>
    <m/>
    <m/>
    <m/>
    <m/>
    <x v="0"/>
    <m/>
    <m/>
    <m/>
    <n v="0"/>
    <m/>
  </r>
  <r>
    <x v="1291"/>
    <s v="MECHANICAL"/>
    <x v="76"/>
    <x v="0"/>
    <x v="1263"/>
    <x v="1288"/>
    <s v="O1"/>
    <x v="0"/>
    <m/>
    <m/>
    <m/>
    <m/>
    <x v="0"/>
    <m/>
    <m/>
    <m/>
    <n v="0"/>
    <m/>
  </r>
  <r>
    <x v="1292"/>
    <s v="MECHANICAL"/>
    <x v="145"/>
    <x v="0"/>
    <x v="1264"/>
    <x v="1289"/>
    <s v="O1"/>
    <x v="0"/>
    <m/>
    <m/>
    <m/>
    <m/>
    <x v="0"/>
    <m/>
    <m/>
    <m/>
    <n v="0"/>
    <m/>
  </r>
  <r>
    <x v="1293"/>
    <s v="MECHANICAL"/>
    <x v="36"/>
    <x v="0"/>
    <x v="1265"/>
    <x v="1290"/>
    <s v="O1"/>
    <x v="0"/>
    <m/>
    <m/>
    <m/>
    <m/>
    <x v="0"/>
    <m/>
    <m/>
    <m/>
    <n v="0"/>
    <m/>
  </r>
  <r>
    <x v="1294"/>
    <s v="MECHANICAL"/>
    <x v="144"/>
    <x v="0"/>
    <x v="1266"/>
    <x v="1291"/>
    <s v="O1"/>
    <x v="0"/>
    <m/>
    <m/>
    <m/>
    <m/>
    <x v="0"/>
    <m/>
    <m/>
    <m/>
    <n v="0"/>
    <m/>
  </r>
  <r>
    <x v="1295"/>
    <s v="MECHANICAL"/>
    <x v="144"/>
    <x v="0"/>
    <x v="1267"/>
    <x v="1292"/>
    <s v="O1"/>
    <x v="0"/>
    <m/>
    <m/>
    <m/>
    <m/>
    <x v="0"/>
    <m/>
    <m/>
    <m/>
    <n v="0"/>
    <m/>
  </r>
  <r>
    <x v="1296"/>
    <s v="MECHANICAL"/>
    <x v="144"/>
    <x v="0"/>
    <x v="1268"/>
    <x v="1293"/>
    <s v="O1"/>
    <x v="0"/>
    <m/>
    <m/>
    <m/>
    <m/>
    <x v="0"/>
    <m/>
    <m/>
    <m/>
    <n v="0"/>
    <m/>
  </r>
  <r>
    <x v="1297"/>
    <s v="MECHANICAL"/>
    <x v="21"/>
    <x v="0"/>
    <x v="1269"/>
    <x v="1294"/>
    <s v="O1"/>
    <x v="0"/>
    <m/>
    <m/>
    <m/>
    <m/>
    <x v="0"/>
    <m/>
    <m/>
    <m/>
    <n v="0"/>
    <m/>
  </r>
  <r>
    <x v="1298"/>
    <s v="FASTENERS"/>
    <x v="11"/>
    <x v="0"/>
    <x v="1270"/>
    <x v="1295"/>
    <s v="O1"/>
    <x v="0"/>
    <m/>
    <m/>
    <m/>
    <m/>
    <x v="0"/>
    <m/>
    <m/>
    <m/>
    <n v="0"/>
    <m/>
  </r>
  <r>
    <x v="1299"/>
    <s v="MECHANICAL"/>
    <x v="21"/>
    <x v="0"/>
    <x v="1271"/>
    <x v="1296"/>
    <s v="O1"/>
    <x v="0"/>
    <m/>
    <m/>
    <m/>
    <m/>
    <x v="0"/>
    <m/>
    <m/>
    <m/>
    <n v="0"/>
    <m/>
  </r>
  <r>
    <x v="1300"/>
    <s v="MECHANICAL"/>
    <x v="21"/>
    <x v="0"/>
    <x v="1272"/>
    <x v="1297"/>
    <s v="O1"/>
    <x v="0"/>
    <m/>
    <m/>
    <m/>
    <m/>
    <x v="0"/>
    <m/>
    <m/>
    <m/>
    <n v="0"/>
    <m/>
  </r>
  <r>
    <x v="1301"/>
    <s v="MISCELLANEOUS"/>
    <x v="112"/>
    <x v="0"/>
    <x v="1273"/>
    <x v="1298"/>
    <s v="O2"/>
    <x v="0"/>
    <m/>
    <m/>
    <m/>
    <m/>
    <x v="0"/>
    <m/>
    <m/>
    <m/>
    <n v="0"/>
    <m/>
  </r>
  <r>
    <x v="1302"/>
    <s v="MECHANICAL"/>
    <x v="21"/>
    <x v="0"/>
    <x v="1274"/>
    <x v="1299"/>
    <s v="O2"/>
    <x v="0"/>
    <m/>
    <m/>
    <m/>
    <m/>
    <x v="0"/>
    <m/>
    <m/>
    <m/>
    <n v="0"/>
    <m/>
  </r>
  <r>
    <x v="1303"/>
    <s v="MECHANICAL"/>
    <x v="84"/>
    <x v="0"/>
    <x v="1275"/>
    <x v="1300"/>
    <s v="O2"/>
    <x v="0"/>
    <m/>
    <m/>
    <m/>
    <m/>
    <x v="0"/>
    <m/>
    <m/>
    <m/>
    <n v="0"/>
    <m/>
  </r>
  <r>
    <x v="1304"/>
    <s v="MECHANICAL"/>
    <x v="76"/>
    <x v="0"/>
    <x v="1276"/>
    <x v="1301"/>
    <s v="O2"/>
    <x v="0"/>
    <m/>
    <m/>
    <m/>
    <m/>
    <x v="0"/>
    <m/>
    <m/>
    <m/>
    <n v="0"/>
    <m/>
  </r>
  <r>
    <x v="1305"/>
    <s v="MECHANICAL"/>
    <x v="145"/>
    <x v="0"/>
    <x v="1277"/>
    <x v="1302"/>
    <s v="O2"/>
    <x v="0"/>
    <m/>
    <m/>
    <m/>
    <m/>
    <x v="0"/>
    <m/>
    <m/>
    <m/>
    <n v="0"/>
    <m/>
  </r>
  <r>
    <x v="1306"/>
    <s v="MECHANICAL"/>
    <x v="21"/>
    <x v="0"/>
    <x v="1278"/>
    <x v="1303"/>
    <s v="O2"/>
    <x v="0"/>
    <m/>
    <m/>
    <m/>
    <m/>
    <x v="0"/>
    <m/>
    <m/>
    <m/>
    <n v="0"/>
    <m/>
  </r>
  <r>
    <x v="1307"/>
    <s v="MECHANICAL"/>
    <x v="144"/>
    <x v="0"/>
    <x v="1279"/>
    <x v="1304"/>
    <s v="O2"/>
    <x v="0"/>
    <m/>
    <m/>
    <m/>
    <m/>
    <x v="0"/>
    <m/>
    <m/>
    <m/>
    <n v="0"/>
    <m/>
  </r>
  <r>
    <x v="1308"/>
    <s v="MECHANICAL"/>
    <x v="21"/>
    <x v="0"/>
    <x v="1280"/>
    <x v="1305"/>
    <s v="O2"/>
    <x v="0"/>
    <m/>
    <m/>
    <m/>
    <m/>
    <x v="0"/>
    <m/>
    <m/>
    <m/>
    <n v="0"/>
    <m/>
  </r>
  <r>
    <x v="1309"/>
    <s v="MECHANICAL"/>
    <x v="21"/>
    <x v="0"/>
    <x v="1281"/>
    <x v="1306"/>
    <s v="O2"/>
    <x v="0"/>
    <m/>
    <m/>
    <m/>
    <m/>
    <x v="0"/>
    <m/>
    <m/>
    <m/>
    <n v="0"/>
    <m/>
  </r>
  <r>
    <x v="1310"/>
    <s v="PNEUMATIC"/>
    <x v="25"/>
    <x v="0"/>
    <x v="1282"/>
    <x v="1307"/>
    <s v="O2"/>
    <x v="0"/>
    <m/>
    <m/>
    <m/>
    <m/>
    <x v="0"/>
    <m/>
    <m/>
    <m/>
    <n v="0"/>
    <m/>
  </r>
  <r>
    <x v="1311"/>
    <s v="MECHANICAL"/>
    <x v="21"/>
    <x v="0"/>
    <x v="1283"/>
    <x v="1308"/>
    <s v="O2"/>
    <x v="0"/>
    <m/>
    <m/>
    <m/>
    <m/>
    <x v="0"/>
    <m/>
    <m/>
    <m/>
    <n v="0"/>
    <m/>
  </r>
  <r>
    <x v="1312"/>
    <s v="MECHANICAL"/>
    <x v="147"/>
    <x v="0"/>
    <x v="1284"/>
    <x v="1309"/>
    <s v="O2"/>
    <x v="0"/>
    <m/>
    <m/>
    <m/>
    <m/>
    <x v="0"/>
    <m/>
    <m/>
    <m/>
    <n v="0"/>
    <m/>
  </r>
  <r>
    <x v="1313"/>
    <s v="MECHANICAL"/>
    <x v="76"/>
    <x v="0"/>
    <x v="1285"/>
    <x v="1310"/>
    <s v="O2"/>
    <x v="0"/>
    <m/>
    <m/>
    <m/>
    <m/>
    <x v="0"/>
    <m/>
    <m/>
    <m/>
    <n v="0"/>
    <m/>
  </r>
  <r>
    <x v="1314"/>
    <s v="MECHANICAL"/>
    <x v="26"/>
    <x v="0"/>
    <x v="1286"/>
    <x v="1311"/>
    <s v="O2"/>
    <x v="0"/>
    <m/>
    <m/>
    <m/>
    <m/>
    <x v="0"/>
    <m/>
    <m/>
    <m/>
    <n v="0"/>
    <m/>
  </r>
  <r>
    <x v="1315"/>
    <s v="MECHANICAL"/>
    <x v="36"/>
    <x v="0"/>
    <x v="1287"/>
    <x v="1312"/>
    <s v="O2"/>
    <x v="0"/>
    <m/>
    <m/>
    <m/>
    <m/>
    <x v="0"/>
    <m/>
    <m/>
    <m/>
    <n v="0"/>
    <m/>
  </r>
  <r>
    <x v="1316"/>
    <s v="MECHANICAL"/>
    <x v="36"/>
    <x v="0"/>
    <x v="1288"/>
    <x v="1313"/>
    <s v="O2"/>
    <x v="0"/>
    <m/>
    <m/>
    <m/>
    <m/>
    <x v="0"/>
    <m/>
    <m/>
    <m/>
    <n v="0"/>
    <m/>
  </r>
  <r>
    <x v="1317"/>
    <s v="PNEUMATIC"/>
    <x v="19"/>
    <x v="0"/>
    <x v="1289"/>
    <x v="1314"/>
    <s v="O2"/>
    <x v="0"/>
    <m/>
    <m/>
    <m/>
    <m/>
    <x v="0"/>
    <m/>
    <m/>
    <m/>
    <n v="0"/>
    <m/>
  </r>
  <r>
    <x v="1318"/>
    <s v="FASTENERS"/>
    <x v="11"/>
    <x v="0"/>
    <x v="1290"/>
    <x v="1315"/>
    <s v="O2"/>
    <x v="0"/>
    <m/>
    <m/>
    <m/>
    <m/>
    <x v="0"/>
    <m/>
    <m/>
    <m/>
    <n v="0"/>
    <m/>
  </r>
  <r>
    <x v="1319"/>
    <s v="MECHANICAL"/>
    <x v="21"/>
    <x v="0"/>
    <x v="1291"/>
    <x v="1316"/>
    <s v="O2"/>
    <x v="0"/>
    <m/>
    <m/>
    <m/>
    <m/>
    <x v="0"/>
    <m/>
    <m/>
    <m/>
    <n v="0"/>
    <m/>
  </r>
  <r>
    <x v="1320"/>
    <s v="MECHANICAL"/>
    <x v="144"/>
    <x v="0"/>
    <x v="1292"/>
    <x v="1317"/>
    <s v="O2"/>
    <x v="0"/>
    <m/>
    <m/>
    <m/>
    <m/>
    <x v="0"/>
    <m/>
    <m/>
    <m/>
    <n v="0"/>
    <m/>
  </r>
  <r>
    <x v="1321"/>
    <s v="FASTENERS"/>
    <x v="11"/>
    <x v="0"/>
    <x v="1293"/>
    <x v="1318"/>
    <s v="O2"/>
    <x v="0"/>
    <m/>
    <m/>
    <m/>
    <m/>
    <x v="0"/>
    <m/>
    <m/>
    <m/>
    <n v="0"/>
    <m/>
  </r>
  <r>
    <x v="1322"/>
    <s v="MISCELLANEOUS"/>
    <x v="112"/>
    <x v="0"/>
    <x v="1294"/>
    <x v="1319"/>
    <s v="O2"/>
    <x v="0"/>
    <m/>
    <m/>
    <m/>
    <m/>
    <x v="0"/>
    <m/>
    <m/>
    <m/>
    <n v="0"/>
    <m/>
  </r>
  <r>
    <x v="1323"/>
    <s v="MECHANICAL"/>
    <x v="36"/>
    <x v="0"/>
    <x v="1295"/>
    <x v="1320"/>
    <s v="O2"/>
    <x v="0"/>
    <m/>
    <m/>
    <m/>
    <m/>
    <x v="0"/>
    <m/>
    <m/>
    <m/>
    <n v="0"/>
    <m/>
  </r>
  <r>
    <x v="1324"/>
    <s v="MECHANICAL"/>
    <x v="144"/>
    <x v="0"/>
    <x v="1296"/>
    <x v="1321"/>
    <s v="O2"/>
    <x v="0"/>
    <m/>
    <m/>
    <m/>
    <m/>
    <x v="0"/>
    <m/>
    <m/>
    <m/>
    <n v="0"/>
    <m/>
  </r>
  <r>
    <x v="1325"/>
    <s v="LUBRICANT"/>
    <x v="134"/>
    <x v="0"/>
    <x v="1297"/>
    <x v="1322"/>
    <s v="O2"/>
    <x v="0"/>
    <m/>
    <m/>
    <m/>
    <m/>
    <x v="0"/>
    <m/>
    <m/>
    <m/>
    <n v="0"/>
    <m/>
  </r>
  <r>
    <x v="1326"/>
    <s v="MECHANICAL"/>
    <x v="36"/>
    <x v="0"/>
    <x v="1298"/>
    <x v="1323"/>
    <s v="O2"/>
    <x v="0"/>
    <m/>
    <m/>
    <m/>
    <m/>
    <x v="0"/>
    <m/>
    <m/>
    <m/>
    <n v="0"/>
    <m/>
  </r>
  <r>
    <x v="1327"/>
    <s v="HYDRAULICS"/>
    <x v="148"/>
    <x v="0"/>
    <x v="1299"/>
    <x v="1324"/>
    <s v="O2"/>
    <x v="0"/>
    <m/>
    <m/>
    <m/>
    <m/>
    <x v="0"/>
    <m/>
    <m/>
    <m/>
    <n v="0"/>
    <m/>
  </r>
  <r>
    <x v="1328"/>
    <s v="MECHANICAL"/>
    <x v="76"/>
    <x v="0"/>
    <x v="1300"/>
    <x v="1325"/>
    <s v="O2"/>
    <x v="0"/>
    <m/>
    <m/>
    <m/>
    <m/>
    <x v="0"/>
    <m/>
    <m/>
    <m/>
    <n v="0"/>
    <m/>
  </r>
  <r>
    <x v="1329"/>
    <s v="ELECTRICAL"/>
    <x v="104"/>
    <x v="0"/>
    <x v="1301"/>
    <x v="1326"/>
    <s v="O2"/>
    <x v="0"/>
    <m/>
    <m/>
    <m/>
    <m/>
    <x v="0"/>
    <m/>
    <m/>
    <m/>
    <n v="0"/>
    <m/>
  </r>
  <r>
    <x v="1330"/>
    <s v="MECHANICAL"/>
    <x v="76"/>
    <x v="0"/>
    <x v="1302"/>
    <x v="1327"/>
    <s v="O2"/>
    <x v="0"/>
    <m/>
    <m/>
    <m/>
    <m/>
    <x v="0"/>
    <m/>
    <m/>
    <m/>
    <n v="0"/>
    <m/>
  </r>
  <r>
    <x v="1331"/>
    <s v="MECHANICAL"/>
    <x v="76"/>
    <x v="0"/>
    <x v="1303"/>
    <x v="1328"/>
    <s v="O2"/>
    <x v="0"/>
    <m/>
    <m/>
    <m/>
    <m/>
    <x v="0"/>
    <m/>
    <m/>
    <m/>
    <n v="0"/>
    <m/>
  </r>
  <r>
    <x v="1332"/>
    <s v="KNIVES"/>
    <x v="149"/>
    <x v="0"/>
    <x v="1304"/>
    <x v="1329"/>
    <s v="O2"/>
    <x v="0"/>
    <m/>
    <m/>
    <m/>
    <m/>
    <x v="0"/>
    <m/>
    <m/>
    <m/>
    <n v="0"/>
    <m/>
  </r>
  <r>
    <x v="1333"/>
    <s v="KNIVES"/>
    <x v="149"/>
    <x v="0"/>
    <x v="1305"/>
    <x v="1330"/>
    <s v="O2"/>
    <x v="0"/>
    <m/>
    <m/>
    <m/>
    <m/>
    <x v="0"/>
    <m/>
    <m/>
    <m/>
    <n v="0"/>
    <m/>
  </r>
  <r>
    <x v="1334"/>
    <s v="ELECTRICAL"/>
    <x v="68"/>
    <x v="0"/>
    <x v="1306"/>
    <x v="1331"/>
    <s v="O2"/>
    <x v="0"/>
    <m/>
    <m/>
    <m/>
    <m/>
    <x v="0"/>
    <m/>
    <m/>
    <m/>
    <n v="0"/>
    <m/>
  </r>
  <r>
    <x v="1335"/>
    <s v="MECHANICAL"/>
    <x v="21"/>
    <x v="0"/>
    <x v="1307"/>
    <x v="1332"/>
    <s v="O2"/>
    <x v="0"/>
    <m/>
    <m/>
    <m/>
    <m/>
    <x v="0"/>
    <m/>
    <m/>
    <m/>
    <n v="0"/>
    <m/>
  </r>
  <r>
    <x v="1336"/>
    <s v="KNIVES"/>
    <x v="149"/>
    <x v="0"/>
    <x v="1308"/>
    <x v="1333"/>
    <s v="O2"/>
    <x v="0"/>
    <m/>
    <m/>
    <m/>
    <m/>
    <x v="0"/>
    <m/>
    <m/>
    <m/>
    <n v="0"/>
    <m/>
  </r>
  <r>
    <x v="1337"/>
    <s v="MECHANICAL"/>
    <x v="144"/>
    <x v="0"/>
    <x v="1309"/>
    <x v="1334"/>
    <s v="O2"/>
    <x v="0"/>
    <m/>
    <m/>
    <m/>
    <m/>
    <x v="0"/>
    <m/>
    <m/>
    <m/>
    <n v="0"/>
    <m/>
  </r>
  <r>
    <x v="1338"/>
    <s v="MECHANICAL"/>
    <x v="36"/>
    <x v="0"/>
    <x v="1310"/>
    <x v="1335"/>
    <s v="O2"/>
    <x v="0"/>
    <m/>
    <m/>
    <m/>
    <m/>
    <x v="0"/>
    <m/>
    <m/>
    <m/>
    <n v="0"/>
    <m/>
  </r>
  <r>
    <x v="1339"/>
    <s v="ELECTRICAL"/>
    <x v="56"/>
    <x v="0"/>
    <x v="1311"/>
    <x v="1336"/>
    <s v="O2"/>
    <x v="0"/>
    <m/>
    <m/>
    <m/>
    <m/>
    <x v="0"/>
    <m/>
    <m/>
    <m/>
    <n v="0"/>
    <m/>
  </r>
  <r>
    <x v="1340"/>
    <s v="ELECTRICAL"/>
    <x v="19"/>
    <x v="0"/>
    <x v="1312"/>
    <x v="1337"/>
    <s v="O2"/>
    <x v="0"/>
    <m/>
    <m/>
    <m/>
    <m/>
    <x v="0"/>
    <m/>
    <m/>
    <m/>
    <n v="0"/>
    <m/>
  </r>
  <r>
    <x v="1341"/>
    <s v="MECHANICAL"/>
    <x v="21"/>
    <x v="0"/>
    <x v="1313"/>
    <x v="1338"/>
    <s v="O2"/>
    <x v="0"/>
    <m/>
    <m/>
    <m/>
    <m/>
    <x v="0"/>
    <m/>
    <m/>
    <m/>
    <n v="0"/>
    <m/>
  </r>
  <r>
    <x v="1342"/>
    <s v="ELECTRICAL"/>
    <x v="59"/>
    <x v="0"/>
    <x v="1314"/>
    <x v="1339"/>
    <s v="O2"/>
    <x v="0"/>
    <m/>
    <m/>
    <m/>
    <m/>
    <x v="0"/>
    <m/>
    <m/>
    <m/>
    <n v="0"/>
    <m/>
  </r>
  <r>
    <x v="1343"/>
    <s v="MECHANICAL"/>
    <x v="83"/>
    <x v="0"/>
    <x v="1315"/>
    <x v="1340"/>
    <s v="O2"/>
    <x v="0"/>
    <m/>
    <m/>
    <m/>
    <m/>
    <x v="0"/>
    <m/>
    <m/>
    <m/>
    <n v="0"/>
    <m/>
  </r>
  <r>
    <x v="1344"/>
    <s v="MECHANICAL"/>
    <x v="84"/>
    <x v="0"/>
    <x v="1316"/>
    <x v="1341"/>
    <s v="O2"/>
    <x v="0"/>
    <m/>
    <m/>
    <m/>
    <m/>
    <x v="0"/>
    <m/>
    <m/>
    <m/>
    <n v="0"/>
    <m/>
  </r>
  <r>
    <x v="1345"/>
    <s v="MECHANICAL"/>
    <x v="83"/>
    <x v="0"/>
    <x v="1317"/>
    <x v="1342"/>
    <s v="O2"/>
    <x v="0"/>
    <m/>
    <m/>
    <m/>
    <m/>
    <x v="0"/>
    <m/>
    <m/>
    <m/>
    <n v="0"/>
    <m/>
  </r>
  <r>
    <x v="1346"/>
    <s v="MECHANICAL"/>
    <x v="144"/>
    <x v="0"/>
    <x v="1318"/>
    <x v="1343"/>
    <s v="O2"/>
    <x v="0"/>
    <m/>
    <m/>
    <m/>
    <m/>
    <x v="0"/>
    <m/>
    <m/>
    <m/>
    <n v="0"/>
    <m/>
  </r>
  <r>
    <x v="1347"/>
    <s v="MECHANICAL"/>
    <x v="150"/>
    <x v="0"/>
    <x v="1319"/>
    <x v="1344"/>
    <s v="O2"/>
    <x v="0"/>
    <m/>
    <m/>
    <m/>
    <m/>
    <x v="0"/>
    <m/>
    <m/>
    <m/>
    <n v="0"/>
    <m/>
  </r>
  <r>
    <x v="1348"/>
    <s v="MECHANICAL"/>
    <x v="21"/>
    <x v="0"/>
    <x v="1320"/>
    <x v="1345"/>
    <s v="O2"/>
    <x v="0"/>
    <m/>
    <m/>
    <m/>
    <m/>
    <x v="0"/>
    <m/>
    <m/>
    <m/>
    <n v="0"/>
    <m/>
  </r>
  <r>
    <x v="1349"/>
    <s v="MECHANICAL"/>
    <x v="83"/>
    <x v="0"/>
    <x v="1321"/>
    <x v="1346"/>
    <s v="O2"/>
    <x v="0"/>
    <m/>
    <m/>
    <m/>
    <m/>
    <x v="0"/>
    <m/>
    <m/>
    <m/>
    <n v="0"/>
    <m/>
  </r>
  <r>
    <x v="1350"/>
    <s v="MECHANICAL"/>
    <x v="84"/>
    <x v="0"/>
    <x v="1322"/>
    <x v="1347"/>
    <s v="O2"/>
    <x v="0"/>
    <m/>
    <m/>
    <m/>
    <m/>
    <x v="0"/>
    <m/>
    <m/>
    <m/>
    <n v="0"/>
    <m/>
  </r>
  <r>
    <x v="1351"/>
    <s v="MECHANICAL"/>
    <x v="83"/>
    <x v="0"/>
    <x v="1323"/>
    <x v="1348"/>
    <s v="O2"/>
    <x v="0"/>
    <m/>
    <m/>
    <m/>
    <m/>
    <x v="0"/>
    <m/>
    <m/>
    <m/>
    <n v="0"/>
    <m/>
  </r>
  <r>
    <x v="1352"/>
    <s v="MECHANICAL"/>
    <x v="83"/>
    <x v="0"/>
    <x v="1324"/>
    <x v="1349"/>
    <s v="O2"/>
    <x v="0"/>
    <m/>
    <m/>
    <m/>
    <m/>
    <x v="0"/>
    <m/>
    <m/>
    <m/>
    <n v="0"/>
    <m/>
  </r>
  <r>
    <x v="1353"/>
    <s v="ELECTRICAL"/>
    <x v="68"/>
    <x v="0"/>
    <x v="1325"/>
    <x v="1350"/>
    <s v="O2"/>
    <x v="0"/>
    <m/>
    <m/>
    <m/>
    <m/>
    <x v="0"/>
    <m/>
    <m/>
    <m/>
    <n v="0"/>
    <m/>
  </r>
  <r>
    <x v="1354"/>
    <s v="ELECTRICAL"/>
    <x v="59"/>
    <x v="0"/>
    <x v="1326"/>
    <x v="1351"/>
    <s v="O2"/>
    <x v="0"/>
    <m/>
    <m/>
    <m/>
    <m/>
    <x v="0"/>
    <m/>
    <m/>
    <m/>
    <n v="0"/>
    <m/>
  </r>
  <r>
    <x v="1355"/>
    <s v="HYDRAULICS"/>
    <x v="25"/>
    <x v="0"/>
    <x v="1327"/>
    <x v="1352"/>
    <s v="O2"/>
    <x v="0"/>
    <m/>
    <m/>
    <m/>
    <m/>
    <x v="0"/>
    <m/>
    <m/>
    <m/>
    <n v="0"/>
    <m/>
  </r>
  <r>
    <x v="1356"/>
    <s v="MECHANICAL"/>
    <x v="151"/>
    <x v="0"/>
    <x v="1328"/>
    <x v="1353"/>
    <s v="O2"/>
    <x v="0"/>
    <m/>
    <m/>
    <m/>
    <m/>
    <x v="0"/>
    <m/>
    <m/>
    <m/>
    <n v="0"/>
    <m/>
  </r>
  <r>
    <x v="1357"/>
    <s v="KNIVES"/>
    <x v="149"/>
    <x v="0"/>
    <x v="1329"/>
    <x v="1354"/>
    <s v="O2"/>
    <x v="0"/>
    <m/>
    <m/>
    <m/>
    <m/>
    <x v="0"/>
    <m/>
    <m/>
    <m/>
    <n v="0"/>
    <m/>
  </r>
  <r>
    <x v="1358"/>
    <s v="ELECTRICAL"/>
    <x v="68"/>
    <x v="0"/>
    <x v="1330"/>
    <x v="1355"/>
    <s v="O2"/>
    <x v="0"/>
    <m/>
    <m/>
    <m/>
    <m/>
    <x v="0"/>
    <m/>
    <m/>
    <m/>
    <n v="0"/>
    <m/>
  </r>
  <r>
    <x v="1359"/>
    <s v="MECHANICAL"/>
    <x v="83"/>
    <x v="0"/>
    <x v="1331"/>
    <x v="1356"/>
    <s v="O2"/>
    <x v="0"/>
    <m/>
    <m/>
    <m/>
    <m/>
    <x v="0"/>
    <m/>
    <m/>
    <m/>
    <n v="0"/>
    <m/>
  </r>
  <r>
    <x v="1360"/>
    <s v="MECHANICAL"/>
    <x v="83"/>
    <x v="0"/>
    <x v="1332"/>
    <x v="1357"/>
    <s v="O2"/>
    <x v="0"/>
    <m/>
    <m/>
    <m/>
    <m/>
    <x v="0"/>
    <m/>
    <m/>
    <m/>
    <n v="0"/>
    <m/>
  </r>
  <r>
    <x v="1361"/>
    <s v="MECHANICAL"/>
    <x v="83"/>
    <x v="0"/>
    <x v="1333"/>
    <x v="1358"/>
    <s v="O2"/>
    <x v="0"/>
    <m/>
    <m/>
    <m/>
    <m/>
    <x v="0"/>
    <m/>
    <m/>
    <m/>
    <n v="0"/>
    <m/>
  </r>
  <r>
    <x v="1362"/>
    <s v="MECHANICAL"/>
    <x v="83"/>
    <x v="0"/>
    <x v="1334"/>
    <x v="1359"/>
    <s v="O2"/>
    <x v="0"/>
    <m/>
    <m/>
    <m/>
    <m/>
    <x v="0"/>
    <m/>
    <m/>
    <m/>
    <n v="0"/>
    <m/>
  </r>
  <r>
    <x v="1363"/>
    <s v="MECHANICAL"/>
    <x v="83"/>
    <x v="0"/>
    <x v="1335"/>
    <x v="1360"/>
    <s v="O2"/>
    <x v="0"/>
    <m/>
    <m/>
    <m/>
    <m/>
    <x v="0"/>
    <m/>
    <m/>
    <m/>
    <n v="0"/>
    <m/>
  </r>
  <r>
    <x v="1364"/>
    <s v="MECHANICAL"/>
    <x v="83"/>
    <x v="0"/>
    <x v="1336"/>
    <x v="1361"/>
    <s v="O2"/>
    <x v="0"/>
    <m/>
    <m/>
    <m/>
    <m/>
    <x v="0"/>
    <m/>
    <m/>
    <m/>
    <n v="0"/>
    <m/>
  </r>
  <r>
    <x v="1365"/>
    <s v="MECHANICAL"/>
    <x v="83"/>
    <x v="0"/>
    <x v="1337"/>
    <x v="1362"/>
    <s v="O2"/>
    <x v="0"/>
    <m/>
    <m/>
    <m/>
    <m/>
    <x v="0"/>
    <m/>
    <m/>
    <m/>
    <n v="0"/>
    <m/>
  </r>
  <r>
    <x v="1366"/>
    <s v="MECHANICAL"/>
    <x v="83"/>
    <x v="0"/>
    <x v="1338"/>
    <x v="1363"/>
    <s v="O2"/>
    <x v="0"/>
    <m/>
    <m/>
    <m/>
    <m/>
    <x v="0"/>
    <m/>
    <m/>
    <m/>
    <n v="0"/>
    <m/>
  </r>
  <r>
    <x v="1367"/>
    <s v="KNIVES"/>
    <x v="149"/>
    <x v="0"/>
    <x v="1339"/>
    <x v="1364"/>
    <s v="O2"/>
    <x v="0"/>
    <m/>
    <m/>
    <m/>
    <m/>
    <x v="0"/>
    <m/>
    <m/>
    <m/>
    <n v="0"/>
    <m/>
  </r>
  <r>
    <x v="1368"/>
    <s v="MECHANICAL"/>
    <x v="36"/>
    <x v="0"/>
    <x v="1340"/>
    <x v="1365"/>
    <s v="O2"/>
    <x v="0"/>
    <m/>
    <m/>
    <m/>
    <m/>
    <x v="0"/>
    <m/>
    <m/>
    <m/>
    <n v="0"/>
    <m/>
  </r>
  <r>
    <x v="1369"/>
    <s v="MECHANICAL"/>
    <x v="21"/>
    <x v="0"/>
    <x v="1341"/>
    <x v="1366"/>
    <s v="O2"/>
    <x v="0"/>
    <m/>
    <m/>
    <m/>
    <m/>
    <x v="0"/>
    <m/>
    <m/>
    <m/>
    <n v="0"/>
    <m/>
  </r>
  <r>
    <x v="1370"/>
    <s v="MECHANICAL"/>
    <x v="20"/>
    <x v="0"/>
    <x v="1342"/>
    <x v="1367"/>
    <s v="O2"/>
    <x v="0"/>
    <m/>
    <m/>
    <m/>
    <m/>
    <x v="0"/>
    <m/>
    <m/>
    <m/>
    <n v="0"/>
    <m/>
  </r>
  <r>
    <x v="1371"/>
    <s v="MECHANICAL"/>
    <x v="36"/>
    <x v="0"/>
    <x v="1343"/>
    <x v="1368"/>
    <s v="O2"/>
    <x v="0"/>
    <m/>
    <m/>
    <m/>
    <m/>
    <x v="0"/>
    <m/>
    <m/>
    <m/>
    <n v="0"/>
    <m/>
  </r>
  <r>
    <x v="1372"/>
    <s v="MECHANICAL"/>
    <x v="21"/>
    <x v="0"/>
    <x v="1344"/>
    <x v="1369"/>
    <s v="O2"/>
    <x v="0"/>
    <m/>
    <m/>
    <m/>
    <m/>
    <x v="0"/>
    <m/>
    <m/>
    <m/>
    <n v="0"/>
    <m/>
  </r>
  <r>
    <x v="1373"/>
    <s v="ELECTRICAL"/>
    <x v="104"/>
    <x v="0"/>
    <x v="1345"/>
    <x v="1370"/>
    <s v="O2"/>
    <x v="0"/>
    <m/>
    <m/>
    <m/>
    <m/>
    <x v="0"/>
    <m/>
    <m/>
    <m/>
    <n v="0"/>
    <m/>
  </r>
  <r>
    <x v="1374"/>
    <s v="ELECTRICAL"/>
    <x v="104"/>
    <x v="0"/>
    <x v="1346"/>
    <x v="1371"/>
    <s v="O2"/>
    <x v="0"/>
    <m/>
    <m/>
    <m/>
    <m/>
    <x v="0"/>
    <m/>
    <m/>
    <m/>
    <n v="0"/>
    <m/>
  </r>
  <r>
    <x v="1375"/>
    <s v="ELECTRICAL"/>
    <x v="64"/>
    <x v="0"/>
    <x v="1347"/>
    <x v="1372"/>
    <s v="O2"/>
    <x v="0"/>
    <m/>
    <m/>
    <m/>
    <m/>
    <x v="0"/>
    <m/>
    <m/>
    <m/>
    <n v="0"/>
    <m/>
  </r>
  <r>
    <x v="1376"/>
    <s v="ELECTRICAL"/>
    <x v="68"/>
    <x v="0"/>
    <x v="1348"/>
    <x v="1373"/>
    <s v="O2"/>
    <x v="0"/>
    <m/>
    <m/>
    <m/>
    <m/>
    <x v="0"/>
    <m/>
    <m/>
    <m/>
    <n v="0"/>
    <m/>
  </r>
  <r>
    <x v="1377"/>
    <s v="ELECTRICAL"/>
    <x v="68"/>
    <x v="0"/>
    <x v="1349"/>
    <x v="1374"/>
    <s v="O2"/>
    <x v="0"/>
    <m/>
    <m/>
    <m/>
    <m/>
    <x v="0"/>
    <m/>
    <m/>
    <m/>
    <n v="0"/>
    <m/>
  </r>
  <r>
    <x v="1378"/>
    <s v="ELECTRICAL"/>
    <x v="104"/>
    <x v="0"/>
    <x v="1350"/>
    <x v="1375"/>
    <s v="O2"/>
    <x v="0"/>
    <m/>
    <m/>
    <m/>
    <m/>
    <x v="0"/>
    <m/>
    <m/>
    <m/>
    <n v="0"/>
    <m/>
  </r>
  <r>
    <x v="1379"/>
    <s v="ELECTRICAL"/>
    <x v="96"/>
    <x v="0"/>
    <x v="1351"/>
    <x v="1376"/>
    <s v="O2"/>
    <x v="0"/>
    <m/>
    <m/>
    <m/>
    <m/>
    <x v="0"/>
    <m/>
    <m/>
    <m/>
    <n v="0"/>
    <m/>
  </r>
  <r>
    <x v="1380"/>
    <s v="ELECTRICAL"/>
    <x v="96"/>
    <x v="0"/>
    <x v="1352"/>
    <x v="1377"/>
    <s v="O2"/>
    <x v="0"/>
    <m/>
    <m/>
    <m/>
    <m/>
    <x v="0"/>
    <m/>
    <m/>
    <m/>
    <n v="0"/>
    <m/>
  </r>
  <r>
    <x v="1381"/>
    <s v="MECHANICAL"/>
    <x v="35"/>
    <x v="0"/>
    <x v="1353"/>
    <x v="1378"/>
    <s v="O2"/>
    <x v="0"/>
    <m/>
    <m/>
    <m/>
    <m/>
    <x v="0"/>
    <m/>
    <m/>
    <m/>
    <n v="0"/>
    <m/>
  </r>
  <r>
    <x v="1382"/>
    <s v="MECHANICAL"/>
    <x v="24"/>
    <x v="0"/>
    <x v="1354"/>
    <x v="1379"/>
    <s v="O2"/>
    <x v="0"/>
    <m/>
    <m/>
    <m/>
    <m/>
    <x v="0"/>
    <m/>
    <m/>
    <m/>
    <n v="0"/>
    <m/>
  </r>
  <r>
    <x v="1383"/>
    <s v="MECHANICAL"/>
    <x v="46"/>
    <x v="0"/>
    <x v="1355"/>
    <x v="1380"/>
    <s v="O2"/>
    <x v="0"/>
    <m/>
    <m/>
    <m/>
    <m/>
    <x v="0"/>
    <m/>
    <m/>
    <m/>
    <n v="0"/>
    <m/>
  </r>
  <r>
    <x v="1384"/>
    <s v="ELECTRICAL"/>
    <x v="60"/>
    <x v="0"/>
    <x v="1356"/>
    <x v="1381"/>
    <s v="O2"/>
    <x v="0"/>
    <m/>
    <m/>
    <m/>
    <m/>
    <x v="0"/>
    <m/>
    <m/>
    <m/>
    <n v="0"/>
    <m/>
  </r>
  <r>
    <x v="1385"/>
    <s v="ELECTRICAL"/>
    <x v="55"/>
    <x v="0"/>
    <x v="1357"/>
    <x v="1382"/>
    <s v="O2"/>
    <x v="0"/>
    <m/>
    <m/>
    <m/>
    <m/>
    <x v="0"/>
    <m/>
    <m/>
    <m/>
    <n v="0"/>
    <m/>
  </r>
  <r>
    <x v="1386"/>
    <s v="ELECTRICAL"/>
    <x v="56"/>
    <x v="0"/>
    <x v="1358"/>
    <x v="1383"/>
    <s v="O3"/>
    <x v="0"/>
    <m/>
    <m/>
    <m/>
    <m/>
    <x v="0"/>
    <m/>
    <m/>
    <m/>
    <n v="0"/>
    <m/>
  </r>
  <r>
    <x v="1387"/>
    <s v="MECHANICAL"/>
    <x v="26"/>
    <x v="0"/>
    <x v="1359"/>
    <x v="1384"/>
    <s v="O4"/>
    <x v="0"/>
    <m/>
    <m/>
    <m/>
    <m/>
    <x v="0"/>
    <m/>
    <m/>
    <m/>
    <n v="0"/>
    <m/>
  </r>
  <r>
    <x v="1388"/>
    <s v="MECHANICAL"/>
    <x v="26"/>
    <x v="0"/>
    <x v="1360"/>
    <x v="1385"/>
    <s v="O4"/>
    <x v="0"/>
    <m/>
    <m/>
    <m/>
    <m/>
    <x v="0"/>
    <m/>
    <m/>
    <m/>
    <n v="0"/>
    <m/>
  </r>
  <r>
    <x v="1389"/>
    <s v="ELECTRICAL"/>
    <x v="152"/>
    <x v="0"/>
    <x v="1361"/>
    <x v="1386"/>
    <s v="O4"/>
    <x v="0"/>
    <m/>
    <m/>
    <m/>
    <m/>
    <x v="0"/>
    <m/>
    <m/>
    <m/>
    <n v="0"/>
    <m/>
  </r>
  <r>
    <x v="1390"/>
    <s v="MISCELLANEOUS"/>
    <x v="112"/>
    <x v="0"/>
    <x v="1362"/>
    <x v="1387"/>
    <s v="O4"/>
    <x v="0"/>
    <m/>
    <m/>
    <m/>
    <m/>
    <x v="0"/>
    <m/>
    <m/>
    <m/>
    <n v="0"/>
    <m/>
  </r>
  <r>
    <x v="1391"/>
    <s v="ELECTRICAL"/>
    <x v="55"/>
    <x v="0"/>
    <x v="1363"/>
    <x v="1388"/>
    <s v="O4"/>
    <x v="0"/>
    <m/>
    <m/>
    <m/>
    <m/>
    <x v="0"/>
    <m/>
    <m/>
    <m/>
    <n v="0"/>
    <m/>
  </r>
  <r>
    <x v="1392"/>
    <s v="MECHANICAL"/>
    <x v="21"/>
    <x v="0"/>
    <x v="1364"/>
    <x v="1389"/>
    <s v="O4"/>
    <x v="0"/>
    <m/>
    <m/>
    <m/>
    <m/>
    <x v="0"/>
    <m/>
    <m/>
    <m/>
    <n v="0"/>
    <m/>
  </r>
  <r>
    <x v="1393"/>
    <s v="ELECTRICAL"/>
    <x v="56"/>
    <x v="0"/>
    <x v="1365"/>
    <x v="1390"/>
    <s v="O4"/>
    <x v="0"/>
    <m/>
    <m/>
    <m/>
    <m/>
    <x v="0"/>
    <m/>
    <m/>
    <m/>
    <n v="0"/>
    <m/>
  </r>
  <r>
    <x v="1394"/>
    <s v="MECHANICAL"/>
    <x v="147"/>
    <x v="0"/>
    <x v="1366"/>
    <x v="1391"/>
    <s v="O4"/>
    <x v="0"/>
    <m/>
    <m/>
    <m/>
    <m/>
    <x v="0"/>
    <m/>
    <m/>
    <m/>
    <n v="0"/>
    <m/>
  </r>
  <r>
    <x v="1395"/>
    <s v="MECHANICAL"/>
    <x v="150"/>
    <x v="0"/>
    <x v="1367"/>
    <x v="1392"/>
    <s v="O4"/>
    <x v="0"/>
    <m/>
    <m/>
    <m/>
    <m/>
    <x v="0"/>
    <m/>
    <m/>
    <m/>
    <n v="0"/>
    <m/>
  </r>
  <r>
    <x v="1396"/>
    <s v="ELECTRICAL"/>
    <x v="19"/>
    <x v="0"/>
    <x v="1368"/>
    <x v="1393"/>
    <s v="O4"/>
    <x v="0"/>
    <m/>
    <m/>
    <m/>
    <m/>
    <x v="0"/>
    <m/>
    <m/>
    <m/>
    <n v="0"/>
    <m/>
  </r>
  <r>
    <x v="1397"/>
    <s v="ELECTRICAL"/>
    <x v="70"/>
    <x v="0"/>
    <x v="1369"/>
    <x v="1394"/>
    <s v="O4"/>
    <x v="0"/>
    <m/>
    <m/>
    <m/>
    <m/>
    <x v="0"/>
    <m/>
    <m/>
    <m/>
    <n v="0"/>
    <m/>
  </r>
  <r>
    <x v="1398"/>
    <s v="ELECTRICAL"/>
    <x v="70"/>
    <x v="0"/>
    <x v="1370"/>
    <x v="1395"/>
    <s v="O4"/>
    <x v="0"/>
    <m/>
    <m/>
    <m/>
    <m/>
    <x v="0"/>
    <m/>
    <m/>
    <m/>
    <n v="0"/>
    <m/>
  </r>
  <r>
    <x v="1399"/>
    <s v="ELECTRICAL"/>
    <x v="55"/>
    <x v="0"/>
    <x v="1371"/>
    <x v="1396"/>
    <s v="O4"/>
    <x v="0"/>
    <m/>
    <m/>
    <m/>
    <m/>
    <x v="0"/>
    <m/>
    <m/>
    <m/>
    <n v="0"/>
    <m/>
  </r>
  <r>
    <x v="1400"/>
    <s v="ELECTRICAL"/>
    <x v="55"/>
    <x v="0"/>
    <x v="1372"/>
    <x v="1397"/>
    <s v="O4"/>
    <x v="0"/>
    <m/>
    <m/>
    <m/>
    <m/>
    <x v="0"/>
    <m/>
    <m/>
    <m/>
    <n v="0"/>
    <m/>
  </r>
  <r>
    <x v="1401"/>
    <s v="MECHANICAL"/>
    <x v="46"/>
    <x v="0"/>
    <x v="1373"/>
    <x v="1398"/>
    <s v="O4"/>
    <x v="0"/>
    <m/>
    <m/>
    <m/>
    <m/>
    <x v="0"/>
    <m/>
    <m/>
    <m/>
    <n v="0"/>
    <m/>
  </r>
  <r>
    <x v="1402"/>
    <s v="MECHANICAL"/>
    <x v="83"/>
    <x v="0"/>
    <x v="1374"/>
    <x v="1399"/>
    <s v="O4"/>
    <x v="0"/>
    <m/>
    <m/>
    <m/>
    <m/>
    <x v="0"/>
    <m/>
    <m/>
    <m/>
    <n v="0"/>
    <m/>
  </r>
  <r>
    <x v="1403"/>
    <s v="MECHANICAL"/>
    <x v="83"/>
    <x v="0"/>
    <x v="1375"/>
    <x v="1400"/>
    <s v="O4"/>
    <x v="0"/>
    <m/>
    <m/>
    <m/>
    <m/>
    <x v="0"/>
    <m/>
    <m/>
    <m/>
    <n v="0"/>
    <m/>
  </r>
  <r>
    <x v="1404"/>
    <s v="MECHANICAL"/>
    <x v="83"/>
    <x v="0"/>
    <x v="1376"/>
    <x v="1401"/>
    <s v="O4"/>
    <x v="0"/>
    <m/>
    <m/>
    <m/>
    <m/>
    <x v="0"/>
    <m/>
    <m/>
    <m/>
    <n v="0"/>
    <m/>
  </r>
  <r>
    <x v="1405"/>
    <s v="FASTENERS"/>
    <x v="82"/>
    <x v="0"/>
    <x v="1377"/>
    <x v="1402"/>
    <s v="O4"/>
    <x v="0"/>
    <m/>
    <m/>
    <m/>
    <m/>
    <x v="0"/>
    <m/>
    <m/>
    <m/>
    <n v="0"/>
    <m/>
  </r>
  <r>
    <x v="1406"/>
    <s v="MECHANICAL"/>
    <x v="84"/>
    <x v="0"/>
    <x v="1378"/>
    <x v="1403"/>
    <s v="O4"/>
    <x v="0"/>
    <m/>
    <m/>
    <m/>
    <m/>
    <x v="0"/>
    <m/>
    <m/>
    <m/>
    <n v="0"/>
    <m/>
  </r>
  <r>
    <x v="1407"/>
    <s v="FASTENERS"/>
    <x v="82"/>
    <x v="0"/>
    <x v="1379"/>
    <x v="1404"/>
    <s v="O4"/>
    <x v="0"/>
    <m/>
    <m/>
    <m/>
    <m/>
    <x v="0"/>
    <m/>
    <m/>
    <m/>
    <n v="0"/>
    <m/>
  </r>
  <r>
    <x v="1408"/>
    <s v="PNEUMATIC"/>
    <x v="21"/>
    <x v="0"/>
    <x v="1380"/>
    <x v="1405"/>
    <s v="O4"/>
    <x v="0"/>
    <m/>
    <m/>
    <m/>
    <m/>
    <x v="0"/>
    <m/>
    <m/>
    <m/>
    <n v="0"/>
    <m/>
  </r>
  <r>
    <x v="1409"/>
    <s v="MECHANICAL"/>
    <x v="21"/>
    <x v="0"/>
    <x v="1381"/>
    <x v="1406"/>
    <s v="O4"/>
    <x v="0"/>
    <m/>
    <m/>
    <m/>
    <m/>
    <x v="0"/>
    <m/>
    <m/>
    <m/>
    <n v="0"/>
    <m/>
  </r>
  <r>
    <x v="1410"/>
    <s v="ELECTRICAL"/>
    <x v="70"/>
    <x v="0"/>
    <x v="1382"/>
    <x v="1407"/>
    <s v="O4"/>
    <x v="0"/>
    <m/>
    <m/>
    <m/>
    <m/>
    <x v="0"/>
    <m/>
    <m/>
    <m/>
    <n v="0"/>
    <m/>
  </r>
  <r>
    <x v="1411"/>
    <s v="ELECTRICAL"/>
    <x v="55"/>
    <x v="0"/>
    <x v="1383"/>
    <x v="1408"/>
    <s v="O4"/>
    <x v="0"/>
    <m/>
    <m/>
    <m/>
    <m/>
    <x v="0"/>
    <m/>
    <m/>
    <m/>
    <n v="0"/>
    <m/>
  </r>
  <r>
    <x v="1412"/>
    <s v="ELECTRICAL"/>
    <x v="55"/>
    <x v="0"/>
    <x v="1384"/>
    <x v="1409"/>
    <s v="O4"/>
    <x v="0"/>
    <m/>
    <m/>
    <m/>
    <m/>
    <x v="0"/>
    <m/>
    <m/>
    <m/>
    <n v="0"/>
    <m/>
  </r>
  <r>
    <x v="1413"/>
    <s v="ELECTRICAL"/>
    <x v="55"/>
    <x v="0"/>
    <x v="1384"/>
    <x v="1409"/>
    <s v="O4"/>
    <x v="0"/>
    <m/>
    <m/>
    <m/>
    <m/>
    <x v="0"/>
    <m/>
    <m/>
    <m/>
    <n v="0"/>
    <m/>
  </r>
  <r>
    <x v="1414"/>
    <s v="ELECTRICAL"/>
    <x v="55"/>
    <x v="0"/>
    <x v="1384"/>
    <x v="1409"/>
    <s v="O4"/>
    <x v="0"/>
    <m/>
    <m/>
    <m/>
    <m/>
    <x v="0"/>
    <m/>
    <m/>
    <m/>
    <n v="0"/>
    <m/>
  </r>
  <r>
    <x v="1415"/>
    <s v="ELECTRICAL"/>
    <x v="55"/>
    <x v="0"/>
    <x v="1384"/>
    <x v="1409"/>
    <s v="O4"/>
    <x v="0"/>
    <m/>
    <m/>
    <m/>
    <m/>
    <x v="0"/>
    <m/>
    <m/>
    <m/>
    <n v="0"/>
    <m/>
  </r>
  <r>
    <x v="1416"/>
    <s v="ELECTRICAL"/>
    <x v="55"/>
    <x v="0"/>
    <x v="1384"/>
    <x v="1409"/>
    <s v="O4"/>
    <x v="0"/>
    <m/>
    <m/>
    <m/>
    <m/>
    <x v="0"/>
    <m/>
    <m/>
    <m/>
    <n v="0"/>
    <m/>
  </r>
  <r>
    <x v="1417"/>
    <s v="MECHANICAL"/>
    <x v="21"/>
    <x v="0"/>
    <x v="1385"/>
    <x v="1410"/>
    <s v="O4"/>
    <x v="0"/>
    <m/>
    <m/>
    <m/>
    <m/>
    <x v="0"/>
    <m/>
    <m/>
    <m/>
    <n v="0"/>
    <m/>
  </r>
  <r>
    <x v="1418"/>
    <s v="MECHANICAL"/>
    <x v="23"/>
    <x v="0"/>
    <x v="1386"/>
    <x v="1411"/>
    <s v="O4"/>
    <x v="0"/>
    <m/>
    <m/>
    <m/>
    <m/>
    <x v="0"/>
    <m/>
    <m/>
    <m/>
    <n v="0"/>
    <m/>
  </r>
  <r>
    <x v="1419"/>
    <s v="MECHANICAL"/>
    <x v="26"/>
    <x v="0"/>
    <x v="1387"/>
    <x v="1412"/>
    <s v="O4"/>
    <x v="0"/>
    <m/>
    <m/>
    <m/>
    <m/>
    <x v="0"/>
    <m/>
    <m/>
    <m/>
    <n v="0"/>
    <m/>
  </r>
  <r>
    <x v="1420"/>
    <s v="ELECTRICAL"/>
    <x v="70"/>
    <x v="0"/>
    <x v="1388"/>
    <x v="1413"/>
    <s v="O4"/>
    <x v="0"/>
    <m/>
    <m/>
    <m/>
    <m/>
    <x v="0"/>
    <m/>
    <m/>
    <m/>
    <n v="0"/>
    <m/>
  </r>
  <r>
    <x v="1421"/>
    <s v="MECHANICAL"/>
    <x v="21"/>
    <x v="0"/>
    <x v="1389"/>
    <x v="1414"/>
    <s v="O4"/>
    <x v="0"/>
    <m/>
    <m/>
    <m/>
    <m/>
    <x v="0"/>
    <m/>
    <m/>
    <m/>
    <n v="0"/>
    <m/>
  </r>
  <r>
    <x v="1422"/>
    <s v="MECHANICAL"/>
    <x v="36"/>
    <x v="0"/>
    <x v="1390"/>
    <x v="1415"/>
    <s v="O4"/>
    <x v="0"/>
    <m/>
    <m/>
    <m/>
    <m/>
    <x v="0"/>
    <m/>
    <m/>
    <m/>
    <n v="0"/>
    <m/>
  </r>
  <r>
    <x v="1423"/>
    <s v="MECHANICAL"/>
    <x v="151"/>
    <x v="0"/>
    <x v="1391"/>
    <x v="1416"/>
    <s v="O4"/>
    <x v="0"/>
    <m/>
    <m/>
    <m/>
    <m/>
    <x v="0"/>
    <m/>
    <m/>
    <m/>
    <n v="0"/>
    <m/>
  </r>
  <r>
    <x v="1424"/>
    <s v="ELECTRICAL"/>
    <x v="64"/>
    <x v="0"/>
    <x v="1392"/>
    <x v="1417"/>
    <s v="O5"/>
    <x v="0"/>
    <m/>
    <m/>
    <m/>
    <m/>
    <x v="0"/>
    <m/>
    <m/>
    <m/>
    <n v="0"/>
    <m/>
  </r>
  <r>
    <x v="1425"/>
    <s v="ELECTRICAL"/>
    <x v="70"/>
    <x v="0"/>
    <x v="1393"/>
    <x v="1418"/>
    <s v="O5"/>
    <x v="0"/>
    <m/>
    <m/>
    <m/>
    <m/>
    <x v="0"/>
    <m/>
    <m/>
    <m/>
    <n v="0"/>
    <m/>
  </r>
  <r>
    <x v="1426"/>
    <s v="ELECTRICAL"/>
    <x v="153"/>
    <x v="0"/>
    <x v="1394"/>
    <x v="1419"/>
    <s v="O5"/>
    <x v="0"/>
    <m/>
    <m/>
    <m/>
    <m/>
    <x v="0"/>
    <m/>
    <m/>
    <m/>
    <n v="0"/>
    <m/>
  </r>
  <r>
    <x v="1427"/>
    <s v="ELECTRICAL"/>
    <x v="64"/>
    <x v="0"/>
    <x v="1395"/>
    <x v="1420"/>
    <s v="O5"/>
    <x v="0"/>
    <m/>
    <m/>
    <m/>
    <m/>
    <x v="0"/>
    <m/>
    <m/>
    <m/>
    <n v="0"/>
    <m/>
  </r>
  <r>
    <x v="1428"/>
    <s v="ELECTRICAL"/>
    <x v="70"/>
    <x v="0"/>
    <x v="1396"/>
    <x v="1421"/>
    <s v="O5"/>
    <x v="0"/>
    <m/>
    <m/>
    <m/>
    <m/>
    <x v="0"/>
    <m/>
    <m/>
    <m/>
    <n v="0"/>
    <m/>
  </r>
  <r>
    <x v="1429"/>
    <s v="ELECTRICAL"/>
    <x v="68"/>
    <x v="0"/>
    <x v="1397"/>
    <x v="1422"/>
    <s v="O5"/>
    <x v="0"/>
    <m/>
    <m/>
    <m/>
    <m/>
    <x v="0"/>
    <m/>
    <m/>
    <m/>
    <n v="0"/>
    <m/>
  </r>
  <r>
    <x v="1430"/>
    <s v="ELECTRICAL"/>
    <x v="59"/>
    <x v="0"/>
    <x v="1398"/>
    <x v="1423"/>
    <s v="O5"/>
    <x v="0"/>
    <m/>
    <m/>
    <m/>
    <m/>
    <x v="0"/>
    <m/>
    <m/>
    <m/>
    <n v="0"/>
    <m/>
  </r>
  <r>
    <x v="1431"/>
    <s v="BELTS"/>
    <x v="72"/>
    <x v="0"/>
    <x v="1399"/>
    <x v="1424"/>
    <s v="P1"/>
    <x v="0"/>
    <m/>
    <m/>
    <m/>
    <m/>
    <x v="0"/>
    <m/>
    <m/>
    <m/>
    <n v="0"/>
    <m/>
  </r>
  <r>
    <x v="1432"/>
    <s v="BELTS"/>
    <x v="72"/>
    <x v="0"/>
    <x v="1400"/>
    <x v="1425"/>
    <s v="P1"/>
    <x v="0"/>
    <m/>
    <m/>
    <m/>
    <m/>
    <x v="0"/>
    <m/>
    <m/>
    <m/>
    <n v="0"/>
    <m/>
  </r>
  <r>
    <x v="1433"/>
    <s v="BELTS"/>
    <x v="17"/>
    <x v="0"/>
    <x v="1401"/>
    <x v="1426"/>
    <s v="P1"/>
    <x v="0"/>
    <m/>
    <m/>
    <m/>
    <m/>
    <x v="0"/>
    <m/>
    <m/>
    <m/>
    <n v="0"/>
    <m/>
  </r>
  <r>
    <x v="1434"/>
    <s v="ROLLERS"/>
    <x v="18"/>
    <x v="0"/>
    <x v="1402"/>
    <x v="1427"/>
    <s v="P1"/>
    <x v="0"/>
    <m/>
    <m/>
    <m/>
    <m/>
    <x v="0"/>
    <m/>
    <m/>
    <m/>
    <n v="0"/>
    <m/>
  </r>
  <r>
    <x v="1435"/>
    <s v="ROLLERS"/>
    <x v="18"/>
    <x v="0"/>
    <x v="1403"/>
    <x v="1428"/>
    <s v="P1"/>
    <x v="0"/>
    <m/>
    <m/>
    <m/>
    <m/>
    <x v="0"/>
    <m/>
    <m/>
    <m/>
    <n v="0"/>
    <m/>
  </r>
  <r>
    <x v="1436"/>
    <s v="KNIVES"/>
    <x v="113"/>
    <x v="0"/>
    <x v="1404"/>
    <x v="1429"/>
    <s v="P1"/>
    <x v="0"/>
    <m/>
    <m/>
    <m/>
    <m/>
    <x v="0"/>
    <m/>
    <m/>
    <m/>
    <n v="0"/>
    <m/>
  </r>
  <r>
    <x v="1437"/>
    <s v="ROLLERS"/>
    <x v="118"/>
    <x v="0"/>
    <x v="1405"/>
    <x v="1430"/>
    <s v="P1"/>
    <x v="0"/>
    <m/>
    <m/>
    <m/>
    <m/>
    <x v="0"/>
    <m/>
    <m/>
    <m/>
    <n v="0"/>
    <m/>
  </r>
  <r>
    <x v="1438"/>
    <s v="ROLLERS"/>
    <x v="118"/>
    <x v="0"/>
    <x v="1406"/>
    <x v="1431"/>
    <s v="P1"/>
    <x v="0"/>
    <m/>
    <m/>
    <m/>
    <m/>
    <x v="0"/>
    <m/>
    <m/>
    <m/>
    <n v="0"/>
    <m/>
  </r>
  <r>
    <x v="1439"/>
    <s v="BELTS"/>
    <x v="72"/>
    <x v="0"/>
    <x v="1407"/>
    <x v="1432"/>
    <s v="P1"/>
    <x v="0"/>
    <m/>
    <m/>
    <m/>
    <m/>
    <x v="0"/>
    <m/>
    <m/>
    <m/>
    <n v="0"/>
    <m/>
  </r>
  <r>
    <x v="1440"/>
    <s v="KNIVES"/>
    <x v="113"/>
    <x v="0"/>
    <x v="1408"/>
    <x v="1433"/>
    <s v="P1"/>
    <x v="0"/>
    <m/>
    <m/>
    <m/>
    <m/>
    <x v="0"/>
    <m/>
    <m/>
    <m/>
    <n v="0"/>
    <m/>
  </r>
  <r>
    <x v="1441"/>
    <s v="ROLLERS"/>
    <x v="154"/>
    <x v="0"/>
    <x v="1409"/>
    <x v="1434"/>
    <s v="P1"/>
    <x v="0"/>
    <m/>
    <m/>
    <m/>
    <m/>
    <x v="0"/>
    <m/>
    <m/>
    <m/>
    <n v="0"/>
    <m/>
  </r>
  <r>
    <x v="1442"/>
    <s v="BELTS"/>
    <x v="72"/>
    <x v="0"/>
    <x v="1410"/>
    <x v="1435"/>
    <s v="P1"/>
    <x v="0"/>
    <m/>
    <m/>
    <m/>
    <m/>
    <x v="0"/>
    <m/>
    <m/>
    <m/>
    <n v="0"/>
    <m/>
  </r>
  <r>
    <x v="1443"/>
    <s v="ROLLERS"/>
    <x v="12"/>
    <x v="0"/>
    <x v="1411"/>
    <x v="1436"/>
    <s v="P2"/>
    <x v="0"/>
    <m/>
    <m/>
    <m/>
    <m/>
    <x v="0"/>
    <m/>
    <m/>
    <m/>
    <n v="0"/>
    <m/>
  </r>
  <r>
    <x v="1444"/>
    <s v="ROLLERS"/>
    <x v="12"/>
    <x v="0"/>
    <x v="1412"/>
    <x v="1437"/>
    <s v="P2"/>
    <x v="0"/>
    <m/>
    <m/>
    <m/>
    <m/>
    <x v="0"/>
    <m/>
    <m/>
    <m/>
    <n v="0"/>
    <m/>
  </r>
  <r>
    <x v="1445"/>
    <s v="ROLLERS"/>
    <x v="12"/>
    <x v="0"/>
    <x v="1413"/>
    <x v="1438"/>
    <s v="P2"/>
    <x v="0"/>
    <m/>
    <m/>
    <m/>
    <m/>
    <x v="0"/>
    <m/>
    <m/>
    <m/>
    <n v="0"/>
    <m/>
  </r>
  <r>
    <x v="1446"/>
    <s v="ROLLERS"/>
    <x v="12"/>
    <x v="0"/>
    <x v="1414"/>
    <x v="1439"/>
    <s v="P2"/>
    <x v="0"/>
    <m/>
    <m/>
    <m/>
    <m/>
    <x v="0"/>
    <m/>
    <m/>
    <m/>
    <n v="0"/>
    <m/>
  </r>
  <r>
    <x v="1447"/>
    <s v="MECHANICAL"/>
    <x v="21"/>
    <x v="0"/>
    <x v="1415"/>
    <x v="1440"/>
    <s v="P2"/>
    <x v="0"/>
    <m/>
    <m/>
    <m/>
    <m/>
    <x v="0"/>
    <m/>
    <m/>
    <m/>
    <n v="0"/>
    <m/>
  </r>
  <r>
    <x v="1448"/>
    <s v="MECHANICAL"/>
    <x v="21"/>
    <x v="0"/>
    <x v="1416"/>
    <x v="1441"/>
    <s v="P2"/>
    <x v="0"/>
    <m/>
    <m/>
    <m/>
    <m/>
    <x v="0"/>
    <m/>
    <m/>
    <m/>
    <n v="0"/>
    <m/>
  </r>
  <r>
    <x v="1449"/>
    <s v="MECHANICAL"/>
    <x v="21"/>
    <x v="0"/>
    <x v="1417"/>
    <x v="1442"/>
    <s v="P2"/>
    <x v="0"/>
    <m/>
    <m/>
    <m/>
    <m/>
    <x v="0"/>
    <m/>
    <m/>
    <m/>
    <n v="0"/>
    <m/>
  </r>
  <r>
    <x v="1450"/>
    <s v="ROLLERS"/>
    <x v="18"/>
    <x v="0"/>
    <x v="1418"/>
    <x v="1443"/>
    <s v="P2"/>
    <x v="0"/>
    <m/>
    <m/>
    <m/>
    <m/>
    <x v="0"/>
    <m/>
    <m/>
    <m/>
    <n v="0"/>
    <m/>
  </r>
  <r>
    <x v="1451"/>
    <s v="ROLLERS"/>
    <x v="18"/>
    <x v="0"/>
    <x v="1419"/>
    <x v="1444"/>
    <s v="P2"/>
    <x v="0"/>
    <m/>
    <m/>
    <m/>
    <m/>
    <x v="0"/>
    <m/>
    <m/>
    <m/>
    <n v="0"/>
    <m/>
  </r>
  <r>
    <x v="1452"/>
    <s v="ROLLERS"/>
    <x v="18"/>
    <x v="0"/>
    <x v="1420"/>
    <x v="1445"/>
    <s v="P2"/>
    <x v="0"/>
    <m/>
    <m/>
    <m/>
    <m/>
    <x v="0"/>
    <m/>
    <m/>
    <m/>
    <n v="0"/>
    <m/>
  </r>
  <r>
    <x v="1453"/>
    <s v="ROLLERS"/>
    <x v="18"/>
    <x v="0"/>
    <x v="1421"/>
    <x v="1446"/>
    <s v="P2"/>
    <x v="0"/>
    <m/>
    <m/>
    <m/>
    <m/>
    <x v="0"/>
    <m/>
    <m/>
    <m/>
    <n v="0"/>
    <m/>
  </r>
  <r>
    <x v="1454"/>
    <s v="ROLLERS"/>
    <x v="51"/>
    <x v="0"/>
    <x v="1422"/>
    <x v="1447"/>
    <s v="P2"/>
    <x v="0"/>
    <m/>
    <m/>
    <m/>
    <m/>
    <x v="0"/>
    <m/>
    <m/>
    <m/>
    <n v="0"/>
    <m/>
  </r>
  <r>
    <x v="1455"/>
    <s v="ROLLERS"/>
    <x v="18"/>
    <x v="0"/>
    <x v="1423"/>
    <x v="1448"/>
    <s v="P2"/>
    <x v="0"/>
    <m/>
    <m/>
    <m/>
    <m/>
    <x v="0"/>
    <m/>
    <m/>
    <m/>
    <n v="0"/>
    <m/>
  </r>
  <r>
    <x v="1456"/>
    <s v="ROLLERS"/>
    <x v="18"/>
    <x v="0"/>
    <x v="1424"/>
    <x v="1449"/>
    <s v="P2"/>
    <x v="0"/>
    <m/>
    <m/>
    <m/>
    <m/>
    <x v="0"/>
    <m/>
    <m/>
    <m/>
    <n v="0"/>
    <m/>
  </r>
  <r>
    <x v="1457"/>
    <s v="MECHANICAL"/>
    <x v="40"/>
    <x v="0"/>
    <x v="1425"/>
    <x v="1450"/>
    <s v="P2"/>
    <x v="0"/>
    <m/>
    <m/>
    <m/>
    <m/>
    <x v="0"/>
    <m/>
    <m/>
    <m/>
    <n v="0"/>
    <m/>
  </r>
  <r>
    <x v="1458"/>
    <s v="MECHANICAL"/>
    <x v="21"/>
    <x v="0"/>
    <x v="1426"/>
    <x v="1451"/>
    <s v="P3"/>
    <x v="0"/>
    <m/>
    <m/>
    <m/>
    <m/>
    <x v="0"/>
    <m/>
    <m/>
    <m/>
    <n v="0"/>
    <m/>
  </r>
  <r>
    <x v="1459"/>
    <s v="KNIVES"/>
    <x v="155"/>
    <x v="0"/>
    <x v="1427"/>
    <x v="1452"/>
    <s v="P3"/>
    <x v="0"/>
    <m/>
    <m/>
    <m/>
    <m/>
    <x v="0"/>
    <m/>
    <m/>
    <m/>
    <n v="0"/>
    <m/>
  </r>
  <r>
    <x v="1460"/>
    <s v="KNIVES"/>
    <x v="155"/>
    <x v="0"/>
    <x v="1428"/>
    <x v="1453"/>
    <s v="P3"/>
    <x v="0"/>
    <m/>
    <m/>
    <m/>
    <m/>
    <x v="0"/>
    <m/>
    <m/>
    <m/>
    <n v="0"/>
    <m/>
  </r>
  <r>
    <x v="1461"/>
    <s v="MECHANICAL"/>
    <x v="21"/>
    <x v="0"/>
    <x v="1429"/>
    <x v="1454"/>
    <s v="P3"/>
    <x v="0"/>
    <m/>
    <m/>
    <m/>
    <m/>
    <x v="0"/>
    <m/>
    <m/>
    <m/>
    <n v="0"/>
    <m/>
  </r>
  <r>
    <x v="1462"/>
    <s v="PRODUCTION SUPPLY"/>
    <x v="95"/>
    <x v="0"/>
    <x v="1430"/>
    <x v="1455"/>
    <s v="P3"/>
    <x v="0"/>
    <m/>
    <m/>
    <m/>
    <m/>
    <x v="0"/>
    <m/>
    <m/>
    <m/>
    <n v="0"/>
    <m/>
  </r>
  <r>
    <x v="1463"/>
    <s v="PRODUCTION SUPPLY"/>
    <x v="95"/>
    <x v="0"/>
    <x v="1431"/>
    <x v="1456"/>
    <s v="P3"/>
    <x v="0"/>
    <m/>
    <m/>
    <m/>
    <m/>
    <x v="0"/>
    <m/>
    <m/>
    <m/>
    <n v="0"/>
    <m/>
  </r>
  <r>
    <x v="1464"/>
    <s v="MECHANICAL"/>
    <x v="21"/>
    <x v="0"/>
    <x v="158"/>
    <x v="1457"/>
    <s v="P3"/>
    <x v="0"/>
    <m/>
    <m/>
    <m/>
    <m/>
    <x v="0"/>
    <m/>
    <m/>
    <m/>
    <n v="0"/>
    <m/>
  </r>
  <r>
    <x v="1465"/>
    <s v="MECHANICAL"/>
    <x v="21"/>
    <x v="0"/>
    <x v="1432"/>
    <x v="1458"/>
    <s v="P3"/>
    <x v="0"/>
    <m/>
    <m/>
    <m/>
    <m/>
    <x v="0"/>
    <m/>
    <m/>
    <m/>
    <n v="0"/>
    <m/>
  </r>
  <r>
    <x v="1466"/>
    <s v="KNIVES"/>
    <x v="155"/>
    <x v="0"/>
    <x v="1433"/>
    <x v="1459"/>
    <s v="P3"/>
    <x v="0"/>
    <m/>
    <m/>
    <m/>
    <m/>
    <x v="0"/>
    <m/>
    <m/>
    <m/>
    <n v="0"/>
    <m/>
  </r>
  <r>
    <x v="1467"/>
    <s v="TAPES"/>
    <x v="136"/>
    <x v="0"/>
    <x v="1434"/>
    <x v="1460"/>
    <s v="P3"/>
    <x v="0"/>
    <m/>
    <m/>
    <m/>
    <m/>
    <x v="0"/>
    <m/>
    <m/>
    <m/>
    <n v="0"/>
    <m/>
  </r>
  <r>
    <x v="1468"/>
    <s v="KNIVES"/>
    <x v="149"/>
    <x v="0"/>
    <x v="1435"/>
    <x v="1461"/>
    <s v="P3"/>
    <x v="0"/>
    <m/>
    <m/>
    <m/>
    <m/>
    <x v="0"/>
    <m/>
    <m/>
    <m/>
    <n v="0"/>
    <m/>
  </r>
  <r>
    <x v="1469"/>
    <s v="KNIVES"/>
    <x v="149"/>
    <x v="0"/>
    <x v="1436"/>
    <x v="1462"/>
    <s v="P3"/>
    <x v="0"/>
    <m/>
    <m/>
    <m/>
    <m/>
    <x v="0"/>
    <m/>
    <m/>
    <m/>
    <n v="0"/>
    <m/>
  </r>
  <r>
    <x v="1470"/>
    <s v="MECHANICAL"/>
    <x v="21"/>
    <x v="0"/>
    <x v="1437"/>
    <x v="1463"/>
    <s v="P4"/>
    <x v="0"/>
    <m/>
    <m/>
    <m/>
    <m/>
    <x v="0"/>
    <m/>
    <m/>
    <m/>
    <n v="0"/>
    <m/>
  </r>
  <r>
    <x v="1471"/>
    <s v="MECHANICAL"/>
    <x v="21"/>
    <x v="0"/>
    <x v="1438"/>
    <x v="1464"/>
    <s v="P4"/>
    <x v="0"/>
    <m/>
    <m/>
    <m/>
    <m/>
    <x v="0"/>
    <m/>
    <m/>
    <m/>
    <n v="0"/>
    <m/>
  </r>
  <r>
    <x v="1472"/>
    <s v="MECHANICAL"/>
    <x v="21"/>
    <x v="0"/>
    <x v="1439"/>
    <x v="1465"/>
    <s v="P4"/>
    <x v="0"/>
    <m/>
    <m/>
    <m/>
    <m/>
    <x v="0"/>
    <m/>
    <m/>
    <m/>
    <n v="0"/>
    <m/>
  </r>
  <r>
    <x v="1473"/>
    <s v="MECHANICAL"/>
    <x v="21"/>
    <x v="0"/>
    <x v="1440"/>
    <x v="1466"/>
    <s v="P4"/>
    <x v="0"/>
    <m/>
    <m/>
    <m/>
    <m/>
    <x v="0"/>
    <m/>
    <m/>
    <m/>
    <n v="0"/>
    <m/>
  </r>
  <r>
    <x v="1474"/>
    <s v="MECHANICAL"/>
    <x v="24"/>
    <x v="0"/>
    <x v="1441"/>
    <x v="1467"/>
    <s v="P4"/>
    <x v="0"/>
    <m/>
    <m/>
    <m/>
    <m/>
    <x v="0"/>
    <m/>
    <m/>
    <m/>
    <n v="0"/>
    <m/>
  </r>
  <r>
    <x v="1475"/>
    <s v="MECHANICAL"/>
    <x v="24"/>
    <x v="0"/>
    <x v="1442"/>
    <x v="1468"/>
    <s v="P4"/>
    <x v="0"/>
    <m/>
    <m/>
    <m/>
    <m/>
    <x v="0"/>
    <m/>
    <m/>
    <m/>
    <n v="0"/>
    <m/>
  </r>
  <r>
    <x v="1476"/>
    <s v="MECHANICAL"/>
    <x v="10"/>
    <x v="0"/>
    <x v="1443"/>
    <x v="1469"/>
    <s v="P4"/>
    <x v="0"/>
    <m/>
    <m/>
    <m/>
    <m/>
    <x v="0"/>
    <m/>
    <m/>
    <m/>
    <n v="0"/>
    <m/>
  </r>
  <r>
    <x v="1477"/>
    <s v="MECHANICAL"/>
    <x v="21"/>
    <x v="0"/>
    <x v="1444"/>
    <x v="1470"/>
    <s v="P4"/>
    <x v="0"/>
    <m/>
    <m/>
    <m/>
    <m/>
    <x v="0"/>
    <m/>
    <m/>
    <m/>
    <n v="0"/>
    <m/>
  </r>
  <r>
    <x v="1478"/>
    <s v="MECHANICAL"/>
    <x v="21"/>
    <x v="0"/>
    <x v="158"/>
    <x v="1471"/>
    <s v="P4"/>
    <x v="0"/>
    <m/>
    <m/>
    <m/>
    <m/>
    <x v="0"/>
    <m/>
    <m/>
    <m/>
    <n v="0"/>
    <m/>
  </r>
  <r>
    <x v="1479"/>
    <s v="MECHANICAL"/>
    <x v="21"/>
    <x v="0"/>
    <x v="1445"/>
    <x v="1472"/>
    <s v="P4"/>
    <x v="0"/>
    <m/>
    <m/>
    <m/>
    <m/>
    <x v="0"/>
    <m/>
    <m/>
    <m/>
    <n v="0"/>
    <m/>
  </r>
  <r>
    <x v="1480"/>
    <s v="MECHANICAL"/>
    <x v="21"/>
    <x v="0"/>
    <x v="1446"/>
    <x v="1473"/>
    <s v="P4"/>
    <x v="0"/>
    <m/>
    <m/>
    <m/>
    <m/>
    <x v="0"/>
    <m/>
    <m/>
    <m/>
    <n v="0"/>
    <m/>
  </r>
  <r>
    <x v="1481"/>
    <s v="MECHANICAL"/>
    <x v="21"/>
    <x v="0"/>
    <x v="1447"/>
    <x v="1474"/>
    <s v="P4"/>
    <x v="0"/>
    <m/>
    <m/>
    <m/>
    <m/>
    <x v="0"/>
    <m/>
    <m/>
    <m/>
    <n v="0"/>
    <m/>
  </r>
  <r>
    <x v="1482"/>
    <s v="MECHANICAL"/>
    <x v="21"/>
    <x v="0"/>
    <x v="158"/>
    <x v="1475"/>
    <s v="P4"/>
    <x v="0"/>
    <m/>
    <m/>
    <m/>
    <m/>
    <x v="0"/>
    <m/>
    <m/>
    <m/>
    <n v="0"/>
    <m/>
  </r>
  <r>
    <x v="1483"/>
    <s v="ROLLERS"/>
    <x v="92"/>
    <x v="0"/>
    <x v="1448"/>
    <x v="1476"/>
    <s v="P4"/>
    <x v="0"/>
    <m/>
    <m/>
    <m/>
    <m/>
    <x v="0"/>
    <m/>
    <m/>
    <m/>
    <n v="0"/>
    <m/>
  </r>
  <r>
    <x v="1484"/>
    <s v="ROLLERS"/>
    <x v="92"/>
    <x v="0"/>
    <x v="1449"/>
    <x v="1477"/>
    <s v="P4"/>
    <x v="0"/>
    <m/>
    <m/>
    <m/>
    <m/>
    <x v="0"/>
    <m/>
    <m/>
    <m/>
    <n v="0"/>
    <m/>
  </r>
  <r>
    <x v="1485"/>
    <s v="ROLLERS"/>
    <x v="92"/>
    <x v="0"/>
    <x v="1450"/>
    <x v="1478"/>
    <s v="P4"/>
    <x v="0"/>
    <m/>
    <m/>
    <m/>
    <m/>
    <x v="0"/>
    <m/>
    <m/>
    <m/>
    <n v="0"/>
    <m/>
  </r>
  <r>
    <x v="1486"/>
    <s v="ROLLERS"/>
    <x v="92"/>
    <x v="0"/>
    <x v="1451"/>
    <x v="1479"/>
    <s v="P4"/>
    <x v="0"/>
    <m/>
    <m/>
    <m/>
    <m/>
    <x v="0"/>
    <m/>
    <m/>
    <m/>
    <n v="0"/>
    <m/>
  </r>
  <r>
    <x v="1487"/>
    <s v="ROLLERS"/>
    <x v="92"/>
    <x v="0"/>
    <x v="1452"/>
    <x v="1480"/>
    <s v="P4"/>
    <x v="0"/>
    <m/>
    <m/>
    <m/>
    <m/>
    <x v="0"/>
    <m/>
    <m/>
    <m/>
    <n v="0"/>
    <m/>
  </r>
  <r>
    <x v="1488"/>
    <s v="ROLLERS"/>
    <x v="92"/>
    <x v="0"/>
    <x v="1453"/>
    <x v="1481"/>
    <s v="P5"/>
    <x v="0"/>
    <m/>
    <m/>
    <m/>
    <m/>
    <x v="0"/>
    <m/>
    <m/>
    <m/>
    <n v="0"/>
    <m/>
  </r>
  <r>
    <x v="1489"/>
    <s v="ROLLERS"/>
    <x v="92"/>
    <x v="0"/>
    <x v="1454"/>
    <x v="1482"/>
    <s v="P5"/>
    <x v="0"/>
    <m/>
    <m/>
    <m/>
    <m/>
    <x v="0"/>
    <m/>
    <m/>
    <m/>
    <n v="0"/>
    <m/>
  </r>
  <r>
    <x v="1490"/>
    <s v="ROLLERS"/>
    <x v="92"/>
    <x v="0"/>
    <x v="1455"/>
    <x v="1483"/>
    <s v="P5"/>
    <x v="0"/>
    <m/>
    <m/>
    <m/>
    <m/>
    <x v="0"/>
    <m/>
    <m/>
    <m/>
    <n v="0"/>
    <m/>
  </r>
  <r>
    <x v="1491"/>
    <s v="MECHANICAL"/>
    <x v="21"/>
    <x v="0"/>
    <x v="1456"/>
    <x v="1484"/>
    <s v="P5"/>
    <x v="0"/>
    <m/>
    <m/>
    <m/>
    <m/>
    <x v="0"/>
    <m/>
    <m/>
    <m/>
    <n v="0"/>
    <m/>
  </r>
  <r>
    <x v="1492"/>
    <s v="MECHANICAL"/>
    <x v="21"/>
    <x v="0"/>
    <x v="1457"/>
    <x v="1485"/>
    <s v="P5"/>
    <x v="0"/>
    <m/>
    <m/>
    <m/>
    <m/>
    <x v="0"/>
    <m/>
    <m/>
    <m/>
    <n v="0"/>
    <m/>
  </r>
  <r>
    <x v="1493"/>
    <s v="MECHANICAL"/>
    <x v="21"/>
    <x v="0"/>
    <x v="1458"/>
    <x v="1486"/>
    <s v="P5"/>
    <x v="0"/>
    <m/>
    <m/>
    <m/>
    <m/>
    <x v="0"/>
    <m/>
    <m/>
    <m/>
    <n v="0"/>
    <m/>
  </r>
  <r>
    <x v="1494"/>
    <s v="KNIVES"/>
    <x v="156"/>
    <x v="0"/>
    <x v="1459"/>
    <x v="1487"/>
    <s v="P5"/>
    <x v="0"/>
    <m/>
    <m/>
    <m/>
    <m/>
    <x v="0"/>
    <m/>
    <m/>
    <m/>
    <n v="0"/>
    <m/>
  </r>
  <r>
    <x v="1495"/>
    <s v="KNIVES"/>
    <x v="156"/>
    <x v="0"/>
    <x v="1460"/>
    <x v="1488"/>
    <s v="P5"/>
    <x v="0"/>
    <m/>
    <m/>
    <m/>
    <m/>
    <x v="0"/>
    <m/>
    <m/>
    <m/>
    <n v="0"/>
    <m/>
  </r>
  <r>
    <x v="1496"/>
    <s v="KNIVES"/>
    <x v="156"/>
    <x v="0"/>
    <x v="1461"/>
    <x v="1489"/>
    <s v="P5"/>
    <x v="0"/>
    <m/>
    <m/>
    <m/>
    <m/>
    <x v="0"/>
    <m/>
    <m/>
    <m/>
    <n v="0"/>
    <m/>
  </r>
  <r>
    <x v="1497"/>
    <s v="KNIVES"/>
    <x v="156"/>
    <x v="0"/>
    <x v="1462"/>
    <x v="1490"/>
    <s v="P5"/>
    <x v="0"/>
    <m/>
    <m/>
    <m/>
    <m/>
    <x v="0"/>
    <m/>
    <m/>
    <m/>
    <n v="0"/>
    <m/>
  </r>
  <r>
    <x v="1498"/>
    <s v="KNIVES"/>
    <x v="156"/>
    <x v="0"/>
    <x v="1463"/>
    <x v="1491"/>
    <s v="P5"/>
    <x v="0"/>
    <m/>
    <m/>
    <m/>
    <m/>
    <x v="0"/>
    <m/>
    <m/>
    <m/>
    <n v="0"/>
    <m/>
  </r>
  <r>
    <x v="1499"/>
    <s v="KNIVES"/>
    <x v="156"/>
    <x v="0"/>
    <x v="1464"/>
    <x v="1492"/>
    <s v="P5"/>
    <x v="0"/>
    <m/>
    <m/>
    <m/>
    <m/>
    <x v="0"/>
    <m/>
    <m/>
    <m/>
    <n v="0"/>
    <m/>
  </r>
  <r>
    <x v="1500"/>
    <s v="KNIVES"/>
    <x v="156"/>
    <x v="0"/>
    <x v="1465"/>
    <x v="1493"/>
    <s v="P5"/>
    <x v="0"/>
    <m/>
    <m/>
    <m/>
    <m/>
    <x v="0"/>
    <m/>
    <m/>
    <m/>
    <n v="0"/>
    <m/>
  </r>
  <r>
    <x v="1501"/>
    <s v="KNIVES"/>
    <x v="156"/>
    <x v="0"/>
    <x v="1466"/>
    <x v="1494"/>
    <s v="P5"/>
    <x v="0"/>
    <m/>
    <m/>
    <m/>
    <m/>
    <x v="0"/>
    <m/>
    <m/>
    <m/>
    <n v="0"/>
    <m/>
  </r>
  <r>
    <x v="1502"/>
    <s v="KNIVES"/>
    <x v="156"/>
    <x v="0"/>
    <x v="1467"/>
    <x v="1495"/>
    <s v="P5"/>
    <x v="0"/>
    <m/>
    <m/>
    <m/>
    <m/>
    <x v="0"/>
    <m/>
    <m/>
    <m/>
    <n v="0"/>
    <m/>
  </r>
  <r>
    <x v="1503"/>
    <s v="GEAR"/>
    <x v="8"/>
    <x v="0"/>
    <x v="1468"/>
    <x v="1496"/>
    <s v="P5"/>
    <x v="0"/>
    <m/>
    <m/>
    <m/>
    <m/>
    <x v="0"/>
    <m/>
    <m/>
    <m/>
    <n v="0"/>
    <m/>
  </r>
  <r>
    <x v="1504"/>
    <s v="GEAR"/>
    <x v="8"/>
    <x v="0"/>
    <x v="1469"/>
    <x v="1497"/>
    <s v="P5"/>
    <x v="0"/>
    <m/>
    <m/>
    <m/>
    <m/>
    <x v="0"/>
    <m/>
    <m/>
    <m/>
    <n v="0"/>
    <m/>
  </r>
  <r>
    <x v="1505"/>
    <s v="GEAR"/>
    <x v="8"/>
    <x v="0"/>
    <x v="1470"/>
    <x v="1498"/>
    <s v="P5"/>
    <x v="0"/>
    <m/>
    <m/>
    <m/>
    <m/>
    <x v="0"/>
    <m/>
    <m/>
    <m/>
    <n v="0"/>
    <m/>
  </r>
  <r>
    <x v="1506"/>
    <s v="GEAR"/>
    <x v="8"/>
    <x v="0"/>
    <x v="1471"/>
    <x v="1499"/>
    <s v="P5"/>
    <x v="0"/>
    <m/>
    <m/>
    <m/>
    <m/>
    <x v="0"/>
    <m/>
    <m/>
    <m/>
    <n v="0"/>
    <m/>
  </r>
  <r>
    <x v="1507"/>
    <s v="GEAR"/>
    <x v="8"/>
    <x v="0"/>
    <x v="1472"/>
    <x v="1500"/>
    <s v="P5"/>
    <x v="0"/>
    <m/>
    <m/>
    <m/>
    <m/>
    <x v="0"/>
    <m/>
    <m/>
    <m/>
    <n v="0"/>
    <m/>
  </r>
  <r>
    <x v="1508"/>
    <s v="GEAR"/>
    <x v="8"/>
    <x v="0"/>
    <x v="1473"/>
    <x v="1501"/>
    <s v="P5"/>
    <x v="0"/>
    <m/>
    <m/>
    <m/>
    <m/>
    <x v="0"/>
    <m/>
    <m/>
    <m/>
    <n v="0"/>
    <m/>
  </r>
  <r>
    <x v="1509"/>
    <s v="GEAR"/>
    <x v="8"/>
    <x v="0"/>
    <x v="1474"/>
    <x v="1502"/>
    <s v="P5"/>
    <x v="0"/>
    <m/>
    <m/>
    <m/>
    <m/>
    <x v="0"/>
    <m/>
    <m/>
    <m/>
    <n v="0"/>
    <m/>
  </r>
  <r>
    <x v="1510"/>
    <s v="GEAR"/>
    <x v="16"/>
    <x v="0"/>
    <x v="1475"/>
    <x v="1503"/>
    <s v="P5"/>
    <x v="0"/>
    <m/>
    <m/>
    <m/>
    <m/>
    <x v="0"/>
    <m/>
    <m/>
    <m/>
    <n v="0"/>
    <m/>
  </r>
  <r>
    <x v="1511"/>
    <s v="GEAR"/>
    <x v="16"/>
    <x v="0"/>
    <x v="1476"/>
    <x v="1504"/>
    <s v="P5"/>
    <x v="0"/>
    <m/>
    <m/>
    <m/>
    <m/>
    <x v="0"/>
    <m/>
    <m/>
    <m/>
    <n v="0"/>
    <m/>
  </r>
  <r>
    <x v="1512"/>
    <s v="GEAR"/>
    <x v="16"/>
    <x v="0"/>
    <x v="1477"/>
    <x v="1505"/>
    <s v="P5"/>
    <x v="0"/>
    <m/>
    <m/>
    <m/>
    <m/>
    <x v="0"/>
    <m/>
    <m/>
    <m/>
    <n v="0"/>
    <m/>
  </r>
  <r>
    <x v="1513"/>
    <s v="GEAR"/>
    <x v="16"/>
    <x v="0"/>
    <x v="1478"/>
    <x v="1506"/>
    <s v="P5"/>
    <x v="0"/>
    <m/>
    <m/>
    <m/>
    <m/>
    <x v="0"/>
    <m/>
    <m/>
    <m/>
    <n v="0"/>
    <m/>
  </r>
  <r>
    <x v="1514"/>
    <s v="GEAR"/>
    <x v="16"/>
    <x v="0"/>
    <x v="1479"/>
    <x v="1507"/>
    <s v="P5"/>
    <x v="0"/>
    <m/>
    <m/>
    <m/>
    <m/>
    <x v="0"/>
    <m/>
    <m/>
    <m/>
    <n v="0"/>
    <m/>
  </r>
  <r>
    <x v="1515"/>
    <s v="GEAR"/>
    <x v="16"/>
    <x v="0"/>
    <x v="1480"/>
    <x v="1508"/>
    <s v="P5"/>
    <x v="0"/>
    <m/>
    <m/>
    <m/>
    <m/>
    <x v="0"/>
    <m/>
    <m/>
    <m/>
    <n v="0"/>
    <m/>
  </r>
  <r>
    <x v="1516"/>
    <s v="GEAR"/>
    <x v="16"/>
    <x v="0"/>
    <x v="1481"/>
    <x v="1509"/>
    <s v="P5"/>
    <x v="0"/>
    <m/>
    <m/>
    <m/>
    <m/>
    <x v="0"/>
    <m/>
    <m/>
    <m/>
    <n v="0"/>
    <m/>
  </r>
  <r>
    <x v="1517"/>
    <s v="GEAR"/>
    <x v="16"/>
    <x v="0"/>
    <x v="1482"/>
    <x v="1510"/>
    <s v="P5"/>
    <x v="0"/>
    <m/>
    <m/>
    <m/>
    <m/>
    <x v="0"/>
    <m/>
    <m/>
    <m/>
    <n v="0"/>
    <m/>
  </r>
  <r>
    <x v="1518"/>
    <s v="GEAR"/>
    <x v="16"/>
    <x v="0"/>
    <x v="1483"/>
    <x v="1511"/>
    <s v="P5"/>
    <x v="0"/>
    <m/>
    <m/>
    <m/>
    <m/>
    <x v="0"/>
    <m/>
    <m/>
    <m/>
    <n v="0"/>
    <m/>
  </r>
  <r>
    <x v="1519"/>
    <s v="GEAR"/>
    <x v="16"/>
    <x v="0"/>
    <x v="1484"/>
    <x v="1512"/>
    <s v="P5"/>
    <x v="0"/>
    <m/>
    <m/>
    <m/>
    <m/>
    <x v="0"/>
    <m/>
    <m/>
    <m/>
    <n v="0"/>
    <m/>
  </r>
  <r>
    <x v="1520"/>
    <s v="GEAR"/>
    <x v="16"/>
    <x v="0"/>
    <x v="1485"/>
    <x v="1513"/>
    <s v="P5"/>
    <x v="0"/>
    <m/>
    <m/>
    <m/>
    <m/>
    <x v="0"/>
    <m/>
    <m/>
    <m/>
    <n v="0"/>
    <m/>
  </r>
  <r>
    <x v="1521"/>
    <s v="GEAR"/>
    <x v="16"/>
    <x v="0"/>
    <x v="1486"/>
    <x v="1514"/>
    <s v="P5"/>
    <x v="0"/>
    <m/>
    <m/>
    <m/>
    <m/>
    <x v="0"/>
    <m/>
    <m/>
    <m/>
    <n v="0"/>
    <m/>
  </r>
  <r>
    <x v="1522"/>
    <s v="GEAR"/>
    <x v="16"/>
    <x v="0"/>
    <x v="1487"/>
    <x v="1515"/>
    <s v="P5"/>
    <x v="0"/>
    <m/>
    <m/>
    <m/>
    <m/>
    <x v="0"/>
    <m/>
    <m/>
    <m/>
    <n v="0"/>
    <m/>
  </r>
  <r>
    <x v="1523"/>
    <s v="GEAR"/>
    <x v="16"/>
    <x v="0"/>
    <x v="1488"/>
    <x v="1516"/>
    <s v="P5"/>
    <x v="0"/>
    <m/>
    <m/>
    <m/>
    <m/>
    <x v="0"/>
    <m/>
    <m/>
    <m/>
    <n v="0"/>
    <m/>
  </r>
  <r>
    <x v="1524"/>
    <s v="GEAR"/>
    <x v="16"/>
    <x v="0"/>
    <x v="1489"/>
    <x v="1517"/>
    <s v="P5"/>
    <x v="0"/>
    <m/>
    <m/>
    <m/>
    <m/>
    <x v="0"/>
    <m/>
    <m/>
    <m/>
    <n v="0"/>
    <m/>
  </r>
  <r>
    <x v="1525"/>
    <s v="GEAR"/>
    <x v="16"/>
    <x v="0"/>
    <x v="1490"/>
    <x v="1518"/>
    <s v="P5"/>
    <x v="0"/>
    <m/>
    <m/>
    <m/>
    <m/>
    <x v="0"/>
    <m/>
    <m/>
    <m/>
    <n v="0"/>
    <m/>
  </r>
  <r>
    <x v="1526"/>
    <s v="GEAR"/>
    <x v="16"/>
    <x v="0"/>
    <x v="1491"/>
    <x v="1519"/>
    <s v="P5"/>
    <x v="0"/>
    <m/>
    <m/>
    <m/>
    <m/>
    <x v="0"/>
    <m/>
    <m/>
    <m/>
    <n v="0"/>
    <m/>
  </r>
  <r>
    <x v="1527"/>
    <s v="GEAR"/>
    <x v="16"/>
    <x v="0"/>
    <x v="1492"/>
    <x v="1520"/>
    <s v="P5"/>
    <x v="0"/>
    <m/>
    <m/>
    <m/>
    <m/>
    <x v="0"/>
    <m/>
    <m/>
    <m/>
    <n v="0"/>
    <m/>
  </r>
  <r>
    <x v="1528"/>
    <s v="GEAR"/>
    <x v="16"/>
    <x v="0"/>
    <x v="1493"/>
    <x v="1521"/>
    <s v="P5"/>
    <x v="0"/>
    <m/>
    <m/>
    <m/>
    <m/>
    <x v="0"/>
    <m/>
    <m/>
    <m/>
    <n v="0"/>
    <m/>
  </r>
  <r>
    <x v="1529"/>
    <s v="GEAR"/>
    <x v="8"/>
    <x v="0"/>
    <x v="1494"/>
    <x v="1522"/>
    <s v="P5"/>
    <x v="0"/>
    <m/>
    <m/>
    <m/>
    <m/>
    <x v="0"/>
    <m/>
    <m/>
    <m/>
    <n v="0"/>
    <m/>
  </r>
  <r>
    <x v="1530"/>
    <s v="GEAR"/>
    <x v="8"/>
    <x v="0"/>
    <x v="1495"/>
    <x v="1523"/>
    <s v="P5"/>
    <x v="0"/>
    <m/>
    <m/>
    <m/>
    <m/>
    <x v="0"/>
    <m/>
    <m/>
    <m/>
    <n v="0"/>
    <m/>
  </r>
  <r>
    <x v="1531"/>
    <s v="GEAR"/>
    <x v="8"/>
    <x v="0"/>
    <x v="1496"/>
    <x v="1524"/>
    <s v="P5"/>
    <x v="0"/>
    <m/>
    <m/>
    <m/>
    <m/>
    <x v="0"/>
    <m/>
    <m/>
    <m/>
    <n v="0"/>
    <m/>
  </r>
  <r>
    <x v="1532"/>
    <s v="GEAR"/>
    <x v="8"/>
    <x v="0"/>
    <x v="1497"/>
    <x v="1525"/>
    <s v="P5"/>
    <x v="0"/>
    <m/>
    <m/>
    <m/>
    <m/>
    <x v="0"/>
    <m/>
    <m/>
    <m/>
    <n v="0"/>
    <m/>
  </r>
  <r>
    <x v="1533"/>
    <s v="GEAR"/>
    <x v="8"/>
    <x v="0"/>
    <x v="1498"/>
    <x v="1526"/>
    <s v="P5"/>
    <x v="0"/>
    <m/>
    <m/>
    <m/>
    <m/>
    <x v="0"/>
    <m/>
    <m/>
    <m/>
    <n v="0"/>
    <m/>
  </r>
  <r>
    <x v="1534"/>
    <s v="GEAR"/>
    <x v="8"/>
    <x v="0"/>
    <x v="1499"/>
    <x v="1527"/>
    <s v="P5"/>
    <x v="0"/>
    <m/>
    <m/>
    <m/>
    <m/>
    <x v="0"/>
    <m/>
    <m/>
    <m/>
    <n v="0"/>
    <m/>
  </r>
  <r>
    <x v="1535"/>
    <s v="GEAR"/>
    <x v="8"/>
    <x v="0"/>
    <x v="1500"/>
    <x v="1528"/>
    <s v="P5"/>
    <x v="0"/>
    <m/>
    <m/>
    <m/>
    <m/>
    <x v="0"/>
    <m/>
    <m/>
    <m/>
    <n v="0"/>
    <m/>
  </r>
  <r>
    <x v="1536"/>
    <s v="GEAR"/>
    <x v="8"/>
    <x v="0"/>
    <x v="1501"/>
    <x v="1529"/>
    <s v="P5"/>
    <x v="0"/>
    <m/>
    <m/>
    <m/>
    <m/>
    <x v="0"/>
    <m/>
    <m/>
    <m/>
    <n v="0"/>
    <m/>
  </r>
  <r>
    <x v="1537"/>
    <s v="GEAR"/>
    <x v="8"/>
    <x v="0"/>
    <x v="1502"/>
    <x v="1530"/>
    <s v="P5"/>
    <x v="0"/>
    <m/>
    <m/>
    <m/>
    <m/>
    <x v="0"/>
    <m/>
    <m/>
    <m/>
    <n v="0"/>
    <m/>
  </r>
  <r>
    <x v="1538"/>
    <s v="GEAR"/>
    <x v="8"/>
    <x v="0"/>
    <x v="1503"/>
    <x v="1531"/>
    <s v="P5"/>
    <x v="0"/>
    <m/>
    <m/>
    <m/>
    <m/>
    <x v="0"/>
    <m/>
    <m/>
    <m/>
    <n v="0"/>
    <m/>
  </r>
  <r>
    <x v="1539"/>
    <s v="MECHANICAL"/>
    <x v="20"/>
    <x v="0"/>
    <x v="1504"/>
    <x v="1532"/>
    <s v="P5"/>
    <x v="0"/>
    <m/>
    <m/>
    <m/>
    <m/>
    <x v="0"/>
    <m/>
    <m/>
    <m/>
    <n v="0"/>
    <m/>
  </r>
  <r>
    <x v="1540"/>
    <s v="MECHANICAL"/>
    <x v="20"/>
    <x v="0"/>
    <x v="1504"/>
    <x v="1533"/>
    <s v="P5"/>
    <x v="0"/>
    <m/>
    <m/>
    <m/>
    <m/>
    <x v="0"/>
    <m/>
    <m/>
    <m/>
    <n v="0"/>
    <m/>
  </r>
  <r>
    <x v="1541"/>
    <s v="BELTS"/>
    <x v="73"/>
    <x v="0"/>
    <x v="1505"/>
    <x v="1534"/>
    <s v="Y1"/>
    <x v="0"/>
    <m/>
    <m/>
    <m/>
    <m/>
    <x v="0"/>
    <m/>
    <m/>
    <m/>
    <n v="0"/>
    <m/>
  </r>
  <r>
    <x v="1542"/>
    <s v="BELTS"/>
    <x v="73"/>
    <x v="0"/>
    <x v="1506"/>
    <x v="1535"/>
    <s v="Y1"/>
    <x v="0"/>
    <m/>
    <m/>
    <m/>
    <m/>
    <x v="0"/>
    <m/>
    <m/>
    <m/>
    <n v="0"/>
    <m/>
  </r>
  <r>
    <x v="1543"/>
    <s v="BELTS"/>
    <x v="73"/>
    <x v="0"/>
    <x v="1507"/>
    <x v="1536"/>
    <s v="Y1"/>
    <x v="0"/>
    <m/>
    <m/>
    <m/>
    <m/>
    <x v="0"/>
    <m/>
    <m/>
    <m/>
    <n v="0"/>
    <m/>
  </r>
  <r>
    <x v="1544"/>
    <s v="BELTS"/>
    <x v="73"/>
    <x v="0"/>
    <x v="1508"/>
    <x v="1537"/>
    <s v="Y1"/>
    <x v="0"/>
    <m/>
    <m/>
    <m/>
    <m/>
    <x v="0"/>
    <m/>
    <m/>
    <m/>
    <n v="0"/>
    <m/>
  </r>
  <r>
    <x v="1545"/>
    <s v="BELTS"/>
    <x v="73"/>
    <x v="0"/>
    <x v="1509"/>
    <x v="1538"/>
    <s v="Y1"/>
    <x v="0"/>
    <m/>
    <m/>
    <m/>
    <m/>
    <x v="0"/>
    <m/>
    <m/>
    <m/>
    <n v="0"/>
    <m/>
  </r>
  <r>
    <x v="1546"/>
    <s v="BELTS"/>
    <x v="73"/>
    <x v="0"/>
    <x v="1510"/>
    <x v="1539"/>
    <s v="Y1"/>
    <x v="0"/>
    <m/>
    <m/>
    <m/>
    <m/>
    <x v="0"/>
    <m/>
    <m/>
    <m/>
    <n v="0"/>
    <m/>
  </r>
  <r>
    <x v="1547"/>
    <s v="BELTS"/>
    <x v="73"/>
    <x v="0"/>
    <x v="1511"/>
    <x v="1540"/>
    <s v="Y1"/>
    <x v="0"/>
    <m/>
    <m/>
    <m/>
    <m/>
    <x v="0"/>
    <m/>
    <m/>
    <m/>
    <n v="0"/>
    <m/>
  </r>
  <r>
    <x v="1548"/>
    <s v="BELTS"/>
    <x v="73"/>
    <x v="0"/>
    <x v="1512"/>
    <x v="1541"/>
    <s v="Y1"/>
    <x v="0"/>
    <m/>
    <m/>
    <m/>
    <m/>
    <x v="0"/>
    <m/>
    <m/>
    <m/>
    <n v="0"/>
    <m/>
  </r>
  <r>
    <x v="1549"/>
    <s v="BELTS"/>
    <x v="73"/>
    <x v="0"/>
    <x v="1513"/>
    <x v="1542"/>
    <s v="Y1"/>
    <x v="0"/>
    <m/>
    <m/>
    <m/>
    <m/>
    <x v="0"/>
    <m/>
    <m/>
    <m/>
    <n v="0"/>
    <m/>
  </r>
  <r>
    <x v="1550"/>
    <s v="LUBRICANT"/>
    <x v="157"/>
    <x v="0"/>
    <x v="1514"/>
    <x v="1543"/>
    <s v="Y2"/>
    <x v="0"/>
    <m/>
    <m/>
    <m/>
    <m/>
    <x v="0"/>
    <m/>
    <m/>
    <m/>
    <n v="0"/>
    <m/>
  </r>
  <r>
    <x v="1551"/>
    <s v="LUBRICANT"/>
    <x v="146"/>
    <x v="0"/>
    <x v="1515"/>
    <x v="1544"/>
    <s v="Y2"/>
    <x v="0"/>
    <m/>
    <m/>
    <m/>
    <m/>
    <x v="0"/>
    <m/>
    <m/>
    <m/>
    <n v="0"/>
    <m/>
  </r>
  <r>
    <x v="1552"/>
    <s v="LUBRICANT"/>
    <x v="158"/>
    <x v="0"/>
    <x v="1516"/>
    <x v="1545"/>
    <s v="Y2"/>
    <x v="0"/>
    <m/>
    <m/>
    <m/>
    <m/>
    <x v="0"/>
    <m/>
    <m/>
    <m/>
    <n v="0"/>
    <m/>
  </r>
  <r>
    <x v="1553"/>
    <s v="LUBRICANT"/>
    <x v="134"/>
    <x v="0"/>
    <x v="1517"/>
    <x v="1546"/>
    <s v="Y2"/>
    <x v="0"/>
    <m/>
    <m/>
    <m/>
    <m/>
    <x v="0"/>
    <m/>
    <m/>
    <m/>
    <n v="0"/>
    <m/>
  </r>
  <r>
    <x v="1554"/>
    <s v="LUBRICANT"/>
    <x v="157"/>
    <x v="0"/>
    <x v="1518"/>
    <x v="1547"/>
    <s v="Y2"/>
    <x v="0"/>
    <m/>
    <m/>
    <m/>
    <m/>
    <x v="0"/>
    <m/>
    <m/>
    <m/>
    <n v="0"/>
    <m/>
  </r>
  <r>
    <x v="1555"/>
    <s v="MECHANICAL"/>
    <x v="76"/>
    <x v="0"/>
    <x v="1519"/>
    <x v="1548"/>
    <s v="Y2"/>
    <x v="0"/>
    <m/>
    <m/>
    <m/>
    <m/>
    <x v="0"/>
    <m/>
    <m/>
    <m/>
    <n v="0"/>
    <m/>
  </r>
  <r>
    <x v="1556"/>
    <s v="LUBRICANT"/>
    <x v="159"/>
    <x v="0"/>
    <x v="1520"/>
    <x v="1549"/>
    <s v="Y2"/>
    <x v="0"/>
    <m/>
    <m/>
    <m/>
    <m/>
    <x v="0"/>
    <m/>
    <m/>
    <m/>
    <n v="0"/>
    <m/>
  </r>
  <r>
    <x v="1557"/>
    <s v="LUBRICANT"/>
    <x v="157"/>
    <x v="0"/>
    <x v="1521"/>
    <x v="1550"/>
    <s v="Y2"/>
    <x v="0"/>
    <m/>
    <m/>
    <m/>
    <m/>
    <x v="0"/>
    <m/>
    <m/>
    <m/>
    <n v="0"/>
    <m/>
  </r>
  <r>
    <x v="1558"/>
    <s v="LUBRICANT"/>
    <x v="160"/>
    <x v="0"/>
    <x v="1522"/>
    <x v="1551"/>
    <s v="Y2"/>
    <x v="0"/>
    <m/>
    <m/>
    <m/>
    <m/>
    <x v="0"/>
    <m/>
    <m/>
    <m/>
    <n v="0"/>
    <m/>
  </r>
  <r>
    <x v="1559"/>
    <s v="MECHANICAL"/>
    <x v="76"/>
    <x v="0"/>
    <x v="1523"/>
    <x v="1552"/>
    <s v="Y2"/>
    <x v="0"/>
    <m/>
    <m/>
    <m/>
    <m/>
    <x v="0"/>
    <m/>
    <m/>
    <m/>
    <n v="0"/>
    <m/>
  </r>
  <r>
    <x v="1560"/>
    <s v="PRODUCTION SUPPLY"/>
    <x v="161"/>
    <x v="0"/>
    <x v="1524"/>
    <x v="1553"/>
    <s v="Y2"/>
    <x v="0"/>
    <m/>
    <m/>
    <m/>
    <m/>
    <x v="0"/>
    <m/>
    <m/>
    <m/>
    <n v="0"/>
    <m/>
  </r>
  <r>
    <x v="1561"/>
    <s v="LUBRICANT"/>
    <x v="162"/>
    <x v="0"/>
    <x v="1525"/>
    <x v="1554"/>
    <s v="Y2"/>
    <x v="0"/>
    <m/>
    <m/>
    <m/>
    <m/>
    <x v="0"/>
    <m/>
    <m/>
    <m/>
    <n v="0"/>
    <m/>
  </r>
  <r>
    <x v="1562"/>
    <s v="LUBRICANT"/>
    <x v="157"/>
    <x v="0"/>
    <x v="1526"/>
    <x v="1555"/>
    <s v="Y2"/>
    <x v="0"/>
    <m/>
    <m/>
    <m/>
    <m/>
    <x v="0"/>
    <m/>
    <m/>
    <m/>
    <n v="0"/>
    <m/>
  </r>
  <r>
    <x v="1563"/>
    <s v="MECHANICAL"/>
    <x v="76"/>
    <x v="0"/>
    <x v="1527"/>
    <x v="1556"/>
    <s v="Y2"/>
    <x v="0"/>
    <m/>
    <m/>
    <m/>
    <m/>
    <x v="0"/>
    <m/>
    <m/>
    <m/>
    <n v="0"/>
    <m/>
  </r>
  <r>
    <x v="1564"/>
    <s v="LUBRICANT"/>
    <x v="163"/>
    <x v="0"/>
    <x v="1528"/>
    <x v="1557"/>
    <s v="Y2"/>
    <x v="0"/>
    <m/>
    <m/>
    <m/>
    <m/>
    <x v="0"/>
    <m/>
    <m/>
    <m/>
    <n v="0"/>
    <m/>
  </r>
  <r>
    <x v="1565"/>
    <s v="LUBRICANT"/>
    <x v="134"/>
    <x v="0"/>
    <x v="1529"/>
    <x v="1558"/>
    <s v="Y2"/>
    <x v="0"/>
    <m/>
    <m/>
    <m/>
    <m/>
    <x v="0"/>
    <m/>
    <m/>
    <m/>
    <n v="0"/>
    <m/>
  </r>
  <r>
    <x v="1566"/>
    <s v="MECHANICAL"/>
    <x v="76"/>
    <x v="0"/>
    <x v="1530"/>
    <x v="1559"/>
    <s v="Y2"/>
    <x v="0"/>
    <m/>
    <m/>
    <m/>
    <m/>
    <x v="0"/>
    <m/>
    <m/>
    <m/>
    <n v="0"/>
    <m/>
  </r>
  <r>
    <x v="1567"/>
    <s v="MECHANICAL"/>
    <x v="76"/>
    <x v="0"/>
    <x v="1531"/>
    <x v="1560"/>
    <s v="Y2"/>
    <x v="0"/>
    <m/>
    <m/>
    <m/>
    <m/>
    <x v="0"/>
    <m/>
    <m/>
    <m/>
    <n v="0"/>
    <m/>
  </r>
  <r>
    <x v="1568"/>
    <s v="MECHANICAL"/>
    <x v="76"/>
    <x v="0"/>
    <x v="1532"/>
    <x v="1561"/>
    <s v="Y2"/>
    <x v="0"/>
    <m/>
    <m/>
    <m/>
    <m/>
    <x v="0"/>
    <m/>
    <m/>
    <m/>
    <n v="0"/>
    <m/>
  </r>
  <r>
    <x v="1569"/>
    <s v="MECHANICAL"/>
    <x v="76"/>
    <x v="0"/>
    <x v="1533"/>
    <x v="1562"/>
    <s v="Y2"/>
    <x v="0"/>
    <m/>
    <m/>
    <m/>
    <m/>
    <x v="0"/>
    <m/>
    <m/>
    <m/>
    <n v="0"/>
    <m/>
  </r>
  <r>
    <x v="1570"/>
    <s v="MECHANICAL"/>
    <x v="76"/>
    <x v="0"/>
    <x v="1534"/>
    <x v="1563"/>
    <s v="Y2"/>
    <x v="0"/>
    <m/>
    <m/>
    <m/>
    <m/>
    <x v="0"/>
    <m/>
    <m/>
    <m/>
    <n v="0"/>
    <m/>
  </r>
  <r>
    <x v="1571"/>
    <s v="KNIVES"/>
    <x v="155"/>
    <x v="0"/>
    <x v="1535"/>
    <x v="1564"/>
    <s v="Y2"/>
    <x v="0"/>
    <m/>
    <m/>
    <m/>
    <m/>
    <x v="0"/>
    <m/>
    <m/>
    <m/>
    <n v="0"/>
    <m/>
  </r>
  <r>
    <x v="1572"/>
    <s v="KNIVES"/>
    <x v="155"/>
    <x v="0"/>
    <x v="1536"/>
    <x v="1565"/>
    <s v="Y2"/>
    <x v="0"/>
    <m/>
    <m/>
    <m/>
    <m/>
    <x v="0"/>
    <m/>
    <m/>
    <m/>
    <n v="0"/>
    <m/>
  </r>
  <r>
    <x v="1573"/>
    <s v="MECHANICAL"/>
    <x v="76"/>
    <x v="0"/>
    <x v="1537"/>
    <x v="1566"/>
    <s v="Y2"/>
    <x v="0"/>
    <m/>
    <m/>
    <m/>
    <m/>
    <x v="0"/>
    <m/>
    <m/>
    <m/>
    <n v="0"/>
    <m/>
  </r>
  <r>
    <x v="1574"/>
    <s v="KNIVES"/>
    <x v="164"/>
    <x v="0"/>
    <x v="1538"/>
    <x v="1567"/>
    <s v="Z1"/>
    <x v="0"/>
    <m/>
    <m/>
    <m/>
    <m/>
    <x v="0"/>
    <m/>
    <m/>
    <m/>
    <n v="0"/>
    <m/>
  </r>
  <r>
    <x v="1575"/>
    <s v="KNIVES"/>
    <x v="164"/>
    <x v="0"/>
    <x v="1539"/>
    <x v="1568"/>
    <s v="Z1"/>
    <x v="0"/>
    <m/>
    <m/>
    <m/>
    <m/>
    <x v="0"/>
    <m/>
    <m/>
    <m/>
    <n v="0"/>
    <m/>
  </r>
  <r>
    <x v="1576"/>
    <s v="KNIVES"/>
    <x v="164"/>
    <x v="0"/>
    <x v="1540"/>
    <x v="1569"/>
    <s v="Z1"/>
    <x v="0"/>
    <m/>
    <m/>
    <m/>
    <m/>
    <x v="0"/>
    <m/>
    <m/>
    <m/>
    <n v="0"/>
    <m/>
  </r>
  <r>
    <x v="1577"/>
    <s v="KNIVES"/>
    <x v="164"/>
    <x v="0"/>
    <x v="1541"/>
    <x v="1570"/>
    <s v="Z1"/>
    <x v="0"/>
    <m/>
    <m/>
    <m/>
    <m/>
    <x v="0"/>
    <m/>
    <m/>
    <m/>
    <n v="0"/>
    <m/>
  </r>
  <r>
    <x v="1578"/>
    <s v="KNIVES"/>
    <x v="164"/>
    <x v="0"/>
    <x v="1542"/>
    <x v="1571"/>
    <s v="Z1"/>
    <x v="0"/>
    <m/>
    <m/>
    <m/>
    <m/>
    <x v="0"/>
    <m/>
    <m/>
    <m/>
    <n v="0"/>
    <m/>
  </r>
  <r>
    <x v="1579"/>
    <s v="KNIVES"/>
    <x v="164"/>
    <x v="0"/>
    <x v="1543"/>
    <x v="1572"/>
    <s v="Z1"/>
    <x v="0"/>
    <m/>
    <m/>
    <m/>
    <m/>
    <x v="0"/>
    <m/>
    <m/>
    <m/>
    <n v="0"/>
    <m/>
  </r>
  <r>
    <x v="1580"/>
    <s v="KNIVES"/>
    <x v="164"/>
    <x v="0"/>
    <x v="1544"/>
    <x v="1573"/>
    <s v="Z1"/>
    <x v="0"/>
    <m/>
    <m/>
    <m/>
    <m/>
    <x v="0"/>
    <m/>
    <m/>
    <m/>
    <n v="0"/>
    <m/>
  </r>
  <r>
    <x v="1581"/>
    <s v="KNIVES"/>
    <x v="164"/>
    <x v="0"/>
    <x v="1545"/>
    <x v="1574"/>
    <s v="Z1"/>
    <x v="0"/>
    <m/>
    <m/>
    <m/>
    <m/>
    <x v="0"/>
    <m/>
    <m/>
    <m/>
    <n v="0"/>
    <m/>
  </r>
  <r>
    <x v="1582"/>
    <s v="KNIVES"/>
    <x v="164"/>
    <x v="0"/>
    <x v="1546"/>
    <x v="1575"/>
    <s v="Z1"/>
    <x v="0"/>
    <m/>
    <m/>
    <m/>
    <m/>
    <x v="0"/>
    <m/>
    <m/>
    <m/>
    <n v="0"/>
    <m/>
  </r>
  <r>
    <x v="1583"/>
    <s v="KNIVES"/>
    <x v="164"/>
    <x v="0"/>
    <x v="1547"/>
    <x v="1576"/>
    <s v="Z1"/>
    <x v="0"/>
    <m/>
    <m/>
    <m/>
    <m/>
    <x v="0"/>
    <m/>
    <m/>
    <m/>
    <n v="0"/>
    <m/>
  </r>
  <r>
    <x v="1584"/>
    <s v="KNIVES"/>
    <x v="164"/>
    <x v="0"/>
    <x v="1548"/>
    <x v="1577"/>
    <s v="Z1"/>
    <x v="0"/>
    <m/>
    <m/>
    <m/>
    <m/>
    <x v="0"/>
    <m/>
    <m/>
    <m/>
    <n v="0"/>
    <m/>
  </r>
  <r>
    <x v="1585"/>
    <s v="KNIVES"/>
    <x v="164"/>
    <x v="0"/>
    <x v="1549"/>
    <x v="1578"/>
    <s v="Z1"/>
    <x v="0"/>
    <m/>
    <m/>
    <m/>
    <m/>
    <x v="0"/>
    <m/>
    <m/>
    <m/>
    <n v="0"/>
    <m/>
  </r>
  <r>
    <x v="1586"/>
    <s v="KNIVES"/>
    <x v="164"/>
    <x v="0"/>
    <x v="1550"/>
    <x v="1579"/>
    <s v="Z1"/>
    <x v="0"/>
    <m/>
    <m/>
    <m/>
    <m/>
    <x v="0"/>
    <m/>
    <m/>
    <m/>
    <n v="0"/>
    <m/>
  </r>
  <r>
    <x v="1587"/>
    <s v="KNIVES"/>
    <x v="156"/>
    <x v="0"/>
    <x v="1551"/>
    <x v="1580"/>
    <s v="Z2"/>
    <x v="0"/>
    <m/>
    <m/>
    <m/>
    <m/>
    <x v="0"/>
    <m/>
    <m/>
    <m/>
    <n v="0"/>
    <m/>
  </r>
  <r>
    <x v="1588"/>
    <s v="KNIVES"/>
    <x v="156"/>
    <x v="0"/>
    <x v="1552"/>
    <x v="1581"/>
    <s v="Z2"/>
    <x v="0"/>
    <m/>
    <m/>
    <m/>
    <m/>
    <x v="0"/>
    <m/>
    <m/>
    <m/>
    <n v="0"/>
    <m/>
  </r>
  <r>
    <x v="1589"/>
    <s v="KNIVES"/>
    <x v="156"/>
    <x v="0"/>
    <x v="1553"/>
    <x v="1582"/>
    <s v="Z2"/>
    <x v="0"/>
    <m/>
    <m/>
    <m/>
    <m/>
    <x v="0"/>
    <m/>
    <m/>
    <m/>
    <n v="0"/>
    <m/>
  </r>
  <r>
    <x v="1590"/>
    <s v="KNIVES"/>
    <x v="156"/>
    <x v="0"/>
    <x v="1554"/>
    <x v="1583"/>
    <s v="Z2"/>
    <x v="0"/>
    <m/>
    <m/>
    <m/>
    <m/>
    <x v="0"/>
    <m/>
    <m/>
    <m/>
    <n v="0"/>
    <m/>
  </r>
  <r>
    <x v="1591"/>
    <s v="KNIVES"/>
    <x v="165"/>
    <x v="0"/>
    <x v="1555"/>
    <x v="1584"/>
    <s v="Z4"/>
    <x v="0"/>
    <m/>
    <m/>
    <m/>
    <m/>
    <x v="0"/>
    <m/>
    <m/>
    <m/>
    <n v="0"/>
    <m/>
  </r>
  <r>
    <x v="1592"/>
    <s v="KNIVES"/>
    <x v="165"/>
    <x v="0"/>
    <x v="1556"/>
    <x v="1585"/>
    <s v="Z4"/>
    <x v="0"/>
    <m/>
    <m/>
    <m/>
    <m/>
    <x v="0"/>
    <m/>
    <m/>
    <m/>
    <n v="0"/>
    <m/>
  </r>
  <r>
    <x v="1593"/>
    <s v="KNIVES"/>
    <x v="165"/>
    <x v="0"/>
    <x v="1557"/>
    <x v="1586"/>
    <s v="Z4"/>
    <x v="0"/>
    <m/>
    <m/>
    <m/>
    <m/>
    <x v="0"/>
    <m/>
    <m/>
    <m/>
    <n v="0"/>
    <m/>
  </r>
  <r>
    <x v="1594"/>
    <s v="KNIVES"/>
    <x v="165"/>
    <x v="0"/>
    <x v="1558"/>
    <x v="1587"/>
    <s v="Z4"/>
    <x v="0"/>
    <m/>
    <m/>
    <m/>
    <m/>
    <x v="0"/>
    <m/>
    <m/>
    <m/>
    <n v="0"/>
    <m/>
  </r>
  <r>
    <x v="1595"/>
    <s v="KNIVES"/>
    <x v="165"/>
    <x v="0"/>
    <x v="1559"/>
    <x v="1588"/>
    <s v="Z4"/>
    <x v="0"/>
    <m/>
    <m/>
    <m/>
    <m/>
    <x v="0"/>
    <m/>
    <m/>
    <m/>
    <n v="0"/>
    <m/>
  </r>
  <r>
    <x v="1596"/>
    <s v="KNIVES"/>
    <x v="165"/>
    <x v="0"/>
    <x v="1560"/>
    <x v="1589"/>
    <s v="Z4"/>
    <x v="0"/>
    <m/>
    <m/>
    <m/>
    <m/>
    <x v="0"/>
    <m/>
    <m/>
    <m/>
    <n v="0"/>
    <m/>
  </r>
  <r>
    <x v="1597"/>
    <s v="KNIVES"/>
    <x v="165"/>
    <x v="0"/>
    <x v="1561"/>
    <x v="1590"/>
    <s v="Z4"/>
    <x v="0"/>
    <m/>
    <m/>
    <m/>
    <m/>
    <x v="0"/>
    <m/>
    <m/>
    <m/>
    <n v="0"/>
    <m/>
  </r>
  <r>
    <x v="1598"/>
    <s v="KNIVES"/>
    <x v="165"/>
    <x v="0"/>
    <x v="1562"/>
    <x v="1591"/>
    <s v="Z4"/>
    <x v="0"/>
    <m/>
    <m/>
    <m/>
    <m/>
    <x v="0"/>
    <m/>
    <m/>
    <m/>
    <n v="0"/>
    <m/>
  </r>
  <r>
    <x v="1599"/>
    <s v="KNIVES"/>
    <x v="165"/>
    <x v="0"/>
    <x v="1563"/>
    <x v="1592"/>
    <s v="Z4"/>
    <x v="0"/>
    <m/>
    <m/>
    <m/>
    <m/>
    <x v="0"/>
    <m/>
    <m/>
    <m/>
    <n v="0"/>
    <m/>
  </r>
  <r>
    <x v="1600"/>
    <s v="KNIVES"/>
    <x v="165"/>
    <x v="0"/>
    <x v="1564"/>
    <x v="1593"/>
    <s v="Z4"/>
    <x v="0"/>
    <m/>
    <m/>
    <m/>
    <m/>
    <x v="0"/>
    <m/>
    <m/>
    <m/>
    <n v="0"/>
    <m/>
  </r>
  <r>
    <x v="1601"/>
    <s v="KNIVES"/>
    <x v="165"/>
    <x v="0"/>
    <x v="1565"/>
    <x v="1594"/>
    <s v="Z4"/>
    <x v="0"/>
    <m/>
    <m/>
    <m/>
    <m/>
    <x v="0"/>
    <m/>
    <m/>
    <m/>
    <n v="0"/>
    <m/>
  </r>
  <r>
    <x v="1602"/>
    <s v="KNIVES"/>
    <x v="165"/>
    <x v="0"/>
    <x v="1566"/>
    <x v="1595"/>
    <s v="Z4"/>
    <x v="0"/>
    <m/>
    <m/>
    <m/>
    <m/>
    <x v="0"/>
    <m/>
    <m/>
    <m/>
    <n v="0"/>
    <m/>
  </r>
  <r>
    <x v="1603"/>
    <s v="KNIVES"/>
    <x v="165"/>
    <x v="0"/>
    <x v="1567"/>
    <x v="1596"/>
    <s v="Z4"/>
    <x v="0"/>
    <m/>
    <m/>
    <m/>
    <m/>
    <x v="0"/>
    <m/>
    <m/>
    <m/>
    <n v="0"/>
    <m/>
  </r>
  <r>
    <x v="1604"/>
    <s v="KNIVES"/>
    <x v="165"/>
    <x v="0"/>
    <x v="1568"/>
    <x v="1597"/>
    <s v="Z4"/>
    <x v="0"/>
    <m/>
    <m/>
    <m/>
    <m/>
    <x v="0"/>
    <m/>
    <m/>
    <m/>
    <n v="0"/>
    <m/>
  </r>
  <r>
    <x v="1605"/>
    <s v="KNIVES"/>
    <x v="165"/>
    <x v="0"/>
    <x v="1569"/>
    <x v="1598"/>
    <s v="Z4"/>
    <x v="0"/>
    <m/>
    <m/>
    <m/>
    <m/>
    <x v="0"/>
    <m/>
    <m/>
    <m/>
    <n v="0"/>
    <m/>
  </r>
  <r>
    <x v="1606"/>
    <s v="KNIVES"/>
    <x v="165"/>
    <x v="0"/>
    <x v="1570"/>
    <x v="1599"/>
    <s v="Z4"/>
    <x v="0"/>
    <m/>
    <m/>
    <m/>
    <m/>
    <x v="0"/>
    <m/>
    <m/>
    <m/>
    <n v="0"/>
    <m/>
  </r>
  <r>
    <x v="1607"/>
    <s v="KNIVES"/>
    <x v="165"/>
    <x v="0"/>
    <x v="1571"/>
    <x v="1600"/>
    <s v="Z4"/>
    <x v="0"/>
    <m/>
    <m/>
    <m/>
    <m/>
    <x v="0"/>
    <m/>
    <m/>
    <m/>
    <n v="0"/>
    <m/>
  </r>
  <r>
    <x v="1608"/>
    <s v="KNIVES"/>
    <x v="165"/>
    <x v="0"/>
    <x v="1572"/>
    <x v="1601"/>
    <s v="Z4"/>
    <x v="0"/>
    <m/>
    <m/>
    <m/>
    <m/>
    <x v="0"/>
    <m/>
    <m/>
    <m/>
    <n v="0"/>
    <m/>
  </r>
  <r>
    <x v="1609"/>
    <s v="KNIVES"/>
    <x v="165"/>
    <x v="0"/>
    <x v="1573"/>
    <x v="1602"/>
    <s v="Z4"/>
    <x v="0"/>
    <m/>
    <m/>
    <m/>
    <m/>
    <x v="0"/>
    <m/>
    <m/>
    <m/>
    <n v="0"/>
    <m/>
  </r>
  <r>
    <x v="1610"/>
    <s v="KNIVES"/>
    <x v="165"/>
    <x v="0"/>
    <x v="1574"/>
    <x v="1603"/>
    <s v="Z4"/>
    <x v="0"/>
    <m/>
    <m/>
    <m/>
    <m/>
    <x v="0"/>
    <m/>
    <m/>
    <m/>
    <n v="0"/>
    <m/>
  </r>
  <r>
    <x v="1611"/>
    <s v="KNIVES"/>
    <x v="165"/>
    <x v="0"/>
    <x v="1575"/>
    <x v="1604"/>
    <s v="Z4"/>
    <x v="0"/>
    <m/>
    <m/>
    <m/>
    <m/>
    <x v="0"/>
    <m/>
    <m/>
    <m/>
    <n v="0"/>
    <m/>
  </r>
  <r>
    <x v="1612"/>
    <s v="KNIVES"/>
    <x v="165"/>
    <x v="0"/>
    <x v="1576"/>
    <x v="1605"/>
    <s v="Z4"/>
    <x v="0"/>
    <m/>
    <m/>
    <m/>
    <m/>
    <x v="0"/>
    <m/>
    <m/>
    <m/>
    <n v="0"/>
    <m/>
  </r>
  <r>
    <x v="1613"/>
    <s v="KNIVES"/>
    <x v="165"/>
    <x v="0"/>
    <x v="1577"/>
    <x v="1606"/>
    <s v="Z4"/>
    <x v="0"/>
    <m/>
    <m/>
    <m/>
    <m/>
    <x v="0"/>
    <m/>
    <m/>
    <m/>
    <n v="0"/>
    <m/>
  </r>
  <r>
    <x v="1614"/>
    <s v="KNIVES"/>
    <x v="165"/>
    <x v="0"/>
    <x v="1578"/>
    <x v="1607"/>
    <s v="Z4"/>
    <x v="0"/>
    <m/>
    <m/>
    <m/>
    <m/>
    <x v="0"/>
    <m/>
    <m/>
    <m/>
    <n v="0"/>
    <m/>
  </r>
  <r>
    <x v="1615"/>
    <s v="KNIVES"/>
    <x v="165"/>
    <x v="0"/>
    <x v="1579"/>
    <x v="1608"/>
    <s v="Z4"/>
    <x v="0"/>
    <m/>
    <m/>
    <m/>
    <m/>
    <x v="0"/>
    <m/>
    <m/>
    <m/>
    <n v="0"/>
    <m/>
  </r>
  <r>
    <x v="1616"/>
    <s v="KNIVES"/>
    <x v="165"/>
    <x v="0"/>
    <x v="1580"/>
    <x v="1609"/>
    <s v="Z4"/>
    <x v="0"/>
    <m/>
    <m/>
    <m/>
    <m/>
    <x v="0"/>
    <m/>
    <m/>
    <m/>
    <n v="0"/>
    <m/>
  </r>
  <r>
    <x v="1617"/>
    <s v="KNIVES"/>
    <x v="165"/>
    <x v="0"/>
    <x v="1581"/>
    <x v="1610"/>
    <s v="Z4"/>
    <x v="0"/>
    <m/>
    <m/>
    <m/>
    <m/>
    <x v="0"/>
    <m/>
    <m/>
    <m/>
    <n v="0"/>
    <m/>
  </r>
  <r>
    <x v="1618"/>
    <s v="KNIVES"/>
    <x v="165"/>
    <x v="0"/>
    <x v="1582"/>
    <x v="1611"/>
    <s v="Z4"/>
    <x v="0"/>
    <m/>
    <m/>
    <m/>
    <m/>
    <x v="0"/>
    <m/>
    <m/>
    <m/>
    <n v="0"/>
    <m/>
  </r>
  <r>
    <x v="1619"/>
    <s v="KNIVES"/>
    <x v="165"/>
    <x v="0"/>
    <x v="1583"/>
    <x v="1612"/>
    <s v="Z4"/>
    <x v="0"/>
    <m/>
    <m/>
    <m/>
    <m/>
    <x v="0"/>
    <m/>
    <m/>
    <m/>
    <n v="0"/>
    <m/>
  </r>
  <r>
    <x v="1620"/>
    <s v="KNIVES"/>
    <x v="165"/>
    <x v="0"/>
    <x v="1584"/>
    <x v="1613"/>
    <s v="Z4"/>
    <x v="0"/>
    <m/>
    <m/>
    <m/>
    <m/>
    <x v="0"/>
    <m/>
    <m/>
    <m/>
    <n v="0"/>
    <m/>
  </r>
  <r>
    <x v="1621"/>
    <s v="KNIVES"/>
    <x v="165"/>
    <x v="0"/>
    <x v="1585"/>
    <x v="1614"/>
    <s v="Z4"/>
    <x v="0"/>
    <m/>
    <m/>
    <m/>
    <m/>
    <x v="0"/>
    <m/>
    <m/>
    <m/>
    <n v="0"/>
    <m/>
  </r>
  <r>
    <x v="1622"/>
    <s v="KNIVES"/>
    <x v="165"/>
    <x v="0"/>
    <x v="1586"/>
    <x v="1615"/>
    <s v="Z4"/>
    <x v="0"/>
    <m/>
    <m/>
    <m/>
    <m/>
    <x v="0"/>
    <m/>
    <m/>
    <m/>
    <n v="0"/>
    <m/>
  </r>
  <r>
    <x v="1623"/>
    <s v="KNIVES"/>
    <x v="165"/>
    <x v="0"/>
    <x v="1587"/>
    <x v="1616"/>
    <s v="Z4"/>
    <x v="0"/>
    <m/>
    <m/>
    <m/>
    <m/>
    <x v="0"/>
    <m/>
    <m/>
    <m/>
    <n v="0"/>
    <m/>
  </r>
  <r>
    <x v="1624"/>
    <s v="KNIVES"/>
    <x v="165"/>
    <x v="0"/>
    <x v="1588"/>
    <x v="1617"/>
    <s v="Z4"/>
    <x v="0"/>
    <m/>
    <m/>
    <m/>
    <m/>
    <x v="0"/>
    <m/>
    <m/>
    <m/>
    <n v="0"/>
    <m/>
  </r>
  <r>
    <x v="1625"/>
    <s v="KNIVES"/>
    <x v="166"/>
    <x v="0"/>
    <x v="1589"/>
    <x v="1618"/>
    <s v="Z5"/>
    <x v="0"/>
    <m/>
    <m/>
    <m/>
    <m/>
    <x v="0"/>
    <m/>
    <m/>
    <m/>
    <n v="0"/>
    <m/>
  </r>
  <r>
    <x v="1626"/>
    <s v="KNIVES"/>
    <x v="166"/>
    <x v="0"/>
    <x v="1590"/>
    <x v="1619"/>
    <s v="Z5"/>
    <x v="0"/>
    <m/>
    <m/>
    <m/>
    <m/>
    <x v="0"/>
    <m/>
    <m/>
    <m/>
    <n v="0"/>
    <m/>
  </r>
  <r>
    <x v="1627"/>
    <s v="KNIVES"/>
    <x v="166"/>
    <x v="0"/>
    <x v="1591"/>
    <x v="1620"/>
    <s v="Z5"/>
    <x v="0"/>
    <m/>
    <m/>
    <m/>
    <m/>
    <x v="0"/>
    <m/>
    <m/>
    <m/>
    <n v="0"/>
    <m/>
  </r>
  <r>
    <x v="1628"/>
    <s v="KNIVES"/>
    <x v="166"/>
    <x v="0"/>
    <x v="1592"/>
    <x v="1621"/>
    <s v="Z5"/>
    <x v="0"/>
    <m/>
    <m/>
    <m/>
    <m/>
    <x v="0"/>
    <m/>
    <m/>
    <m/>
    <n v="0"/>
    <m/>
  </r>
  <r>
    <x v="1629"/>
    <s v="KNIVES"/>
    <x v="166"/>
    <x v="0"/>
    <x v="1593"/>
    <x v="1622"/>
    <s v="Z5"/>
    <x v="0"/>
    <m/>
    <m/>
    <m/>
    <m/>
    <x v="0"/>
    <m/>
    <m/>
    <m/>
    <n v="0"/>
    <m/>
  </r>
  <r>
    <x v="1630"/>
    <s v="KNIVES"/>
    <x v="166"/>
    <x v="0"/>
    <x v="1594"/>
    <x v="1623"/>
    <s v="Z5"/>
    <x v="0"/>
    <m/>
    <m/>
    <m/>
    <m/>
    <x v="0"/>
    <m/>
    <m/>
    <m/>
    <n v="0"/>
    <m/>
  </r>
  <r>
    <x v="1631"/>
    <s v="KNIVES"/>
    <x v="166"/>
    <x v="0"/>
    <x v="1595"/>
    <x v="1624"/>
    <s v="Z5"/>
    <x v="0"/>
    <m/>
    <m/>
    <m/>
    <m/>
    <x v="0"/>
    <m/>
    <m/>
    <m/>
    <n v="0"/>
    <m/>
  </r>
  <r>
    <x v="1632"/>
    <s v="KNIVES"/>
    <x v="166"/>
    <x v="0"/>
    <x v="1596"/>
    <x v="1625"/>
    <s v="Z5"/>
    <x v="0"/>
    <m/>
    <m/>
    <m/>
    <m/>
    <x v="0"/>
    <m/>
    <m/>
    <m/>
    <n v="0"/>
    <m/>
  </r>
  <r>
    <x v="1633"/>
    <s v="KNIVES"/>
    <x v="166"/>
    <x v="0"/>
    <x v="1597"/>
    <x v="1626"/>
    <s v="Z5"/>
    <x v="0"/>
    <m/>
    <m/>
    <m/>
    <m/>
    <x v="0"/>
    <m/>
    <m/>
    <m/>
    <n v="0"/>
    <m/>
  </r>
  <r>
    <x v="1634"/>
    <s v="KNIVES"/>
    <x v="166"/>
    <x v="0"/>
    <x v="1598"/>
    <x v="1627"/>
    <s v="Z5"/>
    <x v="0"/>
    <m/>
    <m/>
    <m/>
    <m/>
    <x v="0"/>
    <m/>
    <m/>
    <m/>
    <n v="0"/>
    <m/>
  </r>
  <r>
    <x v="1635"/>
    <s v="KNIVES"/>
    <x v="166"/>
    <x v="0"/>
    <x v="1599"/>
    <x v="1628"/>
    <s v="Z5"/>
    <x v="0"/>
    <m/>
    <m/>
    <m/>
    <m/>
    <x v="0"/>
    <m/>
    <m/>
    <m/>
    <n v="0"/>
    <m/>
  </r>
  <r>
    <x v="1636"/>
    <s v="KNIVES"/>
    <x v="166"/>
    <x v="0"/>
    <x v="1600"/>
    <x v="1629"/>
    <s v="Z5"/>
    <x v="0"/>
    <m/>
    <m/>
    <m/>
    <m/>
    <x v="0"/>
    <m/>
    <m/>
    <m/>
    <n v="0"/>
    <m/>
  </r>
  <r>
    <x v="1637"/>
    <s v="KNIVES"/>
    <x v="166"/>
    <x v="0"/>
    <x v="1601"/>
    <x v="1630"/>
    <s v="Z5"/>
    <x v="0"/>
    <m/>
    <m/>
    <m/>
    <m/>
    <x v="0"/>
    <m/>
    <m/>
    <m/>
    <n v="0"/>
    <m/>
  </r>
  <r>
    <x v="1638"/>
    <s v="KNIVES"/>
    <x v="166"/>
    <x v="0"/>
    <x v="1602"/>
    <x v="1631"/>
    <s v="Z5"/>
    <x v="0"/>
    <m/>
    <m/>
    <m/>
    <m/>
    <x v="0"/>
    <m/>
    <m/>
    <m/>
    <n v="0"/>
    <m/>
  </r>
  <r>
    <x v="1639"/>
    <s v="KNIVES"/>
    <x v="166"/>
    <x v="0"/>
    <x v="1603"/>
    <x v="1632"/>
    <s v="Z5"/>
    <x v="0"/>
    <m/>
    <m/>
    <m/>
    <m/>
    <x v="0"/>
    <m/>
    <m/>
    <m/>
    <n v="0"/>
    <m/>
  </r>
  <r>
    <x v="1640"/>
    <s v="KNIVES"/>
    <x v="166"/>
    <x v="0"/>
    <x v="1604"/>
    <x v="1633"/>
    <s v="Z5"/>
    <x v="0"/>
    <m/>
    <m/>
    <m/>
    <m/>
    <x v="0"/>
    <m/>
    <m/>
    <m/>
    <n v="0"/>
    <m/>
  </r>
  <r>
    <x v="1641"/>
    <s v="KNIVES"/>
    <x v="166"/>
    <x v="0"/>
    <x v="1605"/>
    <x v="1634"/>
    <s v="Z5"/>
    <x v="0"/>
    <m/>
    <m/>
    <m/>
    <m/>
    <x v="0"/>
    <m/>
    <m/>
    <m/>
    <n v="0"/>
    <m/>
  </r>
  <r>
    <x v="1642"/>
    <s v="KNIVES"/>
    <x v="166"/>
    <x v="0"/>
    <x v="1606"/>
    <x v="1635"/>
    <s v="Z5"/>
    <x v="0"/>
    <m/>
    <m/>
    <m/>
    <m/>
    <x v="0"/>
    <m/>
    <m/>
    <m/>
    <n v="0"/>
    <m/>
  </r>
  <r>
    <x v="1643"/>
    <s v="KNIVES"/>
    <x v="166"/>
    <x v="0"/>
    <x v="1607"/>
    <x v="1636"/>
    <s v="Z5"/>
    <x v="0"/>
    <m/>
    <m/>
    <m/>
    <m/>
    <x v="0"/>
    <m/>
    <m/>
    <m/>
    <n v="0"/>
    <m/>
  </r>
  <r>
    <x v="1644"/>
    <s v="KNIVES"/>
    <x v="166"/>
    <x v="0"/>
    <x v="1608"/>
    <x v="1637"/>
    <s v="Z5"/>
    <x v="0"/>
    <m/>
    <m/>
    <m/>
    <m/>
    <x v="0"/>
    <m/>
    <m/>
    <m/>
    <n v="0"/>
    <m/>
  </r>
  <r>
    <x v="1645"/>
    <s v="KNIVES"/>
    <x v="166"/>
    <x v="0"/>
    <x v="1609"/>
    <x v="1638"/>
    <s v="Z5"/>
    <x v="0"/>
    <m/>
    <m/>
    <m/>
    <m/>
    <x v="0"/>
    <m/>
    <m/>
    <m/>
    <n v="0"/>
    <m/>
  </r>
  <r>
    <x v="1646"/>
    <s v="KNIVES"/>
    <x v="166"/>
    <x v="0"/>
    <x v="1610"/>
    <x v="1639"/>
    <s v="Z5"/>
    <x v="0"/>
    <m/>
    <m/>
    <m/>
    <m/>
    <x v="0"/>
    <m/>
    <m/>
    <m/>
    <n v="0"/>
    <m/>
  </r>
  <r>
    <x v="1647"/>
    <s v="KNIVES"/>
    <x v="166"/>
    <x v="0"/>
    <x v="1611"/>
    <x v="1640"/>
    <s v="Z5"/>
    <x v="0"/>
    <m/>
    <m/>
    <m/>
    <m/>
    <x v="0"/>
    <m/>
    <m/>
    <m/>
    <n v="0"/>
    <m/>
  </r>
  <r>
    <x v="1648"/>
    <s v="KNIVES"/>
    <x v="166"/>
    <x v="0"/>
    <x v="1612"/>
    <x v="1641"/>
    <s v="Z5"/>
    <x v="0"/>
    <m/>
    <m/>
    <m/>
    <m/>
    <x v="0"/>
    <m/>
    <m/>
    <m/>
    <n v="0"/>
    <m/>
  </r>
  <r>
    <x v="1649"/>
    <s v="KNIVES"/>
    <x v="166"/>
    <x v="0"/>
    <x v="1613"/>
    <x v="1642"/>
    <s v="Z5"/>
    <x v="0"/>
    <m/>
    <m/>
    <m/>
    <m/>
    <x v="0"/>
    <m/>
    <m/>
    <m/>
    <n v="0"/>
    <m/>
  </r>
  <r>
    <x v="1650"/>
    <s v="KNIVES"/>
    <x v="166"/>
    <x v="0"/>
    <x v="1614"/>
    <x v="1643"/>
    <s v="Z5"/>
    <x v="0"/>
    <m/>
    <m/>
    <m/>
    <m/>
    <x v="0"/>
    <m/>
    <m/>
    <m/>
    <n v="0"/>
    <m/>
  </r>
  <r>
    <x v="1651"/>
    <s v="KNIVES"/>
    <x v="166"/>
    <x v="0"/>
    <x v="1615"/>
    <x v="1644"/>
    <s v="Z5"/>
    <x v="0"/>
    <m/>
    <m/>
    <m/>
    <m/>
    <x v="0"/>
    <m/>
    <m/>
    <m/>
    <n v="0"/>
    <m/>
  </r>
  <r>
    <x v="1652"/>
    <s v="KNIVES"/>
    <x v="166"/>
    <x v="0"/>
    <x v="1616"/>
    <x v="1645"/>
    <s v="Z5"/>
    <x v="0"/>
    <m/>
    <m/>
    <m/>
    <m/>
    <x v="0"/>
    <m/>
    <m/>
    <m/>
    <n v="0"/>
    <m/>
  </r>
  <r>
    <x v="1653"/>
    <s v="KNIVES"/>
    <x v="166"/>
    <x v="0"/>
    <x v="1617"/>
    <x v="1646"/>
    <s v="Z5"/>
    <x v="0"/>
    <m/>
    <m/>
    <m/>
    <m/>
    <x v="0"/>
    <m/>
    <m/>
    <m/>
    <n v="0"/>
    <m/>
  </r>
  <r>
    <x v="1654"/>
    <s v="KNIVES"/>
    <x v="166"/>
    <x v="0"/>
    <x v="1618"/>
    <x v="1647"/>
    <s v="Z5"/>
    <x v="0"/>
    <m/>
    <m/>
    <m/>
    <m/>
    <x v="0"/>
    <m/>
    <m/>
    <m/>
    <n v="0"/>
    <m/>
  </r>
  <r>
    <x v="1655"/>
    <s v="KNIVES"/>
    <x v="166"/>
    <x v="0"/>
    <x v="1619"/>
    <x v="1648"/>
    <s v="Z5"/>
    <x v="0"/>
    <m/>
    <m/>
    <m/>
    <m/>
    <x v="0"/>
    <m/>
    <m/>
    <m/>
    <n v="0"/>
    <m/>
  </r>
  <r>
    <x v="1656"/>
    <s v="KNIVES"/>
    <x v="166"/>
    <x v="0"/>
    <x v="1620"/>
    <x v="1649"/>
    <s v="Z5"/>
    <x v="0"/>
    <m/>
    <m/>
    <m/>
    <m/>
    <x v="0"/>
    <m/>
    <m/>
    <m/>
    <n v="0"/>
    <m/>
  </r>
  <r>
    <x v="1657"/>
    <s v="KNIVES"/>
    <x v="166"/>
    <x v="0"/>
    <x v="1621"/>
    <x v="1650"/>
    <s v="Z5"/>
    <x v="0"/>
    <m/>
    <m/>
    <m/>
    <m/>
    <x v="0"/>
    <m/>
    <m/>
    <m/>
    <n v="0"/>
    <m/>
  </r>
  <r>
    <x v="1658"/>
    <s v="KNIVES"/>
    <x v="166"/>
    <x v="0"/>
    <x v="1622"/>
    <x v="1651"/>
    <s v="Z5"/>
    <x v="0"/>
    <m/>
    <m/>
    <m/>
    <m/>
    <x v="0"/>
    <m/>
    <m/>
    <m/>
    <n v="0"/>
    <m/>
  </r>
  <r>
    <x v="1659"/>
    <s v="KNIVES"/>
    <x v="166"/>
    <x v="0"/>
    <x v="1623"/>
    <x v="1652"/>
    <s v="Z5"/>
    <x v="0"/>
    <m/>
    <m/>
    <m/>
    <m/>
    <x v="0"/>
    <m/>
    <m/>
    <m/>
    <n v="0"/>
    <m/>
  </r>
  <r>
    <x v="1660"/>
    <s v="KNIVES"/>
    <x v="166"/>
    <x v="0"/>
    <x v="1624"/>
    <x v="1653"/>
    <s v="Z5"/>
    <x v="0"/>
    <m/>
    <m/>
    <m/>
    <m/>
    <x v="0"/>
    <m/>
    <m/>
    <m/>
    <n v="0"/>
    <m/>
  </r>
  <r>
    <x v="1661"/>
    <s v="KNIVES"/>
    <x v="166"/>
    <x v="0"/>
    <x v="1625"/>
    <x v="1654"/>
    <s v="Z5"/>
    <x v="0"/>
    <m/>
    <m/>
    <m/>
    <m/>
    <x v="0"/>
    <m/>
    <m/>
    <m/>
    <n v="0"/>
    <m/>
  </r>
  <r>
    <x v="1662"/>
    <s v="KNIVES"/>
    <x v="166"/>
    <x v="0"/>
    <x v="1626"/>
    <x v="1655"/>
    <s v="Z5"/>
    <x v="0"/>
    <m/>
    <m/>
    <m/>
    <m/>
    <x v="0"/>
    <m/>
    <m/>
    <m/>
    <n v="0"/>
    <m/>
  </r>
  <r>
    <x v="1663"/>
    <s v="KNIVES"/>
    <x v="166"/>
    <x v="0"/>
    <x v="1627"/>
    <x v="1656"/>
    <s v="Z5"/>
    <x v="0"/>
    <m/>
    <m/>
    <m/>
    <m/>
    <x v="0"/>
    <m/>
    <m/>
    <m/>
    <n v="0"/>
    <m/>
  </r>
  <r>
    <x v="1664"/>
    <s v="KNIVES"/>
    <x v="166"/>
    <x v="0"/>
    <x v="1628"/>
    <x v="1657"/>
    <s v="Z5"/>
    <x v="0"/>
    <m/>
    <m/>
    <m/>
    <m/>
    <x v="0"/>
    <m/>
    <m/>
    <m/>
    <n v="0"/>
    <m/>
  </r>
  <r>
    <x v="1665"/>
    <s v="KNIVES"/>
    <x v="166"/>
    <x v="0"/>
    <x v="1629"/>
    <x v="1658"/>
    <s v="Z5"/>
    <x v="0"/>
    <m/>
    <m/>
    <m/>
    <m/>
    <x v="0"/>
    <m/>
    <m/>
    <m/>
    <n v="0"/>
    <m/>
  </r>
  <r>
    <x v="1666"/>
    <s v="KNIVES"/>
    <x v="166"/>
    <x v="0"/>
    <x v="1630"/>
    <x v="1659"/>
    <s v="Z5"/>
    <x v="0"/>
    <m/>
    <m/>
    <m/>
    <m/>
    <x v="0"/>
    <m/>
    <m/>
    <m/>
    <n v="0"/>
    <m/>
  </r>
  <r>
    <x v="1667"/>
    <s v="KNIVES"/>
    <x v="166"/>
    <x v="0"/>
    <x v="1631"/>
    <x v="1660"/>
    <s v="Z5"/>
    <x v="0"/>
    <m/>
    <m/>
    <m/>
    <m/>
    <x v="0"/>
    <m/>
    <m/>
    <m/>
    <n v="0"/>
    <m/>
  </r>
  <r>
    <x v="1668"/>
    <s v="KNIVES"/>
    <x v="166"/>
    <x v="0"/>
    <x v="1632"/>
    <x v="1661"/>
    <s v="Z5"/>
    <x v="0"/>
    <m/>
    <m/>
    <m/>
    <m/>
    <x v="0"/>
    <m/>
    <m/>
    <m/>
    <n v="0"/>
    <m/>
  </r>
  <r>
    <x v="1669"/>
    <s v="KNIVES"/>
    <x v="166"/>
    <x v="0"/>
    <x v="1633"/>
    <x v="1662"/>
    <s v="Z5"/>
    <x v="0"/>
    <m/>
    <m/>
    <m/>
    <m/>
    <x v="0"/>
    <m/>
    <m/>
    <m/>
    <n v="0"/>
    <m/>
  </r>
  <r>
    <x v="1670"/>
    <s v="KNIVES"/>
    <x v="166"/>
    <x v="0"/>
    <x v="1634"/>
    <x v="1663"/>
    <s v="Z5"/>
    <x v="0"/>
    <m/>
    <m/>
    <m/>
    <m/>
    <x v="0"/>
    <m/>
    <m/>
    <m/>
    <n v="0"/>
    <m/>
  </r>
  <r>
    <x v="1671"/>
    <s v="KNIVES"/>
    <x v="166"/>
    <x v="0"/>
    <x v="1635"/>
    <x v="1664"/>
    <s v="Z5"/>
    <x v="0"/>
    <m/>
    <m/>
    <m/>
    <m/>
    <x v="0"/>
    <m/>
    <m/>
    <m/>
    <n v="0"/>
    <m/>
  </r>
  <r>
    <x v="1672"/>
    <s v="KNIVES"/>
    <x v="166"/>
    <x v="0"/>
    <x v="1636"/>
    <x v="1665"/>
    <s v="Z5"/>
    <x v="0"/>
    <m/>
    <m/>
    <m/>
    <m/>
    <x v="0"/>
    <m/>
    <m/>
    <m/>
    <n v="0"/>
    <m/>
  </r>
  <r>
    <x v="1673"/>
    <s v="KNIVES"/>
    <x v="166"/>
    <x v="0"/>
    <x v="1637"/>
    <x v="1666"/>
    <s v="Z5"/>
    <x v="0"/>
    <m/>
    <m/>
    <m/>
    <m/>
    <x v="0"/>
    <m/>
    <m/>
    <m/>
    <n v="0"/>
    <m/>
  </r>
  <r>
    <x v="1674"/>
    <s v="KNIVES"/>
    <x v="167"/>
    <x v="0"/>
    <x v="1638"/>
    <x v="1667"/>
    <s v="Z7"/>
    <x v="0"/>
    <m/>
    <m/>
    <m/>
    <m/>
    <x v="0"/>
    <m/>
    <m/>
    <m/>
    <n v="0"/>
    <m/>
  </r>
  <r>
    <x v="1675"/>
    <s v="KNIVES"/>
    <x v="167"/>
    <x v="0"/>
    <x v="1639"/>
    <x v="1668"/>
    <s v="Z7"/>
    <x v="0"/>
    <m/>
    <m/>
    <m/>
    <m/>
    <x v="0"/>
    <m/>
    <m/>
    <m/>
    <n v="0"/>
    <m/>
  </r>
  <r>
    <x v="1676"/>
    <s v="KNIVES"/>
    <x v="167"/>
    <x v="0"/>
    <x v="1640"/>
    <x v="1669"/>
    <s v="Z7"/>
    <x v="0"/>
    <m/>
    <m/>
    <m/>
    <m/>
    <x v="0"/>
    <m/>
    <m/>
    <m/>
    <n v="0"/>
    <m/>
  </r>
  <r>
    <x v="1677"/>
    <s v="KNIVES"/>
    <x v="167"/>
    <x v="0"/>
    <x v="1641"/>
    <x v="1670"/>
    <s v="Z7"/>
    <x v="0"/>
    <m/>
    <m/>
    <m/>
    <m/>
    <x v="0"/>
    <m/>
    <m/>
    <m/>
    <n v="0"/>
    <m/>
  </r>
  <r>
    <x v="1678"/>
    <s v="KNIVES"/>
    <x v="167"/>
    <x v="0"/>
    <x v="1642"/>
    <x v="1671"/>
    <s v="Z7"/>
    <x v="0"/>
    <m/>
    <m/>
    <m/>
    <m/>
    <x v="0"/>
    <m/>
    <m/>
    <m/>
    <n v="0"/>
    <m/>
  </r>
  <r>
    <x v="1679"/>
    <s v="KNIVES"/>
    <x v="167"/>
    <x v="0"/>
    <x v="1643"/>
    <x v="1672"/>
    <s v="Z7"/>
    <x v="0"/>
    <m/>
    <m/>
    <m/>
    <m/>
    <x v="0"/>
    <m/>
    <m/>
    <m/>
    <n v="0"/>
    <m/>
  </r>
  <r>
    <x v="1680"/>
    <s v="KNIVES"/>
    <x v="167"/>
    <x v="0"/>
    <x v="1644"/>
    <x v="1673"/>
    <s v="Z7"/>
    <x v="0"/>
    <m/>
    <m/>
    <m/>
    <m/>
    <x v="0"/>
    <m/>
    <m/>
    <m/>
    <n v="0"/>
    <m/>
  </r>
  <r>
    <x v="1681"/>
    <s v="KNIVES"/>
    <x v="167"/>
    <x v="0"/>
    <x v="1645"/>
    <x v="1674"/>
    <s v="Z7"/>
    <x v="0"/>
    <m/>
    <m/>
    <m/>
    <m/>
    <x v="0"/>
    <m/>
    <m/>
    <m/>
    <n v="0"/>
    <m/>
  </r>
  <r>
    <x v="1682"/>
    <s v="KNIVES"/>
    <x v="167"/>
    <x v="0"/>
    <x v="1646"/>
    <x v="1675"/>
    <s v="Z7"/>
    <x v="0"/>
    <m/>
    <m/>
    <m/>
    <m/>
    <x v="0"/>
    <m/>
    <m/>
    <m/>
    <n v="0"/>
    <m/>
  </r>
  <r>
    <x v="1683"/>
    <s v="KNIVES"/>
    <x v="167"/>
    <x v="0"/>
    <x v="1647"/>
    <x v="1676"/>
    <s v="Z10"/>
    <x v="0"/>
    <m/>
    <m/>
    <m/>
    <m/>
    <x v="0"/>
    <m/>
    <m/>
    <m/>
    <n v="0"/>
    <m/>
  </r>
  <r>
    <x v="1684"/>
    <s v="KNIVES"/>
    <x v="167"/>
    <x v="0"/>
    <x v="1648"/>
    <x v="1677"/>
    <s v="Z10"/>
    <x v="0"/>
    <m/>
    <m/>
    <m/>
    <m/>
    <x v="0"/>
    <m/>
    <m/>
    <m/>
    <n v="0"/>
    <m/>
  </r>
  <r>
    <x v="1685"/>
    <s v="KNIVES"/>
    <x v="167"/>
    <x v="0"/>
    <x v="1649"/>
    <x v="1678"/>
    <s v="Z10"/>
    <x v="0"/>
    <m/>
    <m/>
    <m/>
    <m/>
    <x v="0"/>
    <m/>
    <m/>
    <m/>
    <n v="0"/>
    <m/>
  </r>
  <r>
    <x v="1686"/>
    <s v="KNIVES"/>
    <x v="167"/>
    <x v="0"/>
    <x v="1650"/>
    <x v="1679"/>
    <s v="Z10"/>
    <x v="0"/>
    <m/>
    <m/>
    <m/>
    <m/>
    <x v="0"/>
    <m/>
    <m/>
    <m/>
    <n v="0"/>
    <m/>
  </r>
  <r>
    <x v="1687"/>
    <s v="KNIVES"/>
    <x v="167"/>
    <x v="0"/>
    <x v="1651"/>
    <x v="1680"/>
    <s v="Z10"/>
    <x v="0"/>
    <m/>
    <m/>
    <m/>
    <m/>
    <x v="0"/>
    <m/>
    <m/>
    <m/>
    <n v="0"/>
    <m/>
  </r>
  <r>
    <x v="1688"/>
    <s v="KNIVES"/>
    <x v="167"/>
    <x v="0"/>
    <x v="1652"/>
    <x v="1681"/>
    <s v="Z10"/>
    <x v="0"/>
    <m/>
    <m/>
    <m/>
    <m/>
    <x v="0"/>
    <m/>
    <m/>
    <m/>
    <n v="0"/>
    <m/>
  </r>
  <r>
    <x v="1689"/>
    <s v="KNIVES"/>
    <x v="167"/>
    <x v="0"/>
    <x v="1653"/>
    <x v="1682"/>
    <s v="Z10"/>
    <x v="0"/>
    <m/>
    <m/>
    <m/>
    <m/>
    <x v="0"/>
    <m/>
    <m/>
    <m/>
    <n v="0"/>
    <m/>
  </r>
  <r>
    <x v="1690"/>
    <s v="KNIVES"/>
    <x v="167"/>
    <x v="0"/>
    <x v="1654"/>
    <x v="1683"/>
    <s v="Z10"/>
    <x v="0"/>
    <m/>
    <m/>
    <m/>
    <m/>
    <x v="0"/>
    <m/>
    <m/>
    <m/>
    <n v="0"/>
    <m/>
  </r>
  <r>
    <x v="1691"/>
    <s v="KNIVES"/>
    <x v="167"/>
    <x v="0"/>
    <x v="1655"/>
    <x v="1684"/>
    <s v="Z10"/>
    <x v="0"/>
    <m/>
    <m/>
    <m/>
    <m/>
    <x v="0"/>
    <m/>
    <m/>
    <m/>
    <n v="0"/>
    <m/>
  </r>
  <r>
    <x v="1692"/>
    <s v="KNIVES"/>
    <x v="167"/>
    <x v="0"/>
    <x v="1656"/>
    <x v="1685"/>
    <s v="Z10"/>
    <x v="0"/>
    <m/>
    <m/>
    <m/>
    <m/>
    <x v="0"/>
    <m/>
    <m/>
    <m/>
    <n v="0"/>
    <m/>
  </r>
  <r>
    <x v="1693"/>
    <s v="KNIVES"/>
    <x v="167"/>
    <x v="0"/>
    <x v="1657"/>
    <x v="1686"/>
    <s v="Z10"/>
    <x v="0"/>
    <m/>
    <m/>
    <m/>
    <m/>
    <x v="0"/>
    <m/>
    <m/>
    <m/>
    <n v="0"/>
    <m/>
  </r>
  <r>
    <x v="1694"/>
    <s v="KNIVES"/>
    <x v="167"/>
    <x v="0"/>
    <x v="1658"/>
    <x v="1687"/>
    <s v="Z10"/>
    <x v="0"/>
    <m/>
    <m/>
    <m/>
    <m/>
    <x v="0"/>
    <m/>
    <m/>
    <m/>
    <n v="0"/>
    <m/>
  </r>
  <r>
    <x v="1695"/>
    <s v="KNIVES"/>
    <x v="167"/>
    <x v="0"/>
    <x v="1659"/>
    <x v="1688"/>
    <s v="Z10"/>
    <x v="0"/>
    <m/>
    <m/>
    <m/>
    <m/>
    <x v="0"/>
    <m/>
    <m/>
    <m/>
    <n v="0"/>
    <m/>
  </r>
  <r>
    <x v="1696"/>
    <s v="KNIVES"/>
    <x v="167"/>
    <x v="0"/>
    <x v="1660"/>
    <x v="1689"/>
    <s v="Z10"/>
    <x v="0"/>
    <m/>
    <m/>
    <m/>
    <m/>
    <x v="0"/>
    <m/>
    <m/>
    <m/>
    <n v="0"/>
    <m/>
  </r>
  <r>
    <x v="1697"/>
    <s v="KNIVES"/>
    <x v="167"/>
    <x v="0"/>
    <x v="1661"/>
    <x v="1690"/>
    <s v="Z10"/>
    <x v="0"/>
    <m/>
    <m/>
    <m/>
    <m/>
    <x v="0"/>
    <m/>
    <m/>
    <m/>
    <n v="0"/>
    <m/>
  </r>
  <r>
    <x v="1698"/>
    <s v="KNIVES"/>
    <x v="167"/>
    <x v="0"/>
    <x v="1662"/>
    <x v="1691"/>
    <s v="Z10"/>
    <x v="0"/>
    <m/>
    <m/>
    <m/>
    <m/>
    <x v="0"/>
    <m/>
    <m/>
    <m/>
    <n v="0"/>
    <m/>
  </r>
  <r>
    <x v="1699"/>
    <s v="KNIVES"/>
    <x v="167"/>
    <x v="0"/>
    <x v="1663"/>
    <x v="1692"/>
    <s v="Z10"/>
    <x v="0"/>
    <m/>
    <m/>
    <m/>
    <m/>
    <x v="0"/>
    <m/>
    <m/>
    <m/>
    <n v="0"/>
    <m/>
  </r>
  <r>
    <x v="1700"/>
    <s v="KNIVES"/>
    <x v="167"/>
    <x v="0"/>
    <x v="1664"/>
    <x v="1693"/>
    <s v="Z10"/>
    <x v="0"/>
    <m/>
    <m/>
    <m/>
    <m/>
    <x v="0"/>
    <m/>
    <m/>
    <m/>
    <n v="0"/>
    <m/>
  </r>
  <r>
    <x v="1701"/>
    <s v="KNIVES"/>
    <x v="167"/>
    <x v="0"/>
    <x v="1665"/>
    <x v="1694"/>
    <s v="Z10"/>
    <x v="0"/>
    <m/>
    <m/>
    <m/>
    <m/>
    <x v="0"/>
    <m/>
    <m/>
    <m/>
    <n v="0"/>
    <m/>
  </r>
  <r>
    <x v="1702"/>
    <s v="KNIVES"/>
    <x v="167"/>
    <x v="0"/>
    <x v="1666"/>
    <x v="1695"/>
    <s v="Z10"/>
    <x v="0"/>
    <m/>
    <m/>
    <m/>
    <m/>
    <x v="0"/>
    <m/>
    <m/>
    <m/>
    <n v="0"/>
    <m/>
  </r>
  <r>
    <x v="1703"/>
    <s v="KNIVES"/>
    <x v="167"/>
    <x v="0"/>
    <x v="1667"/>
    <x v="1696"/>
    <s v="Z10"/>
    <x v="0"/>
    <m/>
    <m/>
    <m/>
    <m/>
    <x v="0"/>
    <m/>
    <m/>
    <m/>
    <n v="0"/>
    <m/>
  </r>
  <r>
    <x v="1704"/>
    <s v="KNIVES"/>
    <x v="167"/>
    <x v="0"/>
    <x v="1668"/>
    <x v="1697"/>
    <s v="Z10"/>
    <x v="0"/>
    <m/>
    <m/>
    <m/>
    <m/>
    <x v="0"/>
    <m/>
    <m/>
    <m/>
    <n v="0"/>
    <m/>
  </r>
  <r>
    <x v="1705"/>
    <s v="KNIVES"/>
    <x v="167"/>
    <x v="0"/>
    <x v="1669"/>
    <x v="1698"/>
    <s v="Z10"/>
    <x v="0"/>
    <m/>
    <m/>
    <m/>
    <m/>
    <x v="0"/>
    <m/>
    <m/>
    <m/>
    <n v="0"/>
    <m/>
  </r>
  <r>
    <x v="1706"/>
    <s v="KNIVES"/>
    <x v="167"/>
    <x v="0"/>
    <x v="1670"/>
    <x v="1699"/>
    <s v="Z10"/>
    <x v="0"/>
    <m/>
    <m/>
    <m/>
    <m/>
    <x v="0"/>
    <m/>
    <m/>
    <m/>
    <n v="0"/>
    <m/>
  </r>
  <r>
    <x v="1707"/>
    <s v="KNIVES"/>
    <x v="167"/>
    <x v="0"/>
    <x v="1671"/>
    <x v="1700"/>
    <s v="Z10"/>
    <x v="0"/>
    <m/>
    <m/>
    <m/>
    <m/>
    <x v="0"/>
    <m/>
    <m/>
    <m/>
    <n v="0"/>
    <m/>
  </r>
  <r>
    <x v="1708"/>
    <s v="KNIVES"/>
    <x v="167"/>
    <x v="0"/>
    <x v="1672"/>
    <x v="1701"/>
    <s v="Z10"/>
    <x v="0"/>
    <m/>
    <m/>
    <m/>
    <m/>
    <x v="0"/>
    <m/>
    <m/>
    <m/>
    <n v="0"/>
    <m/>
  </r>
  <r>
    <x v="1709"/>
    <s v="KNIVES"/>
    <x v="167"/>
    <x v="0"/>
    <x v="1673"/>
    <x v="1702"/>
    <s v="Z10"/>
    <x v="0"/>
    <m/>
    <m/>
    <m/>
    <m/>
    <x v="0"/>
    <m/>
    <m/>
    <m/>
    <n v="0"/>
    <m/>
  </r>
  <r>
    <x v="1710"/>
    <s v="KNIVES"/>
    <x v="167"/>
    <x v="0"/>
    <x v="1674"/>
    <x v="1703"/>
    <s v="Z10"/>
    <x v="0"/>
    <m/>
    <m/>
    <m/>
    <m/>
    <x v="0"/>
    <m/>
    <m/>
    <m/>
    <n v="0"/>
    <m/>
  </r>
  <r>
    <x v="1711"/>
    <s v="KNIVES"/>
    <x v="167"/>
    <x v="0"/>
    <x v="1675"/>
    <x v="1704"/>
    <s v="Z10"/>
    <x v="0"/>
    <m/>
    <m/>
    <m/>
    <m/>
    <x v="0"/>
    <m/>
    <m/>
    <m/>
    <n v="0"/>
    <m/>
  </r>
  <r>
    <x v="1712"/>
    <s v="KNIVES"/>
    <x v="167"/>
    <x v="0"/>
    <x v="1676"/>
    <x v="1705"/>
    <s v="Z10"/>
    <x v="0"/>
    <m/>
    <m/>
    <m/>
    <m/>
    <x v="0"/>
    <m/>
    <m/>
    <m/>
    <n v="0"/>
    <m/>
  </r>
  <r>
    <x v="1713"/>
    <s v="KNIVES"/>
    <x v="167"/>
    <x v="0"/>
    <x v="1677"/>
    <x v="1706"/>
    <s v="Z10"/>
    <x v="0"/>
    <m/>
    <m/>
    <m/>
    <m/>
    <x v="0"/>
    <m/>
    <m/>
    <m/>
    <n v="0"/>
    <m/>
  </r>
  <r>
    <x v="1714"/>
    <s v="KNIVES"/>
    <x v="167"/>
    <x v="0"/>
    <x v="1678"/>
    <x v="1707"/>
    <s v="Z10"/>
    <x v="0"/>
    <m/>
    <m/>
    <m/>
    <m/>
    <x v="0"/>
    <m/>
    <m/>
    <m/>
    <n v="0"/>
    <m/>
  </r>
  <r>
    <x v="1715"/>
    <s v="KNIVES"/>
    <x v="167"/>
    <x v="0"/>
    <x v="1679"/>
    <x v="1708"/>
    <s v="Z10"/>
    <x v="0"/>
    <m/>
    <m/>
    <m/>
    <m/>
    <x v="0"/>
    <m/>
    <m/>
    <m/>
    <n v="0"/>
    <m/>
  </r>
  <r>
    <x v="1716"/>
    <s v="KNIVES"/>
    <x v="155"/>
    <x v="0"/>
    <x v="1680"/>
    <x v="1709"/>
    <s v="Z13"/>
    <x v="0"/>
    <m/>
    <m/>
    <m/>
    <m/>
    <x v="0"/>
    <m/>
    <m/>
    <m/>
    <n v="0"/>
    <m/>
  </r>
  <r>
    <x v="1717"/>
    <s v="KNIVES"/>
    <x v="155"/>
    <x v="0"/>
    <x v="1681"/>
    <x v="1710"/>
    <s v="Z13"/>
    <x v="0"/>
    <m/>
    <m/>
    <m/>
    <m/>
    <x v="0"/>
    <m/>
    <m/>
    <m/>
    <n v="0"/>
    <m/>
  </r>
  <r>
    <x v="1718"/>
    <s v="KNIVES"/>
    <x v="155"/>
    <x v="0"/>
    <x v="1682"/>
    <x v="1711"/>
    <s v="Z13"/>
    <x v="0"/>
    <m/>
    <m/>
    <m/>
    <m/>
    <x v="0"/>
    <m/>
    <m/>
    <m/>
    <n v="0"/>
    <m/>
  </r>
  <r>
    <x v="1719"/>
    <s v="KNIVES"/>
    <x v="155"/>
    <x v="0"/>
    <x v="1683"/>
    <x v="1712"/>
    <s v="Z13"/>
    <x v="0"/>
    <m/>
    <m/>
    <m/>
    <m/>
    <x v="0"/>
    <m/>
    <m/>
    <m/>
    <n v="0"/>
    <m/>
  </r>
  <r>
    <x v="1720"/>
    <s v="KNIVES"/>
    <x v="149"/>
    <x v="0"/>
    <x v="1684"/>
    <x v="1713"/>
    <s v="Z13"/>
    <x v="0"/>
    <m/>
    <m/>
    <m/>
    <m/>
    <x v="0"/>
    <m/>
    <m/>
    <m/>
    <n v="0"/>
    <m/>
  </r>
  <r>
    <x v="1721"/>
    <s v="KNIVES"/>
    <x v="155"/>
    <x v="0"/>
    <x v="1685"/>
    <x v="1714"/>
    <s v="Z13"/>
    <x v="0"/>
    <m/>
    <m/>
    <m/>
    <m/>
    <x v="0"/>
    <m/>
    <m/>
    <m/>
    <n v="0"/>
    <m/>
  </r>
  <r>
    <x v="1722"/>
    <s v="KNIVES"/>
    <x v="110"/>
    <x v="0"/>
    <x v="1686"/>
    <x v="1715"/>
    <s v="Z13"/>
    <x v="0"/>
    <m/>
    <m/>
    <m/>
    <m/>
    <x v="0"/>
    <m/>
    <m/>
    <m/>
    <n v="0"/>
    <m/>
  </r>
  <r>
    <x v="1723"/>
    <s v="KNIVES"/>
    <x v="155"/>
    <x v="0"/>
    <x v="1687"/>
    <x v="1716"/>
    <s v="Z13"/>
    <x v="0"/>
    <m/>
    <m/>
    <m/>
    <m/>
    <x v="0"/>
    <m/>
    <m/>
    <m/>
    <n v="0"/>
    <m/>
  </r>
  <r>
    <x v="1724"/>
    <s v="KNIVES"/>
    <x v="155"/>
    <x v="0"/>
    <x v="1688"/>
    <x v="1717"/>
    <s v="Z13"/>
    <x v="0"/>
    <m/>
    <m/>
    <m/>
    <m/>
    <x v="0"/>
    <m/>
    <m/>
    <m/>
    <n v="0"/>
    <m/>
  </r>
  <r>
    <x v="1725"/>
    <s v="KNIVES"/>
    <x v="149"/>
    <x v="0"/>
    <x v="1689"/>
    <x v="1718"/>
    <s v="Z13"/>
    <x v="0"/>
    <m/>
    <m/>
    <m/>
    <m/>
    <x v="0"/>
    <m/>
    <m/>
    <m/>
    <n v="0"/>
    <m/>
  </r>
  <r>
    <x v="1726"/>
    <s v="KNIVES"/>
    <x v="149"/>
    <x v="0"/>
    <x v="1690"/>
    <x v="1719"/>
    <s v="Z13"/>
    <x v="0"/>
    <m/>
    <m/>
    <m/>
    <m/>
    <x v="0"/>
    <m/>
    <m/>
    <m/>
    <n v="0"/>
    <m/>
  </r>
  <r>
    <x v="1727"/>
    <s v="KNIVES"/>
    <x v="168"/>
    <x v="0"/>
    <x v="1691"/>
    <x v="1720"/>
    <s v="Z13"/>
    <x v="0"/>
    <m/>
    <m/>
    <m/>
    <m/>
    <x v="0"/>
    <m/>
    <m/>
    <m/>
    <n v="0"/>
    <m/>
  </r>
  <r>
    <x v="1728"/>
    <s v="KNIVES"/>
    <x v="168"/>
    <x v="0"/>
    <x v="1692"/>
    <x v="1721"/>
    <s v="Z13"/>
    <x v="0"/>
    <m/>
    <m/>
    <m/>
    <m/>
    <x v="0"/>
    <m/>
    <m/>
    <m/>
    <n v="0"/>
    <m/>
  </r>
  <r>
    <x v="1729"/>
    <s v="KNIVES"/>
    <x v="166"/>
    <x v="0"/>
    <x v="1693"/>
    <x v="1722"/>
    <s v="Z13"/>
    <x v="0"/>
    <m/>
    <m/>
    <m/>
    <m/>
    <x v="0"/>
    <m/>
    <m/>
    <m/>
    <n v="0"/>
    <m/>
  </r>
  <r>
    <x v="1730"/>
    <s v="KNIVES"/>
    <x v="155"/>
    <x v="0"/>
    <x v="1694"/>
    <x v="1723"/>
    <s v="Z13"/>
    <x v="0"/>
    <m/>
    <m/>
    <m/>
    <m/>
    <x v="0"/>
    <m/>
    <m/>
    <m/>
    <n v="0"/>
    <m/>
  </r>
  <r>
    <x v="1731"/>
    <s v="KNIVES"/>
    <x v="155"/>
    <x v="0"/>
    <x v="1695"/>
    <x v="1724"/>
    <s v="Z13"/>
    <x v="0"/>
    <m/>
    <m/>
    <m/>
    <m/>
    <x v="0"/>
    <m/>
    <m/>
    <m/>
    <n v="0"/>
    <m/>
  </r>
  <r>
    <x v="1732"/>
    <s v="KNIVES"/>
    <x v="166"/>
    <x v="0"/>
    <x v="1696"/>
    <x v="1725"/>
    <s v="Z13"/>
    <x v="0"/>
    <m/>
    <m/>
    <m/>
    <m/>
    <x v="0"/>
    <m/>
    <m/>
    <m/>
    <n v="0"/>
    <m/>
  </r>
  <r>
    <x v="1733"/>
    <s v="KNIVES"/>
    <x v="168"/>
    <x v="0"/>
    <x v="1697"/>
    <x v="1726"/>
    <s v="Z13"/>
    <x v="0"/>
    <m/>
    <m/>
    <m/>
    <m/>
    <x v="0"/>
    <m/>
    <m/>
    <m/>
    <n v="0"/>
    <m/>
  </r>
  <r>
    <x v="1734"/>
    <s v="KNIVES"/>
    <x v="168"/>
    <x v="0"/>
    <x v="1698"/>
    <x v="1727"/>
    <s v="Z13"/>
    <x v="0"/>
    <m/>
    <m/>
    <m/>
    <m/>
    <x v="0"/>
    <m/>
    <m/>
    <m/>
    <n v="0"/>
    <m/>
  </r>
  <r>
    <x v="1735"/>
    <s v="KNIVES"/>
    <x v="110"/>
    <x v="0"/>
    <x v="1699"/>
    <x v="1728"/>
    <s v="Z13"/>
    <x v="0"/>
    <m/>
    <m/>
    <m/>
    <m/>
    <x v="0"/>
    <m/>
    <m/>
    <m/>
    <n v="0"/>
    <m/>
  </r>
  <r>
    <x v="1736"/>
    <s v="KNIVES"/>
    <x v="166"/>
    <x v="0"/>
    <x v="1700"/>
    <x v="1729"/>
    <s v="Z13"/>
    <x v="0"/>
    <m/>
    <m/>
    <m/>
    <m/>
    <x v="0"/>
    <m/>
    <m/>
    <m/>
    <n v="0"/>
    <m/>
  </r>
  <r>
    <x v="1737"/>
    <s v="KNIVES"/>
    <x v="149"/>
    <x v="0"/>
    <x v="1701"/>
    <x v="1730"/>
    <s v="Z13"/>
    <x v="0"/>
    <m/>
    <m/>
    <m/>
    <m/>
    <x v="0"/>
    <m/>
    <m/>
    <m/>
    <n v="0"/>
    <m/>
  </r>
  <r>
    <x v="1738"/>
    <s v="KNIVES"/>
    <x v="168"/>
    <x v="0"/>
    <x v="1702"/>
    <x v="1731"/>
    <s v="Z13"/>
    <x v="0"/>
    <m/>
    <m/>
    <m/>
    <m/>
    <x v="0"/>
    <m/>
    <m/>
    <m/>
    <n v="0"/>
    <m/>
  </r>
  <r>
    <x v="1739"/>
    <s v="KNIVES"/>
    <x v="168"/>
    <x v="0"/>
    <x v="1703"/>
    <x v="1732"/>
    <s v="Z13"/>
    <x v="0"/>
    <m/>
    <m/>
    <m/>
    <m/>
    <x v="0"/>
    <m/>
    <m/>
    <m/>
    <n v="0"/>
    <m/>
  </r>
  <r>
    <x v="1740"/>
    <s v="KNIVES"/>
    <x v="165"/>
    <x v="0"/>
    <x v="1704"/>
    <x v="1733"/>
    <s v="Z4"/>
    <x v="0"/>
    <m/>
    <m/>
    <m/>
    <m/>
    <x v="0"/>
    <m/>
    <m/>
    <m/>
    <n v="0"/>
    <m/>
  </r>
  <r>
    <x v="1741"/>
    <s v="MISCELLANEOUS"/>
    <x v="169"/>
    <x v="0"/>
    <x v="1705"/>
    <x v="1734"/>
    <s v="N1"/>
    <x v="0"/>
    <m/>
    <m/>
    <m/>
    <m/>
    <x v="0"/>
    <m/>
    <m/>
    <m/>
    <n v="0"/>
    <m/>
  </r>
  <r>
    <x v="1742"/>
    <s v="ELECTRICAL"/>
    <x v="19"/>
    <x v="0"/>
    <x v="1706"/>
    <x v="1735"/>
    <s v="N3"/>
    <x v="0"/>
    <m/>
    <m/>
    <m/>
    <m/>
    <x v="0"/>
    <m/>
    <m/>
    <m/>
    <n v="0"/>
    <m/>
  </r>
  <r>
    <x v="1743"/>
    <s v="BELTS"/>
    <x v="72"/>
    <x v="0"/>
    <x v="1707"/>
    <x v="1736"/>
    <s v="F1"/>
    <x v="0"/>
    <m/>
    <m/>
    <m/>
    <m/>
    <x v="0"/>
    <m/>
    <m/>
    <m/>
    <n v="0"/>
    <m/>
  </r>
  <r>
    <x v="1744"/>
    <s v="BELTS"/>
    <x v="17"/>
    <x v="0"/>
    <x v="1708"/>
    <x v="1737"/>
    <s v="F1"/>
    <x v="0"/>
    <m/>
    <m/>
    <m/>
    <m/>
    <x v="0"/>
    <m/>
    <m/>
    <m/>
    <n v="0"/>
    <m/>
  </r>
  <r>
    <x v="1745"/>
    <s v="BELTS"/>
    <x v="17"/>
    <x v="0"/>
    <x v="1709"/>
    <x v="1738"/>
    <s v="F1"/>
    <x v="0"/>
    <m/>
    <m/>
    <m/>
    <m/>
    <x v="0"/>
    <m/>
    <m/>
    <m/>
    <n v="0"/>
    <m/>
  </r>
  <r>
    <x v="1746"/>
    <s v="BELTS"/>
    <x v="72"/>
    <x v="0"/>
    <x v="1710"/>
    <x v="1739"/>
    <s v="B5"/>
    <x v="0"/>
    <m/>
    <m/>
    <m/>
    <m/>
    <x v="0"/>
    <m/>
    <m/>
    <m/>
    <n v="0"/>
    <m/>
  </r>
  <r>
    <x v="1747"/>
    <s v="BELTS"/>
    <x v="72"/>
    <x v="0"/>
    <x v="1711"/>
    <x v="1740"/>
    <s v="B5"/>
    <x v="0"/>
    <m/>
    <m/>
    <m/>
    <m/>
    <x v="0"/>
    <m/>
    <m/>
    <m/>
    <n v="0"/>
    <m/>
  </r>
  <r>
    <x v="1748"/>
    <s v="ROLLERS"/>
    <x v="51"/>
    <x v="0"/>
    <x v="1712"/>
    <x v="1741"/>
    <s v="E6"/>
    <x v="0"/>
    <m/>
    <m/>
    <m/>
    <m/>
    <x v="0"/>
    <m/>
    <m/>
    <m/>
    <n v="0"/>
    <m/>
  </r>
  <r>
    <x v="1749"/>
    <s v="ELECTRICAL"/>
    <x v="85"/>
    <x v="0"/>
    <x v="1713"/>
    <x v="1742"/>
    <s v="C3"/>
    <x v="0"/>
    <m/>
    <m/>
    <m/>
    <m/>
    <x v="0"/>
    <m/>
    <m/>
    <m/>
    <n v="0"/>
    <m/>
  </r>
  <r>
    <x v="1750"/>
    <s v="PNEUMATIC"/>
    <x v="25"/>
    <x v="0"/>
    <x v="1714"/>
    <x v="1743"/>
    <s v="Y2"/>
    <x v="0"/>
    <m/>
    <m/>
    <m/>
    <m/>
    <x v="0"/>
    <m/>
    <m/>
    <m/>
    <n v="0"/>
    <m/>
  </r>
  <r>
    <x v="1751"/>
    <s v="MECHANICAL"/>
    <x v="21"/>
    <x v="0"/>
    <x v="1715"/>
    <x v="1744"/>
    <s v="E3"/>
    <x v="0"/>
    <m/>
    <m/>
    <m/>
    <m/>
    <x v="0"/>
    <m/>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showDrill="0" useAutoFormatting="1" itemPrintTitles="1" createdVersion="4" indent="0" compact="0" compactData="0" multipleFieldFilters="0">
  <location ref="A6:D113" firstHeaderRow="1" firstDataRow="1" firstDataCol="4" rowPageCount="3" colPageCount="1"/>
  <pivotFields count="18">
    <pivotField axis="axisRow" compact="0" outline="0" showAll="0" defaultSubtotal="0">
      <items count="2235">
        <item x="0"/>
        <item x="143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87"/>
        <item x="202"/>
        <item x="251"/>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65"/>
        <item x="589"/>
        <item m="1" x="2119"/>
        <item x="590"/>
        <item x="591"/>
        <item x="619"/>
        <item x="620"/>
        <item x="637"/>
        <item x="656"/>
        <item x="662"/>
        <item x="666"/>
        <item x="667"/>
        <item x="692"/>
        <item x="693"/>
        <item x="699"/>
        <item x="700"/>
        <item x="701"/>
        <item x="702"/>
        <item x="703"/>
        <item x="711"/>
        <item x="723"/>
        <item x="751"/>
        <item x="758"/>
        <item x="779"/>
        <item x="820"/>
        <item x="821"/>
        <item x="839"/>
        <item x="890"/>
        <item x="891"/>
        <item x="892"/>
        <item x="893"/>
        <item x="894"/>
        <item x="895"/>
        <item x="896"/>
        <item x="897"/>
        <item x="898"/>
        <item x="899"/>
        <item x="900"/>
        <item x="901"/>
        <item x="902"/>
        <item x="903"/>
        <item x="904"/>
        <item x="905"/>
        <item x="906"/>
        <item x="907"/>
        <item x="908"/>
        <item x="909"/>
        <item x="910"/>
        <item x="911"/>
        <item x="912"/>
        <item x="913"/>
        <item x="915"/>
        <item x="916"/>
        <item x="917"/>
        <item x="918"/>
        <item x="919"/>
        <item x="920"/>
        <item x="921"/>
        <item x="922"/>
        <item x="923"/>
        <item x="926"/>
        <item x="941"/>
        <item x="949"/>
        <item x="951"/>
        <item x="952"/>
        <item x="958"/>
        <item x="959"/>
        <item x="963"/>
        <item x="975"/>
        <item x="1041"/>
        <item x="1055"/>
        <item x="1056"/>
        <item x="1058"/>
        <item x="1059"/>
        <item x="1060"/>
        <item x="1062"/>
        <item x="1067"/>
        <item x="154"/>
        <item x="155"/>
        <item x="162"/>
        <item x="201"/>
        <item x="283"/>
        <item x="287"/>
        <item x="288"/>
        <item x="289"/>
        <item x="290"/>
        <item x="592"/>
        <item x="595"/>
        <item x="721"/>
        <item x="742"/>
        <item x="829"/>
        <item x="833"/>
        <item x="213"/>
        <item x="635"/>
        <item x="643"/>
        <item x="644"/>
        <item x="653"/>
        <item x="660"/>
        <item x="663"/>
        <item x="948"/>
        <item x="957"/>
        <item x="997"/>
        <item m="1" x="1752"/>
        <item m="1" x="1753"/>
        <item m="1" x="1754"/>
        <item m="1" x="1755"/>
        <item m="1" x="1756"/>
        <item m="1" x="1757"/>
        <item m="1" x="1758"/>
        <item m="1" x="1759"/>
        <item m="1" x="1760"/>
        <item m="1" x="2215"/>
        <item m="1" x="2216"/>
        <item m="1" x="2217"/>
        <item m="1" x="2218"/>
        <item m="1" x="2219"/>
        <item m="1" x="2220"/>
        <item m="1" x="2221"/>
        <item m="1" x="2222"/>
        <item m="1" x="2223"/>
        <item x="190"/>
        <item x="205"/>
        <item x="304"/>
        <item x="306"/>
        <item x="307"/>
        <item x="308"/>
        <item x="309"/>
        <item x="310"/>
        <item x="311"/>
        <item x="312"/>
        <item x="314"/>
        <item x="315"/>
        <item x="316"/>
        <item x="317"/>
        <item x="318"/>
        <item x="319"/>
        <item x="320"/>
        <item x="321"/>
        <item x="322"/>
        <item x="323"/>
        <item x="324"/>
        <item x="325"/>
        <item x="1358"/>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583"/>
        <item x="593"/>
        <item x="594"/>
        <item x="596"/>
        <item x="597"/>
        <item x="602"/>
        <item x="603"/>
        <item x="605"/>
        <item x="607"/>
        <item x="608"/>
        <item x="615"/>
        <item x="622"/>
        <item x="638"/>
        <item x="642"/>
        <item x="670"/>
        <item x="671"/>
        <item x="672"/>
        <item x="673"/>
        <item x="674"/>
        <item x="675"/>
        <item x="676"/>
        <item x="677"/>
        <item x="678"/>
        <item x="682"/>
        <item x="687"/>
        <item x="690"/>
        <item x="707"/>
        <item x="712"/>
        <item x="716"/>
        <item x="718"/>
        <item x="719"/>
        <item x="727"/>
        <item x="728"/>
        <item x="740"/>
        <item x="741"/>
        <item x="746"/>
        <item x="752"/>
        <item x="753"/>
        <item x="759"/>
        <item x="760"/>
        <item x="761"/>
        <item x="767"/>
        <item x="770"/>
        <item x="771"/>
        <item x="773"/>
        <item x="802"/>
        <item x="834"/>
        <item x="835"/>
        <item x="836"/>
        <item x="841"/>
        <item x="844"/>
        <item x="856"/>
        <item x="863"/>
        <item x="870"/>
        <item x="968"/>
        <item x="970"/>
        <item x="973"/>
        <item x="1031"/>
        <item x="1033"/>
        <item x="1078"/>
        <item x="1242"/>
        <item x="1248"/>
        <item x="1249"/>
        <item x="1250"/>
        <item x="1251"/>
        <item x="1252"/>
        <item x="1253"/>
        <item x="1258"/>
        <item x="1285"/>
        <item x="1329"/>
        <item x="1334"/>
        <item x="1339"/>
        <item x="1340"/>
        <item x="1342"/>
        <item x="1353"/>
        <item x="1354"/>
        <item x="156"/>
        <item x="158"/>
        <item x="168"/>
        <item x="169"/>
        <item x="178"/>
        <item x="179"/>
        <item x="180"/>
        <item x="181"/>
        <item x="182"/>
        <item x="185"/>
        <item x="188"/>
        <item x="199"/>
        <item x="203"/>
        <item x="229"/>
        <item x="254"/>
        <item x="256"/>
        <item x="257"/>
        <item x="278"/>
        <item x="295"/>
        <item x="546"/>
        <item x="763"/>
        <item x="768"/>
        <item x="785"/>
        <item x="786"/>
        <item x="787"/>
        <item x="998"/>
        <item x="1018"/>
        <item x="1027"/>
        <item x="1028"/>
        <item x="1029"/>
        <item x="1043"/>
        <item m="1" x="1935"/>
        <item m="1" x="1936"/>
        <item m="1" x="1937"/>
        <item m="1" x="1938"/>
        <item m="1" x="1939"/>
        <item m="1" x="1940"/>
        <item m="1" x="1941"/>
        <item m="1" x="1942"/>
        <item m="1" x="1943"/>
        <item m="1" x="1906"/>
        <item m="1" x="1907"/>
        <item m="1" x="1909"/>
        <item m="1" x="1911"/>
        <item m="1" x="1913"/>
        <item m="1" x="1915"/>
        <item m="1" x="1917"/>
        <item m="1" x="1919"/>
        <item m="1" x="1921"/>
        <item m="1" x="1923"/>
        <item m="1" x="1876"/>
        <item m="1" x="1878"/>
        <item m="1" x="1880"/>
        <item m="1" x="1882"/>
        <item m="1" x="1884"/>
        <item m="1" x="1886"/>
        <item m="1" x="1888"/>
        <item m="1" x="1890"/>
        <item m="1" x="1892"/>
        <item m="1" x="1894"/>
        <item m="1" x="1860"/>
        <item m="1" x="1862"/>
        <item m="1" x="1864"/>
        <item m="1" x="1866"/>
        <item m="1" x="1868"/>
        <item m="1" x="1870"/>
        <item m="1" x="1872"/>
        <item m="1" x="1873"/>
        <item m="1" x="1874"/>
        <item m="1" x="1875"/>
        <item m="1" x="1850"/>
        <item m="1" x="1851"/>
        <item m="1" x="1852"/>
        <item m="1" x="1853"/>
        <item m="1" x="1854"/>
        <item m="1" x="1855"/>
        <item m="1" x="1856"/>
        <item m="1" x="1857"/>
        <item m="1" x="1858"/>
        <item m="1" x="1859"/>
        <item m="1" x="1830"/>
        <item m="1" x="1831"/>
        <item m="1" x="1832"/>
        <item m="1" x="1833"/>
        <item m="1" x="1834"/>
        <item m="1" x="1835"/>
        <item m="1" x="1836"/>
        <item m="1" x="1837"/>
        <item m="1" x="1838"/>
        <item m="1" x="1839"/>
        <item m="1" x="1810"/>
        <item m="1" x="1811"/>
        <item m="1" x="1812"/>
        <item m="1" x="1813"/>
        <item m="1" x="1814"/>
        <item m="1" x="1815"/>
        <item m="1" x="1816"/>
        <item m="1" x="1817"/>
        <item m="1" x="1818"/>
        <item m="1" x="1819"/>
        <item m="1" x="1790"/>
        <item m="1" x="1791"/>
        <item m="1" x="1792"/>
        <item m="1" x="1793"/>
        <item m="1" x="1794"/>
        <item m="1" x="1795"/>
        <item m="1" x="1796"/>
        <item m="1" x="1797"/>
        <item m="1" x="1798"/>
        <item m="1" x="1799"/>
        <item m="1" x="1771"/>
        <item m="1" x="1772"/>
        <item m="1" x="1773"/>
        <item m="1" x="1774"/>
        <item m="1" x="1775"/>
        <item m="1" x="1776"/>
        <item m="1" x="1777"/>
        <item m="1" x="1778"/>
        <item m="1" x="1779"/>
        <item m="1" x="1780"/>
        <item m="1" x="1761"/>
        <item m="1" x="1762"/>
        <item m="1" x="1763"/>
        <item m="1" x="1764"/>
        <item m="1" x="1765"/>
        <item m="1" x="1766"/>
        <item m="1" x="1767"/>
        <item m="1" x="1768"/>
        <item m="1" x="1769"/>
        <item m="1" x="1770"/>
        <item m="1" x="1995"/>
        <item m="1" x="1996"/>
        <item m="1" x="1997"/>
        <item m="1" x="1998"/>
        <item x="171"/>
        <item x="173"/>
        <item x="681"/>
        <item x="683"/>
        <item x="730"/>
        <item x="734"/>
        <item x="750"/>
        <item x="754"/>
        <item x="792"/>
        <item x="800"/>
        <item x="873"/>
        <item x="886"/>
        <item x="887"/>
        <item x="888"/>
        <item x="889"/>
        <item x="933"/>
        <item x="964"/>
        <item x="989"/>
        <item x="1084"/>
        <item x="1332"/>
        <item x="1333"/>
        <item x="1336"/>
        <item x="1357"/>
        <item x="1367"/>
        <item x="1436"/>
        <item x="1440"/>
        <item x="1459"/>
        <item x="1460"/>
        <item x="1466"/>
        <item x="1468"/>
        <item x="1469"/>
        <item x="1494"/>
        <item x="1495"/>
        <item x="1496"/>
        <item x="1497"/>
        <item x="1498"/>
        <item x="1499"/>
        <item x="1500"/>
        <item x="1501"/>
        <item x="1502"/>
        <item x="1571"/>
        <item x="1572"/>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7"/>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7"/>
        <item x="1638"/>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m="1" x="2225"/>
        <item m="1" x="2226"/>
        <item m="1" x="2227"/>
        <item m="1" x="2228"/>
        <item m="1" x="2229"/>
        <item m="1" x="2230"/>
        <item m="1" x="2231"/>
        <item m="1" x="2232"/>
        <item m="1" x="2233"/>
        <item m="1" x="2234"/>
        <item m="1" x="2205"/>
        <item m="1" x="2206"/>
        <item m="1" x="2207"/>
        <item m="1" x="2208"/>
        <item m="1" x="2209"/>
        <item m="1" x="2210"/>
        <item m="1" x="2211"/>
        <item m="1" x="2212"/>
        <item m="1" x="2213"/>
        <item m="1" x="2214"/>
        <item m="1" x="2183"/>
        <item m="1" x="2184"/>
        <item m="1" x="2185"/>
        <item m="1" x="2186"/>
        <item m="1" x="2187"/>
        <item m="1" x="2188"/>
        <item m="1" x="2189"/>
        <item m="1" x="2190"/>
        <item m="1" x="2191"/>
        <item m="1" x="2192"/>
        <item m="1" x="2169"/>
        <item m="1" x="2170"/>
        <item m="1" x="2171"/>
        <item m="1" x="2172"/>
        <item m="1" x="2173"/>
        <item m="1" x="2174"/>
        <item m="1" x="2175"/>
        <item m="1" x="2176"/>
        <item m="1" x="2177"/>
        <item m="1" x="2178"/>
        <item m="1" x="2159"/>
        <item m="1" x="2160"/>
        <item m="1" x="2161"/>
        <item m="1" x="2162"/>
        <item m="1" x="2163"/>
        <item m="1" x="2164"/>
        <item m="1" x="2165"/>
        <item m="1" x="2166"/>
        <item m="1" x="2167"/>
        <item m="1" x="2168"/>
        <item m="1" x="2140"/>
        <item m="1" x="2141"/>
        <item m="1" x="2142"/>
        <item m="1" x="2143"/>
        <item m="1" x="2144"/>
        <item m="1" x="2145"/>
        <item m="1" x="2146"/>
        <item m="1" x="2147"/>
        <item m="1" x="2148"/>
        <item m="1" x="2149"/>
        <item m="1" x="2104"/>
        <item m="1" x="2106"/>
        <item m="1" x="2108"/>
        <item m="1" x="2110"/>
        <item m="1" x="2112"/>
        <item m="1" x="2114"/>
        <item m="1" x="2115"/>
        <item m="1" x="2116"/>
        <item m="1" x="2117"/>
        <item m="1" x="2118"/>
        <item m="1" x="2065"/>
        <item m="1" x="2067"/>
        <item m="1" x="2069"/>
        <item m="1" x="2071"/>
        <item m="1" x="2073"/>
        <item m="1" x="2075"/>
        <item m="1" x="2076"/>
        <item m="1" x="2077"/>
        <item m="1" x="2078"/>
        <item m="1" x="2079"/>
        <item m="1" x="2025"/>
        <item m="1" x="2027"/>
        <item m="1" x="2029"/>
        <item m="1" x="2031"/>
        <item m="1" x="2033"/>
        <item m="1" x="2035"/>
        <item m="1" x="2036"/>
        <item m="1" x="2037"/>
        <item m="1" x="2038"/>
        <item m="1" x="2039"/>
        <item m="1" x="1840"/>
        <item m="1" x="1841"/>
        <item m="1" x="1842"/>
        <item m="1" x="1843"/>
        <item m="1" x="1844"/>
        <item m="1" x="1845"/>
        <item m="1" x="1846"/>
        <item m="1" x="1847"/>
        <item m="1" x="1848"/>
        <item m="1" x="1849"/>
        <item m="1" x="1820"/>
        <item m="1" x="1821"/>
        <item m="1" x="1822"/>
        <item m="1" x="1823"/>
        <item m="1" x="1824"/>
        <item m="1" x="1825"/>
        <item m="1" x="1826"/>
        <item m="1" x="1827"/>
        <item m="1" x="1828"/>
        <item m="1" x="1829"/>
        <item m="1" x="1800"/>
        <item m="1" x="1801"/>
        <item m="1" x="1802"/>
        <item m="1" x="1803"/>
        <item m="1" x="1804"/>
        <item m="1" x="1805"/>
        <item m="1" x="1806"/>
        <item m="1" x="1807"/>
        <item m="1" x="1808"/>
        <item m="1" x="1809"/>
        <item m="1" x="1781"/>
        <item x="1161"/>
        <item x="1259"/>
        <item x="1281"/>
        <item x="1325"/>
        <item x="1550"/>
        <item x="1551"/>
        <item x="1552"/>
        <item x="1553"/>
        <item x="1554"/>
        <item x="1556"/>
        <item x="1557"/>
        <item x="1558"/>
        <item x="1561"/>
        <item x="157"/>
        <item x="159"/>
        <item x="160"/>
        <item x="161"/>
        <item x="163"/>
        <item x="167"/>
        <item x="174"/>
        <item x="175"/>
        <item x="176"/>
        <item x="183"/>
        <item x="184"/>
        <item x="186"/>
        <item x="191"/>
        <item x="193"/>
        <item x="194"/>
        <item x="195"/>
        <item x="196"/>
        <item x="197"/>
        <item x="198"/>
        <item x="206"/>
        <item x="207"/>
        <item x="209"/>
        <item x="211"/>
        <item x="214"/>
        <item x="215"/>
        <item x="216"/>
        <item x="219"/>
        <item x="222"/>
        <item x="225"/>
        <item x="226"/>
        <item x="227"/>
        <item x="228"/>
        <item x="230"/>
        <item x="231"/>
        <item x="232"/>
        <item x="234"/>
        <item x="235"/>
        <item x="236"/>
        <item x="237"/>
        <item x="238"/>
        <item x="239"/>
        <item x="240"/>
        <item x="241"/>
        <item x="243"/>
        <item x="244"/>
        <item x="245"/>
        <item x="247"/>
        <item x="248"/>
        <item x="249"/>
        <item x="252"/>
        <item x="253"/>
        <item x="255"/>
        <item x="258"/>
        <item x="259"/>
        <item x="260"/>
        <item x="261"/>
        <item x="262"/>
        <item x="264"/>
        <item x="265"/>
        <item x="266"/>
        <item x="267"/>
        <item x="273"/>
        <item x="274"/>
        <item x="276"/>
        <item x="277"/>
        <item x="279"/>
        <item x="280"/>
        <item x="281"/>
        <item x="282"/>
        <item x="284"/>
        <item x="285"/>
        <item x="293"/>
        <item x="294"/>
        <item x="296"/>
        <item x="297"/>
        <item x="298"/>
        <item x="301"/>
        <item x="302"/>
        <item x="517"/>
        <item x="518"/>
        <item x="529"/>
        <item x="530"/>
        <item x="535"/>
        <item x="537"/>
        <item x="542"/>
        <item x="543"/>
        <item x="544"/>
        <item x="545"/>
        <item x="549"/>
        <item x="550"/>
        <item x="551"/>
        <item x="552"/>
        <item x="554"/>
        <item x="555"/>
        <item x="557"/>
        <item x="558"/>
        <item x="559"/>
        <item x="560"/>
        <item x="561"/>
        <item x="562"/>
        <item x="563"/>
        <item x="564"/>
        <item x="566"/>
        <item x="567"/>
        <item x="568"/>
        <item x="569"/>
        <item x="570"/>
        <item x="571"/>
        <item x="573"/>
        <item x="575"/>
        <item x="576"/>
        <item x="578"/>
        <item x="579"/>
        <item x="580"/>
        <item x="581"/>
        <item x="584"/>
        <item x="585"/>
        <item x="587"/>
        <item x="588"/>
        <item x="1751"/>
        <item x="598"/>
        <item x="599"/>
        <item x="600"/>
        <item x="601"/>
        <item x="604"/>
        <item x="606"/>
        <item x="610"/>
        <item x="621"/>
        <item x="623"/>
        <item x="636"/>
        <item x="640"/>
        <item x="641"/>
        <item x="652"/>
        <item x="654"/>
        <item x="655"/>
        <item x="659"/>
        <item x="661"/>
        <item x="664"/>
        <item x="668"/>
        <item x="669"/>
        <item x="684"/>
        <item x="686"/>
        <item x="688"/>
        <item x="704"/>
        <item x="705"/>
        <item x="706"/>
        <item x="708"/>
        <item x="710"/>
        <item x="713"/>
        <item x="714"/>
        <item x="717"/>
        <item x="720"/>
        <item x="722"/>
        <item x="724"/>
        <item x="729"/>
        <item x="732"/>
        <item x="733"/>
        <item x="736"/>
        <item x="738"/>
        <item x="739"/>
        <item x="743"/>
        <item x="744"/>
        <item x="755"/>
        <item x="756"/>
        <item x="757"/>
        <item x="766"/>
        <item x="769"/>
        <item x="777"/>
        <item x="778"/>
        <item x="780"/>
        <item x="781"/>
        <item x="782"/>
        <item x="783"/>
        <item x="784"/>
        <item x="793"/>
        <item x="798"/>
        <item x="799"/>
        <item x="801"/>
        <item x="803"/>
        <item x="807"/>
        <item x="811"/>
        <item x="812"/>
        <item x="813"/>
        <item x="814"/>
        <item x="815"/>
        <item x="816"/>
        <item x="824"/>
        <item x="838"/>
        <item x="842"/>
        <item x="843"/>
        <item x="845"/>
        <item x="846"/>
        <item x="847"/>
        <item x="880"/>
        <item x="881"/>
        <item x="882"/>
        <item x="885"/>
        <item x="914"/>
        <item x="924"/>
        <item x="935"/>
        <item x="938"/>
        <item x="939"/>
        <item x="940"/>
        <item x="945"/>
        <item x="946"/>
        <item x="947"/>
        <item x="950"/>
        <item x="953"/>
        <item x="954"/>
        <item x="956"/>
        <item x="960"/>
        <item x="961"/>
        <item x="962"/>
        <item x="966"/>
        <item x="969"/>
        <item x="972"/>
        <item x="978"/>
        <item x="979"/>
        <item x="980"/>
        <item x="981"/>
        <item x="982"/>
        <item x="983"/>
        <item x="984"/>
        <item x="988"/>
        <item x="990"/>
        <item x="992"/>
        <item x="994"/>
        <item x="996"/>
        <item x="999"/>
        <item x="1000"/>
        <item x="1001"/>
        <item x="1002"/>
        <item x="1004"/>
        <item x="1005"/>
        <item x="1010"/>
        <item x="1011"/>
        <item x="1012"/>
        <item x="1013"/>
        <item x="1014"/>
        <item x="1015"/>
        <item x="1017"/>
        <item x="1024"/>
        <item x="1025"/>
        <item x="1030"/>
        <item x="1032"/>
        <item x="1035"/>
        <item x="1037"/>
        <item x="1038"/>
        <item x="1042"/>
        <item x="1044"/>
        <item x="1048"/>
        <item x="1049"/>
        <item x="1050"/>
        <item x="1051"/>
        <item x="1053"/>
        <item x="1057"/>
        <item x="1061"/>
        <item x="1065"/>
        <item x="1066"/>
        <item x="1068"/>
        <item x="1070"/>
        <item x="1072"/>
        <item x="1073"/>
        <item x="1075"/>
        <item x="1076"/>
        <item x="1077"/>
        <item x="1088"/>
        <item x="1090"/>
        <item x="1093"/>
        <item x="1207"/>
        <item x="1260"/>
        <item x="1261"/>
        <item x="1262"/>
        <item x="1263"/>
        <item x="1264"/>
        <item x="1265"/>
        <item x="1266"/>
        <item x="1267"/>
        <item x="1268"/>
        <item x="1269"/>
        <item x="1270"/>
        <item x="1271"/>
        <item x="1272"/>
        <item x="1273"/>
        <item x="1274"/>
        <item x="1275"/>
        <item x="1277"/>
        <item x="1278"/>
        <item x="1279"/>
        <item x="1280"/>
        <item x="1284"/>
        <item x="1286"/>
        <item x="1287"/>
        <item x="1288"/>
        <item x="1290"/>
        <item x="1291"/>
        <item x="1292"/>
        <item x="1293"/>
        <item x="1294"/>
        <item x="1295"/>
        <item x="1296"/>
        <item x="1297"/>
        <item x="1299"/>
        <item x="1300"/>
        <item x="1302"/>
        <item x="1303"/>
        <item x="1304"/>
        <item x="1305"/>
        <item x="1306"/>
        <item x="1307"/>
        <item x="1308"/>
        <item x="1309"/>
        <item x="1311"/>
        <item x="1312"/>
        <item x="1313"/>
        <item x="1314"/>
        <item x="1315"/>
        <item x="1316"/>
        <item x="1319"/>
        <item x="1320"/>
        <item x="1323"/>
        <item x="1324"/>
        <item x="1326"/>
        <item x="1328"/>
        <item x="1330"/>
        <item x="1331"/>
        <item x="1335"/>
        <item x="1337"/>
        <item x="1338"/>
        <item x="1341"/>
        <item x="1343"/>
        <item x="1344"/>
        <item x="1345"/>
        <item x="1346"/>
        <item x="1347"/>
        <item x="1348"/>
        <item x="1349"/>
        <item x="1350"/>
        <item x="1351"/>
        <item x="1352"/>
        <item x="1356"/>
        <item x="1359"/>
        <item x="1360"/>
        <item x="1361"/>
        <item x="1362"/>
        <item x="1363"/>
        <item x="1364"/>
        <item x="1365"/>
        <item x="1366"/>
        <item x="1368"/>
        <item x="1369"/>
        <item x="1370"/>
        <item x="1371"/>
        <item x="1372"/>
        <item x="1381"/>
        <item x="1382"/>
        <item x="1383"/>
        <item x="1387"/>
        <item x="1388"/>
        <item x="1392"/>
        <item x="1394"/>
        <item x="1395"/>
        <item x="1401"/>
        <item x="1402"/>
        <item x="1403"/>
        <item x="1404"/>
        <item x="1406"/>
        <item x="1409"/>
        <item x="1417"/>
        <item x="1418"/>
        <item x="1419"/>
        <item x="1421"/>
        <item x="1422"/>
        <item x="1423"/>
        <item x="1447"/>
        <item x="1448"/>
        <item x="1449"/>
        <item x="1457"/>
        <item x="1458"/>
        <item x="1461"/>
        <item x="1464"/>
        <item x="1465"/>
        <item x="1470"/>
        <item x="1471"/>
        <item x="1472"/>
        <item x="1473"/>
        <item x="1474"/>
        <item x="1475"/>
        <item x="1476"/>
        <item x="1477"/>
        <item x="1478"/>
        <item x="1479"/>
        <item x="1480"/>
        <item x="1481"/>
        <item x="1482"/>
        <item x="1491"/>
        <item x="1492"/>
        <item x="1493"/>
        <item x="1539"/>
        <item x="1540"/>
        <item x="1555"/>
        <item x="1559"/>
        <item x="1563"/>
        <item x="1566"/>
        <item x="1567"/>
        <item x="1568"/>
        <item x="1569"/>
        <item x="1570"/>
        <item x="1573"/>
        <item m="1" x="2129"/>
        <item m="1" x="2131"/>
        <item m="1" x="2132"/>
        <item m="1" x="2133"/>
        <item m="1" x="2134"/>
        <item m="1" x="2135"/>
        <item m="1" x="2136"/>
        <item m="1" x="2137"/>
        <item m="1" x="2138"/>
        <item x="217"/>
        <item x="221"/>
        <item x="233"/>
        <item x="246"/>
        <item x="250"/>
        <item x="263"/>
        <item x="531"/>
        <item x="532"/>
        <item x="533"/>
        <item x="534"/>
        <item x="536"/>
        <item x="538"/>
        <item x="775"/>
        <item x="776"/>
        <item x="1039"/>
        <item x="1156"/>
        <item x="1157"/>
        <item x="1158"/>
        <item x="1159"/>
        <item x="1162"/>
        <item x="1163"/>
        <item x="1165"/>
        <item x="1166"/>
        <item x="1167"/>
        <item x="1168"/>
        <item x="1171"/>
        <item x="1172"/>
        <item x="1173"/>
        <item x="1178"/>
        <item x="1181"/>
        <item x="1226"/>
        <item x="1227"/>
        <item x="1228"/>
        <item x="1229"/>
        <item x="1230"/>
        <item x="1231"/>
        <item x="1232"/>
        <item x="1233"/>
        <item x="1234"/>
        <item x="1235"/>
        <item x="1236"/>
        <item x="1237"/>
        <item x="1238"/>
        <item x="1239"/>
        <item x="1241"/>
        <item x="1244"/>
        <item x="1245"/>
        <item x="1246"/>
        <item x="1247"/>
        <item x="1254"/>
        <item x="1255"/>
        <item x="1276"/>
        <item x="1282"/>
        <item x="1301"/>
        <item x="1322"/>
        <item x="1390"/>
        <item x="1741"/>
        <item m="1" x="1973"/>
        <item m="1" x="1974"/>
        <item m="1" x="1954"/>
        <item m="1" x="1955"/>
        <item m="1" x="1956"/>
        <item m="1" x="1957"/>
        <item m="1" x="1958"/>
        <item m="1" x="1959"/>
        <item m="1" x="1960"/>
        <item m="1" x="1961"/>
        <item m="1" x="1962"/>
        <item m="1" x="1963"/>
        <item m="1" x="1944"/>
        <item m="1" x="1945"/>
        <item m="1" x="1946"/>
        <item m="1" x="1947"/>
        <item m="1" x="1948"/>
        <item m="1" x="1949"/>
        <item m="1" x="1950"/>
        <item m="1" x="1951"/>
        <item m="1" x="1952"/>
        <item m="1" x="1953"/>
        <item m="1" x="1925"/>
        <item m="1" x="1926"/>
        <item m="1" x="1927"/>
        <item m="1" x="1928"/>
        <item m="1" x="1929"/>
        <item m="1" x="1930"/>
        <item m="1" x="1931"/>
        <item m="1" x="1932"/>
        <item m="1" x="1933"/>
        <item m="1" x="1934"/>
        <item m="1" x="1896"/>
        <item m="1" x="1897"/>
        <item m="1" x="1898"/>
        <item m="1" x="1899"/>
        <item m="1" x="1900"/>
        <item m="1" x="1901"/>
        <item m="1" x="1902"/>
        <item m="1" x="1903"/>
        <item m="1" x="1904"/>
        <item m="1" x="1905"/>
        <item m="1" x="2195"/>
        <item m="1" x="2196"/>
        <item m="1" x="2197"/>
        <item m="1" x="2198"/>
        <item m="1" x="2199"/>
        <item m="1" x="2200"/>
        <item m="1" x="2201"/>
        <item m="1" x="2150"/>
        <item m="1" x="2151"/>
        <item m="1" x="2152"/>
        <item m="1" x="2153"/>
        <item m="1" x="2154"/>
        <item m="1" x="2155"/>
        <item m="1" x="2156"/>
        <item m="1" x="2157"/>
        <item m="1" x="2158"/>
        <item m="1" x="2120"/>
        <item m="1" x="2121"/>
        <item m="1" x="2122"/>
        <item m="1" x="2123"/>
        <item m="1" x="2124"/>
        <item m="1" x="2125"/>
        <item m="1" x="2126"/>
        <item m="1" x="2127"/>
        <item m="1" x="2128"/>
        <item m="1" x="2130"/>
        <item m="1" x="2080"/>
        <item m="1" x="2081"/>
        <item m="1" x="2082"/>
        <item m="1" x="2083"/>
        <item m="1" x="2084"/>
        <item m="1" x="2085"/>
        <item m="1" x="2086"/>
        <item m="1" x="2087"/>
        <item m="1" x="2088"/>
        <item m="1" x="2090"/>
        <item m="1" x="2040"/>
        <item m="1" x="2041"/>
        <item m="1" x="2042"/>
        <item m="1" x="2043"/>
        <item m="1" x="2044"/>
        <item m="1" x="2045"/>
        <item m="1" x="2046"/>
        <item m="1" x="2047"/>
        <item m="1" x="2048"/>
        <item m="1" x="2050"/>
        <item m="1" x="2004"/>
        <item m="1" x="2005"/>
        <item m="1" x="2006"/>
        <item m="1" x="2007"/>
        <item m="1" x="2008"/>
        <item m="1" x="2009"/>
        <item m="1" x="2010"/>
        <item m="1" x="2011"/>
        <item m="1" x="2012"/>
        <item m="1" x="2014"/>
        <item m="1" x="1985"/>
        <item m="1" x="1986"/>
        <item m="1" x="1987"/>
        <item m="1" x="1988"/>
        <item m="1" x="1989"/>
        <item m="1" x="1990"/>
        <item m="1" x="1991"/>
        <item m="1" x="1992"/>
        <item m="1" x="1993"/>
        <item m="1" x="1994"/>
        <item m="1" x="1975"/>
        <item m="1" x="1976"/>
        <item m="1" x="1977"/>
        <item m="1" x="1978"/>
        <item m="1" x="1979"/>
        <item m="1" x="1980"/>
        <item m="1" x="1981"/>
        <item m="1" x="1982"/>
        <item m="1" x="1983"/>
        <item m="1" x="1984"/>
        <item m="1" x="1964"/>
        <item m="1" x="1965"/>
        <item m="1" x="1966"/>
        <item m="1" x="1967"/>
        <item m="1" x="1968"/>
        <item m="1" x="1969"/>
        <item m="1" x="1970"/>
        <item x="539"/>
        <item x="540"/>
        <item x="541"/>
        <item x="1141"/>
        <item x="1160"/>
        <item x="1164"/>
        <item x="1211"/>
        <item x="1212"/>
        <item x="1213"/>
        <item x="1214"/>
        <item x="1215"/>
        <item x="1216"/>
        <item x="1217"/>
        <item x="1218"/>
        <item x="1219"/>
        <item x="1220"/>
        <item x="1221"/>
        <item x="165"/>
        <item x="166"/>
        <item x="170"/>
        <item x="172"/>
        <item x="189"/>
        <item x="286"/>
        <item x="291"/>
        <item x="292"/>
        <item x="299"/>
        <item x="300"/>
        <item x="303"/>
        <item x="616"/>
        <item x="617"/>
        <item x="618"/>
        <item x="624"/>
        <item x="625"/>
        <item x="626"/>
        <item x="627"/>
        <item x="628"/>
        <item x="629"/>
        <item x="630"/>
        <item x="631"/>
        <item x="632"/>
        <item x="633"/>
        <item x="634"/>
        <item x="639"/>
        <item x="645"/>
        <item x="646"/>
        <item x="647"/>
        <item x="648"/>
        <item x="649"/>
        <item x="650"/>
        <item x="651"/>
        <item x="657"/>
        <item x="658"/>
        <item x="689"/>
        <item x="696"/>
        <item x="745"/>
        <item x="747"/>
        <item x="762"/>
        <item x="788"/>
        <item x="789"/>
        <item x="790"/>
        <item x="791"/>
        <item x="794"/>
        <item x="817"/>
        <item x="819"/>
        <item x="822"/>
        <item x="823"/>
        <item x="825"/>
        <item x="830"/>
        <item x="837"/>
        <item x="850"/>
        <item x="851"/>
        <item x="852"/>
        <item x="853"/>
        <item x="854"/>
        <item x="855"/>
        <item x="857"/>
        <item x="858"/>
        <item x="859"/>
        <item x="860"/>
        <item x="861"/>
        <item x="862"/>
        <item x="864"/>
        <item x="865"/>
        <item x="866"/>
        <item x="867"/>
        <item x="868"/>
        <item x="869"/>
        <item x="871"/>
        <item x="872"/>
        <item x="874"/>
        <item x="875"/>
        <item x="876"/>
        <item x="877"/>
        <item x="878"/>
        <item x="879"/>
        <item x="883"/>
        <item x="884"/>
        <item x="925"/>
        <item x="927"/>
        <item x="928"/>
        <item x="931"/>
        <item x="932"/>
        <item x="936"/>
        <item x="937"/>
        <item x="942"/>
        <item x="943"/>
        <item x="944"/>
        <item x="955"/>
        <item x="1023"/>
        <item x="1026"/>
        <item x="1036"/>
        <item x="1063"/>
        <item x="1064"/>
        <item x="1087"/>
        <item x="1094"/>
        <item x="1095"/>
        <item x="1182"/>
        <item x="1183"/>
        <item x="1184"/>
        <item x="1185"/>
        <item x="1186"/>
        <item x="1187"/>
        <item x="1188"/>
        <item x="1189"/>
        <item x="1190"/>
        <item x="1191"/>
        <item x="1192"/>
        <item x="1193"/>
        <item x="1194"/>
        <item x="1195"/>
        <item x="1196"/>
        <item x="1197"/>
        <item x="1198"/>
        <item x="1199"/>
        <item x="1200"/>
        <item x="1201"/>
        <item x="1202"/>
        <item x="1203"/>
        <item m="1" x="1908"/>
        <item m="1" x="1910"/>
        <item m="1" x="1912"/>
        <item m="1" x="1914"/>
        <item m="1" x="1916"/>
        <item m="1" x="1918"/>
        <item m="1" x="1920"/>
        <item m="1" x="1922"/>
        <item m="1" x="1924"/>
        <item m="1" x="1877"/>
        <item m="1" x="1879"/>
        <item m="1" x="1881"/>
        <item m="1" x="1883"/>
        <item m="1" x="1885"/>
        <item m="1" x="1887"/>
        <item m="1" x="1889"/>
        <item m="1" x="1891"/>
        <item m="1" x="1893"/>
        <item m="1" x="1895"/>
        <item m="1" x="1861"/>
        <item m="1" x="1863"/>
        <item m="1" x="1865"/>
        <item m="1" x="1867"/>
        <item m="1" x="1869"/>
        <item m="1" x="1871"/>
        <item x="220"/>
        <item x="275"/>
        <item x="528"/>
        <item x="680"/>
        <item x="685"/>
        <item x="694"/>
        <item x="697"/>
        <item x="726"/>
        <item x="737"/>
        <item x="1079"/>
        <item x="1080"/>
        <item x="1081"/>
        <item x="1082"/>
        <item x="1091"/>
        <item x="1096"/>
        <item x="1169"/>
        <item x="1170"/>
        <item x="1174"/>
        <item m="1" x="2100"/>
        <item m="1" x="2101"/>
        <item m="1" x="2102"/>
        <item m="1" x="2103"/>
        <item m="1" x="2105"/>
        <item m="1" x="2107"/>
        <item m="1" x="2109"/>
        <item m="1" x="2111"/>
        <item m="1" x="2113"/>
        <item m="1" x="2060"/>
        <item m="1" x="2061"/>
        <item m="1" x="2062"/>
        <item m="1" x="2063"/>
        <item m="1" x="2064"/>
        <item m="1" x="2066"/>
        <item m="1" x="2068"/>
        <item m="1" x="2070"/>
        <item m="1" x="2072"/>
        <item m="1" x="2074"/>
        <item m="1" x="2020"/>
        <item m="1" x="2021"/>
        <item m="1" x="2022"/>
        <item m="1" x="2023"/>
        <item m="1" x="2024"/>
        <item m="1" x="2026"/>
        <item m="1" x="2028"/>
        <item m="1" x="2030"/>
        <item m="1" x="2032"/>
        <item m="1" x="2034"/>
        <item m="1" x="1782"/>
        <item m="1" x="1783"/>
        <item m="1" x="2139"/>
        <item x="1204"/>
        <item x="1208"/>
        <item m="1" x="2089"/>
        <item x="1434"/>
        <item m="1" x="1784"/>
        <item m="1" x="2224"/>
        <item x="1435"/>
        <item m="1" x="2091"/>
        <item x="526"/>
        <item x="665"/>
        <item x="679"/>
        <item x="709"/>
        <item x="806"/>
        <item m="1" x="1785"/>
        <item x="1085"/>
        <item m="1" x="2092"/>
        <item m="1" x="2093"/>
        <item x="1437"/>
        <item x="1373"/>
        <item x="1374"/>
        <item x="1375"/>
        <item x="1376"/>
        <item x="1377"/>
        <item x="1378"/>
        <item x="1380"/>
        <item x="1086"/>
        <item x="1092"/>
        <item x="1432"/>
        <item x="1433"/>
        <item x="200"/>
        <item x="208"/>
        <item x="210"/>
        <item m="1" x="2094"/>
        <item x="1438"/>
        <item x="1441"/>
        <item x="1443"/>
        <item x="1444"/>
        <item x="1445"/>
        <item x="1446"/>
        <item x="1451"/>
        <item m="1" x="2096"/>
        <item m="1" x="2095"/>
        <item m="1" x="2097"/>
        <item m="1" x="2098"/>
        <item m="1" x="2193"/>
        <item m="1" x="2099"/>
        <item m="1" x="1786"/>
        <item x="1439"/>
        <item x="1384"/>
        <item m="1" x="1787"/>
        <item m="1" x="1788"/>
        <item m="1" x="2202"/>
        <item x="1385"/>
        <item m="1" x="2203"/>
        <item x="1442"/>
        <item x="1541"/>
        <item m="1" x="2049"/>
        <item x="212"/>
        <item x="1386"/>
        <item m="1" x="2051"/>
        <item m="1" x="2052"/>
        <item m="1" x="2053"/>
        <item m="1" x="1971"/>
        <item m="1" x="2054"/>
        <item m="1" x="2055"/>
        <item m="1" x="2056"/>
        <item m="1" x="1972"/>
        <item m="1" x="2057"/>
        <item m="1" x="2058"/>
        <item x="1452"/>
        <item m="1" x="1789"/>
        <item m="1" x="2059"/>
        <item x="1389"/>
        <item m="1" x="2194"/>
        <item m="1" x="2013"/>
        <item m="1" x="2015"/>
        <item m="1" x="2016"/>
        <item m="1" x="2017"/>
        <item m="1" x="2018"/>
        <item m="1" x="2019"/>
        <item m="1" x="2204"/>
        <item x="1562"/>
        <item m="1" x="2179"/>
        <item m="1" x="2180"/>
        <item m="1" x="2181"/>
        <item x="1453"/>
        <item x="1454"/>
        <item x="1455"/>
        <item x="1456"/>
        <item x="1483"/>
        <item x="1484"/>
        <item x="1485"/>
        <item x="1486"/>
        <item x="1487"/>
        <item x="1488"/>
        <item x="1489"/>
        <item x="1222"/>
        <item m="1" x="2182"/>
        <item m="1" x="1999"/>
        <item m="1" x="2000"/>
        <item m="1" x="2001"/>
        <item m="1" x="2002"/>
        <item m="1" x="2003"/>
        <item x="164"/>
        <item x="177"/>
        <item x="192"/>
        <item x="204"/>
        <item x="218"/>
        <item x="223"/>
        <item x="224"/>
        <item x="242"/>
        <item x="268"/>
        <item x="269"/>
        <item x="270"/>
        <item x="271"/>
        <item x="272"/>
        <item x="305"/>
        <item x="313"/>
        <item x="326"/>
        <item x="383"/>
        <item x="440"/>
        <item x="514"/>
        <item x="515"/>
        <item x="516"/>
        <item x="519"/>
        <item x="520"/>
        <item x="521"/>
        <item x="522"/>
        <item x="523"/>
        <item x="524"/>
        <item x="525"/>
        <item x="527"/>
        <item x="547"/>
        <item x="548"/>
        <item x="553"/>
        <item x="556"/>
        <item x="572"/>
        <item x="574"/>
        <item x="577"/>
        <item x="582"/>
        <item x="586"/>
        <item x="609"/>
        <item x="611"/>
        <item x="612"/>
        <item x="613"/>
        <item x="614"/>
        <item x="691"/>
        <item x="695"/>
        <item x="698"/>
        <item x="715"/>
        <item x="725"/>
        <item x="731"/>
        <item x="735"/>
        <item x="748"/>
        <item x="749"/>
        <item x="764"/>
        <item x="765"/>
        <item x="772"/>
        <item x="774"/>
        <item x="795"/>
        <item x="796"/>
        <item x="797"/>
        <item x="804"/>
        <item x="805"/>
        <item x="808"/>
        <item x="809"/>
        <item x="810"/>
        <item x="818"/>
        <item x="826"/>
        <item x="827"/>
        <item x="828"/>
        <item x="831"/>
        <item x="832"/>
        <item x="840"/>
        <item x="848"/>
        <item x="849"/>
        <item x="929"/>
        <item x="930"/>
        <item x="934"/>
        <item x="965"/>
        <item x="967"/>
        <item x="971"/>
        <item x="974"/>
        <item x="976"/>
        <item x="977"/>
        <item x="985"/>
        <item x="986"/>
        <item x="987"/>
        <item x="991"/>
        <item x="993"/>
        <item x="995"/>
        <item x="1003"/>
        <item x="1006"/>
        <item x="1007"/>
        <item x="1008"/>
        <item x="1009"/>
        <item x="1016"/>
        <item x="1019"/>
        <item x="1020"/>
        <item x="1021"/>
        <item x="1022"/>
        <item x="1034"/>
        <item x="1040"/>
        <item x="1045"/>
        <item x="1046"/>
        <item x="1047"/>
        <item x="1052"/>
        <item x="1054"/>
        <item x="1069"/>
        <item x="1071"/>
        <item x="1074"/>
        <item x="1083"/>
        <item x="1089"/>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2"/>
        <item x="1143"/>
        <item x="1144"/>
        <item x="1145"/>
        <item x="1146"/>
        <item x="1147"/>
        <item x="1148"/>
        <item x="1149"/>
        <item x="1150"/>
        <item x="1151"/>
        <item x="1152"/>
        <item x="1153"/>
        <item x="1154"/>
        <item x="1155"/>
        <item x="1175"/>
        <item x="1176"/>
        <item x="1177"/>
        <item x="1179"/>
        <item x="1180"/>
        <item x="1205"/>
        <item x="1206"/>
        <item x="1209"/>
        <item x="1210"/>
        <item x="1223"/>
        <item x="1224"/>
        <item x="1225"/>
        <item x="1240"/>
        <item x="1243"/>
        <item x="1256"/>
        <item x="1257"/>
        <item x="1283"/>
        <item x="1289"/>
        <item x="1298"/>
        <item x="1310"/>
        <item x="1317"/>
        <item x="1318"/>
        <item x="1321"/>
        <item x="1327"/>
        <item x="1355"/>
        <item x="1379"/>
        <item x="1391"/>
        <item x="1393"/>
        <item x="1396"/>
        <item x="1397"/>
        <item x="1398"/>
        <item x="1399"/>
        <item x="1400"/>
        <item x="1405"/>
        <item x="1407"/>
        <item x="1408"/>
        <item x="1410"/>
        <item x="1411"/>
        <item x="1412"/>
        <item x="1413"/>
        <item x="1414"/>
        <item x="1415"/>
        <item x="1416"/>
        <item x="1420"/>
        <item x="1424"/>
        <item x="1425"/>
        <item x="1426"/>
        <item x="1427"/>
        <item x="1428"/>
        <item x="1429"/>
        <item x="1430"/>
        <item x="1450"/>
        <item x="1462"/>
        <item x="1463"/>
        <item x="1467"/>
        <item x="1490"/>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42"/>
        <item x="1543"/>
        <item x="1544"/>
        <item x="1545"/>
        <item x="1546"/>
        <item x="1547"/>
        <item x="1548"/>
        <item x="1549"/>
        <item x="1560"/>
        <item x="1564"/>
        <item x="1565"/>
        <item x="1742"/>
        <item x="1743"/>
        <item x="1744"/>
        <item x="1745"/>
        <item x="1746"/>
        <item x="1747"/>
        <item x="1748"/>
        <item x="1749"/>
        <item x="1750"/>
      </items>
    </pivotField>
    <pivotField compact="0" outline="0" showAll="0" defaultSubtotal="0"/>
    <pivotField axis="axisPage" compact="0" outline="0" showAll="0" defaultSubtotal="0">
      <items count="190">
        <item x="6"/>
        <item m="1" x="181"/>
        <item x="49"/>
        <item m="1" x="170"/>
        <item m="1" x="179"/>
        <item m="1" x="183"/>
        <item x="0"/>
        <item x="2"/>
        <item m="1" x="189"/>
        <item x="1"/>
        <item x="3"/>
        <item m="1" x="185"/>
        <item x="115"/>
        <item x="4"/>
        <item m="1" x="182"/>
        <item x="5"/>
        <item x="17"/>
        <item m="1" x="178"/>
        <item x="8"/>
        <item x="14"/>
        <item x="13"/>
        <item x="51"/>
        <item x="16"/>
        <item x="12"/>
        <item x="65"/>
        <item x="48"/>
        <item x="39"/>
        <item x="31"/>
        <item m="1" x="174"/>
        <item m="1" x="186"/>
        <item x="22"/>
        <item x="72"/>
        <item m="1" x="188"/>
        <item x="107"/>
        <item x="118"/>
        <item x="73"/>
        <item m="1" x="177"/>
        <item x="92"/>
        <item m="1" x="172"/>
        <item m="1" x="171"/>
        <item x="140"/>
        <item m="1" x="175"/>
        <item x="164"/>
        <item m="1" x="176"/>
        <item x="165"/>
        <item x="166"/>
        <item x="167"/>
        <item x="168"/>
        <item x="98"/>
        <item m="1" x="180"/>
        <item x="93"/>
        <item m="1" x="187"/>
        <item x="46"/>
        <item x="116"/>
        <item x="55"/>
        <item m="1" x="184"/>
        <item x="64"/>
        <item x="96"/>
        <item m="1" x="173"/>
        <item x="7"/>
        <item x="9"/>
        <item x="10"/>
        <item x="11"/>
        <item x="15"/>
        <item x="18"/>
        <item x="19"/>
        <item x="20"/>
        <item x="21"/>
        <item x="23"/>
        <item x="24"/>
        <item x="25"/>
        <item x="26"/>
        <item x="27"/>
        <item x="28"/>
        <item x="29"/>
        <item x="30"/>
        <item x="32"/>
        <item x="33"/>
        <item x="34"/>
        <item x="35"/>
        <item x="36"/>
        <item x="37"/>
        <item x="38"/>
        <item x="40"/>
        <item x="41"/>
        <item x="42"/>
        <item x="43"/>
        <item x="44"/>
        <item x="45"/>
        <item x="47"/>
        <item x="50"/>
        <item x="52"/>
        <item x="53"/>
        <item x="54"/>
        <item x="56"/>
        <item x="57"/>
        <item x="58"/>
        <item x="59"/>
        <item x="60"/>
        <item x="61"/>
        <item x="62"/>
        <item x="63"/>
        <item x="66"/>
        <item x="67"/>
        <item x="68"/>
        <item x="69"/>
        <item x="70"/>
        <item x="71"/>
        <item x="74"/>
        <item x="75"/>
        <item x="76"/>
        <item x="77"/>
        <item x="78"/>
        <item x="79"/>
        <item x="80"/>
        <item x="81"/>
        <item x="82"/>
        <item x="83"/>
        <item x="84"/>
        <item x="85"/>
        <item x="86"/>
        <item x="87"/>
        <item x="88"/>
        <item x="89"/>
        <item x="90"/>
        <item x="91"/>
        <item x="94"/>
        <item x="95"/>
        <item x="97"/>
        <item x="99"/>
        <item x="100"/>
        <item x="101"/>
        <item x="102"/>
        <item x="103"/>
        <item x="104"/>
        <item x="105"/>
        <item x="106"/>
        <item x="108"/>
        <item x="109"/>
        <item x="110"/>
        <item x="111"/>
        <item x="112"/>
        <item x="113"/>
        <item x="114"/>
        <item x="117"/>
        <item x="119"/>
        <item x="120"/>
        <item x="121"/>
        <item x="122"/>
        <item x="123"/>
        <item x="124"/>
        <item x="125"/>
        <item x="126"/>
        <item x="127"/>
        <item x="128"/>
        <item x="129"/>
        <item x="130"/>
        <item x="131"/>
        <item x="132"/>
        <item x="133"/>
        <item x="134"/>
        <item x="135"/>
        <item x="136"/>
        <item x="137"/>
        <item x="138"/>
        <item x="139"/>
        <item x="141"/>
        <item x="142"/>
        <item x="143"/>
        <item x="144"/>
        <item x="145"/>
        <item x="146"/>
        <item x="147"/>
        <item x="148"/>
        <item x="149"/>
        <item x="150"/>
        <item x="151"/>
        <item x="152"/>
        <item x="153"/>
        <item x="154"/>
        <item x="155"/>
        <item x="156"/>
        <item x="157"/>
        <item x="158"/>
        <item x="159"/>
        <item x="160"/>
        <item x="161"/>
        <item x="162"/>
        <item x="163"/>
        <item x="169"/>
      </items>
    </pivotField>
    <pivotField axis="axisRow" compact="0" outline="0" showAll="0" defaultSubtotal="0">
      <items count="46">
        <item m="1" x="36"/>
        <item m="1" x="29"/>
        <item m="1" x="1"/>
        <item m="1" x="24"/>
        <item m="1" x="44"/>
        <item m="1" x="12"/>
        <item m="1" x="38"/>
        <item m="1" x="2"/>
        <item m="1" x="17"/>
        <item m="1" x="25"/>
        <item m="1" x="41"/>
        <item m="1" x="20"/>
        <item m="1" x="7"/>
        <item m="1" x="23"/>
        <item m="1" x="8"/>
        <item m="1" x="27"/>
        <item m="1" x="10"/>
        <item m="1" x="16"/>
        <item m="1" x="3"/>
        <item m="1" x="39"/>
        <item m="1" x="42"/>
        <item m="1" x="21"/>
        <item m="1" x="28"/>
        <item m="1" x="43"/>
        <item x="0"/>
        <item m="1" x="5"/>
        <item m="1" x="32"/>
        <item m="1" x="45"/>
        <item m="1" x="4"/>
        <item m="1" x="33"/>
        <item m="1" x="9"/>
        <item m="1" x="14"/>
        <item m="1" x="31"/>
        <item m="1" x="30"/>
        <item m="1" x="11"/>
        <item m="1" x="34"/>
        <item m="1" x="15"/>
        <item m="1" x="35"/>
        <item m="1" x="18"/>
        <item m="1" x="37"/>
        <item m="1" x="40"/>
        <item m="1" x="19"/>
        <item m="1" x="22"/>
        <item m="1" x="13"/>
        <item m="1" x="6"/>
        <item m="1" x="26"/>
      </items>
    </pivotField>
    <pivotField axis="axisRow" compact="0" outline="0" showAll="0" defaultSubtotal="0">
      <items count="4919">
        <item m="1" x="4658"/>
        <item m="1" x="4175"/>
        <item m="1" x="3428"/>
        <item x="172"/>
        <item x="130"/>
        <item m="1" x="2739"/>
        <item m="1" x="3626"/>
        <item m="1" x="2429"/>
        <item m="1" x="2306"/>
        <item m="1" x="3869"/>
        <item m="1" x="3135"/>
        <item m="1" x="3879"/>
        <item x="183"/>
        <item x="180"/>
        <item m="1" x="2220"/>
        <item m="1" x="1985"/>
        <item m="1" x="2123"/>
        <item m="1" x="3419"/>
        <item m="1" x="4495"/>
        <item m="1" x="2954"/>
        <item x="175"/>
        <item m="1" x="2321"/>
        <item x="157"/>
        <item m="1" x="4275"/>
        <item m="1" x="4276"/>
        <item m="1" x="4279"/>
        <item m="1" x="4281"/>
        <item m="1" x="4286"/>
        <item m="1" x="4678"/>
        <item x="162"/>
        <item m="1" x="1947"/>
        <item x="159"/>
        <item m="1" x="4320"/>
        <item x="184"/>
        <item x="160"/>
        <item m="1" x="2522"/>
        <item x="178"/>
        <item x="179"/>
        <item m="1" x="2731"/>
        <item m="1" x="3863"/>
        <item x="135"/>
        <item m="1" x="2653"/>
        <item x="176"/>
        <item x="155"/>
        <item x="33"/>
        <item m="1" x="3077"/>
        <item m="1" x="2102"/>
        <item m="1" x="3601"/>
        <item m="1" x="4457"/>
        <item x="158"/>
        <item x="168"/>
        <item x="181"/>
        <item x="174"/>
        <item m="1" x="4530"/>
        <item x="164"/>
        <item m="1" x="1756"/>
        <item m="1" x="4203"/>
        <item x="187"/>
        <item m="1" x="2358"/>
        <item x="163"/>
        <item x="156"/>
        <item m="1" x="3701"/>
        <item x="173"/>
        <item m="1" x="3787"/>
        <item m="1" x="2956"/>
        <item m="1" x="3817"/>
        <item x="161"/>
        <item m="1" x="4423"/>
        <item m="1" x="3836"/>
        <item m="1" x="4909"/>
        <item x="221"/>
        <item m="1" x="4894"/>
        <item m="1" x="4860"/>
        <item m="1" x="2266"/>
        <item m="1" x="4255"/>
        <item m="1" x="3317"/>
        <item m="1" x="3483"/>
        <item x="215"/>
        <item m="1" x="1763"/>
        <item m="1" x="2006"/>
        <item m="1" x="4698"/>
        <item m="1" x="3678"/>
        <item m="1" x="2749"/>
        <item m="1" x="3828"/>
        <item m="1" x="3717"/>
        <item m="1" x="1765"/>
        <item m="1" x="4087"/>
        <item m="1" x="4449"/>
        <item m="1" x="4883"/>
        <item m="1" x="1885"/>
        <item m="1" x="4425"/>
        <item m="1" x="4174"/>
        <item m="1" x="2931"/>
        <item m="1" x="2602"/>
        <item m="1" x="2615"/>
        <item m="1" x="1862"/>
        <item m="1" x="2032"/>
        <item m="1" x="2062"/>
        <item m="1" x="4634"/>
        <item m="1" x="4665"/>
        <item m="1" x="4045"/>
        <item m="1" x="4076"/>
        <item m="1" x="2629"/>
        <item m="1" x="1956"/>
        <item m="1" x="2427"/>
        <item m="1" x="2752"/>
        <item m="1" x="3076"/>
        <item m="1" x="3517"/>
        <item m="1" x="2552"/>
        <item m="1" x="4432"/>
        <item m="1" x="3064"/>
        <item m="1" x="2458"/>
        <item x="1417"/>
        <item m="1" x="4637"/>
        <item m="1" x="4404"/>
        <item m="1" x="4527"/>
        <item m="1" x="3355"/>
        <item m="1" x="4890"/>
        <item m="1" x="3611"/>
        <item m="1" x="3551"/>
        <item m="1" x="3955"/>
        <item m="1" x="4918"/>
        <item m="1" x="3245"/>
        <item m="1" x="3508"/>
        <item m="1" x="2034"/>
        <item m="1" x="2365"/>
        <item m="1" x="3322"/>
        <item m="1" x="2679"/>
        <item x="921"/>
        <item m="1" x="3495"/>
        <item m="1" x="3158"/>
        <item m="1" x="1889"/>
        <item x="207"/>
        <item x="243"/>
        <item x="269"/>
        <item x="251"/>
        <item m="1" x="4194"/>
        <item x="225"/>
        <item x="204"/>
        <item m="1" x="4723"/>
        <item x="200"/>
        <item x="259"/>
        <item x="260"/>
        <item x="261"/>
        <item x="262"/>
        <item x="266"/>
        <item x="278"/>
        <item x="203"/>
        <item x="205"/>
        <item x="285"/>
        <item x="212"/>
        <item x="264"/>
        <item x="270"/>
        <item x="276"/>
        <item x="236"/>
        <item x="263"/>
        <item x="274"/>
        <item m="1" x="3108"/>
        <item m="1" x="4463"/>
        <item m="1" x="2112"/>
        <item m="1" x="4142"/>
        <item m="1" x="1951"/>
        <item m="1" x="4094"/>
        <item m="1" x="2908"/>
        <item m="1" x="1941"/>
        <item m="1" x="3491"/>
        <item m="1" x="1891"/>
        <item m="1" x="3421"/>
        <item m="1" x="1814"/>
        <item m="1" x="3348"/>
        <item m="1" x="1753"/>
        <item m="1" x="3274"/>
        <item m="1" x="3484"/>
        <item m="1" x="4870"/>
        <item m="1" x="2120"/>
        <item m="1" x="3496"/>
        <item m="1" x="1895"/>
        <item m="1" x="3431"/>
        <item m="1" x="3352"/>
        <item m="1" x="1758"/>
        <item m="1" x="3283"/>
        <item m="1" x="4877"/>
        <item m="1" x="3976"/>
        <item m="1" x="1881"/>
        <item m="1" x="4127"/>
        <item m="1" x="4136"/>
        <item m="1" x="1842"/>
        <item m="1" x="4122"/>
        <item m="1" x="1798"/>
        <item m="1" x="2342"/>
        <item m="1" x="1776"/>
        <item m="1" x="4015"/>
        <item m="1" x="3494"/>
        <item m="1" x="4322"/>
        <item m="1" x="3410"/>
        <item m="1" x="4910"/>
        <item m="1" x="1809"/>
        <item m="1" x="3338"/>
        <item m="1" x="1738"/>
        <item m="1" x="3264"/>
        <item m="1" x="4857"/>
        <item m="1" x="4292"/>
        <item m="1" x="4119"/>
        <item m="1" x="4120"/>
        <item m="1" x="4121"/>
        <item m="1" x="4146"/>
        <item m="1" x="4140"/>
        <item m="1" x="4144"/>
        <item m="1" x="4273"/>
        <item m="1" x="4467"/>
        <item m="1" x="4781"/>
        <item m="1" x="3291"/>
        <item m="1" x="4426"/>
        <item m="1" x="2190"/>
        <item m="1" x="4023"/>
        <item m="1" x="3373"/>
        <item m="1" x="3834"/>
        <item m="1" x="4908"/>
        <item m="1" x="4234"/>
        <item m="1" x="4842"/>
        <item m="1" x="4511"/>
        <item m="1" x="2386"/>
        <item m="1" x="4280"/>
        <item m="1" x="2815"/>
        <item m="1" x="4414"/>
        <item m="1" x="2209"/>
        <item m="1" x="2138"/>
        <item m="1" x="3228"/>
        <item m="1" x="2759"/>
        <item m="1" x="4118"/>
        <item m="1" x="2232"/>
        <item m="1" x="4507"/>
        <item m="1" x="3146"/>
        <item m="1" x="2972"/>
        <item m="1" x="2919"/>
        <item m="1" x="4167"/>
        <item m="1" x="3165"/>
        <item m="1" x="3164"/>
        <item m="1" x="3162"/>
        <item m="1" x="3249"/>
        <item m="1" x="4518"/>
        <item m="1" x="4501"/>
        <item m="1" x="3595"/>
        <item m="1" x="3800"/>
        <item m="1" x="3024"/>
        <item m="1" x="2091"/>
        <item m="1" x="3021"/>
        <item m="1" x="2097"/>
        <item m="1" x="4847"/>
        <item m="1" x="1890"/>
        <item m="1" x="4506"/>
        <item m="1" x="2720"/>
        <item m="1" x="1899"/>
        <item m="1" x="4519"/>
        <item m="1" x="4011"/>
        <item m="1" x="3374"/>
        <item m="1" x="2596"/>
        <item m="1" x="2589"/>
        <item m="1" x="4097"/>
        <item m="1" x="4166"/>
        <item m="1" x="3933"/>
        <item m="1" x="3619"/>
        <item m="1" x="3382"/>
        <item m="1" x="2403"/>
        <item m="1" x="2699"/>
        <item m="1" x="4252"/>
        <item m="1" x="3655"/>
        <item m="1" x="2714"/>
        <item x="77"/>
        <item m="1" x="3612"/>
        <item m="1" x="2069"/>
        <item m="1" x="2740"/>
        <item m="1" x="2969"/>
        <item m="1" x="1870"/>
        <item m="1" x="3699"/>
        <item m="1" x="3331"/>
        <item m="1" x="4233"/>
        <item m="1" x="4585"/>
        <item m="1" x="4341"/>
        <item m="1" x="3391"/>
        <item m="1" x="4855"/>
        <item m="1" x="3932"/>
        <item m="1" x="3807"/>
        <item m="1" x="2373"/>
        <item m="1" x="2582"/>
        <item m="1" x="1859"/>
        <item m="1" x="3198"/>
        <item m="1" x="1824"/>
        <item m="1" x="2226"/>
        <item m="1" x="4794"/>
        <item m="1" x="3503"/>
        <item m="1" x="2910"/>
        <item m="1" x="4599"/>
        <item m="1" x="2302"/>
        <item m="1" x="2439"/>
        <item m="1" x="2913"/>
        <item m="1" x="3141"/>
        <item m="1" x="2184"/>
        <item m="1" x="3739"/>
        <item m="1" x="3048"/>
        <item m="1" x="4343"/>
        <item m="1" x="2360"/>
        <item m="1" x="3345"/>
        <item m="1" x="2045"/>
        <item m="1" x="2274"/>
        <item m="1" x="2751"/>
        <item m="1" x="4460"/>
        <item m="1" x="3261"/>
        <item m="1" x="2181"/>
        <item m="1" x="2027"/>
        <item m="1" x="2645"/>
        <item m="1" x="3059"/>
        <item m="1" x="3275"/>
        <item m="1" x="3346"/>
        <item m="1" x="4222"/>
        <item m="1" x="3944"/>
        <item m="1" x="3671"/>
        <item m="1" x="4359"/>
        <item m="1" x="1846"/>
        <item m="1" x="4780"/>
        <item m="1" x="4355"/>
        <item m="1" x="4387"/>
        <item m="1" x="2621"/>
        <item m="1" x="4508"/>
        <item m="1" x="1876"/>
        <item m="1" x="3969"/>
        <item m="1" x="3565"/>
        <item m="1" x="4108"/>
        <item m="1" x="4044"/>
        <item m="1" x="3085"/>
        <item m="1" x="3922"/>
        <item m="1" x="2603"/>
        <item m="1" x="4310"/>
        <item m="1" x="4265"/>
        <item m="1" x="2525"/>
        <item m="1" x="2698"/>
        <item m="1" x="4452"/>
        <item m="1" x="2341"/>
        <item m="1" x="2323"/>
        <item m="1" x="2397"/>
        <item m="1" x="4616"/>
        <item m="1" x="3527"/>
        <item m="1" x="3519"/>
        <item m="1" x="3758"/>
        <item m="1" x="2041"/>
        <item m="1" x="1924"/>
        <item m="1" x="2003"/>
        <item m="1" x="4001"/>
        <item m="1" x="2938"/>
        <item m="1" x="1994"/>
        <item m="1" x="3252"/>
        <item m="1" x="4639"/>
        <item m="1" x="3479"/>
        <item m="1" x="3792"/>
        <item m="1" x="4706"/>
        <item m="1" x="2270"/>
        <item m="1" x="3156"/>
        <item m="1" x="3588"/>
        <item m="1" x="4782"/>
        <item m="1" x="2425"/>
        <item m="1" x="4700"/>
        <item m="1" x="1868"/>
        <item m="1" x="2438"/>
        <item x="213"/>
        <item m="1" x="3580"/>
        <item m="1" x="4338"/>
        <item m="1" x="2048"/>
        <item m="1" x="3159"/>
        <item m="1" x="3166"/>
        <item m="1" x="3181"/>
        <item m="1" x="3170"/>
        <item x="216"/>
        <item x="196"/>
        <item x="273"/>
        <item m="1" x="3285"/>
        <item x="235"/>
        <item m="1" x="1901"/>
        <item m="1" x="2408"/>
        <item m="1" x="2981"/>
        <item m="1" x="4850"/>
        <item m="1" x="4861"/>
        <item m="1" x="2594"/>
        <item m="1" x="2453"/>
        <item m="1" x="2428"/>
        <item m="1" x="2317"/>
        <item m="1" x="2296"/>
        <item m="1" x="2744"/>
        <item m="1" x="3821"/>
        <item m="1" x="2637"/>
        <item m="1" x="3351"/>
        <item m="1" x="3930"/>
        <item m="1" x="1732"/>
        <item m="1" x="2009"/>
        <item m="1" x="2684"/>
        <item m="1" x="4526"/>
        <item m="1" x="2446"/>
        <item m="1" x="4099"/>
        <item m="1" x="3790"/>
        <item m="1" x="3130"/>
        <item m="1" x="3679"/>
        <item m="1" x="3375"/>
        <item m="1" x="4654"/>
        <item m="1" x="3294"/>
        <item m="1" x="4349"/>
        <item m="1" x="2087"/>
        <item m="1" x="4165"/>
        <item m="1" x="3456"/>
        <item m="1" x="4500"/>
        <item m="1" x="1835"/>
        <item m="1" x="1812"/>
        <item m="1" x="4340"/>
        <item m="1" x="3236"/>
        <item m="1" x="2543"/>
        <item m="1" x="3390"/>
        <item m="1" x="3862"/>
        <item m="1" x="4210"/>
        <item m="1" x="4567"/>
        <item m="1" x="3099"/>
        <item m="1" x="4112"/>
        <item m="1" x="4181"/>
        <item m="1" x="2807"/>
        <item m="1" x="2801"/>
        <item m="1" x="1930"/>
        <item m="1" x="3097"/>
        <item m="1" x="3882"/>
        <item m="1" x="3763"/>
        <item m="1" x="3516"/>
        <item m="1" x="2791"/>
        <item m="1" x="4162"/>
        <item m="1" x="2728"/>
        <item m="1" x="4179"/>
        <item m="1" x="2745"/>
        <item m="1" x="4191"/>
        <item m="1" x="4073"/>
        <item m="1" x="2165"/>
        <item m="1" x="3072"/>
        <item m="1" x="3392"/>
        <item m="1" x="3838"/>
        <item m="1" x="2893"/>
        <item m="1" x="3890"/>
        <item m="1" x="2727"/>
        <item m="1" x="3123"/>
        <item m="1" x="2182"/>
        <item m="1" x="3347"/>
        <item m="1" x="3318"/>
        <item m="1" x="4284"/>
        <item m="1" x="2599"/>
        <item m="1" x="4187"/>
        <item m="1" x="1782"/>
        <item m="1" x="2680"/>
        <item m="1" x="2871"/>
        <item m="1" x="2216"/>
        <item m="1" x="4605"/>
        <item m="1" x="3438"/>
        <item m="1" x="2332"/>
        <item m="1" x="4590"/>
        <item m="1" x="3364"/>
        <item m="1" x="4689"/>
        <item m="1" x="2179"/>
        <item m="1" x="2166"/>
        <item m="1" x="2883"/>
        <item m="1" x="3011"/>
        <item m="1" x="2160"/>
        <item m="1" x="2526"/>
        <item m="1" x="1826"/>
        <item m="1" x="3925"/>
        <item m="1" x="1915"/>
        <item m="1" x="3133"/>
        <item m="1" x="2479"/>
        <item m="1" x="3845"/>
        <item m="1" x="4145"/>
        <item m="1" x="2374"/>
        <item m="1" x="1858"/>
        <item m="1" x="2514"/>
        <item m="1" x="4186"/>
        <item m="1" x="4743"/>
        <item m="1" x="4576"/>
        <item m="1" x="1724"/>
        <item m="1" x="4859"/>
        <item m="1" x="1933"/>
        <item m="1" x="2016"/>
        <item m="1" x="2104"/>
        <item m="1" x="1804"/>
        <item m="1" x="4888"/>
        <item m="1" x="2169"/>
        <item m="1" x="2682"/>
        <item m="1" x="3066"/>
        <item m="1" x="1920"/>
        <item m="1" x="3128"/>
        <item m="1" x="4871"/>
        <item m="1" x="1819"/>
        <item m="1" x="2809"/>
        <item m="1" x="4617"/>
        <item m="1" x="3463"/>
        <item m="1" x="3596"/>
        <item m="1" x="4109"/>
        <item m="1" x="3359"/>
        <item m="1" x="4619"/>
        <item m="1" x="3889"/>
        <item m="1" x="2026"/>
        <item m="1" x="4002"/>
        <item m="1" x="4337"/>
        <item m="1" x="4396"/>
        <item m="1" x="2423"/>
        <item m="1" x="2944"/>
        <item m="1" x="3615"/>
        <item m="1" x="2836"/>
        <item m="1" x="2648"/>
        <item m="1" x="3893"/>
        <item m="1" x="2237"/>
        <item m="1" x="4583"/>
        <item m="1" x="3858"/>
        <item m="1" x="2774"/>
        <item m="1" x="1865"/>
        <item m="1" x="3433"/>
        <item m="1" x="4465"/>
        <item m="1" x="4614"/>
        <item m="1" x="4765"/>
        <item m="1" x="4785"/>
        <item x="306"/>
        <item m="1" x="3934"/>
        <item m="1" x="2383"/>
        <item m="1" x="4758"/>
        <item m="1" x="4351"/>
        <item m="1" x="3757"/>
        <item m="1" x="3416"/>
        <item m="1" x="4790"/>
        <item m="1" x="4249"/>
        <item m="1" x="4352"/>
        <item m="1" x="2604"/>
        <item m="1" x="3762"/>
        <item m="1" x="2800"/>
        <item m="1" x="3627"/>
        <item m="1" x="4852"/>
        <item m="1" x="3970"/>
        <item m="1" x="4807"/>
        <item m="1" x="4318"/>
        <item m="1" x="4373"/>
        <item m="1" x="2246"/>
        <item x="329"/>
        <item x="330"/>
        <item m="1" x="3354"/>
        <item m="1" x="4363"/>
        <item x="334"/>
        <item m="1" x="2650"/>
        <item m="1" x="2719"/>
        <item m="1" x="4528"/>
        <item m="1" x="3324"/>
        <item m="1" x="3741"/>
        <item m="1" x="3353"/>
        <item m="1" x="2813"/>
        <item m="1" x="3597"/>
        <item m="1" x="4791"/>
        <item m="1" x="2639"/>
        <item m="1" x="3008"/>
        <item m="1" x="3943"/>
        <item x="694"/>
        <item m="1" x="2858"/>
        <item m="1" x="3226"/>
        <item m="1" x="2897"/>
        <item m="1" x="2553"/>
        <item m="1" x="3186"/>
        <item m="1" x="2363"/>
        <item m="1" x="4385"/>
        <item m="1" x="4154"/>
        <item m="1" x="3437"/>
        <item m="1" x="2204"/>
        <item m="1" x="3993"/>
        <item m="1" x="4278"/>
        <item x="377"/>
        <item m="1" x="1970"/>
        <item m="1" x="2352"/>
        <item m="1" x="3242"/>
        <item x="392"/>
        <item m="1" x="4762"/>
        <item m="1" x="2932"/>
        <item x="400"/>
        <item x="530"/>
        <item m="1" x="1959"/>
        <item m="1" x="4293"/>
        <item x="403"/>
        <item m="1" x="3995"/>
        <item m="1" x="1735"/>
        <item m="1" x="4574"/>
        <item m="1" x="3206"/>
        <item m="1" x="2280"/>
        <item x="413"/>
        <item m="1" x="3459"/>
        <item m="1" x="4746"/>
        <item m="1" x="2509"/>
        <item m="1" x="3874"/>
        <item m="1" x="3332"/>
        <item m="1" x="3716"/>
        <item m="1" x="2804"/>
        <item m="1" x="3766"/>
        <item x="441"/>
        <item m="1" x="1795"/>
        <item x="445"/>
        <item x="446"/>
        <item m="1" x="3848"/>
        <item x="447"/>
        <item m="1" x="3842"/>
        <item m="1" x="2755"/>
        <item m="1" x="2642"/>
        <item m="1" x="2205"/>
        <item m="1" x="2842"/>
        <item m="1" x="2359"/>
        <item x="456"/>
        <item m="1" x="4032"/>
        <item m="1" x="3735"/>
        <item m="1" x="4670"/>
        <item m="1" x="2659"/>
        <item m="1" x="2272"/>
        <item m="1" x="2610"/>
        <item m="1" x="3372"/>
        <item m="1" x="3388"/>
        <item x="466"/>
        <item m="1" x="3772"/>
        <item m="1" x="3210"/>
        <item m="1" x="1843"/>
        <item m="1" x="4335"/>
        <item m="1" x="2896"/>
        <item m="1" x="1785"/>
        <item m="1" x="3521"/>
        <item m="1" x="4361"/>
        <item m="1" x="3304"/>
        <item m="1" x="1802"/>
        <item m="1" x="1903"/>
        <item m="1" x="3197"/>
        <item m="1" x="3089"/>
        <item m="1" x="3812"/>
        <item m="1" x="2942"/>
        <item m="1" x="2879"/>
        <item m="1" x="2761"/>
        <item m="1" x="4660"/>
        <item m="1" x="3738"/>
        <item m="1" x="3119"/>
        <item m="1" x="2918"/>
        <item m="1" x="3414"/>
        <item m="1" x="4149"/>
        <item m="1" x="2381"/>
        <item m="1" x="3868"/>
        <item m="1" x="4366"/>
        <item m="1" x="4172"/>
        <item m="1" x="4703"/>
        <item m="1" x="3451"/>
        <item m="1" x="4204"/>
        <item m="1" x="4798"/>
        <item m="1" x="3030"/>
        <item m="1" x="3034"/>
        <item m="1" x="4036"/>
        <item m="1" x="3289"/>
        <item m="1" x="1916"/>
        <item m="1" x="2418"/>
        <item m="1" x="2683"/>
        <item m="1" x="1908"/>
        <item m="1" x="3031"/>
        <item m="1" x="1880"/>
        <item m="1" x="4630"/>
        <item m="1" x="2310"/>
        <item m="1" x="2441"/>
        <item m="1" x="2496"/>
        <item m="1" x="4488"/>
        <item m="1" x="4801"/>
        <item m="1" x="3645"/>
        <item m="1" x="2673"/>
        <item m="1" x="4010"/>
        <item m="1" x="4358"/>
        <item m="1" x="3996"/>
        <item m="1" x="4070"/>
        <item m="1" x="4021"/>
        <item m="1" x="2273"/>
        <item m="1" x="2880"/>
        <item m="1" x="3576"/>
        <item m="1" x="3663"/>
        <item m="1" x="4247"/>
        <item m="1" x="4577"/>
        <item m="1" x="2607"/>
        <item m="1" x="2765"/>
        <item m="1" x="2821"/>
        <item m="1" x="3635"/>
        <item m="1" x="1864"/>
        <item m="1" x="2213"/>
        <item m="1" x="3474"/>
        <item m="1" x="2085"/>
        <item m="1" x="2243"/>
        <item m="1" x="2090"/>
        <item m="1" x="4532"/>
        <item m="1" x="3682"/>
        <item m="1" x="3778"/>
        <item m="1" x="3027"/>
        <item m="1" x="4151"/>
        <item m="1" x="3902"/>
        <item m="1" x="3481"/>
        <item m="1" x="3444"/>
        <item m="1" x="2068"/>
        <item m="1" x="1742"/>
        <item m="1" x="2066"/>
        <item m="1" x="3115"/>
        <item m="1" x="3765"/>
        <item m="1" x="4096"/>
        <item m="1" x="2577"/>
        <item m="1" x="3774"/>
        <item m="1" x="4436"/>
        <item m="1" x="2071"/>
        <item m="1" x="3598"/>
        <item m="1" x="3401"/>
        <item m="1" x="3179"/>
        <item m="1" x="3248"/>
        <item m="1" x="3095"/>
        <item m="1" x="4587"/>
        <item m="1" x="2996"/>
        <item m="1" x="3052"/>
        <item m="1" x="2443"/>
        <item m="1" x="4209"/>
        <item m="1" x="3042"/>
        <item m="1" x="3680"/>
        <item m="1" x="3732"/>
        <item m="1" x="2024"/>
        <item m="1" x="4013"/>
        <item m="1" x="3460"/>
        <item m="1" x="3973"/>
        <item m="1" x="1719"/>
        <item m="1" x="1739"/>
        <item m="1" x="1748"/>
        <item m="1" x="1769"/>
        <item m="1" x="4451"/>
        <item m="1" x="4856"/>
        <item m="1" x="2486"/>
        <item m="1" x="4170"/>
        <item m="1" x="1737"/>
        <item m="1" x="2444"/>
        <item m="1" x="4206"/>
        <item m="1" x="3961"/>
        <item m="1" x="3994"/>
        <item m="1" x="4418"/>
        <item m="1" x="2994"/>
        <item m="1" x="2840"/>
        <item m="1" x="1857"/>
        <item m="1" x="4042"/>
        <item m="1" x="4459"/>
        <item m="1" x="4525"/>
        <item m="1" x="2385"/>
        <item m="1" x="4776"/>
        <item m="1" x="1897"/>
        <item m="1" x="2554"/>
        <item m="1" x="3971"/>
        <item m="1" x="2524"/>
        <item m="1" x="3810"/>
        <item m="1" x="3815"/>
        <item m="1" x="4029"/>
        <item m="1" x="3769"/>
        <item m="1" x="3110"/>
        <item m="1" x="2726"/>
        <item m="1" x="3365"/>
        <item m="1" x="4610"/>
        <item m="1" x="2201"/>
        <item m="1" x="4788"/>
        <item m="1" x="3860"/>
        <item m="1" x="3379"/>
        <item m="1" x="4600"/>
        <item m="1" x="2711"/>
        <item m="1" x="1749"/>
        <item m="1" x="1926"/>
        <item m="1" x="3617"/>
        <item m="1" x="2175"/>
        <item m="1" x="2214"/>
        <item m="1" x="4441"/>
        <item m="1" x="3929"/>
        <item m="1" x="2773"/>
        <item m="1" x="2750"/>
        <item m="1" x="3942"/>
        <item m="1" x="2934"/>
        <item m="1" x="3931"/>
        <item m="1" x="3124"/>
        <item m="1" x="3513"/>
        <item m="1" x="3940"/>
        <item m="1" x="3805"/>
        <item m="1" x="2447"/>
        <item m="1" x="3681"/>
        <item m="1" x="2850"/>
        <item m="1" x="3614"/>
        <item m="1" x="3905"/>
        <item m="1" x="2911"/>
        <item m="1" x="4220"/>
        <item m="1" x="3529"/>
        <item m="1" x="3760"/>
        <item m="1" x="3424"/>
        <item m="1" x="3397"/>
        <item m="1" x="4811"/>
        <item m="1" x="4016"/>
        <item m="1" x="4561"/>
        <item m="1" x="2789"/>
        <item m="1" x="1733"/>
        <item m="1" x="3080"/>
        <item x="498"/>
        <item m="1" x="4655"/>
        <item m="1" x="2236"/>
        <item m="1" x="1736"/>
        <item m="1" x="3962"/>
        <item m="1" x="4757"/>
        <item m="1" x="4645"/>
        <item x="482"/>
        <item m="1" x="3531"/>
        <item x="484"/>
        <item m="1" x="2370"/>
        <item x="488"/>
        <item x="490"/>
        <item x="492"/>
        <item m="1" x="1786"/>
        <item m="1" x="2627"/>
        <item m="1" x="2037"/>
        <item x="505"/>
        <item x="506"/>
        <item x="507"/>
        <item m="1" x="2664"/>
        <item m="1" x="3692"/>
        <item m="1" x="2421"/>
        <item m="1" x="4773"/>
        <item m="1" x="3188"/>
        <item m="1" x="4124"/>
        <item m="1" x="3965"/>
        <item m="1" x="1796"/>
        <item x="514"/>
        <item m="1" x="4131"/>
        <item m="1" x="4738"/>
        <item m="1" x="2951"/>
        <item m="1" x="3941"/>
        <item m="1" x="3608"/>
        <item m="1" x="3819"/>
        <item m="1" x="4535"/>
        <item m="1" x="3840"/>
        <item m="1" x="2025"/>
        <item m="1" x="4046"/>
        <item x="521"/>
        <item x="522"/>
        <item m="1" x="3032"/>
        <item x="523"/>
        <item m="1" x="2999"/>
        <item x="525"/>
        <item m="1" x="2400"/>
        <item m="1" x="2401"/>
        <item m="1" x="2768"/>
        <item m="1" x="2556"/>
        <item m="1" x="3589"/>
        <item m="1" x="2778"/>
        <item m="1" x="2655"/>
        <item m="1" x="4594"/>
        <item m="1" x="2503"/>
        <item x="527"/>
        <item x="528"/>
        <item x="529"/>
        <item m="1" x="4862"/>
        <item m="1" x="3023"/>
        <item m="1" x="2782"/>
        <item m="1" x="4579"/>
        <item m="1" x="2143"/>
        <item m="1" x="2013"/>
        <item m="1" x="2471"/>
        <item m="1" x="3221"/>
        <item x="476"/>
        <item m="1" x="1893"/>
        <item m="1" x="3407"/>
        <item m="1" x="2010"/>
        <item m="1" x="2106"/>
        <item m="1" x="2676"/>
        <item m="1" x="2407"/>
        <item m="1" x="1907"/>
        <item m="1" x="3177"/>
        <item m="1" x="4033"/>
        <item m="1" x="2632"/>
        <item m="1" x="3056"/>
        <item x="493"/>
        <item m="1" x="2464"/>
        <item x="496"/>
        <item m="1" x="3887"/>
        <item m="1" x="2189"/>
        <item m="1" x="2625"/>
        <item m="1" x="3112"/>
        <item m="1" x="3697"/>
        <item m="1" x="2299"/>
        <item m="1" x="2806"/>
        <item m="1" x="4434"/>
        <item m="1" x="4770"/>
        <item m="1" x="1771"/>
        <item m="1" x="4323"/>
        <item m="1" x="2334"/>
        <item m="1" x="3473"/>
        <item m="1" x="3644"/>
        <item m="1" x="4813"/>
        <item m="1" x="4259"/>
        <item m="1" x="4331"/>
        <item m="1" x="3171"/>
        <item m="1" x="3647"/>
        <item m="1" x="3344"/>
        <item m="1" x="2598"/>
        <item m="1" x="4135"/>
        <item m="1" x="2620"/>
        <item m="1" x="2510"/>
        <item m="1" x="4558"/>
        <item m="1" x="2225"/>
        <item m="1" x="4809"/>
        <item m="1" x="4667"/>
        <item m="1" x="1866"/>
        <item m="1" x="3734"/>
        <item m="1" x="2469"/>
        <item m="1" x="4872"/>
        <item m="1" x="3118"/>
        <item m="1" x="4052"/>
        <item m="1" x="2424"/>
        <item m="1" x="2178"/>
        <item m="1" x="2192"/>
        <item m="1" x="1931"/>
        <item m="1" x="4726"/>
        <item m="1" x="4101"/>
        <item m="1" x="2733"/>
        <item m="1" x="3670"/>
        <item m="1" x="3875"/>
        <item m="1" x="4747"/>
        <item m="1" x="3160"/>
        <item m="1" x="3465"/>
        <item m="1" x="4244"/>
        <item m="1" x="3088"/>
        <item m="1" x="4542"/>
        <item m="1" x="4406"/>
        <item m="1" x="2701"/>
        <item m="1" x="4367"/>
        <item m="1" x="2647"/>
        <item x="531"/>
        <item m="1" x="3998"/>
        <item m="1" x="1928"/>
        <item x="533"/>
        <item m="1" x="4836"/>
        <item m="1" x="4311"/>
        <item m="1" x="4386"/>
        <item x="535"/>
        <item m="1" x="4164"/>
        <item m="1" x="4405"/>
        <item m="1" x="4431"/>
        <item m="1" x="2163"/>
        <item m="1" x="4266"/>
        <item m="1" x="4169"/>
        <item m="1" x="4413"/>
        <item x="543"/>
        <item x="574"/>
        <item m="1" x="2307"/>
        <item m="1" x="3975"/>
        <item m="1" x="4156"/>
        <item x="548"/>
        <item m="1" x="3363"/>
        <item m="1" x="1851"/>
        <item m="1" x="2949"/>
        <item m="1" x="2651"/>
        <item m="1" x="3710"/>
        <item m="1" x="1729"/>
        <item m="1" x="3151"/>
        <item m="1" x="3488"/>
        <item m="1" x="2350"/>
        <item m="1" x="2316"/>
        <item m="1" x="3837"/>
        <item m="1" x="2982"/>
        <item m="1" x="4450"/>
        <item m="1" x="3445"/>
        <item x="554"/>
        <item m="1" x="4196"/>
        <item m="1" x="3628"/>
        <item m="1" x="1781"/>
        <item m="1" x="4195"/>
        <item x="560"/>
        <item m="1" x="4646"/>
        <item m="1" x="1800"/>
        <item m="1" x="3822"/>
        <item m="1" x="2248"/>
        <item m="1" x="2937"/>
        <item m="1" x="3651"/>
        <item m="1" x="4606"/>
        <item m="1" x="3383"/>
        <item m="1" x="3147"/>
        <item x="568"/>
        <item x="570"/>
        <item x="571"/>
        <item m="1" x="2487"/>
        <item m="1" x="4867"/>
        <item m="1" x="4398"/>
        <item m="1" x="4429"/>
        <item m="1" x="2677"/>
        <item m="1" x="2396"/>
        <item m="1" x="3802"/>
        <item m="1" x="3881"/>
        <item m="1" x="2823"/>
        <item m="1" x="4435"/>
        <item m="1" x="4393"/>
        <item m="1" x="2251"/>
        <item x="588"/>
        <item m="1" x="2546"/>
        <item m="1" x="1878"/>
        <item m="1" x="2146"/>
        <item m="1" x="1820"/>
        <item m="1" x="4262"/>
        <item m="1" x="2737"/>
        <item m="1" x="2000"/>
        <item m="1" x="3689"/>
        <item m="1" x="3624"/>
        <item m="1" x="2147"/>
        <item x="598"/>
        <item m="1" x="3174"/>
        <item m="1" x="4370"/>
        <item x="600"/>
        <item m="1" x="2580"/>
        <item x="602"/>
        <item m="1" x="2339"/>
        <item m="1" x="4395"/>
        <item m="1" x="3743"/>
        <item m="1" x="1784"/>
        <item m="1" x="2229"/>
        <item m="1" x="1982"/>
        <item x="1013"/>
        <item m="1" x="4759"/>
        <item m="1" x="4749"/>
        <item m="1" x="3258"/>
        <item m="1" x="2335"/>
        <item m="1" x="3144"/>
        <item m="1" x="3839"/>
        <item m="1" x="2081"/>
        <item m="1" x="3371"/>
        <item m="1" x="3744"/>
        <item x="611"/>
        <item m="1" x="1936"/>
        <item m="1" x="2626"/>
        <item m="1" x="2819"/>
        <item m="1" x="3033"/>
        <item m="1" x="3378"/>
        <item m="1" x="3724"/>
        <item m="1" x="2196"/>
        <item m="1" x="4677"/>
        <item m="1" x="1988"/>
        <item m="1" x="3457"/>
        <item m="1" x="2538"/>
        <item m="1" x="4394"/>
        <item m="1" x="2770"/>
        <item m="1" x="4422"/>
        <item m="1" x="4578"/>
        <item m="1" x="2187"/>
        <item m="1" x="3577"/>
        <item m="1" x="4408"/>
        <item m="1" x="4901"/>
        <item m="1" x="2826"/>
        <item m="1" x="2889"/>
        <item m="1" x="2878"/>
        <item m="1" x="2281"/>
        <item m="1" x="2980"/>
        <item m="1" x="3377"/>
        <item m="1" x="1772"/>
        <item m="1" x="4227"/>
        <item m="1" x="2725"/>
        <item m="1" x="2983"/>
        <item m="1" x="3896"/>
        <item m="1" x="4681"/>
        <item m="1" x="4336"/>
        <item m="1" x="3988"/>
        <item m="1" x="4229"/>
        <item m="1" x="2532"/>
        <item m="1" x="4725"/>
        <item m="1" x="2049"/>
        <item m="1" x="4041"/>
        <item m="1" x="3113"/>
        <item m="1" x="3878"/>
        <item m="1" x="2152"/>
        <item m="1" x="3672"/>
        <item m="1" x="2080"/>
        <item m="1" x="4713"/>
        <item m="1" x="2153"/>
        <item m="1" x="2712"/>
        <item m="1" x="2084"/>
        <item m="1" x="2279"/>
        <item m="1" x="2563"/>
        <item m="1" x="2007"/>
        <item m="1" x="2305"/>
        <item m="1" x="1998"/>
        <item m="1" x="1921"/>
        <item m="1" x="4251"/>
        <item m="1" x="4475"/>
        <item m="1" x="4719"/>
        <item m="1" x="4720"/>
        <item m="1" x="2793"/>
        <item m="1" x="4826"/>
        <item m="1" x="4858"/>
        <item m="1" x="4804"/>
        <item m="1" x="2936"/>
        <item m="1" x="3557"/>
        <item m="1" x="3585"/>
        <item m="1" x="2695"/>
        <item m="1" x="2857"/>
        <item m="1" x="3727"/>
        <item m="1" x="2167"/>
        <item m="1" x="4059"/>
        <item m="1" x="2917"/>
        <item m="1" x="3852"/>
        <item m="1" x="4745"/>
        <item m="1" x="4618"/>
        <item m="1" x="4915"/>
        <item m="1" x="2042"/>
        <item m="1" x="2331"/>
        <item m="1" x="3543"/>
        <item m="1" x="3522"/>
        <item m="1" x="2555"/>
        <item m="1" x="2228"/>
        <item m="1" x="4374"/>
        <item m="1" x="3579"/>
        <item m="1" x="3220"/>
        <item m="1" x="4477"/>
        <item m="1" x="4301"/>
        <item m="1" x="1777"/>
        <item m="1" x="2203"/>
        <item m="1" x="3767"/>
        <item m="1" x="3470"/>
        <item m="1" x="2051"/>
        <item m="1" x="2810"/>
        <item m="1" x="2667"/>
        <item m="1" x="2846"/>
        <item m="1" x="2107"/>
        <item m="1" x="3859"/>
        <item m="1" x="2170"/>
        <item m="1" x="4371"/>
        <item m="1" x="3747"/>
        <item m="1" x="2159"/>
        <item m="1" x="2965"/>
        <item m="1" x="3534"/>
        <item m="1" x="4514"/>
        <item m="1" x="3795"/>
        <item m="1" x="2885"/>
        <item m="1" x="2870"/>
        <item m="1" x="1906"/>
        <item m="1" x="4189"/>
        <item m="1" x="1967"/>
        <item m="1" x="3909"/>
        <item m="1" x="3703"/>
        <item m="1" x="4911"/>
        <item m="1" x="2098"/>
        <item m="1" x="4049"/>
        <item m="1" x="3666"/>
        <item m="1" x="4148"/>
        <item m="1" x="2818"/>
        <item m="1" x="4812"/>
        <item m="1" x="2264"/>
        <item m="1" x="3078"/>
        <item m="1" x="2947"/>
        <item m="1" x="2925"/>
        <item m="1" x="3310"/>
        <item m="1" x="3462"/>
        <item m="1" x="4673"/>
        <item m="1" x="4729"/>
        <item m="1" x="2053"/>
        <item m="1" x="3461"/>
        <item m="1" x="3299"/>
        <item m="1" x="3122"/>
        <item m="1" x="4683"/>
        <item m="1" x="2060"/>
        <item m="1" x="2377"/>
        <item m="1" x="2732"/>
        <item m="1" x="4294"/>
        <item m="1" x="4034"/>
        <item m="1" x="2376"/>
        <item m="1" x="4636"/>
        <item m="1" x="3058"/>
        <item m="1" x="2560"/>
        <item m="1" x="3185"/>
        <item m="1" x="4110"/>
        <item m="1" x="3816"/>
        <item m="1" x="3992"/>
        <item m="1" x="4328"/>
        <item m="1" x="4613"/>
        <item m="1" x="3233"/>
        <item m="1" x="3425"/>
        <item x="627"/>
        <item m="1" x="2861"/>
        <item m="1" x="3329"/>
        <item x="630"/>
        <item m="1" x="2345"/>
        <item x="636"/>
        <item m="1" x="3768"/>
        <item m="1" x="4316"/>
        <item m="1" x="3255"/>
        <item m="1" x="2351"/>
        <item m="1" x="4676"/>
        <item m="1" x="3880"/>
        <item x="642"/>
        <item x="643"/>
        <item m="1" x="4028"/>
        <item m="1" x="2633"/>
        <item m="1" x="4531"/>
        <item m="1" x="4480"/>
        <item x="659"/>
        <item m="1" x="1879"/>
        <item x="661"/>
        <item x="662"/>
        <item x="663"/>
        <item x="664"/>
        <item m="1" x="2691"/>
        <item m="1" x="4537"/>
        <item m="1" x="3152"/>
        <item m="1" x="2617"/>
        <item m="1" x="2579"/>
        <item x="670"/>
        <item m="1" x="1730"/>
        <item m="1" x="2422"/>
        <item m="1" x="2508"/>
        <item m="1" x="4652"/>
        <item m="1" x="2862"/>
        <item m="1" x="3219"/>
        <item x="679"/>
        <item m="1" x="3090"/>
        <item m="1" x="2570"/>
        <item m="1" x="2018"/>
        <item x="683"/>
        <item m="1" x="3723"/>
        <item m="1" x="4133"/>
        <item m="1" x="2284"/>
        <item x="688"/>
        <item m="1" x="4430"/>
        <item m="1" x="2591"/>
        <item x="691"/>
        <item m="1" x="4268"/>
        <item m="1" x="2597"/>
        <item x="695"/>
        <item m="1" x="2839"/>
        <item m="1" x="2267"/>
        <item m="1" x="3908"/>
        <item m="1" x="4581"/>
        <item x="702"/>
        <item x="703"/>
        <item m="1" x="3441"/>
        <item m="1" x="3818"/>
        <item m="1" x="3899"/>
        <item m="1" x="2501"/>
        <item m="1" x="2958"/>
        <item m="1" x="3912"/>
        <item m="1" x="4235"/>
        <item m="1" x="4643"/>
        <item x="712"/>
        <item m="1" x="2644"/>
        <item x="714"/>
        <item x="715"/>
        <item m="1" x="3250"/>
        <item m="1" x="3849"/>
        <item m="1" x="4489"/>
        <item m="1" x="2050"/>
        <item m="1" x="3101"/>
        <item m="1" x="2470"/>
        <item m="1" x="4779"/>
        <item m="1" x="2412"/>
        <item m="1" x="3361"/>
        <item m="1" x="4494"/>
        <item m="1" x="2436"/>
        <item m="1" x="1948"/>
        <item m="1" x="2939"/>
        <item m="1" x="3358"/>
        <item m="1" x="2854"/>
        <item m="1" x="4895"/>
        <item m="1" x="3759"/>
        <item m="1" x="4264"/>
        <item m="1" x="4903"/>
        <item m="1" x="4388"/>
        <item m="1" x="2851"/>
        <item m="1" x="2256"/>
        <item m="1" x="2278"/>
        <item m="1" x="2420"/>
        <item m="1" x="4182"/>
        <item m="1" x="4468"/>
        <item m="1" x="4854"/>
        <item m="1" x="1877"/>
        <item m="1" x="2118"/>
        <item m="1" x="4904"/>
        <item m="1" x="3325"/>
        <item m="1" x="4403"/>
        <item m="1" x="3271"/>
        <item m="1" x="4260"/>
        <item m="1" x="3041"/>
        <item m="1" x="3584"/>
        <item m="1" x="4448"/>
        <item m="1" x="4479"/>
        <item m="1" x="3184"/>
        <item m="1" x="2368"/>
        <item m="1" x="4128"/>
        <item m="1" x="2894"/>
        <item m="1" x="3176"/>
        <item m="1" x="4368"/>
        <item m="1" x="2056"/>
        <item m="1" x="4305"/>
        <item m="1" x="2688"/>
        <item m="1" x="4325"/>
        <item m="1" x="2309"/>
        <item m="1" x="1750"/>
        <item m="1" x="4315"/>
        <item m="1" x="4671"/>
        <item m="1" x="3566"/>
        <item m="1" x="3265"/>
        <item m="1" x="3300"/>
        <item m="1" x="2134"/>
        <item m="1" x="1904"/>
        <item m="1" x="1791"/>
        <item m="1" x="3602"/>
        <item m="1" x="4802"/>
        <item m="1" x="4702"/>
        <item m="1" x="3094"/>
        <item m="1" x="2613"/>
        <item m="1" x="2571"/>
        <item m="1" x="2094"/>
        <item m="1" x="4913"/>
        <item m="1" x="4694"/>
        <item m="1" x="2558"/>
        <item m="1" x="3091"/>
        <item m="1" x="3028"/>
        <item m="1" x="3901"/>
        <item m="1" x="2665"/>
        <item m="1" x="3029"/>
        <item m="1" x="2004"/>
        <item m="1" x="1942"/>
        <item m="1" x="4889"/>
        <item m="1" x="3203"/>
        <item m="1" x="4692"/>
        <item m="1" x="3559"/>
        <item m="1" x="4609"/>
        <item m="1" x="3518"/>
        <item m="1" x="3709"/>
        <item m="1" x="1818"/>
        <item m="1" x="2547"/>
        <item m="1" x="2478"/>
        <item m="1" x="3820"/>
        <item m="1" x="3107"/>
        <item m="1" x="2899"/>
        <item m="1" x="3621"/>
        <item m="1" x="4424"/>
        <item m="1" x="2075"/>
        <item m="1" x="2515"/>
        <item m="1" x="2794"/>
        <item m="1" x="4664"/>
        <item m="1" x="2662"/>
        <item m="1" x="3408"/>
        <item m="1" x="2649"/>
        <item m="1" x="2863"/>
        <item m="1" x="4171"/>
        <item m="1" x="4105"/>
        <item m="1" x="4185"/>
        <item m="1" x="3722"/>
        <item m="1" x="2395"/>
        <item m="1" x="3281"/>
        <item m="1" x="4486"/>
        <item m="1" x="3546"/>
        <item m="1" x="3740"/>
        <item m="1" x="3926"/>
        <item m="1" x="1962"/>
        <item m="1" x="2057"/>
        <item m="1" x="3569"/>
        <item m="1" x="2361"/>
        <item x="745"/>
        <item x="747"/>
        <item x="748"/>
        <item m="1" x="3991"/>
        <item m="1" x="4575"/>
        <item x="751"/>
        <item m="1" x="2348"/>
        <item m="1" x="4243"/>
        <item m="1" x="4376"/>
        <item m="1" x="4056"/>
        <item x="757"/>
        <item m="1" x="3558"/>
        <item m="1" x="3287"/>
        <item m="1" x="3449"/>
        <item m="1" x="4512"/>
        <item m="1" x="4334"/>
        <item m="1" x="4051"/>
        <item x="779"/>
        <item m="1" x="3436"/>
        <item x="781"/>
        <item x="782"/>
        <item x="783"/>
        <item m="1" x="4236"/>
        <item m="1" x="3452"/>
        <item m="1" x="2129"/>
        <item x="788"/>
        <item m="1" x="2960"/>
        <item m="1" x="3260"/>
        <item m="1" x="4147"/>
        <item m="1" x="4827"/>
        <item x="805"/>
        <item x="807"/>
        <item m="1" x="2595"/>
        <item m="1" x="1961"/>
        <item m="1" x="3523"/>
        <item m="1" x="4669"/>
        <item m="1" x="2877"/>
        <item m="1" x="2301"/>
        <item m="1" x="2517"/>
        <item m="1" x="3368"/>
        <item m="1" x="3777"/>
        <item m="1" x="3298"/>
        <item m="1" x="2986"/>
        <item m="1" x="4307"/>
        <item m="1" x="2413"/>
        <item m="1" x="4705"/>
        <item m="1" x="2829"/>
        <item m="1" x="3540"/>
        <item m="1" x="2772"/>
        <item m="1" x="4638"/>
        <item m="1" x="3155"/>
        <item m="1" x="4043"/>
        <item m="1" x="3139"/>
        <item m="1" x="1852"/>
        <item m="1" x="2193"/>
        <item m="1" x="4012"/>
        <item m="1" x="1757"/>
        <item m="1" x="3568"/>
        <item m="1" x="4711"/>
        <item m="1" x="3789"/>
        <item m="1" x="2874"/>
        <item m="1" x="3895"/>
        <item m="1" x="4242"/>
        <item m="1" x="2247"/>
        <item m="1" x="2215"/>
        <item m="1" x="3500"/>
        <item m="1" x="4420"/>
        <item m="1" x="3629"/>
        <item m="1" x="2245"/>
        <item m="1" x="1979"/>
        <item m="1" x="4715"/>
        <item m="1" x="3702"/>
        <item m="1" x="2817"/>
        <item x="812"/>
        <item m="1" x="4591"/>
        <item m="1" x="4716"/>
        <item m="1" x="3087"/>
        <item m="1" x="2722"/>
        <item m="1" x="2718"/>
        <item m="1" x="3891"/>
        <item m="1" x="2250"/>
        <item m="1" x="4502"/>
        <item m="1" x="2389"/>
        <item m="1" x="3102"/>
        <item m="1" x="4914"/>
        <item m="1" x="3780"/>
        <item m="1" x="2287"/>
        <item m="1" x="2738"/>
        <item x="829"/>
        <item m="1" x="2426"/>
        <item m="1" x="3870"/>
        <item m="1" x="3782"/>
        <item m="1" x="4566"/>
        <item x="831"/>
        <item m="1" x="3478"/>
        <item m="1" x="4077"/>
        <item m="1" x="2347"/>
        <item m="1" x="1882"/>
        <item m="1" x="3010"/>
        <item m="1" x="2154"/>
        <item m="1" x="4068"/>
        <item x="842"/>
        <item x="843"/>
        <item m="1" x="2151"/>
        <item x="846"/>
        <item m="1" x="3005"/>
        <item m="1" x="4324"/>
        <item m="1" x="4082"/>
        <item m="1" x="2769"/>
        <item m="1" x="3752"/>
        <item m="1" x="2437"/>
        <item m="1" x="1918"/>
        <item x="863"/>
        <item x="864"/>
        <item m="1" x="4302"/>
        <item x="866"/>
        <item m="1" x="4093"/>
        <item m="1" x="2329"/>
        <item m="1" x="2920"/>
        <item x="870"/>
        <item m="1" x="2756"/>
        <item m="1" x="3915"/>
        <item m="1" x="3919"/>
        <item m="1" x="1720"/>
        <item m="1" x="2261"/>
        <item m="1" x="3199"/>
        <item m="1" x="3204"/>
        <item m="1" x="4742"/>
        <item x="883"/>
        <item m="1" x="3914"/>
        <item x="885"/>
        <item m="1" x="4553"/>
        <item m="1" x="2110"/>
        <item x="1033"/>
        <item m="1" x="3467"/>
        <item m="1" x="2186"/>
        <item m="1" x="4075"/>
        <item m="1" x="2907"/>
        <item m="1" x="1896"/>
        <item m="1" x="4031"/>
        <item m="1" x="3307"/>
        <item m="1" x="4134"/>
        <item m="1" x="4688"/>
        <item x="912"/>
        <item m="1" x="4906"/>
        <item m="1" x="2638"/>
        <item m="1" x="3587"/>
        <item m="1" x="3229"/>
        <item m="1" x="4598"/>
        <item x="922"/>
        <item m="1" x="3330"/>
        <item m="1" x="4701"/>
        <item m="1" x="4732"/>
        <item m="1" x="4103"/>
        <item m="1" x="4471"/>
        <item m="1" x="2100"/>
        <item m="1" x="2852"/>
        <item m="1" x="2162"/>
        <item x="932"/>
        <item x="935"/>
        <item x="936"/>
        <item m="1" x="3560"/>
        <item m="1" x="3182"/>
        <item m="1" x="2005"/>
        <item m="1" x="1789"/>
        <item m="1" x="2433"/>
        <item m="1" x="2926"/>
        <item x="945"/>
        <item m="1" x="4739"/>
        <item m="1" x="4562"/>
        <item x="949"/>
        <item m="1" x="1770"/>
        <item x="950"/>
        <item x="951"/>
        <item m="1" x="2340"/>
        <item m="1" x="3706"/>
        <item m="1" x="2455"/>
        <item x="956"/>
        <item m="1" x="3213"/>
        <item m="1" x="1923"/>
        <item m="1" x="2967"/>
        <item m="1" x="4647"/>
        <item m="1" x="3675"/>
        <item m="1" x="4912"/>
        <item m="1" x="2168"/>
        <item m="1" x="1731"/>
        <item m="1" x="3019"/>
        <item m="1" x="3581"/>
        <item m="1" x="4228"/>
        <item m="1" x="2114"/>
        <item m="1" x="2380"/>
        <item m="1" x="2578"/>
        <item m="1" x="3104"/>
        <item m="1" x="4662"/>
        <item m="1" x="2224"/>
        <item m="1" x="2713"/>
        <item m="1" x="3471"/>
        <item m="1" x="3754"/>
        <item m="1" x="3417"/>
        <item m="1" x="4400"/>
        <item m="1" x="4199"/>
        <item m="1" x="1832"/>
        <item m="1" x="2979"/>
        <item m="1" x="1873"/>
        <item m="1" x="3263"/>
        <item m="1" x="3025"/>
        <item m="1" x="2990"/>
        <item m="1" x="4661"/>
        <item m="1" x="3586"/>
        <item m="1" x="3389"/>
        <item m="1" x="3512"/>
        <item m="1" x="3288"/>
        <item m="1" x="4207"/>
        <item m="1" x="2283"/>
        <item m="1" x="3605"/>
        <item m="1" x="4887"/>
        <item m="1" x="2812"/>
        <item m="1" x="4607"/>
        <item m="1" x="4573"/>
        <item m="1" x="3957"/>
        <item m="1" x="4523"/>
        <item m="1" x="4796"/>
        <item m="1" x="1743"/>
        <item m="1" x="4362"/>
        <item m="1" x="2536"/>
        <item m="1" x="4239"/>
        <item m="1" x="3811"/>
        <item m="1" x="4161"/>
        <item m="1" x="3713"/>
        <item m="1" x="3622"/>
        <item m="1" x="3764"/>
        <item m="1" x="4547"/>
        <item m="1" x="3178"/>
        <item m="1" x="4356"/>
        <item m="1" x="2240"/>
        <item m="1" x="3315"/>
        <item m="1" x="2346"/>
        <item m="1" x="2576"/>
        <item m="1" x="3434"/>
        <item m="1" x="4446"/>
        <item m="1" x="1805"/>
        <item m="1" x="2689"/>
        <item m="1" x="3103"/>
        <item m="1" x="4257"/>
        <item m="1" x="3718"/>
        <item m="1" x="4078"/>
        <item m="1" x="4104"/>
        <item m="1" x="4163"/>
        <item m="1" x="4180"/>
        <item m="1" x="2708"/>
        <item m="1" x="1841"/>
        <item m="1" x="4797"/>
        <item m="1" x="3549"/>
        <item m="1" x="2706"/>
        <item m="1" x="3173"/>
        <item m="1" x="3273"/>
        <item m="1" x="3268"/>
        <item m="1" x="4053"/>
        <item m="1" x="3442"/>
        <item m="1" x="1836"/>
        <item m="1" x="4141"/>
        <item m="1" x="2392"/>
        <item m="1" x="3239"/>
        <item m="1" x="2581"/>
        <item m="1" x="2853"/>
        <item m="1" x="3921"/>
        <item m="1" x="4258"/>
        <item m="1" x="2628"/>
        <item m="1" x="2379"/>
        <item m="1" x="2142"/>
        <item m="1" x="2474"/>
        <item m="1" x="2572"/>
        <item m="1" x="2575"/>
        <item m="1" x="4427"/>
        <item m="1" x="2703"/>
        <item m="1" x="2157"/>
        <item m="1" x="3999"/>
        <item m="1" x="2011"/>
        <item m="1" x="4354"/>
        <item m="1" x="4846"/>
        <item m="1" x="3698"/>
        <item m="1" x="3153"/>
        <item m="1" x="2643"/>
        <item m="1" x="3267"/>
        <item m="1" x="2028"/>
        <item m="1" x="3884"/>
        <item m="1" x="4792"/>
        <item m="1" x="2792"/>
        <item m="1" x="2488"/>
        <item m="1" x="3175"/>
        <item m="1" x="2499"/>
        <item m="1" x="2366"/>
        <item m="1" x="3418"/>
        <item m="1" x="4756"/>
        <item m="1" x="3866"/>
        <item m="1" x="1829"/>
        <item m="1" x="2046"/>
        <item m="1" x="2518"/>
        <item m="1" x="3293"/>
        <item m="1" x="3956"/>
        <item m="1" x="1909"/>
        <item m="1" x="2088"/>
        <item m="1" x="4690"/>
        <item m="1" x="2619"/>
        <item m="1" x="4126"/>
        <item m="1" x="4381"/>
        <item m="1" x="4456"/>
        <item m="1" x="4445"/>
        <item m="1" x="2657"/>
        <item m="1" x="1766"/>
        <item m="1" x="2548"/>
        <item m="1" x="4696"/>
        <item m="1" x="2764"/>
        <item m="1" x="2303"/>
        <item m="1" x="4550"/>
        <item m="1" x="4800"/>
        <item m="1" x="3497"/>
        <item m="1" x="3311"/>
        <item m="1" x="3850"/>
        <item m="1" x="2771"/>
        <item m="1" x="2573"/>
        <item m="1" x="3857"/>
        <item m="1" x="3067"/>
        <item m="1" x="1797"/>
        <item m="1" x="4447"/>
        <item m="1" x="2675"/>
        <item m="1" x="2398"/>
        <item m="1" x="3855"/>
        <item m="1" x="2916"/>
        <item m="1" x="4717"/>
        <item m="1" x="3243"/>
        <item m="1" x="2588"/>
        <item m="1" x="3074"/>
        <item m="1" x="4081"/>
        <item m="1" x="2948"/>
        <item m="1" x="2497"/>
        <item m="1" x="2467"/>
        <item m="1" x="4560"/>
        <item m="1" x="1938"/>
        <item m="1" x="1811"/>
        <item m="1" x="2132"/>
        <item m="1" x="4814"/>
        <item m="1" x="1871"/>
        <item m="1" x="3947"/>
        <item m="1" x="4003"/>
        <item m="1" x="2574"/>
        <item m="1" x="1755"/>
        <item m="1" x="2277"/>
        <item m="1" x="3906"/>
        <item m="1" x="2865"/>
        <item m="1" x="3974"/>
        <item m="1" x="2785"/>
        <item m="1" x="3026"/>
        <item m="1" x="4611"/>
        <item m="1" x="4734"/>
        <item m="1" x="4462"/>
        <item m="1" x="2077"/>
        <item m="1" x="4098"/>
        <item m="1" x="2845"/>
        <item m="1" x="3684"/>
        <item m="1" x="3953"/>
        <item x="889"/>
        <item m="1" x="3292"/>
        <item m="1" x="3183"/>
        <item m="1" x="2622"/>
        <item m="1" x="1788"/>
        <item m="1" x="3477"/>
        <item m="1" x="3639"/>
        <item m="1" x="4269"/>
        <item m="1" x="2922"/>
        <item m="1" x="3567"/>
        <item m="1" x="3016"/>
        <item m="1" x="2109"/>
        <item m="1" x="1848"/>
        <item m="1" x="4327"/>
        <item m="1" x="2715"/>
        <item x="910"/>
        <item m="1" x="3528"/>
        <item m="1" x="4200"/>
        <item m="1" x="2311"/>
        <item m="1" x="2754"/>
        <item m="1" x="4571"/>
        <item m="1" x="4079"/>
        <item m="1" x="3055"/>
        <item m="1" x="1752"/>
        <item m="1" x="4116"/>
        <item m="1" x="3920"/>
        <item m="1" x="2567"/>
        <item m="1" x="1855"/>
        <item m="1" x="3450"/>
        <item m="1" x="4569"/>
        <item m="1" x="4263"/>
        <item m="1" x="1971"/>
        <item m="1" x="3525"/>
        <item m="1" x="3385"/>
        <item m="1" x="2915"/>
        <item m="1" x="2435"/>
        <item m="1" x="3312"/>
        <item m="1" x="2286"/>
        <item m="1" x="4313"/>
        <item m="1" x="2822"/>
        <item m="1" x="4384"/>
        <item m="1" x="3499"/>
        <item m="1" x="2616"/>
        <item m="1" x="3835"/>
        <item m="1" x="4064"/>
        <item m="1" x="4428"/>
        <item m="1" x="1887"/>
        <item m="1" x="2950"/>
        <item m="1" x="4483"/>
        <item m="1" x="3420"/>
        <item m="1" x="3196"/>
        <item m="1" x="3776"/>
        <item m="1" x="3439"/>
        <item m="1" x="3004"/>
        <item m="1" x="4657"/>
        <item m="1" x="4138"/>
        <item m="1" x="2108"/>
        <item m="1" x="1944"/>
        <item m="1" x="2957"/>
        <item m="1" x="3157"/>
        <item m="1" x="3775"/>
        <item m="1" x="2105"/>
        <item m="1" x="3403"/>
        <item m="1" x="2875"/>
        <item m="1" x="3886"/>
        <item m="1" x="4472"/>
        <item m="1" x="3000"/>
        <item m="1" x="4753"/>
        <item m="1" x="4218"/>
        <item m="1" x="1774"/>
        <item m="1" x="4832"/>
        <item m="1" x="2523"/>
        <item m="1" x="1917"/>
        <item m="1" x="3086"/>
        <item m="1" x="3349"/>
        <item m="1" x="3180"/>
        <item m="1" x="2997"/>
        <item m="1" x="4061"/>
        <item m="1" x="1775"/>
        <item m="1" x="3458"/>
        <item m="1" x="4491"/>
        <item m="1" x="3851"/>
        <item m="1" x="3830"/>
        <item m="1" x="2406"/>
        <item m="1" x="3208"/>
        <item m="1" x="3871"/>
        <item m="1" x="4769"/>
        <item m="1" x="2959"/>
        <item m="1" x="4555"/>
        <item m="1" x="2641"/>
        <item m="1" x="4410"/>
        <item m="1" x="3202"/>
        <item m="1" x="2337"/>
        <item m="1" x="4687"/>
        <item m="1" x="2873"/>
        <item m="1" x="1847"/>
        <item m="1" x="4346"/>
        <item m="1" x="1929"/>
        <item m="1" x="4375"/>
        <item m="1" x="2811"/>
        <item m="1" x="2297"/>
        <item m="1" x="4027"/>
        <item m="1" x="3328"/>
        <item m="1" x="4810"/>
        <item m="1" x="4004"/>
        <item m="1" x="2777"/>
        <item m="1" x="1894"/>
        <item m="1" x="3676"/>
        <item m="1" x="4556"/>
        <item m="1" x="1808"/>
        <item m="1" x="3111"/>
        <item m="1" x="2841"/>
        <item m="1" x="3687"/>
        <item m="1" x="3303"/>
        <item m="1" x="2767"/>
        <item m="1" x="3781"/>
        <item m="1" x="3793"/>
        <item m="1" x="4821"/>
        <item m="1" x="3788"/>
        <item m="1" x="1816"/>
        <item m="1" x="4917"/>
        <item m="1" x="4503"/>
        <item m="1" x="4498"/>
        <item m="1" x="3545"/>
        <item m="1" x="2177"/>
        <item m="1" x="2336"/>
        <item m="1" x="4287"/>
        <item m="1" x="4640"/>
        <item m="1" x="3667"/>
        <item m="1" x="3948"/>
        <item m="1" x="2031"/>
        <item m="1" x="3423"/>
        <item m="1" x="4539"/>
        <item m="1" x="3535"/>
        <item m="1" x="2741"/>
        <item m="1" x="2070"/>
        <item m="1" x="2495"/>
        <item m="1" x="3370"/>
        <item m="1" x="2128"/>
        <item m="1" x="2219"/>
        <item m="1" x="2095"/>
        <item m="1" x="3506"/>
        <item m="1" x="4089"/>
        <item m="1" x="3607"/>
        <item m="1" x="3733"/>
        <item m="1" x="2742"/>
        <item m="1" x="2155"/>
        <item m="1" x="4067"/>
        <item m="1" x="1787"/>
        <item m="1" x="4795"/>
        <item m="1" x="3591"/>
        <item m="1" x="2402"/>
        <item m="1" x="3552"/>
        <item m="1" x="4019"/>
        <item m="1" x="4237"/>
        <item m="1" x="2700"/>
        <item m="1" x="4787"/>
        <item m="1" x="3154"/>
        <item m="1" x="1922"/>
        <item m="1" x="3967"/>
        <item m="1" x="2797"/>
        <item m="1" x="3257"/>
        <item m="1" x="3686"/>
        <item m="1" x="4444"/>
        <item m="1" x="3367"/>
        <item m="1" x="2941"/>
        <item m="1" x="3136"/>
        <item m="1" x="4863"/>
        <item m="1" x="3464"/>
        <item m="1" x="3561"/>
        <item m="1" x="2746"/>
        <item m="1" x="2760"/>
        <item m="1" x="3923"/>
        <item m="1" x="4158"/>
        <item m="1" x="4724"/>
        <item m="1" x="2963"/>
        <item m="1" x="4482"/>
        <item m="1" x="2927"/>
        <item m="1" x="3578"/>
        <item m="1" x="1834"/>
        <item m="1" x="3212"/>
        <item m="1" x="1997"/>
        <item m="1" x="2511"/>
        <item m="1" x="4369"/>
        <item m="1" x="3864"/>
        <item m="1" x="3982"/>
        <item m="1" x="3069"/>
        <item m="1" x="2837"/>
        <item m="1" x="4831"/>
        <item m="1" x="4250"/>
        <item m="1" x="4470"/>
        <item m="1" x="3161"/>
        <item m="1" x="4399"/>
        <item m="1" x="3015"/>
        <item m="1" x="3429"/>
        <item m="1" x="2816"/>
        <item m="1" x="2658"/>
        <item m="1" x="3280"/>
        <item m="1" x="3652"/>
        <item m="1" x="4314"/>
        <item m="1" x="4572"/>
        <item m="1" x="4437"/>
        <item m="1" x="3018"/>
        <item m="1" x="3247"/>
        <item m="1" x="3393"/>
        <item m="1" x="2834"/>
        <item m="1" x="2255"/>
        <item m="1" x="2831"/>
        <item m="1" x="2987"/>
        <item m="1" x="2903"/>
        <item m="1" x="2762"/>
        <item m="1" x="2371"/>
        <item m="1" x="1939"/>
        <item m="1" x="3398"/>
        <item m="1" x="3520"/>
        <item m="1" x="3404"/>
        <item m="1" x="1849"/>
        <item m="1" x="4504"/>
        <item m="1" x="4604"/>
        <item m="1" x="2022"/>
        <item m="1" x="4848"/>
        <item m="1" x="1966"/>
        <item m="1" x="3952"/>
        <item m="1" x="3833"/>
        <item m="1" x="3306"/>
        <item m="1" x="2387"/>
        <item m="1" x="4731"/>
        <item m="1" x="2551"/>
        <item m="1" x="3785"/>
        <item m="1" x="3337"/>
        <item m="1" x="4820"/>
        <item m="1" x="2564"/>
        <item m="1" x="4114"/>
        <item m="1" x="2786"/>
        <item m="1" x="2122"/>
        <item m="1" x="3737"/>
        <item m="1" x="2721"/>
        <item m="1" x="2583"/>
        <item m="1" x="2409"/>
        <item m="1" x="3784"/>
        <item m="1" x="2890"/>
        <item m="1" x="2690"/>
        <item m="1" x="3489"/>
        <item m="1" x="4635"/>
        <item m="1" x="1892"/>
        <item m="1" x="4009"/>
        <item m="1" x="3748"/>
        <item m="1" x="2992"/>
        <item m="1" x="2989"/>
        <item m="1" x="4627"/>
        <item m="1" x="4624"/>
        <item m="1" x="3062"/>
        <item m="1" x="3061"/>
        <item m="1" x="3060"/>
        <item m="1" x="4707"/>
        <item m="1" x="2993"/>
        <item m="1" x="4629"/>
        <item m="1" x="4874"/>
        <item m="1" x="2372"/>
        <item m="1" x="3958"/>
        <item m="1" x="3129"/>
        <item m="1" x="3012"/>
        <item m="1" x="2073"/>
        <item m="1" x="3646"/>
        <item m="1" x="2542"/>
        <item m="1" x="3572"/>
        <item m="1" x="4642"/>
        <item m="1" x="4177"/>
        <item m="1" x="2328"/>
        <item m="1" x="4838"/>
        <item m="1" x="4065"/>
        <item m="1" x="3020"/>
        <item m="1" x="4697"/>
        <item m="1" x="2199"/>
        <item m="1" x="3554"/>
        <item m="1" x="3707"/>
        <item m="1" x="4090"/>
        <item m="1" x="4632"/>
        <item m="1" x="2849"/>
        <item m="1" x="2814"/>
        <item m="1" x="1980"/>
        <item m="1" x="4772"/>
        <item m="1" x="4253"/>
        <item m="1" x="3205"/>
        <item m="1" x="3343"/>
        <item m="1" x="2735"/>
        <item m="1" x="2061"/>
        <item m="1" x="2067"/>
        <item m="1" x="2304"/>
        <item m="1" x="2681"/>
        <item m="1" x="2686"/>
        <item m="1" x="2540"/>
        <item m="1" x="2550"/>
        <item m="1" x="2391"/>
        <item m="1" x="2623"/>
        <item m="1" x="2630"/>
        <item m="1" x="2459"/>
        <item m="1" x="2466"/>
        <item m="1" x="2319"/>
        <item m="1" x="2463"/>
        <item m="1" x="2468"/>
        <item m="1" x="2320"/>
        <item m="1" x="2326"/>
        <item m="1" x="2197"/>
        <item m="1" x="2325"/>
        <item m="1" x="2484"/>
        <item m="1" x="2254"/>
        <item m="1" x="2431"/>
        <item m="1" x="2258"/>
        <item m="1" x="2485"/>
        <item m="1" x="2259"/>
        <item m="1" x="2432"/>
        <item m="1" x="2260"/>
        <item m="1" x="4192"/>
        <item m="1" x="2411"/>
        <item m="1" x="2434"/>
        <item m="1" x="1815"/>
        <item m="1" x="1817"/>
        <item m="1" x="4277"/>
        <item m="1" x="4326"/>
        <item m="1" x="1779"/>
        <item m="1" x="3826"/>
        <item m="1" x="2929"/>
        <item m="1" x="2477"/>
        <item m="1" x="3486"/>
        <item m="1" x="4744"/>
        <item x="969"/>
        <item m="1" x="2194"/>
        <item m="1" x="4649"/>
        <item x="972"/>
        <item x="973"/>
        <item m="1" x="3335"/>
        <item x="975"/>
        <item x="550"/>
        <item m="1" x="3120"/>
        <item x="978"/>
        <item x="979"/>
        <item x="980"/>
        <item x="981"/>
        <item x="982"/>
        <item m="1" x="4377"/>
        <item m="1" x="2674"/>
        <item m="1" x="2974"/>
        <item m="1" x="2697"/>
        <item m="1" x="4037"/>
        <item m="1" x="3981"/>
        <item m="1" x="4344"/>
        <item x="991"/>
        <item x="992"/>
        <item x="993"/>
        <item x="994"/>
        <item m="1" x="2504"/>
        <item m="1" x="1990"/>
        <item x="1002"/>
        <item x="1003"/>
        <item m="1" x="2072"/>
        <item m="1" x="3223"/>
        <item x="1009"/>
        <item m="1" x="3719"/>
        <item x="1011"/>
        <item m="1" x="3369"/>
        <item x="1016"/>
        <item m="1" x="2803"/>
        <item m="1" x="3001"/>
        <item x="1021"/>
        <item x="1022"/>
        <item x="1034"/>
        <item x="1035"/>
        <item m="1" x="2781"/>
        <item m="1" x="3656"/>
        <item m="1" x="4559"/>
        <item m="1" x="4215"/>
        <item x="1040"/>
        <item m="1" x="4748"/>
        <item x="1045"/>
        <item m="1" x="4469"/>
        <item x="1047"/>
        <item m="1" x="4786"/>
        <item m="1" x="2685"/>
        <item m="1" x="4839"/>
        <item m="1" x="4006"/>
        <item x="1053"/>
        <item m="1" x="2141"/>
        <item m="1" x="4312"/>
        <item m="1" x="1886"/>
        <item m="1" x="2324"/>
        <item m="1" x="4774"/>
        <item x="1059"/>
        <item m="1" x="2394"/>
        <item m="1" x="3037"/>
        <item m="1" x="2476"/>
        <item m="1" x="3341"/>
        <item m="1" x="3630"/>
        <item m="1" x="3773"/>
        <item m="1" x="3218"/>
        <item x="1066"/>
        <item x="1067"/>
        <item x="1068"/>
        <item x="1069"/>
        <item x="1070"/>
        <item m="1" x="4348"/>
        <item m="1" x="2415"/>
        <item m="1" x="3641"/>
        <item m="1" x="3114"/>
        <item m="1" x="2519"/>
        <item m="1" x="1963"/>
        <item m="1" x="3603"/>
        <item m="1" x="4733"/>
        <item m="1" x="4880"/>
        <item m="1" x="4008"/>
        <item m="1" x="4721"/>
        <item m="1" x="2148"/>
        <item m="1" x="2457"/>
        <item m="1" x="3963"/>
        <item m="1" x="4107"/>
        <item m="1" x="4730"/>
        <item m="1" x="1799"/>
        <item m="1" x="4492"/>
        <item m="1" x="2145"/>
        <item m="1" x="3246"/>
        <item m="1" x="3253"/>
        <item m="1" x="1810"/>
        <item m="1" x="4686"/>
        <item m="1" x="3898"/>
        <item m="1" x="4155"/>
        <item m="1" x="3295"/>
        <item m="1" x="1759"/>
        <item m="1" x="3272"/>
        <item m="1" x="2561"/>
        <item m="1" x="3537"/>
        <item m="1" x="2172"/>
        <item m="1" x="3071"/>
        <item m="1" x="2047"/>
        <item m="1" x="3215"/>
        <item m="1" x="2399"/>
        <item m="1" x="3100"/>
        <item m="1" x="2529"/>
        <item m="1" x="3014"/>
        <item m="1" x="4843"/>
        <item m="1" x="3808"/>
        <item m="1" x="2362"/>
        <item m="1" x="2252"/>
        <item m="1" x="2116"/>
        <item m="1" x="2275"/>
        <item m="1" x="2144"/>
        <item m="1" x="2079"/>
        <item m="1" x="4490"/>
        <item m="1" x="3632"/>
        <item m="1" x="1987"/>
        <item m="1" x="2790"/>
        <item m="1" x="2966"/>
        <item m="1" x="2357"/>
        <item m="1" x="4020"/>
        <item m="1" x="1827"/>
        <item m="1" x="1718"/>
        <item m="1" x="2364"/>
        <item m="1" x="3636"/>
        <item m="1" x="4751"/>
        <item m="1" x="1995"/>
        <item m="1" x="4060"/>
        <item m="1" x="3856"/>
        <item m="1" x="3259"/>
        <item m="1" x="4737"/>
        <item m="1" x="2454"/>
        <item m="1" x="1792"/>
        <item m="1" x="2327"/>
        <item m="1" x="4602"/>
        <item m="1" x="4775"/>
        <item m="1" x="1844"/>
        <item m="1" x="3542"/>
        <item m="1" x="4270"/>
        <item m="1" x="2930"/>
        <item m="1" x="4485"/>
        <item m="1" x="3638"/>
        <item m="1" x="4267"/>
        <item m="1" x="3266"/>
        <item m="1" x="3490"/>
        <item m="1" x="2195"/>
        <item m="1" x="3883"/>
        <item m="1" x="2884"/>
        <item m="1" x="3350"/>
        <item m="1" x="1778"/>
        <item m="1" x="4224"/>
        <item m="1" x="2825"/>
        <item m="1" x="4407"/>
        <item m="1" x="4628"/>
        <item m="1" x="2064"/>
        <item m="1" x="3187"/>
        <item m="1" x="4026"/>
        <item m="1" x="2198"/>
        <item m="1" x="2533"/>
        <item x="1038"/>
        <item m="1" x="4415"/>
        <item m="1" x="2709"/>
        <item x="1130"/>
        <item m="1" x="1767"/>
        <item m="1" x="2569"/>
        <item x="1134"/>
        <item m="1" x="4150"/>
        <item x="1139"/>
        <item x="1140"/>
        <item m="1" x="4152"/>
        <item m="1" x="2451"/>
        <item m="1" x="4022"/>
        <item m="1" x="2164"/>
        <item m="1" x="4884"/>
        <item m="1" x="3803"/>
        <item x="1149"/>
        <item m="1" x="4672"/>
        <item m="1" x="4666"/>
        <item x="1151"/>
        <item x="1152"/>
        <item m="1" x="2977"/>
        <item m="1" x="3693"/>
        <item m="1" x="3861"/>
        <item m="1" x="2868"/>
        <item m="1" x="2784"/>
        <item m="1" x="2943"/>
        <item m="1" x="2783"/>
        <item m="1" x="2716"/>
        <item m="1" x="1854"/>
        <item m="1" x="3319"/>
        <item m="1" x="3609"/>
        <item m="1" x="2344"/>
        <item m="1" x="2970"/>
        <item m="1" x="3254"/>
        <item m="1" x="3381"/>
        <item m="1" x="2946"/>
        <item m="1" x="3366"/>
        <item m="1" x="2180"/>
        <item m="1" x="2369"/>
        <item m="1" x="1910"/>
        <item m="1" x="4545"/>
        <item m="1" x="4631"/>
        <item m="1" x="2585"/>
        <item m="1" x="2249"/>
        <item m="1" x="3770"/>
        <item m="1" x="2521"/>
        <item m="1" x="4048"/>
        <item m="1" x="4522"/>
        <item m="1" x="4818"/>
        <item m="1" x="3017"/>
        <item m="1" x="3556"/>
        <item m="1" x="3189"/>
        <item m="1" x="3487"/>
        <item m="1" x="1950"/>
        <item m="1" x="4830"/>
        <item m="1" x="3704"/>
        <item m="1" x="3386"/>
        <item m="1" x="3109"/>
        <item m="1" x="4833"/>
        <item m="1" x="1806"/>
        <item m="1" x="2126"/>
        <item m="1" x="3469"/>
        <item m="1" x="4493"/>
        <item m="1" x="2631"/>
        <item m="1" x="3711"/>
        <item m="1" x="4466"/>
        <item m="1" x="4529"/>
        <item m="1" x="2640"/>
        <item m="1" x="4551"/>
        <item m="1" x="4712"/>
        <item m="1" x="4461"/>
        <item m="1" x="2828"/>
        <item m="1" x="2601"/>
        <item m="1" x="3729"/>
        <item m="1" x="3660"/>
        <item m="1" x="1983"/>
        <item m="1" x="2565"/>
        <item m="1" x="2827"/>
        <item m="1" x="2233"/>
        <item m="1" x="4409"/>
        <item m="1" x="4626"/>
        <item m="1" x="4754"/>
        <item m="1" x="4226"/>
        <item m="1" x="2221"/>
        <item m="1" x="2516"/>
        <item m="1" x="2832"/>
        <item m="1" x="3362"/>
        <item m="1" x="3216"/>
        <item m="1" x="2367"/>
        <item m="1" x="4321"/>
        <item m="1" x="4612"/>
        <item m="1" x="4225"/>
        <item m="1" x="4763"/>
        <item m="1" x="1884"/>
        <item m="1" x="2191"/>
        <item m="1" x="2481"/>
        <item m="1" x="2776"/>
        <item m="1" x="3039"/>
        <item m="1" x="4835"/>
        <item m="1" x="1943"/>
        <item m="1" x="4383"/>
        <item m="1" x="2206"/>
        <item m="1" x="4382"/>
        <item m="1" x="2687"/>
        <item m="1" x="4589"/>
        <item m="1" x="1975"/>
        <item m="1" x="2788"/>
        <item m="1" x="4875"/>
        <item m="1" x="1726"/>
        <item m="1" x="3555"/>
        <item m="1" x="2382"/>
        <item m="1" x="3972"/>
        <item m="1" x="2909"/>
        <item m="1" x="4014"/>
        <item m="1" x="2119"/>
        <item m="1" x="3797"/>
        <item m="1" x="3900"/>
        <item m="1" x="3251"/>
        <item m="1" x="3241"/>
        <item m="1" x="3604"/>
        <item m="1" x="4510"/>
        <item m="1" x="4497"/>
        <item x="1110"/>
        <item m="1" x="3616"/>
        <item x="1228"/>
        <item m="1" x="3105"/>
        <item m="1" x="4885"/>
        <item m="1" x="2253"/>
        <item m="1" x="3342"/>
        <item m="1" x="4458"/>
        <item m="1" x="2410"/>
        <item m="1" x="3440"/>
        <item m="1" x="2748"/>
        <item m="1" x="4062"/>
        <item m="1" x="2263"/>
        <item m="1" x="1968"/>
        <item m="1" x="3927"/>
        <item m="1" x="4799"/>
        <item m="1" x="2905"/>
        <item m="1" x="4139"/>
        <item m="1" x="3721"/>
        <item m="1" x="3167"/>
        <item m="1" x="4271"/>
        <item m="1" x="3728"/>
        <item m="1" x="3841"/>
        <item m="1" x="2139"/>
        <item m="1" x="4143"/>
        <item m="1" x="1853"/>
        <item m="1" x="1960"/>
        <item m="1" x="3730"/>
        <item m="1" x="4735"/>
        <item m="1" x="2955"/>
        <item m="1" x="3637"/>
        <item m="1" x="2244"/>
        <item m="1" x="2174"/>
        <item m="1" x="4777"/>
        <item m="1" x="4205"/>
        <item m="1" x="4580"/>
        <item m="1" x="2723"/>
        <item m="1" x="4091"/>
        <item m="1" x="4543"/>
        <item m="1" x="4088"/>
        <item m="1" x="2063"/>
        <item m="1" x="3308"/>
        <item m="1" x="3544"/>
        <item m="1" x="2661"/>
        <item m="1" x="3753"/>
        <item m="1" x="2891"/>
        <item m="1" x="4188"/>
        <item m="1" x="3492"/>
        <item m="1" x="3876"/>
        <item m="1" x="3172"/>
        <item m="1" x="4680"/>
        <item m="1" x="1744"/>
        <item m="1" x="1953"/>
        <item m="1" x="3320"/>
        <item m="1" x="3593"/>
        <item m="1" x="1872"/>
        <item m="1" x="4882"/>
        <item m="1" x="4481"/>
        <item m="1" x="4691"/>
        <item m="1" x="3279"/>
        <item m="1" x="2498"/>
        <item m="1" x="3736"/>
        <item m="1" x="3570"/>
        <item m="1" x="2322"/>
        <item m="1" x="2330"/>
        <item m="1" x="3413"/>
        <item m="1" x="3125"/>
        <item m="1" x="3937"/>
        <item m="1" x="4487"/>
        <item m="1" x="3761"/>
        <item m="1" x="3006"/>
        <item m="1" x="2086"/>
        <item m="1" x="2838"/>
        <item m="1" x="1945"/>
        <item m="1" x="4438"/>
        <item m="1" x="3409"/>
        <item m="1" x="2039"/>
        <item m="1" x="2724"/>
        <item m="1" x="4416"/>
        <item m="1" x="4038"/>
        <item m="1" x="3193"/>
        <item m="1" x="3674"/>
        <item m="1" x="3207"/>
        <item m="1" x="3231"/>
        <item m="1" x="2635"/>
        <item m="1" x="4071"/>
        <item m="1" x="4397"/>
        <item m="1" x="3844"/>
        <item m="1" x="4783"/>
        <item m="1" x="3509"/>
        <item m="1" x="3705"/>
        <item m="1" x="3282"/>
        <item m="1" x="4111"/>
        <item m="1" x="4668"/>
        <item m="1" x="4306"/>
        <item m="1" x="1958"/>
        <item m="1" x="4391"/>
        <item m="1" x="4549"/>
        <item m="1" x="3892"/>
        <item m="1" x="2290"/>
        <item m="1" x="1725"/>
        <item m="1" x="1986"/>
        <item m="1" x="1981"/>
        <item m="1" x="4080"/>
        <item m="1" x="4453"/>
        <item m="1" x="2475"/>
        <item m="1" x="3145"/>
        <item m="1" x="1833"/>
        <item m="1" x="4024"/>
        <item m="1" x="4902"/>
        <item m="1" x="2802"/>
        <item m="1" x="3384"/>
        <item m="1" x="3631"/>
        <item m="1" x="3327"/>
        <item m="1" x="3276"/>
        <item m="1" x="1937"/>
        <item m="1" x="4905"/>
        <item m="1" x="4505"/>
        <item m="1" x="2757"/>
        <item m="1" x="2998"/>
        <item m="1" x="3132"/>
        <item m="1" x="4401"/>
        <item m="1" x="2430"/>
        <item m="1" x="4211"/>
        <item m="1" x="2355"/>
        <item m="1" x="2940"/>
        <item m="1" x="3277"/>
        <item m="1" x="4817"/>
        <item m="1" x="3885"/>
        <item m="1" x="3003"/>
        <item m="1" x="2612"/>
        <item m="1" x="4421"/>
        <item m="1" x="4115"/>
        <item m="1" x="3278"/>
        <item m="1" x="2568"/>
        <item m="1" x="4499"/>
        <item m="1" x="3057"/>
        <item m="1" x="1932"/>
        <item m="1" x="4345"/>
        <item m="1" x="3827"/>
        <item m="1" x="3051"/>
        <item m="1" x="3532"/>
        <item m="1" x="3533"/>
        <item m="1" x="2125"/>
        <item m="1" x="3222"/>
        <item m="1" x="2136"/>
        <item m="1" x="2736"/>
        <item m="1" x="4025"/>
        <item m="1" x="4063"/>
        <item m="1" x="4317"/>
        <item m="1" x="2935"/>
        <item m="1" x="2693"/>
        <item m="1" x="3946"/>
        <item m="1" x="4513"/>
        <item m="1" x="3140"/>
        <item m="1" x="4641"/>
        <item m="1" x="2945"/>
        <item m="1" x="3326"/>
        <item m="1" x="2156"/>
        <item m="1" x="2500"/>
        <item m="1" x="3749"/>
        <item m="1" x="2288"/>
        <item m="1" x="3053"/>
        <item m="1" x="3623"/>
        <item m="1" x="2318"/>
        <item m="1" x="1965"/>
        <item m="1" x="4845"/>
        <item m="1" x="4663"/>
        <item m="1" x="4864"/>
        <item m="1" x="4339"/>
        <item m="1" x="2223"/>
        <item m="1" x="3117"/>
        <item m="1" x="3230"/>
        <item m="1" x="4893"/>
        <item m="1" x="4309"/>
        <item m="1" x="4633"/>
        <item m="1" x="1839"/>
        <item m="1" x="4392"/>
        <item m="1" x="4474"/>
        <item m="1" x="3201"/>
        <item m="1" x="3653"/>
        <item m="1" x="2356"/>
        <item m="1" x="3618"/>
        <item m="1" x="2541"/>
        <item m="1" x="3211"/>
        <item m="1" x="4178"/>
        <item m="1" x="4601"/>
        <item m="1" x="3600"/>
        <item m="1" x="3046"/>
        <item m="1" x="4035"/>
        <item m="1" x="2646"/>
        <item m="1" x="3302"/>
        <item m="1" x="4760"/>
        <item m="1" x="2747"/>
        <item m="1" x="3244"/>
        <item m="1" x="1754"/>
        <item x="1509"/>
        <item x="1510"/>
        <item x="1511"/>
        <item m="1" x="4868"/>
        <item m="1" x="2065"/>
        <item m="1" x="3968"/>
        <item m="1" x="2654"/>
        <item m="1" x="3476"/>
        <item x="1514"/>
        <item m="1" x="1914"/>
        <item m="1" x="3594"/>
        <item x="1517"/>
        <item m="1" x="3574"/>
        <item m="1" x="2704"/>
        <item x="1520"/>
        <item x="1521"/>
        <item x="1522"/>
        <item x="1523"/>
        <item x="1524"/>
        <item m="1" x="4256"/>
        <item x="1526"/>
        <item m="1" x="3791"/>
        <item m="1" x="2008"/>
        <item m="1" x="4300"/>
        <item x="1528"/>
        <item m="1" x="4878"/>
        <item x="1530"/>
        <item m="1" x="4554"/>
        <item m="1" x="3336"/>
        <item m="1" x="2978"/>
        <item m="1" x="2914"/>
        <item m="1" x="2634"/>
        <item m="1" x="4873"/>
        <item m="1" x="2035"/>
        <item m="1" x="4825"/>
        <item m="1" x="4246"/>
        <item m="1" x="3013"/>
        <item x="1534"/>
        <item m="1" x="2652"/>
        <item m="1" x="3406"/>
        <item m="1" x="2702"/>
        <item m="1" x="3435"/>
        <item m="1" x="2294"/>
        <item x="1537"/>
        <item m="1" x="4784"/>
        <item m="1" x="3284"/>
        <item m="1" x="2211"/>
        <item m="1" x="3823"/>
        <item m="1" x="1974"/>
        <item m="1" x="4708"/>
        <item m="1" x="4208"/>
        <item m="1" x="2200"/>
        <item m="1" x="2188"/>
        <item m="1" x="2545"/>
        <item m="1" x="2663"/>
        <item m="1" x="4125"/>
        <item m="1" x="3168"/>
        <item m="1" x="3634"/>
        <item m="1" x="2234"/>
        <item m="1" x="3217"/>
        <item m="1" x="2624"/>
        <item m="1" x="4625"/>
        <item m="1" x="4582"/>
        <item m="1" x="3964"/>
        <item m="1" x="4297"/>
        <item m="1" x="4069"/>
        <item m="1" x="2833"/>
        <item m="1" x="3829"/>
        <item m="1" x="2660"/>
        <item m="1" x="3911"/>
        <item m="1" x="3950"/>
        <item m="1" x="1746"/>
        <item m="1" x="2038"/>
        <item m="1" x="3360"/>
        <item m="1" x="1838"/>
        <item m="1" x="2787"/>
        <item m="1" x="4197"/>
        <item m="1" x="1845"/>
        <item m="1" x="3688"/>
        <item m="1" x="1856"/>
        <item m="1" x="2557"/>
        <item m="1" x="2029"/>
        <item m="1" x="4570"/>
        <item m="1" x="4651"/>
        <item m="1" x="3126"/>
        <item m="1" x="2014"/>
        <item m="1" x="3472"/>
        <item m="1" x="4137"/>
        <item m="1" x="3422"/>
        <item m="1" x="2590"/>
        <item m="1" x="4296"/>
        <item m="1" x="3813"/>
        <item m="1" x="3415"/>
        <item m="1" x="2101"/>
        <item m="1" x="2869"/>
        <item m="1" x="4829"/>
        <item m="1" x="4389"/>
        <item m="1" x="2988"/>
        <item m="1" x="4241"/>
        <item m="1" x="2292"/>
        <item m="1" x="4653"/>
        <item m="1" x="3563"/>
        <item m="1" x="1801"/>
        <item m="1" x="2173"/>
        <item m="1" x="3648"/>
        <item m="1" x="2549"/>
        <item m="1" x="4521"/>
        <item m="1" x="4879"/>
        <item m="1" x="4679"/>
        <item x="1512"/>
        <item m="1" x="4095"/>
        <item m="1" x="3148"/>
        <item m="1" x="2672"/>
        <item m="1" x="4767"/>
        <item m="1" x="3290"/>
        <item m="1" x="3475"/>
        <item m="1" x="2460"/>
        <item m="1" x="3960"/>
        <item m="1" x="3454"/>
        <item m="1" x="2898"/>
        <item m="1" x="2566"/>
        <item m="1" x="3044"/>
        <item m="1" x="3079"/>
        <item m="1" x="4030"/>
        <item m="1" x="4789"/>
        <item m="1" x="3296"/>
        <item m="1" x="2593"/>
        <item m="1" x="4193"/>
        <item m="1" x="2830"/>
        <item m="1" x="2729"/>
        <item m="1" x="4755"/>
        <item m="1" x="3633"/>
        <item m="1" x="1813"/>
        <item m="1" x="2089"/>
        <item m="1" x="4153"/>
        <item m="1" x="2888"/>
        <item m="1" x="4332"/>
        <item m="1" x="2338"/>
        <item m="1" x="1768"/>
        <item m="1" x="4329"/>
        <item m="1" x="2117"/>
        <item m="1" x="4433"/>
        <item m="1" x="3669"/>
        <item m="1" x="4565"/>
        <item m="1" x="2835"/>
        <item m="1" x="2780"/>
        <item m="1" x="2923"/>
        <item m="1" x="4040"/>
        <item m="1" x="2312"/>
        <item m="1" x="2375"/>
        <item m="1" x="2012"/>
        <item m="1" x="3482"/>
        <item m="1" x="3928"/>
        <item m="1" x="4261"/>
        <item m="1" x="3978"/>
        <item m="1" x="4886"/>
        <item m="1" x="4891"/>
        <item m="1" x="4892"/>
        <item m="1" x="4682"/>
        <item m="1" x="2618"/>
        <item m="1" x="4586"/>
        <item m="1" x="4588"/>
        <item m="1" x="4803"/>
        <item m="1" x="2527"/>
        <item m="1" x="4595"/>
        <item m="1" x="4806"/>
        <item m="1" x="4805"/>
        <item m="1" x="4597"/>
        <item m="1" x="2534"/>
        <item m="1" x="2584"/>
        <item m="1" x="4727"/>
        <item m="1" x="2539"/>
        <item m="1" x="2140"/>
        <item m="1" x="4516"/>
        <item m="1" x="4644"/>
        <item m="1" x="2445"/>
        <item m="1" x="2019"/>
        <item m="1" x="2502"/>
        <item m="1" x="2586"/>
        <item m="1" x="4520"/>
        <item m="1" x="2450"/>
        <item m="1" x="2023"/>
        <item m="1" x="4766"/>
        <item m="1" x="4454"/>
        <item m="1" x="4648"/>
        <item m="1" x="4650"/>
        <item m="1" x="2384"/>
        <item m="1" x="1992"/>
        <item m="1" x="4592"/>
        <item m="1" x="2133"/>
        <item m="1" x="4593"/>
        <item m="1" x="4517"/>
        <item m="1" x="3538"/>
        <item m="1" x="2103"/>
        <item m="1" x="2847"/>
        <item m="1" x="1722"/>
        <item m="1" x="3035"/>
        <item m="1" x="4357"/>
        <item m="1" x="2843"/>
        <item m="1" x="2472"/>
        <item m="1" x="4212"/>
        <item m="1" x="2881"/>
        <item m="1" x="3036"/>
        <item m="1" x="4092"/>
        <item m="1" x="4183"/>
        <item m="1" x="3984"/>
        <item m="1" x="2678"/>
        <item m="1" x="3913"/>
        <item m="1" x="3918"/>
        <item m="1" x="3832"/>
        <item m="1" x="3657"/>
        <item m="1" x="4248"/>
        <item m="1" x="3571"/>
        <item m="1" x="3865"/>
        <item m="1" x="4168"/>
        <item m="1" x="3573"/>
        <item m="1" x="3755"/>
        <item m="1" x="3575"/>
        <item m="1" x="3756"/>
        <item m="1" x="4173"/>
        <item m="1" x="3720"/>
        <item m="1" x="4217"/>
        <item m="1" x="4291"/>
        <item m="1" x="3650"/>
        <item m="1" x="3511"/>
        <item m="1" x="4198"/>
        <item m="1" x="1807"/>
        <item m="1" x="4086"/>
        <item m="1" x="4129"/>
        <item m="1" x="3514"/>
        <item m="1" x="4290"/>
        <item m="1" x="2452"/>
        <item m="1" x="4130"/>
        <item m="1" x="3547"/>
        <item m="1" x="3620"/>
        <item m="1" x="3150"/>
        <item m="1" x="4117"/>
        <item m="1" x="4005"/>
        <item m="1" x="1996"/>
        <item m="1" x="3234"/>
        <item m="1" x="4544"/>
        <item m="1" x="4473"/>
        <item m="1" x="2388"/>
        <item m="1" x="1741"/>
        <item m="1" x="3979"/>
        <item m="1" x="4412"/>
        <item m="1" x="2349"/>
        <item m="1" x="2235"/>
        <item m="1" x="2995"/>
        <item m="1" x="3695"/>
        <item m="1" x="3498"/>
        <item m="1" x="4596"/>
        <item m="1" x="3054"/>
        <item m="1" x="2417"/>
        <item m="1" x="1762"/>
        <item m="1" x="4231"/>
        <item m="1" x="2239"/>
        <item m="1" x="2269"/>
        <item m="1" x="1783"/>
        <item m="1" x="3714"/>
        <item m="1" x="2242"/>
        <item m="1" x="2285"/>
        <item m="1" x="1821"/>
        <item m="1" x="1825"/>
        <item m="1" x="4869"/>
        <item m="1" x="4282"/>
        <item m="1" x="4674"/>
        <item m="1" x="3339"/>
        <item m="1" x="3658"/>
        <item m="1" x="2040"/>
        <item m="1" x="1823"/>
        <item m="1" x="3796"/>
        <item m="1" x="2559"/>
        <item m="1" x="3708"/>
        <item m="1" x="2666"/>
        <item m="1" x="3683"/>
        <item m="1" x="3412"/>
        <item m="1" x="3526"/>
        <item m="1" x="3083"/>
        <item m="1" x="2462"/>
        <item m="1" x="4245"/>
        <item m="1" x="4866"/>
        <item m="1" x="2482"/>
        <item m="1" x="2257"/>
        <item m="1" x="2158"/>
        <item m="1" x="1773"/>
        <item m="1" x="4018"/>
        <item m="1" x="2636"/>
        <item m="1" x="4750"/>
        <item m="1" x="3022"/>
        <item m="1" x="3917"/>
        <item m="1" x="2456"/>
        <item m="1" x="2036"/>
        <item m="1" x="4714"/>
        <item m="1" x="3990"/>
        <item m="1" x="4159"/>
        <item m="1" x="3872"/>
        <item m="1" x="4584"/>
        <item m="1" x="1940"/>
        <item m="1" x="2530"/>
        <item m="1" x="2099"/>
        <item m="1" x="2694"/>
        <item m="1" x="2753"/>
        <item m="1" x="4907"/>
        <item m="1" x="4496"/>
        <item m="1" x="3084"/>
        <item m="1" x="2111"/>
        <item m="1" x="2113"/>
        <item m="1" x="3665"/>
        <item m="1" x="3562"/>
        <item m="1" x="1927"/>
        <item m="1" x="1969"/>
        <item m="1" x="1972"/>
        <item m="1" x="2074"/>
        <item m="1" x="4849"/>
        <item m="1" x="1977"/>
        <item m="1" x="2078"/>
        <item m="1" x="2076"/>
        <item m="1" x="1978"/>
        <item m="1" x="4851"/>
        <item m="1" x="4876"/>
        <item m="1" x="2033"/>
        <item m="1" x="4853"/>
        <item m="1" x="4623"/>
        <item m="1" x="3502"/>
        <item m="1" x="3550"/>
        <item m="1" x="3192"/>
        <item m="1" x="2971"/>
        <item m="1" x="3209"/>
        <item m="1" x="3238"/>
        <item m="1" x="3507"/>
        <item m="1" x="3195"/>
        <item m="1" x="2973"/>
        <item m="1" x="2052"/>
        <item m="1" x="1898"/>
        <item m="1" x="2001"/>
        <item m="1" x="2002"/>
        <item m="1" x="4771"/>
        <item m="1" x="4546"/>
        <item m="1" x="1973"/>
        <item m="1" x="4621"/>
        <item m="1" x="1976"/>
        <item m="1" x="3504"/>
        <item m="1" x="2202"/>
        <item m="1" x="4603"/>
        <item m="1" x="3313"/>
        <item m="1" x="4072"/>
        <item m="1" x="1946"/>
        <item m="1" x="2528"/>
        <item m="1" x="4017"/>
        <item m="1" x="3824"/>
        <item m="1" x="2489"/>
        <item m="1" x="2668"/>
        <item m="1" x="4417"/>
        <item m="1" x="2490"/>
        <item m="1" x="2491"/>
        <item m="1" x="2492"/>
        <item m="1" x="2669"/>
        <item m="1" x="2493"/>
        <item m="1" x="2494"/>
        <item m="1" x="3045"/>
        <item m="1" x="4439"/>
        <item m="1" x="4285"/>
        <item m="1" x="4440"/>
        <item m="1" x="2241"/>
        <item m="1" x="4378"/>
        <item m="1" x="3356"/>
        <item m="1" x="1999"/>
        <item m="1" x="4540"/>
        <item m="1" x="3143"/>
        <item m="1" x="4379"/>
        <item m="1" x="4390"/>
        <item m="1" x="4083"/>
        <item m="1" x="3536"/>
        <item m="1" x="2208"/>
        <item m="1" x="3357"/>
        <item m="1" x="2824"/>
        <item m="1" x="4000"/>
        <item m="1" x="4283"/>
        <item m="1" x="4084"/>
        <item m="1" x="4541"/>
        <item m="1" x="3340"/>
        <item m="1" x="1955"/>
        <item m="1" x="4085"/>
        <item m="1" x="3696"/>
        <item m="1" x="4100"/>
        <item m="1" x="1830"/>
        <item m="1" x="2864"/>
        <item m="1" x="4380"/>
        <item m="1" x="4213"/>
        <item m="1" x="3400"/>
        <item m="1" x="3831"/>
        <item m="1" x="3065"/>
        <item m="1" x="2300"/>
        <item m="1" x="2404"/>
        <item m="1" x="3980"/>
        <item m="1" x="4822"/>
        <item m="1" x="3432"/>
        <item m="1" x="1721"/>
        <item m="1" x="2730"/>
        <item m="1" x="2390"/>
        <item m="1" x="3394"/>
        <item m="1" x="4102"/>
        <item m="1" x="4419"/>
        <item m="1" x="2799"/>
        <item m="1" x="4308"/>
        <item m="1" x="2692"/>
        <item m="1" x="2705"/>
        <item m="1" x="1793"/>
        <item m="1" x="3068"/>
        <item m="1" x="3453"/>
        <item m="1" x="2707"/>
        <item m="1" x="2378"/>
        <item m="1" x="1794"/>
        <item m="1" x="2183"/>
        <item m="1" x="2535"/>
        <item m="1" x="3843"/>
        <item m="1" x="3582"/>
        <item m="1" x="3073"/>
        <item m="1" x="4693"/>
        <item m="1" x="1869"/>
        <item m="1" x="4274"/>
        <item m="1" x="3493"/>
        <item m="1" x="1952"/>
        <item m="1" x="4240"/>
        <item m="1" x="2921"/>
        <item m="1" x="4752"/>
        <item m="1" x="2440"/>
        <item m="1" x="4272"/>
        <item m="1" x="1991"/>
        <item m="1" x="4897"/>
        <item m="1" x="3009"/>
        <item m="1" x="3256"/>
        <item m="1" x="3309"/>
        <item m="1" x="3661"/>
        <item m="1" x="1747"/>
        <item m="1" x="2961"/>
        <item m="1" x="3904"/>
        <item m="1" x="3854"/>
        <item m="1" x="3907"/>
        <item m="1" x="4299"/>
        <item m="1" x="3642"/>
        <item m="1" x="2902"/>
        <item m="1" x="2054"/>
        <item m="1" x="2609"/>
        <item m="1" x="2135"/>
        <item m="1" x="2185"/>
        <item m="1" x="3163"/>
        <item m="1" x="3214"/>
        <item m="1" x="3235"/>
        <item m="1" x="3654"/>
        <item m="1" x="3466"/>
        <item m="1" x="1902"/>
        <item m="1" x="4365"/>
        <item m="1" x="2512"/>
        <item m="1" x="2906"/>
        <item m="1" x="2150"/>
        <item m="1" x="3673"/>
        <item m="1" x="4840"/>
        <item m="1" x="2991"/>
        <item m="1" x="4372"/>
        <item m="1" x="4819"/>
        <item m="1" x="4564"/>
        <item m="1" x="3936"/>
        <item m="1" x="4050"/>
        <item m="1" x="1919"/>
        <item m="1" x="2520"/>
        <item m="1" x="4899"/>
        <item m="1" x="2766"/>
        <item m="1" x="1989"/>
        <item m="1" x="3592"/>
        <item m="1" x="4740"/>
        <item m="1" x="1803"/>
        <item m="1" x="3804"/>
        <item m="1" x="3814"/>
        <item m="1" x="3468"/>
        <item m="1" x="3746"/>
        <item m="1" x="4844"/>
        <item m="1" x="2844"/>
        <item m="1" x="3987"/>
        <item m="1" x="1957"/>
        <item m="1" x="1911"/>
        <item m="1" x="4230"/>
        <item m="1" x="4898"/>
        <item m="1" x="4304"/>
        <item m="1" x="1964"/>
        <item m="1" x="2734"/>
        <item m="1" x="4106"/>
        <item m="1" x="2127"/>
        <item m="1" x="4815"/>
        <item m="1" x="3149"/>
        <item m="1" x="2082"/>
        <item m="1" x="4360"/>
        <item m="1" x="4684"/>
        <item m="1" x="2058"/>
        <item m="1" x="3096"/>
        <item m="1" x="2314"/>
        <item m="1" x="2176"/>
        <item m="1" x="1831"/>
        <item m="1" x="3997"/>
        <item m="1" x="3270"/>
        <item m="1" x="4808"/>
        <item m="1" x="1954"/>
        <item m="1" x="2217"/>
        <item m="1" x="2218"/>
        <item m="1" x="3583"/>
        <item m="1" x="3314"/>
        <item m="1" x="4288"/>
        <item m="1" x="3297"/>
        <item m="1" x="2808"/>
        <item m="1" x="2901"/>
        <item m="1" x="4254"/>
        <item m="1" x="4214"/>
        <item m="1" x="2020"/>
        <item m="1" x="2121"/>
        <item m="1" x="3127"/>
        <item m="1" x="4568"/>
        <item m="1" x="3402"/>
        <item m="1" x="2282"/>
        <item m="1" x="2021"/>
        <item m="1" x="3447"/>
        <item m="1" x="4123"/>
        <item m="1" x="2505"/>
        <item m="1" x="2096"/>
        <item m="1" x="2333"/>
        <item m="1" x="3966"/>
        <item m="1" x="1727"/>
        <item m="1" x="1850"/>
        <item m="1" x="2953"/>
        <item m="1" x="3649"/>
        <item m="1" x="1780"/>
        <item m="1" x="4333"/>
        <item m="1" x="3745"/>
        <item m="1" x="2820"/>
        <item m="1" x="2671"/>
        <item m="1" x="3954"/>
        <item m="1" x="2207"/>
        <item m="1" x="2798"/>
        <item m="1" x="3106"/>
        <item m="1" x="2017"/>
        <item m="1" x="1760"/>
        <item m="1" x="1900"/>
        <item m="1" x="3485"/>
        <item m="1" x="3712"/>
        <item m="1" x="4620"/>
        <item m="1" x="3430"/>
        <item m="1" x="4685"/>
        <item m="1" x="2904"/>
        <item m="1" x="3610"/>
        <item m="1" x="4557"/>
        <item m="1" x="1751"/>
        <item m="1" x="1925"/>
        <item m="1" x="3510"/>
        <item m="1" x="4047"/>
        <item m="1" x="3427"/>
        <item m="1" x="4066"/>
        <item m="1" x="3847"/>
        <item m="1" x="3986"/>
        <item m="1" x="1860"/>
        <item m="1" x="4764"/>
        <item m="1" x="3779"/>
        <item m="1" x="4699"/>
        <item m="1" x="2860"/>
        <item m="1" x="3075"/>
        <item m="1" x="4834"/>
        <item m="1" x="1905"/>
        <item m="1" x="2115"/>
        <item m="1" x="3853"/>
        <item m="1" x="3443"/>
        <item m="1" x="2059"/>
        <item m="1" x="3771"/>
        <item m="1" x="3501"/>
        <item m="1" x="2976"/>
        <item m="1" x="3951"/>
        <item m="1" x="3063"/>
        <item m="1" x="4330"/>
        <item m="1" x="4841"/>
        <item m="1" x="2606"/>
        <item m="1" x="4900"/>
        <item m="1" x="2696"/>
        <item m="1" x="3134"/>
        <item m="1" x="3395"/>
        <item m="1" x="4552"/>
        <item m="1" x="2465"/>
        <item m="1" x="4202"/>
        <item m="1" x="2710"/>
        <item m="1" x="2933"/>
        <item m="1" x="2614"/>
        <item m="1" x="2131"/>
        <item m="1" x="3725"/>
        <item m="1" x="4295"/>
        <item m="1" x="2161"/>
        <item m="1" x="1993"/>
        <item m="1" x="3240"/>
        <item m="1" x="1888"/>
        <item m="1" x="4837"/>
        <item m="1" x="2137"/>
        <item m="1" x="2670"/>
        <item m="1" x="3825"/>
        <item m="1" x="4828"/>
        <item m="1" x="3448"/>
        <item m="1" x="1822"/>
        <item m="1" x="1949"/>
        <item m="1" x="2600"/>
        <item m="1" x="3799"/>
        <item m="1" x="2448"/>
        <item m="1" x="2805"/>
        <item m="1" x="4476"/>
        <item m="1" x="3662"/>
        <item m="1" x="3515"/>
        <item m="1" x="3137"/>
        <item m="1" x="4536"/>
        <item m="1" x="2611"/>
        <item m="1" x="2405"/>
        <item m="1" x="3989"/>
        <item m="1" x="2758"/>
        <item m="1" x="2149"/>
        <item m="1" x="2043"/>
        <item m="1" x="3082"/>
        <item m="1" x="2717"/>
        <item m="1" x="3530"/>
        <item m="1" x="2419"/>
        <item m="1" x="1745"/>
        <item m="1" x="3200"/>
        <item m="1" x="3426"/>
        <item m="1" x="4054"/>
        <item m="1" x="3564"/>
        <item m="1" x="3606"/>
        <item m="1" x="3801"/>
        <item m="1" x="3985"/>
        <item m="1" x="1875"/>
        <item m="1" x="2265"/>
        <item m="1" x="4216"/>
        <item m="1" x="4113"/>
        <item m="1" x="2866"/>
        <item m="1" x="3794"/>
        <item m="1" x="3411"/>
        <item m="1" x="4057"/>
        <item m="1" x="3269"/>
        <item m="1" x="2795"/>
        <item m="1" x="2055"/>
        <item m="1" x="2605"/>
        <item m="1" x="1863"/>
        <item m="1" x="2848"/>
        <item m="1" x="4039"/>
        <item m="1" x="3455"/>
        <item m="1" x="4823"/>
        <item m="1" x="2743"/>
        <item m="1" x="4223"/>
        <item m="1" x="3959"/>
        <item m="1" x="3664"/>
        <item m="1" x="2083"/>
        <item x="0"/>
        <item x="9"/>
        <item x="10"/>
        <item x="11"/>
        <item x="12"/>
        <item x="13"/>
        <item x="14"/>
        <item x="15"/>
        <item x="16"/>
        <item m="1" x="3399"/>
        <item x="18"/>
        <item m="1" x="1740"/>
        <item x="19"/>
        <item x="20"/>
        <item x="21"/>
        <item x="22"/>
        <item x="23"/>
        <item x="24"/>
        <item x="25"/>
        <item m="1" x="3894"/>
        <item x="26"/>
        <item x="27"/>
        <item x="2"/>
        <item x="28"/>
        <item x="29"/>
        <item m="1" x="4728"/>
        <item m="1" x="2855"/>
        <item m="1" x="2887"/>
        <item m="1" x="4157"/>
        <item m="1" x="2442"/>
        <item m="1" x="2271"/>
        <item m="1" x="4710"/>
        <item x="4"/>
        <item x="5"/>
        <item m="1" x="4534"/>
        <item x="7"/>
        <item x="8"/>
        <item m="1" x="2212"/>
        <item x="47"/>
        <item x="48"/>
        <item m="1" x="2796"/>
        <item x="50"/>
        <item x="51"/>
        <item x="52"/>
        <item m="1" x="1728"/>
        <item m="1" x="3798"/>
        <item m="1" x="3548"/>
        <item m="1" x="2414"/>
        <item m="1" x="3945"/>
        <item m="1" x="2872"/>
        <item m="1" x="3043"/>
        <item m="1" x="4778"/>
        <item m="1" x="2044"/>
        <item m="1" x="2268"/>
        <item m="1" x="3668"/>
        <item m="1" x="2985"/>
        <item m="1" x="3524"/>
        <item x="46"/>
        <item m="1" x="2513"/>
        <item m="1" x="2262"/>
        <item m="1" x="3169"/>
        <item m="1" x="3867"/>
        <item m="1" x="3038"/>
        <item x="71"/>
        <item m="1" x="3405"/>
        <item m="1" x="4761"/>
        <item m="1" x="3935"/>
        <item m="1" x="3049"/>
        <item m="1" x="4201"/>
        <item m="1" x="3227"/>
        <item m="1" x="2984"/>
        <item m="1" x="2763"/>
        <item m="1" x="2867"/>
        <item m="1" x="2859"/>
        <item m="1" x="3715"/>
        <item m="1" x="2449"/>
        <item m="1" x="3116"/>
        <item m="1" x="3138"/>
        <item m="1" x="3659"/>
        <item m="1" x="3396"/>
        <item m="1" x="1761"/>
        <item m="1" x="1861"/>
        <item m="1" x="2171"/>
        <item m="1" x="2030"/>
        <item m="1" x="3480"/>
        <item m="1" x="2295"/>
        <item m="1" x="3224"/>
        <item m="1" x="1867"/>
        <item m="1" x="2291"/>
        <item m="1" x="4007"/>
        <item m="1" x="2093"/>
        <item m="1" x="4478"/>
        <item m="1" x="3897"/>
        <item m="1" x="4896"/>
        <item m="1" x="3694"/>
        <item m="1" x="2230"/>
        <item m="1" x="3903"/>
        <item m="1" x="3541"/>
        <item m="1" x="2276"/>
        <item m="1" x="4342"/>
        <item m="1" x="4364"/>
        <item m="1" x="3092"/>
        <item m="1" x="3446"/>
        <item m="1" x="3806"/>
        <item m="1" x="4353"/>
        <item m="1" x="1716"/>
        <item m="1" x="4484"/>
        <item m="1" x="4741"/>
        <item m="1" x="2416"/>
        <item m="1" x="2473"/>
        <item m="1" x="4824"/>
        <item m="1" x="2506"/>
        <item m="1" x="3191"/>
        <item m="1" x="3685"/>
        <item m="1" x="2531"/>
        <item m="1" x="1717"/>
        <item m="1" x="1934"/>
        <item m="1" x="4709"/>
        <item m="1" x="4443"/>
        <item m="1" x="2353"/>
        <item m="1" x="2227"/>
        <item m="1" x="3938"/>
        <item m="1" x="1828"/>
        <item m="1" x="4221"/>
        <item m="1" x="1984"/>
        <item m="1" x="2393"/>
        <item m="1" x="4515"/>
        <item m="1" x="2210"/>
        <item m="1" x="3225"/>
        <item m="1" x="3691"/>
        <item m="1" x="3590"/>
        <item m="1" x="3539"/>
        <item m="1" x="2562"/>
        <item m="1" x="4190"/>
        <item m="1" x="1837"/>
        <item x="382"/>
        <item m="1" x="2298"/>
        <item m="1" x="4656"/>
        <item m="1" x="2124"/>
        <item m="1" x="2293"/>
        <item m="1" x="3232"/>
        <item m="1" x="2480"/>
        <item m="1" x="4184"/>
        <item m="1" x="4768"/>
        <item m="1" x="4881"/>
        <item m="1" x="2608"/>
        <item m="1" x="4793"/>
        <item m="1" x="3142"/>
        <item m="1" x="2015"/>
        <item m="1" x="4402"/>
        <item m="1" x="3286"/>
        <item m="1" x="1764"/>
        <item m="1" x="3007"/>
        <item m="1" x="3846"/>
        <item m="1" x="4816"/>
        <item x="485"/>
        <item m="1" x="4622"/>
        <item m="1" x="2092"/>
        <item m="1" x="1840"/>
        <item m="1" x="3750"/>
        <item m="1" x="2912"/>
        <item m="1" x="2592"/>
        <item m="1" x="3916"/>
        <item m="1" x="4675"/>
        <item m="1" x="3305"/>
        <item m="1" x="2461"/>
        <item m="1" x="3194"/>
        <item m="1" x="3093"/>
        <item m="1" x="1935"/>
        <item m="1" x="3553"/>
        <item m="1" x="3262"/>
        <item m="1" x="3939"/>
        <item m="1" x="4238"/>
        <item m="1" x="1734"/>
        <item m="1" x="4232"/>
        <item m="1" x="4916"/>
        <item m="1" x="3751"/>
        <item m="1" x="4722"/>
        <item m="1" x="4563"/>
        <item m="1" x="4548"/>
        <item m="1" x="2952"/>
        <item m="1" x="4289"/>
        <item m="1" x="3333"/>
        <item m="1" x="2231"/>
        <item m="1" x="3190"/>
        <item m="1" x="2130"/>
        <item m="1" x="4704"/>
        <item m="1" x="2656"/>
        <item m="1" x="4411"/>
        <item m="1" x="3376"/>
        <item m="1" x="4347"/>
        <item m="1" x="3877"/>
        <item m="1" x="4442"/>
        <item m="1" x="4350"/>
        <item m="1" x="3040"/>
        <item m="1" x="3888"/>
        <item m="1" x="3323"/>
        <item m="1" x="4608"/>
        <item m="1" x="3924"/>
        <item m="1" x="2544"/>
        <item m="1" x="1912"/>
        <item m="1" x="3625"/>
        <item m="1" x="4455"/>
        <item m="1" x="3949"/>
        <item m="1" x="3783"/>
        <item m="1" x="4865"/>
        <item m="1" x="3613"/>
        <item m="1" x="3640"/>
        <item m="1" x="2507"/>
        <item m="1" x="2308"/>
        <item m="1" x="2779"/>
        <item m="1" x="3387"/>
        <item m="1" x="4298"/>
        <item m="1" x="2775"/>
        <item m="1" x="4533"/>
        <item m="1" x="4160"/>
        <item m="1" x="2238"/>
        <item x="497"/>
        <item m="1" x="3742"/>
        <item m="1" x="2856"/>
        <item m="1" x="2315"/>
        <item m="1" x="2313"/>
        <item m="1" x="4319"/>
        <item m="1" x="2289"/>
        <item m="1" x="3873"/>
        <item m="1" x="3599"/>
        <item m="1" x="4509"/>
        <item m="1" x="4736"/>
        <item m="1" x="2892"/>
        <item m="1" x="4615"/>
        <item m="1" x="4058"/>
        <item m="1" x="3505"/>
        <item m="1" x="2222"/>
        <item m="1" x="2882"/>
        <item m="1" x="4176"/>
        <item m="1" x="2354"/>
        <item m="1" x="3002"/>
        <item m="1" x="3131"/>
        <item m="1" x="4524"/>
        <item m="1" x="4695"/>
        <item m="1" x="1874"/>
        <item m="1" x="3098"/>
        <item m="1" x="2587"/>
        <item m="1" x="3726"/>
        <item m="1" x="3700"/>
        <item m="1" x="3237"/>
        <item m="1" x="3070"/>
        <item m="1" x="2924"/>
        <item m="1" x="3081"/>
        <item m="1" x="2962"/>
        <item m="1" x="2964"/>
        <item m="1" x="1913"/>
        <item m="1" x="3983"/>
        <item m="1" x="2895"/>
        <item m="1" x="4132"/>
        <item m="1" x="4219"/>
        <item m="1" x="4538"/>
        <item m="1" x="1790"/>
        <item m="1" x="3786"/>
        <item m="1" x="3301"/>
        <item m="1" x="3910"/>
        <item m="1" x="3050"/>
        <item m="1" x="3690"/>
        <item m="1" x="3977"/>
        <item m="1" x="2537"/>
        <item m="1" x="3321"/>
        <item m="1" x="2975"/>
        <item m="1" x="2968"/>
        <item m="1" x="3380"/>
        <item m="1" x="1723"/>
        <item m="1" x="2483"/>
        <item m="1" x="3809"/>
        <item m="1" x="3047"/>
        <item m="1" x="3731"/>
        <item m="1" x="3334"/>
        <item m="1" x="2900"/>
        <item m="1" x="3677"/>
        <item m="1" x="2343"/>
        <item m="1" x="3121"/>
        <item m="1" x="3643"/>
        <item m="1" x="2876"/>
        <item m="1" x="1883"/>
        <item m="1" x="4055"/>
        <item m="1" x="4464"/>
        <item m="1" x="4659"/>
        <item m="1" x="4303"/>
        <item m="1" x="2928"/>
        <item m="1" x="3316"/>
        <item m="1" x="2886"/>
        <item m="1" x="4074"/>
        <item x="1"/>
        <item x="3"/>
        <item x="6"/>
        <item x="17"/>
        <item x="30"/>
        <item x="31"/>
        <item x="32"/>
        <item x="34"/>
        <item x="35"/>
        <item x="36"/>
        <item x="37"/>
        <item x="38"/>
        <item x="39"/>
        <item x="40"/>
        <item x="41"/>
        <item x="42"/>
        <item x="43"/>
        <item x="44"/>
        <item x="45"/>
        <item x="49"/>
        <item x="53"/>
        <item x="54"/>
        <item x="55"/>
        <item x="56"/>
        <item x="57"/>
        <item x="58"/>
        <item x="59"/>
        <item x="60"/>
        <item x="61"/>
        <item x="62"/>
        <item x="63"/>
        <item x="64"/>
        <item x="65"/>
        <item x="66"/>
        <item x="67"/>
        <item x="68"/>
        <item x="69"/>
        <item x="70"/>
        <item x="72"/>
        <item x="73"/>
        <item x="74"/>
        <item x="75"/>
        <item x="76"/>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1"/>
        <item x="132"/>
        <item x="133"/>
        <item x="134"/>
        <item x="136"/>
        <item x="137"/>
        <item x="138"/>
        <item x="139"/>
        <item x="140"/>
        <item x="141"/>
        <item x="142"/>
        <item x="143"/>
        <item x="144"/>
        <item x="145"/>
        <item x="146"/>
        <item x="147"/>
        <item x="148"/>
        <item x="149"/>
        <item x="150"/>
        <item x="151"/>
        <item x="152"/>
        <item x="153"/>
        <item x="154"/>
        <item x="165"/>
        <item x="166"/>
        <item x="167"/>
        <item x="169"/>
        <item x="170"/>
        <item x="171"/>
        <item x="177"/>
        <item x="182"/>
        <item x="185"/>
        <item x="186"/>
        <item x="188"/>
        <item x="189"/>
        <item x="190"/>
        <item x="191"/>
        <item x="192"/>
        <item x="193"/>
        <item x="194"/>
        <item x="195"/>
        <item x="197"/>
        <item x="198"/>
        <item x="199"/>
        <item x="201"/>
        <item x="202"/>
        <item x="206"/>
        <item x="208"/>
        <item x="209"/>
        <item x="210"/>
        <item x="211"/>
        <item x="214"/>
        <item x="217"/>
        <item x="218"/>
        <item x="219"/>
        <item x="220"/>
        <item x="222"/>
        <item x="223"/>
        <item x="224"/>
        <item x="226"/>
        <item x="227"/>
        <item x="228"/>
        <item x="229"/>
        <item x="230"/>
        <item x="231"/>
        <item x="232"/>
        <item x="233"/>
        <item x="234"/>
        <item x="237"/>
        <item x="238"/>
        <item x="239"/>
        <item x="240"/>
        <item x="241"/>
        <item x="242"/>
        <item x="244"/>
        <item x="245"/>
        <item x="246"/>
        <item x="247"/>
        <item x="248"/>
        <item x="249"/>
        <item x="250"/>
        <item x="252"/>
        <item x="253"/>
        <item x="254"/>
        <item x="255"/>
        <item x="256"/>
        <item x="257"/>
        <item x="258"/>
        <item x="265"/>
        <item x="267"/>
        <item x="268"/>
        <item x="271"/>
        <item x="272"/>
        <item x="275"/>
        <item x="277"/>
        <item x="279"/>
        <item x="280"/>
        <item x="281"/>
        <item x="282"/>
        <item x="283"/>
        <item x="284"/>
        <item x="286"/>
        <item x="287"/>
        <item x="288"/>
        <item x="289"/>
        <item x="290"/>
        <item x="291"/>
        <item x="292"/>
        <item x="293"/>
        <item x="294"/>
        <item x="295"/>
        <item x="296"/>
        <item x="297"/>
        <item x="298"/>
        <item x="299"/>
        <item x="300"/>
        <item x="301"/>
        <item x="302"/>
        <item x="303"/>
        <item x="304"/>
        <item x="305"/>
        <item x="307"/>
        <item x="308"/>
        <item x="309"/>
        <item x="310"/>
        <item x="311"/>
        <item x="312"/>
        <item x="313"/>
        <item x="314"/>
        <item x="315"/>
        <item x="316"/>
        <item x="317"/>
        <item x="318"/>
        <item x="319"/>
        <item x="320"/>
        <item x="321"/>
        <item x="322"/>
        <item x="323"/>
        <item x="324"/>
        <item x="325"/>
        <item x="326"/>
        <item x="327"/>
        <item x="328"/>
        <item x="331"/>
        <item x="332"/>
        <item x="333"/>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8"/>
        <item x="379"/>
        <item x="380"/>
        <item x="381"/>
        <item x="383"/>
        <item x="384"/>
        <item x="385"/>
        <item x="386"/>
        <item x="387"/>
        <item x="388"/>
        <item x="389"/>
        <item x="390"/>
        <item x="391"/>
        <item x="393"/>
        <item x="394"/>
        <item x="395"/>
        <item x="396"/>
        <item x="397"/>
        <item x="398"/>
        <item x="399"/>
        <item x="401"/>
        <item x="402"/>
        <item x="404"/>
        <item x="405"/>
        <item x="406"/>
        <item x="407"/>
        <item x="408"/>
        <item x="409"/>
        <item x="410"/>
        <item x="411"/>
        <item x="412"/>
        <item x="414"/>
        <item x="415"/>
        <item x="416"/>
        <item x="417"/>
        <item x="418"/>
        <item x="419"/>
        <item x="420"/>
        <item x="421"/>
        <item x="422"/>
        <item x="423"/>
        <item x="424"/>
        <item x="425"/>
        <item x="426"/>
        <item x="427"/>
        <item x="428"/>
        <item x="429"/>
        <item x="430"/>
        <item x="431"/>
        <item x="432"/>
        <item x="433"/>
        <item x="434"/>
        <item x="435"/>
        <item x="436"/>
        <item x="437"/>
        <item x="438"/>
        <item x="439"/>
        <item x="440"/>
        <item x="442"/>
        <item x="443"/>
        <item x="444"/>
        <item x="448"/>
        <item x="449"/>
        <item x="450"/>
        <item x="451"/>
        <item x="452"/>
        <item x="453"/>
        <item x="454"/>
        <item x="455"/>
        <item x="457"/>
        <item x="458"/>
        <item x="459"/>
        <item x="460"/>
        <item x="461"/>
        <item x="462"/>
        <item x="463"/>
        <item x="464"/>
        <item x="465"/>
        <item x="467"/>
        <item x="468"/>
        <item x="469"/>
        <item x="470"/>
        <item x="471"/>
        <item x="472"/>
        <item x="473"/>
        <item x="474"/>
        <item x="475"/>
        <item x="477"/>
        <item x="478"/>
        <item x="479"/>
        <item x="480"/>
        <item x="481"/>
        <item x="483"/>
        <item x="486"/>
        <item x="487"/>
        <item x="489"/>
        <item x="491"/>
        <item x="494"/>
        <item x="495"/>
        <item x="499"/>
        <item x="500"/>
        <item x="501"/>
        <item x="502"/>
        <item x="503"/>
        <item x="504"/>
        <item x="508"/>
        <item x="509"/>
        <item x="510"/>
        <item x="511"/>
        <item x="512"/>
        <item x="513"/>
        <item x="515"/>
        <item x="516"/>
        <item x="517"/>
        <item x="518"/>
        <item x="519"/>
        <item x="520"/>
        <item x="524"/>
        <item x="526"/>
        <item x="532"/>
        <item x="534"/>
        <item x="536"/>
        <item x="537"/>
        <item x="538"/>
        <item x="539"/>
        <item x="540"/>
        <item x="541"/>
        <item x="542"/>
        <item x="544"/>
        <item x="545"/>
        <item x="546"/>
        <item x="547"/>
        <item x="549"/>
        <item x="551"/>
        <item x="552"/>
        <item x="553"/>
        <item x="555"/>
        <item x="556"/>
        <item x="557"/>
        <item x="558"/>
        <item x="559"/>
        <item x="561"/>
        <item x="562"/>
        <item x="563"/>
        <item x="564"/>
        <item x="565"/>
        <item x="566"/>
        <item x="567"/>
        <item x="569"/>
        <item x="572"/>
        <item x="573"/>
        <item x="575"/>
        <item x="576"/>
        <item x="577"/>
        <item x="1715"/>
        <item x="578"/>
        <item x="579"/>
        <item x="580"/>
        <item x="581"/>
        <item x="582"/>
        <item x="583"/>
        <item x="584"/>
        <item x="585"/>
        <item x="586"/>
        <item x="587"/>
        <item x="589"/>
        <item x="590"/>
        <item x="591"/>
        <item x="592"/>
        <item x="593"/>
        <item x="594"/>
        <item x="595"/>
        <item x="596"/>
        <item x="597"/>
        <item x="599"/>
        <item x="601"/>
        <item x="603"/>
        <item x="604"/>
        <item x="605"/>
        <item x="606"/>
        <item x="607"/>
        <item x="608"/>
        <item x="609"/>
        <item x="610"/>
        <item x="612"/>
        <item x="613"/>
        <item x="614"/>
        <item x="615"/>
        <item x="616"/>
        <item x="617"/>
        <item x="618"/>
        <item x="619"/>
        <item x="620"/>
        <item x="621"/>
        <item x="622"/>
        <item x="623"/>
        <item x="624"/>
        <item x="625"/>
        <item x="626"/>
        <item x="628"/>
        <item x="629"/>
        <item x="631"/>
        <item x="632"/>
        <item x="633"/>
        <item x="634"/>
        <item x="635"/>
        <item x="637"/>
        <item x="638"/>
        <item x="639"/>
        <item x="640"/>
        <item x="641"/>
        <item x="644"/>
        <item x="645"/>
        <item x="646"/>
        <item x="647"/>
        <item x="648"/>
        <item x="649"/>
        <item x="650"/>
        <item x="651"/>
        <item x="652"/>
        <item x="653"/>
        <item x="654"/>
        <item x="655"/>
        <item x="656"/>
        <item x="657"/>
        <item x="658"/>
        <item x="660"/>
        <item x="665"/>
        <item x="666"/>
        <item x="667"/>
        <item x="668"/>
        <item x="669"/>
        <item x="671"/>
        <item x="672"/>
        <item x="673"/>
        <item x="674"/>
        <item x="675"/>
        <item x="676"/>
        <item x="677"/>
        <item x="678"/>
        <item x="680"/>
        <item x="681"/>
        <item x="682"/>
        <item x="684"/>
        <item x="685"/>
        <item x="686"/>
        <item x="687"/>
        <item x="689"/>
        <item x="690"/>
        <item x="692"/>
        <item x="693"/>
        <item x="696"/>
        <item x="697"/>
        <item x="698"/>
        <item x="699"/>
        <item x="700"/>
        <item x="701"/>
        <item x="704"/>
        <item x="705"/>
        <item x="706"/>
        <item x="707"/>
        <item x="708"/>
        <item x="709"/>
        <item x="710"/>
        <item x="711"/>
        <item x="713"/>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6"/>
        <item x="749"/>
        <item x="750"/>
        <item x="752"/>
        <item x="753"/>
        <item x="754"/>
        <item x="755"/>
        <item x="756"/>
        <item x="758"/>
        <item x="759"/>
        <item x="760"/>
        <item x="761"/>
        <item x="762"/>
        <item x="763"/>
        <item x="764"/>
        <item x="765"/>
        <item x="766"/>
        <item x="767"/>
        <item x="768"/>
        <item x="769"/>
        <item x="770"/>
        <item x="771"/>
        <item x="772"/>
        <item x="773"/>
        <item x="774"/>
        <item x="775"/>
        <item x="776"/>
        <item x="777"/>
        <item x="778"/>
        <item x="780"/>
        <item x="784"/>
        <item x="785"/>
        <item x="786"/>
        <item x="787"/>
        <item x="789"/>
        <item x="790"/>
        <item x="791"/>
        <item x="792"/>
        <item x="793"/>
        <item x="794"/>
        <item x="795"/>
        <item x="796"/>
        <item x="797"/>
        <item x="798"/>
        <item x="799"/>
        <item x="800"/>
        <item x="801"/>
        <item x="802"/>
        <item x="803"/>
        <item x="804"/>
        <item x="806"/>
        <item x="808"/>
        <item x="809"/>
        <item x="810"/>
        <item x="811"/>
        <item x="813"/>
        <item x="814"/>
        <item x="815"/>
        <item x="816"/>
        <item x="817"/>
        <item x="818"/>
        <item x="819"/>
        <item x="820"/>
        <item x="821"/>
        <item x="822"/>
        <item x="823"/>
        <item x="824"/>
        <item x="825"/>
        <item x="826"/>
        <item x="827"/>
        <item x="828"/>
        <item x="830"/>
        <item x="832"/>
        <item x="833"/>
        <item x="834"/>
        <item x="835"/>
        <item x="836"/>
        <item x="837"/>
        <item x="838"/>
        <item x="839"/>
        <item x="840"/>
        <item x="841"/>
        <item x="844"/>
        <item x="845"/>
        <item x="847"/>
        <item x="848"/>
        <item x="849"/>
        <item x="850"/>
        <item x="851"/>
        <item x="852"/>
        <item x="853"/>
        <item x="854"/>
        <item x="855"/>
        <item x="856"/>
        <item x="857"/>
        <item x="858"/>
        <item x="859"/>
        <item x="860"/>
        <item x="861"/>
        <item x="862"/>
        <item x="865"/>
        <item x="867"/>
        <item x="868"/>
        <item x="869"/>
        <item x="871"/>
        <item x="872"/>
        <item x="873"/>
        <item x="874"/>
        <item x="875"/>
        <item x="876"/>
        <item x="877"/>
        <item x="878"/>
        <item x="879"/>
        <item x="880"/>
        <item x="881"/>
        <item x="882"/>
        <item x="884"/>
        <item x="886"/>
        <item x="887"/>
        <item x="888"/>
        <item x="890"/>
        <item x="891"/>
        <item x="892"/>
        <item x="893"/>
        <item x="894"/>
        <item x="895"/>
        <item x="896"/>
        <item x="897"/>
        <item x="898"/>
        <item x="899"/>
        <item x="900"/>
        <item x="901"/>
        <item x="902"/>
        <item x="903"/>
        <item x="904"/>
        <item x="905"/>
        <item x="906"/>
        <item x="907"/>
        <item x="908"/>
        <item x="909"/>
        <item x="911"/>
        <item x="913"/>
        <item x="914"/>
        <item m="1" x="4718"/>
        <item x="916"/>
        <item x="917"/>
        <item x="918"/>
        <item x="919"/>
        <item x="920"/>
        <item x="923"/>
        <item x="924"/>
        <item x="925"/>
        <item x="926"/>
        <item x="927"/>
        <item x="928"/>
        <item x="929"/>
        <item x="930"/>
        <item x="931"/>
        <item x="933"/>
        <item x="934"/>
        <item x="937"/>
        <item x="938"/>
        <item x="939"/>
        <item x="940"/>
        <item x="941"/>
        <item x="942"/>
        <item x="943"/>
        <item x="944"/>
        <item x="946"/>
        <item x="947"/>
        <item x="948"/>
        <item x="952"/>
        <item x="953"/>
        <item x="954"/>
        <item x="955"/>
        <item x="957"/>
        <item x="958"/>
        <item x="959"/>
        <item x="960"/>
        <item x="961"/>
        <item x="962"/>
        <item x="963"/>
        <item x="964"/>
        <item x="965"/>
        <item x="966"/>
        <item x="967"/>
        <item x="968"/>
        <item x="970"/>
        <item x="971"/>
        <item x="974"/>
        <item x="976"/>
        <item x="977"/>
        <item x="983"/>
        <item x="984"/>
        <item x="985"/>
        <item x="986"/>
        <item x="987"/>
        <item x="988"/>
        <item x="989"/>
        <item x="990"/>
        <item x="995"/>
        <item x="996"/>
        <item x="997"/>
        <item x="998"/>
        <item x="999"/>
        <item x="1000"/>
        <item x="1001"/>
        <item x="1004"/>
        <item x="1005"/>
        <item x="1006"/>
        <item x="1007"/>
        <item x="1008"/>
        <item x="1010"/>
        <item x="1012"/>
        <item x="1014"/>
        <item x="1015"/>
        <item x="1017"/>
        <item x="1018"/>
        <item x="1019"/>
        <item x="1020"/>
        <item x="1023"/>
        <item x="1024"/>
        <item x="1025"/>
        <item x="1026"/>
        <item x="1027"/>
        <item x="1028"/>
        <item x="1029"/>
        <item x="1030"/>
        <item x="1031"/>
        <item x="1032"/>
        <item x="1036"/>
        <item x="1037"/>
        <item x="1039"/>
        <item x="1041"/>
        <item x="1042"/>
        <item x="1043"/>
        <item x="1044"/>
        <item x="1046"/>
        <item x="1048"/>
        <item x="1049"/>
        <item x="1050"/>
        <item x="1051"/>
        <item x="1052"/>
        <item x="1054"/>
        <item x="1055"/>
        <item x="1056"/>
        <item x="1057"/>
        <item x="1058"/>
        <item x="1060"/>
        <item x="1061"/>
        <item x="1062"/>
        <item x="1063"/>
        <item x="1064"/>
        <item x="1065"/>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1"/>
        <item x="1112"/>
        <item x="1113"/>
        <item x="1114"/>
        <item x="1115"/>
        <item x="1116"/>
        <item x="1117"/>
        <item x="1118"/>
        <item x="1119"/>
        <item x="1120"/>
        <item x="1121"/>
        <item x="1122"/>
        <item x="1123"/>
        <item x="1124"/>
        <item x="1125"/>
        <item x="1126"/>
        <item x="1127"/>
        <item x="1128"/>
        <item x="1129"/>
        <item x="1131"/>
        <item x="1132"/>
        <item x="1133"/>
        <item x="1135"/>
        <item x="1136"/>
        <item x="1137"/>
        <item x="1138"/>
        <item x="1141"/>
        <item x="1142"/>
        <item x="1143"/>
        <item x="1144"/>
        <item x="1145"/>
        <item x="1146"/>
        <item x="1147"/>
        <item x="1148"/>
        <item x="1150"/>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13"/>
        <item x="1515"/>
        <item x="1516"/>
        <item x="1518"/>
        <item x="1519"/>
        <item x="1525"/>
        <item x="1527"/>
        <item x="1529"/>
        <item x="1531"/>
        <item x="1532"/>
        <item x="1533"/>
        <item x="1535"/>
        <item x="1536"/>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915"/>
      </items>
    </pivotField>
    <pivotField axis="axisRow" compact="0" outline="0" showAll="0" defaultSubtotal="0">
      <items count="2298">
        <item x="0"/>
        <item x="9"/>
        <item x="10"/>
        <item x="11"/>
        <item x="12"/>
        <item x="13"/>
        <item x="14"/>
        <item x="15"/>
        <item x="16"/>
        <item x="17"/>
        <item x="18"/>
        <item x="1"/>
        <item x="19"/>
        <item x="20"/>
        <item x="21"/>
        <item x="22"/>
        <item x="23"/>
        <item x="24"/>
        <item x="25"/>
        <item m="1" x="1844"/>
        <item x="26"/>
        <item x="27"/>
        <item x="2"/>
        <item x="28"/>
        <item x="29"/>
        <item x="30"/>
        <item x="31"/>
        <item x="32"/>
        <item x="33"/>
        <item m="1" x="1969"/>
        <item x="34"/>
        <item x="35"/>
        <item x="36"/>
        <item x="3"/>
        <item x="37"/>
        <item x="4"/>
        <item x="5"/>
        <item x="6"/>
        <item x="7"/>
        <item x="8"/>
        <item x="38"/>
        <item x="47"/>
        <item x="48"/>
        <item x="49"/>
        <item x="50"/>
        <item x="51"/>
        <item x="52"/>
        <item x="53"/>
        <item x="54"/>
        <item x="55"/>
        <item x="56"/>
        <item x="39"/>
        <item x="57"/>
        <item x="58"/>
        <item x="59"/>
        <item x="60"/>
        <item x="61"/>
        <item x="62"/>
        <item x="63"/>
        <item m="1" x="1845"/>
        <item x="64"/>
        <item x="65"/>
        <item x="40"/>
        <item x="66"/>
        <item x="41"/>
        <item x="42"/>
        <item x="43"/>
        <item x="44"/>
        <item x="45"/>
        <item x="46"/>
        <item x="69"/>
        <item x="78"/>
        <item x="79"/>
        <item x="80"/>
        <item x="81"/>
        <item x="82"/>
        <item x="83"/>
        <item x="84"/>
        <item x="85"/>
        <item x="86"/>
        <item x="87"/>
        <item x="70"/>
        <item x="88"/>
        <item x="89"/>
        <item x="90"/>
        <item x="91"/>
        <item x="92"/>
        <item x="93"/>
        <item x="94"/>
        <item x="96"/>
        <item x="97"/>
        <item x="71"/>
        <item x="98"/>
        <item x="99"/>
        <item x="100"/>
        <item x="101"/>
        <item x="102"/>
        <item x="103"/>
        <item x="104"/>
        <item x="105"/>
        <item x="106"/>
        <item x="107"/>
        <item x="72"/>
        <item x="108"/>
        <item x="109"/>
        <item x="110"/>
        <item x="73"/>
        <item x="74"/>
        <item x="75"/>
        <item x="76"/>
        <item x="77"/>
        <item x="115"/>
        <item x="124"/>
        <item x="125"/>
        <item x="126"/>
        <item x="127"/>
        <item x="128"/>
        <item x="129"/>
        <item x="130"/>
        <item x="131"/>
        <item x="132"/>
        <item x="133"/>
        <item x="116"/>
        <item x="134"/>
        <item x="135"/>
        <item x="136"/>
        <item x="137"/>
        <item x="138"/>
        <item x="139"/>
        <item x="140"/>
        <item x="141"/>
        <item x="142"/>
        <item x="143"/>
        <item x="117"/>
        <item x="144"/>
        <item x="145"/>
        <item x="146"/>
        <item m="1" x="2050"/>
        <item x="147"/>
        <item x="148"/>
        <item x="149"/>
        <item x="150"/>
        <item x="151"/>
        <item x="152"/>
        <item x="118"/>
        <item x="153"/>
        <item x="155"/>
        <item x="120"/>
        <item x="121"/>
        <item x="122"/>
        <item x="156"/>
        <item x="165"/>
        <item x="166"/>
        <item x="167"/>
        <item x="168"/>
        <item x="169"/>
        <item x="170"/>
        <item m="1" x="1766"/>
        <item x="171"/>
        <item x="172"/>
        <item x="157"/>
        <item m="1" x="2006"/>
        <item x="173"/>
        <item x="174"/>
        <item x="175"/>
        <item x="176"/>
        <item x="177"/>
        <item x="178"/>
        <item x="179"/>
        <item x="180"/>
        <item m="1" x="1799"/>
        <item x="158"/>
        <item x="181"/>
        <item m="1" x="2096"/>
        <item x="182"/>
        <item x="183"/>
        <item x="184"/>
        <item x="185"/>
        <item x="186"/>
        <item x="187"/>
        <item x="188"/>
        <item x="189"/>
        <item x="159"/>
        <item m="1" x="2222"/>
        <item m="1" x="2201"/>
        <item x="190"/>
        <item m="1" x="2156"/>
        <item m="1" x="2134"/>
        <item x="191"/>
        <item m="1" x="2078"/>
        <item m="1" x="2054"/>
        <item x="192"/>
        <item m="1" x="1998"/>
        <item x="160"/>
        <item x="193"/>
        <item x="194"/>
        <item x="195"/>
        <item x="196"/>
        <item x="197"/>
        <item x="198"/>
        <item x="161"/>
        <item x="162"/>
        <item x="163"/>
        <item x="164"/>
        <item x="199"/>
        <item x="208"/>
        <item x="209"/>
        <item x="210"/>
        <item x="211"/>
        <item x="212"/>
        <item x="213"/>
        <item x="214"/>
        <item x="215"/>
        <item x="216"/>
        <item x="217"/>
        <item x="200"/>
        <item x="218"/>
        <item x="219"/>
        <item x="220"/>
        <item x="221"/>
        <item x="222"/>
        <item x="201"/>
        <item x="202"/>
        <item x="203"/>
        <item x="204"/>
        <item x="205"/>
        <item x="206"/>
        <item x="207"/>
        <item x="225"/>
        <item x="234"/>
        <item x="235"/>
        <item x="236"/>
        <item x="237"/>
        <item x="238"/>
        <item x="239"/>
        <item x="240"/>
        <item x="241"/>
        <item x="242"/>
        <item x="243"/>
        <item x="226"/>
        <item x="244"/>
        <item x="245"/>
        <item x="246"/>
        <item x="247"/>
        <item x="248"/>
        <item x="249"/>
        <item x="227"/>
        <item x="228"/>
        <item x="229"/>
        <item x="230"/>
        <item x="231"/>
        <item x="232"/>
        <item x="233"/>
        <item x="250"/>
        <item x="259"/>
        <item x="260"/>
        <item x="261"/>
        <item x="262"/>
        <item x="263"/>
        <item x="264"/>
        <item x="265"/>
        <item x="266"/>
        <item x="267"/>
        <item m="1" x="1748"/>
        <item x="251"/>
        <item m="1" x="2062"/>
        <item x="268"/>
        <item x="269"/>
        <item x="270"/>
        <item x="271"/>
        <item x="272"/>
        <item x="273"/>
        <item x="274"/>
        <item x="275"/>
        <item x="252"/>
        <item x="253"/>
        <item x="254"/>
        <item x="255"/>
        <item x="256"/>
        <item x="257"/>
        <item x="258"/>
        <item x="278"/>
        <item x="286"/>
        <item x="287"/>
        <item x="288"/>
        <item x="289"/>
        <item x="290"/>
        <item x="291"/>
        <item x="292"/>
        <item m="1" x="1795"/>
        <item m="1" x="1769"/>
        <item x="293"/>
        <item x="279"/>
        <item m="1" x="2063"/>
        <item m="1" x="2044"/>
        <item x="294"/>
        <item x="280"/>
        <item x="281"/>
        <item m="1" x="2214"/>
        <item x="282"/>
        <item x="283"/>
        <item x="284"/>
        <item x="285"/>
        <item x="295"/>
        <item x="296"/>
        <item x="297"/>
        <item x="298"/>
        <item x="304"/>
        <item x="313"/>
        <item x="314"/>
        <item x="315"/>
        <item m="1" x="1936"/>
        <item x="316"/>
        <item x="317"/>
        <item x="318"/>
        <item m="1" x="1821"/>
        <item x="320"/>
        <item x="305"/>
        <item x="321"/>
        <item x="323"/>
        <item x="324"/>
        <item x="325"/>
        <item x="326"/>
        <item x="327"/>
        <item x="328"/>
        <item x="329"/>
        <item x="306"/>
        <item x="330"/>
        <item x="331"/>
        <item x="332"/>
        <item x="333"/>
        <item x="334"/>
        <item m="1" x="2103"/>
        <item x="337"/>
        <item x="338"/>
        <item x="307"/>
        <item x="339"/>
        <item x="340"/>
        <item x="341"/>
        <item x="342"/>
        <item x="343"/>
        <item x="308"/>
        <item x="344"/>
        <item x="345"/>
        <item m="1" x="1802"/>
        <item x="346"/>
        <item x="347"/>
        <item x="348"/>
        <item m="1" x="2239"/>
        <item m="1" x="2209"/>
        <item x="309"/>
        <item x="349"/>
        <item x="350"/>
        <item x="351"/>
        <item x="352"/>
        <item x="353"/>
        <item x="354"/>
        <item x="355"/>
        <item x="356"/>
        <item x="310"/>
        <item x="311"/>
        <item x="312"/>
        <item x="357"/>
        <item x="366"/>
        <item x="367"/>
        <item x="368"/>
        <item x="369"/>
        <item x="370"/>
        <item m="1" x="1892"/>
        <item x="371"/>
        <item x="372"/>
        <item x="373"/>
        <item x="374"/>
        <item x="358"/>
        <item m="1" x="2116"/>
        <item m="1" x="2094"/>
        <item x="375"/>
        <item x="376"/>
        <item x="377"/>
        <item x="378"/>
        <item x="379"/>
        <item m="1" x="1944"/>
        <item m="1" x="1921"/>
        <item m="1" x="1896"/>
        <item x="359"/>
        <item x="380"/>
        <item x="381"/>
        <item x="382"/>
        <item x="383"/>
        <item x="384"/>
        <item x="385"/>
        <item x="386"/>
        <item x="387"/>
        <item m="1" x="2029"/>
        <item x="388"/>
        <item x="360"/>
        <item x="389"/>
        <item x="391"/>
        <item x="392"/>
        <item x="394"/>
        <item x="395"/>
        <item x="396"/>
        <item x="397"/>
        <item x="398"/>
        <item x="361"/>
        <item x="362"/>
        <item x="363"/>
        <item x="364"/>
        <item x="365"/>
        <item x="1742"/>
        <item x="409"/>
        <item x="410"/>
        <item x="411"/>
        <item m="1" x="1937"/>
        <item m="1" x="1916"/>
        <item x="412"/>
        <item m="1" x="1867"/>
        <item x="413"/>
        <item x="414"/>
        <item x="415"/>
        <item x="401"/>
        <item x="416"/>
        <item x="417"/>
        <item m="1" x="2072"/>
        <item m="1" x="2049"/>
        <item m="1" x="1992"/>
        <item m="1" x="1970"/>
        <item x="418"/>
        <item x="419"/>
        <item x="420"/>
        <item x="402"/>
        <item x="421"/>
        <item x="422"/>
        <item x="423"/>
        <item m="1" x="2133"/>
        <item x="425"/>
        <item x="426"/>
        <item x="403"/>
        <item x="434"/>
        <item m="1" x="2163"/>
        <item m="1" x="2140"/>
        <item x="435"/>
        <item x="404"/>
        <item m="1" x="1874"/>
        <item x="436"/>
        <item x="437"/>
        <item x="405"/>
        <item x="406"/>
        <item x="407"/>
        <item x="408"/>
        <item x="449"/>
        <item m="1" x="2005"/>
        <item x="458"/>
        <item x="459"/>
        <item x="460"/>
        <item x="461"/>
        <item x="462"/>
        <item x="463"/>
        <item x="464"/>
        <item x="465"/>
        <item x="466"/>
        <item x="467"/>
        <item x="468"/>
        <item x="469"/>
        <item x="470"/>
        <item x="471"/>
        <item x="472"/>
        <item x="473"/>
        <item x="474"/>
        <item x="475"/>
        <item x="476"/>
        <item x="451"/>
        <item x="477"/>
        <item x="452"/>
        <item x="453"/>
        <item x="454"/>
        <item x="455"/>
        <item x="456"/>
        <item x="457"/>
        <item x="957"/>
        <item x="485"/>
        <item x="491"/>
        <item x="493"/>
        <item x="494"/>
        <item x="495"/>
        <item m="1" x="1999"/>
        <item x="486"/>
        <item x="487"/>
        <item x="488"/>
        <item m="1" x="1957"/>
        <item x="489"/>
        <item x="490"/>
        <item m="1" x="2043"/>
        <item x="496"/>
        <item x="497"/>
        <item x="498"/>
        <item m="1" x="1869"/>
        <item x="501"/>
        <item x="503"/>
        <item x="504"/>
        <item x="505"/>
        <item x="507"/>
        <item x="509"/>
        <item x="511"/>
        <item m="1" x="1898"/>
        <item x="522"/>
        <item x="523"/>
        <item m="1" x="2019"/>
        <item x="524"/>
        <item x="525"/>
        <item m="1" x="1940"/>
        <item x="526"/>
        <item x="527"/>
        <item x="528"/>
        <item x="529"/>
        <item x="514"/>
        <item x="530"/>
        <item x="531"/>
        <item m="1" x="2131"/>
        <item m="1" x="2101"/>
        <item m="1" x="2076"/>
        <item x="515"/>
        <item x="516"/>
        <item x="517"/>
        <item x="518"/>
        <item x="519"/>
        <item x="520"/>
        <item x="521"/>
        <item m="1" x="1899"/>
        <item x="537"/>
        <item m="1" x="2045"/>
        <item m="1" x="2020"/>
        <item m="1" x="1989"/>
        <item m="1" x="1966"/>
        <item m="1" x="1941"/>
        <item m="1" x="1919"/>
        <item m="1" x="1894"/>
        <item m="1" x="1870"/>
        <item m="1" x="1848"/>
        <item x="532"/>
        <item x="538"/>
        <item m="1" x="2111"/>
        <item m="1" x="2215"/>
        <item x="533"/>
        <item x="534"/>
        <item m="1" x="1961"/>
        <item x="535"/>
        <item x="536"/>
        <item m="1" x="2047"/>
        <item x="539"/>
        <item x="540"/>
        <item x="541"/>
        <item m="1" x="1762"/>
        <item m="1" x="1861"/>
        <item m="1" x="1962"/>
        <item m="1" x="2071"/>
        <item x="542"/>
        <item x="548"/>
        <item x="549"/>
        <item x="550"/>
        <item x="551"/>
        <item x="552"/>
        <item x="553"/>
        <item x="543"/>
        <item x="554"/>
        <item x="555"/>
        <item x="556"/>
        <item x="557"/>
        <item x="558"/>
        <item x="559"/>
        <item x="544"/>
        <item x="560"/>
        <item m="1" x="2159"/>
        <item m="1" x="2137"/>
        <item m="1" x="2107"/>
        <item m="1" x="2261"/>
        <item m="1" x="1871"/>
        <item m="1" x="1849"/>
        <item x="545"/>
        <item x="546"/>
        <item m="1" x="2010"/>
        <item m="1" x="2121"/>
        <item x="547"/>
        <item m="1" x="1950"/>
        <item m="1" x="2117"/>
        <item m="1" x="2095"/>
        <item x="566"/>
        <item x="567"/>
        <item x="568"/>
        <item x="569"/>
        <item x="570"/>
        <item x="571"/>
        <item x="572"/>
        <item x="573"/>
        <item m="1" x="2057"/>
        <item x="574"/>
        <item m="1" x="2200"/>
        <item x="575"/>
        <item m="1" x="2155"/>
        <item x="576"/>
        <item x="577"/>
        <item x="578"/>
        <item x="579"/>
        <item x="580"/>
        <item x="581"/>
        <item x="561"/>
        <item x="582"/>
        <item x="583"/>
        <item x="584"/>
        <item x="585"/>
        <item x="586"/>
        <item x="587"/>
        <item x="588"/>
        <item m="1" x="2161"/>
        <item x="562"/>
        <item x="563"/>
        <item x="564"/>
        <item m="1" x="2012"/>
        <item m="1" x="2125"/>
        <item x="565"/>
        <item x="589"/>
        <item x="597"/>
        <item x="598"/>
        <item x="600"/>
        <item m="1" x="2024"/>
        <item m="1" x="1993"/>
        <item m="1" x="1971"/>
        <item x="1744"/>
        <item x="601"/>
        <item x="602"/>
        <item x="603"/>
        <item x="590"/>
        <item x="604"/>
        <item x="605"/>
        <item x="606"/>
        <item x="607"/>
        <item m="1" x="2236"/>
        <item x="608"/>
        <item x="609"/>
        <item x="591"/>
        <item m="1" x="1875"/>
        <item x="610"/>
        <item x="611"/>
        <item x="612"/>
        <item x="613"/>
        <item x="592"/>
        <item x="593"/>
        <item x="594"/>
        <item x="595"/>
        <item x="596"/>
        <item m="1" x="1951"/>
        <item x="617"/>
        <item x="618"/>
        <item m="1" x="2073"/>
        <item x="619"/>
        <item m="1" x="2025"/>
        <item x="620"/>
        <item m="1" x="1972"/>
        <item m="1" x="1945"/>
        <item m="1" x="1922"/>
        <item m="1" x="1897"/>
        <item m="1" x="2058"/>
        <item x="621"/>
        <item m="1" x="2169"/>
        <item x="614"/>
        <item m="1" x="1813"/>
        <item m="1" x="1910"/>
        <item m="1" x="2016"/>
        <item x="615"/>
        <item x="616"/>
        <item x="622"/>
        <item x="623"/>
        <item x="624"/>
        <item x="625"/>
        <item x="626"/>
        <item m="1" x="2128"/>
        <item x="627"/>
        <item x="628"/>
        <item x="629"/>
        <item x="630"/>
        <item x="631"/>
        <item x="632"/>
        <item x="633"/>
        <item x="641"/>
        <item x="642"/>
        <item x="643"/>
        <item x="644"/>
        <item x="645"/>
        <item x="646"/>
        <item x="647"/>
        <item x="648"/>
        <item x="649"/>
        <item x="650"/>
        <item x="634"/>
        <item x="651"/>
        <item x="652"/>
        <item x="653"/>
        <item x="654"/>
        <item x="655"/>
        <item x="656"/>
        <item x="657"/>
        <item x="635"/>
        <item x="636"/>
        <item x="637"/>
        <item m="1" x="1958"/>
        <item x="638"/>
        <item x="639"/>
        <item x="640"/>
        <item x="669"/>
        <item x="678"/>
        <item x="679"/>
        <item x="680"/>
        <item m="1" x="2100"/>
        <item x="681"/>
        <item x="682"/>
        <item m="1" x="2027"/>
        <item m="1" x="1996"/>
        <item x="683"/>
        <item x="684"/>
        <item x="670"/>
        <item x="685"/>
        <item x="686"/>
        <item x="671"/>
        <item x="672"/>
        <item x="673"/>
        <item x="674"/>
        <item x="675"/>
        <item x="676"/>
        <item x="677"/>
        <item x="690"/>
        <item x="699"/>
        <item x="700"/>
        <item x="701"/>
        <item x="702"/>
        <item x="703"/>
        <item x="704"/>
        <item x="705"/>
        <item x="706"/>
        <item x="707"/>
        <item x="708"/>
        <item x="691"/>
        <item x="709"/>
        <item x="692"/>
        <item x="693"/>
        <item x="694"/>
        <item x="695"/>
        <item x="696"/>
        <item x="697"/>
        <item x="698"/>
        <item x="712"/>
        <item x="721"/>
        <item x="722"/>
        <item x="723"/>
        <item x="724"/>
        <item x="725"/>
        <item x="726"/>
        <item x="727"/>
        <item x="728"/>
        <item x="729"/>
        <item x="730"/>
        <item x="713"/>
        <item x="731"/>
        <item x="732"/>
        <item x="733"/>
        <item x="735"/>
        <item x="736"/>
        <item x="737"/>
        <item x="738"/>
        <item x="739"/>
        <item x="740"/>
        <item x="714"/>
        <item x="741"/>
        <item x="742"/>
        <item x="743"/>
        <item x="715"/>
        <item x="716"/>
        <item x="717"/>
        <item x="718"/>
        <item x="719"/>
        <item x="720"/>
        <item m="1" x="2165"/>
        <item x="758"/>
        <item x="760"/>
        <item x="761"/>
        <item x="769"/>
        <item x="770"/>
        <item x="771"/>
        <item x="772"/>
        <item x="762"/>
        <item m="1" x="2265"/>
        <item x="763"/>
        <item x="764"/>
        <item x="765"/>
        <item x="766"/>
        <item x="767"/>
        <item x="768"/>
        <item x="787"/>
        <item x="796"/>
        <item x="797"/>
        <item x="798"/>
        <item x="799"/>
        <item x="800"/>
        <item x="801"/>
        <item x="802"/>
        <item x="804"/>
        <item x="805"/>
        <item x="788"/>
        <item x="789"/>
        <item x="790"/>
        <item x="791"/>
        <item x="792"/>
        <item x="793"/>
        <item x="794"/>
        <item x="795"/>
        <item x="816"/>
        <item x="817"/>
        <item x="818"/>
        <item x="819"/>
        <item x="820"/>
        <item x="821"/>
        <item x="822"/>
        <item x="825"/>
        <item x="834"/>
        <item x="835"/>
        <item x="836"/>
        <item x="838"/>
        <item x="839"/>
        <item m="1" x="2135"/>
        <item m="1" x="2080"/>
        <item x="841"/>
        <item x="826"/>
        <item x="842"/>
        <item m="1" x="1800"/>
        <item m="1" x="1781"/>
        <item x="843"/>
        <item m="1" x="2284"/>
        <item x="844"/>
        <item x="845"/>
        <item x="847"/>
        <item x="827"/>
        <item x="848"/>
        <item x="828"/>
        <item x="829"/>
        <item x="830"/>
        <item x="831"/>
        <item x="832"/>
        <item x="833"/>
        <item x="849"/>
        <item x="858"/>
        <item x="859"/>
        <item x="860"/>
        <item x="861"/>
        <item x="863"/>
        <item x="850"/>
        <item x="864"/>
        <item x="851"/>
        <item x="853"/>
        <item x="854"/>
        <item x="856"/>
        <item x="857"/>
        <item x="865"/>
        <item x="873"/>
        <item x="874"/>
        <item x="875"/>
        <item x="876"/>
        <item x="877"/>
        <item x="878"/>
        <item x="879"/>
        <item x="880"/>
        <item x="881"/>
        <item x="882"/>
        <item x="866"/>
        <item x="883"/>
        <item x="884"/>
        <item x="885"/>
        <item x="886"/>
        <item x="867"/>
        <item x="868"/>
        <item x="869"/>
        <item x="870"/>
        <item m="1" x="2181"/>
        <item x="871"/>
        <item x="872"/>
        <item x="888"/>
        <item x="897"/>
        <item x="898"/>
        <item x="899"/>
        <item x="900"/>
        <item x="901"/>
        <item x="902"/>
        <item x="903"/>
        <item x="904"/>
        <item x="905"/>
        <item x="906"/>
        <item x="889"/>
        <item x="907"/>
        <item x="908"/>
        <item x="909"/>
        <item x="910"/>
        <item x="911"/>
        <item x="912"/>
        <item x="913"/>
        <item x="914"/>
        <item x="915"/>
        <item x="916"/>
        <item x="890"/>
        <item x="917"/>
        <item x="918"/>
        <item x="919"/>
        <item x="920"/>
        <item x="921"/>
        <item x="891"/>
        <item x="892"/>
        <item x="893"/>
        <item x="894"/>
        <item x="895"/>
        <item x="896"/>
        <item x="923"/>
        <item x="932"/>
        <item x="933"/>
        <item x="934"/>
        <item x="935"/>
        <item x="936"/>
        <item x="937"/>
        <item x="938"/>
        <item m="1" x="2104"/>
        <item m="1" x="2081"/>
        <item x="939"/>
        <item x="924"/>
        <item x="940"/>
        <item x="941"/>
        <item x="942"/>
        <item x="943"/>
        <item x="944"/>
        <item x="945"/>
        <item x="946"/>
        <item x="947"/>
        <item x="948"/>
        <item x="925"/>
        <item x="951"/>
        <item x="952"/>
        <item x="926"/>
        <item m="1" x="2033"/>
        <item x="953"/>
        <item x="954"/>
        <item x="955"/>
        <item x="956"/>
        <item m="1" x="1808"/>
        <item x="927"/>
        <item x="928"/>
        <item x="929"/>
        <item x="930"/>
        <item x="931"/>
        <item x="959"/>
        <item x="967"/>
        <item x="968"/>
        <item x="969"/>
        <item x="971"/>
        <item x="972"/>
        <item x="973"/>
        <item m="1" x="2105"/>
        <item m="1" x="2082"/>
        <item x="974"/>
        <item x="960"/>
        <item x="975"/>
        <item x="961"/>
        <item x="962"/>
        <item x="964"/>
        <item x="965"/>
        <item m="1" x="2279"/>
        <item x="966"/>
        <item m="1" x="2166"/>
        <item m="1" x="1770"/>
        <item m="1" x="1750"/>
        <item m="1" x="2280"/>
        <item m="1" x="2253"/>
        <item m="1" x="2234"/>
        <item m="1" x="2205"/>
        <item m="1" x="2185"/>
        <item m="1" x="2160"/>
        <item m="1" x="2138"/>
        <item m="1" x="2108"/>
        <item m="1" x="1872"/>
        <item m="1" x="1850"/>
        <item m="1" x="1828"/>
        <item m="1" x="1803"/>
        <item m="1" x="1783"/>
        <item m="1" x="1756"/>
        <item m="1" x="2286"/>
        <item m="1" x="2257"/>
        <item m="1" x="2240"/>
        <item m="1" x="2210"/>
        <item m="1" x="1810"/>
        <item m="1" x="1974"/>
        <item m="1" x="1949"/>
        <item m="1" x="1928"/>
        <item m="1" x="1901"/>
        <item m="1" x="1883"/>
        <item m="1" x="1853"/>
        <item m="1" x="1831"/>
        <item m="1" x="1806"/>
        <item m="1" x="1786"/>
        <item m="1" x="1759"/>
        <item m="1" x="2083"/>
        <item m="1" x="2056"/>
        <item m="1" x="2011"/>
        <item m="1" x="2122"/>
        <item m="1" x="2224"/>
        <item m="1" x="1774"/>
        <item m="1" x="1878"/>
        <item m="1" x="2167"/>
        <item m="1" x="1771"/>
        <item m="1" x="1751"/>
        <item m="1" x="2281"/>
        <item m="1" x="2254"/>
        <item m="1" x="2235"/>
        <item m="1" x="2206"/>
        <item m="1" x="2186"/>
        <item m="1" x="2162"/>
        <item m="1" x="2139"/>
        <item m="1" x="2109"/>
        <item m="1" x="2263"/>
        <item m="1" x="1873"/>
        <item m="1" x="1851"/>
        <item m="1" x="1829"/>
        <item m="1" x="1804"/>
        <item m="1" x="1784"/>
        <item m="1" x="1757"/>
        <item m="1" x="2287"/>
        <item m="1" x="2258"/>
        <item m="1" x="2241"/>
        <item m="1" x="2211"/>
        <item m="1" x="1811"/>
        <item m="1" x="1907"/>
        <item m="1" x="2013"/>
        <item m="1" x="2126"/>
        <item m="1" x="1778"/>
        <item m="1" x="1881"/>
        <item m="1" x="2168"/>
        <item m="1" x="2266"/>
        <item m="1" x="1812"/>
        <item m="1" x="1909"/>
        <item m="1" x="2014"/>
        <item m="1" x="2127"/>
        <item m="1" x="2229"/>
        <item m="1" x="2171"/>
        <item m="1" x="1772"/>
        <item m="1" x="1752"/>
        <item m="1" x="2282"/>
        <item m="1" x="2255"/>
        <item m="1" x="2237"/>
        <item m="1" x="2207"/>
        <item m="1" x="2187"/>
        <item m="1" x="2164"/>
        <item m="1" x="2141"/>
        <item m="1" x="2110"/>
        <item m="1" x="2268"/>
        <item m="1" x="1876"/>
        <item m="1" x="1852"/>
        <item m="1" x="1830"/>
        <item m="1" x="1805"/>
        <item m="1" x="1785"/>
        <item m="1" x="1758"/>
        <item m="1" x="2288"/>
        <item m="1" x="2259"/>
        <item m="1" x="2242"/>
        <item m="1" x="2212"/>
        <item m="1" x="1815"/>
        <item m="1" x="1975"/>
        <item m="1" x="1952"/>
        <item m="1" x="1929"/>
        <item m="1" x="1902"/>
        <item m="1" x="1884"/>
        <item m="1" x="1854"/>
        <item m="1" x="1832"/>
        <item m="1" x="1807"/>
        <item m="1" x="1787"/>
        <item m="1" x="1760"/>
        <item m="1" x="1912"/>
        <item m="1" x="2084"/>
        <item m="1" x="2059"/>
        <item m="1" x="2038"/>
        <item m="1" x="2003"/>
        <item m="1" x="1983"/>
        <item m="1" x="1954"/>
        <item m="1" x="1931"/>
        <item m="1" x="1904"/>
        <item m="1" x="1886"/>
        <item m="1" x="1858"/>
        <item m="1" x="2018"/>
        <item m="1" x="2188"/>
        <item m="1" x="2170"/>
        <item m="1" x="2146"/>
        <item m="1" x="2112"/>
        <item m="1" x="2090"/>
        <item m="1" x="2060"/>
        <item m="1" x="2039"/>
        <item m="1" x="2004"/>
        <item m="1" x="1984"/>
        <item m="1" x="1955"/>
        <item m="1" x="2129"/>
        <item m="1" x="2291"/>
        <item m="1" x="2267"/>
        <item m="1" x="2247"/>
        <item m="1" x="2218"/>
        <item m="1" x="2195"/>
        <item m="1" x="2175"/>
        <item m="1" x="2149"/>
        <item m="1" x="2115"/>
        <item m="1" x="2092"/>
        <item m="1" x="2066"/>
        <item m="1" x="2230"/>
        <item m="1" x="1836"/>
        <item m="1" x="1814"/>
        <item m="1" x="1791"/>
        <item m="1" x="1764"/>
        <item m="1" x="2296"/>
        <item m="1" x="2272"/>
        <item m="1" x="2250"/>
        <item m="1" x="2221"/>
        <item m="1" x="2198"/>
        <item m="1" x="2178"/>
        <item m="1" x="1779"/>
        <item m="1" x="1933"/>
        <item m="1" x="1911"/>
        <item m="1" x="1889"/>
        <item m="1" x="1864"/>
        <item m="1" x="1841"/>
        <item m="1" x="1818"/>
        <item m="1" x="1794"/>
        <item m="1" x="1768"/>
        <item m="1" x="1746"/>
        <item m="1" x="2275"/>
        <item m="1" x="1882"/>
        <item m="1" x="2042"/>
        <item m="1" x="2017"/>
        <item m="1" x="1988"/>
        <item m="1" x="1965"/>
        <item m="1" x="1939"/>
        <item x="984"/>
        <item x="993"/>
        <item x="994"/>
        <item x="995"/>
        <item x="996"/>
        <item x="997"/>
        <item x="998"/>
        <item x="999"/>
        <item x="1000"/>
        <item x="1001"/>
        <item x="1002"/>
        <item x="985"/>
        <item x="1003"/>
        <item x="1004"/>
        <item x="1005"/>
        <item x="1006"/>
        <item x="1007"/>
        <item x="1008"/>
        <item x="1009"/>
        <item x="1010"/>
        <item x="1011"/>
        <item x="1012"/>
        <item x="986"/>
        <item x="1013"/>
        <item x="1014"/>
        <item m="1" x="1979"/>
        <item x="987"/>
        <item x="988"/>
        <item x="989"/>
        <item x="990"/>
        <item x="991"/>
        <item x="992"/>
        <item x="1021"/>
        <item x="1029"/>
        <item x="1030"/>
        <item x="1031"/>
        <item x="1032"/>
        <item x="1033"/>
        <item x="1034"/>
        <item x="1036"/>
        <item x="1037"/>
        <item x="1038"/>
        <item x="1022"/>
        <item x="1039"/>
        <item x="1041"/>
        <item x="1042"/>
        <item x="1043"/>
        <item x="1023"/>
        <item x="1024"/>
        <item x="1025"/>
        <item x="1026"/>
        <item x="1027"/>
        <item m="1" x="1825"/>
        <item x="1028"/>
        <item x="1053"/>
        <item x="1062"/>
        <item x="1063"/>
        <item x="1064"/>
        <item x="1065"/>
        <item x="1067"/>
        <item x="1068"/>
        <item x="1069"/>
        <item x="1070"/>
        <item x="1071"/>
        <item x="1054"/>
        <item x="1072"/>
        <item x="1073"/>
        <item x="1074"/>
        <item x="1076"/>
        <item x="1077"/>
        <item x="1078"/>
        <item x="1079"/>
        <item x="1080"/>
        <item x="1081"/>
        <item x="1055"/>
        <item x="1082"/>
        <item x="1083"/>
        <item x="1084"/>
        <item x="1085"/>
        <item x="1087"/>
        <item x="1088"/>
        <item m="1" x="1855"/>
        <item m="1" x="1833"/>
        <item x="1089"/>
        <item x="1056"/>
        <item x="1090"/>
        <item x="1091"/>
        <item x="1092"/>
        <item x="1093"/>
        <item x="1094"/>
        <item x="1057"/>
        <item x="1058"/>
        <item x="1059"/>
        <item x="1060"/>
        <item x="1061"/>
        <item x="1152"/>
        <item x="1153"/>
        <item x="1154"/>
        <item x="1155"/>
        <item x="1157"/>
        <item x="1159"/>
        <item x="1162"/>
        <item x="1163"/>
        <item x="1164"/>
        <item m="1" x="2069"/>
        <item x="1165"/>
        <item x="1166"/>
        <item x="1167"/>
        <item m="1" x="1926"/>
        <item x="1172"/>
        <item m="1" x="1860"/>
        <item x="1173"/>
        <item x="1174"/>
        <item x="1175"/>
        <item x="1176"/>
        <item m="1" x="1827"/>
        <item x="1177"/>
        <item x="1178"/>
        <item x="1179"/>
        <item x="1188"/>
        <item x="1189"/>
        <item x="1190"/>
        <item x="1191"/>
        <item x="1192"/>
        <item x="1193"/>
        <item x="1194"/>
        <item x="1195"/>
        <item x="1180"/>
        <item x="1181"/>
        <item x="1182"/>
        <item x="1183"/>
        <item x="1184"/>
        <item x="1185"/>
        <item x="1186"/>
        <item x="1187"/>
        <item x="1202"/>
        <item m="1" x="1862"/>
        <item m="1" x="1963"/>
        <item x="1203"/>
        <item x="1204"/>
        <item x="1205"/>
        <item x="1206"/>
        <item x="1207"/>
        <item x="1208"/>
        <item x="1209"/>
        <item x="1210"/>
        <item x="1211"/>
        <item x="1213"/>
        <item x="1214"/>
        <item x="1215"/>
        <item x="1216"/>
        <item x="1217"/>
        <item x="1218"/>
        <item x="1219"/>
        <item x="1220"/>
        <item x="1223"/>
        <item x="1224"/>
        <item x="1225"/>
        <item x="1226"/>
        <item x="1227"/>
        <item x="1228"/>
        <item x="1229"/>
        <item x="1230"/>
        <item x="1231"/>
        <item m="1" x="2030"/>
        <item m="1" x="2000"/>
        <item m="1" x="1980"/>
        <item m="1" x="1959"/>
        <item x="1232"/>
        <item x="1233"/>
        <item m="1" x="2278"/>
        <item m="1" x="1826"/>
        <item x="1234"/>
        <item x="1235"/>
        <item m="1" x="2143"/>
        <item x="1237"/>
        <item m="1" x="2031"/>
        <item m="1" x="2001"/>
        <item m="1" x="1981"/>
        <item m="1" x="1953"/>
        <item m="1" x="1930"/>
        <item m="1" x="1903"/>
        <item m="1" x="1885"/>
        <item m="1" x="1856"/>
        <item m="1" x="1834"/>
        <item m="1" x="1960"/>
        <item x="1238"/>
        <item x="1239"/>
        <item x="1240"/>
        <item x="1735"/>
        <item x="1241"/>
        <item x="1242"/>
        <item m="1" x="2145"/>
        <item x="1245"/>
        <item x="1246"/>
        <item m="1" x="2070"/>
        <item m="1" x="2182"/>
        <item x="1247"/>
        <item x="1248"/>
        <item x="1251"/>
        <item x="1252"/>
        <item x="1253"/>
        <item x="1255"/>
        <item x="1264"/>
        <item x="1265"/>
        <item x="1266"/>
        <item x="1267"/>
        <item x="1268"/>
        <item x="1269"/>
        <item x="1270"/>
        <item x="1271"/>
        <item x="1272"/>
        <item x="1273"/>
        <item x="1256"/>
        <item x="1274"/>
        <item x="1275"/>
        <item x="1276"/>
        <item x="1277"/>
        <item x="1278"/>
        <item x="1279"/>
        <item x="1280"/>
        <item x="1281"/>
        <item x="1282"/>
        <item x="1283"/>
        <item x="1257"/>
        <item x="1284"/>
        <item x="1258"/>
        <item x="1259"/>
        <item x="1260"/>
        <item x="1261"/>
        <item x="1262"/>
        <item x="1263"/>
        <item m="1" x="1908"/>
        <item x="1305"/>
        <item x="1306"/>
        <item x="1307"/>
        <item x="1308"/>
        <item x="1309"/>
        <item x="1310"/>
        <item x="1311"/>
        <item x="1312"/>
        <item x="1313"/>
        <item x="1314"/>
        <item x="1298"/>
        <item x="1315"/>
        <item x="1316"/>
        <item x="1317"/>
        <item x="1318"/>
        <item x="1319"/>
        <item x="1320"/>
        <item x="1321"/>
        <item x="1322"/>
        <item x="1323"/>
        <item x="1324"/>
        <item x="1299"/>
        <item x="1325"/>
        <item x="1326"/>
        <item x="1327"/>
        <item x="1328"/>
        <item x="1329"/>
        <item x="1330"/>
        <item x="1331"/>
        <item m="1" x="2114"/>
        <item x="1332"/>
        <item x="1333"/>
        <item x="1300"/>
        <item x="1334"/>
        <item x="1335"/>
        <item x="1336"/>
        <item x="1337"/>
        <item x="1338"/>
        <item m="1" x="2271"/>
        <item x="1339"/>
        <item x="1340"/>
        <item x="1341"/>
        <item x="1342"/>
        <item x="1301"/>
        <item x="1343"/>
        <item x="1344"/>
        <item x="1345"/>
        <item x="1346"/>
        <item x="1347"/>
        <item x="1348"/>
        <item x="1349"/>
        <item x="1350"/>
        <item x="1351"/>
        <item x="1352"/>
        <item x="1302"/>
        <item x="1353"/>
        <item x="1354"/>
        <item x="1355"/>
        <item x="1356"/>
        <item x="1357"/>
        <item x="1358"/>
        <item x="1359"/>
        <item x="1360"/>
        <item x="1361"/>
        <item x="1362"/>
        <item x="1303"/>
        <item x="1363"/>
        <item x="1364"/>
        <item x="1365"/>
        <item x="1366"/>
        <item m="1" x="2089"/>
        <item x="1304"/>
        <item x="1383"/>
        <item m="1" x="2015"/>
        <item x="1384"/>
        <item x="1393"/>
        <item x="1394"/>
        <item x="1395"/>
        <item x="1396"/>
        <item x="1398"/>
        <item x="1399"/>
        <item x="1400"/>
        <item x="1401"/>
        <item m="1" x="1857"/>
        <item x="1385"/>
        <item x="1402"/>
        <item x="1403"/>
        <item x="1404"/>
        <item x="1405"/>
        <item x="1406"/>
        <item x="1407"/>
        <item x="1408"/>
        <item x="1409"/>
        <item x="1410"/>
        <item x="1411"/>
        <item x="1412"/>
        <item x="1387"/>
        <item x="1388"/>
        <item x="1389"/>
        <item x="1390"/>
        <item x="1391"/>
        <item x="1392"/>
        <item m="1" x="1913"/>
        <item m="1" x="2085"/>
        <item x="1423"/>
        <item x="1417"/>
        <item x="1418"/>
        <item m="1" x="2231"/>
        <item m="1" x="1780"/>
        <item x="1419"/>
        <item x="1420"/>
        <item x="1421"/>
        <item x="1422"/>
        <item m="1" x="2068"/>
        <item m="1" x="2243"/>
        <item m="1" x="2213"/>
        <item m="1" x="2192"/>
        <item m="1" x="2172"/>
        <item m="1" x="2147"/>
        <item m="1" x="2113"/>
        <item m="1" x="2091"/>
        <item m="1" x="2061"/>
        <item m="1" x="2040"/>
        <item m="1" x="2007"/>
        <item m="1" x="2180"/>
        <item m="1" x="1788"/>
        <item m="1" x="1761"/>
        <item m="1" x="2294"/>
        <item m="1" x="2269"/>
        <item m="1" x="2248"/>
        <item m="1" x="2219"/>
        <item m="1" x="2196"/>
        <item m="1" x="2176"/>
        <item m="1" x="2150"/>
        <item m="1" x="2119"/>
        <item m="1" x="2277"/>
        <item m="1" x="1887"/>
        <item m="1" x="1859"/>
        <item m="1" x="1839"/>
        <item m="1" x="1816"/>
        <item m="1" x="1792"/>
        <item m="1" x="1765"/>
        <item m="1" x="2297"/>
        <item m="1" x="2273"/>
        <item m="1" x="2251"/>
        <item m="1" x="2223"/>
        <item m="1" x="1824"/>
        <item m="1" x="1985"/>
        <item m="1" x="1956"/>
        <item m="1" x="1935"/>
        <item m="1" x="1915"/>
        <item m="1" x="1891"/>
        <item m="1" x="1866"/>
        <item m="1" x="1843"/>
        <item m="1" x="1820"/>
        <item m="1" x="1797"/>
        <item m="1" x="1773"/>
        <item m="1" x="1925"/>
        <item m="1" x="2093"/>
        <item m="1" x="2067"/>
        <item m="1" x="2048"/>
        <item m="1" x="2022"/>
        <item m="1" x="1991"/>
        <item m="1" x="1968"/>
        <item m="1" x="1943"/>
        <item m="1" x="1920"/>
        <item m="1" x="1895"/>
        <item m="1" x="1877"/>
        <item m="1" x="2035"/>
        <item m="1" x="2199"/>
        <item m="1" x="2179"/>
        <item m="1" x="2154"/>
        <item m="1" x="2132"/>
        <item m="1" x="2102"/>
        <item m="1" x="2077"/>
        <item m="1" x="2053"/>
        <item m="1" x="2028"/>
        <item m="1" x="1997"/>
        <item m="1" x="1976"/>
        <item m="1" x="2142"/>
        <item m="1" x="1747"/>
        <item m="1" x="2276"/>
        <item m="1" x="2252"/>
        <item m="1" x="2233"/>
        <item m="1" x="2204"/>
        <item m="1" x="2184"/>
        <item m="1" x="2158"/>
        <item m="1" x="2136"/>
        <item m="1" x="2106"/>
        <item m="1" x="2086"/>
        <item m="1" x="2244"/>
        <item m="1" x="1847"/>
        <item m="1" x="1823"/>
        <item m="1" x="1801"/>
        <item m="1" x="1782"/>
        <item m="1" x="1755"/>
        <item m="1" x="2285"/>
        <item m="1" x="2256"/>
        <item m="1" x="2238"/>
        <item m="1" x="2208"/>
        <item m="1" x="2189"/>
        <item m="1" x="1789"/>
        <item m="1" x="1948"/>
        <item m="1" x="1924"/>
        <item m="1" x="1900"/>
        <item m="1" x="2123"/>
        <item m="1" x="2290"/>
        <item m="1" x="2260"/>
        <item m="1" x="2245"/>
        <item m="1" x="2216"/>
        <item m="1" x="2193"/>
        <item m="1" x="2173"/>
        <item m="1" x="2148"/>
        <item m="1" x="2225"/>
        <item m="1" x="1775"/>
        <item m="1" x="1879"/>
        <item m="1" x="1977"/>
        <item m="1" x="2087"/>
        <item m="1" x="2190"/>
        <item m="1" x="2292"/>
        <item m="1" x="1837"/>
        <item m="1" x="2226"/>
        <item m="1" x="1835"/>
        <item m="1" x="1809"/>
        <item m="1" x="1790"/>
        <item m="1" x="1763"/>
        <item m="1" x="2295"/>
        <item m="1" x="2270"/>
        <item m="1" x="2249"/>
        <item m="1" x="2220"/>
        <item m="1" x="2197"/>
        <item m="1" x="2177"/>
        <item m="1" x="1776"/>
        <item m="1" x="1932"/>
        <item m="1" x="1905"/>
        <item m="1" x="1888"/>
        <item m="1" x="1863"/>
        <item m="1" x="1840"/>
        <item m="1" x="1817"/>
        <item m="1" x="1793"/>
        <item m="1" x="1767"/>
        <item m="1" x="1745"/>
        <item m="1" x="2274"/>
        <item m="1" x="1880"/>
        <item m="1" x="2041"/>
        <item m="1" x="2008"/>
        <item m="1" x="1986"/>
        <item m="1" x="1964"/>
        <item m="1" x="1938"/>
        <item m="1" x="1917"/>
        <item m="1" x="1893"/>
        <item m="1" x="1868"/>
        <item m="1" x="1846"/>
        <item m="1" x="1822"/>
        <item m="1" x="1978"/>
        <item m="1" x="2151"/>
        <item m="1" x="2120"/>
        <item m="1" x="2098"/>
        <item m="1" x="2074"/>
        <item m="1" x="2051"/>
        <item m="1" x="2026"/>
        <item m="1" x="1994"/>
        <item m="1" x="1973"/>
        <item m="1" x="2088"/>
        <item m="1" x="2191"/>
        <item m="1" x="2293"/>
        <item m="1" x="1838"/>
        <item m="1" x="1934"/>
        <item x="1534"/>
        <item x="1541"/>
        <item m="1" x="2009"/>
        <item m="1" x="1987"/>
        <item x="1542"/>
        <item x="1535"/>
        <item x="1536"/>
        <item x="1537"/>
        <item x="1538"/>
        <item x="1539"/>
        <item x="1540"/>
        <item m="1" x="2153"/>
        <item x="1543"/>
        <item x="1552"/>
        <item x="1553"/>
        <item x="1554"/>
        <item x="1555"/>
        <item x="1743"/>
        <item m="1" x="1918"/>
        <item x="1556"/>
        <item x="1557"/>
        <item x="1558"/>
        <item x="1559"/>
        <item x="1544"/>
        <item m="1" x="2152"/>
        <item m="1" x="2124"/>
        <item m="1" x="2099"/>
        <item m="1" x="2075"/>
        <item m="1" x="2052"/>
        <item x="1560"/>
        <item m="1" x="1995"/>
        <item x="1561"/>
        <item m="1" x="1947"/>
        <item x="1562"/>
        <item x="1545"/>
        <item x="1563"/>
        <item m="1" x="2227"/>
        <item m="1" x="2202"/>
        <item m="1" x="2183"/>
        <item x="1564"/>
        <item x="1565"/>
        <item x="1566"/>
        <item m="1" x="2079"/>
        <item m="1" x="2055"/>
        <item m="1" x="2034"/>
        <item x="1546"/>
        <item m="1" x="1798"/>
        <item m="1" x="1777"/>
        <item m="1" x="1753"/>
        <item m="1" x="2283"/>
        <item x="1547"/>
        <item x="1548"/>
        <item x="1549"/>
        <item x="1550"/>
        <item x="1551"/>
        <item x="1676"/>
        <item x="1685"/>
        <item x="1686"/>
        <item x="1687"/>
        <item x="1688"/>
        <item x="1689"/>
        <item x="1690"/>
        <item x="1691"/>
        <item x="1692"/>
        <item x="1693"/>
        <item x="1694"/>
        <item x="1677"/>
        <item x="1695"/>
        <item x="1696"/>
        <item x="1697"/>
        <item x="1698"/>
        <item x="1699"/>
        <item x="1700"/>
        <item x="1701"/>
        <item x="1702"/>
        <item x="1703"/>
        <item x="1704"/>
        <item x="1678"/>
        <item x="1705"/>
        <item x="1706"/>
        <item x="1679"/>
        <item x="1680"/>
        <item x="1681"/>
        <item x="1682"/>
        <item x="1683"/>
        <item x="1684"/>
        <item x="1567"/>
        <item x="1576"/>
        <item x="1577"/>
        <item x="1568"/>
        <item x="1569"/>
        <item x="1709"/>
        <item x="1718"/>
        <item x="1719"/>
        <item x="1720"/>
        <item x="1721"/>
        <item x="1722"/>
        <item x="1723"/>
        <item x="1724"/>
        <item x="1725"/>
        <item x="1726"/>
        <item x="1710"/>
        <item x="1727"/>
        <item x="1728"/>
        <item x="1729"/>
        <item x="1730"/>
        <item x="1731"/>
        <item x="1732"/>
        <item x="1711"/>
        <item x="1712"/>
        <item x="1713"/>
        <item x="1714"/>
        <item x="1715"/>
        <item x="1716"/>
        <item x="1717"/>
        <item x="1570"/>
        <item x="1571"/>
        <item x="1572"/>
        <item x="1573"/>
        <item x="1574"/>
        <item x="1575"/>
        <item m="1" x="1927"/>
        <item m="1" x="2036"/>
        <item m="1" x="2144"/>
        <item x="1580"/>
        <item x="1581"/>
        <item x="1582"/>
        <item x="1583"/>
        <item x="1584"/>
        <item x="1593"/>
        <item x="1594"/>
        <item x="1595"/>
        <item x="1596"/>
        <item x="1597"/>
        <item x="1598"/>
        <item x="1599"/>
        <item x="1600"/>
        <item x="1601"/>
        <item x="1602"/>
        <item x="1585"/>
        <item x="1603"/>
        <item x="1604"/>
        <item x="1605"/>
        <item x="1606"/>
        <item x="1607"/>
        <item x="1733"/>
        <item x="1586"/>
        <item x="1587"/>
        <item x="1588"/>
        <item x="1589"/>
        <item x="1590"/>
        <item x="1591"/>
        <item x="1592"/>
        <item x="1618"/>
        <item x="1627"/>
        <item x="1628"/>
        <item x="1629"/>
        <item x="1630"/>
        <item x="1631"/>
        <item x="1632"/>
        <item x="1633"/>
        <item x="1634"/>
        <item x="1635"/>
        <item x="1636"/>
        <item x="1619"/>
        <item x="1637"/>
        <item x="1638"/>
        <item x="1639"/>
        <item x="1640"/>
        <item x="1641"/>
        <item x="1642"/>
        <item x="1643"/>
        <item x="1644"/>
        <item x="1645"/>
        <item x="1646"/>
        <item x="1620"/>
        <item x="1647"/>
        <item x="1648"/>
        <item x="1649"/>
        <item x="1650"/>
        <item x="1651"/>
        <item x="1652"/>
        <item x="1653"/>
        <item x="1654"/>
        <item x="1655"/>
        <item x="1656"/>
        <item x="1621"/>
        <item x="1657"/>
        <item x="1658"/>
        <item x="1659"/>
        <item x="1660"/>
        <item x="1661"/>
        <item x="1662"/>
        <item x="1663"/>
        <item x="1622"/>
        <item x="1623"/>
        <item x="1624"/>
        <item x="1625"/>
        <item x="1626"/>
        <item x="1667"/>
        <item x="1668"/>
        <item x="1669"/>
        <item x="1670"/>
        <item x="1671"/>
        <item x="1672"/>
        <item x="1673"/>
        <item x="1674"/>
        <item x="1675"/>
        <item m="1" x="1946"/>
        <item m="1" x="1923"/>
        <item x="299"/>
        <item x="300"/>
        <item x="301"/>
        <item x="302"/>
        <item x="1739"/>
        <item x="1740"/>
        <item m="1" x="1914"/>
        <item m="1" x="1890"/>
        <item m="1" x="1865"/>
        <item m="1" x="1842"/>
        <item m="1" x="1819"/>
        <item m="1" x="1796"/>
        <item m="1" x="1749"/>
        <item m="1" x="2064"/>
        <item m="1" x="2046"/>
        <item m="1" x="2021"/>
        <item m="1" x="1990"/>
        <item x="303"/>
        <item x="319"/>
        <item x="335"/>
        <item x="336"/>
        <item x="390"/>
        <item x="393"/>
        <item m="1" x="2023"/>
        <item x="478"/>
        <item x="492"/>
        <item x="502"/>
        <item x="506"/>
        <item x="508"/>
        <item m="1" x="2065"/>
        <item m="1" x="1967"/>
        <item m="1" x="1942"/>
        <item x="1741"/>
        <item m="1" x="2130"/>
        <item m="1" x="2232"/>
        <item m="1" x="2118"/>
        <item m="1" x="2097"/>
        <item x="659"/>
        <item x="658"/>
        <item x="660"/>
        <item x="661"/>
        <item x="662"/>
        <item x="663"/>
        <item m="1" x="1754"/>
        <item x="687"/>
        <item m="1" x="2203"/>
        <item m="1" x="2157"/>
        <item x="689"/>
        <item x="734"/>
        <item x="744"/>
        <item x="745"/>
        <item x="746"/>
        <item x="747"/>
        <item x="748"/>
        <item x="749"/>
        <item x="823"/>
        <item x="846"/>
        <item x="852"/>
        <item x="887"/>
        <item m="1" x="2262"/>
        <item m="1" x="1906"/>
        <item m="1" x="2228"/>
        <item x="1015"/>
        <item x="1035"/>
        <item x="1066"/>
        <item x="1075"/>
        <item x="1086"/>
        <item x="1156"/>
        <item x="1158"/>
        <item x="1160"/>
        <item x="1168"/>
        <item x="1169"/>
        <item m="1" x="2289"/>
        <item x="1196"/>
        <item m="1" x="2032"/>
        <item m="1" x="2002"/>
        <item m="1" x="1982"/>
        <item x="1197"/>
        <item x="1198"/>
        <item x="1199"/>
        <item x="1200"/>
        <item x="1201"/>
        <item m="1" x="2037"/>
        <item x="1212"/>
        <item x="1236"/>
        <item m="1" x="2264"/>
        <item m="1" x="2246"/>
        <item m="1" x="2217"/>
        <item m="1" x="2194"/>
        <item m="1" x="2174"/>
        <item x="67"/>
        <item x="68"/>
        <item x="95"/>
        <item x="111"/>
        <item x="112"/>
        <item x="113"/>
        <item x="114"/>
        <item x="119"/>
        <item x="123"/>
        <item x="154"/>
        <item x="223"/>
        <item x="224"/>
        <item x="276"/>
        <item x="277"/>
        <item x="322"/>
        <item x="399"/>
        <item x="400"/>
        <item x="424"/>
        <item x="427"/>
        <item x="428"/>
        <item x="429"/>
        <item x="430"/>
        <item x="431"/>
        <item x="432"/>
        <item x="433"/>
        <item x="438"/>
        <item x="439"/>
        <item x="440"/>
        <item x="441"/>
        <item x="442"/>
        <item x="443"/>
        <item x="444"/>
        <item x="445"/>
        <item x="446"/>
        <item x="447"/>
        <item x="448"/>
        <item x="450"/>
        <item x="479"/>
        <item x="480"/>
        <item x="481"/>
        <item x="482"/>
        <item x="483"/>
        <item x="484"/>
        <item x="499"/>
        <item x="500"/>
        <item x="510"/>
        <item x="512"/>
        <item x="513"/>
        <item x="599"/>
        <item x="664"/>
        <item x="665"/>
        <item x="666"/>
        <item x="667"/>
        <item x="668"/>
        <item x="688"/>
        <item x="710"/>
        <item x="711"/>
        <item x="750"/>
        <item x="751"/>
        <item x="752"/>
        <item x="753"/>
        <item x="754"/>
        <item x="755"/>
        <item x="756"/>
        <item x="757"/>
        <item x="759"/>
        <item x="773"/>
        <item x="774"/>
        <item x="775"/>
        <item x="776"/>
        <item x="777"/>
        <item x="778"/>
        <item x="779"/>
        <item x="780"/>
        <item x="781"/>
        <item x="782"/>
        <item x="783"/>
        <item x="784"/>
        <item x="785"/>
        <item x="786"/>
        <item x="803"/>
        <item x="806"/>
        <item x="807"/>
        <item x="808"/>
        <item x="809"/>
        <item x="810"/>
        <item x="811"/>
        <item x="812"/>
        <item x="813"/>
        <item x="814"/>
        <item x="815"/>
        <item x="824"/>
        <item x="837"/>
        <item x="840"/>
        <item x="855"/>
        <item x="862"/>
        <item x="922"/>
        <item x="949"/>
        <item x="950"/>
        <item x="958"/>
        <item x="963"/>
        <item x="970"/>
        <item x="976"/>
        <item x="977"/>
        <item x="978"/>
        <item x="979"/>
        <item x="980"/>
        <item x="981"/>
        <item x="982"/>
        <item x="983"/>
        <item x="1016"/>
        <item x="1017"/>
        <item x="1018"/>
        <item x="1019"/>
        <item x="1020"/>
        <item x="1040"/>
        <item x="1044"/>
        <item x="1045"/>
        <item x="1046"/>
        <item x="1047"/>
        <item x="1048"/>
        <item x="1049"/>
        <item x="1050"/>
        <item x="1051"/>
        <item x="1052"/>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61"/>
        <item x="1170"/>
        <item x="1171"/>
        <item x="1221"/>
        <item x="1222"/>
        <item x="1243"/>
        <item x="1244"/>
        <item x="1249"/>
        <item x="1250"/>
        <item x="1254"/>
        <item x="1285"/>
        <item x="1286"/>
        <item x="1287"/>
        <item x="1288"/>
        <item x="1289"/>
        <item x="1290"/>
        <item x="1291"/>
        <item x="1292"/>
        <item x="1293"/>
        <item x="1294"/>
        <item x="1295"/>
        <item x="1296"/>
        <item x="1297"/>
        <item x="1367"/>
        <item x="1368"/>
        <item x="1369"/>
        <item x="1370"/>
        <item x="1371"/>
        <item x="1372"/>
        <item x="1373"/>
        <item x="1374"/>
        <item x="1375"/>
        <item x="1376"/>
        <item x="1377"/>
        <item x="1378"/>
        <item x="1379"/>
        <item x="1380"/>
        <item x="1381"/>
        <item x="1382"/>
        <item x="1386"/>
        <item x="1397"/>
        <item x="1413"/>
        <item x="1414"/>
        <item x="1415"/>
        <item x="1416"/>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78"/>
        <item x="1579"/>
        <item x="1608"/>
        <item x="1609"/>
        <item x="1610"/>
        <item x="1611"/>
        <item x="1612"/>
        <item x="1613"/>
        <item x="1614"/>
        <item x="1615"/>
        <item x="1616"/>
        <item x="1617"/>
        <item x="1664"/>
        <item x="1665"/>
        <item x="1666"/>
        <item x="1707"/>
        <item x="1708"/>
        <item x="1734"/>
        <item x="1736"/>
        <item x="1737"/>
        <item x="1738"/>
      </items>
    </pivotField>
    <pivotField compact="0" outline="0" showAll="0" defaultSubtotal="0"/>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13">
        <item x="0"/>
        <item m="1" x="5"/>
        <item m="1" x="12"/>
        <item m="1" x="6"/>
        <item x="1"/>
        <item m="1" x="8"/>
        <item m="1" x="7"/>
        <item x="2"/>
        <item m="1" x="11"/>
        <item m="1" x="4"/>
        <item m="1" x="3"/>
        <item m="1" x="10"/>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3"/>
    <field x="4"/>
    <field x="5"/>
  </rowFields>
  <rowItems count="107">
    <i>
      <x/>
      <x v="24"/>
      <x v="3178"/>
      <x/>
    </i>
    <i>
      <x v="2"/>
      <x v="24"/>
      <x v="3468"/>
      <x v="11"/>
    </i>
    <i>
      <x v="3"/>
      <x v="24"/>
      <x v="3200"/>
      <x v="22"/>
    </i>
    <i>
      <x v="4"/>
      <x v="24"/>
      <x v="3469"/>
      <x v="33"/>
    </i>
    <i>
      <x v="5"/>
      <x v="24"/>
      <x v="3210"/>
      <x v="35"/>
    </i>
    <i>
      <x v="6"/>
      <x v="24"/>
      <x v="3211"/>
      <x v="36"/>
    </i>
    <i>
      <x v="7"/>
      <x v="24"/>
      <x v="3470"/>
      <x v="37"/>
    </i>
    <i>
      <x v="8"/>
      <x v="24"/>
      <x v="3213"/>
      <x v="38"/>
    </i>
    <i>
      <x v="9"/>
      <x v="24"/>
      <x v="3214"/>
      <x v="39"/>
    </i>
    <i>
      <x v="10"/>
      <x v="24"/>
      <x v="3179"/>
      <x v="1"/>
    </i>
    <i>
      <x v="12"/>
      <x v="24"/>
      <x v="3181"/>
      <x v="3"/>
    </i>
    <i>
      <x v="13"/>
      <x v="24"/>
      <x v="3182"/>
      <x v="4"/>
    </i>
    <i>
      <x v="14"/>
      <x v="24"/>
      <x v="3183"/>
      <x v="5"/>
    </i>
    <i>
      <x v="15"/>
      <x v="24"/>
      <x v="3184"/>
      <x v="6"/>
    </i>
    <i>
      <x v="16"/>
      <x v="24"/>
      <x v="3185"/>
      <x v="7"/>
    </i>
    <i>
      <x v="17"/>
      <x v="24"/>
      <x v="3186"/>
      <x v="8"/>
    </i>
    <i>
      <x v="18"/>
      <x v="24"/>
      <x v="3471"/>
      <x v="9"/>
    </i>
    <i>
      <x v="19"/>
      <x v="24"/>
      <x v="3188"/>
      <x v="10"/>
    </i>
    <i>
      <x v="20"/>
      <x v="24"/>
      <x v="3190"/>
      <x v="12"/>
    </i>
    <i>
      <x v="21"/>
      <x v="24"/>
      <x v="3191"/>
      <x v="13"/>
    </i>
    <i>
      <x v="22"/>
      <x v="24"/>
      <x v="3192"/>
      <x v="14"/>
    </i>
    <i>
      <x v="23"/>
      <x v="24"/>
      <x v="3193"/>
      <x v="15"/>
    </i>
    <i>
      <x v="24"/>
      <x v="24"/>
      <x v="3194"/>
      <x v="16"/>
    </i>
    <i>
      <x v="25"/>
      <x v="24"/>
      <x v="3195"/>
      <x v="17"/>
    </i>
    <i>
      <x v="26"/>
      <x v="24"/>
      <x v="3196"/>
      <x v="18"/>
    </i>
    <i>
      <x v="27"/>
      <x v="24"/>
      <x v="3198"/>
      <x v="20"/>
    </i>
    <i>
      <x v="28"/>
      <x v="24"/>
      <x v="3199"/>
      <x v="21"/>
    </i>
    <i>
      <x v="29"/>
      <x v="24"/>
      <x v="3201"/>
      <x v="23"/>
    </i>
    <i>
      <x v="37"/>
      <x v="24"/>
      <x v="3477"/>
      <x v="32"/>
    </i>
    <i>
      <x v="38"/>
      <x v="24"/>
      <x v="3478"/>
      <x v="34"/>
    </i>
    <i>
      <x v="39"/>
      <x v="24"/>
      <x v="3479"/>
      <x v="40"/>
    </i>
    <i>
      <x v="40"/>
      <x v="24"/>
      <x v="3480"/>
      <x v="51"/>
    </i>
    <i>
      <x v="41"/>
      <x v="24"/>
      <x v="3481"/>
      <x v="62"/>
    </i>
    <i>
      <x v="42"/>
      <x v="24"/>
      <x v="3482"/>
      <x v="64"/>
    </i>
    <i>
      <x v="43"/>
      <x v="24"/>
      <x v="3483"/>
      <x v="65"/>
    </i>
    <i>
      <x v="44"/>
      <x v="24"/>
      <x v="3484"/>
      <x v="66"/>
    </i>
    <i>
      <x v="45"/>
      <x v="24"/>
      <x v="3485"/>
      <x v="67"/>
    </i>
    <i>
      <x v="46"/>
      <x v="24"/>
      <x v="3486"/>
      <x v="68"/>
    </i>
    <i>
      <x v="54"/>
      <x v="24"/>
      <x v="3488"/>
      <x v="47"/>
    </i>
    <i>
      <x v="58"/>
      <x v="24"/>
      <x v="3492"/>
      <x v="52"/>
    </i>
    <i>
      <x v="59"/>
      <x v="24"/>
      <x v="3493"/>
      <x v="53"/>
    </i>
    <i>
      <x v="60"/>
      <x v="24"/>
      <x v="3494"/>
      <x v="54"/>
    </i>
    <i>
      <x v="61"/>
      <x v="24"/>
      <x v="3495"/>
      <x v="55"/>
    </i>
    <i>
      <x v="62"/>
      <x v="24"/>
      <x v="3496"/>
      <x v="56"/>
    </i>
    <i>
      <x v="63"/>
      <x v="24"/>
      <x v="3497"/>
      <x v="57"/>
    </i>
    <i>
      <x v="69"/>
      <x v="24"/>
      <x v="3503"/>
      <x v="1941"/>
    </i>
    <i>
      <x v="73"/>
      <x v="24"/>
      <x v="3506"/>
      <x v="102"/>
    </i>
    <i>
      <x v="74"/>
      <x v="24"/>
      <x v="3507"/>
      <x v="106"/>
    </i>
    <i>
      <x v="81"/>
      <x v="24"/>
      <x v="3513"/>
      <x v="73"/>
    </i>
    <i>
      <x v="82"/>
      <x v="24"/>
      <x v="3514"/>
      <x v="74"/>
    </i>
    <i>
      <x v="84"/>
      <x v="24"/>
      <x v="3516"/>
      <x v="76"/>
    </i>
    <i>
      <x v="85"/>
      <x v="24"/>
      <x v="3517"/>
      <x v="77"/>
    </i>
    <i>
      <x v="86"/>
      <x v="24"/>
      <x v="3518"/>
      <x v="78"/>
    </i>
    <i>
      <x v="87"/>
      <x v="24"/>
      <x v="3519"/>
      <x v="79"/>
    </i>
    <i>
      <x v="88"/>
      <x v="24"/>
      <x v="3520"/>
      <x v="80"/>
    </i>
    <i>
      <x v="89"/>
      <x v="24"/>
      <x v="3521"/>
      <x v="82"/>
    </i>
    <i>
      <x v="91"/>
      <x v="24"/>
      <x v="3523"/>
      <x v="84"/>
    </i>
    <i>
      <x v="96"/>
      <x v="24"/>
      <x v="3528"/>
      <x v="1942"/>
    </i>
    <i>
      <x v="97"/>
      <x v="24"/>
      <x v="3529"/>
      <x v="89"/>
    </i>
    <i>
      <x v="98"/>
      <x v="24"/>
      <x v="3530"/>
      <x v="90"/>
    </i>
    <i>
      <x v="99"/>
      <x v="24"/>
      <x v="3531"/>
      <x v="92"/>
    </i>
    <i>
      <x v="101"/>
      <x v="24"/>
      <x v="3533"/>
      <x v="94"/>
    </i>
    <i>
      <x v="102"/>
      <x v="24"/>
      <x v="3534"/>
      <x v="95"/>
    </i>
    <i>
      <x v="103"/>
      <x v="24"/>
      <x v="3535"/>
      <x v="96"/>
    </i>
    <i>
      <x v="104"/>
      <x v="24"/>
      <x v="3536"/>
      <x v="97"/>
    </i>
    <i>
      <x v="105"/>
      <x v="24"/>
      <x v="3537"/>
      <x v="98"/>
    </i>
    <i>
      <x v="106"/>
      <x v="24"/>
      <x v="3538"/>
      <x v="99"/>
    </i>
    <i>
      <x v="107"/>
      <x v="24"/>
      <x v="3539"/>
      <x v="100"/>
    </i>
    <i>
      <x v="108"/>
      <x v="24"/>
      <x v="3540"/>
      <x v="101"/>
    </i>
    <i>
      <x v="111"/>
      <x v="24"/>
      <x v="3543"/>
      <x v="105"/>
    </i>
    <i>
      <x v="112"/>
      <x v="24"/>
      <x v="3544"/>
      <x v="1943"/>
    </i>
    <i>
      <x v="114"/>
      <x v="24"/>
      <x v="3546"/>
      <x v="1945"/>
    </i>
    <i>
      <x v="115"/>
      <x v="24"/>
      <x v="3547"/>
      <x v="1946"/>
    </i>
    <i>
      <x v="116"/>
      <x v="24"/>
      <x v="3548"/>
      <x v="111"/>
    </i>
    <i>
      <x v="117"/>
      <x v="24"/>
      <x v="3549"/>
      <x v="122"/>
    </i>
    <i>
      <x v="118"/>
      <x v="24"/>
      <x v="3550"/>
      <x v="133"/>
    </i>
    <i>
      <x v="119"/>
      <x v="24"/>
      <x v="3551"/>
      <x v="144"/>
    </i>
    <i>
      <x v="122"/>
      <x v="24"/>
      <x v="3554"/>
      <x v="148"/>
    </i>
    <i>
      <x v="125"/>
      <x v="24"/>
      <x v="3557"/>
      <x v="112"/>
    </i>
    <i>
      <x v="126"/>
      <x v="24"/>
      <x v="3558"/>
      <x v="113"/>
    </i>
    <i>
      <x v="128"/>
      <x v="24"/>
      <x v="3560"/>
      <x v="115"/>
    </i>
    <i>
      <x v="129"/>
      <x v="24"/>
      <x v="3561"/>
      <x v="116"/>
    </i>
    <i>
      <x v="130"/>
      <x v="24"/>
      <x v="3562"/>
      <x v="117"/>
    </i>
    <i>
      <x v="131"/>
      <x v="24"/>
      <x v="4"/>
      <x v="118"/>
    </i>
    <i>
      <x v="133"/>
      <x v="24"/>
      <x v="3564"/>
      <x v="120"/>
    </i>
    <i>
      <x v="134"/>
      <x v="24"/>
      <x v="3565"/>
      <x v="121"/>
    </i>
    <i>
      <x v="135"/>
      <x v="24"/>
      <x v="3566"/>
      <x v="123"/>
    </i>
    <i>
      <x v="137"/>
      <x v="24"/>
      <x v="3567"/>
      <x v="125"/>
    </i>
    <i>
      <x v="138"/>
      <x v="24"/>
      <x v="3568"/>
      <x v="126"/>
    </i>
    <i>
      <x v="139"/>
      <x v="24"/>
      <x v="3569"/>
      <x v="127"/>
    </i>
    <i>
      <x v="140"/>
      <x v="24"/>
      <x v="3537"/>
      <x v="128"/>
    </i>
    <i>
      <x v="141"/>
      <x v="24"/>
      <x v="3570"/>
      <x v="129"/>
    </i>
    <i>
      <x v="142"/>
      <x v="24"/>
      <x v="3571"/>
      <x v="130"/>
    </i>
    <i>
      <x v="143"/>
      <x v="24"/>
      <x v="3572"/>
      <x v="131"/>
    </i>
    <i>
      <x v="145"/>
      <x v="24"/>
      <x v="3574"/>
      <x v="134"/>
    </i>
    <i>
      <x v="146"/>
      <x v="24"/>
      <x v="3575"/>
      <x v="135"/>
    </i>
    <i>
      <x v="147"/>
      <x v="24"/>
      <x v="3576"/>
      <x v="136"/>
    </i>
    <i>
      <x v="148"/>
      <x v="24"/>
      <x v="3577"/>
      <x v="138"/>
    </i>
    <i>
      <x v="149"/>
      <x v="24"/>
      <x v="3578"/>
      <x v="139"/>
    </i>
    <i>
      <x v="150"/>
      <x v="24"/>
      <x v="3579"/>
      <x v="140"/>
    </i>
    <i>
      <x v="151"/>
      <x v="24"/>
      <x v="3580"/>
      <x v="141"/>
    </i>
    <i>
      <x v="2030"/>
      <x v="24"/>
      <x v="4190"/>
      <x v="919"/>
    </i>
    <i>
      <x v="2031"/>
      <x v="24"/>
      <x v="4215"/>
      <x v="2040"/>
    </i>
    <i>
      <x v="2032"/>
      <x v="24"/>
      <x v="1525"/>
      <x v="968"/>
    </i>
    <i>
      <x v="2033"/>
      <x v="24"/>
      <x v="4218"/>
      <x v="956"/>
    </i>
    <i>
      <x v="2036"/>
      <x v="24"/>
      <x v="4"/>
      <x v="964"/>
    </i>
    <i t="grand">
      <x/>
    </i>
  </rowItems>
  <colItems count="1">
    <i/>
  </colItems>
  <pageFields count="3">
    <pageField fld="7" hier="-1"/>
    <pageField fld="12" hier="-1"/>
    <pageField fld="2" item="6" hier="-1"/>
  </pageFields>
  <pivotTableStyleInfo name="PivotStyleLight16" showRowHeaders="1" showColHeaders="1" showRowStripes="0" showColStripes="0" showLastColumn="1"/>
</pivotTableDefinition>
</file>

<file path=xl/tables/table1.xml><?xml version="1.0" encoding="utf-8"?>
<table xmlns="http://schemas.openxmlformats.org/spreadsheetml/2006/main" id="7" name="Table1" displayName="Table1" ref="A3:Z767" totalsRowShown="0" headerRowDxfId="127" headerRowBorderDxfId="126" tableBorderDxfId="125">
  <autoFilter ref="A3:Z767"/>
  <tableColumns count="26">
    <tableColumn id="1" name="Disp" dataDxfId="124"/>
    <tableColumn id="2" name="SR NO" dataDxfId="123"/>
    <tableColumn id="3" name="DATE" dataDxfId="122"/>
    <tableColumn id="4" name="IMPORT / LOCAL" dataDxfId="121"/>
    <tableColumn id="5" name="Expense Code" dataDxfId="120"/>
    <tableColumn id="6" name="Sub expense Code" dataDxfId="119"/>
    <tableColumn id="7" name="Machine Ref" dataDxfId="118"/>
    <tableColumn id="8" name="P.R NUMBER" dataDxfId="117"/>
    <tableColumn id="9" name="Supplier Number" dataDxfId="116"/>
    <tableColumn id="10" name="VENDOR" dataDxfId="115">
      <calculatedColumnFormula>VLOOKUP(I4,'CONTACT REFERENCE'!$A$2:$P$399,4,FALSE)</calculatedColumnFormula>
    </tableColumn>
    <tableColumn id="11" name="QUOTATION REF" dataDxfId="114"/>
    <tableColumn id="12" name="INVOICE REF" dataDxfId="113"/>
    <tableColumn id="13" name="MACHINE REF2" dataDxfId="112"/>
    <tableColumn id="14" name="MANUFACTURER PART NO" dataDxfId="111"/>
    <tableColumn id="15" name="DESCRIPTION" dataDxfId="110"/>
    <tableColumn id="16" name="QTY" dataDxfId="109"/>
    <tableColumn id="17" name="UOM" dataDxfId="108"/>
    <tableColumn id="21" name="TOTAL INVOICE VALUE" dataDxfId="107"/>
    <tableColumn id="22" name="CURRENCY" dataDxfId="106"/>
    <tableColumn id="23" name="COMPLETION DATE" dataDxfId="105"/>
    <tableColumn id="24" name="SHIPMENT DOC" dataDxfId="104"/>
    <tableColumn id="25" name="REMARKS" dataDxfId="103"/>
    <tableColumn id="26" name="Status" dataDxfId="102"/>
    <tableColumn id="18" name="Week No" dataDxfId="101"/>
    <tableColumn id="19" name="PROD CODE" dataDxfId="100"/>
    <tableColumn id="28" name="LPO #" dataDxfId="99">
      <calculatedColumnFormula>CONCATENATE(Table1[[#This Row],[P.R NUMBER]],"-",Table1[[#This Row],[SR NO]])</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5" name="Table3" displayName="Table3" ref="A1:P193" totalsRowShown="0" headerRowDxfId="98" dataDxfId="97" tableBorderDxfId="96">
  <autoFilter ref="A1:P193"/>
  <tableColumns count="16">
    <tableColumn id="1" name="Supplier No" dataDxfId="95"/>
    <tableColumn id="2" name=" LOCAL / IMPORT" dataDxfId="94"/>
    <tableColumn id="3" name="ACTIVITY" dataDxfId="93"/>
    <tableColumn id="4" name="COMPANY NAME" dataDxfId="92"/>
    <tableColumn id="5" name="DISTRIBUTORS" dataDxfId="91"/>
    <tableColumn id="6" name="DETAIL OF PARTS" dataDxfId="90"/>
    <tableColumn id="7" name="CONTACT PERSON" dataDxfId="89"/>
    <tableColumn id="8" name="TEL NO" dataDxfId="88"/>
    <tableColumn id="9" name="MOBILE NO" dataDxfId="87"/>
    <tableColumn id="10" name="FAX NO" dataDxfId="86"/>
    <tableColumn id="11" name="POSTAL ADDRESS" dataDxfId="85"/>
    <tableColumn id="12" name="E-MAIL ADDRESS" dataDxfId="84"/>
    <tableColumn id="13" name="WEBSITE ADDRESS" dataDxfId="83"/>
    <tableColumn id="14" name="CITY" dataDxfId="82"/>
    <tableColumn id="15" name="COUNTRY" dataDxfId="81"/>
    <tableColumn id="16" name="CURRENCY" dataDxfId="80"/>
  </tableColumns>
  <tableStyleInfo name="TableStyleMedium3" showFirstColumn="0" showLastColumn="0" showRowStripes="1" showColumnStripes="0"/>
</table>
</file>

<file path=xl/tables/table3.xml><?xml version="1.0" encoding="utf-8"?>
<table xmlns="http://schemas.openxmlformats.org/spreadsheetml/2006/main" id="4" name="TB_Parts_Lists" displayName="TB_Parts_Lists" ref="A1:U1814" totalsRowShown="0" headerRowDxfId="78" dataDxfId="77">
  <autoFilter ref="A1:U1814"/>
  <sortState ref="A2:R1849">
    <sortCondition ref="F1:F1849"/>
  </sortState>
  <tableColumns count="21">
    <tableColumn id="1" name="Part Number" dataDxfId="76"/>
    <tableColumn id="2" name="Category" dataDxfId="75"/>
    <tableColumn id="3" name="Sub Catagory" dataDxfId="74"/>
    <tableColumn id="16" name="Consumption Type" dataDxfId="73"/>
    <tableColumn id="4" name="Description" dataDxfId="72"/>
    <tableColumn id="18" name="Old Part Number" dataDxfId="71"/>
    <tableColumn id="10" name="Default Location" dataDxfId="70"/>
    <tableColumn id="17" name="Machine" dataDxfId="69"/>
    <tableColumn id="5" name="Lead time (Days)" dataDxfId="68"/>
    <tableColumn id="6" name="Minimum Stock Level" dataDxfId="67"/>
    <tableColumn id="7" name="Minimum order quantity" dataDxfId="66"/>
    <tableColumn id="8" name="Quantity Initial" dataDxfId="65"/>
    <tableColumn id="9" name="Quantity Total" dataDxfId="64">
      <calculatedColumnFormula>TB_Parts_Lists[[#This Row],[Quantity Initial]]+ SUMIF(TB_Transactions[Part number],TB_Parts_Lists[[#This Row],[Part Number]],TB_Transactions[Quantity])</calculatedColumnFormula>
    </tableColumn>
    <tableColumn id="13" name="Unit of Measure" dataDxfId="63"/>
    <tableColumn id="11" name="Unit Price AED" dataDxfId="62" dataCellStyle="Comma"/>
    <tableColumn id="15" name="Initial Value AED" dataDxfId="61"/>
    <tableColumn id="12" name="Total Value AED" dataDxfId="60">
      <calculatedColumnFormula>SUMIF(TB_Transactions[Part number],TB_Parts_Lists[[#This Row],[Part Number]],TB_Transactions[Total Cost AED])+TB_Parts_Lists[[#This Row],[Initial Value AED]]</calculatedColumnFormula>
    </tableColumn>
    <tableColumn id="14" name="Audit Catagory" dataDxfId="59"/>
    <tableColumn id="19" name="Local / Import" dataDxfId="58"/>
    <tableColumn id="20" name="vendor" dataDxfId="57"/>
    <tableColumn id="21" name="Vendor Ref" dataDxfId="56"/>
  </tableColumns>
  <tableStyleInfo name="TableStyleLight9" showFirstColumn="0" showLastColumn="0" showRowStripes="1" showColumnStripes="0"/>
</table>
</file>

<file path=xl/tables/table4.xml><?xml version="1.0" encoding="utf-8"?>
<table xmlns="http://schemas.openxmlformats.org/spreadsheetml/2006/main" id="2" name="TB_Transactions" displayName="TB_Transactions" ref="A1:R6" totalsRowShown="0">
  <autoFilter ref="A1:R6"/>
  <tableColumns count="18">
    <tableColumn id="1" name="Part number"/>
    <tableColumn id="8" name="Description" dataDxfId="55">
      <calculatedColumnFormula>IF(TB_Transactions[[#This Row],[Part number]]="","",INDEX(TB_Parts_Lists[Description],MATCH(TB_Transactions[Part number],TB_Parts_Lists[Part Number],0),1))</calculatedColumnFormula>
    </tableColumn>
    <tableColumn id="2" name="Type of transaction"/>
    <tableColumn id="3" name="Quantity"/>
    <tableColumn id="4" name="Location Default" dataDxfId="54">
      <calculatedColumnFormula>IF(TB_Transactions[[#This Row],[Part number]]="","",INDEX(TB_Parts_Lists[Default Location],MATCH(TB_Transactions[Part number],TB_Parts_Lists[Part Number],0),1))</calculatedColumnFormula>
    </tableColumn>
    <tableColumn id="18" name="Month" dataDxfId="53"/>
    <tableColumn id="6" name="Year" dataDxfId="52"/>
    <tableColumn id="19" name="Date" dataDxfId="51"/>
    <tableColumn id="5" name="Machine"/>
    <tableColumn id="17" name="R&amp;M Code"/>
    <tableColumn id="9" name="Price (AED)" dataDxfId="50"/>
    <tableColumn id="7" name="Currency"/>
    <tableColumn id="15" name="Invoice Number"/>
    <tableColumn id="16" name="Supplier"/>
    <tableColumn id="14" name="Total Cost AED"/>
    <tableColumn id="13" name="Unit Price AED" dataDxfId="49"/>
    <tableColumn id="10" name="Accounts Code"/>
    <tableColumn id="11" name="Status" dataDxfId="48"/>
  </tableColumns>
  <tableStyleInfo name="TableStyleLight9" showFirstColumn="0" showLastColumn="0" showRowStripes="1" showColumnStripes="0"/>
</table>
</file>

<file path=xl/tables/table5.xml><?xml version="1.0" encoding="utf-8"?>
<table xmlns="http://schemas.openxmlformats.org/spreadsheetml/2006/main" id="3" name="Table_Cat" displayName="Table_Cat" ref="B3:S37" totalsRowCount="1" headerRowDxfId="47" dataDxfId="46">
  <sortState ref="C2:E9">
    <sortCondition ref="D2"/>
  </sortState>
  <tableColumns count="18">
    <tableColumn id="19" name="Sno" dataDxfId="45" totalsRowDxfId="44"/>
    <tableColumn id="1" name="ELECTRICAL" totalsRowFunction="custom" dataDxfId="43" totalsRowDxfId="42">
      <totalsRowFormula>COUNTIFS(TB_Parts_Lists[Category],C$3)</totalsRowFormula>
    </tableColumn>
    <tableColumn id="2" name="MECHANICAL" totalsRowFunction="custom" dataDxfId="41" totalsRowDxfId="40">
      <totalsRowFormula>COUNTIFS(TB_Parts_Lists[Category],D$3)</totalsRowFormula>
    </tableColumn>
    <tableColumn id="3" name="PNEUMATIC" totalsRowFunction="custom" dataDxfId="39" totalsRowDxfId="38">
      <totalsRowFormula>COUNTIFS(TB_Parts_Lists[Category],E$3)</totalsRowFormula>
    </tableColumn>
    <tableColumn id="4" name="BELTS" totalsRowFunction="custom" dataDxfId="37" totalsRowDxfId="36">
      <totalsRowFormula>COUNTIFS(TB_Parts_Lists[Category],F$3)</totalsRowFormula>
    </tableColumn>
    <tableColumn id="5" name="BEARINGS" totalsRowFunction="custom" dataDxfId="35" totalsRowDxfId="34">
      <totalsRowFormula>COUNTIFS(TB_Parts_Lists[Category],G$3)</totalsRowFormula>
    </tableColumn>
    <tableColumn id="6" name="KNIVES" totalsRowFunction="custom" dataDxfId="33" totalsRowDxfId="32">
      <totalsRowFormula>COUNTIFS(TB_Parts_Lists[Category],H$3)</totalsRowFormula>
    </tableColumn>
    <tableColumn id="8" name="ROLLERS" totalsRowFunction="custom" dataDxfId="31" totalsRowDxfId="30">
      <totalsRowFormula>COUNTIFS(TB_Parts_Lists[Category],I$3)</totalsRowFormula>
    </tableColumn>
    <tableColumn id="11" name="TAPES" totalsRowFunction="custom" dataDxfId="29" totalsRowDxfId="28">
      <totalsRowFormula>COUNTIFS(TB_Parts_Lists[Category],J$3)</totalsRowFormula>
    </tableColumn>
    <tableColumn id="12" name="FASTENERS" totalsRowFunction="custom" dataDxfId="27" totalsRowDxfId="26">
      <totalsRowFormula>COUNTIFS(TB_Parts_Lists[Category],K$3)</totalsRowFormula>
    </tableColumn>
    <tableColumn id="13" name="MISCELLANEOUS" totalsRowFunction="custom" dataDxfId="25" totalsRowDxfId="24">
      <totalsRowFormula>COUNTIFS(TB_Parts_Lists[Category],L$3)</totalsRowFormula>
    </tableColumn>
    <tableColumn id="14" name="LUBRICANT" totalsRowFunction="custom" dataDxfId="23" totalsRowDxfId="22">
      <totalsRowFormula>COUNTIFS(TB_Parts_Lists[Category],M$3)</totalsRowFormula>
    </tableColumn>
    <tableColumn id="15" name="CHAINS" totalsRowFunction="custom" dataDxfId="21" totalsRowDxfId="20">
      <totalsRowFormula>COUNTIFS(TB_Parts_Lists[Category],N$3)</totalsRowFormula>
    </tableColumn>
    <tableColumn id="16" name="PPE" totalsRowFunction="custom" dataDxfId="19" totalsRowDxfId="18">
      <totalsRowFormula>COUNTIFS(TB_Parts_Lists[Category],O$3)</totalsRowFormula>
    </tableColumn>
    <tableColumn id="7" name="GEAR" totalsRowFunction="custom" dataDxfId="17" totalsRowDxfId="16">
      <totalsRowFormula>COUNTIFS(TB_Parts_Lists[Category],P$3)</totalsRowFormula>
    </tableColumn>
    <tableColumn id="17" name="CIVIL" totalsRowFunction="custom" dataDxfId="15" totalsRowDxfId="14">
      <totalsRowFormula>COUNTIFS(TB_Parts_Lists[Category],Q$3)</totalsRowFormula>
    </tableColumn>
    <tableColumn id="18" name="PRODUCTION SUPPLY" totalsRowFunction="custom" dataDxfId="13" totalsRowDxfId="12">
      <totalsRowFormula>COUNTIFS(TB_Parts_Lists[Category],R$3)</totalsRowFormula>
    </tableColumn>
    <tableColumn id="20" name="HYDRAULICS" totalsRowFunction="custom" dataDxfId="11" totalsRowDxfId="10">
      <totalsRowFormula>COUNTIFS(TB_Parts_Lists[Category],S$3)</totalsRowFormula>
    </tableColumn>
  </tableColumns>
  <tableStyleInfo name="TableStyleLight9" showFirstColumn="0" showLastColumn="0" showRowStripes="1" showColumnStripes="0"/>
</table>
</file>

<file path=xl/tables/table6.xml><?xml version="1.0" encoding="utf-8"?>
<table xmlns="http://schemas.openxmlformats.org/spreadsheetml/2006/main" id="9" name="Table_Cat_Ab" displayName="Table_Cat_Ab" ref="B42:D59" totalsRowShown="0" headerRowDxfId="9" dataDxfId="8">
  <autoFilter ref="B42:D59"/>
  <tableColumns count="3">
    <tableColumn id="1" name="Category" dataDxfId="7"/>
    <tableColumn id="2" name="Code" dataDxfId="6"/>
    <tableColumn id="3" name="Product Count" dataDxfId="5"/>
  </tableColumns>
  <tableStyleInfo name="TableStyleLight9" showFirstColumn="0" showLastColumn="0" showRowStripes="1" showColumnStripes="0"/>
</table>
</file>

<file path=xl/tables/table7.xml><?xml version="1.0" encoding="utf-8"?>
<table xmlns="http://schemas.openxmlformats.org/spreadsheetml/2006/main" id="1" name="TB_LocationParts" displayName="TB_LocationParts" ref="A1:C2" totalsRowShown="0">
  <autoFilter ref="A1:C2"/>
  <tableColumns count="3">
    <tableColumn id="1" name="Location Reference"/>
    <tableColumn id="2" name="Description"/>
    <tableColumn id="3" name="Catagory"/>
  </tableColumns>
  <tableStyleInfo name="TableStyleMedium2" showFirstColumn="0" showLastColumn="0" showRowStripes="1" showColumnStripes="0"/>
</table>
</file>

<file path=xl/tables/table8.xml><?xml version="1.0" encoding="utf-8"?>
<table xmlns="http://schemas.openxmlformats.org/spreadsheetml/2006/main" id="8" name="Table_MachineCode" displayName="Table_MachineCode" ref="A1:C55" totalsRowShown="0" headerRowDxfId="4" dataDxfId="3">
  <autoFilter ref="A1:C55"/>
  <sortState ref="A2:C55">
    <sortCondition ref="B1:B55"/>
  </sortState>
  <tableColumns count="3">
    <tableColumn id="3" name="Sno" dataDxfId="2"/>
    <tableColumn id="2" name="Code" dataDxfId="1"/>
    <tableColumn id="1" name="MC" dataDxfId="0"/>
  </tableColumns>
  <tableStyleInfo name="TableStyleMedium2" showFirstColumn="0" showLastColumn="0" showRowStripes="1" showColumnStripes="0"/>
</table>
</file>

<file path=xl/tables/table9.xml><?xml version="1.0" encoding="utf-8"?>
<table xmlns="http://schemas.openxmlformats.org/spreadsheetml/2006/main" id="6" name="TB_CurrencyRate" displayName="TB_CurrencyRate" ref="A1:C4" totalsRowShown="0">
  <autoFilter ref="A1:C4"/>
  <tableColumns count="3">
    <tableColumn id="1" name="Name"/>
    <tableColumn id="2" name="Abb"/>
    <tableColumn id="3" name="Conv Rate A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mukthar@capitalenvelopes.ae"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17" Type="http://schemas.openxmlformats.org/officeDocument/2006/relationships/hyperlink" Target="mailto:technok@emirates.net.ae" TargetMode="External"/><Relationship Id="rId21" Type="http://schemas.openxmlformats.org/officeDocument/2006/relationships/hyperlink" Target="mailto:sales@cheshireengraving.co.uk" TargetMode="External"/><Relationship Id="rId42" Type="http://schemas.openxmlformats.org/officeDocument/2006/relationships/hyperlink" Target="http://www.almabrooktransport.com/" TargetMode="External"/><Relationship Id="rId63" Type="http://schemas.openxmlformats.org/officeDocument/2006/relationships/hyperlink" Target="http://www.see.co.ae/" TargetMode="External"/><Relationship Id="rId84" Type="http://schemas.openxmlformats.org/officeDocument/2006/relationships/hyperlink" Target="http://www.nilsabbas.com/" TargetMode="External"/><Relationship Id="rId138" Type="http://schemas.openxmlformats.org/officeDocument/2006/relationships/hyperlink" Target="mailto:anil.k@ptc.ae" TargetMode="External"/><Relationship Id="rId159" Type="http://schemas.openxmlformats.org/officeDocument/2006/relationships/hyperlink" Target="mailto:jay.chawda@printechme.com" TargetMode="External"/><Relationship Id="rId170" Type="http://schemas.openxmlformats.org/officeDocument/2006/relationships/hyperlink" Target="mailto:farshid@alsaeedkingtony.com" TargetMode="External"/><Relationship Id="rId191" Type="http://schemas.openxmlformats.org/officeDocument/2006/relationships/hyperlink" Target="mailto:morsetec@emirates.net.ae" TargetMode="External"/><Relationship Id="rId205" Type="http://schemas.openxmlformats.org/officeDocument/2006/relationships/hyperlink" Target="http://www.goldenmetal.org/" TargetMode="External"/><Relationship Id="rId226" Type="http://schemas.openxmlformats.org/officeDocument/2006/relationships/hyperlink" Target="mailto:hussainalum@yahoo.com" TargetMode="External"/><Relationship Id="rId247" Type="http://schemas.openxmlformats.org/officeDocument/2006/relationships/hyperlink" Target="mailto:alikh12@eim.ae" TargetMode="External"/><Relationship Id="rId107" Type="http://schemas.openxmlformats.org/officeDocument/2006/relationships/hyperlink" Target="mailto:arasequp@emirates.net.ae" TargetMode="External"/><Relationship Id="rId11" Type="http://schemas.openxmlformats.org/officeDocument/2006/relationships/hyperlink" Target="http://www.newartltd.com/" TargetMode="External"/><Relationship Id="rId32" Type="http://schemas.openxmlformats.org/officeDocument/2006/relationships/hyperlink" Target="http://www.frontlinellc.com/" TargetMode="External"/><Relationship Id="rId53" Type="http://schemas.openxmlformats.org/officeDocument/2006/relationships/hyperlink" Target="http://www.supertechnical.com/" TargetMode="External"/><Relationship Id="rId74" Type="http://schemas.openxmlformats.org/officeDocument/2006/relationships/hyperlink" Target="http://www.adroitgroupme.com/" TargetMode="External"/><Relationship Id="rId128" Type="http://schemas.openxmlformats.org/officeDocument/2006/relationships/hyperlink" Target="mailto:info@unitecfze.com" TargetMode="External"/><Relationship Id="rId149" Type="http://schemas.openxmlformats.org/officeDocument/2006/relationships/hyperlink" Target="http://www.hidayath.com/" TargetMode="External"/><Relationship Id="rId5" Type="http://schemas.openxmlformats.org/officeDocument/2006/relationships/hyperlink" Target="mailto:info@suretacksystems.com" TargetMode="External"/><Relationship Id="rId95" Type="http://schemas.openxmlformats.org/officeDocument/2006/relationships/hyperlink" Target="http://www.idealdesign.com/" TargetMode="External"/><Relationship Id="rId160" Type="http://schemas.openxmlformats.org/officeDocument/2006/relationships/hyperlink" Target="http://www.printechme.com/" TargetMode="External"/><Relationship Id="rId181" Type="http://schemas.openxmlformats.org/officeDocument/2006/relationships/hyperlink" Target="mailto:dumech11@dumech.ae" TargetMode="External"/><Relationship Id="rId216" Type="http://schemas.openxmlformats.org/officeDocument/2006/relationships/hyperlink" Target="http://www.instrumentation.com/" TargetMode="External"/><Relationship Id="rId237" Type="http://schemas.openxmlformats.org/officeDocument/2006/relationships/hyperlink" Target="mailto:info@danwayirs.com" TargetMode="External"/><Relationship Id="rId258" Type="http://schemas.openxmlformats.org/officeDocument/2006/relationships/printerSettings" Target="../printerSettings/printerSettings6.bin"/><Relationship Id="rId22" Type="http://schemas.openxmlformats.org/officeDocument/2006/relationships/hyperlink" Target="http://www.cheshireengraving.com/" TargetMode="External"/><Relationship Id="rId43" Type="http://schemas.openxmlformats.org/officeDocument/2006/relationships/hyperlink" Target="mailto:omaninks@eim.ae" TargetMode="External"/><Relationship Id="rId64" Type="http://schemas.openxmlformats.org/officeDocument/2006/relationships/hyperlink" Target="mailto:sales1@fse-automation.com" TargetMode="External"/><Relationship Id="rId118" Type="http://schemas.openxmlformats.org/officeDocument/2006/relationships/hyperlink" Target="mailto:vinvish@eim.ae" TargetMode="External"/><Relationship Id="rId139" Type="http://schemas.openxmlformats.org/officeDocument/2006/relationships/hyperlink" Target="http://www.ptc.ae/" TargetMode="External"/><Relationship Id="rId85" Type="http://schemas.openxmlformats.org/officeDocument/2006/relationships/hyperlink" Target="mailto:ahmed.ali@powertech.ae" TargetMode="External"/><Relationship Id="rId150" Type="http://schemas.openxmlformats.org/officeDocument/2006/relationships/hyperlink" Target="mailto:eagletra@emirates.net.ae" TargetMode="External"/><Relationship Id="rId171" Type="http://schemas.openxmlformats.org/officeDocument/2006/relationships/hyperlink" Target="http://www.alsaeedkingtony.com/" TargetMode="External"/><Relationship Id="rId192" Type="http://schemas.openxmlformats.org/officeDocument/2006/relationships/hyperlink" Target="mailto:mgtech@emirates.net.ae" TargetMode="External"/><Relationship Id="rId206" Type="http://schemas.openxmlformats.org/officeDocument/2006/relationships/hyperlink" Target="mailto:fastener@eim.ae" TargetMode="External"/><Relationship Id="rId227" Type="http://schemas.openxmlformats.org/officeDocument/2006/relationships/hyperlink" Target="mailto:rac@emirates.net.ae" TargetMode="External"/><Relationship Id="rId248" Type="http://schemas.openxmlformats.org/officeDocument/2006/relationships/hyperlink" Target="mailto:bluedia@emirates.net.ae" TargetMode="External"/><Relationship Id="rId12" Type="http://schemas.openxmlformats.org/officeDocument/2006/relationships/hyperlink" Target="mailto:info@w-d.de" TargetMode="External"/><Relationship Id="rId33" Type="http://schemas.openxmlformats.org/officeDocument/2006/relationships/hyperlink" Target="mailto:albonypp@yahoo.com" TargetMode="External"/><Relationship Id="rId108" Type="http://schemas.openxmlformats.org/officeDocument/2006/relationships/hyperlink" Target="http://www.arasengineering.com/" TargetMode="External"/><Relationship Id="rId129" Type="http://schemas.openxmlformats.org/officeDocument/2006/relationships/hyperlink" Target="http://www.unitecfze.com/" TargetMode="External"/><Relationship Id="rId54" Type="http://schemas.openxmlformats.org/officeDocument/2006/relationships/hyperlink" Target="mailto:vishwanathan@alrahmani.com" TargetMode="External"/><Relationship Id="rId75" Type="http://schemas.openxmlformats.org/officeDocument/2006/relationships/hyperlink" Target="mailto:dostan@emirates.net.ae" TargetMode="External"/><Relationship Id="rId96" Type="http://schemas.openxmlformats.org/officeDocument/2006/relationships/hyperlink" Target="mailto:asadzaidi@enersys.ae" TargetMode="External"/><Relationship Id="rId140" Type="http://schemas.openxmlformats.org/officeDocument/2006/relationships/hyperlink" Target="mailto:citysky@emirates.net.ae" TargetMode="External"/><Relationship Id="rId161" Type="http://schemas.openxmlformats.org/officeDocument/2006/relationships/hyperlink" Target="mailto:flowline@emirates.net.ae" TargetMode="External"/><Relationship Id="rId182" Type="http://schemas.openxmlformats.org/officeDocument/2006/relationships/hyperlink" Target="http://www.dumech.ae/" TargetMode="External"/><Relationship Id="rId217" Type="http://schemas.openxmlformats.org/officeDocument/2006/relationships/hyperlink" Target="http://www.bannerengineering.com/" TargetMode="External"/><Relationship Id="rId6" Type="http://schemas.openxmlformats.org/officeDocument/2006/relationships/hyperlink" Target="http://www.suretacksystems.com/" TargetMode="External"/><Relationship Id="rId238" Type="http://schemas.openxmlformats.org/officeDocument/2006/relationships/hyperlink" Target="http://www.danwayirs.com/" TargetMode="External"/><Relationship Id="rId259" Type="http://schemas.openxmlformats.org/officeDocument/2006/relationships/table" Target="../tables/table2.xml"/><Relationship Id="rId23" Type="http://schemas.openxmlformats.org/officeDocument/2006/relationships/hyperlink" Target="mailto:malhamar@emirates.net.ae" TargetMode="External"/><Relationship Id="rId119" Type="http://schemas.openxmlformats.org/officeDocument/2006/relationships/hyperlink" Target="mailto:phoenixxv@eim.ae" TargetMode="External"/><Relationship Id="rId44" Type="http://schemas.openxmlformats.org/officeDocument/2006/relationships/hyperlink" Target="mailto:tekbelt@alrizq.com" TargetMode="External"/><Relationship Id="rId65" Type="http://schemas.openxmlformats.org/officeDocument/2006/relationships/hyperlink" Target="mailto:juzer52@eim.ae" TargetMode="External"/><Relationship Id="rId86" Type="http://schemas.openxmlformats.org/officeDocument/2006/relationships/hyperlink" Target="http://www.powertech.ae/" TargetMode="External"/><Relationship Id="rId130" Type="http://schemas.openxmlformats.org/officeDocument/2006/relationships/hyperlink" Target="mailto:sameer@aljallaf.ae" TargetMode="External"/><Relationship Id="rId151" Type="http://schemas.openxmlformats.org/officeDocument/2006/relationships/hyperlink" Target="http://www.alawigroup.com/" TargetMode="External"/><Relationship Id="rId172" Type="http://schemas.openxmlformats.org/officeDocument/2006/relationships/hyperlink" Target="mailto:jijibla@emirates.net.ae" TargetMode="External"/><Relationship Id="rId193" Type="http://schemas.openxmlformats.org/officeDocument/2006/relationships/hyperlink" Target="mailto:robykk@eim.ae" TargetMode="External"/><Relationship Id="rId207" Type="http://schemas.openxmlformats.org/officeDocument/2006/relationships/hyperlink" Target="http://www.goldenmetal.org/" TargetMode="External"/><Relationship Id="rId228" Type="http://schemas.openxmlformats.org/officeDocument/2006/relationships/hyperlink" Target="http://www.reliance-technical.com/" TargetMode="External"/><Relationship Id="rId249" Type="http://schemas.openxmlformats.org/officeDocument/2006/relationships/hyperlink" Target="http://www.bluediamonduae.com/" TargetMode="External"/><Relationship Id="rId13" Type="http://schemas.openxmlformats.org/officeDocument/2006/relationships/hyperlink" Target="http://www.w-d.de/" TargetMode="External"/><Relationship Id="rId109" Type="http://schemas.openxmlformats.org/officeDocument/2006/relationships/hyperlink" Target="mailto:apequi@hotmail.com" TargetMode="External"/><Relationship Id="rId34" Type="http://schemas.openxmlformats.org/officeDocument/2006/relationships/hyperlink" Target="mailto:rubber@aldobowi.com" TargetMode="External"/><Relationship Id="rId55" Type="http://schemas.openxmlformats.org/officeDocument/2006/relationships/hyperlink" Target="mailto:shajahan@aldanube.com" TargetMode="External"/><Relationship Id="rId76" Type="http://schemas.openxmlformats.org/officeDocument/2006/relationships/hyperlink" Target="http://www.dostangroup.com/" TargetMode="External"/><Relationship Id="rId97" Type="http://schemas.openxmlformats.org/officeDocument/2006/relationships/hyperlink" Target="mailto:sparetec@emirates.net.ae" TargetMode="External"/><Relationship Id="rId120" Type="http://schemas.openxmlformats.org/officeDocument/2006/relationships/hyperlink" Target="http://www.phoenixweighing.com/" TargetMode="External"/><Relationship Id="rId141" Type="http://schemas.openxmlformats.org/officeDocument/2006/relationships/hyperlink" Target="http://www.technos-me.com/" TargetMode="External"/><Relationship Id="rId7" Type="http://schemas.openxmlformats.org/officeDocument/2006/relationships/hyperlink" Target="mailto:info@bestcuttingdie.com" TargetMode="External"/><Relationship Id="rId162" Type="http://schemas.openxmlformats.org/officeDocument/2006/relationships/hyperlink" Target="http://www.flowlines.ae/" TargetMode="External"/><Relationship Id="rId183" Type="http://schemas.openxmlformats.org/officeDocument/2006/relationships/hyperlink" Target="mailto:ahuja@theocmgroup.com" TargetMode="External"/><Relationship Id="rId218" Type="http://schemas.openxmlformats.org/officeDocument/2006/relationships/hyperlink" Target="mailto:nshaikhs@eim.ae" TargetMode="External"/><Relationship Id="rId239" Type="http://schemas.openxmlformats.org/officeDocument/2006/relationships/hyperlink" Target="http://www.unicastinc.com/" TargetMode="External"/><Relationship Id="rId250" Type="http://schemas.openxmlformats.org/officeDocument/2006/relationships/hyperlink" Target="mailto:ali@millmechanical.com" TargetMode="External"/><Relationship Id="rId24" Type="http://schemas.openxmlformats.org/officeDocument/2006/relationships/hyperlink" Target="mailto:unisafe@emirates.net.ae" TargetMode="External"/><Relationship Id="rId45" Type="http://schemas.openxmlformats.org/officeDocument/2006/relationships/hyperlink" Target="mailto:hdgulf@emirates.net.ae" TargetMode="External"/><Relationship Id="rId66" Type="http://schemas.openxmlformats.org/officeDocument/2006/relationships/hyperlink" Target="mailto:mahboob0@eim.ae" TargetMode="External"/><Relationship Id="rId87" Type="http://schemas.openxmlformats.org/officeDocument/2006/relationships/hyperlink" Target="mailto:munawar.almarar@gmail.com" TargetMode="External"/><Relationship Id="rId110" Type="http://schemas.openxmlformats.org/officeDocument/2006/relationships/hyperlink" Target="mailto:blath@emirates.net.ae" TargetMode="External"/><Relationship Id="rId131" Type="http://schemas.openxmlformats.org/officeDocument/2006/relationships/hyperlink" Target="http://www.monatrading.ae/" TargetMode="External"/><Relationship Id="rId152" Type="http://schemas.openxmlformats.org/officeDocument/2006/relationships/hyperlink" Target="mailto:info@imvengineering.com" TargetMode="External"/><Relationship Id="rId173" Type="http://schemas.openxmlformats.org/officeDocument/2006/relationships/hyperlink" Target="mailto:namigt@emirates.net.ae" TargetMode="External"/><Relationship Id="rId194" Type="http://schemas.openxmlformats.org/officeDocument/2006/relationships/hyperlink" Target="mailto:thomas@indelsys.com" TargetMode="External"/><Relationship Id="rId208" Type="http://schemas.openxmlformats.org/officeDocument/2006/relationships/hyperlink" Target="mailto:glcastle@eim.ae" TargetMode="External"/><Relationship Id="rId229" Type="http://schemas.openxmlformats.org/officeDocument/2006/relationships/hyperlink" Target="http://www.motionindustries.com/" TargetMode="External"/><Relationship Id="rId240" Type="http://schemas.openxmlformats.org/officeDocument/2006/relationships/hyperlink" Target="mailto:safestar@emirates.net.ae" TargetMode="External"/><Relationship Id="rId14" Type="http://schemas.openxmlformats.org/officeDocument/2006/relationships/hyperlink" Target="http://www.grainger.co/" TargetMode="External"/><Relationship Id="rId35" Type="http://schemas.openxmlformats.org/officeDocument/2006/relationships/hyperlink" Target="http://www.aldobowi.com/" TargetMode="External"/><Relationship Id="rId56" Type="http://schemas.openxmlformats.org/officeDocument/2006/relationships/hyperlink" Target="http://www.aldanube.com/" TargetMode="External"/><Relationship Id="rId77" Type="http://schemas.openxmlformats.org/officeDocument/2006/relationships/hyperlink" Target="mailto:kannan@acme-world.com" TargetMode="External"/><Relationship Id="rId100" Type="http://schemas.openxmlformats.org/officeDocument/2006/relationships/hyperlink" Target="mailto:morsetec@emirates.net.ae" TargetMode="External"/><Relationship Id="rId8" Type="http://schemas.openxmlformats.org/officeDocument/2006/relationships/hyperlink" Target="mailto:sales@newartltd.com" TargetMode="External"/><Relationship Id="rId98" Type="http://schemas.openxmlformats.org/officeDocument/2006/relationships/hyperlink" Target="mailto:aweer@alkhalij.com" TargetMode="External"/><Relationship Id="rId121" Type="http://schemas.openxmlformats.org/officeDocument/2006/relationships/hyperlink" Target="mailto:snowwhite466@gmail.com" TargetMode="External"/><Relationship Id="rId142" Type="http://schemas.openxmlformats.org/officeDocument/2006/relationships/hyperlink" Target="mailto:jsewllc@yahoo.com" TargetMode="External"/><Relationship Id="rId163" Type="http://schemas.openxmlformats.org/officeDocument/2006/relationships/hyperlink" Target="mailto:josem@alrostamanicgroup.ae" TargetMode="External"/><Relationship Id="rId184" Type="http://schemas.openxmlformats.org/officeDocument/2006/relationships/hyperlink" Target="mailto:sirajco@emirates.net.ae" TargetMode="External"/><Relationship Id="rId219" Type="http://schemas.openxmlformats.org/officeDocument/2006/relationships/hyperlink" Target="mailto:alracom@emirates.net.ae" TargetMode="External"/><Relationship Id="rId230" Type="http://schemas.openxmlformats.org/officeDocument/2006/relationships/hyperlink" Target="http://www.americanholt.com/" TargetMode="External"/><Relationship Id="rId251" Type="http://schemas.openxmlformats.org/officeDocument/2006/relationships/hyperlink" Target="mailto:sreekumar@geogroupglobal.com" TargetMode="External"/><Relationship Id="rId25" Type="http://schemas.openxmlformats.org/officeDocument/2006/relationships/hyperlink" Target="http://www.unisafedxb.com/" TargetMode="External"/><Relationship Id="rId46" Type="http://schemas.openxmlformats.org/officeDocument/2006/relationships/hyperlink" Target="mailto:rheat@emirates.net.ae" TargetMode="External"/><Relationship Id="rId67" Type="http://schemas.openxmlformats.org/officeDocument/2006/relationships/hyperlink" Target="mailto:lizoge@emirates.net.ae" TargetMode="External"/><Relationship Id="rId88" Type="http://schemas.openxmlformats.org/officeDocument/2006/relationships/hyperlink" Target="mailto:freehands.uae@gmail.com" TargetMode="External"/><Relationship Id="rId111" Type="http://schemas.openxmlformats.org/officeDocument/2006/relationships/hyperlink" Target="mailto:zenroler@eim.ae" TargetMode="External"/><Relationship Id="rId132" Type="http://schemas.openxmlformats.org/officeDocument/2006/relationships/hyperlink" Target="mailto:afeez@alnaboodah.com" TargetMode="External"/><Relationship Id="rId153" Type="http://schemas.openxmlformats.org/officeDocument/2006/relationships/hyperlink" Target="http://www.imvengineering.com/" TargetMode="External"/><Relationship Id="rId174" Type="http://schemas.openxmlformats.org/officeDocument/2006/relationships/hyperlink" Target="http://www.namidubai.com/" TargetMode="External"/><Relationship Id="rId195" Type="http://schemas.openxmlformats.org/officeDocument/2006/relationships/hyperlink" Target="http://www.indelsys.com/" TargetMode="External"/><Relationship Id="rId209" Type="http://schemas.openxmlformats.org/officeDocument/2006/relationships/hyperlink" Target="http://www.goldenmetal.org/" TargetMode="External"/><Relationship Id="rId220" Type="http://schemas.openxmlformats.org/officeDocument/2006/relationships/hyperlink" Target="mailto:jimuka@eim.ae" TargetMode="External"/><Relationship Id="rId241" Type="http://schemas.openxmlformats.org/officeDocument/2006/relationships/hyperlink" Target="mailto:rajagopal@perfecttools.ae" TargetMode="External"/><Relationship Id="rId15" Type="http://schemas.openxmlformats.org/officeDocument/2006/relationships/hyperlink" Target="mailto:TBoris@unicastinc.com" TargetMode="External"/><Relationship Id="rId36" Type="http://schemas.openxmlformats.org/officeDocument/2006/relationships/hyperlink" Target="mailto:idealdxb@eim.ae" TargetMode="External"/><Relationship Id="rId57" Type="http://schemas.openxmlformats.org/officeDocument/2006/relationships/hyperlink" Target="mailto:unniwsm@gmail.com" TargetMode="External"/><Relationship Id="rId78" Type="http://schemas.openxmlformats.org/officeDocument/2006/relationships/hyperlink" Target="http://www.acme-world.com/" TargetMode="External"/><Relationship Id="rId99" Type="http://schemas.openxmlformats.org/officeDocument/2006/relationships/hyperlink" Target="http://www.alkhalij.com/" TargetMode="External"/><Relationship Id="rId101" Type="http://schemas.openxmlformats.org/officeDocument/2006/relationships/hyperlink" Target="mailto:mgtech@emirates.net.ae" TargetMode="External"/><Relationship Id="rId122" Type="http://schemas.openxmlformats.org/officeDocument/2006/relationships/hyperlink" Target="mailto:thimmapa@emirates.net.ae" TargetMode="External"/><Relationship Id="rId143" Type="http://schemas.openxmlformats.org/officeDocument/2006/relationships/hyperlink" Target="mailto:heeco@emirates.net.ae" TargetMode="External"/><Relationship Id="rId164" Type="http://schemas.openxmlformats.org/officeDocument/2006/relationships/hyperlink" Target="http://www.ctc-uae.com/" TargetMode="External"/><Relationship Id="rId185" Type="http://schemas.openxmlformats.org/officeDocument/2006/relationships/hyperlink" Target="mailto:hbrosllc@emirates.net.ae" TargetMode="External"/><Relationship Id="rId9" Type="http://schemas.openxmlformats.org/officeDocument/2006/relationships/hyperlink" Target="mailto:curtius@curtius.com" TargetMode="External"/><Relationship Id="rId210" Type="http://schemas.openxmlformats.org/officeDocument/2006/relationships/hyperlink" Target="mailto:kortbawi@emirates.net.ae" TargetMode="External"/><Relationship Id="rId26" Type="http://schemas.openxmlformats.org/officeDocument/2006/relationships/hyperlink" Target="mailto:ase@ase.ae" TargetMode="External"/><Relationship Id="rId231" Type="http://schemas.openxmlformats.org/officeDocument/2006/relationships/hyperlink" Target="mailto:prabhu@fmsdubai.com" TargetMode="External"/><Relationship Id="rId252" Type="http://schemas.openxmlformats.org/officeDocument/2006/relationships/hyperlink" Target="mailto:msimmons@arcinternational.com" TargetMode="External"/><Relationship Id="rId47" Type="http://schemas.openxmlformats.org/officeDocument/2006/relationships/hyperlink" Target="http://www.reliableheaters.com/" TargetMode="External"/><Relationship Id="rId68" Type="http://schemas.openxmlformats.org/officeDocument/2006/relationships/hyperlink" Target="mailto:asco2@emirates.net.ae" TargetMode="External"/><Relationship Id="rId89" Type="http://schemas.openxmlformats.org/officeDocument/2006/relationships/hyperlink" Target="mailto:hamarex@hotmail.com" TargetMode="External"/><Relationship Id="rId112" Type="http://schemas.openxmlformats.org/officeDocument/2006/relationships/hyperlink" Target="http://www.zenithrollerss.com/" TargetMode="External"/><Relationship Id="rId133" Type="http://schemas.openxmlformats.org/officeDocument/2006/relationships/hyperlink" Target="http://www.alnaboodah.com/" TargetMode="External"/><Relationship Id="rId154" Type="http://schemas.openxmlformats.org/officeDocument/2006/relationships/hyperlink" Target="mailto:fayaz@afh-tools.com" TargetMode="External"/><Relationship Id="rId175" Type="http://schemas.openxmlformats.org/officeDocument/2006/relationships/hyperlink" Target="mailto:info@abdullahassan.ae" TargetMode="External"/><Relationship Id="rId196" Type="http://schemas.openxmlformats.org/officeDocument/2006/relationships/hyperlink" Target="mailto:andelidubai@hotmail.com" TargetMode="External"/><Relationship Id="rId200" Type="http://schemas.openxmlformats.org/officeDocument/2006/relationships/hyperlink" Target="http://www.omrandubai.com/" TargetMode="External"/><Relationship Id="rId16" Type="http://schemas.openxmlformats.org/officeDocument/2006/relationships/hyperlink" Target="mailto:garland@garlandmfg.com" TargetMode="External"/><Relationship Id="rId221" Type="http://schemas.openxmlformats.org/officeDocument/2006/relationships/hyperlink" Target="http://www.gama.ae/" TargetMode="External"/><Relationship Id="rId242" Type="http://schemas.openxmlformats.org/officeDocument/2006/relationships/hyperlink" Target="http://www.perfecttools.ae/" TargetMode="External"/><Relationship Id="rId37" Type="http://schemas.openxmlformats.org/officeDocument/2006/relationships/hyperlink" Target="mailto:vgedubai@eim.ae" TargetMode="External"/><Relationship Id="rId58" Type="http://schemas.openxmlformats.org/officeDocument/2006/relationships/hyperlink" Target="mailto:ime@emirates.net.ae" TargetMode="External"/><Relationship Id="rId79" Type="http://schemas.openxmlformats.org/officeDocument/2006/relationships/hyperlink" Target="http://www.cosmoplast.com/" TargetMode="External"/><Relationship Id="rId102" Type="http://schemas.openxmlformats.org/officeDocument/2006/relationships/hyperlink" Target="mailto:morsetec@emirates.net.ae" TargetMode="External"/><Relationship Id="rId123" Type="http://schemas.openxmlformats.org/officeDocument/2006/relationships/hyperlink" Target="http://www.alnaurasrubber.com/" TargetMode="External"/><Relationship Id="rId144" Type="http://schemas.openxmlformats.org/officeDocument/2006/relationships/hyperlink" Target="mailto:awaks@emirates.net.ae" TargetMode="External"/><Relationship Id="rId90" Type="http://schemas.openxmlformats.org/officeDocument/2006/relationships/hyperlink" Target="mailto:amcgulf@eim.ae" TargetMode="External"/><Relationship Id="rId165" Type="http://schemas.openxmlformats.org/officeDocument/2006/relationships/hyperlink" Target="mailto:faqihibr@eim.ae" TargetMode="External"/><Relationship Id="rId186" Type="http://schemas.openxmlformats.org/officeDocument/2006/relationships/hyperlink" Target="http://www.hussainibros.com/" TargetMode="External"/><Relationship Id="rId211" Type="http://schemas.openxmlformats.org/officeDocument/2006/relationships/hyperlink" Target="mailto:ashokael@eim.ae" TargetMode="External"/><Relationship Id="rId232" Type="http://schemas.openxmlformats.org/officeDocument/2006/relationships/hyperlink" Target="http://www.fmsdubai.com/" TargetMode="External"/><Relationship Id="rId253" Type="http://schemas.openxmlformats.org/officeDocument/2006/relationships/hyperlink" Target="http://www.arcinternational.com/" TargetMode="External"/><Relationship Id="rId27" Type="http://schemas.openxmlformats.org/officeDocument/2006/relationships/hyperlink" Target="http://www.alshirawienterprises.com/" TargetMode="External"/><Relationship Id="rId48" Type="http://schemas.openxmlformats.org/officeDocument/2006/relationships/hyperlink" Target="mailto:galenem@emirates.net.ae" TargetMode="External"/><Relationship Id="rId69" Type="http://schemas.openxmlformats.org/officeDocument/2006/relationships/hyperlink" Target="mailto:stanley@emrates.net.ae" TargetMode="External"/><Relationship Id="rId113" Type="http://schemas.openxmlformats.org/officeDocument/2006/relationships/hyperlink" Target="mailto:johnny.antoun@span-group.com" TargetMode="External"/><Relationship Id="rId134" Type="http://schemas.openxmlformats.org/officeDocument/2006/relationships/hyperlink" Target="mailto:abulfazl@eim.ae" TargetMode="External"/><Relationship Id="rId80" Type="http://schemas.openxmlformats.org/officeDocument/2006/relationships/hyperlink" Target="mailto:mukesh@cosmoplast.com" TargetMode="External"/><Relationship Id="rId155" Type="http://schemas.openxmlformats.org/officeDocument/2006/relationships/hyperlink" Target="http://www.afh-tools.com/" TargetMode="External"/><Relationship Id="rId176" Type="http://schemas.openxmlformats.org/officeDocument/2006/relationships/hyperlink" Target="http://www.abdullahassan.ae/" TargetMode="External"/><Relationship Id="rId197" Type="http://schemas.openxmlformats.org/officeDocument/2006/relationships/hyperlink" Target="mailto:ahujaele@eim.ae" TargetMode="External"/><Relationship Id="rId201" Type="http://schemas.openxmlformats.org/officeDocument/2006/relationships/hyperlink" Target="mailto:amtradco@emirates.net.ae" TargetMode="External"/><Relationship Id="rId222" Type="http://schemas.openxmlformats.org/officeDocument/2006/relationships/hyperlink" Target="mailto:jav@accuweb.com" TargetMode="External"/><Relationship Id="rId243" Type="http://schemas.openxmlformats.org/officeDocument/2006/relationships/hyperlink" Target="mailto:idris@probe.ae" TargetMode="External"/><Relationship Id="rId17" Type="http://schemas.openxmlformats.org/officeDocument/2006/relationships/hyperlink" Target="http://www.garlandmfg.com/" TargetMode="External"/><Relationship Id="rId38" Type="http://schemas.openxmlformats.org/officeDocument/2006/relationships/hyperlink" Target="mailto:afzalahmed703@hotmail.com" TargetMode="External"/><Relationship Id="rId59" Type="http://schemas.openxmlformats.org/officeDocument/2006/relationships/hyperlink" Target="http://www.rsuae.com/" TargetMode="External"/><Relationship Id="rId103" Type="http://schemas.openxmlformats.org/officeDocument/2006/relationships/hyperlink" Target="mailto:mgtech@emirates.net.ae" TargetMode="External"/><Relationship Id="rId124" Type="http://schemas.openxmlformats.org/officeDocument/2006/relationships/hyperlink" Target="http://www.wsmmachinery.com/" TargetMode="External"/><Relationship Id="rId70" Type="http://schemas.openxmlformats.org/officeDocument/2006/relationships/hyperlink" Target="http://www.unitedtradingcompany.com/" TargetMode="External"/><Relationship Id="rId91" Type="http://schemas.openxmlformats.org/officeDocument/2006/relationships/hyperlink" Target="mailto:rauftrd@eim.ae" TargetMode="External"/><Relationship Id="rId145" Type="http://schemas.openxmlformats.org/officeDocument/2006/relationships/hyperlink" Target="http://www.aw-kazim.com/" TargetMode="External"/><Relationship Id="rId166" Type="http://schemas.openxmlformats.org/officeDocument/2006/relationships/hyperlink" Target="http://www.faqihigroup.com/" TargetMode="External"/><Relationship Id="rId187" Type="http://schemas.openxmlformats.org/officeDocument/2006/relationships/hyperlink" Target="mailto:bheet@emirates.net.ae" TargetMode="External"/><Relationship Id="rId1" Type="http://schemas.openxmlformats.org/officeDocument/2006/relationships/hyperlink" Target="mailto:mechtron@emirates.net.ae" TargetMode="External"/><Relationship Id="rId212" Type="http://schemas.openxmlformats.org/officeDocument/2006/relationships/hyperlink" Target="mailto:chanko-1@hotmail.com" TargetMode="External"/><Relationship Id="rId233" Type="http://schemas.openxmlformats.org/officeDocument/2006/relationships/hyperlink" Target="mailto:saketgarments@yahoo.com" TargetMode="External"/><Relationship Id="rId254" Type="http://schemas.openxmlformats.org/officeDocument/2006/relationships/hyperlink" Target="http://www.fimx.ae/" TargetMode="External"/><Relationship Id="rId28" Type="http://schemas.openxmlformats.org/officeDocument/2006/relationships/hyperlink" Target="mailto:europack@emirates.net.ae" TargetMode="External"/><Relationship Id="rId49" Type="http://schemas.openxmlformats.org/officeDocument/2006/relationships/hyperlink" Target="mailto:gulfscales@gulfscales.net" TargetMode="External"/><Relationship Id="rId114" Type="http://schemas.openxmlformats.org/officeDocument/2006/relationships/hyperlink" Target="http://www.span-group.com/" TargetMode="External"/><Relationship Id="rId60" Type="http://schemas.openxmlformats.org/officeDocument/2006/relationships/hyperlink" Target="mailto:gilgalil@hotmail.com" TargetMode="External"/><Relationship Id="rId81" Type="http://schemas.openxmlformats.org/officeDocument/2006/relationships/hyperlink" Target="mailto:jaleel@hepworthpme.com" TargetMode="External"/><Relationship Id="rId135" Type="http://schemas.openxmlformats.org/officeDocument/2006/relationships/hyperlink" Target="http://www.abul-fazl.com/" TargetMode="External"/><Relationship Id="rId156" Type="http://schemas.openxmlformats.org/officeDocument/2006/relationships/hyperlink" Target="mailto:fkabbas@emirates.net.ae" TargetMode="External"/><Relationship Id="rId177" Type="http://schemas.openxmlformats.org/officeDocument/2006/relationships/hyperlink" Target="mailto:alrahla@emirates.net.ae" TargetMode="External"/><Relationship Id="rId198" Type="http://schemas.openxmlformats.org/officeDocument/2006/relationships/hyperlink" Target="http://www.ahujaelectricals.com/" TargetMode="External"/><Relationship Id="rId202" Type="http://schemas.openxmlformats.org/officeDocument/2006/relationships/hyperlink" Target="mailto:gmtsales@live.com" TargetMode="External"/><Relationship Id="rId223" Type="http://schemas.openxmlformats.org/officeDocument/2006/relationships/hyperlink" Target="http://www.accuweb.com/" TargetMode="External"/><Relationship Id="rId244" Type="http://schemas.openxmlformats.org/officeDocument/2006/relationships/hyperlink" Target="mailto:info@gama.ae" TargetMode="External"/><Relationship Id="rId18" Type="http://schemas.openxmlformats.org/officeDocument/2006/relationships/hyperlink" Target="http://www.mcmaster.com/" TargetMode="External"/><Relationship Id="rId39" Type="http://schemas.openxmlformats.org/officeDocument/2006/relationships/hyperlink" Target="mailto:a1engg@yahoo.com" TargetMode="External"/><Relationship Id="rId50" Type="http://schemas.openxmlformats.org/officeDocument/2006/relationships/hyperlink" Target="http://www.gulfscales.net/" TargetMode="External"/><Relationship Id="rId104" Type="http://schemas.openxmlformats.org/officeDocument/2006/relationships/hyperlink" Target="mailto:qutbudin@emirates.net.ae" TargetMode="External"/><Relationship Id="rId125" Type="http://schemas.openxmlformats.org/officeDocument/2006/relationships/hyperlink" Target="mailto:motiwalakaizar@hotmail.com" TargetMode="External"/><Relationship Id="rId146" Type="http://schemas.openxmlformats.org/officeDocument/2006/relationships/hyperlink" Target="mailto:sedana@emirates.net.ae" TargetMode="External"/><Relationship Id="rId167" Type="http://schemas.openxmlformats.org/officeDocument/2006/relationships/hyperlink" Target="mailto:yamin786@emirates.net.ae" TargetMode="External"/><Relationship Id="rId188" Type="http://schemas.openxmlformats.org/officeDocument/2006/relationships/hyperlink" Target="mailto:amirali.khan@alfuttaim.ae" TargetMode="External"/><Relationship Id="rId71" Type="http://schemas.openxmlformats.org/officeDocument/2006/relationships/hyperlink" Target="mailto:yianmaoyi@126.com" TargetMode="External"/><Relationship Id="rId92" Type="http://schemas.openxmlformats.org/officeDocument/2006/relationships/hyperlink" Target="http://www.arauf.com/" TargetMode="External"/><Relationship Id="rId213" Type="http://schemas.openxmlformats.org/officeDocument/2006/relationships/hyperlink" Target="mailto:info@wattelectrical.com" TargetMode="External"/><Relationship Id="rId234" Type="http://schemas.openxmlformats.org/officeDocument/2006/relationships/hyperlink" Target="mailto:janusz.i@windycitycuttingdie.com" TargetMode="External"/><Relationship Id="rId2" Type="http://schemas.openxmlformats.org/officeDocument/2006/relationships/hyperlink" Target="http://www.mechatronics.ae/" TargetMode="External"/><Relationship Id="rId29" Type="http://schemas.openxmlformats.org/officeDocument/2006/relationships/hyperlink" Target="http://www.europackdubai.com/" TargetMode="External"/><Relationship Id="rId255" Type="http://schemas.openxmlformats.org/officeDocument/2006/relationships/hyperlink" Target="mailto:info@fimx.ae" TargetMode="External"/><Relationship Id="rId40" Type="http://schemas.openxmlformats.org/officeDocument/2006/relationships/hyperlink" Target="mailto:info@dynagraph.net" TargetMode="External"/><Relationship Id="rId115" Type="http://schemas.openxmlformats.org/officeDocument/2006/relationships/hyperlink" Target="mailto:antco@emirates.net.at" TargetMode="External"/><Relationship Id="rId136" Type="http://schemas.openxmlformats.org/officeDocument/2006/relationships/hyperlink" Target="mailto:bryan.searle@mailme.ae" TargetMode="External"/><Relationship Id="rId157" Type="http://schemas.openxmlformats.org/officeDocument/2006/relationships/hyperlink" Target="http://www.fkdubai.com/" TargetMode="External"/><Relationship Id="rId178" Type="http://schemas.openxmlformats.org/officeDocument/2006/relationships/hyperlink" Target="mailto:janeluo1@hotmail.com" TargetMode="External"/><Relationship Id="rId61" Type="http://schemas.openxmlformats.org/officeDocument/2006/relationships/hyperlink" Target="mailto:iaate.dxb@gmail.com" TargetMode="External"/><Relationship Id="rId82" Type="http://schemas.openxmlformats.org/officeDocument/2006/relationships/hyperlink" Target="http://www.hepworthpme.com/" TargetMode="External"/><Relationship Id="rId199" Type="http://schemas.openxmlformats.org/officeDocument/2006/relationships/hyperlink" Target="mailto:alfaelec@emirates.net.ae" TargetMode="External"/><Relationship Id="rId203" Type="http://schemas.openxmlformats.org/officeDocument/2006/relationships/hyperlink" Target="http://www.goldenmetal.org/" TargetMode="External"/><Relationship Id="rId19" Type="http://schemas.openxmlformats.org/officeDocument/2006/relationships/hyperlink" Target="mailto:chi.sales@mcmaster.com" TargetMode="External"/><Relationship Id="rId224" Type="http://schemas.openxmlformats.org/officeDocument/2006/relationships/hyperlink" Target="mailto:dropco@ndf.vsnl.net.in" TargetMode="External"/><Relationship Id="rId245" Type="http://schemas.openxmlformats.org/officeDocument/2006/relationships/hyperlink" Target="mailto:info@adtech-trading.com" TargetMode="External"/><Relationship Id="rId30" Type="http://schemas.openxmlformats.org/officeDocument/2006/relationships/hyperlink" Target="mailto:qureshi_mi@hotmail.com" TargetMode="External"/><Relationship Id="rId105" Type="http://schemas.openxmlformats.org/officeDocument/2006/relationships/hyperlink" Target="mailto:stantech@emirates.net.ae" TargetMode="External"/><Relationship Id="rId126" Type="http://schemas.openxmlformats.org/officeDocument/2006/relationships/hyperlink" Target="mailto:sales@arabneon.com" TargetMode="External"/><Relationship Id="rId147" Type="http://schemas.openxmlformats.org/officeDocument/2006/relationships/hyperlink" Target="http://www.sedana.com/" TargetMode="External"/><Relationship Id="rId168" Type="http://schemas.openxmlformats.org/officeDocument/2006/relationships/hyperlink" Target="mailto:shamkumar@rajay-intl.com" TargetMode="External"/><Relationship Id="rId51" Type="http://schemas.openxmlformats.org/officeDocument/2006/relationships/hyperlink" Target="mailto:sales@btcuae.com" TargetMode="External"/><Relationship Id="rId72" Type="http://schemas.openxmlformats.org/officeDocument/2006/relationships/hyperlink" Target="mailto:almirathtyre@gmail.com" TargetMode="External"/><Relationship Id="rId93" Type="http://schemas.openxmlformats.org/officeDocument/2006/relationships/hyperlink" Target="mailto:mifllc@emirates.net.ae" TargetMode="External"/><Relationship Id="rId189" Type="http://schemas.openxmlformats.org/officeDocument/2006/relationships/hyperlink" Target="http://www.famcouae.com/" TargetMode="External"/><Relationship Id="rId3" Type="http://schemas.openxmlformats.org/officeDocument/2006/relationships/hyperlink" Target="mailto:fitwel@emirates.net.ae" TargetMode="External"/><Relationship Id="rId214" Type="http://schemas.openxmlformats.org/officeDocument/2006/relationships/hyperlink" Target="mailto:stdengg@emirates.net.ae" TargetMode="External"/><Relationship Id="rId235" Type="http://schemas.openxmlformats.org/officeDocument/2006/relationships/hyperlink" Target="mailto:francesca.rizzo@solbergmfg.com" TargetMode="External"/><Relationship Id="rId256" Type="http://schemas.openxmlformats.org/officeDocument/2006/relationships/hyperlink" Target="mailto:sales@wsmmachinery.com" TargetMode="External"/><Relationship Id="rId116" Type="http://schemas.openxmlformats.org/officeDocument/2006/relationships/hyperlink" Target="http://www.alnaesar.ae/" TargetMode="External"/><Relationship Id="rId137" Type="http://schemas.openxmlformats.org/officeDocument/2006/relationships/hyperlink" Target="mailto:habuae01@emirates.net.ae" TargetMode="External"/><Relationship Id="rId158" Type="http://schemas.openxmlformats.org/officeDocument/2006/relationships/hyperlink" Target="mailto:akatrade@eim.ae" TargetMode="External"/><Relationship Id="rId20" Type="http://schemas.openxmlformats.org/officeDocument/2006/relationships/hyperlink" Target="mailto:service@motadistribution.com" TargetMode="External"/><Relationship Id="rId41" Type="http://schemas.openxmlformats.org/officeDocument/2006/relationships/hyperlink" Target="http://www.dynagraph.net/" TargetMode="External"/><Relationship Id="rId62" Type="http://schemas.openxmlformats.org/officeDocument/2006/relationships/hyperlink" Target="mailto:asee@emirates.net.ae" TargetMode="External"/><Relationship Id="rId83" Type="http://schemas.openxmlformats.org/officeDocument/2006/relationships/hyperlink" Target="mailto:brilliant@nilsabbas.com" TargetMode="External"/><Relationship Id="rId179" Type="http://schemas.openxmlformats.org/officeDocument/2006/relationships/hyperlink" Target="http://www.wb-diamondtools.com/" TargetMode="External"/><Relationship Id="rId190" Type="http://schemas.openxmlformats.org/officeDocument/2006/relationships/hyperlink" Target="mailto:wujood@emirates.net.ae" TargetMode="External"/><Relationship Id="rId204" Type="http://schemas.openxmlformats.org/officeDocument/2006/relationships/hyperlink" Target="mailto:fastener@eim.ae" TargetMode="External"/><Relationship Id="rId225" Type="http://schemas.openxmlformats.org/officeDocument/2006/relationships/hyperlink" Target="http://www.dropco.com/" TargetMode="External"/><Relationship Id="rId246" Type="http://schemas.openxmlformats.org/officeDocument/2006/relationships/hyperlink" Target="http://www.loyalgrp.com/" TargetMode="External"/><Relationship Id="rId106" Type="http://schemas.openxmlformats.org/officeDocument/2006/relationships/hyperlink" Target="mailto:senoktrd@emirates.net.ae" TargetMode="External"/><Relationship Id="rId127" Type="http://schemas.openxmlformats.org/officeDocument/2006/relationships/hyperlink" Target="http://www.arabneon.com/" TargetMode="External"/><Relationship Id="rId10" Type="http://schemas.openxmlformats.org/officeDocument/2006/relationships/hyperlink" Target="http://www.tek-supply.com/" TargetMode="External"/><Relationship Id="rId31" Type="http://schemas.openxmlformats.org/officeDocument/2006/relationships/hyperlink" Target="mailto:frontlinellc@gmail.com" TargetMode="External"/><Relationship Id="rId52" Type="http://schemas.openxmlformats.org/officeDocument/2006/relationships/hyperlink" Target="mailto:sales@supertech.ae" TargetMode="External"/><Relationship Id="rId73" Type="http://schemas.openxmlformats.org/officeDocument/2006/relationships/hyperlink" Target="mailto:info@AdroitGroupME.com" TargetMode="External"/><Relationship Id="rId94" Type="http://schemas.openxmlformats.org/officeDocument/2006/relationships/hyperlink" Target="mailto:joseph@idealdesign.ae" TargetMode="External"/><Relationship Id="rId148" Type="http://schemas.openxmlformats.org/officeDocument/2006/relationships/hyperlink" Target="mailto:nonferos@emirates.net.ae" TargetMode="External"/><Relationship Id="rId169" Type="http://schemas.openxmlformats.org/officeDocument/2006/relationships/hyperlink" Target="mailto:mazmi786@emirates.net.ae" TargetMode="External"/><Relationship Id="rId4" Type="http://schemas.openxmlformats.org/officeDocument/2006/relationships/hyperlink" Target="http://www.fitwellmetal.com/" TargetMode="External"/><Relationship Id="rId180" Type="http://schemas.openxmlformats.org/officeDocument/2006/relationships/hyperlink" Target="mailto:goodwillauto@ymail.com" TargetMode="External"/><Relationship Id="rId215" Type="http://schemas.openxmlformats.org/officeDocument/2006/relationships/hyperlink" Target="mailto:abdul.haleem@instrumentation.com" TargetMode="External"/><Relationship Id="rId236" Type="http://schemas.openxmlformats.org/officeDocument/2006/relationships/hyperlink" Target="http://www.solbergmfg.com/" TargetMode="External"/><Relationship Id="rId257" Type="http://schemas.openxmlformats.org/officeDocument/2006/relationships/hyperlink" Target="http://www.wsmmachinery.com/"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
  <sheetViews>
    <sheetView workbookViewId="0">
      <selection activeCell="C20" sqref="C20:D20"/>
    </sheetView>
  </sheetViews>
  <sheetFormatPr defaultRowHeight="15" x14ac:dyDescent="0.25"/>
  <cols>
    <col min="1" max="1" width="15.85546875" bestFit="1" customWidth="1"/>
  </cols>
  <sheetData>
    <row r="1" spans="1:2" x14ac:dyDescent="0.25">
      <c r="A1" s="10" t="s">
        <v>89</v>
      </c>
      <c r="B1" s="11">
        <v>10</v>
      </c>
    </row>
    <row r="2" spans="1:2" x14ac:dyDescent="0.25">
      <c r="A2" s="12" t="s">
        <v>90</v>
      </c>
      <c r="B2" s="13">
        <v>20</v>
      </c>
    </row>
    <row r="3" spans="1:2" x14ac:dyDescent="0.25">
      <c r="A3" s="12" t="s">
        <v>91</v>
      </c>
      <c r="B3" s="13">
        <v>30</v>
      </c>
    </row>
    <row r="4" spans="1:2" x14ac:dyDescent="0.25">
      <c r="A4" s="14" t="s">
        <v>92</v>
      </c>
      <c r="B4" s="13">
        <v>40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C20" sqref="C20:D20"/>
    </sheetView>
  </sheetViews>
  <sheetFormatPr defaultRowHeight="15" x14ac:dyDescent="0.25"/>
  <cols>
    <col min="1" max="1" width="17" bestFit="1" customWidth="1"/>
  </cols>
  <sheetData>
    <row r="1" spans="1:2" x14ac:dyDescent="0.25">
      <c r="A1" s="4" t="s">
        <v>0</v>
      </c>
      <c r="B1" s="5">
        <v>10</v>
      </c>
    </row>
    <row r="2" spans="1:2" x14ac:dyDescent="0.25">
      <c r="A2" s="6" t="s">
        <v>1</v>
      </c>
      <c r="B2" s="7">
        <v>20</v>
      </c>
    </row>
    <row r="3" spans="1:2" x14ac:dyDescent="0.25">
      <c r="A3" s="6" t="s">
        <v>85</v>
      </c>
      <c r="B3" s="7">
        <v>30</v>
      </c>
    </row>
    <row r="4" spans="1:2" x14ac:dyDescent="0.25">
      <c r="A4" s="6" t="s">
        <v>86</v>
      </c>
      <c r="B4" s="7">
        <v>40</v>
      </c>
    </row>
    <row r="5" spans="1:2" x14ac:dyDescent="0.25">
      <c r="A5" s="6" t="s">
        <v>87</v>
      </c>
      <c r="B5" s="7">
        <v>50</v>
      </c>
    </row>
    <row r="6" spans="1:2" ht="15.75" thickBot="1" x14ac:dyDescent="0.3">
      <c r="A6" s="8" t="s">
        <v>88</v>
      </c>
      <c r="B6" s="9">
        <v>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9"/>
  <sheetViews>
    <sheetView workbookViewId="0">
      <selection activeCell="C20" sqref="C20:D20"/>
    </sheetView>
  </sheetViews>
  <sheetFormatPr defaultRowHeight="15" x14ac:dyDescent="0.25"/>
  <cols>
    <col min="1" max="1" width="4.28515625" style="3" customWidth="1"/>
    <col min="2" max="2" width="27.85546875" bestFit="1" customWidth="1"/>
  </cols>
  <sheetData>
    <row r="1" spans="1:2" x14ac:dyDescent="0.25">
      <c r="A1" s="228">
        <v>1</v>
      </c>
      <c r="B1" s="229" t="s">
        <v>48</v>
      </c>
    </row>
    <row r="2" spans="1:2" x14ac:dyDescent="0.25">
      <c r="A2" s="228">
        <v>2</v>
      </c>
      <c r="B2" s="229" t="s">
        <v>49</v>
      </c>
    </row>
    <row r="3" spans="1:2" x14ac:dyDescent="0.25">
      <c r="A3" s="228">
        <v>3</v>
      </c>
      <c r="B3" s="229" t="s">
        <v>50</v>
      </c>
    </row>
    <row r="4" spans="1:2" x14ac:dyDescent="0.25">
      <c r="A4" s="228">
        <v>4</v>
      </c>
      <c r="B4" s="229" t="s">
        <v>51</v>
      </c>
    </row>
    <row r="5" spans="1:2" x14ac:dyDescent="0.25">
      <c r="A5" s="228">
        <v>5</v>
      </c>
      <c r="B5" s="229" t="s">
        <v>52</v>
      </c>
    </row>
    <row r="6" spans="1:2" x14ac:dyDescent="0.25">
      <c r="A6" s="228">
        <v>6</v>
      </c>
      <c r="B6" s="229" t="s">
        <v>53</v>
      </c>
    </row>
    <row r="7" spans="1:2" x14ac:dyDescent="0.25">
      <c r="A7" s="228">
        <v>7</v>
      </c>
      <c r="B7" s="229" t="s">
        <v>54</v>
      </c>
    </row>
    <row r="8" spans="1:2" x14ac:dyDescent="0.25">
      <c r="A8" s="228">
        <v>8</v>
      </c>
      <c r="B8" s="229" t="s">
        <v>55</v>
      </c>
    </row>
    <row r="9" spans="1:2" x14ac:dyDescent="0.25">
      <c r="A9" s="228">
        <v>9</v>
      </c>
      <c r="B9" s="229" t="s">
        <v>56</v>
      </c>
    </row>
    <row r="10" spans="1:2" x14ac:dyDescent="0.25">
      <c r="A10" s="228">
        <v>10</v>
      </c>
      <c r="B10" s="229">
        <v>214</v>
      </c>
    </row>
    <row r="11" spans="1:2" x14ac:dyDescent="0.25">
      <c r="A11" s="228">
        <v>11</v>
      </c>
      <c r="B11" s="229" t="s">
        <v>57</v>
      </c>
    </row>
    <row r="12" spans="1:2" x14ac:dyDescent="0.25">
      <c r="A12" s="228">
        <v>12</v>
      </c>
      <c r="B12" s="230" t="s">
        <v>58</v>
      </c>
    </row>
    <row r="13" spans="1:2" x14ac:dyDescent="0.25">
      <c r="A13" s="228">
        <v>13</v>
      </c>
      <c r="B13" s="230" t="s">
        <v>59</v>
      </c>
    </row>
    <row r="14" spans="1:2" x14ac:dyDescent="0.25">
      <c r="A14" s="228">
        <v>14</v>
      </c>
      <c r="B14" s="230" t="s">
        <v>60</v>
      </c>
    </row>
    <row r="15" spans="1:2" x14ac:dyDescent="0.25">
      <c r="A15" s="228">
        <v>15</v>
      </c>
      <c r="B15" s="230" t="s">
        <v>61</v>
      </c>
    </row>
    <row r="16" spans="1:2" x14ac:dyDescent="0.25">
      <c r="A16" s="228">
        <v>16</v>
      </c>
      <c r="B16" s="230" t="s">
        <v>62</v>
      </c>
    </row>
    <row r="17" spans="1:2" x14ac:dyDescent="0.25">
      <c r="A17" s="228">
        <v>17</v>
      </c>
      <c r="B17" s="230">
        <v>135</v>
      </c>
    </row>
    <row r="18" spans="1:2" x14ac:dyDescent="0.25">
      <c r="A18" s="228">
        <v>18</v>
      </c>
      <c r="B18" s="230" t="s">
        <v>63</v>
      </c>
    </row>
    <row r="19" spans="1:2" x14ac:dyDescent="0.25">
      <c r="A19" s="228">
        <v>19</v>
      </c>
      <c r="B19" s="230" t="s">
        <v>64</v>
      </c>
    </row>
    <row r="20" spans="1:2" x14ac:dyDescent="0.25">
      <c r="A20" s="228">
        <v>20</v>
      </c>
      <c r="B20" s="230" t="s">
        <v>65</v>
      </c>
    </row>
    <row r="21" spans="1:2" x14ac:dyDescent="0.25">
      <c r="A21" s="228">
        <v>21</v>
      </c>
      <c r="B21" s="230" t="s">
        <v>66</v>
      </c>
    </row>
    <row r="22" spans="1:2" x14ac:dyDescent="0.25">
      <c r="A22" s="228">
        <v>22</v>
      </c>
      <c r="B22" s="230" t="s">
        <v>67</v>
      </c>
    </row>
    <row r="23" spans="1:2" x14ac:dyDescent="0.25">
      <c r="A23" s="228">
        <v>23</v>
      </c>
      <c r="B23" s="230" t="s">
        <v>68</v>
      </c>
    </row>
    <row r="24" spans="1:2" x14ac:dyDescent="0.25">
      <c r="A24" s="228">
        <v>24</v>
      </c>
      <c r="B24" s="230" t="s">
        <v>69</v>
      </c>
    </row>
    <row r="25" spans="1:2" x14ac:dyDescent="0.25">
      <c r="A25" s="228">
        <v>25</v>
      </c>
      <c r="B25" s="230" t="s">
        <v>70</v>
      </c>
    </row>
    <row r="26" spans="1:2" x14ac:dyDescent="0.25">
      <c r="A26" s="228">
        <v>26</v>
      </c>
      <c r="B26" s="230" t="s">
        <v>71</v>
      </c>
    </row>
    <row r="27" spans="1:2" x14ac:dyDescent="0.25">
      <c r="A27" s="228">
        <v>27</v>
      </c>
      <c r="B27" s="230" t="s">
        <v>72</v>
      </c>
    </row>
    <row r="28" spans="1:2" x14ac:dyDescent="0.25">
      <c r="A28" s="228">
        <v>28</v>
      </c>
      <c r="B28" s="230" t="s">
        <v>73</v>
      </c>
    </row>
    <row r="29" spans="1:2" x14ac:dyDescent="0.25">
      <c r="A29" s="228">
        <v>29</v>
      </c>
      <c r="B29" s="230" t="s">
        <v>74</v>
      </c>
    </row>
    <row r="30" spans="1:2" x14ac:dyDescent="0.25">
      <c r="A30" s="228">
        <v>30</v>
      </c>
      <c r="B30" s="230" t="s">
        <v>75</v>
      </c>
    </row>
    <row r="31" spans="1:2" x14ac:dyDescent="0.25">
      <c r="A31" s="228">
        <v>31</v>
      </c>
      <c r="B31" s="230" t="s">
        <v>76</v>
      </c>
    </row>
    <row r="32" spans="1:2" x14ac:dyDescent="0.25">
      <c r="A32" s="228">
        <v>32</v>
      </c>
      <c r="B32" s="230" t="s">
        <v>77</v>
      </c>
    </row>
    <row r="33" spans="1:2" x14ac:dyDescent="0.25">
      <c r="A33" s="228">
        <v>33</v>
      </c>
      <c r="B33" s="230" t="s">
        <v>78</v>
      </c>
    </row>
    <row r="34" spans="1:2" x14ac:dyDescent="0.25">
      <c r="A34" s="228">
        <v>34</v>
      </c>
      <c r="B34" s="230" t="s">
        <v>79</v>
      </c>
    </row>
    <row r="35" spans="1:2" x14ac:dyDescent="0.25">
      <c r="A35" s="228">
        <v>35</v>
      </c>
      <c r="B35" s="230" t="s">
        <v>80</v>
      </c>
    </row>
    <row r="36" spans="1:2" x14ac:dyDescent="0.25">
      <c r="A36" s="228">
        <v>36</v>
      </c>
      <c r="B36" s="230" t="s">
        <v>81</v>
      </c>
    </row>
    <row r="37" spans="1:2" x14ac:dyDescent="0.25">
      <c r="A37" s="228">
        <v>37</v>
      </c>
      <c r="B37" s="230" t="s">
        <v>82</v>
      </c>
    </row>
    <row r="38" spans="1:2" x14ac:dyDescent="0.25">
      <c r="A38" s="228">
        <v>38</v>
      </c>
      <c r="B38" s="230" t="s">
        <v>83</v>
      </c>
    </row>
    <row r="39" spans="1:2" x14ac:dyDescent="0.25">
      <c r="A39" s="228">
        <v>39</v>
      </c>
      <c r="B39" s="230" t="s">
        <v>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C20" sqref="C20:D20"/>
    </sheetView>
  </sheetViews>
  <sheetFormatPr defaultRowHeight="15" x14ac:dyDescent="0.25"/>
  <cols>
    <col min="1" max="1" width="35" bestFit="1" customWidth="1"/>
  </cols>
  <sheetData>
    <row r="1" spans="1:2" x14ac:dyDescent="0.25">
      <c r="A1" s="1" t="s">
        <v>36</v>
      </c>
      <c r="B1" s="2" t="s">
        <v>37</v>
      </c>
    </row>
    <row r="2" spans="1:2" x14ac:dyDescent="0.25">
      <c r="A2" s="1" t="s">
        <v>38</v>
      </c>
      <c r="B2" s="2" t="s">
        <v>39</v>
      </c>
    </row>
    <row r="3" spans="1:2" x14ac:dyDescent="0.25">
      <c r="A3" s="1" t="s">
        <v>40</v>
      </c>
      <c r="B3" s="2" t="s">
        <v>41</v>
      </c>
    </row>
    <row r="4" spans="1:2" x14ac:dyDescent="0.25">
      <c r="A4" s="1" t="s">
        <v>42</v>
      </c>
      <c r="B4" s="2" t="s">
        <v>43</v>
      </c>
    </row>
    <row r="5" spans="1:2" x14ac:dyDescent="0.25">
      <c r="A5" s="1" t="s">
        <v>44</v>
      </c>
      <c r="B5" s="2" t="s">
        <v>45</v>
      </c>
    </row>
    <row r="6" spans="1:2" x14ac:dyDescent="0.25">
      <c r="A6" s="1" t="s">
        <v>46</v>
      </c>
      <c r="B6" s="2" t="s">
        <v>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52"/>
  <sheetViews>
    <sheetView view="pageBreakPreview" topLeftCell="A7" zoomScale="85" zoomScaleSheetLayoutView="85" workbookViewId="0">
      <selection activeCell="A25" sqref="A25"/>
    </sheetView>
  </sheetViews>
  <sheetFormatPr defaultRowHeight="15" x14ac:dyDescent="0.25"/>
  <cols>
    <col min="1" max="1" width="9.140625" style="129"/>
    <col min="2" max="2" width="7.85546875" style="137" customWidth="1"/>
    <col min="3" max="3" width="10.5703125" style="129" customWidth="1"/>
    <col min="4" max="4" width="30.28515625" style="129" customWidth="1"/>
    <col min="5" max="5" width="11.28515625" style="129" customWidth="1"/>
    <col min="6" max="6" width="10.85546875" style="129" customWidth="1"/>
    <col min="7" max="7" width="13.5703125" style="179" customWidth="1"/>
    <col min="8" max="8" width="15.140625" style="175" customWidth="1"/>
    <col min="9" max="9" width="19.140625" style="129" bestFit="1" customWidth="1"/>
    <col min="10" max="16384" width="9.140625" style="129"/>
  </cols>
  <sheetData>
    <row r="2" spans="2:9" ht="26.25" x14ac:dyDescent="0.4">
      <c r="B2" s="238"/>
      <c r="C2" s="238"/>
      <c r="D2" s="238"/>
      <c r="E2" s="238"/>
      <c r="F2" s="238"/>
      <c r="G2" s="238"/>
      <c r="H2" s="238"/>
    </row>
    <row r="3" spans="2:9" ht="26.25" x14ac:dyDescent="0.4">
      <c r="B3" s="239" t="s">
        <v>2947</v>
      </c>
      <c r="C3" s="239"/>
      <c r="D3" s="239"/>
      <c r="E3" s="239"/>
      <c r="F3" s="239"/>
      <c r="G3" s="239"/>
      <c r="H3" s="130"/>
      <c r="I3" s="131">
        <f ca="1">TODAY()</f>
        <v>43703</v>
      </c>
    </row>
    <row r="4" spans="2:9" ht="18.75" x14ac:dyDescent="0.3">
      <c r="B4" s="132" t="s">
        <v>2948</v>
      </c>
      <c r="C4" s="133" t="str">
        <f>CONCATENATE(INDEX('PURCHASE SYSTEM'!$A$4:$W$4254,MATCH(1,'PURCHASE SYSTEM'!$A$4:$A$4254,0),8),"-",INDEX('PURCHASE SYSTEM'!$A$4:$W$4254,MATCH(1,'PURCHASE SYSTEM'!$A$4:$A$4254,0),2))</f>
        <v>250819042010-2000</v>
      </c>
      <c r="D4" s="134"/>
      <c r="E4" s="134"/>
      <c r="F4" s="134"/>
      <c r="G4" s="135" t="s">
        <v>2949</v>
      </c>
      <c r="H4" s="136"/>
    </row>
    <row r="5" spans="2:9" x14ac:dyDescent="0.25">
      <c r="B5" s="137" t="s">
        <v>2950</v>
      </c>
      <c r="D5" s="138"/>
      <c r="E5" s="138"/>
      <c r="F5" s="138"/>
      <c r="G5" s="139" t="s">
        <v>2951</v>
      </c>
      <c r="H5" s="140" t="str">
        <f>INDEX('CONTACT REFERENCE'!$A$2:$Z$499,MATCH($H$12,'CONTACT REFERENCE'!$A$2:$A$499,0),4)</f>
        <v>ADVANCE TECHNOLOGY BELTING TRD EST</v>
      </c>
      <c r="I5" s="141"/>
    </row>
    <row r="6" spans="2:9" x14ac:dyDescent="0.25">
      <c r="B6" s="142" t="s">
        <v>2952</v>
      </c>
      <c r="D6" s="138"/>
      <c r="E6" s="138"/>
      <c r="F6" s="138"/>
      <c r="G6" s="139" t="s">
        <v>2953</v>
      </c>
      <c r="H6" s="140" t="str">
        <f>INDEX('CONTACT REFERENCE'!$A$2:$Z$499,MATCH($H$12,'CONTACT REFERENCE'!$A$2:$A$499,0),7)</f>
        <v>Mr. ABDUL BARI KHALID</v>
      </c>
      <c r="I6" s="143"/>
    </row>
    <row r="7" spans="2:9" x14ac:dyDescent="0.25">
      <c r="B7" s="144" t="s">
        <v>2954</v>
      </c>
      <c r="C7" s="145" t="s">
        <v>2955</v>
      </c>
      <c r="D7" s="138"/>
      <c r="E7" s="138"/>
      <c r="F7" s="138"/>
      <c r="G7" s="135" t="s">
        <v>2956</v>
      </c>
      <c r="H7" s="140" t="str">
        <f>INDEX('CONTACT REFERENCE'!$A$2:$Z$499,MATCH($H$12,'CONTACT REFERENCE'!$A$2:$A$499,0),15)</f>
        <v>UAE</v>
      </c>
      <c r="I7" s="143"/>
    </row>
    <row r="8" spans="2:9" x14ac:dyDescent="0.25">
      <c r="B8" s="144" t="s">
        <v>2957</v>
      </c>
      <c r="C8" s="145" t="s">
        <v>2958</v>
      </c>
      <c r="F8" s="138"/>
      <c r="G8" s="139" t="s">
        <v>2674</v>
      </c>
      <c r="H8" s="140" t="str">
        <f>INDEX('CONTACT REFERENCE'!$A$2:$Z$499,MATCH($H$12,'CONTACT REFERENCE'!$A$2:$A$499,0),12)</f>
        <v>info@adtech-trading.com</v>
      </c>
      <c r="I8" s="143"/>
    </row>
    <row r="9" spans="2:9" x14ac:dyDescent="0.25">
      <c r="B9" s="137" t="s">
        <v>2959</v>
      </c>
      <c r="D9" s="138"/>
      <c r="E9" s="138"/>
      <c r="F9" s="138"/>
      <c r="G9" s="139" t="s">
        <v>2954</v>
      </c>
      <c r="H9" s="140" t="str">
        <f>INDEX('CONTACT REFERENCE'!$A$2:$Z$499,MATCH($H$12,'CONTACT REFERENCE'!$A$2:$A$499,0),8)</f>
        <v>00971-6-5344225</v>
      </c>
      <c r="I9" s="143"/>
    </row>
    <row r="10" spans="2:9" x14ac:dyDescent="0.25">
      <c r="B10" s="137" t="s">
        <v>2960</v>
      </c>
      <c r="D10" s="138"/>
      <c r="E10" s="138"/>
      <c r="F10" s="138"/>
      <c r="G10" s="139" t="s">
        <v>2957</v>
      </c>
      <c r="H10" s="140" t="str">
        <f>INDEX('CONTACT REFERENCE'!$A$2:$Z$499,MATCH($H$12,'CONTACT REFERENCE'!$A$2:$A$499,0),10)</f>
        <v>00971-6-5344226</v>
      </c>
      <c r="I10" s="143"/>
    </row>
    <row r="11" spans="2:9" x14ac:dyDescent="0.25">
      <c r="B11" s="146" t="s">
        <v>2961</v>
      </c>
      <c r="D11" s="138"/>
      <c r="E11" s="138"/>
      <c r="F11" s="138"/>
      <c r="G11" s="139" t="s">
        <v>2962</v>
      </c>
      <c r="H11" s="147">
        <f>IF(ISBLANK(B20),"",INDEX('PURCHASE SYSTEM'!$A$4:$W$4254,MATCH(B20,'PURCHASE SYSTEM'!$A$4:$A$4254,0),11))</f>
        <v>0</v>
      </c>
      <c r="I11" s="143"/>
    </row>
    <row r="12" spans="2:9" x14ac:dyDescent="0.25">
      <c r="B12" s="146" t="s">
        <v>2963</v>
      </c>
      <c r="C12" s="148" t="s">
        <v>2964</v>
      </c>
      <c r="D12" s="149"/>
      <c r="E12" s="149"/>
      <c r="F12" s="149"/>
      <c r="G12" s="135" t="s">
        <v>2965</v>
      </c>
      <c r="H12" s="150" t="str">
        <f>INDEX('PURCHASE SYSTEM'!$A$4:$W$4254,MATCH(1,'PURCHASE SYSTEM'!$A$4:$A$4254,0),9)</f>
        <v>SA8016</v>
      </c>
      <c r="I12" s="143"/>
    </row>
    <row r="13" spans="2:9" x14ac:dyDescent="0.25">
      <c r="B13" s="129"/>
      <c r="D13" s="149"/>
      <c r="E13" s="149"/>
      <c r="F13" s="149"/>
      <c r="G13" s="135"/>
      <c r="H13" s="150"/>
      <c r="I13" s="143"/>
    </row>
    <row r="14" spans="2:9" x14ac:dyDescent="0.25">
      <c r="B14" s="146" t="s">
        <v>2966</v>
      </c>
      <c r="C14" s="149"/>
      <c r="D14" s="149"/>
      <c r="E14" s="149"/>
      <c r="F14" s="149"/>
      <c r="G14" s="139"/>
      <c r="H14" s="150"/>
      <c r="I14" s="143"/>
    </row>
    <row r="15" spans="2:9" x14ac:dyDescent="0.25">
      <c r="B15" s="146" t="s">
        <v>2967</v>
      </c>
      <c r="C15" s="139"/>
      <c r="D15" s="139"/>
      <c r="E15" s="139"/>
      <c r="F15" s="139"/>
      <c r="G15" s="139"/>
      <c r="H15" s="151"/>
      <c r="I15" s="143"/>
    </row>
    <row r="16" spans="2:9" x14ac:dyDescent="0.25">
      <c r="B16" s="152" t="s">
        <v>2968</v>
      </c>
      <c r="C16" s="153"/>
      <c r="D16" s="135" t="str">
        <f>IF(ISBLANK(B20),"",INDEX('PURCHASE SYSTEM'!$A$4:$W$4254,MATCH(B20,'PURCHASE SYSTEM'!$A$4:$A$4254,0),7))</f>
        <v>MOH</v>
      </c>
      <c r="E16" s="135"/>
      <c r="F16" s="139"/>
      <c r="G16" s="139"/>
      <c r="H16" s="151"/>
      <c r="I16" s="143"/>
    </row>
    <row r="17" spans="2:9" x14ac:dyDescent="0.25">
      <c r="B17" s="152" t="s">
        <v>2969</v>
      </c>
      <c r="C17" s="138"/>
      <c r="D17" s="135"/>
      <c r="E17" s="135"/>
      <c r="F17" s="139"/>
      <c r="G17" s="139"/>
      <c r="H17" s="151"/>
      <c r="I17" s="143"/>
    </row>
    <row r="18" spans="2:9" ht="15.75" thickBot="1" x14ac:dyDescent="0.3">
      <c r="B18" s="144"/>
      <c r="C18" s="139"/>
      <c r="D18" s="139"/>
      <c r="E18" s="139"/>
      <c r="F18" s="139"/>
      <c r="G18" s="139"/>
      <c r="H18" s="151"/>
      <c r="I18" s="143"/>
    </row>
    <row r="19" spans="2:9" s="157" customFormat="1" ht="19.5" customHeight="1" thickBot="1" x14ac:dyDescent="0.3">
      <c r="B19" s="154" t="s">
        <v>97</v>
      </c>
      <c r="C19" s="240" t="s">
        <v>109</v>
      </c>
      <c r="D19" s="241"/>
      <c r="E19" s="225" t="s">
        <v>8766</v>
      </c>
      <c r="F19" s="155" t="s">
        <v>2970</v>
      </c>
      <c r="G19" s="156" t="s">
        <v>2798</v>
      </c>
      <c r="H19" s="242" t="s">
        <v>2971</v>
      </c>
      <c r="I19" s="243"/>
    </row>
    <row r="20" spans="2:9" s="157" customFormat="1" ht="32.1" customHeight="1" thickBot="1" x14ac:dyDescent="0.3">
      <c r="B20" s="158">
        <v>1</v>
      </c>
      <c r="C20" s="244" t="str">
        <f>IF(ISBLANK(B20),"",INDEX('PURCHASE SYSTEM'!$A$4:$W$4254,MATCH(B20,'PURCHASE SYSTEM'!$A$4:$A$4254,0),15))</f>
        <v>BALL BEARING 6002-2Z (15 x 32 x 9 mm)</v>
      </c>
      <c r="D20" s="244"/>
      <c r="E20" s="226" t="str">
        <f>IF(ISBLANK(B20),"",INDEX('PURCHASE SYSTEM'!$A$4:$Z$4254,MATCH(B20,'PURCHASE SYSTEM'!$A$4:$A$4254,0),25))</f>
        <v>BRG0003</v>
      </c>
      <c r="F20" s="159" t="str">
        <f>IF(ISBLANK(B20),"",INDEX('PURCHASE SYSTEM'!$A$4:$W$4254,MATCH(B20,'PURCHASE SYSTEM'!$A$4:$A$4254,0),16))</f>
        <v>01</v>
      </c>
      <c r="G20" s="160" t="str">
        <f>IF(ISBLANK(B20),"",INDEX('PURCHASE SYSTEM'!$A$4:$W$4254,MATCH(B20,'PURCHASE SYSTEM'!$A$4:$A$4254,0),17))</f>
        <v>PC</v>
      </c>
      <c r="H20" s="161">
        <f>IF(ISBLANK(B20),"",INDEX('PURCHASE SYSTEM'!$A$4:$W$4254,MATCH(B20,'PURCHASE SYSTEM'!$A$4:$A$4254,0),18))</f>
        <v>100</v>
      </c>
      <c r="I20" s="162" t="str">
        <f>IF(ISBLANK(B20),"",INDEX('PURCHASE SYSTEM'!$A$4:$W$4254,MATCH(B20,'PURCHASE SYSTEM'!$A$4:$A$4254,0),19))</f>
        <v>AED</v>
      </c>
    </row>
    <row r="21" spans="2:9" s="157" customFormat="1" ht="32.1" customHeight="1" thickBot="1" x14ac:dyDescent="0.3">
      <c r="B21" s="163">
        <v>2</v>
      </c>
      <c r="C21" s="237" t="str">
        <f>IF(ISBLANK(B21),"",INDEX('PURCHASE SYSTEM'!$A$4:$W$4254,MATCH(B21,'PURCHASE SYSTEM'!$A$4:$A$4254,0),15))</f>
        <v>abd</v>
      </c>
      <c r="D21" s="237"/>
      <c r="E21" s="226">
        <f>IF(ISBLANK(B21),"",INDEX('PURCHASE SYSTEM'!$A$4:$Z$4254,MATCH(B21,'PURCHASE SYSTEM'!$A$4:$A$4254,0),25))</f>
        <v>0</v>
      </c>
      <c r="F21" s="164">
        <f>IF(ISBLANK(B21),"",INDEX('PURCHASE SYSTEM'!$A$4:$W$4254,MATCH(B21,'PURCHASE SYSTEM'!$A$4:$A$4254,0),16))</f>
        <v>0</v>
      </c>
      <c r="G21" s="180">
        <f>IF(ISBLANK(B21),"",INDEX('PURCHASE SYSTEM'!$A$4:$W$4254,MATCH(B21,'PURCHASE SYSTEM'!$A$4:$A$4254,0),17))</f>
        <v>0</v>
      </c>
      <c r="H21" s="165">
        <f>IF(ISBLANK(B21),"",INDEX('PURCHASE SYSTEM'!$A$4:$W$4254,MATCH(B21,'PURCHASE SYSTEM'!$A$4:$A$4254,0),18))</f>
        <v>0</v>
      </c>
      <c r="I21" s="166">
        <f>IF(ISBLANK(B21),"",INDEX('PURCHASE SYSTEM'!$A$4:$W$4254,MATCH(B21,'PURCHASE SYSTEM'!$A$4:$A$4254,0),19))</f>
        <v>0</v>
      </c>
    </row>
    <row r="22" spans="2:9" s="157" customFormat="1" ht="32.1" customHeight="1" x14ac:dyDescent="0.25">
      <c r="B22" s="163">
        <v>3</v>
      </c>
      <c r="C22" s="237" t="str">
        <f>IF(ISBLANK(B22),"",INDEX('PURCHASE SYSTEM'!$A$4:$W$4254,MATCH(B22,'PURCHASE SYSTEM'!$A$4:$A$4254,0),15))</f>
        <v>BALL BEARING 6000-2Z (10 x 26 x 8 mm)</v>
      </c>
      <c r="D22" s="237"/>
      <c r="E22" s="226" t="str">
        <f>IF(ISBLANK(B22),"",INDEX('PURCHASE SYSTEM'!$A$4:$Z$4254,MATCH(B22,'PURCHASE SYSTEM'!$A$4:$A$4254,0),25))</f>
        <v>BRG0001</v>
      </c>
      <c r="F22" s="164">
        <f>IF(ISBLANK(B22),"",INDEX('PURCHASE SYSTEM'!$A$4:$W$4254,MATCH(B22,'PURCHASE SYSTEM'!$A$4:$A$4254,0),16))</f>
        <v>0</v>
      </c>
      <c r="G22" s="180">
        <f>IF(ISBLANK(B22),"",INDEX('PURCHASE SYSTEM'!$A$4:$W$4254,MATCH(B22,'PURCHASE SYSTEM'!$A$4:$A$4254,0),17))</f>
        <v>0</v>
      </c>
      <c r="H22" s="165">
        <f>IF(ISBLANK(B22),"",INDEX('PURCHASE SYSTEM'!$A$4:$W$4254,MATCH(B22,'PURCHASE SYSTEM'!$A$4:$A$4254,0),18))</f>
        <v>0</v>
      </c>
      <c r="I22" s="166">
        <f>IF(ISBLANK(B22),"",INDEX('PURCHASE SYSTEM'!$A$4:$W$4254,MATCH(B22,'PURCHASE SYSTEM'!$A$4:$A$4254,0),19))</f>
        <v>0</v>
      </c>
    </row>
    <row r="23" spans="2:9" s="157" customFormat="1" ht="32.1" customHeight="1" x14ac:dyDescent="0.25">
      <c r="B23" s="163">
        <v>4</v>
      </c>
      <c r="C23" s="237" t="str">
        <f>IF(ISBLANK(B23),"",INDEX('PURCHASE SYSTEM'!$A$4:$W$4254,MATCH(B23,'PURCHASE SYSTEM'!$A$4:$A$4254,0),15))</f>
        <v>asdfasdfd</v>
      </c>
      <c r="D23" s="237"/>
      <c r="E23" s="224"/>
      <c r="F23" s="164">
        <f>IF(ISBLANK(B23),"",INDEX('PURCHASE SYSTEM'!$A$4:$W$4254,MATCH(B23,'PURCHASE SYSTEM'!$A$4:$A$4254,0),16))</f>
        <v>0</v>
      </c>
      <c r="G23" s="180">
        <f>IF(ISBLANK(B23),"",INDEX('PURCHASE SYSTEM'!$A$4:$W$4254,MATCH(B23,'PURCHASE SYSTEM'!$A$4:$A$4254,0),17))</f>
        <v>0</v>
      </c>
      <c r="H23" s="165">
        <f>IF(ISBLANK(B23),"",INDEX('PURCHASE SYSTEM'!$A$4:$W$4254,MATCH(B23,'PURCHASE SYSTEM'!$A$4:$A$4254,0),18))</f>
        <v>0</v>
      </c>
      <c r="I23" s="166">
        <f>IF(ISBLANK(B23),"",INDEX('PURCHASE SYSTEM'!$A$4:$W$4254,MATCH(B23,'PURCHASE SYSTEM'!$A$4:$A$4254,0),19))</f>
        <v>0</v>
      </c>
    </row>
    <row r="24" spans="2:9" s="157" customFormat="1" ht="32.1" customHeight="1" x14ac:dyDescent="0.25">
      <c r="B24" s="163">
        <v>5</v>
      </c>
      <c r="C24" s="237" t="str">
        <f>IF(ISBLANK(B24),"",INDEX('PURCHASE SYSTEM'!$A$4:$W$4254,MATCH(B24,'PURCHASE SYSTEM'!$A$4:$A$4254,0),15))</f>
        <v>BALL BEARING 6010-2Z (50 x 80 x 16 mm)</v>
      </c>
      <c r="D24" s="237"/>
      <c r="E24" s="224"/>
      <c r="F24" s="164">
        <f>IF(ISBLANK(B24),"",INDEX('PURCHASE SYSTEM'!$A$4:$W$4254,MATCH(B24,'PURCHASE SYSTEM'!$A$4:$A$4254,0),16))</f>
        <v>0</v>
      </c>
      <c r="G24" s="180">
        <f>IF(ISBLANK(B24),"",INDEX('PURCHASE SYSTEM'!$A$4:$W$4254,MATCH(B24,'PURCHASE SYSTEM'!$A$4:$A$4254,0),17))</f>
        <v>0</v>
      </c>
      <c r="H24" s="165">
        <f>IF(ISBLANK(B24),"",INDEX('PURCHASE SYSTEM'!$A$4:$W$4254,MATCH(B24,'PURCHASE SYSTEM'!$A$4:$A$4254,0),18))</f>
        <v>0</v>
      </c>
      <c r="I24" s="166">
        <f>IF(ISBLANK(B24),"",INDEX('PURCHASE SYSTEM'!$A$4:$W$4254,MATCH(B24,'PURCHASE SYSTEM'!$A$4:$A$4254,0),19))</f>
        <v>0</v>
      </c>
    </row>
    <row r="25" spans="2:9" s="157" customFormat="1" ht="32.1" customHeight="1" x14ac:dyDescent="0.25">
      <c r="B25" s="163"/>
      <c r="C25" s="237" t="str">
        <f>IF(ISBLANK(B25),"",INDEX('PURCHASE SYSTEM'!$A$4:$W$4254,MATCH(B25,'PURCHASE SYSTEM'!$A$4:$A$4254,0),15))</f>
        <v/>
      </c>
      <c r="D25" s="237"/>
      <c r="E25" s="224"/>
      <c r="F25" s="164" t="str">
        <f>IF(ISBLANK(B25),"",INDEX('PURCHASE SYSTEM'!$A$4:$W$4254,MATCH(B25,'PURCHASE SYSTEM'!$A$4:$A$4254,0),16))</f>
        <v/>
      </c>
      <c r="G25" s="180" t="str">
        <f>IF(ISBLANK(B25),"",INDEX('PURCHASE SYSTEM'!$A$4:$W$4254,MATCH(B25,'PURCHASE SYSTEM'!$A$4:$A$4254,0),17))</f>
        <v/>
      </c>
      <c r="H25" s="165" t="str">
        <f>IF(ISBLANK(B25),"",INDEX('PURCHASE SYSTEM'!$A$4:$W$4254,MATCH(B25,'PURCHASE SYSTEM'!$A$4:$A$4254,0),18))</f>
        <v/>
      </c>
      <c r="I25" s="166" t="str">
        <f>IF(ISBLANK(B25),"",INDEX('PURCHASE SYSTEM'!$A$4:$W$4254,MATCH(B25,'PURCHASE SYSTEM'!$A$4:$A$4254,0),19))</f>
        <v/>
      </c>
    </row>
    <row r="26" spans="2:9" s="157" customFormat="1" ht="27.95" customHeight="1" x14ac:dyDescent="0.25">
      <c r="B26" s="163"/>
      <c r="C26" s="237" t="str">
        <f>IF(ISBLANK(B26),"",INDEX('PURCHASE SYSTEM'!$A$4:$W$4254,MATCH(B26,'PURCHASE SYSTEM'!$A$4:$A$4254,0),15))</f>
        <v/>
      </c>
      <c r="D26" s="237"/>
      <c r="E26" s="224"/>
      <c r="F26" s="164" t="str">
        <f>IF(ISBLANK(B26),"",INDEX('PURCHASE SYSTEM'!$A$4:$W$4254,MATCH(B26,'PURCHASE SYSTEM'!$A$4:$A$4254,0),16))</f>
        <v/>
      </c>
      <c r="G26" s="180" t="str">
        <f>IF(ISBLANK(B26),"",INDEX('PURCHASE SYSTEM'!$A$4:$W$4254,MATCH(B26,'PURCHASE SYSTEM'!$A$4:$A$4254,0),17))</f>
        <v/>
      </c>
      <c r="H26" s="165" t="str">
        <f>IF(ISBLANK(B26),"",INDEX('PURCHASE SYSTEM'!$A$4:$W$4254,MATCH(B26,'PURCHASE SYSTEM'!$A$4:$A$4254,0),18))</f>
        <v/>
      </c>
      <c r="I26" s="166" t="str">
        <f>IF(ISBLANK(B26),"",INDEX('PURCHASE SYSTEM'!$A$4:$W$4254,MATCH(B26,'PURCHASE SYSTEM'!$A$4:$A$4254,0),19))</f>
        <v/>
      </c>
    </row>
    <row r="27" spans="2:9" s="157" customFormat="1" ht="27.95" customHeight="1" x14ac:dyDescent="0.25">
      <c r="B27" s="163"/>
      <c r="C27" s="237" t="str">
        <f>IF(ISBLANK(B27),"",INDEX('PURCHASE SYSTEM'!$A$4:$W$4254,MATCH(B27,'PURCHASE SYSTEM'!$A$4:$A$4254,0),15))</f>
        <v/>
      </c>
      <c r="D27" s="237"/>
      <c r="E27" s="224"/>
      <c r="F27" s="164" t="str">
        <f>IF(ISBLANK(B27),"",INDEX('PURCHASE SYSTEM'!$A$4:$W$4254,MATCH(B27,'PURCHASE SYSTEM'!$A$4:$A$4254,0),16))</f>
        <v/>
      </c>
      <c r="G27" s="180" t="str">
        <f>IF(ISBLANK(B27),"",INDEX('PURCHASE SYSTEM'!$A$4:$W$4254,MATCH(B27,'PURCHASE SYSTEM'!$A$4:$A$4254,0),17))</f>
        <v/>
      </c>
      <c r="H27" s="165" t="str">
        <f>IF(ISBLANK(B27),"",INDEX('PURCHASE SYSTEM'!$A$4:$W$4254,MATCH(B27,'PURCHASE SYSTEM'!$A$4:$A$4254,0),18))</f>
        <v/>
      </c>
      <c r="I27" s="166" t="str">
        <f>IF(ISBLANK(B27),"",INDEX('PURCHASE SYSTEM'!$A$4:$W$4254,MATCH(B27,'PURCHASE SYSTEM'!$A$4:$A$4254,0),19))</f>
        <v/>
      </c>
    </row>
    <row r="28" spans="2:9" s="157" customFormat="1" ht="27.95" customHeight="1" x14ac:dyDescent="0.25">
      <c r="B28" s="163"/>
      <c r="C28" s="237" t="str">
        <f>IF(ISBLANK(B28),"",INDEX('PURCHASE SYSTEM'!$A$4:$W$4254,MATCH(B28,'PURCHASE SYSTEM'!$A$4:$A$4254,0),15))</f>
        <v/>
      </c>
      <c r="D28" s="237"/>
      <c r="E28" s="224"/>
      <c r="F28" s="164" t="str">
        <f>IF(ISBLANK(B28),"",INDEX('PURCHASE SYSTEM'!$A$4:$W$4254,MATCH(B28,'PURCHASE SYSTEM'!$A$4:$A$4254,0),16))</f>
        <v/>
      </c>
      <c r="G28" s="180" t="str">
        <f>IF(ISBLANK(B28),"",INDEX('PURCHASE SYSTEM'!$A$4:$W$4254,MATCH(B28,'PURCHASE SYSTEM'!$A$4:$A$4254,0),17))</f>
        <v/>
      </c>
      <c r="H28" s="165" t="str">
        <f>IF(ISBLANK(B28),"",INDEX('PURCHASE SYSTEM'!$A$4:$W$4254,MATCH(B28,'PURCHASE SYSTEM'!$A$4:$A$4254,0),18))</f>
        <v/>
      </c>
      <c r="I28" s="166" t="str">
        <f>IF(ISBLANK(B28),"",INDEX('PURCHASE SYSTEM'!$A$4:$W$4254,MATCH(B28,'PURCHASE SYSTEM'!$A$4:$A$4254,0),19))</f>
        <v/>
      </c>
    </row>
    <row r="29" spans="2:9" s="157" customFormat="1" ht="27.95" customHeight="1" x14ac:dyDescent="0.25">
      <c r="B29" s="163"/>
      <c r="C29" s="237" t="str">
        <f>IF(ISBLANK(B29),"",INDEX('PURCHASE SYSTEM'!$A$4:$W$4254,MATCH(B29,'PURCHASE SYSTEM'!$A$4:$A$4254,0),15))</f>
        <v/>
      </c>
      <c r="D29" s="237"/>
      <c r="E29" s="224"/>
      <c r="F29" s="164" t="str">
        <f>IF(ISBLANK(B29),"",INDEX('PURCHASE SYSTEM'!$A$4:$W$4254,MATCH(B29,'PURCHASE SYSTEM'!$A$4:$A$4254,0),16))</f>
        <v/>
      </c>
      <c r="G29" s="180" t="str">
        <f>IF(ISBLANK(B29),"",INDEX('PURCHASE SYSTEM'!$A$4:$W$4254,MATCH(B29,'PURCHASE SYSTEM'!$A$4:$A$4254,0),17))</f>
        <v/>
      </c>
      <c r="H29" s="165" t="str">
        <f>IF(ISBLANK(B29),"",INDEX('PURCHASE SYSTEM'!$A$4:$W$4254,MATCH(B29,'PURCHASE SYSTEM'!$A$4:$A$4254,0),18))</f>
        <v/>
      </c>
      <c r="I29" s="166" t="str">
        <f>IF(ISBLANK(B29),"",INDEX('PURCHASE SYSTEM'!$A$4:$W$4254,MATCH(B29,'PURCHASE SYSTEM'!$A$4:$A$4254,0),19))</f>
        <v/>
      </c>
    </row>
    <row r="30" spans="2:9" s="157" customFormat="1" ht="27.95" customHeight="1" x14ac:dyDescent="0.25">
      <c r="B30" s="163"/>
      <c r="C30" s="237" t="str">
        <f>IF(ISBLANK(B30),"",INDEX('PURCHASE SYSTEM'!$A$4:$W$4254,MATCH(B30,'PURCHASE SYSTEM'!$A$4:$A$4254,0),15))</f>
        <v/>
      </c>
      <c r="D30" s="237"/>
      <c r="E30" s="224"/>
      <c r="F30" s="164" t="str">
        <f>IF(ISBLANK(B30),"",INDEX('PURCHASE SYSTEM'!$A$4:$W$4254,MATCH(B30,'PURCHASE SYSTEM'!$A$4:$A$4254,0),16))</f>
        <v/>
      </c>
      <c r="G30" s="180" t="str">
        <f>IF(ISBLANK(B30),"",INDEX('PURCHASE SYSTEM'!$A$4:$W$4254,MATCH(B30,'PURCHASE SYSTEM'!$A$4:$A$4254,0),17))</f>
        <v/>
      </c>
      <c r="H30" s="165" t="str">
        <f>IF(ISBLANK(B30),"",INDEX('PURCHASE SYSTEM'!$A$4:$W$4254,MATCH(B30,'PURCHASE SYSTEM'!$A$4:$A$4254,0),18))</f>
        <v/>
      </c>
      <c r="I30" s="166" t="str">
        <f>IF(ISBLANK(B30),"",INDEX('PURCHASE SYSTEM'!$A$4:$W$4254,MATCH(B30,'PURCHASE SYSTEM'!$A$4:$A$4254,0),19))</f>
        <v/>
      </c>
    </row>
    <row r="31" spans="2:9" s="157" customFormat="1" ht="27.95" customHeight="1" x14ac:dyDescent="0.25">
      <c r="B31" s="167"/>
      <c r="C31" s="237" t="str">
        <f>IF(ISBLANK(B31),"",INDEX('PURCHASE SYSTEM'!$A$4:$W$4254,MATCH(B31,'PURCHASE SYSTEM'!$A$4:$A$4254,0),15))</f>
        <v/>
      </c>
      <c r="D31" s="237"/>
      <c r="E31" s="224"/>
      <c r="F31" s="164" t="str">
        <f>IF(ISBLANK(B31),"",INDEX('PURCHASE SYSTEM'!$A$4:$W$4254,MATCH(B31,'PURCHASE SYSTEM'!$A$4:$A$4254,0),16))</f>
        <v/>
      </c>
      <c r="G31" s="180" t="str">
        <f>IF(ISBLANK(B31),"",INDEX('PURCHASE SYSTEM'!$A$4:$W$4254,MATCH(B31,'PURCHASE SYSTEM'!$A$4:$A$4254,0),17))</f>
        <v/>
      </c>
      <c r="H31" s="165" t="str">
        <f>IF(ISBLANK(B31),"",INDEX('PURCHASE SYSTEM'!$A$4:$W$4254,MATCH(B31,'PURCHASE SYSTEM'!$A$4:$A$4254,0),18))</f>
        <v/>
      </c>
      <c r="I31" s="166" t="str">
        <f>IF(ISBLANK(B31),"",INDEX('PURCHASE SYSTEM'!$A$4:$W$4254,MATCH(B31,'PURCHASE SYSTEM'!$A$4:$A$4254,0),19))</f>
        <v/>
      </c>
    </row>
    <row r="32" spans="2:9" s="157" customFormat="1" ht="27.95" customHeight="1" x14ac:dyDescent="0.25">
      <c r="B32" s="167"/>
      <c r="C32" s="237" t="str">
        <f>IF(ISBLANK(B32),"",INDEX('PURCHASE SYSTEM'!$A$4:$W$4254,MATCH(B32,'PURCHASE SYSTEM'!$A$4:$A$4254,0),15))</f>
        <v/>
      </c>
      <c r="D32" s="237"/>
      <c r="E32" s="224"/>
      <c r="F32" s="164" t="str">
        <f>IF(ISBLANK(B32),"",INDEX('PURCHASE SYSTEM'!$A$4:$W$4254,MATCH(B32,'PURCHASE SYSTEM'!$A$4:$A$4254,0),16))</f>
        <v/>
      </c>
      <c r="G32" s="180" t="str">
        <f>IF(ISBLANK(B32),"",INDEX('PURCHASE SYSTEM'!$A$4:$W$4254,MATCH(B32,'PURCHASE SYSTEM'!$A$4:$A$4254,0),17))</f>
        <v/>
      </c>
      <c r="H32" s="165" t="str">
        <f>IF(ISBLANK(B32),"",INDEX('PURCHASE SYSTEM'!$A$4:$W$4254,MATCH(B32,'PURCHASE SYSTEM'!$A$4:$A$4254,0),18))</f>
        <v/>
      </c>
      <c r="I32" s="166" t="str">
        <f>IF(ISBLANK(B32),"",INDEX('PURCHASE SYSTEM'!$A$4:$W$4254,MATCH(B32,'PURCHASE SYSTEM'!$A$4:$A$4254,0),19))</f>
        <v/>
      </c>
    </row>
    <row r="33" spans="2:9" s="157" customFormat="1" ht="27.95" customHeight="1" x14ac:dyDescent="0.25">
      <c r="B33" s="167"/>
      <c r="C33" s="237" t="str">
        <f>IF(ISBLANK(B33),"",INDEX('PURCHASE SYSTEM'!$A$4:$W$4254,MATCH(B33,'PURCHASE SYSTEM'!$A$4:$A$4254,0),15))</f>
        <v/>
      </c>
      <c r="D33" s="237"/>
      <c r="E33" s="224"/>
      <c r="F33" s="164" t="str">
        <f>IF(ISBLANK(B33),"",INDEX('PURCHASE SYSTEM'!$A$4:$W$4254,MATCH(B33,'PURCHASE SYSTEM'!$A$4:$A$4254,0),16))</f>
        <v/>
      </c>
      <c r="G33" s="180" t="str">
        <f>IF(ISBLANK(B33),"",INDEX('PURCHASE SYSTEM'!$A$4:$W$4254,MATCH(B33,'PURCHASE SYSTEM'!$A$4:$A$4254,0),17))</f>
        <v/>
      </c>
      <c r="H33" s="165" t="str">
        <f>IF(ISBLANK(B33),"",INDEX('PURCHASE SYSTEM'!$A$4:$W$4254,MATCH(B33,'PURCHASE SYSTEM'!$A$4:$A$4254,0),18))</f>
        <v/>
      </c>
      <c r="I33" s="166" t="str">
        <f>IF(ISBLANK(B33),"",INDEX('PURCHASE SYSTEM'!$A$4:$W$4254,MATCH(B33,'PURCHASE SYSTEM'!$A$4:$A$4254,0),19))</f>
        <v/>
      </c>
    </row>
    <row r="34" spans="2:9" s="157" customFormat="1" ht="27.95" customHeight="1" x14ac:dyDescent="0.25">
      <c r="B34" s="167"/>
      <c r="C34" s="237" t="str">
        <f>IF(ISBLANK(B34),"",INDEX('PURCHASE SYSTEM'!$A$4:$W$4254,MATCH(B34,'PURCHASE SYSTEM'!$A$4:$A$4254,0),15))</f>
        <v/>
      </c>
      <c r="D34" s="237"/>
      <c r="E34" s="224"/>
      <c r="F34" s="164" t="str">
        <f>IF(ISBLANK(B34),"",INDEX('PURCHASE SYSTEM'!$A$4:$W$4254,MATCH(B34,'PURCHASE SYSTEM'!$A$4:$A$4254,0),16))</f>
        <v/>
      </c>
      <c r="G34" s="180" t="str">
        <f>IF(ISBLANK(B34),"",INDEX('PURCHASE SYSTEM'!$A$4:$W$4254,MATCH(B34,'PURCHASE SYSTEM'!$A$4:$A$4254,0),17))</f>
        <v/>
      </c>
      <c r="H34" s="165" t="str">
        <f>IF(ISBLANK(B34),"",INDEX('PURCHASE SYSTEM'!$A$4:$W$4254,MATCH(B34,'PURCHASE SYSTEM'!$A$4:$A$4254,0),18))</f>
        <v/>
      </c>
      <c r="I34" s="166" t="str">
        <f>IF(ISBLANK(B34),"",INDEX('PURCHASE SYSTEM'!$A$4:$W$4254,MATCH(B34,'PURCHASE SYSTEM'!$A$4:$A$4254,0),19))</f>
        <v/>
      </c>
    </row>
    <row r="35" spans="2:9" s="157" customFormat="1" ht="27.95" customHeight="1" thickBot="1" x14ac:dyDescent="0.3">
      <c r="B35" s="168"/>
      <c r="C35" s="237" t="str">
        <f>IF(ISBLANK(B35),"",INDEX('PURCHASE SYSTEM'!$A$4:$W$4254,MATCH(B35,'PURCHASE SYSTEM'!$A$4:$A$4254,0),15))</f>
        <v/>
      </c>
      <c r="D35" s="237"/>
      <c r="E35" s="224"/>
      <c r="F35" s="164" t="str">
        <f>IF(ISBLANK(B35),"",INDEX('PURCHASE SYSTEM'!$A$4:$W$4254,MATCH(B35,'PURCHASE SYSTEM'!$A$4:$A$4254,0),16))</f>
        <v/>
      </c>
      <c r="G35" s="180" t="str">
        <f>IF(ISBLANK(B35),"",INDEX('PURCHASE SYSTEM'!$A$4:$W$4254,MATCH(B35,'PURCHASE SYSTEM'!$A$4:$A$4254,0),17))</f>
        <v/>
      </c>
      <c r="H35" s="165" t="str">
        <f>IF(ISBLANK(B35),"",INDEX('PURCHASE SYSTEM'!$A$4:$W$4254,MATCH(B35,'PURCHASE SYSTEM'!$A$4:$A$4254,0),18))</f>
        <v/>
      </c>
      <c r="I35" s="166" t="str">
        <f>IF(ISBLANK(B35),"",INDEX('PURCHASE SYSTEM'!$A$4:$W$4254,MATCH(B35,'PURCHASE SYSTEM'!$A$4:$A$4254,0),19))</f>
        <v/>
      </c>
    </row>
    <row r="36" spans="2:9" ht="22.5" customHeight="1" thickBot="1" x14ac:dyDescent="0.3">
      <c r="B36" s="248" t="s">
        <v>2972</v>
      </c>
      <c r="C36" s="249"/>
      <c r="D36" s="249"/>
      <c r="E36" s="249"/>
      <c r="F36" s="249"/>
      <c r="G36" s="250"/>
      <c r="H36" s="245">
        <f>SUM(H20:H35)</f>
        <v>100</v>
      </c>
      <c r="I36" s="246"/>
    </row>
    <row r="37" spans="2:9" x14ac:dyDescent="0.25">
      <c r="B37" s="169" t="s">
        <v>2973</v>
      </c>
      <c r="C37" s="153"/>
      <c r="D37" s="145"/>
      <c r="E37" s="145"/>
      <c r="F37" s="145"/>
      <c r="G37" s="145"/>
      <c r="H37" s="170"/>
      <c r="I37" s="143"/>
    </row>
    <row r="38" spans="2:9" x14ac:dyDescent="0.25">
      <c r="B38" s="171" t="s">
        <v>2974</v>
      </c>
      <c r="C38" s="172"/>
      <c r="D38" s="153"/>
      <c r="E38" s="153"/>
      <c r="F38" s="153"/>
      <c r="G38" s="145"/>
      <c r="H38" s="170"/>
      <c r="I38" s="143"/>
    </row>
    <row r="39" spans="2:9" x14ac:dyDescent="0.25">
      <c r="B39" s="173" t="s">
        <v>2975</v>
      </c>
      <c r="C39" s="145"/>
      <c r="D39" s="143"/>
      <c r="E39" s="143"/>
      <c r="F39" s="143"/>
      <c r="G39" s="174"/>
      <c r="I39" s="143"/>
    </row>
    <row r="40" spans="2:9" x14ac:dyDescent="0.25">
      <c r="C40" s="143"/>
      <c r="D40" s="143"/>
      <c r="E40" s="143"/>
      <c r="F40" s="143"/>
      <c r="G40" s="174"/>
      <c r="I40" s="143"/>
    </row>
    <row r="41" spans="2:9" x14ac:dyDescent="0.25">
      <c r="B41" s="173" t="s">
        <v>2976</v>
      </c>
      <c r="C41" s="145"/>
      <c r="D41" s="145"/>
      <c r="E41" s="145"/>
      <c r="F41" s="149"/>
      <c r="G41" s="139"/>
      <c r="H41" s="150"/>
      <c r="I41" s="143"/>
    </row>
    <row r="42" spans="2:9" x14ac:dyDescent="0.25">
      <c r="B42" s="173"/>
      <c r="C42" s="145"/>
      <c r="D42" s="145"/>
      <c r="E42" s="145"/>
      <c r="F42" s="149"/>
      <c r="G42" s="139"/>
      <c r="H42" s="150"/>
      <c r="I42" s="143"/>
    </row>
    <row r="43" spans="2:9" x14ac:dyDescent="0.25">
      <c r="B43" s="173"/>
      <c r="C43" s="145"/>
      <c r="D43" s="145"/>
      <c r="E43" s="145"/>
      <c r="F43" s="149"/>
      <c r="G43" s="139"/>
      <c r="H43" s="150"/>
      <c r="I43" s="143"/>
    </row>
    <row r="44" spans="2:9" x14ac:dyDescent="0.25">
      <c r="B44" s="173" t="s">
        <v>2977</v>
      </c>
      <c r="C44" s="145"/>
      <c r="D44" s="145"/>
      <c r="E44" s="145"/>
      <c r="F44" s="149"/>
      <c r="G44" s="139"/>
      <c r="H44" s="150"/>
      <c r="I44" s="143"/>
    </row>
    <row r="45" spans="2:9" x14ac:dyDescent="0.25">
      <c r="B45" s="173" t="s">
        <v>2978</v>
      </c>
      <c r="C45" s="145"/>
      <c r="D45" s="145"/>
      <c r="E45" s="145"/>
      <c r="F45" s="149"/>
      <c r="G45" s="139"/>
      <c r="H45" s="150"/>
      <c r="I45" s="143"/>
    </row>
    <row r="46" spans="2:9" x14ac:dyDescent="0.25">
      <c r="B46" s="173" t="s">
        <v>2979</v>
      </c>
      <c r="C46" s="145"/>
      <c r="D46" s="145"/>
      <c r="E46" s="145"/>
      <c r="F46" s="149"/>
      <c r="G46" s="139"/>
      <c r="H46" s="150"/>
      <c r="I46" s="143"/>
    </row>
    <row r="47" spans="2:9" ht="15.75" x14ac:dyDescent="0.25">
      <c r="B47" s="247"/>
      <c r="C47" s="247"/>
      <c r="D47" s="176"/>
      <c r="E47" s="227"/>
      <c r="F47" s="177"/>
      <c r="G47" s="135"/>
      <c r="H47" s="150"/>
    </row>
    <row r="48" spans="2:9" ht="15.75" x14ac:dyDescent="0.25">
      <c r="B48" s="247"/>
      <c r="C48" s="247"/>
      <c r="D48" s="176"/>
      <c r="E48" s="227"/>
      <c r="F48" s="177"/>
      <c r="G48" s="135"/>
      <c r="H48" s="150"/>
    </row>
    <row r="49" spans="2:8" ht="15.75" x14ac:dyDescent="0.25">
      <c r="B49" s="247"/>
      <c r="C49" s="247"/>
      <c r="D49" s="176"/>
      <c r="E49" s="227"/>
      <c r="F49" s="177"/>
      <c r="G49" s="135"/>
      <c r="H49" s="150"/>
    </row>
    <row r="50" spans="2:8" ht="15.75" x14ac:dyDescent="0.25">
      <c r="B50" s="247"/>
      <c r="C50" s="247"/>
      <c r="D50" s="176"/>
      <c r="E50" s="227"/>
      <c r="F50" s="177"/>
      <c r="G50" s="135"/>
      <c r="H50" s="150"/>
    </row>
    <row r="51" spans="2:8" ht="15.75" x14ac:dyDescent="0.25">
      <c r="B51" s="146"/>
      <c r="C51" s="177"/>
      <c r="D51" s="176"/>
      <c r="E51" s="227"/>
      <c r="F51" s="177"/>
      <c r="G51" s="135"/>
      <c r="H51" s="150"/>
    </row>
    <row r="52" spans="2:8" ht="15.75" x14ac:dyDescent="0.25">
      <c r="B52" s="178"/>
      <c r="C52" s="176"/>
      <c r="D52" s="176"/>
      <c r="E52" s="227"/>
      <c r="F52" s="177"/>
      <c r="G52" s="135"/>
      <c r="H52" s="150"/>
    </row>
  </sheetData>
  <mergeCells count="26">
    <mergeCell ref="B49:C49"/>
    <mergeCell ref="B50:C50"/>
    <mergeCell ref="C34:D34"/>
    <mergeCell ref="C35:D35"/>
    <mergeCell ref="B36:G36"/>
    <mergeCell ref="H36:I36"/>
    <mergeCell ref="B47:C47"/>
    <mergeCell ref="B48:C48"/>
    <mergeCell ref="C28:D28"/>
    <mergeCell ref="C29:D29"/>
    <mergeCell ref="C30:D30"/>
    <mergeCell ref="C31:D31"/>
    <mergeCell ref="C32:D32"/>
    <mergeCell ref="C33:D33"/>
    <mergeCell ref="C27:D27"/>
    <mergeCell ref="B2:H2"/>
    <mergeCell ref="B3:G3"/>
    <mergeCell ref="C19:D19"/>
    <mergeCell ref="H19:I19"/>
    <mergeCell ref="C20:D20"/>
    <mergeCell ref="C21:D21"/>
    <mergeCell ref="C22:D22"/>
    <mergeCell ref="C23:D23"/>
    <mergeCell ref="C24:D24"/>
    <mergeCell ref="C25:D25"/>
    <mergeCell ref="C26:D26"/>
  </mergeCells>
  <hyperlinks>
    <hyperlink ref="C12" r:id="rId1"/>
  </hyperlinks>
  <pageMargins left="0.47" right="0.3" top="0.47" bottom="0.75" header="0.3" footer="0.3"/>
  <pageSetup paperSize="9" scale="69"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767"/>
  <sheetViews>
    <sheetView topLeftCell="K599" zoomScale="85" zoomScaleNormal="85" workbookViewId="0">
      <selection activeCell="O620" sqref="O620"/>
    </sheetView>
  </sheetViews>
  <sheetFormatPr defaultRowHeight="15" outlineLevelCol="1" x14ac:dyDescent="0.25"/>
  <cols>
    <col min="1" max="1" width="10.5703125" style="23" bestFit="1" customWidth="1"/>
    <col min="2" max="2" width="9.140625" style="23"/>
    <col min="3" max="3" width="11" style="23" customWidth="1"/>
    <col min="4" max="4" width="20.5703125" style="20" bestFit="1" customWidth="1"/>
    <col min="5" max="5" width="16.42578125" style="24" customWidth="1"/>
    <col min="6" max="6" width="20.7109375" style="23" customWidth="1"/>
    <col min="7" max="7" width="28" style="28" customWidth="1"/>
    <col min="8" max="8" width="18.7109375" style="128" customWidth="1"/>
    <col min="9" max="9" width="18.85546875" style="26" customWidth="1"/>
    <col min="10" max="10" width="48.28515625" style="15" customWidth="1"/>
    <col min="11" max="11" width="43.85546875" style="23" customWidth="1" outlineLevel="1"/>
    <col min="12" max="12" width="25" style="23" customWidth="1" outlineLevel="1"/>
    <col min="13" max="13" width="23" style="27" customWidth="1" outlineLevel="1"/>
    <col min="14" max="14" width="26.42578125" style="27" customWidth="1" outlineLevel="1"/>
    <col min="15" max="15" width="73" style="25" customWidth="1"/>
    <col min="16" max="16" width="15.7109375" style="128" customWidth="1"/>
    <col min="17" max="17" width="16.7109375" style="28" customWidth="1"/>
    <col min="18" max="18" width="26.28515625" style="29" customWidth="1"/>
    <col min="19" max="19" width="12.7109375" style="27" customWidth="1"/>
    <col min="20" max="20" width="20.7109375" style="23" customWidth="1"/>
    <col min="21" max="21" width="21.85546875" style="23" customWidth="1"/>
    <col min="22" max="22" width="33" style="30" customWidth="1"/>
    <col min="23" max="25" width="29.7109375" style="15" customWidth="1"/>
    <col min="26" max="26" width="26.42578125" style="15" bestFit="1" customWidth="1"/>
    <col min="27" max="16384" width="9.140625" style="15"/>
  </cols>
  <sheetData>
    <row r="1" spans="1:26" ht="20.25" x14ac:dyDescent="0.25">
      <c r="A1" s="251" t="s">
        <v>93</v>
      </c>
      <c r="B1" s="252"/>
      <c r="C1" s="252"/>
      <c r="D1" s="252"/>
      <c r="E1" s="252"/>
      <c r="F1" s="252"/>
      <c r="G1" s="252"/>
      <c r="H1" s="252"/>
      <c r="I1" s="252"/>
      <c r="J1" s="252"/>
      <c r="K1" s="252"/>
      <c r="L1" s="252"/>
      <c r="M1" s="252"/>
      <c r="N1" s="252"/>
      <c r="O1" s="252"/>
      <c r="P1" s="252"/>
      <c r="Q1" s="252"/>
      <c r="R1" s="252"/>
      <c r="S1" s="252"/>
      <c r="T1" s="252"/>
      <c r="U1" s="252"/>
      <c r="V1" s="252"/>
      <c r="W1" s="253"/>
      <c r="X1" s="61"/>
      <c r="Y1" s="61"/>
    </row>
    <row r="2" spans="1:26" s="16" customFormat="1" ht="12.75" customHeight="1" x14ac:dyDescent="0.25">
      <c r="D2" s="17" t="s">
        <v>94</v>
      </c>
      <c r="E2" s="17"/>
      <c r="F2" s="17"/>
      <c r="G2" s="17"/>
      <c r="H2" s="18"/>
      <c r="I2" s="18"/>
      <c r="J2" s="62"/>
      <c r="K2" s="63" t="s">
        <v>95</v>
      </c>
      <c r="L2" s="64"/>
      <c r="O2" s="65"/>
      <c r="P2" s="18"/>
      <c r="R2" s="66"/>
    </row>
    <row r="3" spans="1:26" s="182" customFormat="1" ht="12.75" x14ac:dyDescent="0.25">
      <c r="A3" s="181" t="s">
        <v>96</v>
      </c>
      <c r="B3" s="68" t="s">
        <v>97</v>
      </c>
      <c r="C3" s="68" t="s">
        <v>98</v>
      </c>
      <c r="D3" s="68" t="s">
        <v>99</v>
      </c>
      <c r="E3" s="68" t="s">
        <v>100</v>
      </c>
      <c r="F3" s="68" t="s">
        <v>101</v>
      </c>
      <c r="G3" s="68" t="s">
        <v>102</v>
      </c>
      <c r="H3" s="67" t="s">
        <v>103</v>
      </c>
      <c r="I3" s="67" t="s">
        <v>104</v>
      </c>
      <c r="J3" s="68" t="s">
        <v>105</v>
      </c>
      <c r="K3" s="68" t="s">
        <v>106</v>
      </c>
      <c r="L3" s="68" t="s">
        <v>107</v>
      </c>
      <c r="M3" s="68" t="s">
        <v>1863</v>
      </c>
      <c r="N3" s="69" t="s">
        <v>108</v>
      </c>
      <c r="O3" s="68" t="s">
        <v>109</v>
      </c>
      <c r="P3" s="67" t="s">
        <v>110</v>
      </c>
      <c r="Q3" s="68" t="s">
        <v>111</v>
      </c>
      <c r="R3" s="70" t="s">
        <v>112</v>
      </c>
      <c r="S3" s="68" t="s">
        <v>113</v>
      </c>
      <c r="T3" s="68" t="s">
        <v>114</v>
      </c>
      <c r="U3" s="68" t="s">
        <v>115</v>
      </c>
      <c r="V3" s="71" t="s">
        <v>116</v>
      </c>
      <c r="W3" s="72" t="s">
        <v>117</v>
      </c>
      <c r="X3" s="72" t="s">
        <v>1864</v>
      </c>
      <c r="Y3" s="72" t="s">
        <v>8766</v>
      </c>
      <c r="Z3" s="68" t="s">
        <v>1865</v>
      </c>
    </row>
    <row r="4" spans="1:26" x14ac:dyDescent="0.25">
      <c r="A4" s="73"/>
      <c r="B4" s="42">
        <v>920</v>
      </c>
      <c r="C4" s="43">
        <v>41244</v>
      </c>
      <c r="D4" s="44" t="s">
        <v>122</v>
      </c>
      <c r="E4" s="76" t="s">
        <v>90</v>
      </c>
      <c r="F4" s="42" t="s">
        <v>1</v>
      </c>
      <c r="G4" s="49" t="s">
        <v>70</v>
      </c>
      <c r="H4" s="45" t="s">
        <v>1878</v>
      </c>
      <c r="I4" s="83" t="s">
        <v>253</v>
      </c>
      <c r="J4" s="52" t="str">
        <f>VLOOKUP(I4,'CONTACT REFERENCE'!$A$2:$P$399,4,FALSE)</f>
        <v>SURE TACK SYSTEMS (DIVISION OF CRIST CO)</v>
      </c>
      <c r="K4" s="42"/>
      <c r="L4" s="42">
        <v>24370</v>
      </c>
      <c r="M4" s="41" t="s">
        <v>123</v>
      </c>
      <c r="N4" s="41"/>
      <c r="O4" s="47" t="s">
        <v>1879</v>
      </c>
      <c r="P4" s="45" t="s">
        <v>137</v>
      </c>
      <c r="Q4" s="49" t="s">
        <v>120</v>
      </c>
      <c r="R4" s="48">
        <v>654.75</v>
      </c>
      <c r="S4" s="41" t="s">
        <v>28</v>
      </c>
      <c r="T4" s="42" t="s">
        <v>1880</v>
      </c>
      <c r="U4" s="42" t="s">
        <v>1881</v>
      </c>
      <c r="V4" s="21"/>
      <c r="W4" s="78" t="s">
        <v>44</v>
      </c>
      <c r="X4" s="22"/>
      <c r="Y4" s="22"/>
      <c r="Z4" s="74" t="str">
        <f>CONCATENATE(Table1[[#This Row],[P.R NUMBER]],"-",Table1[[#This Row],[SR NO]])</f>
        <v>120112252020-920</v>
      </c>
    </row>
    <row r="5" spans="1:26" x14ac:dyDescent="0.25">
      <c r="A5" s="73"/>
      <c r="B5" s="42">
        <v>921</v>
      </c>
      <c r="C5" s="43">
        <v>40940</v>
      </c>
      <c r="D5" s="44" t="s">
        <v>118</v>
      </c>
      <c r="E5" s="76" t="s">
        <v>89</v>
      </c>
      <c r="F5" s="42" t="s">
        <v>1</v>
      </c>
      <c r="G5" s="49" t="s">
        <v>78</v>
      </c>
      <c r="H5" s="45" t="s">
        <v>1873</v>
      </c>
      <c r="I5" s="83" t="s">
        <v>460</v>
      </c>
      <c r="J5" s="52" t="str">
        <f>VLOOKUP(I5,'CONTACT REFERENCE'!$A$2:$P$399,4,FALSE)</f>
        <v>A-1 ENGINEERING</v>
      </c>
      <c r="K5" s="42">
        <v>5409</v>
      </c>
      <c r="L5" s="42">
        <v>8413</v>
      </c>
      <c r="M5" s="41" t="s">
        <v>78</v>
      </c>
      <c r="N5" s="41"/>
      <c r="O5" s="47" t="s">
        <v>1882</v>
      </c>
      <c r="P5" s="45" t="s">
        <v>124</v>
      </c>
      <c r="Q5" s="49" t="s">
        <v>140</v>
      </c>
      <c r="R5" s="48">
        <v>1550</v>
      </c>
      <c r="S5" s="41" t="s">
        <v>29</v>
      </c>
      <c r="T5" s="42" t="s">
        <v>1883</v>
      </c>
      <c r="U5" s="42"/>
      <c r="V5" s="21"/>
      <c r="W5" s="78"/>
      <c r="X5" s="22"/>
      <c r="Y5" s="22"/>
      <c r="Z5" s="74" t="str">
        <f>CONCATENATE(Table1[[#This Row],[P.R NUMBER]],"-",Table1[[#This Row],[SR NO]])</f>
        <v>020112331020-921</v>
      </c>
    </row>
    <row r="6" spans="1:26" x14ac:dyDescent="0.25">
      <c r="A6" s="73"/>
      <c r="B6" s="42">
        <v>922</v>
      </c>
      <c r="C6" s="43">
        <v>40909</v>
      </c>
      <c r="D6" s="44" t="s">
        <v>118</v>
      </c>
      <c r="E6" s="76" t="s">
        <v>89</v>
      </c>
      <c r="F6" s="42" t="s">
        <v>1</v>
      </c>
      <c r="G6" s="49" t="s">
        <v>78</v>
      </c>
      <c r="H6" s="45" t="s">
        <v>1872</v>
      </c>
      <c r="I6" s="83" t="s">
        <v>460</v>
      </c>
      <c r="J6" s="52" t="str">
        <f>VLOOKUP(I6,'CONTACT REFERENCE'!$A$2:$P$399,4,FALSE)</f>
        <v>A-1 ENGINEERING</v>
      </c>
      <c r="K6" s="42">
        <v>5408</v>
      </c>
      <c r="L6" s="42">
        <v>8412</v>
      </c>
      <c r="M6" s="41" t="s">
        <v>78</v>
      </c>
      <c r="N6" s="41"/>
      <c r="O6" s="47" t="s">
        <v>1882</v>
      </c>
      <c r="P6" s="45" t="s">
        <v>124</v>
      </c>
      <c r="Q6" s="49" t="s">
        <v>140</v>
      </c>
      <c r="R6" s="48">
        <v>1850</v>
      </c>
      <c r="S6" s="41" t="s">
        <v>29</v>
      </c>
      <c r="T6" s="42" t="s">
        <v>1883</v>
      </c>
      <c r="U6" s="42"/>
      <c r="V6" s="21"/>
      <c r="W6" s="78"/>
      <c r="X6" s="22"/>
      <c r="Y6" s="22"/>
      <c r="Z6" s="74" t="str">
        <f>CONCATENATE(Table1[[#This Row],[P.R NUMBER]],"-",Table1[[#This Row],[SR NO]])</f>
        <v>010112331020-922</v>
      </c>
    </row>
    <row r="7" spans="1:26" x14ac:dyDescent="0.25">
      <c r="A7" s="73"/>
      <c r="B7" s="42">
        <v>923</v>
      </c>
      <c r="C7" s="43">
        <v>41244</v>
      </c>
      <c r="D7" s="44" t="s">
        <v>118</v>
      </c>
      <c r="E7" s="76" t="s">
        <v>90</v>
      </c>
      <c r="F7" s="42" t="s">
        <v>1</v>
      </c>
      <c r="G7" s="49" t="s">
        <v>70</v>
      </c>
      <c r="H7" s="45" t="s">
        <v>1884</v>
      </c>
      <c r="I7" s="83" t="s">
        <v>625</v>
      </c>
      <c r="J7" s="52" t="str">
        <f>VLOOKUP(I7,'CONTACT REFERENCE'!$A$2:$P$399,4,FALSE)</f>
        <v>AL MAHBOOB OIL &amp; INDUSTRIAL PROD TRD EST</v>
      </c>
      <c r="K7" s="42">
        <v>0</v>
      </c>
      <c r="L7" s="42">
        <v>2082</v>
      </c>
      <c r="M7" s="41" t="s">
        <v>72</v>
      </c>
      <c r="N7" s="41" t="s">
        <v>201</v>
      </c>
      <c r="O7" s="47" t="s">
        <v>202</v>
      </c>
      <c r="P7" s="45" t="s">
        <v>181</v>
      </c>
      <c r="Q7" s="49" t="s">
        <v>203</v>
      </c>
      <c r="R7" s="48">
        <v>1417</v>
      </c>
      <c r="S7" s="41" t="s">
        <v>29</v>
      </c>
      <c r="T7" s="42" t="s">
        <v>1883</v>
      </c>
      <c r="U7" s="42"/>
      <c r="V7" s="21"/>
      <c r="W7" s="78"/>
      <c r="X7" s="22"/>
      <c r="Y7" s="22"/>
      <c r="Z7" s="74" t="str">
        <f>CONCATENATE(Table1[[#This Row],[P.R NUMBER]],"-",Table1[[#This Row],[SR NO]])</f>
        <v>130112252020-923</v>
      </c>
    </row>
    <row r="8" spans="1:26" x14ac:dyDescent="0.25">
      <c r="A8" s="73"/>
      <c r="B8" s="42">
        <v>924</v>
      </c>
      <c r="C8" s="43">
        <v>41244</v>
      </c>
      <c r="D8" s="44" t="s">
        <v>118</v>
      </c>
      <c r="E8" s="76" t="s">
        <v>90</v>
      </c>
      <c r="F8" s="42" t="s">
        <v>1</v>
      </c>
      <c r="G8" s="49" t="s">
        <v>70</v>
      </c>
      <c r="H8" s="45" t="s">
        <v>1884</v>
      </c>
      <c r="I8" s="83" t="s">
        <v>625</v>
      </c>
      <c r="J8" s="52" t="str">
        <f>VLOOKUP(I8,'CONTACT REFERENCE'!$A$2:$P$399,4,FALSE)</f>
        <v>AL MAHBOOB OIL &amp; INDUSTRIAL PROD TRD EST</v>
      </c>
      <c r="K8" s="42">
        <v>0</v>
      </c>
      <c r="L8" s="42">
        <v>2084</v>
      </c>
      <c r="M8" s="41" t="s">
        <v>72</v>
      </c>
      <c r="N8" s="41" t="s">
        <v>1885</v>
      </c>
      <c r="O8" s="47" t="s">
        <v>1886</v>
      </c>
      <c r="P8" s="45" t="s">
        <v>181</v>
      </c>
      <c r="Q8" s="49" t="s">
        <v>203</v>
      </c>
      <c r="R8" s="48">
        <v>550</v>
      </c>
      <c r="S8" s="41" t="s">
        <v>29</v>
      </c>
      <c r="T8" s="42" t="s">
        <v>1883</v>
      </c>
      <c r="U8" s="42"/>
      <c r="V8" s="21"/>
      <c r="W8" s="78"/>
      <c r="X8" s="22"/>
      <c r="Y8" s="22"/>
      <c r="Z8" s="74" t="str">
        <f>CONCATENATE(Table1[[#This Row],[P.R NUMBER]],"-",Table1[[#This Row],[SR NO]])</f>
        <v>130112252020-924</v>
      </c>
    </row>
    <row r="9" spans="1:26" x14ac:dyDescent="0.25">
      <c r="A9" s="73"/>
      <c r="B9" s="42">
        <v>925</v>
      </c>
      <c r="C9" s="42" t="s">
        <v>212</v>
      </c>
      <c r="D9" s="44" t="s">
        <v>118</v>
      </c>
      <c r="E9" s="76" t="s">
        <v>90</v>
      </c>
      <c r="F9" s="42" t="s">
        <v>1</v>
      </c>
      <c r="G9" s="49" t="s">
        <v>70</v>
      </c>
      <c r="H9" s="45" t="s">
        <v>213</v>
      </c>
      <c r="I9" s="83" t="s">
        <v>359</v>
      </c>
      <c r="J9" s="52" t="str">
        <f>VLOOKUP(I9,'CONTACT REFERENCE'!$A$2:$P$399,4,FALSE)</f>
        <v>UNISAFE FIRE PROTECTION SPECIALISTS LLC</v>
      </c>
      <c r="K9" s="42"/>
      <c r="L9" s="42" t="s">
        <v>1887</v>
      </c>
      <c r="M9" s="41" t="s">
        <v>72</v>
      </c>
      <c r="N9" s="41"/>
      <c r="O9" s="47" t="s">
        <v>1888</v>
      </c>
      <c r="P9" s="45" t="s">
        <v>124</v>
      </c>
      <c r="Q9" s="49" t="s">
        <v>140</v>
      </c>
      <c r="R9" s="48">
        <v>120</v>
      </c>
      <c r="S9" s="41" t="s">
        <v>29</v>
      </c>
      <c r="T9" s="42" t="s">
        <v>1883</v>
      </c>
      <c r="U9" s="42"/>
      <c r="V9" s="21"/>
      <c r="W9" s="78"/>
      <c r="X9" s="22"/>
      <c r="Y9" s="22"/>
      <c r="Z9" s="74" t="str">
        <f>CONCATENATE(Table1[[#This Row],[P.R NUMBER]],"-",Table1[[#This Row],[SR NO]])</f>
        <v>201111274060-925</v>
      </c>
    </row>
    <row r="10" spans="1:26" x14ac:dyDescent="0.25">
      <c r="A10" s="73"/>
      <c r="B10" s="42">
        <v>926</v>
      </c>
      <c r="C10" s="42" t="s">
        <v>1889</v>
      </c>
      <c r="D10" s="44"/>
      <c r="E10" s="76" t="s">
        <v>90</v>
      </c>
      <c r="F10" s="42" t="s">
        <v>1</v>
      </c>
      <c r="G10" s="49" t="s">
        <v>70</v>
      </c>
      <c r="H10" s="45" t="s">
        <v>1890</v>
      </c>
      <c r="I10" s="83" t="s">
        <v>341</v>
      </c>
      <c r="J10" s="52" t="str">
        <f>VLOOKUP(I10,'CONTACT REFERENCE'!$A$2:$P$399,4,FALSE)</f>
        <v>ADVANCE TECHNOLOGY BELTING TRD EST</v>
      </c>
      <c r="K10" s="42"/>
      <c r="L10" s="42">
        <v>1201093</v>
      </c>
      <c r="M10" s="41" t="s">
        <v>57</v>
      </c>
      <c r="N10" s="41"/>
      <c r="O10" s="47" t="s">
        <v>1891</v>
      </c>
      <c r="P10" s="45" t="s">
        <v>136</v>
      </c>
      <c r="Q10" s="49" t="s">
        <v>120</v>
      </c>
      <c r="R10" s="48">
        <v>180</v>
      </c>
      <c r="S10" s="41" t="s">
        <v>29</v>
      </c>
      <c r="T10" s="42" t="s">
        <v>1889</v>
      </c>
      <c r="U10" s="42"/>
      <c r="V10" s="21"/>
      <c r="W10" s="78"/>
      <c r="X10" s="22"/>
      <c r="Y10" s="22"/>
      <c r="Z10" s="74" t="str">
        <f>CONCATENATE(Table1[[#This Row],[P.R NUMBER]],"-",Table1[[#This Row],[SR NO]])</f>
        <v>200112252020-926</v>
      </c>
    </row>
    <row r="11" spans="1:26" x14ac:dyDescent="0.25">
      <c r="A11" s="73"/>
      <c r="B11" s="42">
        <v>927</v>
      </c>
      <c r="C11" s="42" t="s">
        <v>1892</v>
      </c>
      <c r="D11" s="44" t="s">
        <v>122</v>
      </c>
      <c r="E11" s="76" t="s">
        <v>89</v>
      </c>
      <c r="F11" s="42" t="s">
        <v>87</v>
      </c>
      <c r="G11" s="49" t="s">
        <v>71</v>
      </c>
      <c r="H11" s="45" t="s">
        <v>1893</v>
      </c>
      <c r="I11" s="83" t="s">
        <v>292</v>
      </c>
      <c r="J11" s="52" t="str">
        <f>VLOOKUP(I11,'CONTACT REFERENCE'!$A$2:$P$399,4,FALSE)</f>
        <v>WINDY CITY CUTTING DIE</v>
      </c>
      <c r="K11" s="42"/>
      <c r="L11" s="42">
        <v>134086</v>
      </c>
      <c r="M11" s="41" t="s">
        <v>157</v>
      </c>
      <c r="N11" s="41"/>
      <c r="O11" s="47" t="s">
        <v>1894</v>
      </c>
      <c r="P11" s="45" t="s">
        <v>124</v>
      </c>
      <c r="Q11" s="49" t="s">
        <v>120</v>
      </c>
      <c r="R11" s="48">
        <v>717</v>
      </c>
      <c r="S11" s="41" t="s">
        <v>28</v>
      </c>
      <c r="T11" s="42" t="s">
        <v>1892</v>
      </c>
      <c r="U11" s="42" t="s">
        <v>1895</v>
      </c>
      <c r="V11" s="21"/>
      <c r="W11" s="78"/>
      <c r="X11" s="22"/>
      <c r="Y11" s="22"/>
      <c r="Z11" s="74" t="str">
        <f>CONCATENATE(Table1[[#This Row],[P.R NUMBER]],"-",Table1[[#This Row],[SR NO]])</f>
        <v>200112261050-927</v>
      </c>
    </row>
    <row r="12" spans="1:26" x14ac:dyDescent="0.25">
      <c r="A12" s="73"/>
      <c r="B12" s="42">
        <v>928</v>
      </c>
      <c r="C12" s="42" t="s">
        <v>1892</v>
      </c>
      <c r="D12" s="44" t="s">
        <v>122</v>
      </c>
      <c r="E12" s="76" t="s">
        <v>90</v>
      </c>
      <c r="F12" s="42" t="s">
        <v>1</v>
      </c>
      <c r="G12" s="49" t="s">
        <v>70</v>
      </c>
      <c r="H12" s="45" t="s">
        <v>211</v>
      </c>
      <c r="I12" s="83" t="s">
        <v>253</v>
      </c>
      <c r="J12" s="52" t="str">
        <f>VLOOKUP(I12,'CONTACT REFERENCE'!$A$2:$P$399,4,FALSE)</f>
        <v>SURE TACK SYSTEMS (DIVISION OF CRIST CO)</v>
      </c>
      <c r="K12" s="42"/>
      <c r="L12" s="42">
        <v>24104</v>
      </c>
      <c r="M12" s="41" t="s">
        <v>1896</v>
      </c>
      <c r="N12" s="41"/>
      <c r="O12" s="47" t="s">
        <v>1897</v>
      </c>
      <c r="P12" s="45" t="s">
        <v>136</v>
      </c>
      <c r="Q12" s="49" t="s">
        <v>120</v>
      </c>
      <c r="R12" s="48">
        <v>272</v>
      </c>
      <c r="S12" s="41" t="s">
        <v>28</v>
      </c>
      <c r="T12" s="42" t="s">
        <v>1892</v>
      </c>
      <c r="U12" s="42" t="s">
        <v>1898</v>
      </c>
      <c r="V12" s="21"/>
      <c r="W12" s="78"/>
      <c r="X12" s="22"/>
      <c r="Y12" s="22"/>
      <c r="Z12" s="74" t="str">
        <f>CONCATENATE(Table1[[#This Row],[P.R NUMBER]],"-",Table1[[#This Row],[SR NO]])</f>
        <v>101111252020-928</v>
      </c>
    </row>
    <row r="13" spans="1:26" x14ac:dyDescent="0.25">
      <c r="A13" s="73"/>
      <c r="B13" s="42">
        <v>929</v>
      </c>
      <c r="C13" s="42" t="s">
        <v>1892</v>
      </c>
      <c r="D13" s="44" t="s">
        <v>122</v>
      </c>
      <c r="E13" s="76" t="s">
        <v>91</v>
      </c>
      <c r="F13" s="42" t="s">
        <v>85</v>
      </c>
      <c r="G13" s="49" t="s">
        <v>70</v>
      </c>
      <c r="H13" s="45" t="s">
        <v>1899</v>
      </c>
      <c r="I13" s="83" t="s">
        <v>276</v>
      </c>
      <c r="J13" s="52" t="str">
        <f>VLOOKUP(I13,'CONTACT REFERENCE'!$A$2:$P$399,4,FALSE)</f>
        <v>BEST CUTTING DIE COMPANY</v>
      </c>
      <c r="K13" s="42"/>
      <c r="L13" s="42">
        <v>33829</v>
      </c>
      <c r="M13" s="41" t="s">
        <v>123</v>
      </c>
      <c r="N13" s="41"/>
      <c r="O13" s="47" t="s">
        <v>1900</v>
      </c>
      <c r="P13" s="45"/>
      <c r="Q13" s="49"/>
      <c r="R13" s="48">
        <v>1398</v>
      </c>
      <c r="S13" s="41" t="s">
        <v>28</v>
      </c>
      <c r="T13" s="42" t="s">
        <v>1892</v>
      </c>
      <c r="U13" s="42" t="s">
        <v>1901</v>
      </c>
      <c r="V13" s="21"/>
      <c r="W13" s="78"/>
      <c r="X13" s="22"/>
      <c r="Y13" s="22"/>
      <c r="Z13" s="74" t="str">
        <f>CONCATENATE(Table1[[#This Row],[P.R NUMBER]],"-",Table1[[#This Row],[SR NO]])</f>
        <v>090112253030-929</v>
      </c>
    </row>
    <row r="14" spans="1:26" x14ac:dyDescent="0.25">
      <c r="A14" s="73"/>
      <c r="B14" s="42">
        <v>930</v>
      </c>
      <c r="C14" s="42" t="s">
        <v>1889</v>
      </c>
      <c r="D14" s="44" t="s">
        <v>122</v>
      </c>
      <c r="E14" s="76" t="s">
        <v>90</v>
      </c>
      <c r="F14" s="42" t="s">
        <v>1</v>
      </c>
      <c r="G14" s="49" t="s">
        <v>70</v>
      </c>
      <c r="H14" s="45" t="s">
        <v>1874</v>
      </c>
      <c r="I14" s="83" t="s">
        <v>253</v>
      </c>
      <c r="J14" s="52" t="str">
        <f>VLOOKUP(I14,'CONTACT REFERENCE'!$A$2:$P$399,4,FALSE)</f>
        <v>SURE TACK SYSTEMS (DIVISION OF CRIST CO)</v>
      </c>
      <c r="K14" s="42"/>
      <c r="L14" s="42">
        <v>24267</v>
      </c>
      <c r="M14" s="41" t="s">
        <v>123</v>
      </c>
      <c r="N14" s="41"/>
      <c r="O14" s="47" t="s">
        <v>1875</v>
      </c>
      <c r="P14" s="45" t="s">
        <v>130</v>
      </c>
      <c r="Q14" s="49" t="s">
        <v>120</v>
      </c>
      <c r="R14" s="48">
        <v>1690</v>
      </c>
      <c r="S14" s="41" t="s">
        <v>28</v>
      </c>
      <c r="T14" s="42" t="s">
        <v>1889</v>
      </c>
      <c r="U14" s="42" t="s">
        <v>1898</v>
      </c>
      <c r="V14" s="21"/>
      <c r="W14" s="78"/>
      <c r="X14" s="22"/>
      <c r="Y14" s="22"/>
      <c r="Z14" s="74" t="str">
        <f>CONCATENATE(Table1[[#This Row],[P.R NUMBER]],"-",Table1[[#This Row],[SR NO]])</f>
        <v>020112252020-930</v>
      </c>
    </row>
    <row r="15" spans="1:26" x14ac:dyDescent="0.25">
      <c r="A15" s="73"/>
      <c r="B15" s="42">
        <v>931</v>
      </c>
      <c r="C15" s="42" t="s">
        <v>1902</v>
      </c>
      <c r="D15" s="44" t="s">
        <v>122</v>
      </c>
      <c r="E15" s="76" t="s">
        <v>90</v>
      </c>
      <c r="F15" s="42" t="s">
        <v>1</v>
      </c>
      <c r="G15" s="49" t="s">
        <v>70</v>
      </c>
      <c r="H15" s="45" t="s">
        <v>1903</v>
      </c>
      <c r="I15" s="83" t="s">
        <v>262</v>
      </c>
      <c r="J15" s="52" t="str">
        <f>VLOOKUP(I15,'CONTACT REFERENCE'!$A$2:$P$399,4,FALSE)</f>
        <v>CURTIUS TRADING INC</v>
      </c>
      <c r="K15" s="42"/>
      <c r="L15" s="42">
        <v>20120012</v>
      </c>
      <c r="M15" s="41" t="s">
        <v>191</v>
      </c>
      <c r="N15" s="41" t="s">
        <v>1904</v>
      </c>
      <c r="O15" s="47" t="s">
        <v>1905</v>
      </c>
      <c r="P15" s="45" t="s">
        <v>124</v>
      </c>
      <c r="Q15" s="49" t="s">
        <v>120</v>
      </c>
      <c r="R15" s="48">
        <v>122.9</v>
      </c>
      <c r="S15" s="41" t="s">
        <v>28</v>
      </c>
      <c r="T15" s="42" t="s">
        <v>1902</v>
      </c>
      <c r="U15" s="42" t="s">
        <v>1906</v>
      </c>
      <c r="V15" s="21"/>
      <c r="W15" s="78"/>
      <c r="X15" s="22"/>
      <c r="Y15" s="22"/>
      <c r="Z15" s="74" t="str">
        <f>CONCATENATE(Table1[[#This Row],[P.R NUMBER]],"-",Table1[[#This Row],[SR NO]])</f>
        <v>240112252020-931</v>
      </c>
    </row>
    <row r="16" spans="1:26" x14ac:dyDescent="0.25">
      <c r="A16" s="73"/>
      <c r="B16" s="42">
        <v>932</v>
      </c>
      <c r="C16" s="42" t="s">
        <v>1907</v>
      </c>
      <c r="D16" s="44" t="s">
        <v>118</v>
      </c>
      <c r="E16" s="76"/>
      <c r="F16" s="42"/>
      <c r="G16" s="49"/>
      <c r="H16" s="45"/>
      <c r="I16" s="83" t="s">
        <v>359</v>
      </c>
      <c r="J16" s="52" t="str">
        <f>VLOOKUP(I16,'CONTACT REFERENCE'!$A$2:$P$399,4,FALSE)</f>
        <v>UNISAFE FIRE PROTECTION SPECIALISTS LLC</v>
      </c>
      <c r="K16" s="42" t="s">
        <v>1908</v>
      </c>
      <c r="L16" s="42" t="s">
        <v>1909</v>
      </c>
      <c r="M16" s="41" t="s">
        <v>72</v>
      </c>
      <c r="N16" s="41"/>
      <c r="O16" s="47" t="s">
        <v>1910</v>
      </c>
      <c r="P16" s="45" t="s">
        <v>124</v>
      </c>
      <c r="Q16" s="49" t="s">
        <v>120</v>
      </c>
      <c r="R16" s="48">
        <v>3500</v>
      </c>
      <c r="S16" s="41" t="s">
        <v>29</v>
      </c>
      <c r="T16" s="42" t="s">
        <v>1907</v>
      </c>
      <c r="U16" s="42"/>
      <c r="V16" s="21"/>
      <c r="W16" s="78"/>
      <c r="X16" s="22"/>
      <c r="Y16" s="22"/>
      <c r="Z16" s="74" t="str">
        <f>CONCATENATE(Table1[[#This Row],[P.R NUMBER]],"-",Table1[[#This Row],[SR NO]])</f>
        <v>-932</v>
      </c>
    </row>
    <row r="17" spans="1:26" x14ac:dyDescent="0.25">
      <c r="A17" s="73"/>
      <c r="B17" s="42">
        <v>933</v>
      </c>
      <c r="C17" s="42" t="s">
        <v>1911</v>
      </c>
      <c r="D17" s="44" t="s">
        <v>118</v>
      </c>
      <c r="E17" s="76" t="s">
        <v>90</v>
      </c>
      <c r="F17" s="42" t="s">
        <v>1</v>
      </c>
      <c r="G17" s="49" t="s">
        <v>70</v>
      </c>
      <c r="H17" s="45" t="s">
        <v>1912</v>
      </c>
      <c r="I17" s="83" t="s">
        <v>230</v>
      </c>
      <c r="J17" s="52" t="str">
        <f>VLOOKUP(I17,'CONTACT REFERENCE'!$A$2:$P$399,4,FALSE)</f>
        <v>MECHATRONICS INDUSTRIAL EQUIPMENT LLC</v>
      </c>
      <c r="K17" s="42"/>
      <c r="L17" s="50" t="s">
        <v>1913</v>
      </c>
      <c r="M17" s="41" t="s">
        <v>72</v>
      </c>
      <c r="N17" s="41"/>
      <c r="O17" s="47" t="s">
        <v>1914</v>
      </c>
      <c r="P17" s="45" t="s">
        <v>124</v>
      </c>
      <c r="Q17" s="49" t="s">
        <v>140</v>
      </c>
      <c r="R17" s="48">
        <v>1024</v>
      </c>
      <c r="S17" s="41" t="s">
        <v>29</v>
      </c>
      <c r="T17" s="42" t="s">
        <v>1911</v>
      </c>
      <c r="U17" s="42"/>
      <c r="V17" s="21"/>
      <c r="W17" s="78"/>
      <c r="X17" s="22"/>
      <c r="Y17" s="22"/>
      <c r="Z17" s="74" t="str">
        <f>CONCATENATE(Table1[[#This Row],[P.R NUMBER]],"-",Table1[[#This Row],[SR NO]])</f>
        <v>250112252020-933</v>
      </c>
    </row>
    <row r="18" spans="1:26" x14ac:dyDescent="0.25">
      <c r="A18" s="73"/>
      <c r="B18" s="42">
        <v>934</v>
      </c>
      <c r="C18" s="42" t="s">
        <v>1907</v>
      </c>
      <c r="D18" s="44" t="s">
        <v>118</v>
      </c>
      <c r="E18" s="76" t="s">
        <v>90</v>
      </c>
      <c r="F18" s="42" t="s">
        <v>1</v>
      </c>
      <c r="G18" s="49" t="s">
        <v>57</v>
      </c>
      <c r="H18" s="45" t="s">
        <v>1915</v>
      </c>
      <c r="I18" s="83" t="s">
        <v>460</v>
      </c>
      <c r="J18" s="52" t="str">
        <f>VLOOKUP(I18,'CONTACT REFERENCE'!$A$2:$P$399,4,FALSE)</f>
        <v>A-1 ENGINEERING</v>
      </c>
      <c r="K18" s="42">
        <v>5483</v>
      </c>
      <c r="L18" s="42">
        <v>8540</v>
      </c>
      <c r="M18" s="41" t="s">
        <v>57</v>
      </c>
      <c r="N18" s="41"/>
      <c r="O18" s="47" t="s">
        <v>1916</v>
      </c>
      <c r="P18" s="45" t="s">
        <v>136</v>
      </c>
      <c r="Q18" s="49" t="s">
        <v>120</v>
      </c>
      <c r="R18" s="48">
        <v>300</v>
      </c>
      <c r="S18" s="41" t="s">
        <v>29</v>
      </c>
      <c r="T18" s="42" t="s">
        <v>1917</v>
      </c>
      <c r="U18" s="42"/>
      <c r="V18" s="21"/>
      <c r="W18" s="78"/>
      <c r="X18" s="22"/>
      <c r="Y18" s="22"/>
      <c r="Z18" s="74" t="str">
        <f>CONCATENATE(Table1[[#This Row],[P.R NUMBER]],"-",Table1[[#This Row],[SR NO]])</f>
        <v>250112112020-934</v>
      </c>
    </row>
    <row r="19" spans="1:26" x14ac:dyDescent="0.25">
      <c r="A19" s="73"/>
      <c r="B19" s="42">
        <v>935</v>
      </c>
      <c r="C19" s="42" t="s">
        <v>1907</v>
      </c>
      <c r="D19" s="44" t="s">
        <v>118</v>
      </c>
      <c r="E19" s="76" t="s">
        <v>90</v>
      </c>
      <c r="F19" s="42" t="s">
        <v>1</v>
      </c>
      <c r="G19" s="49" t="s">
        <v>1866</v>
      </c>
      <c r="H19" s="45" t="s">
        <v>1918</v>
      </c>
      <c r="I19" s="83" t="s">
        <v>460</v>
      </c>
      <c r="J19" s="52" t="str">
        <f>VLOOKUP(I19,'CONTACT REFERENCE'!$A$2:$P$399,4,FALSE)</f>
        <v>A-1 ENGINEERING</v>
      </c>
      <c r="K19" s="42">
        <v>5484</v>
      </c>
      <c r="L19" s="42"/>
      <c r="M19" s="41">
        <v>135</v>
      </c>
      <c r="N19" s="41"/>
      <c r="O19" s="47" t="s">
        <v>1919</v>
      </c>
      <c r="P19" s="45" t="s">
        <v>136</v>
      </c>
      <c r="Q19" s="49" t="s">
        <v>120</v>
      </c>
      <c r="R19" s="48">
        <v>250</v>
      </c>
      <c r="S19" s="41" t="s">
        <v>29</v>
      </c>
      <c r="T19" s="42"/>
      <c r="U19" s="42"/>
      <c r="V19" s="21"/>
      <c r="W19" s="78"/>
      <c r="X19" s="22"/>
      <c r="Y19" s="22"/>
      <c r="Z19" s="74" t="str">
        <f>CONCATENATE(Table1[[#This Row],[P.R NUMBER]],"-",Table1[[#This Row],[SR NO]])</f>
        <v>250112172020-935</v>
      </c>
    </row>
    <row r="20" spans="1:26" x14ac:dyDescent="0.25">
      <c r="A20" s="73"/>
      <c r="B20" s="42">
        <v>936</v>
      </c>
      <c r="C20" s="42" t="s">
        <v>1907</v>
      </c>
      <c r="D20" s="44" t="s">
        <v>118</v>
      </c>
      <c r="E20" s="76" t="s">
        <v>89</v>
      </c>
      <c r="F20" s="42" t="s">
        <v>1</v>
      </c>
      <c r="G20" s="49" t="s">
        <v>48</v>
      </c>
      <c r="H20" s="45" t="s">
        <v>1920</v>
      </c>
      <c r="I20" s="83" t="s">
        <v>460</v>
      </c>
      <c r="J20" s="52" t="str">
        <f>VLOOKUP(I20,'CONTACT REFERENCE'!$A$2:$P$399,4,FALSE)</f>
        <v>A-1 ENGINEERING</v>
      </c>
      <c r="K20" s="42">
        <v>5468</v>
      </c>
      <c r="L20" s="42">
        <v>8539</v>
      </c>
      <c r="M20" s="41" t="s">
        <v>48</v>
      </c>
      <c r="N20" s="41"/>
      <c r="O20" s="47" t="s">
        <v>1921</v>
      </c>
      <c r="P20" s="45" t="s">
        <v>136</v>
      </c>
      <c r="Q20" s="49" t="s">
        <v>120</v>
      </c>
      <c r="R20" s="48">
        <v>280</v>
      </c>
      <c r="S20" s="41" t="s">
        <v>29</v>
      </c>
      <c r="T20" s="42" t="s">
        <v>1917</v>
      </c>
      <c r="U20" s="42"/>
      <c r="V20" s="21"/>
      <c r="W20" s="78"/>
      <c r="X20" s="22"/>
      <c r="Y20" s="22"/>
      <c r="Z20" s="74" t="str">
        <f>CONCATENATE(Table1[[#This Row],[P.R NUMBER]],"-",Table1[[#This Row],[SR NO]])</f>
        <v>250112011020-936</v>
      </c>
    </row>
    <row r="21" spans="1:26" x14ac:dyDescent="0.25">
      <c r="A21" s="73"/>
      <c r="B21" s="42">
        <v>937</v>
      </c>
      <c r="C21" s="43">
        <v>40941</v>
      </c>
      <c r="D21" s="44" t="s">
        <v>122</v>
      </c>
      <c r="E21" s="76" t="s">
        <v>90</v>
      </c>
      <c r="F21" s="42" t="s">
        <v>1</v>
      </c>
      <c r="G21" s="49" t="s">
        <v>70</v>
      </c>
      <c r="H21" s="45" t="s">
        <v>1922</v>
      </c>
      <c r="I21" s="83" t="s">
        <v>253</v>
      </c>
      <c r="J21" s="52" t="str">
        <f>VLOOKUP(I21,'CONTACT REFERENCE'!$A$2:$P$399,4,FALSE)</f>
        <v>SURE TACK SYSTEMS (DIVISION OF CRIST CO)</v>
      </c>
      <c r="K21" s="42"/>
      <c r="L21" s="42"/>
      <c r="M21" s="41" t="s">
        <v>143</v>
      </c>
      <c r="N21" s="41"/>
      <c r="O21" s="47" t="s">
        <v>1923</v>
      </c>
      <c r="P21" s="45" t="s">
        <v>130</v>
      </c>
      <c r="Q21" s="49" t="s">
        <v>120</v>
      </c>
      <c r="R21" s="48">
        <f>6*80</f>
        <v>480</v>
      </c>
      <c r="S21" s="41" t="s">
        <v>28</v>
      </c>
      <c r="T21" s="42" t="s">
        <v>1924</v>
      </c>
      <c r="U21" s="42" t="s">
        <v>1925</v>
      </c>
      <c r="V21" s="21"/>
      <c r="W21" s="78"/>
      <c r="X21" s="22"/>
      <c r="Y21" s="22"/>
      <c r="Z21" s="74" t="str">
        <f>CONCATENATE(Table1[[#This Row],[P.R NUMBER]],"-",Table1[[#This Row],[SR NO]])</f>
        <v>020212252020-937</v>
      </c>
    </row>
    <row r="22" spans="1:26" x14ac:dyDescent="0.25">
      <c r="A22" s="73"/>
      <c r="B22" s="42">
        <v>937</v>
      </c>
      <c r="C22" s="43">
        <v>40941</v>
      </c>
      <c r="D22" s="44" t="s">
        <v>122</v>
      </c>
      <c r="E22" s="76" t="s">
        <v>90</v>
      </c>
      <c r="F22" s="42" t="s">
        <v>1</v>
      </c>
      <c r="G22" s="49" t="s">
        <v>70</v>
      </c>
      <c r="H22" s="45" t="s">
        <v>1922</v>
      </c>
      <c r="I22" s="83" t="s">
        <v>253</v>
      </c>
      <c r="J22" s="52" t="str">
        <f>VLOOKUP(I22,'CONTACT REFERENCE'!$A$2:$P$399,4,FALSE)</f>
        <v>SURE TACK SYSTEMS (DIVISION OF CRIST CO)</v>
      </c>
      <c r="K22" s="42"/>
      <c r="L22" s="42"/>
      <c r="M22" s="41" t="s">
        <v>143</v>
      </c>
      <c r="N22" s="41"/>
      <c r="O22" s="47" t="s">
        <v>1926</v>
      </c>
      <c r="P22" s="45" t="s">
        <v>1927</v>
      </c>
      <c r="Q22" s="49" t="s">
        <v>120</v>
      </c>
      <c r="R22" s="48">
        <f>0.4*100</f>
        <v>40</v>
      </c>
      <c r="S22" s="41" t="s">
        <v>28</v>
      </c>
      <c r="T22" s="42" t="s">
        <v>1924</v>
      </c>
      <c r="U22" s="42" t="s">
        <v>1925</v>
      </c>
      <c r="V22" s="21"/>
      <c r="W22" s="78"/>
      <c r="X22" s="22"/>
      <c r="Y22" s="22"/>
      <c r="Z22" s="74" t="str">
        <f>CONCATENATE(Table1[[#This Row],[P.R NUMBER]],"-",Table1[[#This Row],[SR NO]])</f>
        <v>020212252020-937</v>
      </c>
    </row>
    <row r="23" spans="1:26" x14ac:dyDescent="0.25">
      <c r="A23" s="73"/>
      <c r="B23" s="42">
        <v>937</v>
      </c>
      <c r="C23" s="43">
        <v>40941</v>
      </c>
      <c r="D23" s="44" t="s">
        <v>122</v>
      </c>
      <c r="E23" s="76" t="s">
        <v>90</v>
      </c>
      <c r="F23" s="42" t="s">
        <v>1</v>
      </c>
      <c r="G23" s="49" t="s">
        <v>70</v>
      </c>
      <c r="H23" s="45" t="s">
        <v>1922</v>
      </c>
      <c r="I23" s="83" t="s">
        <v>253</v>
      </c>
      <c r="J23" s="52" t="str">
        <f>VLOOKUP(I23,'CONTACT REFERENCE'!$A$2:$P$399,4,FALSE)</f>
        <v>SURE TACK SYSTEMS (DIVISION OF CRIST CO)</v>
      </c>
      <c r="K23" s="42"/>
      <c r="L23" s="42"/>
      <c r="M23" s="41" t="s">
        <v>143</v>
      </c>
      <c r="N23" s="41"/>
      <c r="O23" s="47" t="s">
        <v>1928</v>
      </c>
      <c r="P23" s="45" t="s">
        <v>136</v>
      </c>
      <c r="Q23" s="49" t="s">
        <v>120</v>
      </c>
      <c r="R23" s="48">
        <f>2*38</f>
        <v>76</v>
      </c>
      <c r="S23" s="41" t="s">
        <v>28</v>
      </c>
      <c r="T23" s="42" t="s">
        <v>1924</v>
      </c>
      <c r="U23" s="42" t="s">
        <v>1925</v>
      </c>
      <c r="V23" s="21"/>
      <c r="W23" s="78"/>
      <c r="X23" s="22"/>
      <c r="Y23" s="22"/>
      <c r="Z23" s="74" t="str">
        <f>CONCATENATE(Table1[[#This Row],[P.R NUMBER]],"-",Table1[[#This Row],[SR NO]])</f>
        <v>020212252020-937</v>
      </c>
    </row>
    <row r="24" spans="1:26" x14ac:dyDescent="0.25">
      <c r="A24" s="73"/>
      <c r="B24" s="42">
        <v>937</v>
      </c>
      <c r="C24" s="43">
        <v>40941</v>
      </c>
      <c r="D24" s="44" t="s">
        <v>122</v>
      </c>
      <c r="E24" s="76" t="s">
        <v>90</v>
      </c>
      <c r="F24" s="42" t="s">
        <v>1</v>
      </c>
      <c r="G24" s="49" t="s">
        <v>70</v>
      </c>
      <c r="H24" s="45" t="s">
        <v>1922</v>
      </c>
      <c r="I24" s="83" t="s">
        <v>253</v>
      </c>
      <c r="J24" s="52" t="str">
        <f>VLOOKUP(I24,'CONTACT REFERENCE'!$A$2:$P$399,4,FALSE)</f>
        <v>SURE TACK SYSTEMS (DIVISION OF CRIST CO)</v>
      </c>
      <c r="K24" s="42"/>
      <c r="L24" s="42"/>
      <c r="M24" s="41" t="s">
        <v>143</v>
      </c>
      <c r="N24" s="41"/>
      <c r="O24" s="47" t="s">
        <v>1929</v>
      </c>
      <c r="P24" s="45" t="s">
        <v>124</v>
      </c>
      <c r="Q24" s="49" t="s">
        <v>120</v>
      </c>
      <c r="R24" s="48">
        <v>21</v>
      </c>
      <c r="S24" s="41" t="s">
        <v>28</v>
      </c>
      <c r="T24" s="42" t="s">
        <v>1924</v>
      </c>
      <c r="U24" s="42" t="s">
        <v>1925</v>
      </c>
      <c r="V24" s="21"/>
      <c r="W24" s="78"/>
      <c r="X24" s="22"/>
      <c r="Y24" s="22"/>
      <c r="Z24" s="74" t="str">
        <f>CONCATENATE(Table1[[#This Row],[P.R NUMBER]],"-",Table1[[#This Row],[SR NO]])</f>
        <v>020212252020-937</v>
      </c>
    </row>
    <row r="25" spans="1:26" x14ac:dyDescent="0.25">
      <c r="A25" s="73"/>
      <c r="B25" s="42">
        <v>937</v>
      </c>
      <c r="C25" s="43">
        <v>40941</v>
      </c>
      <c r="D25" s="44" t="s">
        <v>122</v>
      </c>
      <c r="E25" s="76" t="s">
        <v>90</v>
      </c>
      <c r="F25" s="42" t="s">
        <v>1</v>
      </c>
      <c r="G25" s="49" t="s">
        <v>70</v>
      </c>
      <c r="H25" s="45" t="s">
        <v>1922</v>
      </c>
      <c r="I25" s="83" t="s">
        <v>253</v>
      </c>
      <c r="J25" s="52" t="str">
        <f>VLOOKUP(I25,'CONTACT REFERENCE'!$A$2:$P$399,4,FALSE)</f>
        <v>SURE TACK SYSTEMS (DIVISION OF CRIST CO)</v>
      </c>
      <c r="K25" s="42"/>
      <c r="L25" s="42"/>
      <c r="M25" s="41" t="s">
        <v>143</v>
      </c>
      <c r="N25" s="41"/>
      <c r="O25" s="47" t="s">
        <v>1930</v>
      </c>
      <c r="P25" s="45" t="s">
        <v>180</v>
      </c>
      <c r="Q25" s="49" t="s">
        <v>120</v>
      </c>
      <c r="R25" s="48">
        <f>24*4.8</f>
        <v>115.19999999999999</v>
      </c>
      <c r="S25" s="41" t="s">
        <v>28</v>
      </c>
      <c r="T25" s="42" t="s">
        <v>1924</v>
      </c>
      <c r="U25" s="42" t="s">
        <v>1925</v>
      </c>
      <c r="V25" s="21"/>
      <c r="W25" s="78"/>
      <c r="X25" s="22"/>
      <c r="Y25" s="22"/>
      <c r="Z25" s="74" t="str">
        <f>CONCATENATE(Table1[[#This Row],[P.R NUMBER]],"-",Table1[[#This Row],[SR NO]])</f>
        <v>020212252020-937</v>
      </c>
    </row>
    <row r="26" spans="1:26" x14ac:dyDescent="0.25">
      <c r="A26" s="73"/>
      <c r="B26" s="42">
        <v>937</v>
      </c>
      <c r="C26" s="43">
        <v>40941</v>
      </c>
      <c r="D26" s="44" t="s">
        <v>122</v>
      </c>
      <c r="E26" s="76" t="s">
        <v>90</v>
      </c>
      <c r="F26" s="42" t="s">
        <v>1</v>
      </c>
      <c r="G26" s="49" t="s">
        <v>70</v>
      </c>
      <c r="H26" s="45" t="s">
        <v>1922</v>
      </c>
      <c r="I26" s="83" t="s">
        <v>253</v>
      </c>
      <c r="J26" s="52" t="str">
        <f>VLOOKUP(I26,'CONTACT REFERENCE'!$A$2:$P$399,4,FALSE)</f>
        <v>SURE TACK SYSTEMS (DIVISION OF CRIST CO)</v>
      </c>
      <c r="K26" s="42"/>
      <c r="L26" s="42"/>
      <c r="M26" s="41" t="s">
        <v>143</v>
      </c>
      <c r="N26" s="41"/>
      <c r="O26" s="47" t="s">
        <v>1931</v>
      </c>
      <c r="P26" s="45" t="s">
        <v>136</v>
      </c>
      <c r="Q26" s="49" t="s">
        <v>120</v>
      </c>
      <c r="R26" s="48">
        <f>2*18.5</f>
        <v>37</v>
      </c>
      <c r="S26" s="41" t="s">
        <v>28</v>
      </c>
      <c r="T26" s="42" t="s">
        <v>1924</v>
      </c>
      <c r="U26" s="42" t="s">
        <v>1925</v>
      </c>
      <c r="V26" s="21"/>
      <c r="W26" s="78"/>
      <c r="X26" s="22"/>
      <c r="Y26" s="22"/>
      <c r="Z26" s="74" t="str">
        <f>CONCATENATE(Table1[[#This Row],[P.R NUMBER]],"-",Table1[[#This Row],[SR NO]])</f>
        <v>020212252020-937</v>
      </c>
    </row>
    <row r="27" spans="1:26" x14ac:dyDescent="0.25">
      <c r="A27" s="73"/>
      <c r="B27" s="42">
        <v>937</v>
      </c>
      <c r="C27" s="43">
        <v>40941</v>
      </c>
      <c r="D27" s="44" t="s">
        <v>122</v>
      </c>
      <c r="E27" s="76" t="s">
        <v>90</v>
      </c>
      <c r="F27" s="42" t="s">
        <v>1</v>
      </c>
      <c r="G27" s="49" t="s">
        <v>70</v>
      </c>
      <c r="H27" s="45" t="s">
        <v>1922</v>
      </c>
      <c r="I27" s="83" t="s">
        <v>253</v>
      </c>
      <c r="J27" s="52" t="str">
        <f>VLOOKUP(I27,'CONTACT REFERENCE'!$A$2:$P$399,4,FALSE)</f>
        <v>SURE TACK SYSTEMS (DIVISION OF CRIST CO)</v>
      </c>
      <c r="K27" s="42"/>
      <c r="L27" s="42"/>
      <c r="M27" s="41" t="s">
        <v>143</v>
      </c>
      <c r="N27" s="41"/>
      <c r="O27" s="47" t="s">
        <v>1932</v>
      </c>
      <c r="P27" s="45" t="s">
        <v>136</v>
      </c>
      <c r="Q27" s="49" t="s">
        <v>120</v>
      </c>
      <c r="R27" s="48">
        <f>2*140</f>
        <v>280</v>
      </c>
      <c r="S27" s="41" t="s">
        <v>28</v>
      </c>
      <c r="T27" s="42" t="s">
        <v>1924</v>
      </c>
      <c r="U27" s="42" t="s">
        <v>1925</v>
      </c>
      <c r="V27" s="21"/>
      <c r="W27" s="78"/>
      <c r="X27" s="22"/>
      <c r="Y27" s="22"/>
      <c r="Z27" s="74" t="str">
        <f>CONCATENATE(Table1[[#This Row],[P.R NUMBER]],"-",Table1[[#This Row],[SR NO]])</f>
        <v>020212252020-937</v>
      </c>
    </row>
    <row r="28" spans="1:26" x14ac:dyDescent="0.25">
      <c r="A28" s="73"/>
      <c r="B28" s="42">
        <v>937</v>
      </c>
      <c r="C28" s="43">
        <v>40941</v>
      </c>
      <c r="D28" s="44" t="s">
        <v>122</v>
      </c>
      <c r="E28" s="76" t="s">
        <v>90</v>
      </c>
      <c r="F28" s="42" t="s">
        <v>1</v>
      </c>
      <c r="G28" s="49" t="s">
        <v>70</v>
      </c>
      <c r="H28" s="45" t="s">
        <v>1922</v>
      </c>
      <c r="I28" s="83" t="s">
        <v>253</v>
      </c>
      <c r="J28" s="52" t="str">
        <f>VLOOKUP(I28,'CONTACT REFERENCE'!$A$2:$P$399,4,FALSE)</f>
        <v>SURE TACK SYSTEMS (DIVISION OF CRIST CO)</v>
      </c>
      <c r="K28" s="42"/>
      <c r="L28" s="42"/>
      <c r="M28" s="41" t="s">
        <v>143</v>
      </c>
      <c r="N28" s="41"/>
      <c r="O28" s="47" t="s">
        <v>1933</v>
      </c>
      <c r="P28" s="45" t="s">
        <v>124</v>
      </c>
      <c r="Q28" s="49" t="s">
        <v>120</v>
      </c>
      <c r="R28" s="48">
        <v>55</v>
      </c>
      <c r="S28" s="41" t="s">
        <v>28</v>
      </c>
      <c r="T28" s="42" t="s">
        <v>1924</v>
      </c>
      <c r="U28" s="42" t="s">
        <v>1925</v>
      </c>
      <c r="V28" s="21"/>
      <c r="W28" s="78"/>
      <c r="X28" s="22"/>
      <c r="Y28" s="22"/>
      <c r="Z28" s="74" t="str">
        <f>CONCATENATE(Table1[[#This Row],[P.R NUMBER]],"-",Table1[[#This Row],[SR NO]])</f>
        <v>020212252020-937</v>
      </c>
    </row>
    <row r="29" spans="1:26" x14ac:dyDescent="0.25">
      <c r="A29" s="73"/>
      <c r="B29" s="42">
        <v>937</v>
      </c>
      <c r="C29" s="43">
        <v>40941</v>
      </c>
      <c r="D29" s="44" t="s">
        <v>122</v>
      </c>
      <c r="E29" s="76" t="s">
        <v>90</v>
      </c>
      <c r="F29" s="42" t="s">
        <v>1</v>
      </c>
      <c r="G29" s="49" t="s">
        <v>70</v>
      </c>
      <c r="H29" s="45" t="s">
        <v>1922</v>
      </c>
      <c r="I29" s="83" t="s">
        <v>253</v>
      </c>
      <c r="J29" s="52" t="str">
        <f>VLOOKUP(I29,'CONTACT REFERENCE'!$A$2:$P$399,4,FALSE)</f>
        <v>SURE TACK SYSTEMS (DIVISION OF CRIST CO)</v>
      </c>
      <c r="K29" s="42"/>
      <c r="L29" s="42"/>
      <c r="M29" s="41" t="s">
        <v>143</v>
      </c>
      <c r="N29" s="41"/>
      <c r="O29" s="47" t="s">
        <v>1934</v>
      </c>
      <c r="P29" s="45" t="s">
        <v>130</v>
      </c>
      <c r="Q29" s="49" t="s">
        <v>120</v>
      </c>
      <c r="R29" s="48">
        <f>6*2.35</f>
        <v>14.100000000000001</v>
      </c>
      <c r="S29" s="41" t="s">
        <v>28</v>
      </c>
      <c r="T29" s="42" t="s">
        <v>1924</v>
      </c>
      <c r="U29" s="42" t="s">
        <v>1925</v>
      </c>
      <c r="V29" s="21"/>
      <c r="W29" s="78"/>
      <c r="X29" s="22"/>
      <c r="Y29" s="22"/>
      <c r="Z29" s="74" t="str">
        <f>CONCATENATE(Table1[[#This Row],[P.R NUMBER]],"-",Table1[[#This Row],[SR NO]])</f>
        <v>020212252020-937</v>
      </c>
    </row>
    <row r="30" spans="1:26" x14ac:dyDescent="0.25">
      <c r="A30" s="73"/>
      <c r="B30" s="42">
        <v>937</v>
      </c>
      <c r="C30" s="43">
        <v>40941</v>
      </c>
      <c r="D30" s="44" t="s">
        <v>122</v>
      </c>
      <c r="E30" s="76" t="s">
        <v>90</v>
      </c>
      <c r="F30" s="42" t="s">
        <v>1</v>
      </c>
      <c r="G30" s="49" t="s">
        <v>70</v>
      </c>
      <c r="H30" s="45" t="s">
        <v>1922</v>
      </c>
      <c r="I30" s="83" t="s">
        <v>253</v>
      </c>
      <c r="J30" s="52" t="str">
        <f>VLOOKUP(I30,'CONTACT REFERENCE'!$A$2:$P$399,4,FALSE)</f>
        <v>SURE TACK SYSTEMS (DIVISION OF CRIST CO)</v>
      </c>
      <c r="K30" s="42"/>
      <c r="L30" s="42"/>
      <c r="M30" s="41" t="s">
        <v>143</v>
      </c>
      <c r="N30" s="41"/>
      <c r="O30" s="47" t="s">
        <v>1935</v>
      </c>
      <c r="P30" s="45" t="s">
        <v>130</v>
      </c>
      <c r="Q30" s="49" t="s">
        <v>120</v>
      </c>
      <c r="R30" s="48">
        <f>6*1.75</f>
        <v>10.5</v>
      </c>
      <c r="S30" s="41" t="s">
        <v>28</v>
      </c>
      <c r="T30" s="42" t="s">
        <v>1924</v>
      </c>
      <c r="U30" s="42" t="s">
        <v>1925</v>
      </c>
      <c r="V30" s="21"/>
      <c r="W30" s="78"/>
      <c r="X30" s="22"/>
      <c r="Y30" s="22"/>
      <c r="Z30" s="74" t="str">
        <f>CONCATENATE(Table1[[#This Row],[P.R NUMBER]],"-",Table1[[#This Row],[SR NO]])</f>
        <v>020212252020-937</v>
      </c>
    </row>
    <row r="31" spans="1:26" x14ac:dyDescent="0.25">
      <c r="A31" s="73"/>
      <c r="B31" s="42">
        <v>937</v>
      </c>
      <c r="C31" s="43">
        <v>40941</v>
      </c>
      <c r="D31" s="44" t="s">
        <v>122</v>
      </c>
      <c r="E31" s="76" t="s">
        <v>90</v>
      </c>
      <c r="F31" s="42" t="s">
        <v>1</v>
      </c>
      <c r="G31" s="49" t="s">
        <v>70</v>
      </c>
      <c r="H31" s="45" t="s">
        <v>1922</v>
      </c>
      <c r="I31" s="83" t="s">
        <v>253</v>
      </c>
      <c r="J31" s="52" t="str">
        <f>VLOOKUP(I31,'CONTACT REFERENCE'!$A$2:$P$399,4,FALSE)</f>
        <v>SURE TACK SYSTEMS (DIVISION OF CRIST CO)</v>
      </c>
      <c r="K31" s="42"/>
      <c r="L31" s="42"/>
      <c r="M31" s="41" t="s">
        <v>143</v>
      </c>
      <c r="N31" s="41"/>
      <c r="O31" s="47" t="s">
        <v>1936</v>
      </c>
      <c r="P31" s="45" t="s">
        <v>144</v>
      </c>
      <c r="Q31" s="49" t="s">
        <v>120</v>
      </c>
      <c r="R31" s="48">
        <f>12*0.8</f>
        <v>9.6000000000000014</v>
      </c>
      <c r="S31" s="41" t="s">
        <v>28</v>
      </c>
      <c r="T31" s="42" t="s">
        <v>1924</v>
      </c>
      <c r="U31" s="42" t="s">
        <v>1925</v>
      </c>
      <c r="V31" s="21"/>
      <c r="W31" s="78"/>
      <c r="X31" s="22"/>
      <c r="Y31" s="22"/>
      <c r="Z31" s="74" t="str">
        <f>CONCATENATE(Table1[[#This Row],[P.R NUMBER]],"-",Table1[[#This Row],[SR NO]])</f>
        <v>020212252020-937</v>
      </c>
    </row>
    <row r="32" spans="1:26" x14ac:dyDescent="0.25">
      <c r="A32" s="73"/>
      <c r="B32" s="42">
        <v>937</v>
      </c>
      <c r="C32" s="43">
        <v>40941</v>
      </c>
      <c r="D32" s="44" t="s">
        <v>122</v>
      </c>
      <c r="E32" s="76" t="s">
        <v>90</v>
      </c>
      <c r="F32" s="42" t="s">
        <v>1</v>
      </c>
      <c r="G32" s="49" t="s">
        <v>70</v>
      </c>
      <c r="H32" s="45" t="s">
        <v>1922</v>
      </c>
      <c r="I32" s="83" t="s">
        <v>253</v>
      </c>
      <c r="J32" s="52" t="str">
        <f>VLOOKUP(I32,'CONTACT REFERENCE'!$A$2:$P$399,4,FALSE)</f>
        <v>SURE TACK SYSTEMS (DIVISION OF CRIST CO)</v>
      </c>
      <c r="K32" s="42"/>
      <c r="L32" s="42"/>
      <c r="M32" s="41" t="s">
        <v>143</v>
      </c>
      <c r="N32" s="41"/>
      <c r="O32" s="47" t="s">
        <v>1937</v>
      </c>
      <c r="P32" s="45" t="s">
        <v>146</v>
      </c>
      <c r="Q32" s="49" t="s">
        <v>120</v>
      </c>
      <c r="R32" s="48">
        <f>7*30</f>
        <v>210</v>
      </c>
      <c r="S32" s="41" t="s">
        <v>28</v>
      </c>
      <c r="T32" s="42" t="s">
        <v>1924</v>
      </c>
      <c r="U32" s="42" t="s">
        <v>1925</v>
      </c>
      <c r="V32" s="21"/>
      <c r="W32" s="78"/>
      <c r="X32" s="22"/>
      <c r="Y32" s="22"/>
      <c r="Z32" s="74" t="str">
        <f>CONCATENATE(Table1[[#This Row],[P.R NUMBER]],"-",Table1[[#This Row],[SR NO]])</f>
        <v>020212252020-937</v>
      </c>
    </row>
    <row r="33" spans="1:26" x14ac:dyDescent="0.25">
      <c r="A33" s="73"/>
      <c r="B33" s="42">
        <v>938</v>
      </c>
      <c r="C33" s="42" t="s">
        <v>1938</v>
      </c>
      <c r="D33" s="44" t="s">
        <v>118</v>
      </c>
      <c r="E33" s="76" t="s">
        <v>90</v>
      </c>
      <c r="F33" s="42" t="s">
        <v>1</v>
      </c>
      <c r="G33" s="49" t="s">
        <v>51</v>
      </c>
      <c r="H33" s="45" t="s">
        <v>1939</v>
      </c>
      <c r="I33" s="83" t="s">
        <v>460</v>
      </c>
      <c r="J33" s="52" t="str">
        <f>VLOOKUP(I33,'CONTACT REFERENCE'!$A$2:$P$399,4,FALSE)</f>
        <v>A-1 ENGINEERING</v>
      </c>
      <c r="K33" s="42">
        <v>5481</v>
      </c>
      <c r="L33" s="42"/>
      <c r="M33" s="41" t="s">
        <v>51</v>
      </c>
      <c r="N33" s="41"/>
      <c r="O33" s="47" t="s">
        <v>1940</v>
      </c>
      <c r="P33" s="45" t="s">
        <v>124</v>
      </c>
      <c r="Q33" s="49" t="s">
        <v>120</v>
      </c>
      <c r="R33" s="48">
        <v>720</v>
      </c>
      <c r="S33" s="41" t="s">
        <v>29</v>
      </c>
      <c r="T33" s="42" t="s">
        <v>1941</v>
      </c>
      <c r="U33" s="42"/>
      <c r="V33" s="21"/>
      <c r="W33" s="78"/>
      <c r="X33" s="22"/>
      <c r="Y33" s="22"/>
      <c r="Z33" s="74" t="str">
        <f>CONCATENATE(Table1[[#This Row],[P.R NUMBER]],"-",Table1[[#This Row],[SR NO]])</f>
        <v>260112042020-938</v>
      </c>
    </row>
    <row r="34" spans="1:26" x14ac:dyDescent="0.25">
      <c r="A34" s="73"/>
      <c r="B34" s="42">
        <v>939</v>
      </c>
      <c r="C34" s="42" t="s">
        <v>1938</v>
      </c>
      <c r="D34" s="44" t="s">
        <v>118</v>
      </c>
      <c r="E34" s="76" t="s">
        <v>90</v>
      </c>
      <c r="F34" s="42" t="s">
        <v>1</v>
      </c>
      <c r="G34" s="49" t="s">
        <v>74</v>
      </c>
      <c r="H34" s="45" t="s">
        <v>1942</v>
      </c>
      <c r="I34" s="83" t="s">
        <v>460</v>
      </c>
      <c r="J34" s="52" t="str">
        <f>VLOOKUP(I34,'CONTACT REFERENCE'!$A$2:$P$399,4,FALSE)</f>
        <v>A-1 ENGINEERING</v>
      </c>
      <c r="K34" s="42">
        <v>5482</v>
      </c>
      <c r="L34" s="42"/>
      <c r="M34" s="41" t="s">
        <v>74</v>
      </c>
      <c r="N34" s="41"/>
      <c r="O34" s="47" t="s">
        <v>1943</v>
      </c>
      <c r="P34" s="45" t="s">
        <v>124</v>
      </c>
      <c r="Q34" s="49" t="s">
        <v>120</v>
      </c>
      <c r="R34" s="48">
        <v>850</v>
      </c>
      <c r="S34" s="41" t="s">
        <v>29</v>
      </c>
      <c r="T34" s="42" t="s">
        <v>1941</v>
      </c>
      <c r="U34" s="42"/>
      <c r="V34" s="21"/>
      <c r="W34" s="78"/>
      <c r="X34" s="22"/>
      <c r="Y34" s="22"/>
      <c r="Z34" s="74" t="str">
        <f>CONCATENATE(Table1[[#This Row],[P.R NUMBER]],"-",Table1[[#This Row],[SR NO]])</f>
        <v>260112292020-939</v>
      </c>
    </row>
    <row r="35" spans="1:26" x14ac:dyDescent="0.25">
      <c r="A35" s="73"/>
      <c r="B35" s="42">
        <v>940</v>
      </c>
      <c r="C35" s="42" t="s">
        <v>1938</v>
      </c>
      <c r="D35" s="44" t="s">
        <v>118</v>
      </c>
      <c r="E35" s="76" t="s">
        <v>90</v>
      </c>
      <c r="F35" s="42" t="s">
        <v>1</v>
      </c>
      <c r="G35" s="49" t="s">
        <v>54</v>
      </c>
      <c r="H35" s="45" t="s">
        <v>1944</v>
      </c>
      <c r="I35" s="83" t="s">
        <v>119</v>
      </c>
      <c r="J35" s="52" t="str">
        <f>VLOOKUP(I35,'CONTACT REFERENCE'!$A$2:$P$399,4,FALSE)</f>
        <v>AL DOBOWI TYRE COMPANY LLC</v>
      </c>
      <c r="K35" s="42" t="s">
        <v>1945</v>
      </c>
      <c r="L35" s="42"/>
      <c r="M35" s="41" t="s">
        <v>54</v>
      </c>
      <c r="N35" s="41"/>
      <c r="O35" s="47" t="s">
        <v>1946</v>
      </c>
      <c r="P35" s="45" t="s">
        <v>124</v>
      </c>
      <c r="Q35" s="49" t="s">
        <v>120</v>
      </c>
      <c r="R35" s="48">
        <v>325</v>
      </c>
      <c r="S35" s="41" t="s">
        <v>29</v>
      </c>
      <c r="T35" s="42"/>
      <c r="U35" s="42"/>
      <c r="V35" s="21"/>
      <c r="W35" s="78"/>
      <c r="X35" s="22"/>
      <c r="Y35" s="22"/>
      <c r="Z35" s="74" t="str">
        <f>CONCATENATE(Table1[[#This Row],[P.R NUMBER]],"-",Table1[[#This Row],[SR NO]])</f>
        <v>260112072020-940</v>
      </c>
    </row>
    <row r="36" spans="1:26" x14ac:dyDescent="0.25">
      <c r="A36" s="73"/>
      <c r="B36" s="42">
        <v>940</v>
      </c>
      <c r="C36" s="42" t="s">
        <v>1938</v>
      </c>
      <c r="D36" s="44" t="s">
        <v>118</v>
      </c>
      <c r="E36" s="76" t="s">
        <v>90</v>
      </c>
      <c r="F36" s="42" t="s">
        <v>1</v>
      </c>
      <c r="G36" s="49" t="s">
        <v>54</v>
      </c>
      <c r="H36" s="45" t="s">
        <v>1944</v>
      </c>
      <c r="I36" s="83" t="s">
        <v>119</v>
      </c>
      <c r="J36" s="52" t="str">
        <f>VLOOKUP(I36,'CONTACT REFERENCE'!$A$2:$P$399,4,FALSE)</f>
        <v>AL DOBOWI TYRE COMPANY LLC</v>
      </c>
      <c r="K36" s="42" t="s">
        <v>1945</v>
      </c>
      <c r="L36" s="42"/>
      <c r="M36" s="41" t="s">
        <v>54</v>
      </c>
      <c r="N36" s="41"/>
      <c r="O36" s="47" t="s">
        <v>1947</v>
      </c>
      <c r="P36" s="45" t="s">
        <v>124</v>
      </c>
      <c r="Q36" s="49" t="s">
        <v>120</v>
      </c>
      <c r="R36" s="48">
        <v>325</v>
      </c>
      <c r="S36" s="41" t="s">
        <v>29</v>
      </c>
      <c r="T36" s="42"/>
      <c r="U36" s="42"/>
      <c r="V36" s="21"/>
      <c r="W36" s="78"/>
      <c r="X36" s="22"/>
      <c r="Y36" s="22"/>
      <c r="Z36" s="74" t="str">
        <f>CONCATENATE(Table1[[#This Row],[P.R NUMBER]],"-",Table1[[#This Row],[SR NO]])</f>
        <v>260112072020-940</v>
      </c>
    </row>
    <row r="37" spans="1:26" x14ac:dyDescent="0.25">
      <c r="A37" s="73"/>
      <c r="B37" s="42">
        <v>941</v>
      </c>
      <c r="C37" s="42" t="s">
        <v>1938</v>
      </c>
      <c r="D37" s="44" t="s">
        <v>118</v>
      </c>
      <c r="E37" s="76" t="s">
        <v>91</v>
      </c>
      <c r="F37" s="42" t="s">
        <v>86</v>
      </c>
      <c r="G37" s="49" t="s">
        <v>52</v>
      </c>
      <c r="H37" s="45" t="s">
        <v>1948</v>
      </c>
      <c r="I37" s="83" t="s">
        <v>292</v>
      </c>
      <c r="J37" s="52" t="str">
        <f>VLOOKUP(I37,'CONTACT REFERENCE'!$A$2:$P$399,4,FALSE)</f>
        <v>WINDY CITY CUTTING DIE</v>
      </c>
      <c r="K37" s="42"/>
      <c r="L37" s="42">
        <v>134252</v>
      </c>
      <c r="M37" s="41" t="s">
        <v>72</v>
      </c>
      <c r="N37" s="41"/>
      <c r="O37" s="47" t="s">
        <v>1949</v>
      </c>
      <c r="P37" s="45" t="s">
        <v>124</v>
      </c>
      <c r="Q37" s="49" t="s">
        <v>140</v>
      </c>
      <c r="R37" s="48">
        <v>1360</v>
      </c>
      <c r="S37" s="41" t="s">
        <v>28</v>
      </c>
      <c r="T37" s="42" t="s">
        <v>1876</v>
      </c>
      <c r="U37" s="42" t="s">
        <v>1950</v>
      </c>
      <c r="V37" s="21"/>
      <c r="W37" s="78"/>
      <c r="X37" s="22"/>
      <c r="Y37" s="22"/>
      <c r="Z37" s="74" t="str">
        <f>CONCATENATE(Table1[[#This Row],[P.R NUMBER]],"-",Table1[[#This Row],[SR NO]])</f>
        <v>260112053040-941</v>
      </c>
    </row>
    <row r="38" spans="1:26" x14ac:dyDescent="0.25">
      <c r="A38" s="73"/>
      <c r="B38" s="42">
        <v>942</v>
      </c>
      <c r="C38" s="43">
        <v>40941</v>
      </c>
      <c r="D38" s="44" t="s">
        <v>118</v>
      </c>
      <c r="E38" s="76" t="s">
        <v>90</v>
      </c>
      <c r="F38" s="42" t="s">
        <v>1</v>
      </c>
      <c r="G38" s="49" t="s">
        <v>62</v>
      </c>
      <c r="H38" s="45" t="s">
        <v>1951</v>
      </c>
      <c r="I38" s="83" t="s">
        <v>460</v>
      </c>
      <c r="J38" s="52" t="str">
        <f>VLOOKUP(I38,'CONTACT REFERENCE'!$A$2:$P$399,4,FALSE)</f>
        <v>A-1 ENGINEERING</v>
      </c>
      <c r="K38" s="42">
        <v>5496</v>
      </c>
      <c r="L38" s="42">
        <v>8544</v>
      </c>
      <c r="M38" s="41" t="s">
        <v>62</v>
      </c>
      <c r="N38" s="41"/>
      <c r="O38" s="47" t="s">
        <v>1952</v>
      </c>
      <c r="P38" s="45" t="s">
        <v>124</v>
      </c>
      <c r="Q38" s="49" t="s">
        <v>120</v>
      </c>
      <c r="R38" s="48">
        <v>750</v>
      </c>
      <c r="S38" s="41" t="s">
        <v>29</v>
      </c>
      <c r="T38" s="42" t="s">
        <v>1917</v>
      </c>
      <c r="U38" s="42"/>
      <c r="V38" s="21"/>
      <c r="W38" s="78"/>
      <c r="X38" s="22"/>
      <c r="Y38" s="22"/>
      <c r="Z38" s="74" t="str">
        <f>CONCATENATE(Table1[[#This Row],[P.R NUMBER]],"-",Table1[[#This Row],[SR NO]])</f>
        <v>020212162020-942</v>
      </c>
    </row>
    <row r="39" spans="1:26" x14ac:dyDescent="0.25">
      <c r="A39" s="73"/>
      <c r="B39" s="42">
        <v>943</v>
      </c>
      <c r="C39" s="43">
        <v>40941</v>
      </c>
      <c r="D39" s="44" t="s">
        <v>118</v>
      </c>
      <c r="E39" s="76" t="s">
        <v>90</v>
      </c>
      <c r="F39" s="42" t="s">
        <v>1</v>
      </c>
      <c r="G39" s="49" t="s">
        <v>62</v>
      </c>
      <c r="H39" s="45" t="s">
        <v>1953</v>
      </c>
      <c r="I39" s="83" t="s">
        <v>460</v>
      </c>
      <c r="J39" s="52" t="str">
        <f>VLOOKUP(I39,'CONTACT REFERENCE'!$A$2:$P$399,4,FALSE)</f>
        <v>A-1 ENGINEERING</v>
      </c>
      <c r="K39" s="42">
        <v>5497</v>
      </c>
      <c r="L39" s="42">
        <v>8545</v>
      </c>
      <c r="M39" s="41" t="s">
        <v>62</v>
      </c>
      <c r="N39" s="41"/>
      <c r="O39" s="47" t="s">
        <v>1954</v>
      </c>
      <c r="P39" s="45" t="s">
        <v>136</v>
      </c>
      <c r="Q39" s="49" t="s">
        <v>120</v>
      </c>
      <c r="R39" s="48">
        <v>500</v>
      </c>
      <c r="S39" s="41" t="s">
        <v>29</v>
      </c>
      <c r="T39" s="42" t="s">
        <v>1917</v>
      </c>
      <c r="U39" s="42"/>
      <c r="V39" s="21"/>
      <c r="W39" s="78"/>
      <c r="X39" s="22"/>
      <c r="Y39" s="22"/>
      <c r="Z39" s="74" t="str">
        <f>CONCATENATE(Table1[[#This Row],[P.R NUMBER]],"-",Table1[[#This Row],[SR NO]])</f>
        <v>010212162020-943</v>
      </c>
    </row>
    <row r="40" spans="1:26" x14ac:dyDescent="0.25">
      <c r="A40" s="73"/>
      <c r="B40" s="42">
        <v>944</v>
      </c>
      <c r="C40" s="43">
        <v>40941</v>
      </c>
      <c r="D40" s="44" t="s">
        <v>118</v>
      </c>
      <c r="E40" s="76" t="s">
        <v>91</v>
      </c>
      <c r="F40" s="42" t="s">
        <v>88</v>
      </c>
      <c r="G40" s="49" t="s">
        <v>64</v>
      </c>
      <c r="H40" s="45" t="s">
        <v>1955</v>
      </c>
      <c r="I40" s="83" t="s">
        <v>460</v>
      </c>
      <c r="J40" s="52" t="str">
        <f>VLOOKUP(I40,'CONTACT REFERENCE'!$A$2:$P$399,4,FALSE)</f>
        <v>A-1 ENGINEERING</v>
      </c>
      <c r="K40" s="42">
        <v>5508</v>
      </c>
      <c r="L40" s="42"/>
      <c r="M40" s="41" t="s">
        <v>132</v>
      </c>
      <c r="N40" s="41"/>
      <c r="O40" s="47" t="s">
        <v>1956</v>
      </c>
      <c r="P40" s="45" t="s">
        <v>130</v>
      </c>
      <c r="Q40" s="49" t="s">
        <v>120</v>
      </c>
      <c r="R40" s="48">
        <v>480</v>
      </c>
      <c r="S40" s="41" t="s">
        <v>29</v>
      </c>
      <c r="T40" s="42" t="s">
        <v>1941</v>
      </c>
      <c r="U40" s="42"/>
      <c r="V40" s="21"/>
      <c r="W40" s="78"/>
      <c r="X40" s="22"/>
      <c r="Y40" s="22"/>
      <c r="Z40" s="74" t="str">
        <f>CONCATENATE(Table1[[#This Row],[P.R NUMBER]],"-",Table1[[#This Row],[SR NO]])</f>
        <v>020212193060-944</v>
      </c>
    </row>
    <row r="41" spans="1:26" x14ac:dyDescent="0.25">
      <c r="A41" s="73"/>
      <c r="B41" s="42">
        <v>937</v>
      </c>
      <c r="C41" s="43">
        <v>40941</v>
      </c>
      <c r="D41" s="44" t="s">
        <v>122</v>
      </c>
      <c r="E41" s="76" t="s">
        <v>90</v>
      </c>
      <c r="F41" s="42" t="s">
        <v>1</v>
      </c>
      <c r="G41" s="49" t="s">
        <v>70</v>
      </c>
      <c r="H41" s="45" t="s">
        <v>1922</v>
      </c>
      <c r="I41" s="83" t="s">
        <v>253</v>
      </c>
      <c r="J41" s="52" t="str">
        <f>VLOOKUP(I41,'CONTACT REFERENCE'!$A$2:$P$399,4,FALSE)</f>
        <v>SURE TACK SYSTEMS (DIVISION OF CRIST CO)</v>
      </c>
      <c r="K41" s="42"/>
      <c r="L41" s="42"/>
      <c r="M41" s="41" t="s">
        <v>143</v>
      </c>
      <c r="N41" s="41"/>
      <c r="O41" s="47" t="s">
        <v>1957</v>
      </c>
      <c r="P41" s="45" t="s">
        <v>124</v>
      </c>
      <c r="Q41" s="49" t="s">
        <v>120</v>
      </c>
      <c r="R41" s="48">
        <v>325</v>
      </c>
      <c r="S41" s="41" t="s">
        <v>28</v>
      </c>
      <c r="T41" s="42" t="s">
        <v>1924</v>
      </c>
      <c r="U41" s="42" t="s">
        <v>1925</v>
      </c>
      <c r="V41" s="21"/>
      <c r="W41" s="78"/>
      <c r="X41" s="22"/>
      <c r="Y41" s="22"/>
      <c r="Z41" s="74" t="str">
        <f>CONCATENATE(Table1[[#This Row],[P.R NUMBER]],"-",Table1[[#This Row],[SR NO]])</f>
        <v>020212252020-937</v>
      </c>
    </row>
    <row r="42" spans="1:26" x14ac:dyDescent="0.25">
      <c r="A42" s="73"/>
      <c r="B42" s="42">
        <v>937</v>
      </c>
      <c r="C42" s="43">
        <v>40941</v>
      </c>
      <c r="D42" s="44" t="s">
        <v>122</v>
      </c>
      <c r="E42" s="76" t="s">
        <v>90</v>
      </c>
      <c r="F42" s="42" t="s">
        <v>1</v>
      </c>
      <c r="G42" s="49" t="s">
        <v>70</v>
      </c>
      <c r="H42" s="45" t="s">
        <v>1922</v>
      </c>
      <c r="I42" s="83" t="s">
        <v>253</v>
      </c>
      <c r="J42" s="52" t="str">
        <f>VLOOKUP(I42,'CONTACT REFERENCE'!$A$2:$P$399,4,FALSE)</f>
        <v>SURE TACK SYSTEMS (DIVISION OF CRIST CO)</v>
      </c>
      <c r="K42" s="42"/>
      <c r="L42" s="42"/>
      <c r="M42" s="41" t="s">
        <v>143</v>
      </c>
      <c r="N42" s="41"/>
      <c r="O42" s="47" t="s">
        <v>1958</v>
      </c>
      <c r="P42" s="45" t="s">
        <v>136</v>
      </c>
      <c r="Q42" s="49" t="s">
        <v>120</v>
      </c>
      <c r="R42" s="48">
        <f>2*33</f>
        <v>66</v>
      </c>
      <c r="S42" s="41" t="s">
        <v>28</v>
      </c>
      <c r="T42" s="42" t="s">
        <v>1924</v>
      </c>
      <c r="U42" s="42" t="s">
        <v>1925</v>
      </c>
      <c r="V42" s="21"/>
      <c r="W42" s="78"/>
      <c r="X42" s="22"/>
      <c r="Y42" s="22"/>
      <c r="Z42" s="74" t="str">
        <f>CONCATENATE(Table1[[#This Row],[P.R NUMBER]],"-",Table1[[#This Row],[SR NO]])</f>
        <v>020212252020-937</v>
      </c>
    </row>
    <row r="43" spans="1:26" x14ac:dyDescent="0.25">
      <c r="A43" s="73"/>
      <c r="B43" s="42">
        <v>937</v>
      </c>
      <c r="C43" s="43">
        <v>40941</v>
      </c>
      <c r="D43" s="44" t="s">
        <v>122</v>
      </c>
      <c r="E43" s="76" t="s">
        <v>90</v>
      </c>
      <c r="F43" s="42" t="s">
        <v>1</v>
      </c>
      <c r="G43" s="49" t="s">
        <v>70</v>
      </c>
      <c r="H43" s="45" t="s">
        <v>1922</v>
      </c>
      <c r="I43" s="83" t="s">
        <v>253</v>
      </c>
      <c r="J43" s="52" t="str">
        <f>VLOOKUP(I43,'CONTACT REFERENCE'!$A$2:$P$399,4,FALSE)</f>
        <v>SURE TACK SYSTEMS (DIVISION OF CRIST CO)</v>
      </c>
      <c r="K43" s="42"/>
      <c r="L43" s="42"/>
      <c r="M43" s="41" t="s">
        <v>143</v>
      </c>
      <c r="N43" s="41"/>
      <c r="O43" s="47" t="s">
        <v>1959</v>
      </c>
      <c r="P43" s="45" t="s">
        <v>130</v>
      </c>
      <c r="Q43" s="49" t="s">
        <v>120</v>
      </c>
      <c r="R43" s="48">
        <f>6*2.25</f>
        <v>13.5</v>
      </c>
      <c r="S43" s="41" t="s">
        <v>28</v>
      </c>
      <c r="T43" s="42" t="s">
        <v>1924</v>
      </c>
      <c r="U43" s="42" t="s">
        <v>1925</v>
      </c>
      <c r="V43" s="21"/>
      <c r="W43" s="78"/>
      <c r="X43" s="22"/>
      <c r="Y43" s="22"/>
      <c r="Z43" s="74" t="str">
        <f>CONCATENATE(Table1[[#This Row],[P.R NUMBER]],"-",Table1[[#This Row],[SR NO]])</f>
        <v>020212252020-937</v>
      </c>
    </row>
    <row r="44" spans="1:26" x14ac:dyDescent="0.25">
      <c r="A44" s="73"/>
      <c r="B44" s="42">
        <v>937</v>
      </c>
      <c r="C44" s="43">
        <v>40941</v>
      </c>
      <c r="D44" s="44" t="s">
        <v>122</v>
      </c>
      <c r="E44" s="76" t="s">
        <v>90</v>
      </c>
      <c r="F44" s="42" t="s">
        <v>1</v>
      </c>
      <c r="G44" s="49" t="s">
        <v>70</v>
      </c>
      <c r="H44" s="45" t="s">
        <v>1922</v>
      </c>
      <c r="I44" s="83" t="s">
        <v>253</v>
      </c>
      <c r="J44" s="52" t="str">
        <f>VLOOKUP(I44,'CONTACT REFERENCE'!$A$2:$P$399,4,FALSE)</f>
        <v>SURE TACK SYSTEMS (DIVISION OF CRIST CO)</v>
      </c>
      <c r="K44" s="42"/>
      <c r="L44" s="42"/>
      <c r="M44" s="41" t="s">
        <v>143</v>
      </c>
      <c r="N44" s="41"/>
      <c r="O44" s="47" t="s">
        <v>1960</v>
      </c>
      <c r="P44" s="45" t="s">
        <v>136</v>
      </c>
      <c r="Q44" s="49" t="s">
        <v>120</v>
      </c>
      <c r="R44" s="48">
        <f>2*42</f>
        <v>84</v>
      </c>
      <c r="S44" s="41" t="s">
        <v>28</v>
      </c>
      <c r="T44" s="42" t="s">
        <v>1924</v>
      </c>
      <c r="U44" s="42" t="s">
        <v>1925</v>
      </c>
      <c r="V44" s="21"/>
      <c r="W44" s="78"/>
      <c r="X44" s="22"/>
      <c r="Y44" s="22"/>
      <c r="Z44" s="74" t="str">
        <f>CONCATENATE(Table1[[#This Row],[P.R NUMBER]],"-",Table1[[#This Row],[SR NO]])</f>
        <v>020212252020-937</v>
      </c>
    </row>
    <row r="45" spans="1:26" x14ac:dyDescent="0.25">
      <c r="A45" s="73"/>
      <c r="B45" s="42">
        <v>938</v>
      </c>
      <c r="C45" s="43">
        <v>40941</v>
      </c>
      <c r="D45" s="44" t="s">
        <v>122</v>
      </c>
      <c r="E45" s="76" t="s">
        <v>91</v>
      </c>
      <c r="F45" s="42" t="s">
        <v>88</v>
      </c>
      <c r="G45" s="49" t="s">
        <v>70</v>
      </c>
      <c r="H45" s="45" t="s">
        <v>1961</v>
      </c>
      <c r="I45" s="83" t="s">
        <v>298</v>
      </c>
      <c r="J45" s="52" t="str">
        <f>VLOOKUP(I45,'CONTACT REFERENCE'!$A$2:$P$399,4,FALSE)</f>
        <v>WINKLER+DUNNEBIER AG</v>
      </c>
      <c r="K45" s="42">
        <v>4083499</v>
      </c>
      <c r="L45" s="42"/>
      <c r="M45" s="41"/>
      <c r="N45" s="41"/>
      <c r="O45" s="47" t="s">
        <v>1962</v>
      </c>
      <c r="P45" s="45" t="s">
        <v>1927</v>
      </c>
      <c r="Q45" s="49" t="s">
        <v>120</v>
      </c>
      <c r="R45" s="48">
        <v>134.52000000000001</v>
      </c>
      <c r="S45" s="41" t="s">
        <v>125</v>
      </c>
      <c r="T45" s="42"/>
      <c r="U45" s="42"/>
      <c r="V45" s="21"/>
      <c r="W45" s="78"/>
      <c r="X45" s="22"/>
      <c r="Y45" s="22"/>
      <c r="Z45" s="74" t="str">
        <f>CONCATENATE(Table1[[#This Row],[P.R NUMBER]],"-",Table1[[#This Row],[SR NO]])</f>
        <v>020212253060-938</v>
      </c>
    </row>
    <row r="46" spans="1:26" x14ac:dyDescent="0.25">
      <c r="A46" s="73"/>
      <c r="B46" s="42">
        <v>938</v>
      </c>
      <c r="C46" s="43">
        <v>40941</v>
      </c>
      <c r="D46" s="44" t="s">
        <v>122</v>
      </c>
      <c r="E46" s="76" t="s">
        <v>91</v>
      </c>
      <c r="F46" s="42" t="s">
        <v>88</v>
      </c>
      <c r="G46" s="49" t="s">
        <v>70</v>
      </c>
      <c r="H46" s="45" t="s">
        <v>1961</v>
      </c>
      <c r="I46" s="83" t="s">
        <v>298</v>
      </c>
      <c r="J46" s="52" t="str">
        <f>VLOOKUP(I46,'CONTACT REFERENCE'!$A$2:$P$399,4,FALSE)</f>
        <v>WINKLER+DUNNEBIER AG</v>
      </c>
      <c r="K46" s="42">
        <v>4083499</v>
      </c>
      <c r="L46" s="42"/>
      <c r="M46" s="41"/>
      <c r="N46" s="41"/>
      <c r="O46" s="47" t="s">
        <v>1963</v>
      </c>
      <c r="P46" s="45" t="s">
        <v>180</v>
      </c>
      <c r="Q46" s="49" t="s">
        <v>120</v>
      </c>
      <c r="R46" s="48">
        <f>(221.83/100*24)</f>
        <v>53.239200000000004</v>
      </c>
      <c r="S46" s="41" t="s">
        <v>125</v>
      </c>
      <c r="T46" s="42"/>
      <c r="U46" s="42"/>
      <c r="V46" s="21"/>
      <c r="W46" s="78"/>
      <c r="X46" s="22"/>
      <c r="Y46" s="22"/>
      <c r="Z46" s="74" t="str">
        <f>CONCATENATE(Table1[[#This Row],[P.R NUMBER]],"-",Table1[[#This Row],[SR NO]])</f>
        <v>020212253060-938</v>
      </c>
    </row>
    <row r="47" spans="1:26" x14ac:dyDescent="0.25">
      <c r="A47" s="73"/>
      <c r="B47" s="42">
        <v>939</v>
      </c>
      <c r="C47" s="43">
        <v>40941</v>
      </c>
      <c r="D47" s="44" t="s">
        <v>122</v>
      </c>
      <c r="E47" s="76" t="s">
        <v>90</v>
      </c>
      <c r="F47" s="42" t="s">
        <v>1</v>
      </c>
      <c r="G47" s="49" t="s">
        <v>75</v>
      </c>
      <c r="H47" s="49">
        <v>20212302020</v>
      </c>
      <c r="I47" s="83" t="s">
        <v>262</v>
      </c>
      <c r="J47" s="52" t="str">
        <f>VLOOKUP(I47,'CONTACT REFERENCE'!$A$2:$P$399,4,FALSE)</f>
        <v>CURTIUS TRADING INC</v>
      </c>
      <c r="K47" s="42"/>
      <c r="L47" s="42">
        <v>20120027</v>
      </c>
      <c r="M47" s="41" t="s">
        <v>75</v>
      </c>
      <c r="N47" s="41"/>
      <c r="O47" s="47" t="s">
        <v>1964</v>
      </c>
      <c r="P47" s="45" t="s">
        <v>136</v>
      </c>
      <c r="Q47" s="49" t="s">
        <v>120</v>
      </c>
      <c r="R47" s="48">
        <f>36.8*2</f>
        <v>73.599999999999994</v>
      </c>
      <c r="S47" s="41" t="s">
        <v>28</v>
      </c>
      <c r="T47" s="43">
        <v>41245</v>
      </c>
      <c r="U47" s="42" t="s">
        <v>1965</v>
      </c>
      <c r="V47" s="21"/>
      <c r="W47" s="78"/>
      <c r="X47" s="22"/>
      <c r="Y47" s="22"/>
      <c r="Z47" s="74" t="str">
        <f>CONCATENATE(Table1[[#This Row],[P.R NUMBER]],"-",Table1[[#This Row],[SR NO]])</f>
        <v>20212302020-939</v>
      </c>
    </row>
    <row r="48" spans="1:26" x14ac:dyDescent="0.25">
      <c r="A48" s="73"/>
      <c r="B48" s="42">
        <v>939</v>
      </c>
      <c r="C48" s="43">
        <v>40941</v>
      </c>
      <c r="D48" s="44" t="s">
        <v>122</v>
      </c>
      <c r="E48" s="76" t="s">
        <v>90</v>
      </c>
      <c r="F48" s="42" t="s">
        <v>1</v>
      </c>
      <c r="G48" s="49" t="s">
        <v>75</v>
      </c>
      <c r="H48" s="45" t="s">
        <v>1966</v>
      </c>
      <c r="I48" s="83" t="s">
        <v>262</v>
      </c>
      <c r="J48" s="52" t="str">
        <f>VLOOKUP(I48,'CONTACT REFERENCE'!$A$2:$P$399,4,FALSE)</f>
        <v>CURTIUS TRADING INC</v>
      </c>
      <c r="K48" s="42"/>
      <c r="L48" s="42">
        <v>20120027</v>
      </c>
      <c r="M48" s="41" t="s">
        <v>75</v>
      </c>
      <c r="N48" s="41"/>
      <c r="O48" s="47" t="s">
        <v>1967</v>
      </c>
      <c r="P48" s="45" t="s">
        <v>128</v>
      </c>
      <c r="Q48" s="49" t="s">
        <v>120</v>
      </c>
      <c r="R48" s="48">
        <f>39.78*8</f>
        <v>318.24</v>
      </c>
      <c r="S48" s="41" t="s">
        <v>28</v>
      </c>
      <c r="T48" s="43">
        <v>41245</v>
      </c>
      <c r="U48" s="42" t="s">
        <v>1965</v>
      </c>
      <c r="V48" s="21"/>
      <c r="W48" s="78"/>
      <c r="X48" s="22"/>
      <c r="Y48" s="22"/>
      <c r="Z48" s="74" t="str">
        <f>CONCATENATE(Table1[[#This Row],[P.R NUMBER]],"-",Table1[[#This Row],[SR NO]])</f>
        <v>020212302020-939</v>
      </c>
    </row>
    <row r="49" spans="1:26" x14ac:dyDescent="0.25">
      <c r="A49" s="73"/>
      <c r="B49" s="42">
        <v>939</v>
      </c>
      <c r="C49" s="43">
        <v>40941</v>
      </c>
      <c r="D49" s="44" t="s">
        <v>122</v>
      </c>
      <c r="E49" s="76" t="s">
        <v>90</v>
      </c>
      <c r="F49" s="42" t="s">
        <v>1</v>
      </c>
      <c r="G49" s="49" t="s">
        <v>75</v>
      </c>
      <c r="H49" s="45" t="s">
        <v>1966</v>
      </c>
      <c r="I49" s="83" t="s">
        <v>262</v>
      </c>
      <c r="J49" s="52" t="str">
        <f>VLOOKUP(I49,'CONTACT REFERENCE'!$A$2:$P$399,4,FALSE)</f>
        <v>CURTIUS TRADING INC</v>
      </c>
      <c r="K49" s="42"/>
      <c r="L49" s="42">
        <v>20120027</v>
      </c>
      <c r="M49" s="41" t="s">
        <v>75</v>
      </c>
      <c r="N49" s="41"/>
      <c r="O49" s="47" t="s">
        <v>1968</v>
      </c>
      <c r="P49" s="45" t="s">
        <v>144</v>
      </c>
      <c r="Q49" s="49" t="s">
        <v>120</v>
      </c>
      <c r="R49" s="48">
        <f>2.45*12</f>
        <v>29.400000000000002</v>
      </c>
      <c r="S49" s="41" t="s">
        <v>28</v>
      </c>
      <c r="T49" s="43">
        <v>41245</v>
      </c>
      <c r="U49" s="42" t="s">
        <v>1969</v>
      </c>
      <c r="V49" s="21"/>
      <c r="W49" s="78"/>
      <c r="X49" s="22"/>
      <c r="Y49" s="22"/>
      <c r="Z49" s="74" t="str">
        <f>CONCATENATE(Table1[[#This Row],[P.R NUMBER]],"-",Table1[[#This Row],[SR NO]])</f>
        <v>020212302020-939</v>
      </c>
    </row>
    <row r="50" spans="1:26" x14ac:dyDescent="0.25">
      <c r="A50" s="73"/>
      <c r="B50" s="42">
        <v>939</v>
      </c>
      <c r="C50" s="43">
        <v>40941</v>
      </c>
      <c r="D50" s="44" t="s">
        <v>122</v>
      </c>
      <c r="E50" s="76" t="s">
        <v>90</v>
      </c>
      <c r="F50" s="42" t="s">
        <v>1</v>
      </c>
      <c r="G50" s="49" t="s">
        <v>75</v>
      </c>
      <c r="H50" s="45" t="s">
        <v>1966</v>
      </c>
      <c r="I50" s="83" t="s">
        <v>262</v>
      </c>
      <c r="J50" s="52" t="str">
        <f>VLOOKUP(I50,'CONTACT REFERENCE'!$A$2:$P$399,4,FALSE)</f>
        <v>CURTIUS TRADING INC</v>
      </c>
      <c r="K50" s="42"/>
      <c r="L50" s="42">
        <v>20120027</v>
      </c>
      <c r="M50" s="41" t="s">
        <v>75</v>
      </c>
      <c r="N50" s="41"/>
      <c r="O50" s="47" t="s">
        <v>1970</v>
      </c>
      <c r="P50" s="45" t="s">
        <v>144</v>
      </c>
      <c r="Q50" s="49" t="s">
        <v>120</v>
      </c>
      <c r="R50" s="48">
        <f>1.07*12</f>
        <v>12.84</v>
      </c>
      <c r="S50" s="41" t="s">
        <v>28</v>
      </c>
      <c r="T50" s="43">
        <v>41245</v>
      </c>
      <c r="U50" s="42" t="s">
        <v>1969</v>
      </c>
      <c r="V50" s="21"/>
      <c r="W50" s="78"/>
      <c r="X50" s="22"/>
      <c r="Y50" s="22"/>
      <c r="Z50" s="74" t="str">
        <f>CONCATENATE(Table1[[#This Row],[P.R NUMBER]],"-",Table1[[#This Row],[SR NO]])</f>
        <v>020212302020-939</v>
      </c>
    </row>
    <row r="51" spans="1:26" x14ac:dyDescent="0.25">
      <c r="A51" s="73"/>
      <c r="B51" s="42">
        <v>940</v>
      </c>
      <c r="C51" s="43">
        <v>40941</v>
      </c>
      <c r="D51" s="44" t="s">
        <v>122</v>
      </c>
      <c r="E51" s="76" t="s">
        <v>90</v>
      </c>
      <c r="F51" s="42" t="s">
        <v>1</v>
      </c>
      <c r="G51" s="49" t="s">
        <v>75</v>
      </c>
      <c r="H51" s="45"/>
      <c r="I51" s="83" t="s">
        <v>262</v>
      </c>
      <c r="J51" s="52" t="str">
        <f>VLOOKUP(I51,'CONTACT REFERENCE'!$A$2:$P$399,4,FALSE)</f>
        <v>CURTIUS TRADING INC</v>
      </c>
      <c r="K51" s="42"/>
      <c r="L51" s="42">
        <v>20120030</v>
      </c>
      <c r="M51" s="41" t="s">
        <v>75</v>
      </c>
      <c r="N51" s="41"/>
      <c r="O51" s="47" t="s">
        <v>1971</v>
      </c>
      <c r="P51" s="45" t="s">
        <v>172</v>
      </c>
      <c r="Q51" s="49" t="s">
        <v>120</v>
      </c>
      <c r="R51" s="48">
        <f>50*39</f>
        <v>1950</v>
      </c>
      <c r="S51" s="41" t="s">
        <v>28</v>
      </c>
      <c r="T51" s="42" t="s">
        <v>1972</v>
      </c>
      <c r="U51" s="42" t="s">
        <v>1973</v>
      </c>
      <c r="V51" s="21"/>
      <c r="W51" s="78"/>
      <c r="X51" s="22"/>
      <c r="Y51" s="22"/>
      <c r="Z51" s="74" t="str">
        <f>CONCATENATE(Table1[[#This Row],[P.R NUMBER]],"-",Table1[[#This Row],[SR NO]])</f>
        <v>-940</v>
      </c>
    </row>
    <row r="52" spans="1:26" x14ac:dyDescent="0.25">
      <c r="A52" s="73"/>
      <c r="B52" s="42">
        <v>941</v>
      </c>
      <c r="C52" s="43">
        <v>40941</v>
      </c>
      <c r="D52" s="44" t="s">
        <v>122</v>
      </c>
      <c r="E52" s="76" t="s">
        <v>91</v>
      </c>
      <c r="F52" s="42" t="s">
        <v>88</v>
      </c>
      <c r="G52" s="49" t="s">
        <v>83</v>
      </c>
      <c r="H52" s="45" t="s">
        <v>1974</v>
      </c>
      <c r="I52" s="83"/>
      <c r="J52" s="52" t="e">
        <f>VLOOKUP(I52,'CONTACT REFERENCE'!$A$2:$P$399,4,FALSE)</f>
        <v>#N/A</v>
      </c>
      <c r="K52" s="42"/>
      <c r="L52" s="42"/>
      <c r="M52" s="41"/>
      <c r="N52" s="41"/>
      <c r="O52" s="47" t="s">
        <v>1975</v>
      </c>
      <c r="P52" s="45" t="s">
        <v>130</v>
      </c>
      <c r="Q52" s="49" t="s">
        <v>120</v>
      </c>
      <c r="R52" s="48"/>
      <c r="S52" s="41"/>
      <c r="T52" s="42"/>
      <c r="U52" s="42" t="s">
        <v>1976</v>
      </c>
      <c r="V52" s="21"/>
      <c r="W52" s="78"/>
      <c r="X52" s="22"/>
      <c r="Y52" s="22"/>
      <c r="Z52" s="74" t="str">
        <f>CONCATENATE(Table1[[#This Row],[P.R NUMBER]],"-",Table1[[#This Row],[SR NO]])</f>
        <v>020212383060-941</v>
      </c>
    </row>
    <row r="53" spans="1:26" x14ac:dyDescent="0.25">
      <c r="A53" s="73"/>
      <c r="B53" s="42">
        <v>942</v>
      </c>
      <c r="C53" s="43">
        <v>41092</v>
      </c>
      <c r="D53" s="44" t="s">
        <v>118</v>
      </c>
      <c r="E53" s="76" t="s">
        <v>90</v>
      </c>
      <c r="F53" s="42" t="s">
        <v>1</v>
      </c>
      <c r="G53" s="49" t="s">
        <v>69</v>
      </c>
      <c r="H53" s="45" t="s">
        <v>1977</v>
      </c>
      <c r="I53" s="83" t="s">
        <v>538</v>
      </c>
      <c r="J53" s="52" t="str">
        <f>VLOOKUP(I53,'CONTACT REFERENCE'!$A$2:$P$399,4,FALSE)</f>
        <v>BOODAI TRADING COMPANY LLC</v>
      </c>
      <c r="K53" s="42"/>
      <c r="L53" s="42"/>
      <c r="M53" s="41" t="s">
        <v>156</v>
      </c>
      <c r="N53" s="41"/>
      <c r="O53" s="47" t="s">
        <v>1978</v>
      </c>
      <c r="P53" s="45" t="s">
        <v>124</v>
      </c>
      <c r="Q53" s="49" t="s">
        <v>208</v>
      </c>
      <c r="R53" s="48">
        <v>1350</v>
      </c>
      <c r="S53" s="41" t="s">
        <v>29</v>
      </c>
      <c r="T53" s="42"/>
      <c r="U53" s="42"/>
      <c r="V53" s="21"/>
      <c r="W53" s="78"/>
      <c r="X53" s="22"/>
      <c r="Y53" s="22"/>
      <c r="Z53" s="74" t="str">
        <f>CONCATENATE(Table1[[#This Row],[P.R NUMBER]],"-",Table1[[#This Row],[SR NO]])</f>
        <v>070212242020-942</v>
      </c>
    </row>
    <row r="54" spans="1:26" x14ac:dyDescent="0.25">
      <c r="A54" s="73"/>
      <c r="B54" s="42">
        <v>943</v>
      </c>
      <c r="C54" s="43">
        <v>41123</v>
      </c>
      <c r="D54" s="44" t="s">
        <v>118</v>
      </c>
      <c r="E54" s="76" t="s">
        <v>90</v>
      </c>
      <c r="F54" s="42" t="s">
        <v>1</v>
      </c>
      <c r="G54" s="49" t="s">
        <v>51</v>
      </c>
      <c r="H54" s="45" t="s">
        <v>1979</v>
      </c>
      <c r="I54" s="83" t="s">
        <v>460</v>
      </c>
      <c r="J54" s="52" t="str">
        <f>VLOOKUP(I54,'CONTACT REFERENCE'!$A$2:$P$399,4,FALSE)</f>
        <v>A-1 ENGINEERING</v>
      </c>
      <c r="K54" s="42">
        <v>5546</v>
      </c>
      <c r="L54" s="42">
        <v>8578</v>
      </c>
      <c r="M54" s="41" t="s">
        <v>51</v>
      </c>
      <c r="N54" s="41"/>
      <c r="O54" s="47" t="s">
        <v>1980</v>
      </c>
      <c r="P54" s="45" t="s">
        <v>124</v>
      </c>
      <c r="Q54" s="49" t="s">
        <v>120</v>
      </c>
      <c r="R54" s="48">
        <v>1200</v>
      </c>
      <c r="S54" s="41" t="s">
        <v>29</v>
      </c>
      <c r="T54" s="42" t="s">
        <v>1981</v>
      </c>
      <c r="U54" s="42"/>
      <c r="V54" s="21"/>
      <c r="W54" s="78"/>
      <c r="X54" s="22"/>
      <c r="Y54" s="22"/>
      <c r="Z54" s="74" t="str">
        <f>CONCATENATE(Table1[[#This Row],[P.R NUMBER]],"-",Table1[[#This Row],[SR NO]])</f>
        <v>080212042020-943</v>
      </c>
    </row>
    <row r="55" spans="1:26" ht="18" customHeight="1" x14ac:dyDescent="0.25">
      <c r="A55" s="73"/>
      <c r="B55" s="42">
        <v>944</v>
      </c>
      <c r="C55" s="43">
        <v>41154</v>
      </c>
      <c r="D55" s="44" t="s">
        <v>122</v>
      </c>
      <c r="E55" s="76" t="s">
        <v>90</v>
      </c>
      <c r="F55" s="42" t="s">
        <v>1</v>
      </c>
      <c r="G55" s="49" t="s">
        <v>1866</v>
      </c>
      <c r="H55" s="45" t="s">
        <v>1982</v>
      </c>
      <c r="I55" s="83" t="s">
        <v>1689</v>
      </c>
      <c r="J55" s="52" t="str">
        <f>VLOOKUP(I55,'CONTACT REFERENCE'!$A$2:$P$399,4,FALSE)</f>
        <v>DROPCO MULTILUBE SYSTEM PVT LTD</v>
      </c>
      <c r="K55" s="42" t="s">
        <v>165</v>
      </c>
      <c r="L55" s="42"/>
      <c r="M55" s="41">
        <v>135</v>
      </c>
      <c r="N55" s="41"/>
      <c r="O55" s="19" t="s">
        <v>1983</v>
      </c>
      <c r="P55" s="45" t="s">
        <v>124</v>
      </c>
      <c r="Q55" s="49" t="s">
        <v>120</v>
      </c>
      <c r="R55" s="48">
        <v>145</v>
      </c>
      <c r="S55" s="41" t="s">
        <v>28</v>
      </c>
      <c r="T55" s="42" t="s">
        <v>1984</v>
      </c>
      <c r="U55" s="42" t="s">
        <v>1985</v>
      </c>
      <c r="V55" s="21"/>
      <c r="W55" s="78"/>
      <c r="X55" s="22"/>
      <c r="Y55" s="22"/>
      <c r="Z55" s="74" t="str">
        <f>CONCATENATE(Table1[[#This Row],[P.R NUMBER]],"-",Table1[[#This Row],[SR NO]])</f>
        <v>090212172020-944</v>
      </c>
    </row>
    <row r="56" spans="1:26" x14ac:dyDescent="0.25">
      <c r="A56" s="73"/>
      <c r="B56" s="42">
        <v>945</v>
      </c>
      <c r="C56" s="43">
        <v>41184</v>
      </c>
      <c r="D56" s="44" t="s">
        <v>122</v>
      </c>
      <c r="E56" s="76" t="s">
        <v>90</v>
      </c>
      <c r="F56" s="42" t="s">
        <v>1</v>
      </c>
      <c r="G56" s="49" t="s">
        <v>59</v>
      </c>
      <c r="H56" s="45" t="s">
        <v>1986</v>
      </c>
      <c r="I56" s="83" t="s">
        <v>292</v>
      </c>
      <c r="J56" s="52" t="str">
        <f>VLOOKUP(I56,'CONTACT REFERENCE'!$A$2:$P$399,4,FALSE)</f>
        <v>WINDY CITY CUTTING DIE</v>
      </c>
      <c r="K56" s="42"/>
      <c r="L56" s="42">
        <v>134299</v>
      </c>
      <c r="M56" s="41" t="s">
        <v>157</v>
      </c>
      <c r="N56" s="41" t="s">
        <v>209</v>
      </c>
      <c r="O56" s="47" t="s">
        <v>170</v>
      </c>
      <c r="P56" s="45" t="s">
        <v>124</v>
      </c>
      <c r="Q56" s="49" t="s">
        <v>120</v>
      </c>
      <c r="R56" s="48">
        <v>263.2</v>
      </c>
      <c r="S56" s="41" t="s">
        <v>28</v>
      </c>
      <c r="T56" s="43">
        <v>41123</v>
      </c>
      <c r="U56" s="42" t="s">
        <v>1987</v>
      </c>
      <c r="V56" s="21" t="s">
        <v>1988</v>
      </c>
      <c r="W56" s="78"/>
      <c r="X56" s="22"/>
      <c r="Y56" s="22"/>
      <c r="Z56" s="74" t="str">
        <f>CONCATENATE(Table1[[#This Row],[P.R NUMBER]],"-",Table1[[#This Row],[SR NO]])</f>
        <v>100212132020-945</v>
      </c>
    </row>
    <row r="57" spans="1:26" x14ac:dyDescent="0.25">
      <c r="A57" s="73"/>
      <c r="B57" s="42">
        <v>945</v>
      </c>
      <c r="C57" s="43">
        <v>41184</v>
      </c>
      <c r="D57" s="44" t="s">
        <v>122</v>
      </c>
      <c r="E57" s="76" t="s">
        <v>90</v>
      </c>
      <c r="F57" s="42" t="s">
        <v>1</v>
      </c>
      <c r="G57" s="49" t="s">
        <v>59</v>
      </c>
      <c r="H57" s="45" t="s">
        <v>1986</v>
      </c>
      <c r="I57" s="83" t="s">
        <v>292</v>
      </c>
      <c r="J57" s="52" t="str">
        <f>VLOOKUP(I57,'CONTACT REFERENCE'!$A$2:$P$399,4,FALSE)</f>
        <v>WINDY CITY CUTTING DIE</v>
      </c>
      <c r="K57" s="42"/>
      <c r="L57" s="42">
        <v>134299</v>
      </c>
      <c r="M57" s="41" t="s">
        <v>157</v>
      </c>
      <c r="N57" s="41" t="s">
        <v>1989</v>
      </c>
      <c r="O57" s="47" t="s">
        <v>170</v>
      </c>
      <c r="P57" s="45" t="s">
        <v>124</v>
      </c>
      <c r="Q57" s="49" t="s">
        <v>120</v>
      </c>
      <c r="R57" s="48">
        <v>99</v>
      </c>
      <c r="S57" s="41" t="s">
        <v>28</v>
      </c>
      <c r="T57" s="43">
        <v>41123</v>
      </c>
      <c r="U57" s="42" t="s">
        <v>1987</v>
      </c>
      <c r="V57" s="21" t="s">
        <v>1988</v>
      </c>
      <c r="W57" s="78"/>
      <c r="X57" s="22"/>
      <c r="Y57" s="22"/>
      <c r="Z57" s="74" t="str">
        <f>CONCATENATE(Table1[[#This Row],[P.R NUMBER]],"-",Table1[[#This Row],[SR NO]])</f>
        <v>100212132020-945</v>
      </c>
    </row>
    <row r="58" spans="1:26" x14ac:dyDescent="0.25">
      <c r="A58" s="73"/>
      <c r="B58" s="42">
        <v>945</v>
      </c>
      <c r="C58" s="43">
        <v>41184</v>
      </c>
      <c r="D58" s="44" t="s">
        <v>122</v>
      </c>
      <c r="E58" s="76" t="s">
        <v>90</v>
      </c>
      <c r="F58" s="42" t="s">
        <v>1</v>
      </c>
      <c r="G58" s="49" t="s">
        <v>59</v>
      </c>
      <c r="H58" s="45" t="s">
        <v>1986</v>
      </c>
      <c r="I58" s="83" t="s">
        <v>292</v>
      </c>
      <c r="J58" s="52" t="str">
        <f>VLOOKUP(I58,'CONTACT REFERENCE'!$A$2:$P$399,4,FALSE)</f>
        <v>WINDY CITY CUTTING DIE</v>
      </c>
      <c r="K58" s="42"/>
      <c r="L58" s="42">
        <v>134299</v>
      </c>
      <c r="M58" s="41" t="s">
        <v>157</v>
      </c>
      <c r="N58" s="41" t="s">
        <v>158</v>
      </c>
      <c r="O58" s="47" t="s">
        <v>170</v>
      </c>
      <c r="P58" s="45" t="s">
        <v>124</v>
      </c>
      <c r="Q58" s="49" t="s">
        <v>120</v>
      </c>
      <c r="R58" s="48">
        <v>241</v>
      </c>
      <c r="S58" s="41" t="s">
        <v>28</v>
      </c>
      <c r="T58" s="43">
        <v>41123</v>
      </c>
      <c r="U58" s="42" t="s">
        <v>1987</v>
      </c>
      <c r="V58" s="21" t="s">
        <v>1988</v>
      </c>
      <c r="W58" s="78"/>
      <c r="X58" s="22"/>
      <c r="Y58" s="22"/>
      <c r="Z58" s="74" t="str">
        <f>CONCATENATE(Table1[[#This Row],[P.R NUMBER]],"-",Table1[[#This Row],[SR NO]])</f>
        <v>100212132020-945</v>
      </c>
    </row>
    <row r="59" spans="1:26" x14ac:dyDescent="0.25">
      <c r="A59" s="73"/>
      <c r="B59" s="42">
        <v>945</v>
      </c>
      <c r="C59" s="43">
        <v>41184</v>
      </c>
      <c r="D59" s="44" t="s">
        <v>122</v>
      </c>
      <c r="E59" s="76" t="s">
        <v>90</v>
      </c>
      <c r="F59" s="42" t="s">
        <v>1</v>
      </c>
      <c r="G59" s="49" t="s">
        <v>59</v>
      </c>
      <c r="H59" s="45" t="s">
        <v>1986</v>
      </c>
      <c r="I59" s="83" t="s">
        <v>292</v>
      </c>
      <c r="J59" s="52" t="str">
        <f>VLOOKUP(I59,'CONTACT REFERENCE'!$A$2:$P$399,4,FALSE)</f>
        <v>WINDY CITY CUTTING DIE</v>
      </c>
      <c r="K59" s="42"/>
      <c r="L59" s="42">
        <v>134299</v>
      </c>
      <c r="M59" s="41" t="s">
        <v>157</v>
      </c>
      <c r="N59" s="41" t="s">
        <v>1990</v>
      </c>
      <c r="O59" s="47" t="s">
        <v>170</v>
      </c>
      <c r="P59" s="45" t="s">
        <v>124</v>
      </c>
      <c r="Q59" s="49" t="s">
        <v>120</v>
      </c>
      <c r="R59" s="48">
        <v>189</v>
      </c>
      <c r="S59" s="41" t="s">
        <v>28</v>
      </c>
      <c r="T59" s="43">
        <v>41123</v>
      </c>
      <c r="U59" s="42" t="s">
        <v>1987</v>
      </c>
      <c r="V59" s="21" t="s">
        <v>1988</v>
      </c>
      <c r="W59" s="78"/>
      <c r="X59" s="22"/>
      <c r="Y59" s="22"/>
      <c r="Z59" s="74" t="str">
        <f>CONCATENATE(Table1[[#This Row],[P.R NUMBER]],"-",Table1[[#This Row],[SR NO]])</f>
        <v>100212132020-945</v>
      </c>
    </row>
    <row r="60" spans="1:26" x14ac:dyDescent="0.25">
      <c r="A60" s="73"/>
      <c r="B60" s="42">
        <v>945</v>
      </c>
      <c r="C60" s="43">
        <v>41184</v>
      </c>
      <c r="D60" s="44" t="s">
        <v>122</v>
      </c>
      <c r="E60" s="76" t="s">
        <v>90</v>
      </c>
      <c r="F60" s="42" t="s">
        <v>1</v>
      </c>
      <c r="G60" s="49" t="s">
        <v>59</v>
      </c>
      <c r="H60" s="45" t="s">
        <v>1986</v>
      </c>
      <c r="I60" s="83" t="s">
        <v>292</v>
      </c>
      <c r="J60" s="52" t="str">
        <f>VLOOKUP(I60,'CONTACT REFERENCE'!$A$2:$P$399,4,FALSE)</f>
        <v>WINDY CITY CUTTING DIE</v>
      </c>
      <c r="K60" s="42"/>
      <c r="L60" s="42">
        <v>134299</v>
      </c>
      <c r="M60" s="41" t="s">
        <v>157</v>
      </c>
      <c r="N60" s="41" t="s">
        <v>197</v>
      </c>
      <c r="O60" s="47" t="s">
        <v>170</v>
      </c>
      <c r="P60" s="45" t="s">
        <v>124</v>
      </c>
      <c r="Q60" s="49" t="s">
        <v>120</v>
      </c>
      <c r="R60" s="48">
        <v>146</v>
      </c>
      <c r="S60" s="41" t="s">
        <v>28</v>
      </c>
      <c r="T60" s="43">
        <v>41123</v>
      </c>
      <c r="U60" s="42" t="s">
        <v>1987</v>
      </c>
      <c r="V60" s="21" t="s">
        <v>1988</v>
      </c>
      <c r="W60" s="78"/>
      <c r="X60" s="22"/>
      <c r="Y60" s="22"/>
      <c r="Z60" s="74" t="str">
        <f>CONCATENATE(Table1[[#This Row],[P.R NUMBER]],"-",Table1[[#This Row],[SR NO]])</f>
        <v>100212132020-945</v>
      </c>
    </row>
    <row r="61" spans="1:26" x14ac:dyDescent="0.25">
      <c r="A61" s="73"/>
      <c r="B61" s="42">
        <v>945</v>
      </c>
      <c r="C61" s="43">
        <v>41184</v>
      </c>
      <c r="D61" s="44" t="s">
        <v>122</v>
      </c>
      <c r="E61" s="76" t="s">
        <v>90</v>
      </c>
      <c r="F61" s="42" t="s">
        <v>1</v>
      </c>
      <c r="G61" s="49" t="s">
        <v>59</v>
      </c>
      <c r="H61" s="45" t="s">
        <v>1986</v>
      </c>
      <c r="I61" s="83" t="s">
        <v>292</v>
      </c>
      <c r="J61" s="52" t="str">
        <f>VLOOKUP(I61,'CONTACT REFERENCE'!$A$2:$P$399,4,FALSE)</f>
        <v>WINDY CITY CUTTING DIE</v>
      </c>
      <c r="K61" s="42"/>
      <c r="L61" s="42">
        <v>134299</v>
      </c>
      <c r="M61" s="41" t="s">
        <v>157</v>
      </c>
      <c r="N61" s="41" t="s">
        <v>194</v>
      </c>
      <c r="O61" s="47" t="s">
        <v>170</v>
      </c>
      <c r="P61" s="45" t="s">
        <v>124</v>
      </c>
      <c r="Q61" s="49" t="s">
        <v>120</v>
      </c>
      <c r="R61" s="48">
        <v>112</v>
      </c>
      <c r="S61" s="41" t="s">
        <v>28</v>
      </c>
      <c r="T61" s="43">
        <v>41123</v>
      </c>
      <c r="U61" s="42" t="s">
        <v>1987</v>
      </c>
      <c r="V61" s="21" t="s">
        <v>1988</v>
      </c>
      <c r="W61" s="78"/>
      <c r="X61" s="22"/>
      <c r="Y61" s="22"/>
      <c r="Z61" s="74" t="str">
        <f>CONCATENATE(Table1[[#This Row],[P.R NUMBER]],"-",Table1[[#This Row],[SR NO]])</f>
        <v>100212132020-945</v>
      </c>
    </row>
    <row r="62" spans="1:26" x14ac:dyDescent="0.25">
      <c r="A62" s="73"/>
      <c r="B62" s="42">
        <v>945</v>
      </c>
      <c r="C62" s="43">
        <v>41184</v>
      </c>
      <c r="D62" s="44" t="s">
        <v>122</v>
      </c>
      <c r="E62" s="76" t="s">
        <v>90</v>
      </c>
      <c r="F62" s="42" t="s">
        <v>1</v>
      </c>
      <c r="G62" s="49" t="s">
        <v>59</v>
      </c>
      <c r="H62" s="45" t="s">
        <v>1986</v>
      </c>
      <c r="I62" s="83" t="s">
        <v>292</v>
      </c>
      <c r="J62" s="52" t="str">
        <f>VLOOKUP(I62,'CONTACT REFERENCE'!$A$2:$P$399,4,FALSE)</f>
        <v>WINDY CITY CUTTING DIE</v>
      </c>
      <c r="K62" s="42"/>
      <c r="L62" s="42">
        <v>134299</v>
      </c>
      <c r="M62" s="41" t="s">
        <v>157</v>
      </c>
      <c r="N62" s="41"/>
      <c r="O62" s="47" t="s">
        <v>175</v>
      </c>
      <c r="P62" s="45" t="s">
        <v>124</v>
      </c>
      <c r="Q62" s="49" t="s">
        <v>120</v>
      </c>
      <c r="R62" s="48">
        <v>35</v>
      </c>
      <c r="S62" s="41" t="s">
        <v>28</v>
      </c>
      <c r="T62" s="43">
        <v>41123</v>
      </c>
      <c r="U62" s="42" t="s">
        <v>1987</v>
      </c>
      <c r="V62" s="21" t="s">
        <v>1988</v>
      </c>
      <c r="W62" s="78"/>
      <c r="X62" s="22"/>
      <c r="Y62" s="22"/>
      <c r="Z62" s="74" t="str">
        <f>CONCATENATE(Table1[[#This Row],[P.R NUMBER]],"-",Table1[[#This Row],[SR NO]])</f>
        <v>100212132020-945</v>
      </c>
    </row>
    <row r="63" spans="1:26" x14ac:dyDescent="0.25">
      <c r="A63" s="73"/>
      <c r="B63" s="42">
        <v>946</v>
      </c>
      <c r="C63" s="43">
        <v>41184</v>
      </c>
      <c r="D63" s="44" t="s">
        <v>122</v>
      </c>
      <c r="E63" s="76" t="s">
        <v>89</v>
      </c>
      <c r="F63" s="42" t="s">
        <v>87</v>
      </c>
      <c r="G63" s="49" t="s">
        <v>60</v>
      </c>
      <c r="H63" s="45" t="s">
        <v>1991</v>
      </c>
      <c r="I63" s="83" t="s">
        <v>292</v>
      </c>
      <c r="J63" s="52" t="str">
        <f>VLOOKUP(I63,'CONTACT REFERENCE'!$A$2:$P$399,4,FALSE)</f>
        <v>WINDY CITY CUTTING DIE</v>
      </c>
      <c r="K63" s="42"/>
      <c r="L63" s="42">
        <v>134300</v>
      </c>
      <c r="M63" s="41" t="s">
        <v>157</v>
      </c>
      <c r="N63" s="41" t="s">
        <v>1992</v>
      </c>
      <c r="O63" s="47" t="s">
        <v>192</v>
      </c>
      <c r="P63" s="45" t="s">
        <v>124</v>
      </c>
      <c r="Q63" s="49" t="s">
        <v>120</v>
      </c>
      <c r="R63" s="48">
        <v>940</v>
      </c>
      <c r="S63" s="41" t="s">
        <v>28</v>
      </c>
      <c r="T63" s="43">
        <v>41184</v>
      </c>
      <c r="U63" s="42" t="s">
        <v>1993</v>
      </c>
      <c r="V63" s="21"/>
      <c r="W63" s="78"/>
      <c r="X63" s="22"/>
      <c r="Y63" s="22"/>
      <c r="Z63" s="74" t="str">
        <f>CONCATENATE(Table1[[#This Row],[P.R NUMBER]],"-",Table1[[#This Row],[SR NO]])</f>
        <v>100212141050-946</v>
      </c>
    </row>
    <row r="64" spans="1:26" x14ac:dyDescent="0.25">
      <c r="A64" s="73"/>
      <c r="B64" s="42">
        <v>946</v>
      </c>
      <c r="C64" s="43">
        <v>41184</v>
      </c>
      <c r="D64" s="44" t="s">
        <v>122</v>
      </c>
      <c r="E64" s="76" t="s">
        <v>89</v>
      </c>
      <c r="F64" s="42" t="s">
        <v>87</v>
      </c>
      <c r="G64" s="49" t="s">
        <v>60</v>
      </c>
      <c r="H64" s="45" t="s">
        <v>1991</v>
      </c>
      <c r="I64" s="83" t="s">
        <v>292</v>
      </c>
      <c r="J64" s="52" t="str">
        <f>VLOOKUP(I64,'CONTACT REFERENCE'!$A$2:$P$399,4,FALSE)</f>
        <v>WINDY CITY CUTTING DIE</v>
      </c>
      <c r="K64" s="42"/>
      <c r="L64" s="42">
        <v>134300</v>
      </c>
      <c r="M64" s="41" t="s">
        <v>157</v>
      </c>
      <c r="N64" s="41" t="s">
        <v>155</v>
      </c>
      <c r="O64" s="47" t="s">
        <v>192</v>
      </c>
      <c r="P64" s="45" t="s">
        <v>124</v>
      </c>
      <c r="Q64" s="49" t="s">
        <v>120</v>
      </c>
      <c r="R64" s="48">
        <v>1084</v>
      </c>
      <c r="S64" s="41" t="s">
        <v>28</v>
      </c>
      <c r="T64" s="43">
        <v>41184</v>
      </c>
      <c r="U64" s="42" t="s">
        <v>1993</v>
      </c>
      <c r="V64" s="21"/>
      <c r="W64" s="78"/>
      <c r="X64" s="22"/>
      <c r="Y64" s="22"/>
      <c r="Z64" s="74" t="str">
        <f>CONCATENATE(Table1[[#This Row],[P.R NUMBER]],"-",Table1[[#This Row],[SR NO]])</f>
        <v>100212141050-946</v>
      </c>
    </row>
    <row r="65" spans="1:26" x14ac:dyDescent="0.25">
      <c r="A65" s="73"/>
      <c r="B65" s="42">
        <v>946</v>
      </c>
      <c r="C65" s="43">
        <v>41184</v>
      </c>
      <c r="D65" s="44" t="s">
        <v>122</v>
      </c>
      <c r="E65" s="76" t="s">
        <v>89</v>
      </c>
      <c r="F65" s="42" t="s">
        <v>87</v>
      </c>
      <c r="G65" s="49" t="s">
        <v>60</v>
      </c>
      <c r="H65" s="45" t="s">
        <v>1991</v>
      </c>
      <c r="I65" s="83" t="s">
        <v>292</v>
      </c>
      <c r="J65" s="52" t="str">
        <f>VLOOKUP(I65,'CONTACT REFERENCE'!$A$2:$P$399,4,FALSE)</f>
        <v>WINDY CITY CUTTING DIE</v>
      </c>
      <c r="K65" s="42"/>
      <c r="L65" s="42">
        <v>134300</v>
      </c>
      <c r="M65" s="41" t="s">
        <v>157</v>
      </c>
      <c r="N65" s="41"/>
      <c r="O65" s="47" t="s">
        <v>175</v>
      </c>
      <c r="P65" s="45" t="s">
        <v>124</v>
      </c>
      <c r="Q65" s="49" t="s">
        <v>120</v>
      </c>
      <c r="R65" s="48">
        <v>35</v>
      </c>
      <c r="S65" s="41" t="s">
        <v>28</v>
      </c>
      <c r="T65" s="43">
        <v>41184</v>
      </c>
      <c r="U65" s="42" t="s">
        <v>1993</v>
      </c>
      <c r="V65" s="21"/>
      <c r="W65" s="78"/>
      <c r="X65" s="22"/>
      <c r="Y65" s="22"/>
      <c r="Z65" s="74" t="str">
        <f>CONCATENATE(Table1[[#This Row],[P.R NUMBER]],"-",Table1[[#This Row],[SR NO]])</f>
        <v>100212141050-946</v>
      </c>
    </row>
    <row r="66" spans="1:26" x14ac:dyDescent="0.25">
      <c r="A66" s="73"/>
      <c r="B66" s="42">
        <v>947</v>
      </c>
      <c r="C66" s="43">
        <v>41245</v>
      </c>
      <c r="D66" s="44" t="s">
        <v>118</v>
      </c>
      <c r="E66" s="76" t="s">
        <v>90</v>
      </c>
      <c r="F66" s="42" t="s">
        <v>1</v>
      </c>
      <c r="G66" s="49" t="s">
        <v>1866</v>
      </c>
      <c r="H66" s="45" t="s">
        <v>1994</v>
      </c>
      <c r="I66" s="83" t="s">
        <v>119</v>
      </c>
      <c r="J66" s="52" t="str">
        <f>VLOOKUP(I66,'CONTACT REFERENCE'!$A$2:$P$399,4,FALSE)</f>
        <v>AL DOBOWI TYRE COMPANY LLC</v>
      </c>
      <c r="K66" s="42" t="s">
        <v>1995</v>
      </c>
      <c r="L66" s="42">
        <v>317789</v>
      </c>
      <c r="M66" s="41">
        <v>135</v>
      </c>
      <c r="N66" s="41"/>
      <c r="O66" s="47" t="s">
        <v>1996</v>
      </c>
      <c r="P66" s="45" t="s">
        <v>128</v>
      </c>
      <c r="Q66" s="49" t="s">
        <v>120</v>
      </c>
      <c r="R66" s="48">
        <v>600</v>
      </c>
      <c r="S66" s="41" t="s">
        <v>29</v>
      </c>
      <c r="T66" s="42" t="s">
        <v>1997</v>
      </c>
      <c r="U66" s="42"/>
      <c r="V66" s="21"/>
      <c r="W66" s="78"/>
      <c r="X66" s="22"/>
      <c r="Y66" s="22"/>
      <c r="Z66" s="74" t="str">
        <f>CONCATENATE(Table1[[#This Row],[P.R NUMBER]],"-",Table1[[#This Row],[SR NO]])</f>
        <v>120212172020-947</v>
      </c>
    </row>
    <row r="67" spans="1:26" x14ac:dyDescent="0.25">
      <c r="A67" s="73"/>
      <c r="B67" s="42">
        <v>948</v>
      </c>
      <c r="C67" s="43">
        <v>41245</v>
      </c>
      <c r="D67" s="44" t="s">
        <v>118</v>
      </c>
      <c r="E67" s="76" t="s">
        <v>90</v>
      </c>
      <c r="F67" s="42" t="s">
        <v>1</v>
      </c>
      <c r="G67" s="49" t="s">
        <v>51</v>
      </c>
      <c r="H67" s="45" t="s">
        <v>1998</v>
      </c>
      <c r="I67" s="83" t="s">
        <v>460</v>
      </c>
      <c r="J67" s="52" t="str">
        <f>VLOOKUP(I67,'CONTACT REFERENCE'!$A$2:$P$399,4,FALSE)</f>
        <v>A-1 ENGINEERING</v>
      </c>
      <c r="K67" s="42">
        <v>5566</v>
      </c>
      <c r="L67" s="42">
        <v>8579</v>
      </c>
      <c r="M67" s="41" t="s">
        <v>51</v>
      </c>
      <c r="N67" s="41"/>
      <c r="O67" s="47" t="s">
        <v>1999</v>
      </c>
      <c r="P67" s="45" t="s">
        <v>144</v>
      </c>
      <c r="Q67" s="49" t="s">
        <v>120</v>
      </c>
      <c r="R67" s="48">
        <v>1020</v>
      </c>
      <c r="S67" s="41" t="s">
        <v>29</v>
      </c>
      <c r="T67" s="42" t="s">
        <v>1981</v>
      </c>
      <c r="U67" s="42"/>
      <c r="V67" s="21"/>
      <c r="W67" s="78"/>
      <c r="X67" s="22"/>
      <c r="Y67" s="22"/>
      <c r="Z67" s="74" t="str">
        <f>CONCATENATE(Table1[[#This Row],[P.R NUMBER]],"-",Table1[[#This Row],[SR NO]])</f>
        <v>120212042020-948</v>
      </c>
    </row>
    <row r="68" spans="1:26" x14ac:dyDescent="0.25">
      <c r="A68" s="73"/>
      <c r="B68" s="42">
        <v>949</v>
      </c>
      <c r="C68" s="43">
        <v>41245</v>
      </c>
      <c r="D68" s="44" t="s">
        <v>118</v>
      </c>
      <c r="E68" s="76" t="s">
        <v>90</v>
      </c>
      <c r="F68" s="42" t="s">
        <v>1</v>
      </c>
      <c r="G68" s="49" t="s">
        <v>70</v>
      </c>
      <c r="H68" s="45" t="s">
        <v>2000</v>
      </c>
      <c r="I68" s="83" t="s">
        <v>460</v>
      </c>
      <c r="J68" s="52" t="str">
        <f>VLOOKUP(I68,'CONTACT REFERENCE'!$A$2:$P$399,4,FALSE)</f>
        <v>A-1 ENGINEERING</v>
      </c>
      <c r="K68" s="42">
        <v>5558</v>
      </c>
      <c r="L68" s="42"/>
      <c r="M68" s="41" t="s">
        <v>51</v>
      </c>
      <c r="N68" s="41"/>
      <c r="O68" s="47" t="s">
        <v>2001</v>
      </c>
      <c r="P68" s="45" t="s">
        <v>136</v>
      </c>
      <c r="Q68" s="49" t="s">
        <v>120</v>
      </c>
      <c r="R68" s="48">
        <v>1200</v>
      </c>
      <c r="S68" s="41" t="s">
        <v>29</v>
      </c>
      <c r="T68" s="42" t="s">
        <v>1941</v>
      </c>
      <c r="U68" s="42"/>
      <c r="V68" s="21"/>
      <c r="W68" s="78"/>
      <c r="X68" s="22"/>
      <c r="Y68" s="22"/>
      <c r="Z68" s="74" t="str">
        <f>CONCATENATE(Table1[[#This Row],[P.R NUMBER]],"-",Table1[[#This Row],[SR NO]])</f>
        <v>120212252020-949</v>
      </c>
    </row>
    <row r="69" spans="1:26" x14ac:dyDescent="0.25">
      <c r="A69" s="73"/>
      <c r="B69" s="42">
        <v>950</v>
      </c>
      <c r="C69" s="43">
        <v>41245</v>
      </c>
      <c r="D69" s="44" t="s">
        <v>118</v>
      </c>
      <c r="E69" s="76" t="s">
        <v>90</v>
      </c>
      <c r="F69" s="42" t="s">
        <v>1</v>
      </c>
      <c r="G69" s="49" t="s">
        <v>48</v>
      </c>
      <c r="H69" s="45" t="s">
        <v>2002</v>
      </c>
      <c r="I69" s="83" t="s">
        <v>460</v>
      </c>
      <c r="J69" s="52" t="str">
        <f>VLOOKUP(I69,'CONTACT REFERENCE'!$A$2:$P$399,4,FALSE)</f>
        <v>A-1 ENGINEERING</v>
      </c>
      <c r="K69" s="42">
        <v>5570</v>
      </c>
      <c r="L69" s="42"/>
      <c r="M69" s="41" t="s">
        <v>48</v>
      </c>
      <c r="N69" s="41"/>
      <c r="O69" s="47" t="s">
        <v>2003</v>
      </c>
      <c r="P69" s="45" t="s">
        <v>124</v>
      </c>
      <c r="Q69" s="49" t="s">
        <v>120</v>
      </c>
      <c r="R69" s="48">
        <v>400</v>
      </c>
      <c r="S69" s="41" t="s">
        <v>29</v>
      </c>
      <c r="T69" s="42" t="s">
        <v>1941</v>
      </c>
      <c r="U69" s="42"/>
      <c r="V69" s="21"/>
      <c r="W69" s="78"/>
      <c r="X69" s="22"/>
      <c r="Y69" s="22"/>
      <c r="Z69" s="74" t="str">
        <f>CONCATENATE(Table1[[#This Row],[P.R NUMBER]],"-",Table1[[#This Row],[SR NO]])</f>
        <v>120212012020-950</v>
      </c>
    </row>
    <row r="70" spans="1:26" x14ac:dyDescent="0.25">
      <c r="A70" s="73"/>
      <c r="B70" s="42">
        <v>951</v>
      </c>
      <c r="C70" s="43">
        <v>41245</v>
      </c>
      <c r="D70" s="44" t="s">
        <v>118</v>
      </c>
      <c r="E70" s="76" t="s">
        <v>90</v>
      </c>
      <c r="F70" s="42" t="s">
        <v>1</v>
      </c>
      <c r="G70" s="49" t="s">
        <v>51</v>
      </c>
      <c r="H70" s="45" t="s">
        <v>1998</v>
      </c>
      <c r="I70" s="83" t="s">
        <v>460</v>
      </c>
      <c r="J70" s="52" t="str">
        <f>VLOOKUP(I70,'CONTACT REFERENCE'!$A$2:$P$399,4,FALSE)</f>
        <v>A-1 ENGINEERING</v>
      </c>
      <c r="K70" s="42">
        <v>5569</v>
      </c>
      <c r="L70" s="42"/>
      <c r="M70" s="41" t="s">
        <v>51</v>
      </c>
      <c r="N70" s="41"/>
      <c r="O70" s="47" t="s">
        <v>2004</v>
      </c>
      <c r="P70" s="45" t="s">
        <v>124</v>
      </c>
      <c r="Q70" s="49" t="s">
        <v>120</v>
      </c>
      <c r="R70" s="48">
        <v>1100</v>
      </c>
      <c r="S70" s="41" t="s">
        <v>29</v>
      </c>
      <c r="T70" s="42" t="s">
        <v>1941</v>
      </c>
      <c r="U70" s="42"/>
      <c r="V70" s="21"/>
      <c r="W70" s="78"/>
      <c r="X70" s="22"/>
      <c r="Y70" s="22"/>
      <c r="Z70" s="74" t="str">
        <f>CONCATENATE(Table1[[#This Row],[P.R NUMBER]],"-",Table1[[#This Row],[SR NO]])</f>
        <v>120212042020-951</v>
      </c>
    </row>
    <row r="71" spans="1:26" x14ac:dyDescent="0.25">
      <c r="A71" s="73"/>
      <c r="B71" s="42">
        <v>952</v>
      </c>
      <c r="C71" s="43">
        <v>41245</v>
      </c>
      <c r="D71" s="44" t="s">
        <v>122</v>
      </c>
      <c r="E71" s="76" t="s">
        <v>89</v>
      </c>
      <c r="F71" s="42" t="s">
        <v>87</v>
      </c>
      <c r="G71" s="49" t="s">
        <v>61</v>
      </c>
      <c r="H71" s="45" t="s">
        <v>2005</v>
      </c>
      <c r="I71" s="83" t="s">
        <v>292</v>
      </c>
      <c r="J71" s="52" t="str">
        <f>VLOOKUP(I71,'CONTACT REFERENCE'!$A$2:$P$399,4,FALSE)</f>
        <v>WINDY CITY CUTTING DIE</v>
      </c>
      <c r="K71" s="42"/>
      <c r="L71" s="42">
        <v>134302</v>
      </c>
      <c r="M71" s="41" t="s">
        <v>157</v>
      </c>
      <c r="N71" s="41"/>
      <c r="O71" s="47" t="s">
        <v>2006</v>
      </c>
      <c r="P71" s="45" t="s">
        <v>124</v>
      </c>
      <c r="Q71" s="49" t="s">
        <v>120</v>
      </c>
      <c r="R71" s="48">
        <v>917</v>
      </c>
      <c r="S71" s="41" t="s">
        <v>28</v>
      </c>
      <c r="T71" s="43">
        <v>41184</v>
      </c>
      <c r="U71" s="42" t="s">
        <v>2007</v>
      </c>
      <c r="V71" s="21"/>
      <c r="W71" s="78"/>
      <c r="X71" s="22"/>
      <c r="Y71" s="22"/>
      <c r="Z71" s="74" t="str">
        <f>CONCATENATE(Table1[[#This Row],[P.R NUMBER]],"-",Table1[[#This Row],[SR NO]])</f>
        <v>120212151050-952</v>
      </c>
    </row>
    <row r="72" spans="1:26" x14ac:dyDescent="0.25">
      <c r="A72" s="73"/>
      <c r="B72" s="42">
        <v>952</v>
      </c>
      <c r="C72" s="43">
        <v>41245</v>
      </c>
      <c r="D72" s="44" t="s">
        <v>122</v>
      </c>
      <c r="E72" s="76" t="s">
        <v>90</v>
      </c>
      <c r="F72" s="42" t="s">
        <v>86</v>
      </c>
      <c r="G72" s="49" t="s">
        <v>74</v>
      </c>
      <c r="H72" s="45" t="s">
        <v>2008</v>
      </c>
      <c r="I72" s="83" t="s">
        <v>292</v>
      </c>
      <c r="J72" s="52" t="str">
        <f>VLOOKUP(I72,'CONTACT REFERENCE'!$A$2:$P$399,4,FALSE)</f>
        <v>WINDY CITY CUTTING DIE</v>
      </c>
      <c r="K72" s="42"/>
      <c r="L72" s="42">
        <v>134302</v>
      </c>
      <c r="M72" s="41" t="s">
        <v>74</v>
      </c>
      <c r="N72" s="41"/>
      <c r="O72" s="47" t="s">
        <v>2009</v>
      </c>
      <c r="P72" s="45" t="s">
        <v>136</v>
      </c>
      <c r="Q72" s="49" t="s">
        <v>120</v>
      </c>
      <c r="R72" s="48">
        <v>275</v>
      </c>
      <c r="S72" s="41" t="s">
        <v>28</v>
      </c>
      <c r="T72" s="43">
        <v>41184</v>
      </c>
      <c r="U72" s="42" t="s">
        <v>2007</v>
      </c>
      <c r="V72" s="21"/>
      <c r="W72" s="78"/>
      <c r="X72" s="22"/>
      <c r="Y72" s="22"/>
      <c r="Z72" s="74" t="str">
        <f>CONCATENATE(Table1[[#This Row],[P.R NUMBER]],"-",Table1[[#This Row],[SR NO]])</f>
        <v>120212292040-952</v>
      </c>
    </row>
    <row r="73" spans="1:26" x14ac:dyDescent="0.25">
      <c r="A73" s="73"/>
      <c r="B73" s="42">
        <v>952</v>
      </c>
      <c r="C73" s="43">
        <v>41245</v>
      </c>
      <c r="D73" s="44" t="s">
        <v>122</v>
      </c>
      <c r="E73" s="76" t="s">
        <v>90</v>
      </c>
      <c r="F73" s="42" t="s">
        <v>86</v>
      </c>
      <c r="G73" s="49" t="s">
        <v>74</v>
      </c>
      <c r="H73" s="45" t="s">
        <v>2008</v>
      </c>
      <c r="I73" s="83" t="s">
        <v>292</v>
      </c>
      <c r="J73" s="52" t="str">
        <f>VLOOKUP(I73,'CONTACT REFERENCE'!$A$2:$P$399,4,FALSE)</f>
        <v>WINDY CITY CUTTING DIE</v>
      </c>
      <c r="K73" s="42"/>
      <c r="L73" s="42">
        <v>134302</v>
      </c>
      <c r="M73" s="41" t="s">
        <v>74</v>
      </c>
      <c r="N73" s="41"/>
      <c r="O73" s="47" t="s">
        <v>175</v>
      </c>
      <c r="P73" s="45" t="s">
        <v>124</v>
      </c>
      <c r="Q73" s="49" t="s">
        <v>120</v>
      </c>
      <c r="R73" s="48">
        <v>35</v>
      </c>
      <c r="S73" s="41" t="s">
        <v>28</v>
      </c>
      <c r="T73" s="43">
        <v>41184</v>
      </c>
      <c r="U73" s="42" t="s">
        <v>2007</v>
      </c>
      <c r="V73" s="21"/>
      <c r="W73" s="78"/>
      <c r="X73" s="22"/>
      <c r="Y73" s="22"/>
      <c r="Z73" s="74" t="str">
        <f>CONCATENATE(Table1[[#This Row],[P.R NUMBER]],"-",Table1[[#This Row],[SR NO]])</f>
        <v>120212292040-952</v>
      </c>
    </row>
    <row r="74" spans="1:26" x14ac:dyDescent="0.25">
      <c r="A74" s="73"/>
      <c r="B74" s="42">
        <v>953</v>
      </c>
      <c r="C74" s="43">
        <v>41245</v>
      </c>
      <c r="D74" s="44" t="s">
        <v>118</v>
      </c>
      <c r="E74" s="76" t="s">
        <v>90</v>
      </c>
      <c r="F74" s="42" t="s">
        <v>1</v>
      </c>
      <c r="G74" s="49" t="s">
        <v>53</v>
      </c>
      <c r="H74" s="45" t="s">
        <v>2010</v>
      </c>
      <c r="I74" s="83" t="s">
        <v>460</v>
      </c>
      <c r="J74" s="52" t="str">
        <f>VLOOKUP(I74,'CONTACT REFERENCE'!$A$2:$P$399,4,FALSE)</f>
        <v>A-1 ENGINEERING</v>
      </c>
      <c r="K74" s="42">
        <v>5530</v>
      </c>
      <c r="L74" s="42"/>
      <c r="M74" s="41" t="s">
        <v>53</v>
      </c>
      <c r="N74" s="41"/>
      <c r="O74" s="47" t="s">
        <v>2011</v>
      </c>
      <c r="P74" s="45" t="s">
        <v>136</v>
      </c>
      <c r="Q74" s="49" t="s">
        <v>120</v>
      </c>
      <c r="R74" s="48">
        <v>160</v>
      </c>
      <c r="S74" s="41" t="s">
        <v>29</v>
      </c>
      <c r="T74" s="42" t="s">
        <v>1941</v>
      </c>
      <c r="U74" s="42"/>
      <c r="V74" s="21"/>
      <c r="W74" s="78"/>
      <c r="X74" s="22"/>
      <c r="Y74" s="22"/>
      <c r="Z74" s="74" t="str">
        <f>CONCATENATE(Table1[[#This Row],[P.R NUMBER]],"-",Table1[[#This Row],[SR NO]])</f>
        <v>120212062020-953</v>
      </c>
    </row>
    <row r="75" spans="1:26" x14ac:dyDescent="0.25">
      <c r="A75" s="73"/>
      <c r="B75" s="42">
        <v>954</v>
      </c>
      <c r="C75" s="43">
        <v>41245</v>
      </c>
      <c r="D75" s="44" t="s">
        <v>118</v>
      </c>
      <c r="E75" s="76" t="s">
        <v>90</v>
      </c>
      <c r="F75" s="42" t="s">
        <v>1</v>
      </c>
      <c r="G75" s="49" t="s">
        <v>54</v>
      </c>
      <c r="H75" s="45" t="s">
        <v>2012</v>
      </c>
      <c r="I75" s="83" t="s">
        <v>460</v>
      </c>
      <c r="J75" s="52" t="str">
        <f>VLOOKUP(I75,'CONTACT REFERENCE'!$A$2:$P$399,4,FALSE)</f>
        <v>A-1 ENGINEERING</v>
      </c>
      <c r="K75" s="42">
        <v>5524</v>
      </c>
      <c r="L75" s="42"/>
      <c r="M75" s="41" t="s">
        <v>54</v>
      </c>
      <c r="N75" s="41"/>
      <c r="O75" s="47" t="s">
        <v>2013</v>
      </c>
      <c r="P75" s="45" t="s">
        <v>124</v>
      </c>
      <c r="Q75" s="49" t="s">
        <v>120</v>
      </c>
      <c r="R75" s="48">
        <v>150</v>
      </c>
      <c r="S75" s="41" t="s">
        <v>29</v>
      </c>
      <c r="T75" s="42" t="s">
        <v>1941</v>
      </c>
      <c r="U75" s="42"/>
      <c r="V75" s="21"/>
      <c r="W75" s="78"/>
      <c r="X75" s="22"/>
      <c r="Y75" s="22"/>
      <c r="Z75" s="74" t="str">
        <f>CONCATENATE(Table1[[#This Row],[P.R NUMBER]],"-",Table1[[#This Row],[SR NO]])</f>
        <v>120212072020-954</v>
      </c>
    </row>
    <row r="76" spans="1:26" x14ac:dyDescent="0.25">
      <c r="A76" s="73"/>
      <c r="B76" s="42">
        <v>955</v>
      </c>
      <c r="C76" s="43">
        <v>41245</v>
      </c>
      <c r="D76" s="44" t="s">
        <v>122</v>
      </c>
      <c r="E76" s="76" t="s">
        <v>91</v>
      </c>
      <c r="F76" s="42" t="s">
        <v>85</v>
      </c>
      <c r="G76" s="49" t="s">
        <v>70</v>
      </c>
      <c r="H76" s="45" t="s">
        <v>2014</v>
      </c>
      <c r="I76" s="83" t="s">
        <v>276</v>
      </c>
      <c r="J76" s="52" t="str">
        <f>VLOOKUP(I76,'CONTACT REFERENCE'!$A$2:$P$399,4,FALSE)</f>
        <v>BEST CUTTING DIE COMPANY</v>
      </c>
      <c r="K76" s="42"/>
      <c r="L76" s="42">
        <v>35500</v>
      </c>
      <c r="M76" s="41"/>
      <c r="N76" s="41" t="s">
        <v>155</v>
      </c>
      <c r="O76" s="47" t="s">
        <v>169</v>
      </c>
      <c r="P76" s="45" t="s">
        <v>136</v>
      </c>
      <c r="Q76" s="49" t="s">
        <v>120</v>
      </c>
      <c r="R76" s="48">
        <f>189*2</f>
        <v>378</v>
      </c>
      <c r="S76" s="41" t="s">
        <v>28</v>
      </c>
      <c r="T76" s="42" t="s">
        <v>1972</v>
      </c>
      <c r="U76" s="42" t="s">
        <v>2015</v>
      </c>
      <c r="V76" s="21"/>
      <c r="W76" s="78"/>
      <c r="X76" s="22"/>
      <c r="Y76" s="22"/>
      <c r="Z76" s="74" t="str">
        <f>CONCATENATE(Table1[[#This Row],[P.R NUMBER]],"-",Table1[[#This Row],[SR NO]])</f>
        <v>120212253030-955</v>
      </c>
    </row>
    <row r="77" spans="1:26" x14ac:dyDescent="0.25">
      <c r="A77" s="73"/>
      <c r="B77" s="42">
        <v>955</v>
      </c>
      <c r="C77" s="43">
        <v>41245</v>
      </c>
      <c r="D77" s="44" t="s">
        <v>122</v>
      </c>
      <c r="E77" s="76" t="s">
        <v>91</v>
      </c>
      <c r="F77" s="42" t="s">
        <v>85</v>
      </c>
      <c r="G77" s="49" t="s">
        <v>70</v>
      </c>
      <c r="H77" s="45" t="s">
        <v>2014</v>
      </c>
      <c r="I77" s="83" t="s">
        <v>276</v>
      </c>
      <c r="J77" s="52" t="str">
        <f>VLOOKUP(I77,'CONTACT REFERENCE'!$A$2:$P$399,4,FALSE)</f>
        <v>BEST CUTTING DIE COMPANY</v>
      </c>
      <c r="K77" s="42"/>
      <c r="L77" s="42">
        <v>35500</v>
      </c>
      <c r="M77" s="41"/>
      <c r="N77" s="41" t="s">
        <v>164</v>
      </c>
      <c r="O77" s="47" t="s">
        <v>169</v>
      </c>
      <c r="P77" s="45" t="s">
        <v>136</v>
      </c>
      <c r="Q77" s="49" t="s">
        <v>120</v>
      </c>
      <c r="R77" s="48">
        <f>189*2</f>
        <v>378</v>
      </c>
      <c r="S77" s="41" t="s">
        <v>28</v>
      </c>
      <c r="T77" s="42" t="s">
        <v>1972</v>
      </c>
      <c r="U77" s="42" t="s">
        <v>2015</v>
      </c>
      <c r="V77" s="21"/>
      <c r="W77" s="78"/>
      <c r="X77" s="22"/>
      <c r="Y77" s="22"/>
      <c r="Z77" s="74" t="str">
        <f>CONCATENATE(Table1[[#This Row],[P.R NUMBER]],"-",Table1[[#This Row],[SR NO]])</f>
        <v>120212253030-955</v>
      </c>
    </row>
    <row r="78" spans="1:26" x14ac:dyDescent="0.25">
      <c r="A78" s="73"/>
      <c r="B78" s="42">
        <v>955</v>
      </c>
      <c r="C78" s="43">
        <v>41245</v>
      </c>
      <c r="D78" s="44" t="s">
        <v>122</v>
      </c>
      <c r="E78" s="76" t="s">
        <v>91</v>
      </c>
      <c r="F78" s="42" t="s">
        <v>85</v>
      </c>
      <c r="G78" s="49" t="s">
        <v>70</v>
      </c>
      <c r="H78" s="45" t="s">
        <v>2014</v>
      </c>
      <c r="I78" s="83" t="s">
        <v>276</v>
      </c>
      <c r="J78" s="52" t="str">
        <f>VLOOKUP(I78,'CONTACT REFERENCE'!$A$2:$P$399,4,FALSE)</f>
        <v>BEST CUTTING DIE COMPANY</v>
      </c>
      <c r="K78" s="42"/>
      <c r="L78" s="42">
        <v>35500</v>
      </c>
      <c r="M78" s="41"/>
      <c r="N78" s="41" t="s">
        <v>163</v>
      </c>
      <c r="O78" s="47" t="s">
        <v>169</v>
      </c>
      <c r="P78" s="45" t="s">
        <v>124</v>
      </c>
      <c r="Q78" s="49" t="s">
        <v>120</v>
      </c>
      <c r="R78" s="48">
        <v>189</v>
      </c>
      <c r="S78" s="41" t="s">
        <v>28</v>
      </c>
      <c r="T78" s="42" t="s">
        <v>1972</v>
      </c>
      <c r="U78" s="42" t="s">
        <v>2015</v>
      </c>
      <c r="V78" s="21"/>
      <c r="W78" s="78"/>
      <c r="X78" s="22"/>
      <c r="Y78" s="22"/>
      <c r="Z78" s="74" t="str">
        <f>CONCATENATE(Table1[[#This Row],[P.R NUMBER]],"-",Table1[[#This Row],[SR NO]])</f>
        <v>120212253030-955</v>
      </c>
    </row>
    <row r="79" spans="1:26" x14ac:dyDescent="0.25">
      <c r="A79" s="73"/>
      <c r="B79" s="42">
        <v>955</v>
      </c>
      <c r="C79" s="43">
        <v>41245</v>
      </c>
      <c r="D79" s="44" t="s">
        <v>122</v>
      </c>
      <c r="E79" s="76" t="s">
        <v>91</v>
      </c>
      <c r="F79" s="42" t="s">
        <v>85</v>
      </c>
      <c r="G79" s="49" t="s">
        <v>70</v>
      </c>
      <c r="H79" s="45" t="s">
        <v>2014</v>
      </c>
      <c r="I79" s="83" t="s">
        <v>276</v>
      </c>
      <c r="J79" s="52" t="str">
        <f>VLOOKUP(I79,'CONTACT REFERENCE'!$A$2:$P$399,4,FALSE)</f>
        <v>BEST CUTTING DIE COMPANY</v>
      </c>
      <c r="K79" s="42"/>
      <c r="L79" s="42">
        <v>35500</v>
      </c>
      <c r="M79" s="41"/>
      <c r="N79" s="41" t="s">
        <v>194</v>
      </c>
      <c r="O79" s="47" t="s">
        <v>169</v>
      </c>
      <c r="P79" s="45" t="s">
        <v>124</v>
      </c>
      <c r="Q79" s="49" t="s">
        <v>120</v>
      </c>
      <c r="R79" s="48">
        <v>189</v>
      </c>
      <c r="S79" s="41" t="s">
        <v>28</v>
      </c>
      <c r="T79" s="42" t="s">
        <v>1972</v>
      </c>
      <c r="U79" s="42" t="s">
        <v>2015</v>
      </c>
      <c r="V79" s="21"/>
      <c r="W79" s="78"/>
      <c r="X79" s="22"/>
      <c r="Y79" s="22"/>
      <c r="Z79" s="74" t="str">
        <f>CONCATENATE(Table1[[#This Row],[P.R NUMBER]],"-",Table1[[#This Row],[SR NO]])</f>
        <v>120212253030-955</v>
      </c>
    </row>
    <row r="80" spans="1:26" x14ac:dyDescent="0.25">
      <c r="A80" s="73"/>
      <c r="B80" s="42">
        <v>956</v>
      </c>
      <c r="C80" s="43">
        <v>41245</v>
      </c>
      <c r="D80" s="44" t="s">
        <v>122</v>
      </c>
      <c r="E80" s="76" t="s">
        <v>90</v>
      </c>
      <c r="F80" s="42" t="s">
        <v>86</v>
      </c>
      <c r="G80" s="49" t="s">
        <v>51</v>
      </c>
      <c r="H80" s="45" t="s">
        <v>2016</v>
      </c>
      <c r="I80" s="83" t="s">
        <v>292</v>
      </c>
      <c r="J80" s="52" t="str">
        <f>VLOOKUP(I80,'CONTACT REFERENCE'!$A$2:$P$399,4,FALSE)</f>
        <v>WINDY CITY CUTTING DIE</v>
      </c>
      <c r="K80" s="42"/>
      <c r="L80" s="42"/>
      <c r="M80" s="41"/>
      <c r="N80" s="41"/>
      <c r="O80" s="47" t="s">
        <v>2017</v>
      </c>
      <c r="P80" s="45" t="s">
        <v>141</v>
      </c>
      <c r="Q80" s="49" t="s">
        <v>120</v>
      </c>
      <c r="R80" s="48">
        <f>125*4</f>
        <v>500</v>
      </c>
      <c r="S80" s="41" t="s">
        <v>28</v>
      </c>
      <c r="T80" s="42"/>
      <c r="U80" s="42"/>
      <c r="V80" s="21"/>
      <c r="W80" s="78"/>
      <c r="X80" s="22"/>
      <c r="Y80" s="22"/>
      <c r="Z80" s="74" t="str">
        <f>CONCATENATE(Table1[[#This Row],[P.R NUMBER]],"-",Table1[[#This Row],[SR NO]])</f>
        <v>120212042040-956</v>
      </c>
    </row>
    <row r="81" spans="1:26" x14ac:dyDescent="0.25">
      <c r="A81" s="73"/>
      <c r="B81" s="42">
        <v>957</v>
      </c>
      <c r="C81" s="42" t="s">
        <v>1917</v>
      </c>
      <c r="D81" s="44" t="s">
        <v>118</v>
      </c>
      <c r="E81" s="76" t="s">
        <v>90</v>
      </c>
      <c r="F81" s="42" t="s">
        <v>1</v>
      </c>
      <c r="G81" s="49" t="s">
        <v>53</v>
      </c>
      <c r="H81" s="45" t="s">
        <v>2018</v>
      </c>
      <c r="I81" s="83" t="s">
        <v>119</v>
      </c>
      <c r="J81" s="52" t="str">
        <f>VLOOKUP(I81,'CONTACT REFERENCE'!$A$2:$P$399,4,FALSE)</f>
        <v>AL DOBOWI TYRE COMPANY LLC</v>
      </c>
      <c r="K81" s="42" t="s">
        <v>2019</v>
      </c>
      <c r="L81" s="42">
        <v>317705</v>
      </c>
      <c r="M81" s="41"/>
      <c r="N81" s="41"/>
      <c r="O81" s="47" t="s">
        <v>2020</v>
      </c>
      <c r="P81" s="45" t="s">
        <v>124</v>
      </c>
      <c r="Q81" s="49" t="s">
        <v>120</v>
      </c>
      <c r="R81" s="48">
        <v>125</v>
      </c>
      <c r="S81" s="41" t="s">
        <v>29</v>
      </c>
      <c r="T81" s="42" t="s">
        <v>2021</v>
      </c>
      <c r="U81" s="42"/>
      <c r="V81" s="21"/>
      <c r="W81" s="78"/>
      <c r="X81" s="22"/>
      <c r="Y81" s="22"/>
      <c r="Z81" s="74" t="str">
        <f>CONCATENATE(Table1[[#This Row],[P.R NUMBER]],"-",Table1[[#This Row],[SR NO]])</f>
        <v>130212062020-957</v>
      </c>
    </row>
    <row r="82" spans="1:26" x14ac:dyDescent="0.25">
      <c r="A82" s="73"/>
      <c r="B82" s="42">
        <v>957</v>
      </c>
      <c r="C82" s="42" t="s">
        <v>1917</v>
      </c>
      <c r="D82" s="44" t="s">
        <v>118</v>
      </c>
      <c r="E82" s="76" t="s">
        <v>90</v>
      </c>
      <c r="F82" s="42" t="s">
        <v>1</v>
      </c>
      <c r="G82" s="49" t="s">
        <v>53</v>
      </c>
      <c r="H82" s="45" t="s">
        <v>2018</v>
      </c>
      <c r="I82" s="83" t="s">
        <v>119</v>
      </c>
      <c r="J82" s="52" t="str">
        <f>VLOOKUP(I82,'CONTACT REFERENCE'!$A$2:$P$399,4,FALSE)</f>
        <v>AL DOBOWI TYRE COMPANY LLC</v>
      </c>
      <c r="K82" s="42" t="s">
        <v>2019</v>
      </c>
      <c r="L82" s="42">
        <v>317705</v>
      </c>
      <c r="M82" s="41"/>
      <c r="N82" s="41"/>
      <c r="O82" s="47" t="s">
        <v>2022</v>
      </c>
      <c r="P82" s="45" t="s">
        <v>124</v>
      </c>
      <c r="Q82" s="49" t="s">
        <v>120</v>
      </c>
      <c r="R82" s="48">
        <v>100</v>
      </c>
      <c r="S82" s="41" t="s">
        <v>29</v>
      </c>
      <c r="T82" s="42" t="s">
        <v>2021</v>
      </c>
      <c r="U82" s="42"/>
      <c r="V82" s="21"/>
      <c r="W82" s="78"/>
      <c r="X82" s="22"/>
      <c r="Y82" s="22"/>
      <c r="Z82" s="74" t="str">
        <f>CONCATENATE(Table1[[#This Row],[P.R NUMBER]],"-",Table1[[#This Row],[SR NO]])</f>
        <v>130212062020-957</v>
      </c>
    </row>
    <row r="83" spans="1:26" x14ac:dyDescent="0.25">
      <c r="A83" s="73"/>
      <c r="B83" s="42">
        <v>957</v>
      </c>
      <c r="C83" s="42" t="s">
        <v>1917</v>
      </c>
      <c r="D83" s="44" t="s">
        <v>118</v>
      </c>
      <c r="E83" s="76" t="s">
        <v>90</v>
      </c>
      <c r="F83" s="42" t="s">
        <v>1</v>
      </c>
      <c r="G83" s="49" t="s">
        <v>53</v>
      </c>
      <c r="H83" s="45" t="s">
        <v>2018</v>
      </c>
      <c r="I83" s="83" t="s">
        <v>119</v>
      </c>
      <c r="J83" s="52" t="str">
        <f>VLOOKUP(I83,'CONTACT REFERENCE'!$A$2:$P$399,4,FALSE)</f>
        <v>AL DOBOWI TYRE COMPANY LLC</v>
      </c>
      <c r="K83" s="42" t="s">
        <v>2019</v>
      </c>
      <c r="L83" s="42">
        <v>317705</v>
      </c>
      <c r="M83" s="41"/>
      <c r="N83" s="41"/>
      <c r="O83" s="47" t="s">
        <v>2023</v>
      </c>
      <c r="P83" s="45" t="s">
        <v>141</v>
      </c>
      <c r="Q83" s="49" t="s">
        <v>120</v>
      </c>
      <c r="R83" s="48">
        <v>300</v>
      </c>
      <c r="S83" s="41" t="s">
        <v>29</v>
      </c>
      <c r="T83" s="42" t="s">
        <v>2021</v>
      </c>
      <c r="U83" s="42"/>
      <c r="V83" s="21"/>
      <c r="W83" s="78"/>
      <c r="X83" s="22"/>
      <c r="Y83" s="22"/>
      <c r="Z83" s="74" t="str">
        <f>CONCATENATE(Table1[[#This Row],[P.R NUMBER]],"-",Table1[[#This Row],[SR NO]])</f>
        <v>130212062020-957</v>
      </c>
    </row>
    <row r="84" spans="1:26" x14ac:dyDescent="0.25">
      <c r="A84" s="73"/>
      <c r="B84" s="42">
        <v>957</v>
      </c>
      <c r="C84" s="42" t="s">
        <v>1917</v>
      </c>
      <c r="D84" s="44" t="s">
        <v>118</v>
      </c>
      <c r="E84" s="76" t="s">
        <v>90</v>
      </c>
      <c r="F84" s="42" t="s">
        <v>1</v>
      </c>
      <c r="G84" s="49" t="s">
        <v>53</v>
      </c>
      <c r="H84" s="45" t="s">
        <v>2018</v>
      </c>
      <c r="I84" s="83" t="s">
        <v>119</v>
      </c>
      <c r="J84" s="52" t="str">
        <f>VLOOKUP(I84,'CONTACT REFERENCE'!$A$2:$P$399,4,FALSE)</f>
        <v>AL DOBOWI TYRE COMPANY LLC</v>
      </c>
      <c r="K84" s="42" t="s">
        <v>2019</v>
      </c>
      <c r="L84" s="42">
        <v>317705</v>
      </c>
      <c r="M84" s="41"/>
      <c r="N84" s="41"/>
      <c r="O84" s="47" t="s">
        <v>2024</v>
      </c>
      <c r="P84" s="45" t="s">
        <v>136</v>
      </c>
      <c r="Q84" s="49" t="s">
        <v>120</v>
      </c>
      <c r="R84" s="48">
        <v>150</v>
      </c>
      <c r="S84" s="41" t="s">
        <v>29</v>
      </c>
      <c r="T84" s="42" t="s">
        <v>2021</v>
      </c>
      <c r="U84" s="42"/>
      <c r="V84" s="21"/>
      <c r="W84" s="78"/>
      <c r="X84" s="22"/>
      <c r="Y84" s="22"/>
      <c r="Z84" s="74" t="str">
        <f>CONCATENATE(Table1[[#This Row],[P.R NUMBER]],"-",Table1[[#This Row],[SR NO]])</f>
        <v>130212062020-957</v>
      </c>
    </row>
    <row r="85" spans="1:26" x14ac:dyDescent="0.25">
      <c r="A85" s="73"/>
      <c r="B85" s="42">
        <v>958</v>
      </c>
      <c r="C85" s="42" t="s">
        <v>2025</v>
      </c>
      <c r="D85" s="44" t="s">
        <v>122</v>
      </c>
      <c r="E85" s="76" t="s">
        <v>90</v>
      </c>
      <c r="F85" s="42" t="s">
        <v>1</v>
      </c>
      <c r="G85" s="49" t="s">
        <v>70</v>
      </c>
      <c r="H85" s="45" t="s">
        <v>2026</v>
      </c>
      <c r="I85" s="83" t="s">
        <v>262</v>
      </c>
      <c r="J85" s="52" t="str">
        <f>VLOOKUP(I85,'CONTACT REFERENCE'!$A$2:$P$399,4,FALSE)</f>
        <v>CURTIUS TRADING INC</v>
      </c>
      <c r="K85" s="42"/>
      <c r="L85" s="42"/>
      <c r="M85" s="41"/>
      <c r="N85" s="41"/>
      <c r="O85" s="47" t="s">
        <v>2027</v>
      </c>
      <c r="P85" s="45" t="s">
        <v>124</v>
      </c>
      <c r="Q85" s="49" t="s">
        <v>120</v>
      </c>
      <c r="R85" s="48">
        <v>62.95</v>
      </c>
      <c r="S85" s="41" t="s">
        <v>28</v>
      </c>
      <c r="T85" s="23" t="s">
        <v>2028</v>
      </c>
      <c r="U85" s="23" t="s">
        <v>2029</v>
      </c>
      <c r="V85" s="21"/>
      <c r="W85" s="78"/>
      <c r="X85" s="22"/>
      <c r="Y85" s="22"/>
      <c r="Z85" s="74" t="str">
        <f>CONCATENATE(Table1[[#This Row],[P.R NUMBER]],"-",Table1[[#This Row],[SR NO]])</f>
        <v>140212252020-958</v>
      </c>
    </row>
    <row r="86" spans="1:26" x14ac:dyDescent="0.25">
      <c r="A86" s="73"/>
      <c r="B86" s="42">
        <v>959</v>
      </c>
      <c r="C86" s="42" t="s">
        <v>2030</v>
      </c>
      <c r="D86" s="44" t="s">
        <v>118</v>
      </c>
      <c r="E86" s="76" t="s">
        <v>90</v>
      </c>
      <c r="F86" s="42" t="s">
        <v>1</v>
      </c>
      <c r="G86" s="49" t="s">
        <v>70</v>
      </c>
      <c r="H86" s="45" t="s">
        <v>2031</v>
      </c>
      <c r="I86" s="83" t="s">
        <v>341</v>
      </c>
      <c r="J86" s="52" t="str">
        <f>VLOOKUP(I86,'CONTACT REFERENCE'!$A$2:$P$399,4,FALSE)</f>
        <v>ADVANCE TECHNOLOGY BELTING TRD EST</v>
      </c>
      <c r="K86" s="42" t="s">
        <v>2032</v>
      </c>
      <c r="L86" s="42">
        <v>1205080</v>
      </c>
      <c r="M86" s="41"/>
      <c r="N86" s="41"/>
      <c r="O86" s="47" t="s">
        <v>2033</v>
      </c>
      <c r="P86" s="45" t="s">
        <v>137</v>
      </c>
      <c r="Q86" s="49" t="s">
        <v>120</v>
      </c>
      <c r="R86" s="48">
        <v>1470</v>
      </c>
      <c r="S86" s="41" t="s">
        <v>29</v>
      </c>
      <c r="T86" s="84">
        <v>41042</v>
      </c>
      <c r="U86" s="42"/>
      <c r="V86" s="21"/>
      <c r="W86" s="78"/>
      <c r="X86" s="22"/>
      <c r="Y86" s="22"/>
      <c r="Z86" s="74" t="str">
        <f>CONCATENATE(Table1[[#This Row],[P.R NUMBER]],"-",Table1[[#This Row],[SR NO]])</f>
        <v>160212252020-959</v>
      </c>
    </row>
    <row r="87" spans="1:26" x14ac:dyDescent="0.25">
      <c r="A87" s="73"/>
      <c r="B87" s="42">
        <v>960</v>
      </c>
      <c r="C87" s="42" t="s">
        <v>2030</v>
      </c>
      <c r="D87" s="44" t="s">
        <v>118</v>
      </c>
      <c r="E87" s="76" t="s">
        <v>90</v>
      </c>
      <c r="F87" s="42" t="s">
        <v>1</v>
      </c>
      <c r="G87" s="49" t="s">
        <v>49</v>
      </c>
      <c r="H87" s="45" t="s">
        <v>2034</v>
      </c>
      <c r="I87" s="83" t="s">
        <v>243</v>
      </c>
      <c r="J87" s="52" t="str">
        <f>VLOOKUP(I87,'CONTACT REFERENCE'!$A$2:$P$399,4,FALSE)</f>
        <v>FITWELL METAL INDUSTRIES LLC</v>
      </c>
      <c r="K87" s="42" t="s">
        <v>2035</v>
      </c>
      <c r="L87" s="42"/>
      <c r="M87" s="41"/>
      <c r="N87" s="41"/>
      <c r="O87" s="47" t="s">
        <v>2036</v>
      </c>
      <c r="P87" s="45" t="s">
        <v>180</v>
      </c>
      <c r="Q87" s="49" t="s">
        <v>120</v>
      </c>
      <c r="R87" s="48">
        <v>288</v>
      </c>
      <c r="S87" s="41" t="s">
        <v>29</v>
      </c>
      <c r="T87" s="42"/>
      <c r="U87" s="42"/>
      <c r="V87" s="21"/>
      <c r="W87" s="78"/>
      <c r="X87" s="22"/>
      <c r="Y87" s="22"/>
      <c r="Z87" s="74" t="str">
        <f>CONCATENATE(Table1[[#This Row],[P.R NUMBER]],"-",Table1[[#This Row],[SR NO]])</f>
        <v>160212022020-960</v>
      </c>
    </row>
    <row r="88" spans="1:26" x14ac:dyDescent="0.25">
      <c r="A88" s="73"/>
      <c r="B88" s="42">
        <v>961</v>
      </c>
      <c r="C88" s="42" t="s">
        <v>2030</v>
      </c>
      <c r="D88" s="44" t="s">
        <v>118</v>
      </c>
      <c r="E88" s="76" t="s">
        <v>90</v>
      </c>
      <c r="F88" s="42" t="s">
        <v>1</v>
      </c>
      <c r="G88" s="49" t="s">
        <v>51</v>
      </c>
      <c r="H88" s="45" t="s">
        <v>2037</v>
      </c>
      <c r="I88" s="83" t="s">
        <v>460</v>
      </c>
      <c r="J88" s="52" t="str">
        <f>VLOOKUP(I88,'CONTACT REFERENCE'!$A$2:$P$399,4,FALSE)</f>
        <v>A-1 ENGINEERING</v>
      </c>
      <c r="K88" s="42">
        <v>5592</v>
      </c>
      <c r="L88" s="42"/>
      <c r="M88" s="41"/>
      <c r="N88" s="41"/>
      <c r="O88" s="47" t="s">
        <v>2038</v>
      </c>
      <c r="P88" s="45" t="s">
        <v>136</v>
      </c>
      <c r="Q88" s="49" t="s">
        <v>120</v>
      </c>
      <c r="R88" s="48">
        <v>400</v>
      </c>
      <c r="S88" s="41" t="s">
        <v>29</v>
      </c>
      <c r="T88" s="42" t="s">
        <v>1941</v>
      </c>
      <c r="U88" s="42"/>
      <c r="V88" s="21"/>
      <c r="W88" s="78"/>
      <c r="X88" s="22"/>
      <c r="Y88" s="22"/>
      <c r="Z88" s="74" t="str">
        <f>CONCATENATE(Table1[[#This Row],[P.R NUMBER]],"-",Table1[[#This Row],[SR NO]])</f>
        <v>160212042020-961</v>
      </c>
    </row>
    <row r="89" spans="1:26" x14ac:dyDescent="0.25">
      <c r="A89" s="73"/>
      <c r="B89" s="42">
        <v>962</v>
      </c>
      <c r="C89" s="42" t="s">
        <v>2030</v>
      </c>
      <c r="D89" s="44" t="s">
        <v>118</v>
      </c>
      <c r="E89" s="76" t="s">
        <v>90</v>
      </c>
      <c r="F89" s="42" t="s">
        <v>1</v>
      </c>
      <c r="G89" s="49" t="s">
        <v>74</v>
      </c>
      <c r="H89" s="45" t="s">
        <v>2039</v>
      </c>
      <c r="I89" s="83" t="s">
        <v>460</v>
      </c>
      <c r="J89" s="52" t="str">
        <f>VLOOKUP(I89,'CONTACT REFERENCE'!$A$2:$P$399,4,FALSE)</f>
        <v>A-1 ENGINEERING</v>
      </c>
      <c r="K89" s="42">
        <v>5574</v>
      </c>
      <c r="L89" s="42"/>
      <c r="M89" s="41"/>
      <c r="N89" s="41"/>
      <c r="O89" s="47" t="s">
        <v>2040</v>
      </c>
      <c r="P89" s="45" t="s">
        <v>124</v>
      </c>
      <c r="Q89" s="49" t="s">
        <v>140</v>
      </c>
      <c r="R89" s="48">
        <v>800</v>
      </c>
      <c r="S89" s="41" t="s">
        <v>29</v>
      </c>
      <c r="T89" s="42" t="s">
        <v>1941</v>
      </c>
      <c r="U89" s="42"/>
      <c r="V89" s="21"/>
      <c r="W89" s="78"/>
      <c r="X89" s="22"/>
      <c r="Y89" s="22"/>
      <c r="Z89" s="74" t="str">
        <f>CONCATENATE(Table1[[#This Row],[P.R NUMBER]],"-",Table1[[#This Row],[SR NO]])</f>
        <v>160212292020-962</v>
      </c>
    </row>
    <row r="90" spans="1:26" x14ac:dyDescent="0.25">
      <c r="A90" s="73"/>
      <c r="B90" s="42">
        <v>963</v>
      </c>
      <c r="C90" s="42" t="s">
        <v>2030</v>
      </c>
      <c r="D90" s="44" t="s">
        <v>118</v>
      </c>
      <c r="E90" s="76" t="s">
        <v>91</v>
      </c>
      <c r="F90" s="42" t="s">
        <v>88</v>
      </c>
      <c r="G90" s="49" t="s">
        <v>70</v>
      </c>
      <c r="H90" s="45" t="s">
        <v>2041</v>
      </c>
      <c r="I90" s="83" t="s">
        <v>484</v>
      </c>
      <c r="J90" s="52" t="str">
        <f>VLOOKUP(I90,'CONTACT REFERENCE'!$A$2:$P$399,4,FALSE)</f>
        <v>OMAN INKS AND PRINTING MATERIAL TRADING</v>
      </c>
      <c r="K90" s="42"/>
      <c r="L90" s="42">
        <v>9303</v>
      </c>
      <c r="M90" s="41"/>
      <c r="N90" s="41"/>
      <c r="O90" s="47" t="s">
        <v>149</v>
      </c>
      <c r="P90" s="45" t="s">
        <v>124</v>
      </c>
      <c r="Q90" s="49" t="s">
        <v>135</v>
      </c>
      <c r="R90" s="48">
        <v>580</v>
      </c>
      <c r="S90" s="41" t="s">
        <v>29</v>
      </c>
      <c r="T90" s="42" t="s">
        <v>1972</v>
      </c>
      <c r="U90" s="42"/>
      <c r="V90" s="21"/>
      <c r="W90" s="78"/>
      <c r="X90" s="22"/>
      <c r="Y90" s="22"/>
      <c r="Z90" s="74" t="str">
        <f>CONCATENATE(Table1[[#This Row],[P.R NUMBER]],"-",Table1[[#This Row],[SR NO]])</f>
        <v>160212253060-963</v>
      </c>
    </row>
    <row r="91" spans="1:26" x14ac:dyDescent="0.25">
      <c r="A91" s="73"/>
      <c r="B91" s="42">
        <v>963</v>
      </c>
      <c r="C91" s="42" t="s">
        <v>2030</v>
      </c>
      <c r="D91" s="44" t="s">
        <v>118</v>
      </c>
      <c r="E91" s="76" t="s">
        <v>91</v>
      </c>
      <c r="F91" s="42" t="s">
        <v>88</v>
      </c>
      <c r="G91" s="49" t="s">
        <v>70</v>
      </c>
      <c r="H91" s="45" t="s">
        <v>2041</v>
      </c>
      <c r="I91" s="83" t="s">
        <v>484</v>
      </c>
      <c r="J91" s="52" t="str">
        <f>VLOOKUP(I91,'CONTACT REFERENCE'!$A$2:$P$399,4,FALSE)</f>
        <v>OMAN INKS AND PRINTING MATERIAL TRADING</v>
      </c>
      <c r="K91" s="42"/>
      <c r="L91" s="42">
        <v>9303</v>
      </c>
      <c r="M91" s="41"/>
      <c r="N91" s="41"/>
      <c r="O91" s="47" t="s">
        <v>205</v>
      </c>
      <c r="P91" s="45" t="s">
        <v>144</v>
      </c>
      <c r="Q91" s="49" t="s">
        <v>135</v>
      </c>
      <c r="R91" s="48">
        <v>48</v>
      </c>
      <c r="S91" s="41" t="s">
        <v>29</v>
      </c>
      <c r="T91" s="42" t="s">
        <v>1972</v>
      </c>
      <c r="U91" s="42"/>
      <c r="V91" s="21"/>
      <c r="W91" s="78"/>
      <c r="X91" s="22"/>
      <c r="Y91" s="22"/>
      <c r="Z91" s="74" t="str">
        <f>CONCATENATE(Table1[[#This Row],[P.R NUMBER]],"-",Table1[[#This Row],[SR NO]])</f>
        <v>160212253060-963</v>
      </c>
    </row>
    <row r="92" spans="1:26" x14ac:dyDescent="0.25">
      <c r="A92" s="73"/>
      <c r="B92" s="42">
        <v>964</v>
      </c>
      <c r="C92" s="42" t="s">
        <v>1972</v>
      </c>
      <c r="D92" s="44" t="s">
        <v>118</v>
      </c>
      <c r="E92" s="76" t="s">
        <v>90</v>
      </c>
      <c r="F92" s="42" t="s">
        <v>1</v>
      </c>
      <c r="G92" s="49" t="s">
        <v>72</v>
      </c>
      <c r="H92" s="45" t="s">
        <v>2042</v>
      </c>
      <c r="I92" s="83" t="s">
        <v>474</v>
      </c>
      <c r="J92" s="52" t="str">
        <f>VLOOKUP(I92,'CONTACT REFERENCE'!$A$2:$P$399,4,FALSE)</f>
        <v>MUHAMMAD IQBAL WOOD WORKS</v>
      </c>
      <c r="K92" s="42"/>
      <c r="L92" s="42"/>
      <c r="M92" s="41" t="s">
        <v>2043</v>
      </c>
      <c r="N92" s="41"/>
      <c r="O92" s="47" t="s">
        <v>2044</v>
      </c>
      <c r="P92" s="45" t="s">
        <v>124</v>
      </c>
      <c r="Q92" s="49" t="s">
        <v>140</v>
      </c>
      <c r="R92" s="48">
        <v>9400</v>
      </c>
      <c r="S92" s="41" t="s">
        <v>29</v>
      </c>
      <c r="T92" s="42" t="s">
        <v>2045</v>
      </c>
      <c r="U92" s="42"/>
      <c r="V92" s="21"/>
      <c r="W92" s="78"/>
      <c r="X92" s="22"/>
      <c r="Y92" s="22"/>
      <c r="Z92" s="74" t="str">
        <f>CONCATENATE(Table1[[#This Row],[P.R NUMBER]],"-",Table1[[#This Row],[SR NO]])</f>
        <v>180212272020-964</v>
      </c>
    </row>
    <row r="93" spans="1:26" x14ac:dyDescent="0.25">
      <c r="A93" s="73"/>
      <c r="B93" s="42">
        <v>965</v>
      </c>
      <c r="C93" s="42" t="s">
        <v>1972</v>
      </c>
      <c r="D93" s="44" t="s">
        <v>122</v>
      </c>
      <c r="E93" s="76" t="s">
        <v>90</v>
      </c>
      <c r="F93" s="42" t="s">
        <v>1</v>
      </c>
      <c r="G93" s="49" t="s">
        <v>72</v>
      </c>
      <c r="H93" s="45" t="s">
        <v>2042</v>
      </c>
      <c r="I93" s="83" t="s">
        <v>262</v>
      </c>
      <c r="J93" s="52" t="str">
        <f>VLOOKUP(I93,'CONTACT REFERENCE'!$A$2:$P$399,4,FALSE)</f>
        <v>CURTIUS TRADING INC</v>
      </c>
      <c r="K93" s="42"/>
      <c r="L93" s="42">
        <v>20120032</v>
      </c>
      <c r="M93" s="41"/>
      <c r="N93" s="41"/>
      <c r="O93" s="47" t="s">
        <v>2046</v>
      </c>
      <c r="P93" s="45" t="s">
        <v>124</v>
      </c>
      <c r="Q93" s="49" t="s">
        <v>120</v>
      </c>
      <c r="R93" s="48">
        <v>701.25</v>
      </c>
      <c r="S93" s="41" t="s">
        <v>28</v>
      </c>
      <c r="T93" s="42" t="s">
        <v>2028</v>
      </c>
      <c r="U93" s="42" t="s">
        <v>2029</v>
      </c>
      <c r="V93" s="21" t="s">
        <v>176</v>
      </c>
      <c r="W93" s="78"/>
      <c r="X93" s="22"/>
      <c r="Y93" s="22"/>
      <c r="Z93" s="74" t="str">
        <f>CONCATENATE(Table1[[#This Row],[P.R NUMBER]],"-",Table1[[#This Row],[SR NO]])</f>
        <v>180212272020-965</v>
      </c>
    </row>
    <row r="94" spans="1:26" x14ac:dyDescent="0.25">
      <c r="A94" s="73"/>
      <c r="B94" s="42">
        <v>965</v>
      </c>
      <c r="C94" s="42" t="s">
        <v>1972</v>
      </c>
      <c r="D94" s="44" t="s">
        <v>122</v>
      </c>
      <c r="E94" s="76" t="s">
        <v>90</v>
      </c>
      <c r="F94" s="42" t="s">
        <v>1</v>
      </c>
      <c r="G94" s="49" t="s">
        <v>72</v>
      </c>
      <c r="H94" s="45" t="s">
        <v>2042</v>
      </c>
      <c r="I94" s="83" t="s">
        <v>262</v>
      </c>
      <c r="J94" s="52" t="str">
        <f>VLOOKUP(I94,'CONTACT REFERENCE'!$A$2:$P$399,4,FALSE)</f>
        <v>CURTIUS TRADING INC</v>
      </c>
      <c r="K94" s="42"/>
      <c r="L94" s="42">
        <v>20120032</v>
      </c>
      <c r="M94" s="41"/>
      <c r="N94" s="41"/>
      <c r="O94" s="47" t="s">
        <v>199</v>
      </c>
      <c r="P94" s="45" t="s">
        <v>124</v>
      </c>
      <c r="Q94" s="49" t="s">
        <v>120</v>
      </c>
      <c r="R94" s="48">
        <v>50</v>
      </c>
      <c r="S94" s="41" t="s">
        <v>28</v>
      </c>
      <c r="T94" s="42" t="s">
        <v>1972</v>
      </c>
      <c r="U94" s="42" t="s">
        <v>2029</v>
      </c>
      <c r="V94" s="21" t="s">
        <v>176</v>
      </c>
      <c r="W94" s="78"/>
      <c r="X94" s="22"/>
      <c r="Y94" s="22"/>
      <c r="Z94" s="74" t="str">
        <f>CONCATENATE(Table1[[#This Row],[P.R NUMBER]],"-",Table1[[#This Row],[SR NO]])</f>
        <v>180212272020-965</v>
      </c>
    </row>
    <row r="95" spans="1:26" x14ac:dyDescent="0.25">
      <c r="A95" s="73"/>
      <c r="B95" s="42">
        <v>965</v>
      </c>
      <c r="C95" s="42" t="s">
        <v>1972</v>
      </c>
      <c r="D95" s="44" t="s">
        <v>122</v>
      </c>
      <c r="E95" s="76" t="s">
        <v>90</v>
      </c>
      <c r="F95" s="42" t="s">
        <v>1</v>
      </c>
      <c r="G95" s="49" t="s">
        <v>72</v>
      </c>
      <c r="H95" s="45" t="s">
        <v>2042</v>
      </c>
      <c r="I95" s="83" t="s">
        <v>262</v>
      </c>
      <c r="J95" s="52" t="str">
        <f>VLOOKUP(I95,'CONTACT REFERENCE'!$A$2:$P$399,4,FALSE)</f>
        <v>CURTIUS TRADING INC</v>
      </c>
      <c r="K95" s="42"/>
      <c r="L95" s="42">
        <v>20120032</v>
      </c>
      <c r="M95" s="41"/>
      <c r="N95" s="41"/>
      <c r="O95" s="47" t="s">
        <v>2047</v>
      </c>
      <c r="P95" s="45" t="s">
        <v>124</v>
      </c>
      <c r="Q95" s="49" t="s">
        <v>120</v>
      </c>
      <c r="R95" s="48">
        <v>12</v>
      </c>
      <c r="S95" s="41" t="s">
        <v>28</v>
      </c>
      <c r="T95" s="42" t="s">
        <v>1972</v>
      </c>
      <c r="U95" s="42" t="s">
        <v>2029</v>
      </c>
      <c r="V95" s="21" t="s">
        <v>176</v>
      </c>
      <c r="W95" s="78"/>
      <c r="X95" s="22"/>
      <c r="Y95" s="22"/>
      <c r="Z95" s="74" t="str">
        <f>CONCATENATE(Table1[[#This Row],[P.R NUMBER]],"-",Table1[[#This Row],[SR NO]])</f>
        <v>180212272020-965</v>
      </c>
    </row>
    <row r="96" spans="1:26" x14ac:dyDescent="0.25">
      <c r="A96" s="73"/>
      <c r="B96" s="42">
        <v>965</v>
      </c>
      <c r="C96" s="42" t="s">
        <v>1972</v>
      </c>
      <c r="D96" s="44" t="s">
        <v>122</v>
      </c>
      <c r="E96" s="76" t="s">
        <v>90</v>
      </c>
      <c r="F96" s="42" t="s">
        <v>1</v>
      </c>
      <c r="G96" s="49" t="s">
        <v>72</v>
      </c>
      <c r="H96" s="45" t="s">
        <v>2042</v>
      </c>
      <c r="I96" s="83" t="s">
        <v>262</v>
      </c>
      <c r="J96" s="52" t="str">
        <f>VLOOKUP(I96,'CONTACT REFERENCE'!$A$2:$P$399,4,FALSE)</f>
        <v>CURTIUS TRADING INC</v>
      </c>
      <c r="K96" s="42"/>
      <c r="L96" s="42">
        <v>20120032</v>
      </c>
      <c r="M96" s="41"/>
      <c r="N96" s="41"/>
      <c r="O96" s="47" t="s">
        <v>175</v>
      </c>
      <c r="P96" s="45" t="s">
        <v>124</v>
      </c>
      <c r="Q96" s="49" t="s">
        <v>120</v>
      </c>
      <c r="R96" s="48">
        <v>35</v>
      </c>
      <c r="S96" s="41" t="s">
        <v>28</v>
      </c>
      <c r="T96" s="42" t="s">
        <v>1972</v>
      </c>
      <c r="U96" s="42" t="s">
        <v>2029</v>
      </c>
      <c r="V96" s="21" t="s">
        <v>176</v>
      </c>
      <c r="W96" s="78"/>
      <c r="X96" s="22"/>
      <c r="Y96" s="22"/>
      <c r="Z96" s="74" t="str">
        <f>CONCATENATE(Table1[[#This Row],[P.R NUMBER]],"-",Table1[[#This Row],[SR NO]])</f>
        <v>180212272020-965</v>
      </c>
    </row>
    <row r="97" spans="1:26" x14ac:dyDescent="0.25">
      <c r="A97" s="73"/>
      <c r="B97" s="42">
        <v>966</v>
      </c>
      <c r="C97" s="42" t="s">
        <v>1972</v>
      </c>
      <c r="D97" s="44" t="s">
        <v>122</v>
      </c>
      <c r="E97" s="76" t="s">
        <v>90</v>
      </c>
      <c r="F97" s="42" t="s">
        <v>1</v>
      </c>
      <c r="G97" s="49" t="s">
        <v>51</v>
      </c>
      <c r="H97" s="45" t="s">
        <v>2048</v>
      </c>
      <c r="I97" s="83" t="s">
        <v>1715</v>
      </c>
      <c r="J97" s="52" t="str">
        <f>VLOOKUP(I97,'CONTACT REFERENCE'!$A$2:$P$399,4,FALSE)</f>
        <v>MOTION INDUSTRIES</v>
      </c>
      <c r="K97" s="42"/>
      <c r="L97" s="42" t="s">
        <v>2049</v>
      </c>
      <c r="M97" s="41"/>
      <c r="N97" s="41"/>
      <c r="O97" s="47" t="s">
        <v>2050</v>
      </c>
      <c r="P97" s="45" t="s">
        <v>124</v>
      </c>
      <c r="Q97" s="49" t="s">
        <v>120</v>
      </c>
      <c r="R97" s="48">
        <v>285.62</v>
      </c>
      <c r="S97" s="41" t="s">
        <v>28</v>
      </c>
      <c r="T97" s="42" t="s">
        <v>2051</v>
      </c>
      <c r="U97" s="42" t="s">
        <v>2052</v>
      </c>
      <c r="V97" s="21" t="s">
        <v>176</v>
      </c>
      <c r="W97" s="78"/>
      <c r="X97" s="22"/>
      <c r="Y97" s="22"/>
      <c r="Z97" s="74" t="str">
        <f>CONCATENATE(Table1[[#This Row],[P.R NUMBER]],"-",Table1[[#This Row],[SR NO]])</f>
        <v>180212042020-966</v>
      </c>
    </row>
    <row r="98" spans="1:26" x14ac:dyDescent="0.25">
      <c r="A98" s="73"/>
      <c r="B98" s="42">
        <v>966</v>
      </c>
      <c r="C98" s="42" t="s">
        <v>1972</v>
      </c>
      <c r="D98" s="44" t="s">
        <v>122</v>
      </c>
      <c r="E98" s="76" t="s">
        <v>90</v>
      </c>
      <c r="F98" s="42" t="s">
        <v>1</v>
      </c>
      <c r="G98" s="49" t="s">
        <v>51</v>
      </c>
      <c r="H98" s="45" t="s">
        <v>2048</v>
      </c>
      <c r="I98" s="83" t="s">
        <v>1715</v>
      </c>
      <c r="J98" s="52" t="str">
        <f>VLOOKUP(I98,'CONTACT REFERENCE'!$A$2:$P$399,4,FALSE)</f>
        <v>MOTION INDUSTRIES</v>
      </c>
      <c r="K98" s="42"/>
      <c r="L98" s="42" t="s">
        <v>2049</v>
      </c>
      <c r="M98" s="41"/>
      <c r="N98" s="41"/>
      <c r="O98" s="47" t="s">
        <v>2053</v>
      </c>
      <c r="P98" s="45" t="s">
        <v>124</v>
      </c>
      <c r="Q98" s="49" t="s">
        <v>120</v>
      </c>
      <c r="R98" s="48">
        <v>623.27</v>
      </c>
      <c r="S98" s="41" t="s">
        <v>28</v>
      </c>
      <c r="T98" s="42" t="s">
        <v>2051</v>
      </c>
      <c r="U98" s="42" t="s">
        <v>2054</v>
      </c>
      <c r="V98" s="21" t="s">
        <v>176</v>
      </c>
      <c r="W98" s="78"/>
      <c r="X98" s="22"/>
      <c r="Y98" s="22"/>
      <c r="Z98" s="74" t="str">
        <f>CONCATENATE(Table1[[#This Row],[P.R NUMBER]],"-",Table1[[#This Row],[SR NO]])</f>
        <v>180212042020-966</v>
      </c>
    </row>
    <row r="99" spans="1:26" x14ac:dyDescent="0.25">
      <c r="A99" s="73"/>
      <c r="B99" s="42">
        <v>966</v>
      </c>
      <c r="C99" s="42" t="s">
        <v>1972</v>
      </c>
      <c r="D99" s="44" t="s">
        <v>122</v>
      </c>
      <c r="E99" s="76" t="s">
        <v>90</v>
      </c>
      <c r="F99" s="42" t="s">
        <v>1</v>
      </c>
      <c r="G99" s="49" t="s">
        <v>51</v>
      </c>
      <c r="H99" s="45" t="s">
        <v>2048</v>
      </c>
      <c r="I99" s="83" t="s">
        <v>1715</v>
      </c>
      <c r="J99" s="52" t="str">
        <f>VLOOKUP(I99,'CONTACT REFERENCE'!$A$2:$P$399,4,FALSE)</f>
        <v>MOTION INDUSTRIES</v>
      </c>
      <c r="K99" s="42"/>
      <c r="L99" s="42" t="s">
        <v>2049</v>
      </c>
      <c r="M99" s="41"/>
      <c r="N99" s="41"/>
      <c r="O99" s="47" t="s">
        <v>2055</v>
      </c>
      <c r="P99" s="45" t="s">
        <v>136</v>
      </c>
      <c r="Q99" s="49" t="s">
        <v>120</v>
      </c>
      <c r="R99" s="48">
        <v>593.26</v>
      </c>
      <c r="S99" s="41" t="s">
        <v>28</v>
      </c>
      <c r="T99" s="42" t="s">
        <v>2051</v>
      </c>
      <c r="U99" s="42" t="s">
        <v>2054</v>
      </c>
      <c r="V99" s="21" t="s">
        <v>176</v>
      </c>
      <c r="W99" s="78"/>
      <c r="X99" s="22"/>
      <c r="Y99" s="22"/>
      <c r="Z99" s="74" t="str">
        <f>CONCATENATE(Table1[[#This Row],[P.R NUMBER]],"-",Table1[[#This Row],[SR NO]])</f>
        <v>180212042020-966</v>
      </c>
    </row>
    <row r="100" spans="1:26" x14ac:dyDescent="0.25">
      <c r="A100" s="73"/>
      <c r="B100" s="42">
        <v>966</v>
      </c>
      <c r="C100" s="42" t="s">
        <v>1972</v>
      </c>
      <c r="D100" s="44" t="s">
        <v>122</v>
      </c>
      <c r="E100" s="76" t="s">
        <v>90</v>
      </c>
      <c r="F100" s="42" t="s">
        <v>1</v>
      </c>
      <c r="G100" s="49" t="s">
        <v>51</v>
      </c>
      <c r="H100" s="45" t="s">
        <v>2048</v>
      </c>
      <c r="I100" s="83" t="s">
        <v>1715</v>
      </c>
      <c r="J100" s="52" t="str">
        <f>VLOOKUP(I100,'CONTACT REFERENCE'!$A$2:$P$399,4,FALSE)</f>
        <v>MOTION INDUSTRIES</v>
      </c>
      <c r="K100" s="42"/>
      <c r="L100" s="42" t="s">
        <v>2049</v>
      </c>
      <c r="M100" s="41"/>
      <c r="N100" s="41"/>
      <c r="O100" s="47" t="s">
        <v>175</v>
      </c>
      <c r="P100" s="45" t="s">
        <v>124</v>
      </c>
      <c r="Q100" s="49" t="s">
        <v>120</v>
      </c>
      <c r="R100" s="48">
        <v>27</v>
      </c>
      <c r="S100" s="41" t="s">
        <v>28</v>
      </c>
      <c r="T100" s="42" t="s">
        <v>2051</v>
      </c>
      <c r="U100" s="42" t="s">
        <v>2054</v>
      </c>
      <c r="V100" s="21" t="s">
        <v>176</v>
      </c>
      <c r="W100" s="78"/>
      <c r="X100" s="22"/>
      <c r="Y100" s="22"/>
      <c r="Z100" s="74" t="str">
        <f>CONCATENATE(Table1[[#This Row],[P.R NUMBER]],"-",Table1[[#This Row],[SR NO]])</f>
        <v>180212042020-966</v>
      </c>
    </row>
    <row r="101" spans="1:26" x14ac:dyDescent="0.25">
      <c r="A101" s="73"/>
      <c r="B101" s="42">
        <v>967</v>
      </c>
      <c r="C101" s="42" t="s">
        <v>1984</v>
      </c>
      <c r="D101" s="44" t="s">
        <v>118</v>
      </c>
      <c r="E101" s="76" t="s">
        <v>90</v>
      </c>
      <c r="F101" s="42" t="s">
        <v>1</v>
      </c>
      <c r="G101" s="49" t="s">
        <v>53</v>
      </c>
      <c r="H101" s="45" t="s">
        <v>2056</v>
      </c>
      <c r="I101" s="83" t="s">
        <v>460</v>
      </c>
      <c r="J101" s="52" t="str">
        <f>VLOOKUP(I101,'CONTACT REFERENCE'!$A$2:$P$399,4,FALSE)</f>
        <v>A-1 ENGINEERING</v>
      </c>
      <c r="K101" s="42">
        <v>5605</v>
      </c>
      <c r="L101" s="42">
        <v>8645</v>
      </c>
      <c r="M101" s="41"/>
      <c r="N101" s="41"/>
      <c r="O101" s="47" t="s">
        <v>2057</v>
      </c>
      <c r="P101" s="45" t="s">
        <v>124</v>
      </c>
      <c r="Q101" s="49" t="s">
        <v>120</v>
      </c>
      <c r="R101" s="48">
        <v>250</v>
      </c>
      <c r="S101" s="41" t="s">
        <v>29</v>
      </c>
      <c r="T101" s="43">
        <v>41185</v>
      </c>
      <c r="U101" s="42"/>
      <c r="V101" s="21"/>
      <c r="W101" s="78"/>
      <c r="X101" s="22"/>
      <c r="Y101" s="22"/>
      <c r="Z101" s="74" t="str">
        <f>CONCATENATE(Table1[[#This Row],[P.R NUMBER]],"-",Table1[[#This Row],[SR NO]])</f>
        <v>220212062020-967</v>
      </c>
    </row>
    <row r="102" spans="1:26" x14ac:dyDescent="0.25">
      <c r="A102" s="73"/>
      <c r="B102" s="42">
        <v>968</v>
      </c>
      <c r="C102" s="42" t="s">
        <v>2058</v>
      </c>
      <c r="D102" s="44" t="s">
        <v>118</v>
      </c>
      <c r="E102" s="76" t="s">
        <v>90</v>
      </c>
      <c r="F102" s="42" t="s">
        <v>1</v>
      </c>
      <c r="G102" s="49" t="s">
        <v>1871</v>
      </c>
      <c r="H102" s="45" t="s">
        <v>2059</v>
      </c>
      <c r="I102" s="83" t="s">
        <v>460</v>
      </c>
      <c r="J102" s="52" t="str">
        <f>VLOOKUP(I102,'CONTACT REFERENCE'!$A$2:$P$399,4,FALSE)</f>
        <v>A-1 ENGINEERING</v>
      </c>
      <c r="K102" s="42">
        <v>5608</v>
      </c>
      <c r="L102" s="42">
        <v>8644</v>
      </c>
      <c r="M102" s="41"/>
      <c r="N102" s="41"/>
      <c r="O102" s="47" t="s">
        <v>2060</v>
      </c>
      <c r="P102" s="45" t="s">
        <v>124</v>
      </c>
      <c r="Q102" s="49" t="s">
        <v>120</v>
      </c>
      <c r="R102" s="48">
        <v>200</v>
      </c>
      <c r="S102" s="41" t="s">
        <v>29</v>
      </c>
      <c r="T102" s="43">
        <v>41185</v>
      </c>
      <c r="U102" s="42"/>
      <c r="V102" s="21"/>
      <c r="W102" s="78"/>
      <c r="X102" s="22"/>
      <c r="Y102" s="22"/>
      <c r="Z102" s="74" t="str">
        <f>CONCATENATE(Table1[[#This Row],[P.R NUMBER]],"-",Table1[[#This Row],[SR NO]])</f>
        <v>220212102020-968</v>
      </c>
    </row>
    <row r="103" spans="1:26" x14ac:dyDescent="0.25">
      <c r="A103" s="73"/>
      <c r="B103" s="42">
        <v>969</v>
      </c>
      <c r="C103" s="42" t="s">
        <v>2058</v>
      </c>
      <c r="D103" s="44" t="s">
        <v>118</v>
      </c>
      <c r="E103" s="76" t="s">
        <v>90</v>
      </c>
      <c r="F103" s="42" t="s">
        <v>1</v>
      </c>
      <c r="G103" s="49" t="s">
        <v>75</v>
      </c>
      <c r="H103" s="45" t="s">
        <v>2061</v>
      </c>
      <c r="I103" s="83" t="s">
        <v>243</v>
      </c>
      <c r="J103" s="52" t="str">
        <f>VLOOKUP(I103,'CONTACT REFERENCE'!$A$2:$P$399,4,FALSE)</f>
        <v>FITWELL METAL INDUSTRIES LLC</v>
      </c>
      <c r="K103" s="42" t="s">
        <v>2062</v>
      </c>
      <c r="L103" s="42" t="s">
        <v>2063</v>
      </c>
      <c r="M103" s="41"/>
      <c r="N103" s="41"/>
      <c r="O103" s="47" t="s">
        <v>2064</v>
      </c>
      <c r="P103" s="45" t="s">
        <v>124</v>
      </c>
      <c r="Q103" s="49" t="s">
        <v>120</v>
      </c>
      <c r="R103" s="48">
        <v>210</v>
      </c>
      <c r="S103" s="41" t="s">
        <v>29</v>
      </c>
      <c r="T103" s="42" t="s">
        <v>1981</v>
      </c>
      <c r="U103" s="42"/>
      <c r="V103" s="21"/>
      <c r="W103" s="78"/>
      <c r="X103" s="22"/>
      <c r="Y103" s="22"/>
      <c r="Z103" s="74" t="str">
        <f>CONCATENATE(Table1[[#This Row],[P.R NUMBER]],"-",Table1[[#This Row],[SR NO]])</f>
        <v>220212302020-969</v>
      </c>
    </row>
    <row r="104" spans="1:26" x14ac:dyDescent="0.25">
      <c r="A104" s="73"/>
      <c r="B104" s="42">
        <v>969</v>
      </c>
      <c r="C104" s="42" t="s">
        <v>2058</v>
      </c>
      <c r="D104" s="44" t="s">
        <v>118</v>
      </c>
      <c r="E104" s="76" t="s">
        <v>90</v>
      </c>
      <c r="F104" s="42" t="s">
        <v>1</v>
      </c>
      <c r="G104" s="49" t="s">
        <v>75</v>
      </c>
      <c r="H104" s="45" t="s">
        <v>2061</v>
      </c>
      <c r="I104" s="83" t="s">
        <v>243</v>
      </c>
      <c r="J104" s="52" t="str">
        <f>VLOOKUP(I104,'CONTACT REFERENCE'!$A$2:$P$399,4,FALSE)</f>
        <v>FITWELL METAL INDUSTRIES LLC</v>
      </c>
      <c r="K104" s="42" t="s">
        <v>2062</v>
      </c>
      <c r="L104" s="42" t="s">
        <v>2063</v>
      </c>
      <c r="M104" s="41"/>
      <c r="N104" s="41"/>
      <c r="O104" s="47" t="s">
        <v>2065</v>
      </c>
      <c r="P104" s="45" t="s">
        <v>136</v>
      </c>
      <c r="Q104" s="49" t="s">
        <v>120</v>
      </c>
      <c r="R104" s="48">
        <v>160</v>
      </c>
      <c r="S104" s="41" t="s">
        <v>29</v>
      </c>
      <c r="T104" s="42" t="s">
        <v>1981</v>
      </c>
      <c r="U104" s="42"/>
      <c r="V104" s="21"/>
      <c r="W104" s="78"/>
      <c r="X104" s="22"/>
      <c r="Y104" s="22"/>
      <c r="Z104" s="74" t="str">
        <f>CONCATENATE(Table1[[#This Row],[P.R NUMBER]],"-",Table1[[#This Row],[SR NO]])</f>
        <v>220212302020-969</v>
      </c>
    </row>
    <row r="105" spans="1:26" x14ac:dyDescent="0.25">
      <c r="A105" s="73"/>
      <c r="B105" s="42">
        <v>969</v>
      </c>
      <c r="C105" s="42" t="s">
        <v>2058</v>
      </c>
      <c r="D105" s="44" t="s">
        <v>118</v>
      </c>
      <c r="E105" s="76" t="s">
        <v>90</v>
      </c>
      <c r="F105" s="42" t="s">
        <v>1</v>
      </c>
      <c r="G105" s="49" t="s">
        <v>75</v>
      </c>
      <c r="H105" s="45" t="s">
        <v>2061</v>
      </c>
      <c r="I105" s="83" t="s">
        <v>243</v>
      </c>
      <c r="J105" s="52" t="str">
        <f>VLOOKUP(I105,'CONTACT REFERENCE'!$A$2:$P$399,4,FALSE)</f>
        <v>FITWELL METAL INDUSTRIES LLC</v>
      </c>
      <c r="K105" s="42" t="s">
        <v>2062</v>
      </c>
      <c r="L105" s="42" t="s">
        <v>2063</v>
      </c>
      <c r="M105" s="41"/>
      <c r="N105" s="41"/>
      <c r="O105" s="47" t="s">
        <v>2066</v>
      </c>
      <c r="P105" s="45" t="s">
        <v>124</v>
      </c>
      <c r="Q105" s="49" t="s">
        <v>120</v>
      </c>
      <c r="R105" s="48">
        <v>80</v>
      </c>
      <c r="S105" s="41" t="s">
        <v>29</v>
      </c>
      <c r="T105" s="42" t="s">
        <v>1981</v>
      </c>
      <c r="U105" s="42"/>
      <c r="V105" s="21"/>
      <c r="W105" s="78"/>
      <c r="X105" s="22"/>
      <c r="Y105" s="22"/>
      <c r="Z105" s="74" t="str">
        <f>CONCATENATE(Table1[[#This Row],[P.R NUMBER]],"-",Table1[[#This Row],[SR NO]])</f>
        <v>220212302020-969</v>
      </c>
    </row>
    <row r="106" spans="1:26" x14ac:dyDescent="0.25">
      <c r="A106" s="73"/>
      <c r="B106" s="42">
        <v>970</v>
      </c>
      <c r="C106" s="42" t="s">
        <v>2058</v>
      </c>
      <c r="D106" s="44" t="s">
        <v>118</v>
      </c>
      <c r="E106" s="76" t="s">
        <v>90</v>
      </c>
      <c r="F106" s="42" t="s">
        <v>1</v>
      </c>
      <c r="G106" s="49" t="s">
        <v>1871</v>
      </c>
      <c r="H106" s="45" t="s">
        <v>2059</v>
      </c>
      <c r="I106" s="83" t="s">
        <v>243</v>
      </c>
      <c r="J106" s="52" t="str">
        <f>VLOOKUP(I106,'CONTACT REFERENCE'!$A$2:$P$399,4,FALSE)</f>
        <v>FITWELL METAL INDUSTRIES LLC</v>
      </c>
      <c r="K106" s="42" t="s">
        <v>2062</v>
      </c>
      <c r="L106" s="42"/>
      <c r="M106" s="41"/>
      <c r="N106" s="41"/>
      <c r="O106" s="47" t="s">
        <v>2067</v>
      </c>
      <c r="P106" s="45" t="s">
        <v>136</v>
      </c>
      <c r="Q106" s="49" t="s">
        <v>120</v>
      </c>
      <c r="R106" s="48">
        <v>120</v>
      </c>
      <c r="S106" s="41" t="s">
        <v>29</v>
      </c>
      <c r="T106" s="42"/>
      <c r="U106" s="42"/>
      <c r="V106" s="21"/>
      <c r="W106" s="78"/>
      <c r="X106" s="22"/>
      <c r="Y106" s="22"/>
      <c r="Z106" s="74" t="str">
        <f>CONCATENATE(Table1[[#This Row],[P.R NUMBER]],"-",Table1[[#This Row],[SR NO]])</f>
        <v>220212102020-970</v>
      </c>
    </row>
    <row r="107" spans="1:26" x14ac:dyDescent="0.25">
      <c r="A107" s="73"/>
      <c r="B107" s="42">
        <v>971</v>
      </c>
      <c r="C107" s="42" t="s">
        <v>2068</v>
      </c>
      <c r="D107" s="44" t="s">
        <v>122</v>
      </c>
      <c r="E107" s="76" t="s">
        <v>90</v>
      </c>
      <c r="F107" s="42" t="s">
        <v>1</v>
      </c>
      <c r="G107" s="49" t="s">
        <v>70</v>
      </c>
      <c r="H107" s="45" t="s">
        <v>2069</v>
      </c>
      <c r="I107" s="83" t="s">
        <v>1720</v>
      </c>
      <c r="J107" s="52" t="str">
        <f>VLOOKUP(I107,'CONTACT REFERENCE'!$A$2:$P$399,4,FALSE)</f>
        <v>AMERICAN HOLT CORP</v>
      </c>
      <c r="K107" s="42">
        <v>1028</v>
      </c>
      <c r="L107" s="42" t="s">
        <v>2070</v>
      </c>
      <c r="M107" s="41"/>
      <c r="N107" s="41"/>
      <c r="O107" s="47" t="s">
        <v>2071</v>
      </c>
      <c r="P107" s="45" t="s">
        <v>144</v>
      </c>
      <c r="Q107" s="49" t="s">
        <v>120</v>
      </c>
      <c r="R107" s="48">
        <v>468</v>
      </c>
      <c r="S107" s="41" t="s">
        <v>28</v>
      </c>
      <c r="T107" s="42" t="s">
        <v>2072</v>
      </c>
      <c r="U107" s="42" t="s">
        <v>2073</v>
      </c>
      <c r="V107" s="21"/>
      <c r="W107" s="78"/>
      <c r="X107" s="22"/>
      <c r="Y107" s="22"/>
      <c r="Z107" s="74" t="str">
        <f>CONCATENATE(Table1[[#This Row],[P.R NUMBER]],"-",Table1[[#This Row],[SR NO]])</f>
        <v>230212252020-971</v>
      </c>
    </row>
    <row r="108" spans="1:26" x14ac:dyDescent="0.25">
      <c r="A108" s="73"/>
      <c r="B108" s="42">
        <v>972</v>
      </c>
      <c r="C108" s="42" t="s">
        <v>2074</v>
      </c>
      <c r="D108" s="44" t="s">
        <v>118</v>
      </c>
      <c r="E108" s="76" t="s">
        <v>90</v>
      </c>
      <c r="F108" s="42" t="s">
        <v>1</v>
      </c>
      <c r="G108" s="49" t="s">
        <v>75</v>
      </c>
      <c r="H108" s="45" t="s">
        <v>2075</v>
      </c>
      <c r="I108" s="83" t="s">
        <v>243</v>
      </c>
      <c r="J108" s="52" t="str">
        <f>VLOOKUP(I108,'CONTACT REFERENCE'!$A$2:$P$399,4,FALSE)</f>
        <v>FITWELL METAL INDUSTRIES LLC</v>
      </c>
      <c r="K108" s="42" t="s">
        <v>2062</v>
      </c>
      <c r="L108" s="42" t="s">
        <v>2063</v>
      </c>
      <c r="M108" s="41"/>
      <c r="N108" s="41"/>
      <c r="O108" s="47" t="s">
        <v>2076</v>
      </c>
      <c r="P108" s="45" t="s">
        <v>1927</v>
      </c>
      <c r="Q108" s="49" t="s">
        <v>120</v>
      </c>
      <c r="R108" s="48">
        <v>1100</v>
      </c>
      <c r="S108" s="41" t="s">
        <v>29</v>
      </c>
      <c r="T108" s="42" t="s">
        <v>1981</v>
      </c>
      <c r="U108" s="42"/>
      <c r="V108" s="21"/>
      <c r="W108" s="78"/>
      <c r="X108" s="22"/>
      <c r="Y108" s="22"/>
      <c r="Z108" s="74" t="str">
        <f>CONCATENATE(Table1[[#This Row],[P.R NUMBER]],"-",Table1[[#This Row],[SR NO]])</f>
        <v>230212302020-972</v>
      </c>
    </row>
    <row r="109" spans="1:26" x14ac:dyDescent="0.25">
      <c r="A109" s="73"/>
      <c r="B109" s="42">
        <v>973</v>
      </c>
      <c r="C109" s="42" t="s">
        <v>2068</v>
      </c>
      <c r="D109" s="44" t="s">
        <v>118</v>
      </c>
      <c r="E109" s="76" t="s">
        <v>90</v>
      </c>
      <c r="F109" s="42" t="s">
        <v>1</v>
      </c>
      <c r="G109" s="49" t="s">
        <v>49</v>
      </c>
      <c r="H109" s="45" t="s">
        <v>2077</v>
      </c>
      <c r="I109" s="83" t="s">
        <v>243</v>
      </c>
      <c r="J109" s="52" t="str">
        <f>VLOOKUP(I109,'CONTACT REFERENCE'!$A$2:$P$399,4,FALSE)</f>
        <v>FITWELL METAL INDUSTRIES LLC</v>
      </c>
      <c r="K109" s="42" t="s">
        <v>2062</v>
      </c>
      <c r="L109" s="42" t="s">
        <v>2078</v>
      </c>
      <c r="M109" s="41"/>
      <c r="N109" s="41"/>
      <c r="O109" s="47" t="s">
        <v>2079</v>
      </c>
      <c r="P109" s="45" t="s">
        <v>144</v>
      </c>
      <c r="Q109" s="49" t="s">
        <v>120</v>
      </c>
      <c r="R109" s="48">
        <f>12*30</f>
        <v>360</v>
      </c>
      <c r="S109" s="41" t="s">
        <v>29</v>
      </c>
      <c r="T109" s="42" t="s">
        <v>2080</v>
      </c>
      <c r="U109" s="42"/>
      <c r="V109" s="21"/>
      <c r="W109" s="78"/>
      <c r="X109" s="22"/>
      <c r="Y109" s="22"/>
      <c r="Z109" s="74" t="str">
        <f>CONCATENATE(Table1[[#This Row],[P.R NUMBER]],"-",Table1[[#This Row],[SR NO]])</f>
        <v>230212022020-973</v>
      </c>
    </row>
    <row r="110" spans="1:26" x14ac:dyDescent="0.25">
      <c r="A110" s="73"/>
      <c r="B110" s="42">
        <v>974</v>
      </c>
      <c r="C110" s="42" t="s">
        <v>2074</v>
      </c>
      <c r="D110" s="44" t="s">
        <v>118</v>
      </c>
      <c r="E110" s="76" t="s">
        <v>90</v>
      </c>
      <c r="F110" s="42" t="s">
        <v>1</v>
      </c>
      <c r="G110" s="49" t="s">
        <v>70</v>
      </c>
      <c r="H110" s="45" t="s">
        <v>2069</v>
      </c>
      <c r="I110" s="83" t="s">
        <v>243</v>
      </c>
      <c r="J110" s="52" t="str">
        <f>VLOOKUP(I110,'CONTACT REFERENCE'!$A$2:$P$399,4,FALSE)</f>
        <v>FITWELL METAL INDUSTRIES LLC</v>
      </c>
      <c r="K110" s="42" t="s">
        <v>2062</v>
      </c>
      <c r="L110" s="42" t="s">
        <v>2063</v>
      </c>
      <c r="M110" s="41"/>
      <c r="N110" s="41"/>
      <c r="O110" s="47" t="s">
        <v>2081</v>
      </c>
      <c r="P110" s="45" t="s">
        <v>146</v>
      </c>
      <c r="Q110" s="49" t="s">
        <v>120</v>
      </c>
      <c r="R110" s="48">
        <f>7*280</f>
        <v>1960</v>
      </c>
      <c r="S110" s="41" t="s">
        <v>29</v>
      </c>
      <c r="T110" s="42" t="s">
        <v>1981</v>
      </c>
      <c r="U110" s="42"/>
      <c r="V110" s="21"/>
      <c r="W110" s="78"/>
      <c r="X110" s="22"/>
      <c r="Y110" s="22"/>
      <c r="Z110" s="74" t="str">
        <f>CONCATENATE(Table1[[#This Row],[P.R NUMBER]],"-",Table1[[#This Row],[SR NO]])</f>
        <v>230212252020-974</v>
      </c>
    </row>
    <row r="111" spans="1:26" x14ac:dyDescent="0.25">
      <c r="A111" s="73"/>
      <c r="B111" s="42">
        <v>975</v>
      </c>
      <c r="C111" s="42" t="s">
        <v>2074</v>
      </c>
      <c r="D111" s="44" t="s">
        <v>122</v>
      </c>
      <c r="E111" s="76" t="s">
        <v>90</v>
      </c>
      <c r="F111" s="42" t="s">
        <v>1</v>
      </c>
      <c r="G111" s="49" t="s">
        <v>51</v>
      </c>
      <c r="H111" s="45" t="s">
        <v>2082</v>
      </c>
      <c r="I111" s="83" t="s">
        <v>1720</v>
      </c>
      <c r="J111" s="52" t="str">
        <f>VLOOKUP(I111,'CONTACT REFERENCE'!$A$2:$P$399,4,FALSE)</f>
        <v>AMERICAN HOLT CORP</v>
      </c>
      <c r="K111" s="42">
        <v>1014</v>
      </c>
      <c r="L111" s="42" t="s">
        <v>2070</v>
      </c>
      <c r="M111" s="41"/>
      <c r="N111" s="41"/>
      <c r="O111" s="47" t="s">
        <v>2083</v>
      </c>
      <c r="P111" s="45" t="s">
        <v>144</v>
      </c>
      <c r="Q111" s="49" t="s">
        <v>120</v>
      </c>
      <c r="R111" s="48">
        <v>115.8</v>
      </c>
      <c r="S111" s="41" t="s">
        <v>28</v>
      </c>
      <c r="T111" s="42" t="s">
        <v>2072</v>
      </c>
      <c r="U111" s="42" t="s">
        <v>2073</v>
      </c>
      <c r="V111" s="21"/>
      <c r="W111" s="78"/>
      <c r="X111" s="22"/>
      <c r="Y111" s="22"/>
      <c r="Z111" s="74" t="str">
        <f>CONCATENATE(Table1[[#This Row],[P.R NUMBER]],"-",Table1[[#This Row],[SR NO]])</f>
        <v>230212042020-975</v>
      </c>
    </row>
    <row r="112" spans="1:26" x14ac:dyDescent="0.25">
      <c r="A112" s="73"/>
      <c r="B112" s="42">
        <v>975</v>
      </c>
      <c r="C112" s="42" t="s">
        <v>2074</v>
      </c>
      <c r="D112" s="44" t="s">
        <v>122</v>
      </c>
      <c r="E112" s="76" t="s">
        <v>90</v>
      </c>
      <c r="F112" s="42" t="s">
        <v>1</v>
      </c>
      <c r="G112" s="49" t="s">
        <v>51</v>
      </c>
      <c r="H112" s="45" t="s">
        <v>2082</v>
      </c>
      <c r="I112" s="83" t="s">
        <v>1720</v>
      </c>
      <c r="J112" s="52" t="str">
        <f>VLOOKUP(I112,'CONTACT REFERENCE'!$A$2:$P$399,4,FALSE)</f>
        <v>AMERICAN HOLT CORP</v>
      </c>
      <c r="K112" s="42">
        <v>1014</v>
      </c>
      <c r="L112" s="42" t="s">
        <v>2070</v>
      </c>
      <c r="M112" s="41"/>
      <c r="N112" s="41"/>
      <c r="O112" s="47" t="s">
        <v>2084</v>
      </c>
      <c r="P112" s="45" t="s">
        <v>181</v>
      </c>
      <c r="Q112" s="49" t="s">
        <v>120</v>
      </c>
      <c r="R112" s="48">
        <v>54</v>
      </c>
      <c r="S112" s="41" t="s">
        <v>28</v>
      </c>
      <c r="T112" s="42" t="s">
        <v>2072</v>
      </c>
      <c r="U112" s="42" t="s">
        <v>2073</v>
      </c>
      <c r="V112" s="21"/>
      <c r="W112" s="78"/>
      <c r="X112" s="22"/>
      <c r="Y112" s="22"/>
      <c r="Z112" s="74" t="str">
        <f>CONCATENATE(Table1[[#This Row],[P.R NUMBER]],"-",Table1[[#This Row],[SR NO]])</f>
        <v>230212042020-975</v>
      </c>
    </row>
    <row r="113" spans="1:26" x14ac:dyDescent="0.25">
      <c r="A113" s="73"/>
      <c r="B113" s="42">
        <v>975</v>
      </c>
      <c r="C113" s="42" t="s">
        <v>2074</v>
      </c>
      <c r="D113" s="44" t="s">
        <v>122</v>
      </c>
      <c r="E113" s="76" t="s">
        <v>90</v>
      </c>
      <c r="F113" s="42" t="s">
        <v>1</v>
      </c>
      <c r="G113" s="49" t="s">
        <v>51</v>
      </c>
      <c r="H113" s="45" t="s">
        <v>2082</v>
      </c>
      <c r="I113" s="83" t="s">
        <v>1720</v>
      </c>
      <c r="J113" s="52" t="str">
        <f>VLOOKUP(I113,'CONTACT REFERENCE'!$A$2:$P$399,4,FALSE)</f>
        <v>AMERICAN HOLT CORP</v>
      </c>
      <c r="K113" s="42">
        <v>1014</v>
      </c>
      <c r="L113" s="42" t="s">
        <v>2070</v>
      </c>
      <c r="M113" s="41"/>
      <c r="N113" s="41"/>
      <c r="O113" s="47" t="s">
        <v>2085</v>
      </c>
      <c r="P113" s="45" t="s">
        <v>136</v>
      </c>
      <c r="Q113" s="49" t="s">
        <v>120</v>
      </c>
      <c r="R113" s="48">
        <f>2*325</f>
        <v>650</v>
      </c>
      <c r="S113" s="41" t="s">
        <v>28</v>
      </c>
      <c r="T113" s="42" t="s">
        <v>2072</v>
      </c>
      <c r="U113" s="42" t="s">
        <v>2073</v>
      </c>
      <c r="V113" s="21"/>
      <c r="W113" s="78"/>
      <c r="X113" s="22"/>
      <c r="Y113" s="22"/>
      <c r="Z113" s="74" t="str">
        <f>CONCATENATE(Table1[[#This Row],[P.R NUMBER]],"-",Table1[[#This Row],[SR NO]])</f>
        <v>230212042020-975</v>
      </c>
    </row>
    <row r="114" spans="1:26" x14ac:dyDescent="0.25">
      <c r="A114" s="73"/>
      <c r="B114" s="42">
        <v>976</v>
      </c>
      <c r="C114" s="42" t="s">
        <v>2068</v>
      </c>
      <c r="D114" s="44" t="s">
        <v>122</v>
      </c>
      <c r="E114" s="76" t="s">
        <v>90</v>
      </c>
      <c r="F114" s="42" t="s">
        <v>1</v>
      </c>
      <c r="G114" s="49" t="s">
        <v>70</v>
      </c>
      <c r="H114" s="45" t="s">
        <v>2069</v>
      </c>
      <c r="I114" s="83" t="s">
        <v>253</v>
      </c>
      <c r="J114" s="52" t="str">
        <f>VLOOKUP(I114,'CONTACT REFERENCE'!$A$2:$P$399,4,FALSE)</f>
        <v>SURE TACK SYSTEMS (DIVISION OF CRIST CO)</v>
      </c>
      <c r="K114" s="42"/>
      <c r="L114" s="42">
        <v>24512</v>
      </c>
      <c r="M114" s="41"/>
      <c r="N114" s="41"/>
      <c r="O114" s="47" t="s">
        <v>2086</v>
      </c>
      <c r="P114" s="45" t="s">
        <v>180</v>
      </c>
      <c r="Q114" s="49" t="s">
        <v>120</v>
      </c>
      <c r="R114" s="48">
        <f>24*0.75</f>
        <v>18</v>
      </c>
      <c r="S114" s="41" t="s">
        <v>28</v>
      </c>
      <c r="T114" s="42" t="s">
        <v>1997</v>
      </c>
      <c r="U114" s="42" t="s">
        <v>2087</v>
      </c>
      <c r="V114" s="21"/>
      <c r="W114" s="78"/>
      <c r="X114" s="22"/>
      <c r="Y114" s="22"/>
      <c r="Z114" s="74" t="str">
        <f>CONCATENATE(Table1[[#This Row],[P.R NUMBER]],"-",Table1[[#This Row],[SR NO]])</f>
        <v>230212252020-976</v>
      </c>
    </row>
    <row r="115" spans="1:26" x14ac:dyDescent="0.25">
      <c r="A115" s="73"/>
      <c r="B115" s="42">
        <v>976</v>
      </c>
      <c r="C115" s="42" t="s">
        <v>2068</v>
      </c>
      <c r="D115" s="44" t="s">
        <v>122</v>
      </c>
      <c r="E115" s="76" t="s">
        <v>90</v>
      </c>
      <c r="F115" s="42" t="s">
        <v>1</v>
      </c>
      <c r="G115" s="49" t="s">
        <v>70</v>
      </c>
      <c r="H115" s="45" t="s">
        <v>2069</v>
      </c>
      <c r="I115" s="83" t="s">
        <v>253</v>
      </c>
      <c r="J115" s="52" t="str">
        <f>VLOOKUP(I115,'CONTACT REFERENCE'!$A$2:$P$399,4,FALSE)</f>
        <v>SURE TACK SYSTEMS (DIVISION OF CRIST CO)</v>
      </c>
      <c r="K115" s="42"/>
      <c r="L115" s="42">
        <v>24512</v>
      </c>
      <c r="M115" s="41"/>
      <c r="N115" s="41"/>
      <c r="O115" s="47" t="s">
        <v>1926</v>
      </c>
      <c r="P115" s="45" t="s">
        <v>1927</v>
      </c>
      <c r="Q115" s="49" t="s">
        <v>120</v>
      </c>
      <c r="R115" s="48">
        <f>100*0.4</f>
        <v>40</v>
      </c>
      <c r="S115" s="41" t="s">
        <v>28</v>
      </c>
      <c r="T115" s="42" t="s">
        <v>1997</v>
      </c>
      <c r="U115" s="42" t="s">
        <v>2087</v>
      </c>
      <c r="V115" s="21"/>
      <c r="W115" s="78"/>
      <c r="X115" s="22"/>
      <c r="Y115" s="22"/>
      <c r="Z115" s="74" t="str">
        <f>CONCATENATE(Table1[[#This Row],[P.R NUMBER]],"-",Table1[[#This Row],[SR NO]])</f>
        <v>230212252020-976</v>
      </c>
    </row>
    <row r="116" spans="1:26" x14ac:dyDescent="0.25">
      <c r="A116" s="73"/>
      <c r="B116" s="42">
        <v>976</v>
      </c>
      <c r="C116" s="42" t="s">
        <v>2068</v>
      </c>
      <c r="D116" s="44" t="s">
        <v>122</v>
      </c>
      <c r="E116" s="76" t="s">
        <v>90</v>
      </c>
      <c r="F116" s="42" t="s">
        <v>1</v>
      </c>
      <c r="G116" s="49" t="s">
        <v>70</v>
      </c>
      <c r="H116" s="45" t="s">
        <v>2069</v>
      </c>
      <c r="I116" s="83" t="s">
        <v>253</v>
      </c>
      <c r="J116" s="52" t="str">
        <f>VLOOKUP(I116,'CONTACT REFERENCE'!$A$2:$P$399,4,FALSE)</f>
        <v>SURE TACK SYSTEMS (DIVISION OF CRIST CO)</v>
      </c>
      <c r="K116" s="42"/>
      <c r="L116" s="42">
        <v>24512</v>
      </c>
      <c r="M116" s="41"/>
      <c r="N116" s="41"/>
      <c r="O116" s="47" t="s">
        <v>2088</v>
      </c>
      <c r="P116" s="45" t="s">
        <v>144</v>
      </c>
      <c r="Q116" s="49" t="s">
        <v>120</v>
      </c>
      <c r="R116" s="48">
        <f>12*1.25</f>
        <v>15</v>
      </c>
      <c r="S116" s="41" t="s">
        <v>28</v>
      </c>
      <c r="T116" s="42" t="s">
        <v>1997</v>
      </c>
      <c r="U116" s="42" t="s">
        <v>2087</v>
      </c>
      <c r="V116" s="21"/>
      <c r="W116" s="78"/>
      <c r="X116" s="22"/>
      <c r="Y116" s="22"/>
      <c r="Z116" s="74" t="str">
        <f>CONCATENATE(Table1[[#This Row],[P.R NUMBER]],"-",Table1[[#This Row],[SR NO]])</f>
        <v>230212252020-976</v>
      </c>
    </row>
    <row r="117" spans="1:26" x14ac:dyDescent="0.25">
      <c r="A117" s="73"/>
      <c r="B117" s="42">
        <v>977</v>
      </c>
      <c r="C117" s="42" t="s">
        <v>2089</v>
      </c>
      <c r="D117" s="44" t="s">
        <v>122</v>
      </c>
      <c r="E117" s="76" t="s">
        <v>90</v>
      </c>
      <c r="F117" s="42" t="s">
        <v>1</v>
      </c>
      <c r="G117" s="49" t="s">
        <v>70</v>
      </c>
      <c r="H117" s="45" t="s">
        <v>2090</v>
      </c>
      <c r="I117" s="83" t="s">
        <v>262</v>
      </c>
      <c r="J117" s="52" t="str">
        <f>VLOOKUP(I117,'CONTACT REFERENCE'!$A$2:$P$399,4,FALSE)</f>
        <v>CURTIUS TRADING INC</v>
      </c>
      <c r="K117" s="42"/>
      <c r="L117" s="42"/>
      <c r="M117" s="41"/>
      <c r="N117" s="41"/>
      <c r="O117" s="47" t="s">
        <v>2091</v>
      </c>
      <c r="P117" s="45" t="s">
        <v>124</v>
      </c>
      <c r="Q117" s="49" t="s">
        <v>120</v>
      </c>
      <c r="R117" s="48">
        <v>309.14999999999998</v>
      </c>
      <c r="S117" s="41" t="s">
        <v>28</v>
      </c>
      <c r="T117" s="42"/>
      <c r="U117" s="42"/>
      <c r="V117" s="21"/>
      <c r="W117" s="78"/>
      <c r="X117" s="22"/>
      <c r="Y117" s="22"/>
      <c r="Z117" s="74" t="str">
        <f>CONCATENATE(Table1[[#This Row],[P.R NUMBER]],"-",Table1[[#This Row],[SR NO]])</f>
        <v>250212252020-977</v>
      </c>
    </row>
    <row r="118" spans="1:26" x14ac:dyDescent="0.25">
      <c r="A118" s="73"/>
      <c r="B118" s="42">
        <v>978</v>
      </c>
      <c r="C118" s="42" t="s">
        <v>2072</v>
      </c>
      <c r="D118" s="44" t="s">
        <v>118</v>
      </c>
      <c r="E118" s="76" t="s">
        <v>90</v>
      </c>
      <c r="F118" s="42" t="s">
        <v>88</v>
      </c>
      <c r="G118" s="49" t="s">
        <v>72</v>
      </c>
      <c r="H118" s="45" t="s">
        <v>2092</v>
      </c>
      <c r="I118" s="83" t="s">
        <v>359</v>
      </c>
      <c r="J118" s="52" t="str">
        <f>VLOOKUP(I118,'CONTACT REFERENCE'!$A$2:$P$399,4,FALSE)</f>
        <v>UNISAFE FIRE PROTECTION SPECIALISTS LLC</v>
      </c>
      <c r="K118" s="42" t="s">
        <v>2093</v>
      </c>
      <c r="L118" s="42" t="s">
        <v>2094</v>
      </c>
      <c r="M118" s="41"/>
      <c r="N118" s="41"/>
      <c r="O118" s="47" t="s">
        <v>2095</v>
      </c>
      <c r="P118" s="45" t="s">
        <v>124</v>
      </c>
      <c r="Q118" s="49" t="s">
        <v>120</v>
      </c>
      <c r="R118" s="48">
        <v>40</v>
      </c>
      <c r="S118" s="41" t="s">
        <v>29</v>
      </c>
      <c r="T118" s="42" t="s">
        <v>2096</v>
      </c>
      <c r="U118" s="42"/>
      <c r="V118" s="21"/>
      <c r="W118" s="78"/>
      <c r="X118" s="22"/>
      <c r="Y118" s="22"/>
      <c r="Z118" s="74" t="str">
        <f>CONCATENATE(Table1[[#This Row],[P.R NUMBER]],"-",Table1[[#This Row],[SR NO]])</f>
        <v>290212272060-978</v>
      </c>
    </row>
    <row r="119" spans="1:26" x14ac:dyDescent="0.25">
      <c r="A119" s="73"/>
      <c r="B119" s="42">
        <v>978</v>
      </c>
      <c r="C119" s="42" t="s">
        <v>2072</v>
      </c>
      <c r="D119" s="44" t="s">
        <v>118</v>
      </c>
      <c r="E119" s="76" t="s">
        <v>90</v>
      </c>
      <c r="F119" s="42" t="s">
        <v>88</v>
      </c>
      <c r="G119" s="49" t="s">
        <v>72</v>
      </c>
      <c r="H119" s="45" t="s">
        <v>2092</v>
      </c>
      <c r="I119" s="83" t="s">
        <v>359</v>
      </c>
      <c r="J119" s="52" t="str">
        <f>VLOOKUP(I119,'CONTACT REFERENCE'!$A$2:$P$399,4,FALSE)</f>
        <v>UNISAFE FIRE PROTECTION SPECIALISTS LLC</v>
      </c>
      <c r="K119" s="42" t="s">
        <v>2093</v>
      </c>
      <c r="L119" s="42" t="s">
        <v>2094</v>
      </c>
      <c r="M119" s="41"/>
      <c r="N119" s="41"/>
      <c r="O119" s="47" t="s">
        <v>214</v>
      </c>
      <c r="P119" s="45" t="s">
        <v>124</v>
      </c>
      <c r="Q119" s="49" t="s">
        <v>120</v>
      </c>
      <c r="R119" s="48">
        <v>70</v>
      </c>
      <c r="S119" s="41" t="s">
        <v>29</v>
      </c>
      <c r="T119" s="42" t="s">
        <v>2096</v>
      </c>
      <c r="U119" s="42"/>
      <c r="V119" s="21"/>
      <c r="W119" s="78"/>
      <c r="X119" s="22"/>
      <c r="Y119" s="22"/>
      <c r="Z119" s="74" t="str">
        <f>CONCATENATE(Table1[[#This Row],[P.R NUMBER]],"-",Table1[[#This Row],[SR NO]])</f>
        <v>290212272060-978</v>
      </c>
    </row>
    <row r="120" spans="1:26" x14ac:dyDescent="0.25">
      <c r="A120" s="73"/>
      <c r="B120" s="42">
        <v>978</v>
      </c>
      <c r="C120" s="42" t="s">
        <v>2072</v>
      </c>
      <c r="D120" s="44" t="s">
        <v>118</v>
      </c>
      <c r="E120" s="76" t="s">
        <v>90</v>
      </c>
      <c r="F120" s="42" t="s">
        <v>88</v>
      </c>
      <c r="G120" s="49" t="s">
        <v>72</v>
      </c>
      <c r="H120" s="45" t="s">
        <v>2092</v>
      </c>
      <c r="I120" s="83" t="s">
        <v>359</v>
      </c>
      <c r="J120" s="52" t="str">
        <f>VLOOKUP(I120,'CONTACT REFERENCE'!$A$2:$P$399,4,FALSE)</f>
        <v>UNISAFE FIRE PROTECTION SPECIALISTS LLC</v>
      </c>
      <c r="K120" s="42" t="s">
        <v>2093</v>
      </c>
      <c r="L120" s="42" t="s">
        <v>2094</v>
      </c>
      <c r="M120" s="41"/>
      <c r="N120" s="41"/>
      <c r="O120" s="47" t="s">
        <v>2097</v>
      </c>
      <c r="P120" s="45" t="s">
        <v>124</v>
      </c>
      <c r="Q120" s="49" t="s">
        <v>120</v>
      </c>
      <c r="R120" s="48">
        <v>250</v>
      </c>
      <c r="S120" s="41" t="s">
        <v>29</v>
      </c>
      <c r="T120" s="42" t="s">
        <v>2096</v>
      </c>
      <c r="U120" s="42"/>
      <c r="V120" s="21"/>
      <c r="W120" s="78"/>
      <c r="X120" s="22"/>
      <c r="Y120" s="22"/>
      <c r="Z120" s="74" t="str">
        <f>CONCATENATE(Table1[[#This Row],[P.R NUMBER]],"-",Table1[[#This Row],[SR NO]])</f>
        <v>290212272060-978</v>
      </c>
    </row>
    <row r="121" spans="1:26" x14ac:dyDescent="0.25">
      <c r="A121" s="73"/>
      <c r="B121" s="42">
        <v>979</v>
      </c>
      <c r="C121" s="42" t="s">
        <v>2072</v>
      </c>
      <c r="D121" s="44" t="s">
        <v>118</v>
      </c>
      <c r="E121" s="76" t="s">
        <v>90</v>
      </c>
      <c r="F121" s="42" t="s">
        <v>1</v>
      </c>
      <c r="G121" s="49" t="s">
        <v>70</v>
      </c>
      <c r="H121" s="45" t="s">
        <v>2098</v>
      </c>
      <c r="I121" s="83" t="s">
        <v>448</v>
      </c>
      <c r="J121" s="52" t="str">
        <f>VLOOKUP(I121,'CONTACT REFERENCE'!$A$2:$P$399,4,FALSE)</f>
        <v>VISION GATE ELECTRONICS</v>
      </c>
      <c r="K121" s="42" t="s">
        <v>2099</v>
      </c>
      <c r="L121" s="42" t="s">
        <v>2100</v>
      </c>
      <c r="M121" s="41"/>
      <c r="N121" s="41"/>
      <c r="O121" s="47" t="s">
        <v>2101</v>
      </c>
      <c r="P121" s="45" t="s">
        <v>124</v>
      </c>
      <c r="Q121" s="49" t="s">
        <v>120</v>
      </c>
      <c r="R121" s="48">
        <v>1575</v>
      </c>
      <c r="S121" s="41" t="s">
        <v>29</v>
      </c>
      <c r="T121" s="43">
        <v>40971</v>
      </c>
      <c r="U121" s="42"/>
      <c r="V121" s="21"/>
      <c r="W121" s="78"/>
      <c r="X121" s="22"/>
      <c r="Y121" s="22"/>
      <c r="Z121" s="74" t="str">
        <f>CONCATENATE(Table1[[#This Row],[P.R NUMBER]],"-",Table1[[#This Row],[SR NO]])</f>
        <v>290212252020-979</v>
      </c>
    </row>
    <row r="122" spans="1:26" x14ac:dyDescent="0.25">
      <c r="A122" s="85"/>
      <c r="B122" s="39">
        <v>980</v>
      </c>
      <c r="C122" s="39" t="s">
        <v>2072</v>
      </c>
      <c r="D122" s="80" t="s">
        <v>122</v>
      </c>
      <c r="E122" s="86" t="s">
        <v>90</v>
      </c>
      <c r="F122" s="39" t="s">
        <v>1</v>
      </c>
      <c r="G122" s="81" t="s">
        <v>1871</v>
      </c>
      <c r="H122" s="82" t="s">
        <v>2102</v>
      </c>
      <c r="I122" s="87" t="s">
        <v>298</v>
      </c>
      <c r="J122" s="52" t="str">
        <f>VLOOKUP(I122,'CONTACT REFERENCE'!$A$2:$P$399,4,FALSE)</f>
        <v>WINKLER+DUNNEBIER AG</v>
      </c>
      <c r="K122" s="39">
        <v>4083898</v>
      </c>
      <c r="L122" s="39">
        <v>20429654</v>
      </c>
      <c r="M122" s="88"/>
      <c r="N122" s="88"/>
      <c r="O122" s="89" t="s">
        <v>2103</v>
      </c>
      <c r="P122" s="82" t="s">
        <v>124</v>
      </c>
      <c r="Q122" s="81" t="s">
        <v>120</v>
      </c>
      <c r="R122" s="90">
        <v>280.83999999999997</v>
      </c>
      <c r="S122" s="88" t="s">
        <v>125</v>
      </c>
      <c r="T122" s="79">
        <v>40971</v>
      </c>
      <c r="U122" s="39" t="s">
        <v>2104</v>
      </c>
      <c r="V122" s="91"/>
      <c r="W122" s="92"/>
      <c r="X122" s="22"/>
      <c r="Y122" s="22"/>
      <c r="Z122" s="74" t="str">
        <f>CONCATENATE(Table1[[#This Row],[P.R NUMBER]],"-",Table1[[#This Row],[SR NO]])</f>
        <v>290212102020-980</v>
      </c>
    </row>
    <row r="123" spans="1:26" x14ac:dyDescent="0.25">
      <c r="A123" s="73"/>
      <c r="B123" s="42">
        <v>981</v>
      </c>
      <c r="C123" s="43">
        <v>40911</v>
      </c>
      <c r="D123" s="44" t="s">
        <v>122</v>
      </c>
      <c r="E123" s="76" t="s">
        <v>90</v>
      </c>
      <c r="F123" s="42" t="s">
        <v>1</v>
      </c>
      <c r="G123" s="49" t="s">
        <v>51</v>
      </c>
      <c r="H123" s="45" t="s">
        <v>2105</v>
      </c>
      <c r="I123" s="83" t="s">
        <v>253</v>
      </c>
      <c r="J123" s="52" t="str">
        <f>VLOOKUP(I123,'CONTACT REFERENCE'!$A$2:$P$399,4,FALSE)</f>
        <v>SURE TACK SYSTEMS (DIVISION OF CRIST CO)</v>
      </c>
      <c r="K123" s="42"/>
      <c r="L123" s="42">
        <v>24511</v>
      </c>
      <c r="M123" s="41"/>
      <c r="N123" s="41"/>
      <c r="O123" s="47" t="s">
        <v>2106</v>
      </c>
      <c r="P123" s="45" t="s">
        <v>124</v>
      </c>
      <c r="Q123" s="49" t="s">
        <v>120</v>
      </c>
      <c r="R123" s="48">
        <v>700</v>
      </c>
      <c r="S123" s="41" t="s">
        <v>28</v>
      </c>
      <c r="T123" s="42" t="s">
        <v>1997</v>
      </c>
      <c r="U123" s="42" t="s">
        <v>2087</v>
      </c>
      <c r="V123" s="21"/>
      <c r="W123" s="78"/>
      <c r="X123" s="22"/>
      <c r="Y123" s="22"/>
      <c r="Z123" s="74" t="str">
        <f>CONCATENATE(Table1[[#This Row],[P.R NUMBER]],"-",Table1[[#This Row],[SR NO]])</f>
        <v>010312042020-981</v>
      </c>
    </row>
    <row r="124" spans="1:26" x14ac:dyDescent="0.25">
      <c r="A124" s="73"/>
      <c r="B124" s="42">
        <v>981</v>
      </c>
      <c r="C124" s="43">
        <v>40911</v>
      </c>
      <c r="D124" s="44" t="s">
        <v>122</v>
      </c>
      <c r="E124" s="76" t="s">
        <v>90</v>
      </c>
      <c r="F124" s="42" t="s">
        <v>1</v>
      </c>
      <c r="G124" s="49" t="s">
        <v>51</v>
      </c>
      <c r="H124" s="45" t="s">
        <v>2105</v>
      </c>
      <c r="I124" s="83" t="s">
        <v>253</v>
      </c>
      <c r="J124" s="52" t="str">
        <f>VLOOKUP(I124,'CONTACT REFERENCE'!$A$2:$P$399,4,FALSE)</f>
        <v>SURE TACK SYSTEMS (DIVISION OF CRIST CO)</v>
      </c>
      <c r="K124" s="42"/>
      <c r="L124" s="42">
        <v>24511</v>
      </c>
      <c r="M124" s="41"/>
      <c r="N124" s="41"/>
      <c r="O124" s="47" t="s">
        <v>2107</v>
      </c>
      <c r="P124" s="45" t="s">
        <v>124</v>
      </c>
      <c r="Q124" s="49" t="s">
        <v>120</v>
      </c>
      <c r="R124" s="48">
        <v>45</v>
      </c>
      <c r="S124" s="41" t="s">
        <v>28</v>
      </c>
      <c r="T124" s="42" t="s">
        <v>1997</v>
      </c>
      <c r="U124" s="42" t="s">
        <v>2087</v>
      </c>
      <c r="V124" s="21"/>
      <c r="W124" s="78"/>
      <c r="X124" s="22"/>
      <c r="Y124" s="22"/>
      <c r="Z124" s="74" t="str">
        <f>CONCATENATE(Table1[[#This Row],[P.R NUMBER]],"-",Table1[[#This Row],[SR NO]])</f>
        <v>010312042020-981</v>
      </c>
    </row>
    <row r="125" spans="1:26" x14ac:dyDescent="0.25">
      <c r="A125" s="73"/>
      <c r="B125" s="42">
        <v>982</v>
      </c>
      <c r="C125" s="43">
        <v>40911</v>
      </c>
      <c r="D125" s="44" t="s">
        <v>118</v>
      </c>
      <c r="E125" s="76" t="s">
        <v>90</v>
      </c>
      <c r="F125" s="42" t="s">
        <v>1</v>
      </c>
      <c r="G125" s="49" t="s">
        <v>50</v>
      </c>
      <c r="H125" s="45" t="s">
        <v>2108</v>
      </c>
      <c r="I125" s="83" t="s">
        <v>460</v>
      </c>
      <c r="J125" s="52" t="str">
        <f>VLOOKUP(I125,'CONTACT REFERENCE'!$A$2:$P$399,4,FALSE)</f>
        <v>A-1 ENGINEERING</v>
      </c>
      <c r="K125" s="42">
        <v>5643</v>
      </c>
      <c r="L125" s="42">
        <v>8643</v>
      </c>
      <c r="M125" s="41"/>
      <c r="N125" s="41"/>
      <c r="O125" s="47" t="s">
        <v>2109</v>
      </c>
      <c r="P125" s="45" t="s">
        <v>124</v>
      </c>
      <c r="Q125" s="49" t="s">
        <v>120</v>
      </c>
      <c r="R125" s="48">
        <v>1000</v>
      </c>
      <c r="S125" s="41" t="s">
        <v>29</v>
      </c>
      <c r="T125" s="43">
        <v>41185</v>
      </c>
      <c r="U125" s="42"/>
      <c r="V125" s="21"/>
      <c r="W125" s="78"/>
      <c r="X125" s="22"/>
      <c r="Y125" s="22"/>
      <c r="Z125" s="74" t="str">
        <f>CONCATENATE(Table1[[#This Row],[P.R NUMBER]],"-",Table1[[#This Row],[SR NO]])</f>
        <v>010312032020-982</v>
      </c>
    </row>
    <row r="126" spans="1:26" x14ac:dyDescent="0.25">
      <c r="A126" s="73"/>
      <c r="B126" s="42">
        <v>983</v>
      </c>
      <c r="C126" s="43">
        <v>40911</v>
      </c>
      <c r="D126" s="44" t="s">
        <v>118</v>
      </c>
      <c r="E126" s="76" t="s">
        <v>90</v>
      </c>
      <c r="F126" s="42" t="s">
        <v>1</v>
      </c>
      <c r="G126" s="49" t="s">
        <v>51</v>
      </c>
      <c r="H126" s="45" t="s">
        <v>2105</v>
      </c>
      <c r="I126" s="83" t="s">
        <v>460</v>
      </c>
      <c r="J126" s="52" t="str">
        <f>VLOOKUP(I126,'CONTACT REFERENCE'!$A$2:$P$399,4,FALSE)</f>
        <v>A-1 ENGINEERING</v>
      </c>
      <c r="K126" s="42">
        <v>5644</v>
      </c>
      <c r="L126" s="42"/>
      <c r="M126" s="41"/>
      <c r="N126" s="41"/>
      <c r="O126" s="47" t="s">
        <v>2110</v>
      </c>
      <c r="P126" s="45" t="s">
        <v>124</v>
      </c>
      <c r="Q126" s="49" t="s">
        <v>120</v>
      </c>
      <c r="R126" s="48">
        <v>400</v>
      </c>
      <c r="S126" s="41" t="s">
        <v>29</v>
      </c>
      <c r="T126" s="42"/>
      <c r="U126" s="42"/>
      <c r="V126" s="21"/>
      <c r="W126" s="78"/>
      <c r="X126" s="22"/>
      <c r="Y126" s="22"/>
      <c r="Z126" s="74" t="str">
        <f>CONCATENATE(Table1[[#This Row],[P.R NUMBER]],"-",Table1[[#This Row],[SR NO]])</f>
        <v>010312042020-983</v>
      </c>
    </row>
    <row r="127" spans="1:26" x14ac:dyDescent="0.25">
      <c r="A127" s="73"/>
      <c r="B127" s="42">
        <v>984</v>
      </c>
      <c r="C127" s="43">
        <v>40911</v>
      </c>
      <c r="D127" s="44" t="s">
        <v>118</v>
      </c>
      <c r="E127" s="76" t="s">
        <v>90</v>
      </c>
      <c r="F127" s="42" t="s">
        <v>1</v>
      </c>
      <c r="G127" s="49" t="s">
        <v>50</v>
      </c>
      <c r="H127" s="45" t="s">
        <v>2108</v>
      </c>
      <c r="I127" s="83" t="s">
        <v>460</v>
      </c>
      <c r="J127" s="52" t="str">
        <f>VLOOKUP(I127,'CONTACT REFERENCE'!$A$2:$P$399,4,FALSE)</f>
        <v>A-1 ENGINEERING</v>
      </c>
      <c r="K127" s="42">
        <v>5645</v>
      </c>
      <c r="L127" s="42">
        <v>8677</v>
      </c>
      <c r="M127" s="41"/>
      <c r="N127" s="41"/>
      <c r="O127" s="47" t="s">
        <v>2111</v>
      </c>
      <c r="P127" s="45" t="s">
        <v>136</v>
      </c>
      <c r="Q127" s="49" t="s">
        <v>120</v>
      </c>
      <c r="R127" s="48">
        <v>400</v>
      </c>
      <c r="S127" s="41" t="s">
        <v>29</v>
      </c>
      <c r="T127" s="42" t="s">
        <v>1981</v>
      </c>
      <c r="U127" s="42"/>
      <c r="V127" s="21"/>
      <c r="W127" s="78"/>
      <c r="X127" s="22"/>
      <c r="Y127" s="22"/>
      <c r="Z127" s="74" t="str">
        <f>CONCATENATE(Table1[[#This Row],[P.R NUMBER]],"-",Table1[[#This Row],[SR NO]])</f>
        <v>010312032020-984</v>
      </c>
    </row>
    <row r="128" spans="1:26" x14ac:dyDescent="0.25">
      <c r="A128" s="73"/>
      <c r="B128" s="42">
        <v>985</v>
      </c>
      <c r="C128" s="43">
        <v>40911</v>
      </c>
      <c r="D128" s="44" t="s">
        <v>118</v>
      </c>
      <c r="E128" s="76" t="s">
        <v>90</v>
      </c>
      <c r="F128" s="42" t="s">
        <v>1</v>
      </c>
      <c r="G128" s="49" t="s">
        <v>53</v>
      </c>
      <c r="H128" s="45" t="s">
        <v>2112</v>
      </c>
      <c r="I128" s="83" t="s">
        <v>460</v>
      </c>
      <c r="J128" s="52" t="str">
        <f>VLOOKUP(I128,'CONTACT REFERENCE'!$A$2:$P$399,4,FALSE)</f>
        <v>A-1 ENGINEERING</v>
      </c>
      <c r="K128" s="42">
        <v>5646</v>
      </c>
      <c r="L128" s="42">
        <v>8678</v>
      </c>
      <c r="M128" s="41"/>
      <c r="N128" s="41"/>
      <c r="O128" s="47" t="s">
        <v>2113</v>
      </c>
      <c r="P128" s="45" t="s">
        <v>124</v>
      </c>
      <c r="Q128" s="49" t="s">
        <v>120</v>
      </c>
      <c r="R128" s="48">
        <v>350</v>
      </c>
      <c r="S128" s="41" t="s">
        <v>29</v>
      </c>
      <c r="T128" s="42" t="s">
        <v>1981</v>
      </c>
      <c r="U128" s="42"/>
      <c r="V128" s="21"/>
      <c r="W128" s="78"/>
      <c r="X128" s="22"/>
      <c r="Y128" s="22"/>
      <c r="Z128" s="74" t="str">
        <f>CONCATENATE(Table1[[#This Row],[P.R NUMBER]],"-",Table1[[#This Row],[SR NO]])</f>
        <v>010312062020-985</v>
      </c>
    </row>
    <row r="129" spans="1:26" x14ac:dyDescent="0.25">
      <c r="A129" s="73"/>
      <c r="B129" s="42">
        <v>986</v>
      </c>
      <c r="C129" s="43">
        <v>41032</v>
      </c>
      <c r="D129" s="44" t="s">
        <v>122</v>
      </c>
      <c r="E129" s="76" t="s">
        <v>90</v>
      </c>
      <c r="F129" s="42" t="s">
        <v>1</v>
      </c>
      <c r="G129" s="49" t="s">
        <v>70</v>
      </c>
      <c r="H129" s="45" t="s">
        <v>2114</v>
      </c>
      <c r="I129" s="83" t="s">
        <v>292</v>
      </c>
      <c r="J129" s="52" t="str">
        <f>VLOOKUP(I129,'CONTACT REFERENCE'!$A$2:$P$399,4,FALSE)</f>
        <v>WINDY CITY CUTTING DIE</v>
      </c>
      <c r="K129" s="42"/>
      <c r="L129" s="42">
        <v>134540</v>
      </c>
      <c r="M129" s="41" t="s">
        <v>51</v>
      </c>
      <c r="N129" s="41"/>
      <c r="O129" s="47" t="s">
        <v>2017</v>
      </c>
      <c r="P129" s="45" t="s">
        <v>124</v>
      </c>
      <c r="Q129" s="49" t="s">
        <v>120</v>
      </c>
      <c r="R129" s="48">
        <v>500</v>
      </c>
      <c r="S129" s="41" t="s">
        <v>28</v>
      </c>
      <c r="T129" s="43">
        <v>40971</v>
      </c>
      <c r="U129" s="42" t="s">
        <v>2115</v>
      </c>
      <c r="V129" s="21"/>
      <c r="W129" s="78"/>
      <c r="X129" s="22"/>
      <c r="Y129" s="22"/>
      <c r="Z129" s="74" t="str">
        <f>CONCATENATE(Table1[[#This Row],[P.R NUMBER]],"-",Table1[[#This Row],[SR NO]])</f>
        <v>050312252020-986</v>
      </c>
    </row>
    <row r="130" spans="1:26" x14ac:dyDescent="0.25">
      <c r="A130" s="73"/>
      <c r="B130" s="42">
        <v>986</v>
      </c>
      <c r="C130" s="43">
        <v>41032</v>
      </c>
      <c r="D130" s="44" t="s">
        <v>122</v>
      </c>
      <c r="E130" s="76" t="s">
        <v>90</v>
      </c>
      <c r="F130" s="42" t="s">
        <v>1</v>
      </c>
      <c r="G130" s="49" t="s">
        <v>70</v>
      </c>
      <c r="H130" s="45" t="s">
        <v>2114</v>
      </c>
      <c r="I130" s="83" t="s">
        <v>292</v>
      </c>
      <c r="J130" s="52" t="str">
        <f>VLOOKUP(I130,'CONTACT REFERENCE'!$A$2:$P$399,4,FALSE)</f>
        <v>WINDY CITY CUTTING DIE</v>
      </c>
      <c r="K130" s="42"/>
      <c r="L130" s="42">
        <v>134540</v>
      </c>
      <c r="M130" s="41" t="s">
        <v>123</v>
      </c>
      <c r="N130" s="41"/>
      <c r="O130" s="47" t="s">
        <v>2116</v>
      </c>
      <c r="P130" s="45" t="s">
        <v>124</v>
      </c>
      <c r="Q130" s="49" t="s">
        <v>140</v>
      </c>
      <c r="R130" s="48">
        <v>70</v>
      </c>
      <c r="S130" s="41" t="s">
        <v>28</v>
      </c>
      <c r="T130" s="43">
        <v>40971</v>
      </c>
      <c r="U130" s="42" t="s">
        <v>2115</v>
      </c>
      <c r="V130" s="21"/>
      <c r="W130" s="78"/>
      <c r="X130" s="22"/>
      <c r="Y130" s="22"/>
      <c r="Z130" s="74" t="str">
        <f>CONCATENATE(Table1[[#This Row],[P.R NUMBER]],"-",Table1[[#This Row],[SR NO]])</f>
        <v>050312252020-986</v>
      </c>
    </row>
    <row r="131" spans="1:26" x14ac:dyDescent="0.25">
      <c r="A131" s="73"/>
      <c r="B131" s="42">
        <v>986</v>
      </c>
      <c r="C131" s="43">
        <v>41032</v>
      </c>
      <c r="D131" s="44" t="s">
        <v>122</v>
      </c>
      <c r="E131" s="76" t="s">
        <v>90</v>
      </c>
      <c r="F131" s="42" t="s">
        <v>1</v>
      </c>
      <c r="G131" s="49" t="s">
        <v>70</v>
      </c>
      <c r="H131" s="45" t="s">
        <v>2114</v>
      </c>
      <c r="I131" s="83" t="s">
        <v>292</v>
      </c>
      <c r="J131" s="52" t="str">
        <f>VLOOKUP(I131,'CONTACT REFERENCE'!$A$2:$P$399,4,FALSE)</f>
        <v>WINDY CITY CUTTING DIE</v>
      </c>
      <c r="K131" s="42"/>
      <c r="L131" s="42">
        <v>134540</v>
      </c>
      <c r="M131" s="41">
        <v>135</v>
      </c>
      <c r="N131" s="41"/>
      <c r="O131" s="47" t="s">
        <v>2117</v>
      </c>
      <c r="P131" s="45" t="s">
        <v>124</v>
      </c>
      <c r="Q131" s="49" t="s">
        <v>140</v>
      </c>
      <c r="R131" s="48">
        <v>65</v>
      </c>
      <c r="S131" s="41" t="s">
        <v>28</v>
      </c>
      <c r="T131" s="43">
        <v>40971</v>
      </c>
      <c r="U131" s="42" t="s">
        <v>2115</v>
      </c>
      <c r="V131" s="21"/>
      <c r="W131" s="78"/>
      <c r="X131" s="22"/>
      <c r="Y131" s="22"/>
      <c r="Z131" s="74" t="str">
        <f>CONCATENATE(Table1[[#This Row],[P.R NUMBER]],"-",Table1[[#This Row],[SR NO]])</f>
        <v>050312252020-986</v>
      </c>
    </row>
    <row r="132" spans="1:26" x14ac:dyDescent="0.25">
      <c r="A132" s="73"/>
      <c r="B132" s="42">
        <v>986</v>
      </c>
      <c r="C132" s="43">
        <v>41032</v>
      </c>
      <c r="D132" s="44" t="s">
        <v>122</v>
      </c>
      <c r="E132" s="76" t="s">
        <v>90</v>
      </c>
      <c r="F132" s="42" t="s">
        <v>1</v>
      </c>
      <c r="G132" s="49" t="s">
        <v>70</v>
      </c>
      <c r="H132" s="45" t="s">
        <v>2114</v>
      </c>
      <c r="I132" s="83" t="s">
        <v>292</v>
      </c>
      <c r="J132" s="52" t="str">
        <f>VLOOKUP(I132,'CONTACT REFERENCE'!$A$2:$P$399,4,FALSE)</f>
        <v>WINDY CITY CUTTING DIE</v>
      </c>
      <c r="K132" s="42"/>
      <c r="L132" s="42">
        <v>134540</v>
      </c>
      <c r="M132" s="41">
        <v>327</v>
      </c>
      <c r="N132" s="41"/>
      <c r="O132" s="47" t="s">
        <v>2118</v>
      </c>
      <c r="P132" s="45" t="s">
        <v>124</v>
      </c>
      <c r="Q132" s="49" t="s">
        <v>120</v>
      </c>
      <c r="R132" s="48">
        <v>45</v>
      </c>
      <c r="S132" s="41" t="s">
        <v>28</v>
      </c>
      <c r="T132" s="43">
        <v>40971</v>
      </c>
      <c r="U132" s="42" t="s">
        <v>2115</v>
      </c>
      <c r="V132" s="21"/>
      <c r="W132" s="78"/>
      <c r="X132" s="22"/>
      <c r="Y132" s="22"/>
      <c r="Z132" s="74" t="str">
        <f>CONCATENATE(Table1[[#This Row],[P.R NUMBER]],"-",Table1[[#This Row],[SR NO]])</f>
        <v>050312252020-986</v>
      </c>
    </row>
    <row r="133" spans="1:26" x14ac:dyDescent="0.25">
      <c r="A133" s="73"/>
      <c r="B133" s="42">
        <v>987</v>
      </c>
      <c r="C133" s="43">
        <v>41032</v>
      </c>
      <c r="D133" s="44" t="s">
        <v>118</v>
      </c>
      <c r="E133" s="76" t="s">
        <v>90</v>
      </c>
      <c r="F133" s="42" t="s">
        <v>0</v>
      </c>
      <c r="G133" s="49" t="s">
        <v>70</v>
      </c>
      <c r="H133" s="45" t="s">
        <v>2119</v>
      </c>
      <c r="I133" s="83" t="s">
        <v>388</v>
      </c>
      <c r="J133" s="52" t="str">
        <f>VLOOKUP(I133,'CONTACT REFERENCE'!$A$2:$P$399,4,FALSE)</f>
        <v>AL MENHALI H.E. TRADING</v>
      </c>
      <c r="K133" s="42"/>
      <c r="L133" s="42"/>
      <c r="M133" s="41"/>
      <c r="N133" s="41"/>
      <c r="O133" s="47" t="s">
        <v>2120</v>
      </c>
      <c r="P133" s="45" t="s">
        <v>124</v>
      </c>
      <c r="Q133" s="49" t="s">
        <v>120</v>
      </c>
      <c r="R133" s="48">
        <v>350</v>
      </c>
      <c r="S133" s="41" t="s">
        <v>29</v>
      </c>
      <c r="T133" s="43">
        <v>41032</v>
      </c>
      <c r="U133" s="42"/>
      <c r="V133" s="21"/>
      <c r="W133" s="78"/>
      <c r="X133" s="22"/>
      <c r="Y133" s="22"/>
      <c r="Z133" s="74" t="str">
        <f>CONCATENATE(Table1[[#This Row],[P.R NUMBER]],"-",Table1[[#This Row],[SR NO]])</f>
        <v>050312252010-987</v>
      </c>
    </row>
    <row r="134" spans="1:26" x14ac:dyDescent="0.25">
      <c r="A134" s="73"/>
      <c r="B134" s="42">
        <v>987</v>
      </c>
      <c r="C134" s="43">
        <v>41032</v>
      </c>
      <c r="D134" s="44" t="s">
        <v>118</v>
      </c>
      <c r="E134" s="76" t="s">
        <v>90</v>
      </c>
      <c r="F134" s="42" t="s">
        <v>0</v>
      </c>
      <c r="G134" s="49" t="s">
        <v>70</v>
      </c>
      <c r="H134" s="45" t="s">
        <v>2119</v>
      </c>
      <c r="I134" s="83" t="s">
        <v>388</v>
      </c>
      <c r="J134" s="52" t="str">
        <f>VLOOKUP(I134,'CONTACT REFERENCE'!$A$2:$P$399,4,FALSE)</f>
        <v>AL MENHALI H.E. TRADING</v>
      </c>
      <c r="K134" s="42"/>
      <c r="L134" s="42"/>
      <c r="M134" s="41"/>
      <c r="N134" s="41"/>
      <c r="O134" s="47" t="s">
        <v>2121</v>
      </c>
      <c r="P134" s="45" t="s">
        <v>124</v>
      </c>
      <c r="Q134" s="49" t="s">
        <v>120</v>
      </c>
      <c r="R134" s="48">
        <v>740</v>
      </c>
      <c r="S134" s="41" t="s">
        <v>29</v>
      </c>
      <c r="T134" s="43">
        <v>41032</v>
      </c>
      <c r="U134" s="42"/>
      <c r="V134" s="21"/>
      <c r="W134" s="78"/>
      <c r="X134" s="22"/>
      <c r="Y134" s="22"/>
      <c r="Z134" s="74" t="str">
        <f>CONCATENATE(Table1[[#This Row],[P.R NUMBER]],"-",Table1[[#This Row],[SR NO]])</f>
        <v>050312252010-987</v>
      </c>
    </row>
    <row r="135" spans="1:26" x14ac:dyDescent="0.25">
      <c r="A135" s="73"/>
      <c r="B135" s="42">
        <v>988</v>
      </c>
      <c r="C135" s="43">
        <v>40911</v>
      </c>
      <c r="D135" s="44" t="s">
        <v>122</v>
      </c>
      <c r="E135" s="76" t="s">
        <v>91</v>
      </c>
      <c r="F135" s="42" t="s">
        <v>85</v>
      </c>
      <c r="G135" s="49" t="s">
        <v>70</v>
      </c>
      <c r="H135" s="45" t="s">
        <v>2122</v>
      </c>
      <c r="I135" s="83" t="s">
        <v>276</v>
      </c>
      <c r="J135" s="52" t="str">
        <f>VLOOKUP(I135,'CONTACT REFERENCE'!$A$2:$P$399,4,FALSE)</f>
        <v>BEST CUTTING DIE COMPANY</v>
      </c>
      <c r="K135" s="42"/>
      <c r="L135" s="42">
        <v>36347</v>
      </c>
      <c r="M135" s="41"/>
      <c r="N135" s="41"/>
      <c r="O135" s="47" t="s">
        <v>168</v>
      </c>
      <c r="P135" s="45" t="s">
        <v>136</v>
      </c>
      <c r="Q135" s="49" t="s">
        <v>120</v>
      </c>
      <c r="R135" s="48">
        <v>210</v>
      </c>
      <c r="S135" s="41" t="s">
        <v>28</v>
      </c>
      <c r="T135" s="43">
        <v>40971</v>
      </c>
      <c r="U135" s="42" t="s">
        <v>2123</v>
      </c>
      <c r="V135" s="21"/>
      <c r="W135" s="78"/>
      <c r="X135" s="22"/>
      <c r="Y135" s="22"/>
      <c r="Z135" s="74" t="str">
        <f>CONCATENATE(Table1[[#This Row],[P.R NUMBER]],"-",Table1[[#This Row],[SR NO]])</f>
        <v>050312253030-988</v>
      </c>
    </row>
    <row r="136" spans="1:26" x14ac:dyDescent="0.25">
      <c r="A136" s="73"/>
      <c r="B136" s="42">
        <v>988</v>
      </c>
      <c r="C136" s="43">
        <v>40911</v>
      </c>
      <c r="D136" s="44" t="s">
        <v>122</v>
      </c>
      <c r="E136" s="76" t="s">
        <v>91</v>
      </c>
      <c r="F136" s="42" t="s">
        <v>85</v>
      </c>
      <c r="G136" s="49" t="s">
        <v>70</v>
      </c>
      <c r="H136" s="45" t="s">
        <v>2122</v>
      </c>
      <c r="I136" s="83" t="s">
        <v>276</v>
      </c>
      <c r="J136" s="52" t="str">
        <f>VLOOKUP(I136,'CONTACT REFERENCE'!$A$2:$P$399,4,FALSE)</f>
        <v>BEST CUTTING DIE COMPANY</v>
      </c>
      <c r="K136" s="42"/>
      <c r="L136" s="42">
        <v>36347</v>
      </c>
      <c r="M136" s="41"/>
      <c r="N136" s="41"/>
      <c r="O136" s="47" t="s">
        <v>2124</v>
      </c>
      <c r="P136" s="45" t="s">
        <v>136</v>
      </c>
      <c r="Q136" s="49" t="s">
        <v>120</v>
      </c>
      <c r="R136" s="48">
        <v>378</v>
      </c>
      <c r="S136" s="41" t="s">
        <v>28</v>
      </c>
      <c r="T136" s="43">
        <v>40971</v>
      </c>
      <c r="U136" s="42" t="s">
        <v>2123</v>
      </c>
      <c r="V136" s="21"/>
      <c r="W136" s="78"/>
      <c r="X136" s="22"/>
      <c r="Y136" s="22"/>
      <c r="Z136" s="74" t="str">
        <f>CONCATENATE(Table1[[#This Row],[P.R NUMBER]],"-",Table1[[#This Row],[SR NO]])</f>
        <v>050312253030-988</v>
      </c>
    </row>
    <row r="137" spans="1:26" x14ac:dyDescent="0.25">
      <c r="A137" s="73"/>
      <c r="B137" s="42">
        <v>988</v>
      </c>
      <c r="C137" s="43">
        <v>40911</v>
      </c>
      <c r="D137" s="44" t="s">
        <v>122</v>
      </c>
      <c r="E137" s="76" t="s">
        <v>91</v>
      </c>
      <c r="F137" s="42" t="s">
        <v>85</v>
      </c>
      <c r="G137" s="49" t="s">
        <v>70</v>
      </c>
      <c r="H137" s="45" t="s">
        <v>2122</v>
      </c>
      <c r="I137" s="83" t="s">
        <v>276</v>
      </c>
      <c r="J137" s="52" t="str">
        <f>VLOOKUP(I137,'CONTACT REFERENCE'!$A$2:$P$399,4,FALSE)</f>
        <v>BEST CUTTING DIE COMPANY</v>
      </c>
      <c r="K137" s="42"/>
      <c r="L137" s="42">
        <v>36347</v>
      </c>
      <c r="M137" s="41"/>
      <c r="N137" s="41"/>
      <c r="O137" s="47" t="s">
        <v>2125</v>
      </c>
      <c r="P137" s="45" t="s">
        <v>124</v>
      </c>
      <c r="Q137" s="49" t="s">
        <v>120</v>
      </c>
      <c r="R137" s="48">
        <v>189</v>
      </c>
      <c r="S137" s="41" t="s">
        <v>28</v>
      </c>
      <c r="T137" s="43">
        <v>40971</v>
      </c>
      <c r="U137" s="42" t="s">
        <v>2123</v>
      </c>
      <c r="V137" s="21"/>
      <c r="W137" s="78"/>
      <c r="X137" s="22"/>
      <c r="Y137" s="22"/>
      <c r="Z137" s="74" t="str">
        <f>CONCATENATE(Table1[[#This Row],[P.R NUMBER]],"-",Table1[[#This Row],[SR NO]])</f>
        <v>050312253030-988</v>
      </c>
    </row>
    <row r="138" spans="1:26" x14ac:dyDescent="0.25">
      <c r="A138" s="73"/>
      <c r="B138" s="42">
        <v>989</v>
      </c>
      <c r="C138" s="43">
        <v>41063</v>
      </c>
      <c r="D138" s="44" t="s">
        <v>122</v>
      </c>
      <c r="E138" s="76" t="s">
        <v>90</v>
      </c>
      <c r="F138" s="42" t="s">
        <v>1</v>
      </c>
      <c r="G138" s="49" t="s">
        <v>70</v>
      </c>
      <c r="H138" s="45" t="s">
        <v>2126</v>
      </c>
      <c r="I138" s="83" t="s">
        <v>311</v>
      </c>
      <c r="J138" s="52" t="str">
        <f>VLOOKUP(I138,'CONTACT REFERENCE'!$A$2:$P$399,4,FALSE)</f>
        <v>UNICAST ENGINEERED URETHANE PRODUCTS</v>
      </c>
      <c r="K138" s="42"/>
      <c r="L138" s="42">
        <v>153535</v>
      </c>
      <c r="M138" s="41"/>
      <c r="N138" s="41"/>
      <c r="O138" s="47" t="s">
        <v>2127</v>
      </c>
      <c r="P138" s="45" t="s">
        <v>180</v>
      </c>
      <c r="Q138" s="49" t="s">
        <v>120</v>
      </c>
      <c r="R138" s="48">
        <f>24*3.64</f>
        <v>87.36</v>
      </c>
      <c r="S138" s="41" t="s">
        <v>28</v>
      </c>
      <c r="T138" s="42" t="s">
        <v>2096</v>
      </c>
      <c r="U138" s="42" t="s">
        <v>2128</v>
      </c>
      <c r="V138" s="21"/>
      <c r="W138" s="78"/>
      <c r="X138" s="22"/>
      <c r="Y138" s="22"/>
      <c r="Z138" s="74" t="str">
        <f>CONCATENATE(Table1[[#This Row],[P.R NUMBER]],"-",Table1[[#This Row],[SR NO]])</f>
        <v>060312252020-989</v>
      </c>
    </row>
    <row r="139" spans="1:26" x14ac:dyDescent="0.25">
      <c r="A139" s="73"/>
      <c r="B139" s="42">
        <v>989</v>
      </c>
      <c r="C139" s="43">
        <v>41063</v>
      </c>
      <c r="D139" s="44" t="s">
        <v>122</v>
      </c>
      <c r="E139" s="76" t="s">
        <v>90</v>
      </c>
      <c r="F139" s="42" t="s">
        <v>1</v>
      </c>
      <c r="G139" s="49" t="s">
        <v>70</v>
      </c>
      <c r="H139" s="45" t="s">
        <v>2126</v>
      </c>
      <c r="I139" s="83" t="s">
        <v>311</v>
      </c>
      <c r="J139" s="52" t="str">
        <f>VLOOKUP(I139,'CONTACT REFERENCE'!$A$2:$P$399,4,FALSE)</f>
        <v>UNICAST ENGINEERED URETHANE PRODUCTS</v>
      </c>
      <c r="K139" s="42"/>
      <c r="L139" s="42">
        <v>153535</v>
      </c>
      <c r="M139" s="41"/>
      <c r="N139" s="41"/>
      <c r="O139" s="47" t="s">
        <v>2129</v>
      </c>
      <c r="P139" s="45" t="s">
        <v>141</v>
      </c>
      <c r="Q139" s="49" t="s">
        <v>120</v>
      </c>
      <c r="R139" s="48">
        <f>4*52.41</f>
        <v>209.64</v>
      </c>
      <c r="S139" s="41" t="s">
        <v>28</v>
      </c>
      <c r="T139" s="42" t="s">
        <v>2096</v>
      </c>
      <c r="U139" s="42" t="s">
        <v>2128</v>
      </c>
      <c r="V139" s="21"/>
      <c r="W139" s="78"/>
      <c r="X139" s="22"/>
      <c r="Y139" s="22"/>
      <c r="Z139" s="74" t="str">
        <f>CONCATENATE(Table1[[#This Row],[P.R NUMBER]],"-",Table1[[#This Row],[SR NO]])</f>
        <v>060312252020-989</v>
      </c>
    </row>
    <row r="140" spans="1:26" x14ac:dyDescent="0.25">
      <c r="A140" s="73"/>
      <c r="B140" s="42">
        <v>989</v>
      </c>
      <c r="C140" s="43">
        <v>41063</v>
      </c>
      <c r="D140" s="44" t="s">
        <v>122</v>
      </c>
      <c r="E140" s="76" t="s">
        <v>90</v>
      </c>
      <c r="F140" s="42" t="s">
        <v>1</v>
      </c>
      <c r="G140" s="49" t="s">
        <v>70</v>
      </c>
      <c r="H140" s="45" t="s">
        <v>2126</v>
      </c>
      <c r="I140" s="83" t="s">
        <v>311</v>
      </c>
      <c r="J140" s="52" t="str">
        <f>VLOOKUP(I140,'CONTACT REFERENCE'!$A$2:$P$399,4,FALSE)</f>
        <v>UNICAST ENGINEERED URETHANE PRODUCTS</v>
      </c>
      <c r="K140" s="42"/>
      <c r="L140" s="42">
        <v>153535</v>
      </c>
      <c r="M140" s="41"/>
      <c r="N140" s="41"/>
      <c r="O140" s="47" t="s">
        <v>2130</v>
      </c>
      <c r="P140" s="45" t="s">
        <v>137</v>
      </c>
      <c r="Q140" s="49" t="s">
        <v>120</v>
      </c>
      <c r="R140" s="48">
        <f>3*27.71</f>
        <v>83.13</v>
      </c>
      <c r="S140" s="41" t="s">
        <v>28</v>
      </c>
      <c r="T140" s="42" t="s">
        <v>2096</v>
      </c>
      <c r="U140" s="42" t="s">
        <v>2128</v>
      </c>
      <c r="V140" s="21"/>
      <c r="W140" s="78"/>
      <c r="X140" s="22"/>
      <c r="Y140" s="22"/>
      <c r="Z140" s="74" t="str">
        <f>CONCATENATE(Table1[[#This Row],[P.R NUMBER]],"-",Table1[[#This Row],[SR NO]])</f>
        <v>060312252020-989</v>
      </c>
    </row>
    <row r="141" spans="1:26" x14ac:dyDescent="0.25">
      <c r="A141" s="73"/>
      <c r="B141" s="42">
        <v>989</v>
      </c>
      <c r="C141" s="43">
        <v>41063</v>
      </c>
      <c r="D141" s="44" t="s">
        <v>122</v>
      </c>
      <c r="E141" s="76" t="s">
        <v>90</v>
      </c>
      <c r="F141" s="42" t="s">
        <v>1</v>
      </c>
      <c r="G141" s="49" t="s">
        <v>70</v>
      </c>
      <c r="H141" s="45" t="s">
        <v>2126</v>
      </c>
      <c r="I141" s="83" t="s">
        <v>311</v>
      </c>
      <c r="J141" s="52" t="str">
        <f>VLOOKUP(I141,'CONTACT REFERENCE'!$A$2:$P$399,4,FALSE)</f>
        <v>UNICAST ENGINEERED URETHANE PRODUCTS</v>
      </c>
      <c r="K141" s="42"/>
      <c r="L141" s="42">
        <v>153535</v>
      </c>
      <c r="M141" s="41"/>
      <c r="N141" s="41"/>
      <c r="O141" s="47" t="s">
        <v>2131</v>
      </c>
      <c r="P141" s="45" t="s">
        <v>141</v>
      </c>
      <c r="Q141" s="49" t="s">
        <v>120</v>
      </c>
      <c r="R141" s="48">
        <f>4*10.95</f>
        <v>43.8</v>
      </c>
      <c r="S141" s="41" t="s">
        <v>28</v>
      </c>
      <c r="T141" s="42" t="s">
        <v>2096</v>
      </c>
      <c r="U141" s="42" t="s">
        <v>2128</v>
      </c>
      <c r="V141" s="21"/>
      <c r="W141" s="78"/>
      <c r="X141" s="22"/>
      <c r="Y141" s="22"/>
      <c r="Z141" s="74" t="str">
        <f>CONCATENATE(Table1[[#This Row],[P.R NUMBER]],"-",Table1[[#This Row],[SR NO]])</f>
        <v>060312252020-989</v>
      </c>
    </row>
    <row r="142" spans="1:26" x14ac:dyDescent="0.25">
      <c r="A142" s="73"/>
      <c r="B142" s="42">
        <v>989</v>
      </c>
      <c r="C142" s="43">
        <v>41063</v>
      </c>
      <c r="D142" s="44" t="s">
        <v>122</v>
      </c>
      <c r="E142" s="76" t="s">
        <v>90</v>
      </c>
      <c r="F142" s="42" t="s">
        <v>1</v>
      </c>
      <c r="G142" s="49" t="s">
        <v>70</v>
      </c>
      <c r="H142" s="45" t="s">
        <v>2126</v>
      </c>
      <c r="I142" s="83" t="s">
        <v>311</v>
      </c>
      <c r="J142" s="52" t="str">
        <f>VLOOKUP(I142,'CONTACT REFERENCE'!$A$2:$P$399,4,FALSE)</f>
        <v>UNICAST ENGINEERED URETHANE PRODUCTS</v>
      </c>
      <c r="K142" s="42"/>
      <c r="L142" s="42">
        <v>153535</v>
      </c>
      <c r="M142" s="41"/>
      <c r="N142" s="41"/>
      <c r="O142" s="47" t="s">
        <v>2132</v>
      </c>
      <c r="P142" s="45" t="s">
        <v>128</v>
      </c>
      <c r="Q142" s="49" t="s">
        <v>120</v>
      </c>
      <c r="R142" s="48">
        <f>8*21.84</f>
        <v>174.72</v>
      </c>
      <c r="S142" s="41" t="s">
        <v>28</v>
      </c>
      <c r="T142" s="42" t="s">
        <v>2096</v>
      </c>
      <c r="U142" s="42" t="s">
        <v>2128</v>
      </c>
      <c r="V142" s="21"/>
      <c r="W142" s="78"/>
      <c r="X142" s="22"/>
      <c r="Y142" s="22"/>
      <c r="Z142" s="74" t="str">
        <f>CONCATENATE(Table1[[#This Row],[P.R NUMBER]],"-",Table1[[#This Row],[SR NO]])</f>
        <v>060312252020-989</v>
      </c>
    </row>
    <row r="143" spans="1:26" x14ac:dyDescent="0.25">
      <c r="A143" s="73"/>
      <c r="B143" s="42">
        <v>989</v>
      </c>
      <c r="C143" s="43">
        <v>41063</v>
      </c>
      <c r="D143" s="44" t="s">
        <v>122</v>
      </c>
      <c r="E143" s="76" t="s">
        <v>90</v>
      </c>
      <c r="F143" s="42" t="s">
        <v>1</v>
      </c>
      <c r="G143" s="49" t="s">
        <v>70</v>
      </c>
      <c r="H143" s="45" t="s">
        <v>2126</v>
      </c>
      <c r="I143" s="83" t="s">
        <v>311</v>
      </c>
      <c r="J143" s="52" t="str">
        <f>VLOOKUP(I143,'CONTACT REFERENCE'!$A$2:$P$399,4,FALSE)</f>
        <v>UNICAST ENGINEERED URETHANE PRODUCTS</v>
      </c>
      <c r="K143" s="42"/>
      <c r="L143" s="42">
        <v>153535</v>
      </c>
      <c r="M143" s="41"/>
      <c r="N143" s="41"/>
      <c r="O143" s="47" t="s">
        <v>2133</v>
      </c>
      <c r="P143" s="45" t="s">
        <v>141</v>
      </c>
      <c r="Q143" s="49" t="s">
        <v>120</v>
      </c>
      <c r="R143" s="48">
        <f>4*59.56</f>
        <v>238.24</v>
      </c>
      <c r="S143" s="41" t="s">
        <v>28</v>
      </c>
      <c r="T143" s="42" t="s">
        <v>2096</v>
      </c>
      <c r="U143" s="42" t="s">
        <v>2128</v>
      </c>
      <c r="V143" s="21"/>
      <c r="W143" s="78"/>
      <c r="X143" s="22"/>
      <c r="Y143" s="22"/>
      <c r="Z143" s="74" t="str">
        <f>CONCATENATE(Table1[[#This Row],[P.R NUMBER]],"-",Table1[[#This Row],[SR NO]])</f>
        <v>060312252020-989</v>
      </c>
    </row>
    <row r="144" spans="1:26" x14ac:dyDescent="0.25">
      <c r="A144" s="73"/>
      <c r="B144" s="42">
        <v>990</v>
      </c>
      <c r="C144" s="43">
        <v>41063</v>
      </c>
      <c r="D144" s="44" t="s">
        <v>122</v>
      </c>
      <c r="E144" s="76" t="s">
        <v>90</v>
      </c>
      <c r="F144" s="42" t="s">
        <v>1</v>
      </c>
      <c r="G144" s="49" t="s">
        <v>70</v>
      </c>
      <c r="H144" s="45" t="s">
        <v>2126</v>
      </c>
      <c r="I144" s="83" t="s">
        <v>1720</v>
      </c>
      <c r="J144" s="52" t="str">
        <f>VLOOKUP(I144,'CONTACT REFERENCE'!$A$2:$P$399,4,FALSE)</f>
        <v>AMERICAN HOLT CORP</v>
      </c>
      <c r="K144" s="42">
        <v>1028</v>
      </c>
      <c r="L144" s="42">
        <v>66757</v>
      </c>
      <c r="M144" s="41" t="s">
        <v>123</v>
      </c>
      <c r="N144" s="41"/>
      <c r="O144" s="47" t="s">
        <v>2071</v>
      </c>
      <c r="P144" s="45" t="s">
        <v>144</v>
      </c>
      <c r="Q144" s="49" t="s">
        <v>120</v>
      </c>
      <c r="R144" s="48">
        <v>468</v>
      </c>
      <c r="S144" s="41" t="s">
        <v>28</v>
      </c>
      <c r="T144" s="43">
        <v>41124</v>
      </c>
      <c r="U144" s="42" t="s">
        <v>2134</v>
      </c>
      <c r="V144" s="21"/>
      <c r="W144" s="78"/>
      <c r="X144" s="22"/>
      <c r="Y144" s="22"/>
      <c r="Z144" s="74" t="str">
        <f>CONCATENATE(Table1[[#This Row],[P.R NUMBER]],"-",Table1[[#This Row],[SR NO]])</f>
        <v>060312252020-990</v>
      </c>
    </row>
    <row r="145" spans="1:26" x14ac:dyDescent="0.25">
      <c r="A145" s="73"/>
      <c r="B145" s="42">
        <v>990</v>
      </c>
      <c r="C145" s="43">
        <v>41063</v>
      </c>
      <c r="D145" s="44" t="s">
        <v>122</v>
      </c>
      <c r="E145" s="76" t="s">
        <v>90</v>
      </c>
      <c r="F145" s="42" t="s">
        <v>1</v>
      </c>
      <c r="G145" s="49" t="s">
        <v>70</v>
      </c>
      <c r="H145" s="45" t="s">
        <v>2126</v>
      </c>
      <c r="I145" s="83" t="s">
        <v>1720</v>
      </c>
      <c r="J145" s="52" t="str">
        <f>VLOOKUP(I145,'CONTACT REFERENCE'!$A$2:$P$399,4,FALSE)</f>
        <v>AMERICAN HOLT CORP</v>
      </c>
      <c r="K145" s="42">
        <v>1048</v>
      </c>
      <c r="L145" s="42">
        <v>66757</v>
      </c>
      <c r="M145" s="41" t="s">
        <v>72</v>
      </c>
      <c r="N145" s="41"/>
      <c r="O145" s="47" t="s">
        <v>2135</v>
      </c>
      <c r="P145" s="45" t="s">
        <v>144</v>
      </c>
      <c r="Q145" s="49" t="s">
        <v>135</v>
      </c>
      <c r="R145" s="48">
        <v>216</v>
      </c>
      <c r="S145" s="41" t="s">
        <v>28</v>
      </c>
      <c r="T145" s="43">
        <v>41124</v>
      </c>
      <c r="U145" s="42" t="s">
        <v>2134</v>
      </c>
      <c r="V145" s="21"/>
      <c r="W145" s="78"/>
      <c r="X145" s="22"/>
      <c r="Y145" s="22"/>
      <c r="Z145" s="74" t="str">
        <f>CONCATENATE(Table1[[#This Row],[P.R NUMBER]],"-",Table1[[#This Row],[SR NO]])</f>
        <v>060312252020-990</v>
      </c>
    </row>
    <row r="146" spans="1:26" x14ac:dyDescent="0.25">
      <c r="A146" s="73"/>
      <c r="B146" s="42">
        <v>990</v>
      </c>
      <c r="C146" s="43">
        <v>41063</v>
      </c>
      <c r="D146" s="44" t="s">
        <v>122</v>
      </c>
      <c r="E146" s="76" t="s">
        <v>90</v>
      </c>
      <c r="F146" s="42" t="s">
        <v>1</v>
      </c>
      <c r="G146" s="49" t="s">
        <v>70</v>
      </c>
      <c r="H146" s="45" t="s">
        <v>2126</v>
      </c>
      <c r="I146" s="83" t="s">
        <v>1720</v>
      </c>
      <c r="J146" s="52" t="str">
        <f>VLOOKUP(I146,'CONTACT REFERENCE'!$A$2:$P$399,4,FALSE)</f>
        <v>AMERICAN HOLT CORP</v>
      </c>
      <c r="K146" s="42">
        <v>1048</v>
      </c>
      <c r="L146" s="42">
        <v>66757</v>
      </c>
      <c r="M146" s="41" t="s">
        <v>74</v>
      </c>
      <c r="N146" s="41"/>
      <c r="O146" s="47" t="s">
        <v>2136</v>
      </c>
      <c r="P146" s="45" t="s">
        <v>144</v>
      </c>
      <c r="Q146" s="49" t="s">
        <v>120</v>
      </c>
      <c r="R146" s="48">
        <v>192</v>
      </c>
      <c r="S146" s="41" t="s">
        <v>28</v>
      </c>
      <c r="T146" s="43">
        <v>41124</v>
      </c>
      <c r="U146" s="42" t="s">
        <v>2134</v>
      </c>
      <c r="V146" s="21"/>
      <c r="W146" s="78"/>
      <c r="X146" s="22"/>
      <c r="Y146" s="22"/>
      <c r="Z146" s="74" t="str">
        <f>CONCATENATE(Table1[[#This Row],[P.R NUMBER]],"-",Table1[[#This Row],[SR NO]])</f>
        <v>060312252020-990</v>
      </c>
    </row>
    <row r="147" spans="1:26" x14ac:dyDescent="0.25">
      <c r="A147" s="73"/>
      <c r="B147" s="42">
        <v>990</v>
      </c>
      <c r="C147" s="43">
        <v>41063</v>
      </c>
      <c r="D147" s="44" t="s">
        <v>122</v>
      </c>
      <c r="E147" s="76" t="s">
        <v>90</v>
      </c>
      <c r="F147" s="42" t="s">
        <v>1</v>
      </c>
      <c r="G147" s="49" t="s">
        <v>70</v>
      </c>
      <c r="H147" s="45" t="s">
        <v>2126</v>
      </c>
      <c r="I147" s="83" t="s">
        <v>1720</v>
      </c>
      <c r="J147" s="52" t="str">
        <f>VLOOKUP(I147,'CONTACT REFERENCE'!$A$2:$P$399,4,FALSE)</f>
        <v>AMERICAN HOLT CORP</v>
      </c>
      <c r="K147" s="42">
        <v>1048</v>
      </c>
      <c r="L147" s="42">
        <v>66757</v>
      </c>
      <c r="M147" s="41" t="s">
        <v>51</v>
      </c>
      <c r="N147" s="41"/>
      <c r="O147" s="47" t="s">
        <v>2137</v>
      </c>
      <c r="P147" s="45" t="s">
        <v>181</v>
      </c>
      <c r="Q147" s="49" t="s">
        <v>120</v>
      </c>
      <c r="R147" s="48">
        <v>720</v>
      </c>
      <c r="S147" s="41" t="s">
        <v>28</v>
      </c>
      <c r="T147" s="43">
        <v>41124</v>
      </c>
      <c r="U147" s="42" t="s">
        <v>2134</v>
      </c>
      <c r="V147" s="21"/>
      <c r="W147" s="78"/>
      <c r="X147" s="22"/>
      <c r="Y147" s="22"/>
      <c r="Z147" s="74" t="str">
        <f>CONCATENATE(Table1[[#This Row],[P.R NUMBER]],"-",Table1[[#This Row],[SR NO]])</f>
        <v>060312252020-990</v>
      </c>
    </row>
    <row r="148" spans="1:26" x14ac:dyDescent="0.25">
      <c r="A148" s="73"/>
      <c r="B148" s="42">
        <v>991</v>
      </c>
      <c r="C148" s="43">
        <v>41185</v>
      </c>
      <c r="D148" s="44" t="s">
        <v>122</v>
      </c>
      <c r="E148" s="76" t="s">
        <v>89</v>
      </c>
      <c r="F148" s="42" t="s">
        <v>1</v>
      </c>
      <c r="G148" s="49" t="s">
        <v>49</v>
      </c>
      <c r="H148" s="45" t="s">
        <v>2138</v>
      </c>
      <c r="I148" s="83" t="s">
        <v>262</v>
      </c>
      <c r="J148" s="52" t="str">
        <f>VLOOKUP(I148,'CONTACT REFERENCE'!$A$2:$P$399,4,FALSE)</f>
        <v>CURTIUS TRADING INC</v>
      </c>
      <c r="K148" s="42"/>
      <c r="L148" s="42">
        <v>20120048</v>
      </c>
      <c r="M148" s="41" t="s">
        <v>49</v>
      </c>
      <c r="N148" s="41"/>
      <c r="O148" s="47" t="s">
        <v>2139</v>
      </c>
      <c r="P148" s="45" t="s">
        <v>130</v>
      </c>
      <c r="Q148" s="49" t="s">
        <v>120</v>
      </c>
      <c r="R148" s="48">
        <v>32.880000000000003</v>
      </c>
      <c r="S148" s="41" t="s">
        <v>28</v>
      </c>
      <c r="T148" s="43">
        <v>41246</v>
      </c>
      <c r="U148" s="42" t="s">
        <v>2140</v>
      </c>
      <c r="V148" s="21"/>
      <c r="W148" s="78"/>
      <c r="X148" s="22"/>
      <c r="Y148" s="22"/>
      <c r="Z148" s="74" t="str">
        <f>CONCATENATE(Table1[[#This Row],[P.R NUMBER]],"-",Table1[[#This Row],[SR NO]])</f>
        <v>100312021020-991</v>
      </c>
    </row>
    <row r="149" spans="1:26" x14ac:dyDescent="0.25">
      <c r="A149" s="73"/>
      <c r="B149" s="42">
        <v>991</v>
      </c>
      <c r="C149" s="43">
        <v>41185</v>
      </c>
      <c r="D149" s="44" t="s">
        <v>122</v>
      </c>
      <c r="E149" s="76" t="s">
        <v>89</v>
      </c>
      <c r="F149" s="42" t="s">
        <v>1</v>
      </c>
      <c r="G149" s="49" t="s">
        <v>49</v>
      </c>
      <c r="H149" s="45" t="s">
        <v>2138</v>
      </c>
      <c r="I149" s="83" t="s">
        <v>262</v>
      </c>
      <c r="J149" s="52" t="str">
        <f>VLOOKUP(I149,'CONTACT REFERENCE'!$A$2:$P$399,4,FALSE)</f>
        <v>CURTIUS TRADING INC</v>
      </c>
      <c r="K149" s="42"/>
      <c r="L149" s="42">
        <v>20120048</v>
      </c>
      <c r="M149" s="41" t="s">
        <v>49</v>
      </c>
      <c r="N149" s="41"/>
      <c r="O149" s="47" t="s">
        <v>2141</v>
      </c>
      <c r="P149" s="45" t="s">
        <v>136</v>
      </c>
      <c r="Q149" s="49" t="s">
        <v>120</v>
      </c>
      <c r="R149" s="48">
        <v>10.199999999999999</v>
      </c>
      <c r="S149" s="41" t="s">
        <v>28</v>
      </c>
      <c r="T149" s="43">
        <v>41246</v>
      </c>
      <c r="U149" s="42" t="s">
        <v>2140</v>
      </c>
      <c r="V149" s="21"/>
      <c r="W149" s="78"/>
      <c r="X149" s="22"/>
      <c r="Y149" s="22"/>
      <c r="Z149" s="74" t="str">
        <f>CONCATENATE(Table1[[#This Row],[P.R NUMBER]],"-",Table1[[#This Row],[SR NO]])</f>
        <v>100312021020-991</v>
      </c>
    </row>
    <row r="150" spans="1:26" x14ac:dyDescent="0.25">
      <c r="A150" s="73"/>
      <c r="B150" s="42">
        <v>991</v>
      </c>
      <c r="C150" s="43">
        <v>41185</v>
      </c>
      <c r="D150" s="44" t="s">
        <v>122</v>
      </c>
      <c r="E150" s="76" t="s">
        <v>89</v>
      </c>
      <c r="F150" s="42" t="s">
        <v>1</v>
      </c>
      <c r="G150" s="49" t="s">
        <v>49</v>
      </c>
      <c r="H150" s="45" t="s">
        <v>2138</v>
      </c>
      <c r="I150" s="83" t="s">
        <v>262</v>
      </c>
      <c r="J150" s="52" t="str">
        <f>VLOOKUP(I150,'CONTACT REFERENCE'!$A$2:$P$399,4,FALSE)</f>
        <v>CURTIUS TRADING INC</v>
      </c>
      <c r="K150" s="42"/>
      <c r="L150" s="42">
        <v>20120048</v>
      </c>
      <c r="M150" s="41" t="s">
        <v>49</v>
      </c>
      <c r="N150" s="41"/>
      <c r="O150" s="47" t="s">
        <v>2142</v>
      </c>
      <c r="P150" s="45" t="s">
        <v>130</v>
      </c>
      <c r="Q150" s="49" t="s">
        <v>120</v>
      </c>
      <c r="R150" s="48">
        <v>61.68</v>
      </c>
      <c r="S150" s="41" t="s">
        <v>28</v>
      </c>
      <c r="T150" s="43">
        <v>41246</v>
      </c>
      <c r="U150" s="42" t="s">
        <v>2140</v>
      </c>
      <c r="V150" s="21"/>
      <c r="W150" s="78"/>
      <c r="X150" s="22"/>
      <c r="Y150" s="22"/>
      <c r="Z150" s="74" t="str">
        <f>CONCATENATE(Table1[[#This Row],[P.R NUMBER]],"-",Table1[[#This Row],[SR NO]])</f>
        <v>100312021020-991</v>
      </c>
    </row>
    <row r="151" spans="1:26" x14ac:dyDescent="0.25">
      <c r="A151" s="73"/>
      <c r="B151" s="42">
        <v>991</v>
      </c>
      <c r="C151" s="43">
        <v>41185</v>
      </c>
      <c r="D151" s="44" t="s">
        <v>122</v>
      </c>
      <c r="E151" s="76" t="s">
        <v>89</v>
      </c>
      <c r="F151" s="42" t="s">
        <v>1</v>
      </c>
      <c r="G151" s="49" t="s">
        <v>49</v>
      </c>
      <c r="H151" s="45" t="s">
        <v>2138</v>
      </c>
      <c r="I151" s="83" t="s">
        <v>262</v>
      </c>
      <c r="J151" s="52" t="str">
        <f>VLOOKUP(I151,'CONTACT REFERENCE'!$A$2:$P$399,4,FALSE)</f>
        <v>CURTIUS TRADING INC</v>
      </c>
      <c r="K151" s="42"/>
      <c r="L151" s="42">
        <v>20120048</v>
      </c>
      <c r="M151" s="41" t="s">
        <v>49</v>
      </c>
      <c r="N151" s="41"/>
      <c r="O151" s="47" t="s">
        <v>2143</v>
      </c>
      <c r="P151" s="45" t="s">
        <v>136</v>
      </c>
      <c r="Q151" s="49" t="s">
        <v>120</v>
      </c>
      <c r="R151" s="48">
        <v>14.54</v>
      </c>
      <c r="S151" s="41" t="s">
        <v>28</v>
      </c>
      <c r="T151" s="43">
        <v>41246</v>
      </c>
      <c r="U151" s="42" t="s">
        <v>2140</v>
      </c>
      <c r="V151" s="21"/>
      <c r="W151" s="78"/>
      <c r="X151" s="22"/>
      <c r="Y151" s="22"/>
      <c r="Z151" s="74" t="str">
        <f>CONCATENATE(Table1[[#This Row],[P.R NUMBER]],"-",Table1[[#This Row],[SR NO]])</f>
        <v>100312021020-991</v>
      </c>
    </row>
    <row r="152" spans="1:26" x14ac:dyDescent="0.25">
      <c r="A152" s="73"/>
      <c r="B152" s="42">
        <v>991</v>
      </c>
      <c r="C152" s="43">
        <v>41185</v>
      </c>
      <c r="D152" s="44" t="s">
        <v>122</v>
      </c>
      <c r="E152" s="76" t="s">
        <v>89</v>
      </c>
      <c r="F152" s="42" t="s">
        <v>1</v>
      </c>
      <c r="G152" s="49" t="s">
        <v>49</v>
      </c>
      <c r="H152" s="45" t="s">
        <v>2138</v>
      </c>
      <c r="I152" s="83" t="s">
        <v>262</v>
      </c>
      <c r="J152" s="52" t="str">
        <f>VLOOKUP(I152,'CONTACT REFERENCE'!$A$2:$P$399,4,FALSE)</f>
        <v>CURTIUS TRADING INC</v>
      </c>
      <c r="K152" s="42"/>
      <c r="L152" s="42">
        <v>20120048</v>
      </c>
      <c r="M152" s="41" t="s">
        <v>49</v>
      </c>
      <c r="N152" s="41"/>
      <c r="O152" s="47" t="s">
        <v>2144</v>
      </c>
      <c r="P152" s="45" t="s">
        <v>130</v>
      </c>
      <c r="Q152" s="49" t="s">
        <v>120</v>
      </c>
      <c r="R152" s="48">
        <v>110.76</v>
      </c>
      <c r="S152" s="41" t="s">
        <v>28</v>
      </c>
      <c r="T152" s="43">
        <v>41246</v>
      </c>
      <c r="U152" s="42" t="s">
        <v>2140</v>
      </c>
      <c r="V152" s="21"/>
      <c r="W152" s="78"/>
      <c r="X152" s="22"/>
      <c r="Y152" s="22"/>
      <c r="Z152" s="74" t="str">
        <f>CONCATENATE(Table1[[#This Row],[P.R NUMBER]],"-",Table1[[#This Row],[SR NO]])</f>
        <v>100312021020-991</v>
      </c>
    </row>
    <row r="153" spans="1:26" x14ac:dyDescent="0.25">
      <c r="A153" s="73"/>
      <c r="B153" s="42">
        <v>991</v>
      </c>
      <c r="C153" s="43">
        <v>41185</v>
      </c>
      <c r="D153" s="44" t="s">
        <v>122</v>
      </c>
      <c r="E153" s="76" t="s">
        <v>89</v>
      </c>
      <c r="F153" s="42" t="s">
        <v>1</v>
      </c>
      <c r="G153" s="49" t="s">
        <v>49</v>
      </c>
      <c r="H153" s="45" t="s">
        <v>2138</v>
      </c>
      <c r="I153" s="83" t="s">
        <v>262</v>
      </c>
      <c r="J153" s="52" t="str">
        <f>VLOOKUP(I153,'CONTACT REFERENCE'!$A$2:$P$399,4,FALSE)</f>
        <v>CURTIUS TRADING INC</v>
      </c>
      <c r="K153" s="42"/>
      <c r="L153" s="42">
        <v>20120048</v>
      </c>
      <c r="M153" s="41" t="s">
        <v>49</v>
      </c>
      <c r="N153" s="41"/>
      <c r="O153" s="47" t="s">
        <v>2145</v>
      </c>
      <c r="P153" s="45" t="s">
        <v>141</v>
      </c>
      <c r="Q153" s="49" t="s">
        <v>120</v>
      </c>
      <c r="R153" s="48">
        <v>47.12</v>
      </c>
      <c r="S153" s="41" t="s">
        <v>28</v>
      </c>
      <c r="T153" s="43">
        <v>41246</v>
      </c>
      <c r="U153" s="42" t="s">
        <v>2140</v>
      </c>
      <c r="V153" s="21"/>
      <c r="W153" s="78"/>
      <c r="X153" s="22"/>
      <c r="Y153" s="22"/>
      <c r="Z153" s="74" t="str">
        <f>CONCATENATE(Table1[[#This Row],[P.R NUMBER]],"-",Table1[[#This Row],[SR NO]])</f>
        <v>100312021020-991</v>
      </c>
    </row>
    <row r="154" spans="1:26" x14ac:dyDescent="0.25">
      <c r="A154" s="73"/>
      <c r="B154" s="42">
        <v>991</v>
      </c>
      <c r="C154" s="43">
        <v>41185</v>
      </c>
      <c r="D154" s="44" t="s">
        <v>122</v>
      </c>
      <c r="E154" s="76" t="s">
        <v>89</v>
      </c>
      <c r="F154" s="42" t="s">
        <v>1</v>
      </c>
      <c r="G154" s="49" t="s">
        <v>49</v>
      </c>
      <c r="H154" s="45" t="s">
        <v>2138</v>
      </c>
      <c r="I154" s="83" t="s">
        <v>262</v>
      </c>
      <c r="J154" s="52" t="str">
        <f>VLOOKUP(I154,'CONTACT REFERENCE'!$A$2:$P$399,4,FALSE)</f>
        <v>CURTIUS TRADING INC</v>
      </c>
      <c r="K154" s="42"/>
      <c r="L154" s="42">
        <v>20120048</v>
      </c>
      <c r="M154" s="41" t="s">
        <v>49</v>
      </c>
      <c r="N154" s="41"/>
      <c r="O154" s="47" t="s">
        <v>2146</v>
      </c>
      <c r="P154" s="45" t="s">
        <v>124</v>
      </c>
      <c r="Q154" s="49" t="s">
        <v>120</v>
      </c>
      <c r="R154" s="48">
        <v>135.44999999999999</v>
      </c>
      <c r="S154" s="41" t="s">
        <v>28</v>
      </c>
      <c r="T154" s="43">
        <v>41246</v>
      </c>
      <c r="U154" s="42" t="s">
        <v>2140</v>
      </c>
      <c r="V154" s="21"/>
      <c r="W154" s="78"/>
      <c r="X154" s="22"/>
      <c r="Y154" s="22"/>
      <c r="Z154" s="74" t="str">
        <f>CONCATENATE(Table1[[#This Row],[P.R NUMBER]],"-",Table1[[#This Row],[SR NO]])</f>
        <v>100312021020-991</v>
      </c>
    </row>
    <row r="155" spans="1:26" x14ac:dyDescent="0.25">
      <c r="A155" s="73"/>
      <c r="B155" s="42">
        <v>991</v>
      </c>
      <c r="C155" s="43">
        <v>41185</v>
      </c>
      <c r="D155" s="44" t="s">
        <v>122</v>
      </c>
      <c r="E155" s="76" t="s">
        <v>89</v>
      </c>
      <c r="F155" s="42" t="s">
        <v>1</v>
      </c>
      <c r="G155" s="49" t="s">
        <v>49</v>
      </c>
      <c r="H155" s="45" t="s">
        <v>2138</v>
      </c>
      <c r="I155" s="83" t="s">
        <v>262</v>
      </c>
      <c r="J155" s="52" t="str">
        <f>VLOOKUP(I155,'CONTACT REFERENCE'!$A$2:$P$399,4,FALSE)</f>
        <v>CURTIUS TRADING INC</v>
      </c>
      <c r="K155" s="42"/>
      <c r="L155" s="42">
        <v>20120048</v>
      </c>
      <c r="M155" s="41" t="s">
        <v>49</v>
      </c>
      <c r="N155" s="41"/>
      <c r="O155" s="47" t="s">
        <v>2147</v>
      </c>
      <c r="P155" s="45" t="s">
        <v>124</v>
      </c>
      <c r="Q155" s="49" t="s">
        <v>120</v>
      </c>
      <c r="R155" s="48">
        <v>18.39</v>
      </c>
      <c r="S155" s="41" t="s">
        <v>28</v>
      </c>
      <c r="T155" s="43">
        <v>41246</v>
      </c>
      <c r="U155" s="42" t="s">
        <v>2140</v>
      </c>
      <c r="V155" s="21"/>
      <c r="W155" s="78"/>
      <c r="X155" s="22"/>
      <c r="Y155" s="22"/>
      <c r="Z155" s="74" t="str">
        <f>CONCATENATE(Table1[[#This Row],[P.R NUMBER]],"-",Table1[[#This Row],[SR NO]])</f>
        <v>100312021020-991</v>
      </c>
    </row>
    <row r="156" spans="1:26" x14ac:dyDescent="0.25">
      <c r="A156" s="73"/>
      <c r="B156" s="42">
        <v>991</v>
      </c>
      <c r="C156" s="43">
        <v>41185</v>
      </c>
      <c r="D156" s="44" t="s">
        <v>122</v>
      </c>
      <c r="E156" s="76" t="s">
        <v>89</v>
      </c>
      <c r="F156" s="42" t="s">
        <v>1</v>
      </c>
      <c r="G156" s="49" t="s">
        <v>49</v>
      </c>
      <c r="H156" s="45" t="s">
        <v>2138</v>
      </c>
      <c r="I156" s="83" t="s">
        <v>262</v>
      </c>
      <c r="J156" s="52" t="str">
        <f>VLOOKUP(I156,'CONTACT REFERENCE'!$A$2:$P$399,4,FALSE)</f>
        <v>CURTIUS TRADING INC</v>
      </c>
      <c r="K156" s="42"/>
      <c r="L156" s="42">
        <v>20120048</v>
      </c>
      <c r="M156" s="41" t="s">
        <v>49</v>
      </c>
      <c r="N156" s="41"/>
      <c r="O156" s="47" t="s">
        <v>2148</v>
      </c>
      <c r="P156" s="45" t="s">
        <v>126</v>
      </c>
      <c r="Q156" s="49" t="s">
        <v>120</v>
      </c>
      <c r="R156" s="48">
        <v>51</v>
      </c>
      <c r="S156" s="41" t="s">
        <v>28</v>
      </c>
      <c r="T156" s="43">
        <v>41246</v>
      </c>
      <c r="U156" s="42" t="s">
        <v>2140</v>
      </c>
      <c r="V156" s="21"/>
      <c r="W156" s="78"/>
      <c r="X156" s="22"/>
      <c r="Y156" s="22"/>
      <c r="Z156" s="74" t="str">
        <f>CONCATENATE(Table1[[#This Row],[P.R NUMBER]],"-",Table1[[#This Row],[SR NO]])</f>
        <v>100312021020-991</v>
      </c>
    </row>
    <row r="157" spans="1:26" x14ac:dyDescent="0.25">
      <c r="A157" s="73"/>
      <c r="B157" s="42">
        <v>991</v>
      </c>
      <c r="C157" s="43">
        <v>41185</v>
      </c>
      <c r="D157" s="44" t="s">
        <v>122</v>
      </c>
      <c r="E157" s="76" t="s">
        <v>89</v>
      </c>
      <c r="F157" s="42" t="s">
        <v>1</v>
      </c>
      <c r="G157" s="49" t="s">
        <v>49</v>
      </c>
      <c r="H157" s="45" t="s">
        <v>2138</v>
      </c>
      <c r="I157" s="83" t="s">
        <v>262</v>
      </c>
      <c r="J157" s="52" t="str">
        <f>VLOOKUP(I157,'CONTACT REFERENCE'!$A$2:$P$399,4,FALSE)</f>
        <v>CURTIUS TRADING INC</v>
      </c>
      <c r="K157" s="42"/>
      <c r="L157" s="42">
        <v>20120048</v>
      </c>
      <c r="M157" s="41" t="s">
        <v>49</v>
      </c>
      <c r="N157" s="41"/>
      <c r="O157" s="47" t="s">
        <v>2149</v>
      </c>
      <c r="P157" s="45" t="s">
        <v>126</v>
      </c>
      <c r="Q157" s="49" t="s">
        <v>120</v>
      </c>
      <c r="R157" s="48">
        <v>48.95</v>
      </c>
      <c r="S157" s="41" t="s">
        <v>28</v>
      </c>
      <c r="T157" s="43">
        <v>41246</v>
      </c>
      <c r="U157" s="42" t="s">
        <v>2140</v>
      </c>
      <c r="V157" s="21"/>
      <c r="W157" s="78"/>
      <c r="X157" s="22"/>
      <c r="Y157" s="22"/>
      <c r="Z157" s="74" t="str">
        <f>CONCATENATE(Table1[[#This Row],[P.R NUMBER]],"-",Table1[[#This Row],[SR NO]])</f>
        <v>100312021020-991</v>
      </c>
    </row>
    <row r="158" spans="1:26" x14ac:dyDescent="0.25">
      <c r="A158" s="73"/>
      <c r="B158" s="42">
        <v>991</v>
      </c>
      <c r="C158" s="43">
        <v>41185</v>
      </c>
      <c r="D158" s="44" t="s">
        <v>122</v>
      </c>
      <c r="E158" s="76" t="s">
        <v>89</v>
      </c>
      <c r="F158" s="42" t="s">
        <v>1</v>
      </c>
      <c r="G158" s="49" t="s">
        <v>49</v>
      </c>
      <c r="H158" s="45" t="s">
        <v>2138</v>
      </c>
      <c r="I158" s="83" t="s">
        <v>262</v>
      </c>
      <c r="J158" s="52" t="str">
        <f>VLOOKUP(I158,'CONTACT REFERENCE'!$A$2:$P$399,4,FALSE)</f>
        <v>CURTIUS TRADING INC</v>
      </c>
      <c r="K158" s="42"/>
      <c r="L158" s="42">
        <v>20120048</v>
      </c>
      <c r="M158" s="41" t="s">
        <v>49</v>
      </c>
      <c r="N158" s="41"/>
      <c r="O158" s="47" t="s">
        <v>2150</v>
      </c>
      <c r="P158" s="45" t="s">
        <v>124</v>
      </c>
      <c r="Q158" s="49" t="s">
        <v>120</v>
      </c>
      <c r="R158" s="48">
        <v>138.82</v>
      </c>
      <c r="S158" s="41" t="s">
        <v>28</v>
      </c>
      <c r="T158" s="43">
        <v>41246</v>
      </c>
      <c r="U158" s="42" t="s">
        <v>2140</v>
      </c>
      <c r="V158" s="21"/>
      <c r="W158" s="78"/>
      <c r="X158" s="22"/>
      <c r="Y158" s="22"/>
      <c r="Z158" s="74" t="str">
        <f>CONCATENATE(Table1[[#This Row],[P.R NUMBER]],"-",Table1[[#This Row],[SR NO]])</f>
        <v>100312021020-991</v>
      </c>
    </row>
    <row r="159" spans="1:26" x14ac:dyDescent="0.25">
      <c r="A159" s="73"/>
      <c r="B159" s="42">
        <v>991</v>
      </c>
      <c r="C159" s="43">
        <v>41185</v>
      </c>
      <c r="D159" s="44" t="s">
        <v>122</v>
      </c>
      <c r="E159" s="76" t="s">
        <v>89</v>
      </c>
      <c r="F159" s="42" t="s">
        <v>1</v>
      </c>
      <c r="G159" s="49" t="s">
        <v>49</v>
      </c>
      <c r="H159" s="45" t="s">
        <v>2138</v>
      </c>
      <c r="I159" s="83" t="s">
        <v>262</v>
      </c>
      <c r="J159" s="52" t="str">
        <f>VLOOKUP(I159,'CONTACT REFERENCE'!$A$2:$P$399,4,FALSE)</f>
        <v>CURTIUS TRADING INC</v>
      </c>
      <c r="K159" s="42"/>
      <c r="L159" s="42">
        <v>20120048</v>
      </c>
      <c r="M159" s="41" t="s">
        <v>49</v>
      </c>
      <c r="N159" s="41"/>
      <c r="O159" s="47" t="s">
        <v>2151</v>
      </c>
      <c r="P159" s="45" t="s">
        <v>144</v>
      </c>
      <c r="Q159" s="49" t="s">
        <v>120</v>
      </c>
      <c r="R159" s="48">
        <v>552.24</v>
      </c>
      <c r="S159" s="41" t="s">
        <v>28</v>
      </c>
      <c r="T159" s="43">
        <v>41246</v>
      </c>
      <c r="U159" s="42" t="s">
        <v>2140</v>
      </c>
      <c r="V159" s="21"/>
      <c r="W159" s="78"/>
      <c r="X159" s="22"/>
      <c r="Y159" s="22"/>
      <c r="Z159" s="74" t="str">
        <f>CONCATENATE(Table1[[#This Row],[P.R NUMBER]],"-",Table1[[#This Row],[SR NO]])</f>
        <v>100312021020-991</v>
      </c>
    </row>
    <row r="160" spans="1:26" x14ac:dyDescent="0.25">
      <c r="A160" s="73"/>
      <c r="B160" s="42">
        <v>991</v>
      </c>
      <c r="C160" s="43">
        <v>41185</v>
      </c>
      <c r="D160" s="44" t="s">
        <v>122</v>
      </c>
      <c r="E160" s="76" t="s">
        <v>89</v>
      </c>
      <c r="F160" s="42" t="s">
        <v>1</v>
      </c>
      <c r="G160" s="49" t="s">
        <v>49</v>
      </c>
      <c r="H160" s="45" t="s">
        <v>2138</v>
      </c>
      <c r="I160" s="83" t="s">
        <v>262</v>
      </c>
      <c r="J160" s="52" t="str">
        <f>VLOOKUP(I160,'CONTACT REFERENCE'!$A$2:$P$399,4,FALSE)</f>
        <v>CURTIUS TRADING INC</v>
      </c>
      <c r="K160" s="42"/>
      <c r="L160" s="42">
        <v>20120048</v>
      </c>
      <c r="M160" s="41" t="s">
        <v>49</v>
      </c>
      <c r="N160" s="41"/>
      <c r="O160" s="47" t="s">
        <v>2152</v>
      </c>
      <c r="P160" s="45" t="s">
        <v>124</v>
      </c>
      <c r="Q160" s="49" t="s">
        <v>120</v>
      </c>
      <c r="R160" s="48">
        <v>85</v>
      </c>
      <c r="S160" s="41" t="s">
        <v>28</v>
      </c>
      <c r="T160" s="43">
        <v>41246</v>
      </c>
      <c r="U160" s="42" t="s">
        <v>2140</v>
      </c>
      <c r="V160" s="21"/>
      <c r="W160" s="78"/>
      <c r="X160" s="22"/>
      <c r="Y160" s="22"/>
      <c r="Z160" s="74" t="str">
        <f>CONCATENATE(Table1[[#This Row],[P.R NUMBER]],"-",Table1[[#This Row],[SR NO]])</f>
        <v>100312021020-991</v>
      </c>
    </row>
    <row r="161" spans="1:26" x14ac:dyDescent="0.25">
      <c r="A161" s="73"/>
      <c r="B161" s="42">
        <v>991</v>
      </c>
      <c r="C161" s="43">
        <v>41185</v>
      </c>
      <c r="D161" s="44" t="s">
        <v>122</v>
      </c>
      <c r="E161" s="76" t="s">
        <v>89</v>
      </c>
      <c r="F161" s="42" t="s">
        <v>1</v>
      </c>
      <c r="G161" s="49" t="s">
        <v>49</v>
      </c>
      <c r="H161" s="45" t="s">
        <v>2138</v>
      </c>
      <c r="I161" s="83" t="s">
        <v>262</v>
      </c>
      <c r="J161" s="52" t="str">
        <f>VLOOKUP(I161,'CONTACT REFERENCE'!$A$2:$P$399,4,FALSE)</f>
        <v>CURTIUS TRADING INC</v>
      </c>
      <c r="K161" s="42"/>
      <c r="L161" s="42">
        <v>20120048</v>
      </c>
      <c r="M161" s="41" t="s">
        <v>49</v>
      </c>
      <c r="N161" s="41"/>
      <c r="O161" s="47" t="s">
        <v>196</v>
      </c>
      <c r="P161" s="45" t="s">
        <v>124</v>
      </c>
      <c r="Q161" s="49" t="s">
        <v>120</v>
      </c>
      <c r="R161" s="48">
        <v>35</v>
      </c>
      <c r="S161" s="41" t="s">
        <v>28</v>
      </c>
      <c r="T161" s="43">
        <v>41246</v>
      </c>
      <c r="U161" s="42" t="s">
        <v>2140</v>
      </c>
      <c r="V161" s="21"/>
      <c r="W161" s="78"/>
      <c r="X161" s="22"/>
      <c r="Y161" s="22"/>
      <c r="Z161" s="74" t="str">
        <f>CONCATENATE(Table1[[#This Row],[P.R NUMBER]],"-",Table1[[#This Row],[SR NO]])</f>
        <v>100312021020-991</v>
      </c>
    </row>
    <row r="162" spans="1:26" x14ac:dyDescent="0.25">
      <c r="A162" s="73"/>
      <c r="B162" s="42">
        <v>992</v>
      </c>
      <c r="C162" s="43">
        <v>41185</v>
      </c>
      <c r="D162" s="44" t="s">
        <v>118</v>
      </c>
      <c r="E162" s="76" t="s">
        <v>90</v>
      </c>
      <c r="F162" s="42" t="s">
        <v>1</v>
      </c>
      <c r="G162" s="49" t="s">
        <v>49</v>
      </c>
      <c r="H162" s="45" t="s">
        <v>2153</v>
      </c>
      <c r="I162" s="83" t="s">
        <v>460</v>
      </c>
      <c r="J162" s="52" t="str">
        <f>VLOOKUP(I162,'CONTACT REFERENCE'!$A$2:$P$399,4,FALSE)</f>
        <v>A-1 ENGINEERING</v>
      </c>
      <c r="K162" s="42">
        <v>5673</v>
      </c>
      <c r="L162" s="42">
        <v>8679</v>
      </c>
      <c r="M162" s="41" t="s">
        <v>49</v>
      </c>
      <c r="N162" s="41"/>
      <c r="O162" s="47" t="s">
        <v>2154</v>
      </c>
      <c r="P162" s="45" t="s">
        <v>124</v>
      </c>
      <c r="Q162" s="49" t="s">
        <v>120</v>
      </c>
      <c r="R162" s="48">
        <v>1800</v>
      </c>
      <c r="S162" s="41" t="s">
        <v>29</v>
      </c>
      <c r="T162" s="42" t="s">
        <v>1981</v>
      </c>
      <c r="U162" s="42"/>
      <c r="V162" s="21"/>
      <c r="W162" s="78"/>
      <c r="X162" s="22"/>
      <c r="Y162" s="22"/>
      <c r="Z162" s="74" t="str">
        <f>CONCATENATE(Table1[[#This Row],[P.R NUMBER]],"-",Table1[[#This Row],[SR NO]])</f>
        <v>100312022020-992</v>
      </c>
    </row>
    <row r="163" spans="1:26" x14ac:dyDescent="0.25">
      <c r="A163" s="73"/>
      <c r="B163" s="42">
        <v>993</v>
      </c>
      <c r="C163" s="43">
        <v>41185</v>
      </c>
      <c r="D163" s="44" t="s">
        <v>122</v>
      </c>
      <c r="E163" s="76" t="s">
        <v>91</v>
      </c>
      <c r="F163" s="42" t="s">
        <v>88</v>
      </c>
      <c r="G163" s="49" t="s">
        <v>70</v>
      </c>
      <c r="H163" s="45" t="s">
        <v>2155</v>
      </c>
      <c r="I163" s="83" t="s">
        <v>262</v>
      </c>
      <c r="J163" s="52" t="str">
        <f>VLOOKUP(I163,'CONTACT REFERENCE'!$A$2:$P$399,4,FALSE)</f>
        <v>CURTIUS TRADING INC</v>
      </c>
      <c r="K163" s="42"/>
      <c r="L163" s="42">
        <v>20120060</v>
      </c>
      <c r="M163" s="41"/>
      <c r="N163" s="41"/>
      <c r="O163" s="47" t="s">
        <v>2156</v>
      </c>
      <c r="P163" s="45" t="s">
        <v>136</v>
      </c>
      <c r="Q163" s="49" t="s">
        <v>135</v>
      </c>
      <c r="R163" s="48">
        <v>445</v>
      </c>
      <c r="S163" s="41" t="s">
        <v>28</v>
      </c>
      <c r="T163" s="42" t="s">
        <v>2045</v>
      </c>
      <c r="U163" s="42" t="s">
        <v>2157</v>
      </c>
      <c r="V163" s="21"/>
      <c r="W163" s="78"/>
      <c r="X163" s="22"/>
      <c r="Y163" s="22"/>
      <c r="Z163" s="74" t="str">
        <f>CONCATENATE(Table1[[#This Row],[P.R NUMBER]],"-",Table1[[#This Row],[SR NO]])</f>
        <v>100312253060-993</v>
      </c>
    </row>
    <row r="164" spans="1:26" x14ac:dyDescent="0.25">
      <c r="A164" s="73"/>
      <c r="B164" s="42">
        <v>994</v>
      </c>
      <c r="C164" s="43">
        <v>41185</v>
      </c>
      <c r="D164" s="44" t="s">
        <v>118</v>
      </c>
      <c r="E164" s="76" t="s">
        <v>90</v>
      </c>
      <c r="F164" s="42" t="s">
        <v>1</v>
      </c>
      <c r="G164" s="49" t="s">
        <v>49</v>
      </c>
      <c r="H164" s="45" t="s">
        <v>2153</v>
      </c>
      <c r="I164" s="83" t="s">
        <v>460</v>
      </c>
      <c r="J164" s="52" t="str">
        <f>VLOOKUP(I164,'CONTACT REFERENCE'!$A$2:$P$399,4,FALSE)</f>
        <v>A-1 ENGINEERING</v>
      </c>
      <c r="K164" s="42">
        <v>5316</v>
      </c>
      <c r="L164" s="42">
        <v>994</v>
      </c>
      <c r="M164" s="41" t="s">
        <v>49</v>
      </c>
      <c r="N164" s="41"/>
      <c r="O164" s="47" t="s">
        <v>2158</v>
      </c>
      <c r="P164" s="45" t="s">
        <v>124</v>
      </c>
      <c r="Q164" s="49" t="s">
        <v>140</v>
      </c>
      <c r="R164" s="48">
        <v>1300</v>
      </c>
      <c r="S164" s="41" t="s">
        <v>29</v>
      </c>
      <c r="T164" s="42" t="s">
        <v>1981</v>
      </c>
      <c r="U164" s="42"/>
      <c r="V164" s="21"/>
      <c r="W164" s="78"/>
      <c r="X164" s="22"/>
      <c r="Y164" s="22"/>
      <c r="Z164" s="74" t="str">
        <f>CONCATENATE(Table1[[#This Row],[P.R NUMBER]],"-",Table1[[#This Row],[SR NO]])</f>
        <v>100312022020-994</v>
      </c>
    </row>
    <row r="165" spans="1:26" x14ac:dyDescent="0.25">
      <c r="A165" s="73"/>
      <c r="B165" s="42">
        <v>995</v>
      </c>
      <c r="C165" s="43">
        <v>41185</v>
      </c>
      <c r="D165" s="44" t="s">
        <v>118</v>
      </c>
      <c r="E165" s="76" t="s">
        <v>90</v>
      </c>
      <c r="F165" s="42" t="s">
        <v>1</v>
      </c>
      <c r="G165" s="49" t="s">
        <v>49</v>
      </c>
      <c r="H165" s="45" t="s">
        <v>2153</v>
      </c>
      <c r="I165" s="83" t="s">
        <v>460</v>
      </c>
      <c r="J165" s="52" t="str">
        <f>VLOOKUP(I165,'CONTACT REFERENCE'!$A$2:$P$399,4,FALSE)</f>
        <v>A-1 ENGINEERING</v>
      </c>
      <c r="K165" s="42">
        <v>5315</v>
      </c>
      <c r="L165" s="42">
        <v>8681</v>
      </c>
      <c r="M165" s="41" t="s">
        <v>49</v>
      </c>
      <c r="N165" s="41"/>
      <c r="O165" s="47" t="s">
        <v>2159</v>
      </c>
      <c r="P165" s="45" t="s">
        <v>136</v>
      </c>
      <c r="Q165" s="49" t="s">
        <v>120</v>
      </c>
      <c r="R165" s="48">
        <v>900</v>
      </c>
      <c r="S165" s="41" t="s">
        <v>29</v>
      </c>
      <c r="T165" s="42" t="s">
        <v>1981</v>
      </c>
      <c r="U165" s="42"/>
      <c r="V165" s="21"/>
      <c r="W165" s="78"/>
      <c r="X165" s="22"/>
      <c r="Y165" s="22"/>
      <c r="Z165" s="74" t="str">
        <f>CONCATENATE(Table1[[#This Row],[P.R NUMBER]],"-",Table1[[#This Row],[SR NO]])</f>
        <v>100312022020-995</v>
      </c>
    </row>
    <row r="166" spans="1:26" x14ac:dyDescent="0.25">
      <c r="A166" s="73"/>
      <c r="B166" s="42">
        <v>996</v>
      </c>
      <c r="C166" s="43">
        <v>41185</v>
      </c>
      <c r="D166" s="44" t="s">
        <v>118</v>
      </c>
      <c r="E166" s="76" t="s">
        <v>90</v>
      </c>
      <c r="F166" s="42" t="s">
        <v>1</v>
      </c>
      <c r="G166" s="49" t="s">
        <v>57</v>
      </c>
      <c r="H166" s="45" t="s">
        <v>2160</v>
      </c>
      <c r="I166" s="83" t="s">
        <v>119</v>
      </c>
      <c r="J166" s="52" t="str">
        <f>VLOOKUP(I166,'CONTACT REFERENCE'!$A$2:$P$399,4,FALSE)</f>
        <v>AL DOBOWI TYRE COMPANY LLC</v>
      </c>
      <c r="K166" s="42" t="s">
        <v>2161</v>
      </c>
      <c r="L166" s="42">
        <v>317788</v>
      </c>
      <c r="M166" s="41" t="s">
        <v>57</v>
      </c>
      <c r="N166" s="41"/>
      <c r="O166" s="47" t="s">
        <v>2162</v>
      </c>
      <c r="P166" s="45" t="s">
        <v>136</v>
      </c>
      <c r="Q166" s="49" t="s">
        <v>120</v>
      </c>
      <c r="R166" s="48">
        <v>300</v>
      </c>
      <c r="S166" s="41" t="s">
        <v>29</v>
      </c>
      <c r="T166" s="42" t="s">
        <v>1997</v>
      </c>
      <c r="U166" s="42"/>
      <c r="V166" s="21"/>
      <c r="W166" s="78"/>
      <c r="X166" s="22"/>
      <c r="Y166" s="22"/>
      <c r="Z166" s="74" t="str">
        <f>CONCATENATE(Table1[[#This Row],[P.R NUMBER]],"-",Table1[[#This Row],[SR NO]])</f>
        <v>100312112020-996</v>
      </c>
    </row>
    <row r="167" spans="1:26" x14ac:dyDescent="0.25">
      <c r="A167" s="73"/>
      <c r="B167" s="42">
        <v>996</v>
      </c>
      <c r="C167" s="43">
        <v>41185</v>
      </c>
      <c r="D167" s="44" t="s">
        <v>118</v>
      </c>
      <c r="E167" s="76" t="s">
        <v>90</v>
      </c>
      <c r="F167" s="42" t="s">
        <v>1</v>
      </c>
      <c r="G167" s="49" t="s">
        <v>57</v>
      </c>
      <c r="H167" s="45" t="s">
        <v>2160</v>
      </c>
      <c r="I167" s="83" t="s">
        <v>119</v>
      </c>
      <c r="J167" s="52" t="str">
        <f>VLOOKUP(I167,'CONTACT REFERENCE'!$A$2:$P$399,4,FALSE)</f>
        <v>AL DOBOWI TYRE COMPANY LLC</v>
      </c>
      <c r="K167" s="42" t="s">
        <v>2161</v>
      </c>
      <c r="L167" s="42">
        <v>317788</v>
      </c>
      <c r="M167" s="41" t="s">
        <v>57</v>
      </c>
      <c r="N167" s="41"/>
      <c r="O167" s="47" t="s">
        <v>2163</v>
      </c>
      <c r="P167" s="45" t="s">
        <v>136</v>
      </c>
      <c r="Q167" s="49" t="s">
        <v>120</v>
      </c>
      <c r="R167" s="48">
        <v>300</v>
      </c>
      <c r="S167" s="41" t="s">
        <v>29</v>
      </c>
      <c r="T167" s="42" t="s">
        <v>1997</v>
      </c>
      <c r="U167" s="42"/>
      <c r="V167" s="21"/>
      <c r="W167" s="78"/>
      <c r="X167" s="22"/>
      <c r="Y167" s="22"/>
      <c r="Z167" s="74" t="str">
        <f>CONCATENATE(Table1[[#This Row],[P.R NUMBER]],"-",Table1[[#This Row],[SR NO]])</f>
        <v>100312112020-996</v>
      </c>
    </row>
    <row r="168" spans="1:26" x14ac:dyDescent="0.25">
      <c r="A168" s="73"/>
      <c r="B168" s="42">
        <v>996</v>
      </c>
      <c r="C168" s="43">
        <v>41185</v>
      </c>
      <c r="D168" s="44" t="s">
        <v>118</v>
      </c>
      <c r="E168" s="76" t="s">
        <v>90</v>
      </c>
      <c r="F168" s="42" t="s">
        <v>1</v>
      </c>
      <c r="G168" s="49" t="s">
        <v>57</v>
      </c>
      <c r="H168" s="45" t="s">
        <v>2160</v>
      </c>
      <c r="I168" s="83" t="s">
        <v>119</v>
      </c>
      <c r="J168" s="52" t="str">
        <f>VLOOKUP(I168,'CONTACT REFERENCE'!$A$2:$P$399,4,FALSE)</f>
        <v>AL DOBOWI TYRE COMPANY LLC</v>
      </c>
      <c r="K168" s="42" t="s">
        <v>2161</v>
      </c>
      <c r="L168" s="42">
        <v>317788</v>
      </c>
      <c r="M168" s="41" t="s">
        <v>57</v>
      </c>
      <c r="N168" s="41"/>
      <c r="O168" s="47" t="s">
        <v>2164</v>
      </c>
      <c r="P168" s="45" t="s">
        <v>124</v>
      </c>
      <c r="Q168" s="49" t="s">
        <v>120</v>
      </c>
      <c r="R168" s="48">
        <v>125</v>
      </c>
      <c r="S168" s="41" t="s">
        <v>29</v>
      </c>
      <c r="T168" s="42" t="s">
        <v>1997</v>
      </c>
      <c r="U168" s="42"/>
      <c r="V168" s="21"/>
      <c r="W168" s="78"/>
      <c r="X168" s="22"/>
      <c r="Y168" s="22"/>
      <c r="Z168" s="74" t="str">
        <f>CONCATENATE(Table1[[#This Row],[P.R NUMBER]],"-",Table1[[#This Row],[SR NO]])</f>
        <v>100312112020-996</v>
      </c>
    </row>
    <row r="169" spans="1:26" x14ac:dyDescent="0.25">
      <c r="A169" s="73"/>
      <c r="B169" s="42">
        <v>997</v>
      </c>
      <c r="C169" s="43">
        <v>41246</v>
      </c>
      <c r="D169" s="44" t="s">
        <v>118</v>
      </c>
      <c r="E169" s="76" t="s">
        <v>90</v>
      </c>
      <c r="F169" s="42" t="s">
        <v>1</v>
      </c>
      <c r="G169" s="49" t="s">
        <v>70</v>
      </c>
      <c r="H169" s="45" t="s">
        <v>2165</v>
      </c>
      <c r="I169" s="83" t="s">
        <v>625</v>
      </c>
      <c r="J169" s="52" t="str">
        <f>VLOOKUP(I169,'CONTACT REFERENCE'!$A$2:$P$399,4,FALSE)</f>
        <v>AL MAHBOOB OIL &amp; INDUSTRIAL PROD TRD EST</v>
      </c>
      <c r="K169" s="42"/>
      <c r="L169" s="42">
        <v>317788</v>
      </c>
      <c r="M169" s="41"/>
      <c r="N169" s="41"/>
      <c r="O169" s="47" t="s">
        <v>2166</v>
      </c>
      <c r="P169" s="45" t="s">
        <v>124</v>
      </c>
      <c r="Q169" s="49" t="s">
        <v>208</v>
      </c>
      <c r="R169" s="48">
        <v>1417</v>
      </c>
      <c r="S169" s="41" t="s">
        <v>29</v>
      </c>
      <c r="T169" s="43">
        <v>41093</v>
      </c>
      <c r="U169" s="42"/>
      <c r="V169" s="21"/>
      <c r="W169" s="78"/>
      <c r="X169" s="22"/>
      <c r="Y169" s="22"/>
      <c r="Z169" s="74" t="str">
        <f>CONCATENATE(Table1[[#This Row],[P.R NUMBER]],"-",Table1[[#This Row],[SR NO]])</f>
        <v>120312252020-997</v>
      </c>
    </row>
    <row r="170" spans="1:26" x14ac:dyDescent="0.25">
      <c r="A170" s="73"/>
      <c r="B170" s="42">
        <v>998</v>
      </c>
      <c r="C170" s="43">
        <v>41246</v>
      </c>
      <c r="D170" s="44" t="s">
        <v>118</v>
      </c>
      <c r="E170" s="76" t="s">
        <v>89</v>
      </c>
      <c r="F170" s="42" t="s">
        <v>0</v>
      </c>
      <c r="G170" s="49" t="s">
        <v>49</v>
      </c>
      <c r="H170" s="45" t="s">
        <v>2167</v>
      </c>
      <c r="I170" s="83" t="s">
        <v>448</v>
      </c>
      <c r="J170" s="52" t="str">
        <f>VLOOKUP(I170,'CONTACT REFERENCE'!$A$2:$P$399,4,FALSE)</f>
        <v>VISION GATE ELECTRONICS</v>
      </c>
      <c r="K170" s="42"/>
      <c r="L170" s="42" t="s">
        <v>2168</v>
      </c>
      <c r="M170" s="41"/>
      <c r="N170" s="41"/>
      <c r="O170" s="47" t="s">
        <v>2169</v>
      </c>
      <c r="P170" s="45" t="s">
        <v>124</v>
      </c>
      <c r="Q170" s="49" t="s">
        <v>120</v>
      </c>
      <c r="R170" s="48">
        <v>700</v>
      </c>
      <c r="S170" s="41" t="s">
        <v>29</v>
      </c>
      <c r="T170" s="43">
        <v>41185</v>
      </c>
      <c r="U170" s="42"/>
      <c r="V170" s="21"/>
      <c r="W170" s="78"/>
      <c r="X170" s="22"/>
      <c r="Y170" s="22"/>
      <c r="Z170" s="74" t="str">
        <f>CONCATENATE(Table1[[#This Row],[P.R NUMBER]],"-",Table1[[#This Row],[SR NO]])</f>
        <v>120312021010-998</v>
      </c>
    </row>
    <row r="171" spans="1:26" x14ac:dyDescent="0.25">
      <c r="A171" s="73"/>
      <c r="B171" s="42">
        <v>999</v>
      </c>
      <c r="C171" s="43">
        <v>41246</v>
      </c>
      <c r="D171" s="44" t="s">
        <v>118</v>
      </c>
      <c r="E171" s="76" t="s">
        <v>90</v>
      </c>
      <c r="F171" s="42" t="s">
        <v>1</v>
      </c>
      <c r="G171" s="49" t="s">
        <v>1866</v>
      </c>
      <c r="H171" s="45" t="s">
        <v>2170</v>
      </c>
      <c r="I171" s="83"/>
      <c r="J171" s="52" t="e">
        <f>VLOOKUP(I171,'CONTACT REFERENCE'!$A$2:$P$399,4,FALSE)</f>
        <v>#N/A</v>
      </c>
      <c r="K171" s="42"/>
      <c r="L171" s="42">
        <v>900</v>
      </c>
      <c r="M171" s="41" t="s">
        <v>2171</v>
      </c>
      <c r="N171" s="41"/>
      <c r="O171" s="47" t="s">
        <v>2172</v>
      </c>
      <c r="P171" s="45" t="s">
        <v>130</v>
      </c>
      <c r="Q171" s="49" t="s">
        <v>120</v>
      </c>
      <c r="R171" s="48">
        <v>2280</v>
      </c>
      <c r="S171" s="41" t="s">
        <v>29</v>
      </c>
      <c r="T171" s="42"/>
      <c r="U171" s="42"/>
      <c r="V171" s="21"/>
      <c r="W171" s="78"/>
      <c r="X171" s="22"/>
      <c r="Y171" s="22"/>
      <c r="Z171" s="74" t="str">
        <f>CONCATENATE(Table1[[#This Row],[P.R NUMBER]],"-",Table1[[#This Row],[SR NO]])</f>
        <v>120312172020-999</v>
      </c>
    </row>
    <row r="172" spans="1:26" x14ac:dyDescent="0.25">
      <c r="A172" s="73"/>
      <c r="B172" s="42">
        <v>1000</v>
      </c>
      <c r="C172" s="42" t="s">
        <v>2173</v>
      </c>
      <c r="D172" s="44" t="s">
        <v>118</v>
      </c>
      <c r="E172" s="76" t="s">
        <v>90</v>
      </c>
      <c r="F172" s="42" t="s">
        <v>1</v>
      </c>
      <c r="G172" s="49" t="s">
        <v>74</v>
      </c>
      <c r="H172" s="45" t="s">
        <v>2174</v>
      </c>
      <c r="I172" s="83" t="s">
        <v>460</v>
      </c>
      <c r="J172" s="52" t="str">
        <f>VLOOKUP(I172,'CONTACT REFERENCE'!$A$2:$P$399,4,FALSE)</f>
        <v>A-1 ENGINEERING</v>
      </c>
      <c r="K172" s="42">
        <v>5680</v>
      </c>
      <c r="L172" s="42">
        <v>8682</v>
      </c>
      <c r="M172" s="41" t="s">
        <v>74</v>
      </c>
      <c r="N172" s="41"/>
      <c r="O172" s="47" t="s">
        <v>2175</v>
      </c>
      <c r="P172" s="45" t="s">
        <v>124</v>
      </c>
      <c r="Q172" s="49" t="s">
        <v>140</v>
      </c>
      <c r="R172" s="48">
        <v>1150</v>
      </c>
      <c r="S172" s="41" t="s">
        <v>29</v>
      </c>
      <c r="T172" s="42" t="s">
        <v>1981</v>
      </c>
      <c r="U172" s="42"/>
      <c r="V172" s="21"/>
      <c r="W172" s="78"/>
      <c r="X172" s="22"/>
      <c r="Y172" s="22"/>
      <c r="Z172" s="74" t="str">
        <f>CONCATENATE(Table1[[#This Row],[P.R NUMBER]],"-",Table1[[#This Row],[SR NO]])</f>
        <v>130312292020-1000</v>
      </c>
    </row>
    <row r="173" spans="1:26" x14ac:dyDescent="0.25">
      <c r="A173" s="73"/>
      <c r="B173" s="42">
        <v>1001</v>
      </c>
      <c r="C173" s="42" t="s">
        <v>2176</v>
      </c>
      <c r="D173" s="44" t="s">
        <v>118</v>
      </c>
      <c r="E173" s="76" t="s">
        <v>90</v>
      </c>
      <c r="F173" s="42" t="s">
        <v>1</v>
      </c>
      <c r="G173" s="49" t="s">
        <v>49</v>
      </c>
      <c r="H173" s="45" t="s">
        <v>2177</v>
      </c>
      <c r="I173" s="83" t="s">
        <v>1728</v>
      </c>
      <c r="J173" s="52" t="str">
        <f>VLOOKUP(I173,'CONTACT REFERENCE'!$A$2:$P$399,4,FALSE)</f>
        <v>FALCON MECHANICAL SERVICES LLC</v>
      </c>
      <c r="K173" s="42">
        <v>17085</v>
      </c>
      <c r="L173" s="42"/>
      <c r="M173" s="41" t="s">
        <v>49</v>
      </c>
      <c r="N173" s="41"/>
      <c r="O173" s="47" t="s">
        <v>2178</v>
      </c>
      <c r="P173" s="45" t="s">
        <v>146</v>
      </c>
      <c r="Q173" s="49" t="s">
        <v>120</v>
      </c>
      <c r="R173" s="48">
        <v>700</v>
      </c>
      <c r="S173" s="41" t="s">
        <v>29</v>
      </c>
      <c r="T173" s="42"/>
      <c r="U173" s="42"/>
      <c r="V173" s="21"/>
      <c r="W173" s="78"/>
      <c r="X173" s="22"/>
      <c r="Y173" s="22"/>
      <c r="Z173" s="74" t="str">
        <f>CONCATENATE(Table1[[#This Row],[P.R NUMBER]],"-",Table1[[#This Row],[SR NO]])</f>
        <v>140312022020-1001</v>
      </c>
    </row>
    <row r="174" spans="1:26" x14ac:dyDescent="0.25">
      <c r="A174" s="73"/>
      <c r="B174" s="42">
        <v>1001</v>
      </c>
      <c r="C174" s="42" t="s">
        <v>2176</v>
      </c>
      <c r="D174" s="44" t="s">
        <v>118</v>
      </c>
      <c r="E174" s="76" t="s">
        <v>90</v>
      </c>
      <c r="F174" s="42" t="s">
        <v>1</v>
      </c>
      <c r="G174" s="49" t="s">
        <v>49</v>
      </c>
      <c r="H174" s="45" t="s">
        <v>2177</v>
      </c>
      <c r="I174" s="83" t="s">
        <v>1728</v>
      </c>
      <c r="J174" s="52" t="str">
        <f>VLOOKUP(I174,'CONTACT REFERENCE'!$A$2:$P$399,4,FALSE)</f>
        <v>FALCON MECHANICAL SERVICES LLC</v>
      </c>
      <c r="K174" s="42">
        <v>17085</v>
      </c>
      <c r="L174" s="42"/>
      <c r="M174" s="41" t="s">
        <v>49</v>
      </c>
      <c r="N174" s="41"/>
      <c r="O174" s="47" t="s">
        <v>2179</v>
      </c>
      <c r="P174" s="45" t="s">
        <v>136</v>
      </c>
      <c r="Q174" s="49" t="s">
        <v>120</v>
      </c>
      <c r="R174" s="48">
        <v>200</v>
      </c>
      <c r="S174" s="41" t="s">
        <v>29</v>
      </c>
      <c r="T174" s="42"/>
      <c r="U174" s="42"/>
      <c r="V174" s="21"/>
      <c r="W174" s="78"/>
      <c r="X174" s="22"/>
      <c r="Y174" s="22"/>
      <c r="Z174" s="74" t="str">
        <f>CONCATENATE(Table1[[#This Row],[P.R NUMBER]],"-",Table1[[#This Row],[SR NO]])</f>
        <v>140312022020-1001</v>
      </c>
    </row>
    <row r="175" spans="1:26" x14ac:dyDescent="0.25">
      <c r="A175" s="73"/>
      <c r="B175" s="42">
        <v>1001</v>
      </c>
      <c r="C175" s="42" t="s">
        <v>2176</v>
      </c>
      <c r="D175" s="44" t="s">
        <v>118</v>
      </c>
      <c r="E175" s="76" t="s">
        <v>90</v>
      </c>
      <c r="F175" s="42" t="s">
        <v>1</v>
      </c>
      <c r="G175" s="49" t="s">
        <v>49</v>
      </c>
      <c r="H175" s="45" t="s">
        <v>2177</v>
      </c>
      <c r="I175" s="83" t="s">
        <v>1728</v>
      </c>
      <c r="J175" s="52" t="str">
        <f>VLOOKUP(I175,'CONTACT REFERENCE'!$A$2:$P$399,4,FALSE)</f>
        <v>FALCON MECHANICAL SERVICES LLC</v>
      </c>
      <c r="K175" s="42">
        <v>17085</v>
      </c>
      <c r="L175" s="42"/>
      <c r="M175" s="41" t="s">
        <v>49</v>
      </c>
      <c r="N175" s="41"/>
      <c r="O175" s="47" t="s">
        <v>2180</v>
      </c>
      <c r="P175" s="45" t="s">
        <v>137</v>
      </c>
      <c r="Q175" s="49" t="s">
        <v>120</v>
      </c>
      <c r="R175" s="48">
        <v>300</v>
      </c>
      <c r="S175" s="41" t="s">
        <v>29</v>
      </c>
      <c r="T175" s="42"/>
      <c r="U175" s="42"/>
      <c r="V175" s="21"/>
      <c r="W175" s="78"/>
      <c r="X175" s="22"/>
      <c r="Y175" s="22"/>
      <c r="Z175" s="74" t="str">
        <f>CONCATENATE(Table1[[#This Row],[P.R NUMBER]],"-",Table1[[#This Row],[SR NO]])</f>
        <v>140312022020-1001</v>
      </c>
    </row>
    <row r="176" spans="1:26" x14ac:dyDescent="0.25">
      <c r="A176" s="73"/>
      <c r="B176" s="42">
        <v>1001</v>
      </c>
      <c r="C176" s="42" t="s">
        <v>2176</v>
      </c>
      <c r="D176" s="44" t="s">
        <v>118</v>
      </c>
      <c r="E176" s="76" t="s">
        <v>90</v>
      </c>
      <c r="F176" s="42" t="s">
        <v>1</v>
      </c>
      <c r="G176" s="49" t="s">
        <v>49</v>
      </c>
      <c r="H176" s="45" t="s">
        <v>2177</v>
      </c>
      <c r="I176" s="83" t="s">
        <v>1728</v>
      </c>
      <c r="J176" s="52" t="str">
        <f>VLOOKUP(I176,'CONTACT REFERENCE'!$A$2:$P$399,4,FALSE)</f>
        <v>FALCON MECHANICAL SERVICES LLC</v>
      </c>
      <c r="K176" s="42">
        <v>17085</v>
      </c>
      <c r="L176" s="42"/>
      <c r="M176" s="41" t="s">
        <v>49</v>
      </c>
      <c r="N176" s="41"/>
      <c r="O176" s="47" t="s">
        <v>2181</v>
      </c>
      <c r="P176" s="45" t="s">
        <v>124</v>
      </c>
      <c r="Q176" s="49" t="s">
        <v>120</v>
      </c>
      <c r="R176" s="48">
        <v>400</v>
      </c>
      <c r="S176" s="41" t="s">
        <v>29</v>
      </c>
      <c r="T176" s="42"/>
      <c r="U176" s="42"/>
      <c r="V176" s="21"/>
      <c r="W176" s="78"/>
      <c r="X176" s="22"/>
      <c r="Y176" s="22"/>
      <c r="Z176" s="74" t="str">
        <f>CONCATENATE(Table1[[#This Row],[P.R NUMBER]],"-",Table1[[#This Row],[SR NO]])</f>
        <v>140312022020-1001</v>
      </c>
    </row>
    <row r="177" spans="1:26" x14ac:dyDescent="0.25">
      <c r="A177" s="73"/>
      <c r="B177" s="42">
        <v>1001</v>
      </c>
      <c r="C177" s="42" t="s">
        <v>2176</v>
      </c>
      <c r="D177" s="44" t="s">
        <v>118</v>
      </c>
      <c r="E177" s="76" t="s">
        <v>90</v>
      </c>
      <c r="F177" s="42" t="s">
        <v>1</v>
      </c>
      <c r="G177" s="49" t="s">
        <v>49</v>
      </c>
      <c r="H177" s="45" t="s">
        <v>2177</v>
      </c>
      <c r="I177" s="83" t="s">
        <v>1728</v>
      </c>
      <c r="J177" s="52" t="str">
        <f>VLOOKUP(I177,'CONTACT REFERENCE'!$A$2:$P$399,4,FALSE)</f>
        <v>FALCON MECHANICAL SERVICES LLC</v>
      </c>
      <c r="K177" s="42">
        <v>17085</v>
      </c>
      <c r="L177" s="42"/>
      <c r="M177" s="41" t="s">
        <v>49</v>
      </c>
      <c r="N177" s="41"/>
      <c r="O177" s="47" t="s">
        <v>2182</v>
      </c>
      <c r="P177" s="45"/>
      <c r="Q177" s="49"/>
      <c r="R177" s="48">
        <v>-100</v>
      </c>
      <c r="S177" s="41" t="s">
        <v>29</v>
      </c>
      <c r="T177" s="42"/>
      <c r="U177" s="42"/>
      <c r="V177" s="21"/>
      <c r="W177" s="78"/>
      <c r="X177" s="22"/>
      <c r="Y177" s="22"/>
      <c r="Z177" s="74" t="str">
        <f>CONCATENATE(Table1[[#This Row],[P.R NUMBER]],"-",Table1[[#This Row],[SR NO]])</f>
        <v>140312022020-1001</v>
      </c>
    </row>
    <row r="178" spans="1:26" x14ac:dyDescent="0.25">
      <c r="A178" s="73"/>
      <c r="B178" s="42">
        <v>1002</v>
      </c>
      <c r="C178" s="42" t="s">
        <v>2183</v>
      </c>
      <c r="D178" s="44" t="s">
        <v>122</v>
      </c>
      <c r="E178" s="76" t="s">
        <v>90</v>
      </c>
      <c r="F178" s="42" t="s">
        <v>1</v>
      </c>
      <c r="G178" s="49" t="s">
        <v>84</v>
      </c>
      <c r="H178" s="45" t="s">
        <v>2184</v>
      </c>
      <c r="I178" s="83" t="s">
        <v>262</v>
      </c>
      <c r="J178" s="52" t="str">
        <f>VLOOKUP(I178,'CONTACT REFERENCE'!$A$2:$P$399,4,FALSE)</f>
        <v>CURTIUS TRADING INC</v>
      </c>
      <c r="K178" s="42"/>
      <c r="L178" s="42">
        <v>20120061</v>
      </c>
      <c r="M178" s="41" t="s">
        <v>2185</v>
      </c>
      <c r="N178" s="41"/>
      <c r="O178" s="47" t="s">
        <v>2186</v>
      </c>
      <c r="P178" s="45" t="s">
        <v>124</v>
      </c>
      <c r="Q178" s="49" t="s">
        <v>195</v>
      </c>
      <c r="R178" s="48">
        <v>76</v>
      </c>
      <c r="S178" s="41" t="s">
        <v>28</v>
      </c>
      <c r="T178" s="42" t="s">
        <v>2045</v>
      </c>
      <c r="U178" s="42" t="s">
        <v>2187</v>
      </c>
      <c r="V178" s="21"/>
      <c r="W178" s="78"/>
      <c r="X178" s="22"/>
      <c r="Y178" s="22"/>
      <c r="Z178" s="74" t="str">
        <f>CONCATENATE(Table1[[#This Row],[P.R NUMBER]],"-",Table1[[#This Row],[SR NO]])</f>
        <v>140312392020-1002</v>
      </c>
    </row>
    <row r="179" spans="1:26" x14ac:dyDescent="0.25">
      <c r="A179" s="73"/>
      <c r="B179" s="42">
        <v>1002</v>
      </c>
      <c r="C179" s="42" t="s">
        <v>2183</v>
      </c>
      <c r="D179" s="44" t="s">
        <v>122</v>
      </c>
      <c r="E179" s="76" t="s">
        <v>90</v>
      </c>
      <c r="F179" s="42" t="s">
        <v>1</v>
      </c>
      <c r="G179" s="49" t="s">
        <v>84</v>
      </c>
      <c r="H179" s="45" t="s">
        <v>2184</v>
      </c>
      <c r="I179" s="83" t="s">
        <v>262</v>
      </c>
      <c r="J179" s="52" t="str">
        <f>VLOOKUP(I179,'CONTACT REFERENCE'!$A$2:$P$399,4,FALSE)</f>
        <v>CURTIUS TRADING INC</v>
      </c>
      <c r="K179" s="42"/>
      <c r="L179" s="42">
        <v>20120061</v>
      </c>
      <c r="M179" s="41" t="s">
        <v>2185</v>
      </c>
      <c r="N179" s="41"/>
      <c r="O179" s="47" t="s">
        <v>2188</v>
      </c>
      <c r="P179" s="45" t="s">
        <v>124</v>
      </c>
      <c r="Q179" s="49" t="s">
        <v>120</v>
      </c>
      <c r="R179" s="48">
        <v>7.8</v>
      </c>
      <c r="S179" s="41" t="s">
        <v>28</v>
      </c>
      <c r="T179" s="42" t="s">
        <v>2045</v>
      </c>
      <c r="U179" s="42" t="s">
        <v>2187</v>
      </c>
      <c r="V179" s="21"/>
      <c r="W179" s="78"/>
      <c r="X179" s="22"/>
      <c r="Y179" s="22"/>
      <c r="Z179" s="74" t="str">
        <f>CONCATENATE(Table1[[#This Row],[P.R NUMBER]],"-",Table1[[#This Row],[SR NO]])</f>
        <v>140312392020-1002</v>
      </c>
    </row>
    <row r="180" spans="1:26" x14ac:dyDescent="0.25">
      <c r="A180" s="73"/>
      <c r="B180" s="42">
        <v>1002</v>
      </c>
      <c r="C180" s="42" t="s">
        <v>2183</v>
      </c>
      <c r="D180" s="44" t="s">
        <v>122</v>
      </c>
      <c r="E180" s="76" t="s">
        <v>90</v>
      </c>
      <c r="F180" s="42" t="s">
        <v>1</v>
      </c>
      <c r="G180" s="49" t="s">
        <v>84</v>
      </c>
      <c r="H180" s="45" t="s">
        <v>2184</v>
      </c>
      <c r="I180" s="83" t="s">
        <v>262</v>
      </c>
      <c r="J180" s="52" t="str">
        <f>VLOOKUP(I180,'CONTACT REFERENCE'!$A$2:$P$399,4,FALSE)</f>
        <v>CURTIUS TRADING INC</v>
      </c>
      <c r="K180" s="42"/>
      <c r="L180" s="42">
        <v>20120061</v>
      </c>
      <c r="M180" s="41" t="s">
        <v>2185</v>
      </c>
      <c r="N180" s="41"/>
      <c r="O180" s="47" t="s">
        <v>2189</v>
      </c>
      <c r="P180" s="45" t="s">
        <v>136</v>
      </c>
      <c r="Q180" s="49" t="s">
        <v>120</v>
      </c>
      <c r="R180" s="48">
        <f>2*25.2</f>
        <v>50.4</v>
      </c>
      <c r="S180" s="41" t="s">
        <v>28</v>
      </c>
      <c r="T180" s="42" t="s">
        <v>2045</v>
      </c>
      <c r="U180" s="42" t="s">
        <v>2187</v>
      </c>
      <c r="V180" s="21"/>
      <c r="W180" s="78"/>
      <c r="X180" s="22"/>
      <c r="Y180" s="22"/>
      <c r="Z180" s="74" t="str">
        <f>CONCATENATE(Table1[[#This Row],[P.R NUMBER]],"-",Table1[[#This Row],[SR NO]])</f>
        <v>140312392020-1002</v>
      </c>
    </row>
    <row r="181" spans="1:26" x14ac:dyDescent="0.25">
      <c r="A181" s="73"/>
      <c r="B181" s="42">
        <v>1003</v>
      </c>
      <c r="C181" s="42" t="s">
        <v>2183</v>
      </c>
      <c r="D181" s="44" t="s">
        <v>122</v>
      </c>
      <c r="E181" s="76" t="s">
        <v>90</v>
      </c>
      <c r="F181" s="42" t="s">
        <v>1</v>
      </c>
      <c r="G181" s="49" t="s">
        <v>70</v>
      </c>
      <c r="H181" s="45" t="s">
        <v>2190</v>
      </c>
      <c r="I181" s="83" t="s">
        <v>262</v>
      </c>
      <c r="J181" s="52" t="str">
        <f>VLOOKUP(I181,'CONTACT REFERENCE'!$A$2:$P$399,4,FALSE)</f>
        <v>CURTIUS TRADING INC</v>
      </c>
      <c r="K181" s="42"/>
      <c r="L181" s="42"/>
      <c r="M181" s="41" t="s">
        <v>191</v>
      </c>
      <c r="N181" s="41"/>
      <c r="O181" s="47" t="s">
        <v>2191</v>
      </c>
      <c r="P181" s="45" t="s">
        <v>124</v>
      </c>
      <c r="Q181" s="49" t="s">
        <v>120</v>
      </c>
      <c r="R181" s="48">
        <v>25.96</v>
      </c>
      <c r="S181" s="41" t="s">
        <v>28</v>
      </c>
      <c r="T181" s="42"/>
      <c r="U181" s="42"/>
      <c r="V181" s="21"/>
      <c r="W181" s="78"/>
      <c r="X181" s="22"/>
      <c r="Y181" s="22"/>
      <c r="Z181" s="74" t="str">
        <f>CONCATENATE(Table1[[#This Row],[P.R NUMBER]],"-",Table1[[#This Row],[SR NO]])</f>
        <v>140312252020-1003</v>
      </c>
    </row>
    <row r="182" spans="1:26" x14ac:dyDescent="0.25">
      <c r="A182" s="73"/>
      <c r="B182" s="42">
        <v>1004</v>
      </c>
      <c r="C182" s="42" t="s">
        <v>2183</v>
      </c>
      <c r="D182" s="44" t="s">
        <v>118</v>
      </c>
      <c r="E182" s="76" t="s">
        <v>89</v>
      </c>
      <c r="F182" s="42" t="s">
        <v>0</v>
      </c>
      <c r="G182" s="49" t="s">
        <v>49</v>
      </c>
      <c r="H182" s="45" t="s">
        <v>2192</v>
      </c>
      <c r="I182" s="83" t="s">
        <v>230</v>
      </c>
      <c r="J182" s="52" t="str">
        <f>VLOOKUP(I182,'CONTACT REFERENCE'!$A$2:$P$399,4,FALSE)</f>
        <v>MECHATRONICS INDUSTRIAL EQUIPMENT LLC</v>
      </c>
      <c r="K182" s="42"/>
      <c r="L182" s="50" t="s">
        <v>2193</v>
      </c>
      <c r="M182" s="41" t="s">
        <v>49</v>
      </c>
      <c r="N182" s="41"/>
      <c r="O182" s="47" t="s">
        <v>2194</v>
      </c>
      <c r="P182" s="45" t="s">
        <v>136</v>
      </c>
      <c r="Q182" s="49" t="s">
        <v>120</v>
      </c>
      <c r="R182" s="48">
        <v>1130</v>
      </c>
      <c r="S182" s="41" t="s">
        <v>29</v>
      </c>
      <c r="T182" s="42" t="s">
        <v>2176</v>
      </c>
      <c r="U182" s="42"/>
      <c r="V182" s="21"/>
      <c r="W182" s="78"/>
      <c r="X182" s="22"/>
      <c r="Y182" s="22"/>
      <c r="Z182" s="74" t="str">
        <f>CONCATENATE(Table1[[#This Row],[P.R NUMBER]],"-",Table1[[#This Row],[SR NO]])</f>
        <v>140312021010-1004</v>
      </c>
    </row>
    <row r="183" spans="1:26" x14ac:dyDescent="0.25">
      <c r="A183" s="73"/>
      <c r="B183" s="42">
        <v>1004</v>
      </c>
      <c r="C183" s="42" t="s">
        <v>2183</v>
      </c>
      <c r="D183" s="44" t="s">
        <v>118</v>
      </c>
      <c r="E183" s="76" t="s">
        <v>89</v>
      </c>
      <c r="F183" s="42" t="s">
        <v>0</v>
      </c>
      <c r="G183" s="49" t="s">
        <v>49</v>
      </c>
      <c r="H183" s="45" t="s">
        <v>2192</v>
      </c>
      <c r="I183" s="83" t="s">
        <v>230</v>
      </c>
      <c r="J183" s="52" t="str">
        <f>VLOOKUP(I183,'CONTACT REFERENCE'!$A$2:$P$399,4,FALSE)</f>
        <v>MECHATRONICS INDUSTRIAL EQUIPMENT LLC</v>
      </c>
      <c r="K183" s="42"/>
      <c r="L183" s="50" t="s">
        <v>2193</v>
      </c>
      <c r="M183" s="41" t="s">
        <v>49</v>
      </c>
      <c r="N183" s="41"/>
      <c r="O183" s="47" t="s">
        <v>183</v>
      </c>
      <c r="P183" s="45" t="s">
        <v>136</v>
      </c>
      <c r="Q183" s="49" t="s">
        <v>120</v>
      </c>
      <c r="R183" s="48">
        <v>140</v>
      </c>
      <c r="S183" s="41" t="s">
        <v>29</v>
      </c>
      <c r="T183" s="42" t="s">
        <v>2176</v>
      </c>
      <c r="U183" s="42"/>
      <c r="V183" s="21"/>
      <c r="W183" s="78"/>
      <c r="X183" s="22"/>
      <c r="Y183" s="22"/>
      <c r="Z183" s="74" t="str">
        <f>CONCATENATE(Table1[[#This Row],[P.R NUMBER]],"-",Table1[[#This Row],[SR NO]])</f>
        <v>140312021010-1004</v>
      </c>
    </row>
    <row r="184" spans="1:26" x14ac:dyDescent="0.25">
      <c r="A184" s="73"/>
      <c r="B184" s="42">
        <v>1004</v>
      </c>
      <c r="C184" s="42" t="s">
        <v>2183</v>
      </c>
      <c r="D184" s="44" t="s">
        <v>118</v>
      </c>
      <c r="E184" s="76" t="s">
        <v>89</v>
      </c>
      <c r="F184" s="42" t="s">
        <v>0</v>
      </c>
      <c r="G184" s="49" t="s">
        <v>49</v>
      </c>
      <c r="H184" s="45" t="s">
        <v>2192</v>
      </c>
      <c r="I184" s="83" t="s">
        <v>230</v>
      </c>
      <c r="J184" s="52" t="str">
        <f>VLOOKUP(I184,'CONTACT REFERENCE'!$A$2:$P$399,4,FALSE)</f>
        <v>MECHATRONICS INDUSTRIAL EQUIPMENT LLC</v>
      </c>
      <c r="K184" s="42"/>
      <c r="L184" s="50" t="s">
        <v>2193</v>
      </c>
      <c r="M184" s="41" t="s">
        <v>49</v>
      </c>
      <c r="N184" s="41"/>
      <c r="O184" s="47" t="s">
        <v>2195</v>
      </c>
      <c r="P184" s="45" t="s">
        <v>124</v>
      </c>
      <c r="Q184" s="49" t="s">
        <v>120</v>
      </c>
      <c r="R184" s="48">
        <v>350</v>
      </c>
      <c r="S184" s="41" t="s">
        <v>29</v>
      </c>
      <c r="T184" s="42" t="s">
        <v>2176</v>
      </c>
      <c r="U184" s="42"/>
      <c r="V184" s="21"/>
      <c r="W184" s="78"/>
      <c r="X184" s="22"/>
      <c r="Y184" s="22"/>
      <c r="Z184" s="74" t="str">
        <f>CONCATENATE(Table1[[#This Row],[P.R NUMBER]],"-",Table1[[#This Row],[SR NO]])</f>
        <v>140312021010-1004</v>
      </c>
    </row>
    <row r="185" spans="1:26" x14ac:dyDescent="0.25">
      <c r="A185" s="73"/>
      <c r="B185" s="42">
        <v>1005</v>
      </c>
      <c r="C185" s="42" t="s">
        <v>2196</v>
      </c>
      <c r="D185" s="44" t="s">
        <v>118</v>
      </c>
      <c r="E185" s="76" t="s">
        <v>90</v>
      </c>
      <c r="F185" s="42" t="s">
        <v>1</v>
      </c>
      <c r="G185" s="49" t="s">
        <v>51</v>
      </c>
      <c r="H185" s="45" t="s">
        <v>2197</v>
      </c>
      <c r="I185" s="83" t="s">
        <v>341</v>
      </c>
      <c r="J185" s="52" t="str">
        <f>VLOOKUP(I185,'CONTACT REFERENCE'!$A$2:$P$399,4,FALSE)</f>
        <v>ADVANCE TECHNOLOGY BELTING TRD EST</v>
      </c>
      <c r="K185" s="42" t="s">
        <v>2198</v>
      </c>
      <c r="L185" s="42">
        <v>1203132</v>
      </c>
      <c r="M185" s="41" t="s">
        <v>51</v>
      </c>
      <c r="N185" s="41"/>
      <c r="O185" s="47" t="s">
        <v>2199</v>
      </c>
      <c r="P185" s="45" t="s">
        <v>136</v>
      </c>
      <c r="Q185" s="49" t="s">
        <v>120</v>
      </c>
      <c r="R185" s="48">
        <v>560</v>
      </c>
      <c r="S185" s="41" t="s">
        <v>29</v>
      </c>
      <c r="T185" s="42" t="s">
        <v>1997</v>
      </c>
      <c r="U185" s="42"/>
      <c r="V185" s="21"/>
      <c r="W185" s="78"/>
      <c r="X185" s="22"/>
      <c r="Y185" s="22"/>
      <c r="Z185" s="74" t="str">
        <f>CONCATENATE(Table1[[#This Row],[P.R NUMBER]],"-",Table1[[#This Row],[SR NO]])</f>
        <v>150312042020-1005</v>
      </c>
    </row>
    <row r="186" spans="1:26" x14ac:dyDescent="0.25">
      <c r="A186" s="73"/>
      <c r="B186" s="42">
        <v>1006</v>
      </c>
      <c r="C186" s="42" t="s">
        <v>2200</v>
      </c>
      <c r="D186" s="44" t="s">
        <v>118</v>
      </c>
      <c r="E186" s="76" t="s">
        <v>90</v>
      </c>
      <c r="F186" s="42" t="s">
        <v>1</v>
      </c>
      <c r="G186" s="49" t="s">
        <v>74</v>
      </c>
      <c r="H186" s="45" t="s">
        <v>2201</v>
      </c>
      <c r="I186" s="83" t="s">
        <v>341</v>
      </c>
      <c r="J186" s="52" t="str">
        <f>VLOOKUP(I186,'CONTACT REFERENCE'!$A$2:$P$399,4,FALSE)</f>
        <v>ADVANCE TECHNOLOGY BELTING TRD EST</v>
      </c>
      <c r="K186" s="42" t="s">
        <v>2198</v>
      </c>
      <c r="L186" s="42">
        <v>1203133</v>
      </c>
      <c r="M186" s="41" t="s">
        <v>74</v>
      </c>
      <c r="N186" s="41"/>
      <c r="O186" s="47" t="s">
        <v>2202</v>
      </c>
      <c r="P186" s="45" t="s">
        <v>136</v>
      </c>
      <c r="Q186" s="49" t="s">
        <v>120</v>
      </c>
      <c r="R186" s="48">
        <v>550</v>
      </c>
      <c r="S186" s="41" t="s">
        <v>29</v>
      </c>
      <c r="T186" s="42" t="s">
        <v>1997</v>
      </c>
      <c r="U186" s="42"/>
      <c r="V186" s="21"/>
      <c r="W186" s="78"/>
      <c r="X186" s="22"/>
      <c r="Y186" s="22"/>
      <c r="Z186" s="74" t="str">
        <f>CONCATENATE(Table1[[#This Row],[P.R NUMBER]],"-",Table1[[#This Row],[SR NO]])</f>
        <v>150312292020-1006</v>
      </c>
    </row>
    <row r="187" spans="1:26" x14ac:dyDescent="0.25">
      <c r="A187" s="73"/>
      <c r="B187" s="42">
        <v>1007</v>
      </c>
      <c r="C187" s="42" t="s">
        <v>2200</v>
      </c>
      <c r="D187" s="44" t="s">
        <v>118</v>
      </c>
      <c r="E187" s="76" t="s">
        <v>90</v>
      </c>
      <c r="F187" s="42" t="s">
        <v>1</v>
      </c>
      <c r="G187" s="49" t="s">
        <v>1866</v>
      </c>
      <c r="H187" s="45" t="s">
        <v>2203</v>
      </c>
      <c r="I187" s="83" t="s">
        <v>341</v>
      </c>
      <c r="J187" s="52" t="str">
        <f>VLOOKUP(I187,'CONTACT REFERENCE'!$A$2:$P$399,4,FALSE)</f>
        <v>ADVANCE TECHNOLOGY BELTING TRD EST</v>
      </c>
      <c r="K187" s="42" t="s">
        <v>2198</v>
      </c>
      <c r="L187" s="42">
        <v>1203135</v>
      </c>
      <c r="M187" s="41" t="s">
        <v>2171</v>
      </c>
      <c r="N187" s="41"/>
      <c r="O187" s="47" t="s">
        <v>2204</v>
      </c>
      <c r="P187" s="45" t="s">
        <v>136</v>
      </c>
      <c r="Q187" s="49" t="s">
        <v>120</v>
      </c>
      <c r="R187" s="48">
        <v>250</v>
      </c>
      <c r="S187" s="41" t="s">
        <v>29</v>
      </c>
      <c r="T187" s="42" t="s">
        <v>1997</v>
      </c>
      <c r="U187" s="42"/>
      <c r="V187" s="21"/>
      <c r="W187" s="78"/>
      <c r="X187" s="22"/>
      <c r="Y187" s="22"/>
      <c r="Z187" s="74" t="str">
        <f>CONCATENATE(Table1[[#This Row],[P.R NUMBER]],"-",Table1[[#This Row],[SR NO]])</f>
        <v>150312172020-1007</v>
      </c>
    </row>
    <row r="188" spans="1:26" x14ac:dyDescent="0.25">
      <c r="A188" s="73"/>
      <c r="B188" s="42">
        <v>1008</v>
      </c>
      <c r="C188" s="42" t="s">
        <v>2200</v>
      </c>
      <c r="D188" s="44" t="s">
        <v>122</v>
      </c>
      <c r="E188" s="76" t="s">
        <v>90</v>
      </c>
      <c r="F188" s="42" t="s">
        <v>1</v>
      </c>
      <c r="G188" s="49" t="s">
        <v>70</v>
      </c>
      <c r="H188" s="45" t="s">
        <v>2205</v>
      </c>
      <c r="I188" s="83" t="s">
        <v>253</v>
      </c>
      <c r="J188" s="52" t="str">
        <f>VLOOKUP(I188,'CONTACT REFERENCE'!$A$2:$P$399,4,FALSE)</f>
        <v>SURE TACK SYSTEMS (DIVISION OF CRIST CO)</v>
      </c>
      <c r="K188" s="42"/>
      <c r="L188" s="42"/>
      <c r="M188" s="41" t="s">
        <v>143</v>
      </c>
      <c r="N188" s="41"/>
      <c r="O188" s="47" t="s">
        <v>2206</v>
      </c>
      <c r="P188" s="45" t="s">
        <v>146</v>
      </c>
      <c r="Q188" s="49" t="s">
        <v>120</v>
      </c>
      <c r="R188" s="48">
        <f>7*40</f>
        <v>280</v>
      </c>
      <c r="S188" s="41" t="s">
        <v>28</v>
      </c>
      <c r="T188" s="42"/>
      <c r="U188" s="42"/>
      <c r="V188" s="21"/>
      <c r="W188" s="78"/>
      <c r="X188" s="22"/>
      <c r="Y188" s="22"/>
      <c r="Z188" s="74" t="str">
        <f>CONCATENATE(Table1[[#This Row],[P.R NUMBER]],"-",Table1[[#This Row],[SR NO]])</f>
        <v>150312252020-1008</v>
      </c>
    </row>
    <row r="189" spans="1:26" x14ac:dyDescent="0.25">
      <c r="A189" s="73"/>
      <c r="B189" s="42">
        <v>1008</v>
      </c>
      <c r="C189" s="42" t="s">
        <v>2200</v>
      </c>
      <c r="D189" s="44" t="s">
        <v>122</v>
      </c>
      <c r="E189" s="76" t="s">
        <v>90</v>
      </c>
      <c r="F189" s="42" t="s">
        <v>1</v>
      </c>
      <c r="G189" s="49" t="s">
        <v>70</v>
      </c>
      <c r="H189" s="45" t="s">
        <v>2205</v>
      </c>
      <c r="I189" s="83" t="s">
        <v>253</v>
      </c>
      <c r="J189" s="52" t="str">
        <f>VLOOKUP(I189,'CONTACT REFERENCE'!$A$2:$P$399,4,FALSE)</f>
        <v>SURE TACK SYSTEMS (DIVISION OF CRIST CO)</v>
      </c>
      <c r="K189" s="42"/>
      <c r="L189" s="42"/>
      <c r="M189" s="41" t="s">
        <v>143</v>
      </c>
      <c r="N189" s="41"/>
      <c r="O189" s="47" t="s">
        <v>2207</v>
      </c>
      <c r="P189" s="45" t="s">
        <v>144</v>
      </c>
      <c r="Q189" s="49" t="s">
        <v>120</v>
      </c>
      <c r="R189" s="48">
        <f>12*11.55</f>
        <v>138.60000000000002</v>
      </c>
      <c r="S189" s="41" t="s">
        <v>28</v>
      </c>
      <c r="T189" s="42"/>
      <c r="U189" s="42"/>
      <c r="V189" s="21"/>
      <c r="W189" s="78"/>
      <c r="X189" s="22"/>
      <c r="Y189" s="22"/>
      <c r="Z189" s="74" t="str">
        <f>CONCATENATE(Table1[[#This Row],[P.R NUMBER]],"-",Table1[[#This Row],[SR NO]])</f>
        <v>150312252020-1008</v>
      </c>
    </row>
    <row r="190" spans="1:26" x14ac:dyDescent="0.25">
      <c r="A190" s="73"/>
      <c r="B190" s="42">
        <v>1008</v>
      </c>
      <c r="C190" s="42" t="s">
        <v>2200</v>
      </c>
      <c r="D190" s="44" t="s">
        <v>122</v>
      </c>
      <c r="E190" s="76" t="s">
        <v>90</v>
      </c>
      <c r="F190" s="42" t="s">
        <v>1</v>
      </c>
      <c r="G190" s="49" t="s">
        <v>70</v>
      </c>
      <c r="H190" s="45" t="s">
        <v>2205</v>
      </c>
      <c r="I190" s="83" t="s">
        <v>253</v>
      </c>
      <c r="J190" s="52" t="str">
        <f>VLOOKUP(I190,'CONTACT REFERENCE'!$A$2:$P$399,4,FALSE)</f>
        <v>SURE TACK SYSTEMS (DIVISION OF CRIST CO)</v>
      </c>
      <c r="K190" s="42"/>
      <c r="L190" s="42"/>
      <c r="M190" s="41" t="s">
        <v>143</v>
      </c>
      <c r="N190" s="41"/>
      <c r="O190" s="47" t="s">
        <v>2208</v>
      </c>
      <c r="P190" s="45" t="s">
        <v>136</v>
      </c>
      <c r="Q190" s="49" t="s">
        <v>120</v>
      </c>
      <c r="R190" s="48">
        <f>2*35</f>
        <v>70</v>
      </c>
      <c r="S190" s="41" t="s">
        <v>28</v>
      </c>
      <c r="T190" s="42"/>
      <c r="U190" s="42"/>
      <c r="V190" s="21"/>
      <c r="W190" s="78"/>
      <c r="X190" s="22"/>
      <c r="Y190" s="22"/>
      <c r="Z190" s="74" t="str">
        <f>CONCATENATE(Table1[[#This Row],[P.R NUMBER]],"-",Table1[[#This Row],[SR NO]])</f>
        <v>150312252020-1008</v>
      </c>
    </row>
    <row r="191" spans="1:26" x14ac:dyDescent="0.25">
      <c r="A191" s="73"/>
      <c r="B191" s="42">
        <v>1008</v>
      </c>
      <c r="C191" s="42" t="s">
        <v>2200</v>
      </c>
      <c r="D191" s="44" t="s">
        <v>122</v>
      </c>
      <c r="E191" s="76" t="s">
        <v>90</v>
      </c>
      <c r="F191" s="42" t="s">
        <v>1</v>
      </c>
      <c r="G191" s="49" t="s">
        <v>70</v>
      </c>
      <c r="H191" s="45" t="s">
        <v>2205</v>
      </c>
      <c r="I191" s="83" t="s">
        <v>253</v>
      </c>
      <c r="J191" s="52" t="str">
        <f>VLOOKUP(I191,'CONTACT REFERENCE'!$A$2:$P$399,4,FALSE)</f>
        <v>SURE TACK SYSTEMS (DIVISION OF CRIST CO)</v>
      </c>
      <c r="K191" s="42"/>
      <c r="L191" s="42"/>
      <c r="M191" s="41" t="s">
        <v>143</v>
      </c>
      <c r="N191" s="41"/>
      <c r="O191" s="47" t="s">
        <v>2209</v>
      </c>
      <c r="P191" s="45" t="s">
        <v>180</v>
      </c>
      <c r="Q191" s="49" t="s">
        <v>120</v>
      </c>
      <c r="R191" s="48">
        <f>24*0.25</f>
        <v>6</v>
      </c>
      <c r="S191" s="41" t="s">
        <v>28</v>
      </c>
      <c r="T191" s="42"/>
      <c r="U191" s="42"/>
      <c r="V191" s="21"/>
      <c r="W191" s="78"/>
      <c r="X191" s="22"/>
      <c r="Y191" s="22"/>
      <c r="Z191" s="74" t="str">
        <f>CONCATENATE(Table1[[#This Row],[P.R NUMBER]],"-",Table1[[#This Row],[SR NO]])</f>
        <v>150312252020-1008</v>
      </c>
    </row>
    <row r="192" spans="1:26" x14ac:dyDescent="0.25">
      <c r="A192" s="73"/>
      <c r="B192" s="42">
        <v>1008</v>
      </c>
      <c r="C192" s="42" t="s">
        <v>2200</v>
      </c>
      <c r="D192" s="44" t="s">
        <v>122</v>
      </c>
      <c r="E192" s="76" t="s">
        <v>90</v>
      </c>
      <c r="F192" s="42" t="s">
        <v>1</v>
      </c>
      <c r="G192" s="49" t="s">
        <v>70</v>
      </c>
      <c r="H192" s="45" t="s">
        <v>2205</v>
      </c>
      <c r="I192" s="83" t="s">
        <v>253</v>
      </c>
      <c r="J192" s="52" t="str">
        <f>VLOOKUP(I192,'CONTACT REFERENCE'!$A$2:$P$399,4,FALSE)</f>
        <v>SURE TACK SYSTEMS (DIVISION OF CRIST CO)</v>
      </c>
      <c r="K192" s="42"/>
      <c r="L192" s="42"/>
      <c r="M192" s="41" t="s">
        <v>143</v>
      </c>
      <c r="N192" s="41"/>
      <c r="O192" s="47" t="s">
        <v>2210</v>
      </c>
      <c r="P192" s="45" t="s">
        <v>180</v>
      </c>
      <c r="Q192" s="49" t="s">
        <v>120</v>
      </c>
      <c r="R192" s="48">
        <f>24*0.75</f>
        <v>18</v>
      </c>
      <c r="S192" s="41" t="s">
        <v>28</v>
      </c>
      <c r="T192" s="42"/>
      <c r="U192" s="42"/>
      <c r="V192" s="21"/>
      <c r="W192" s="78"/>
      <c r="X192" s="22"/>
      <c r="Y192" s="22"/>
      <c r="Z192" s="74" t="str">
        <f>CONCATENATE(Table1[[#This Row],[P.R NUMBER]],"-",Table1[[#This Row],[SR NO]])</f>
        <v>150312252020-1008</v>
      </c>
    </row>
    <row r="193" spans="1:26" x14ac:dyDescent="0.25">
      <c r="A193" s="73"/>
      <c r="B193" s="42">
        <v>1008</v>
      </c>
      <c r="C193" s="42" t="s">
        <v>2200</v>
      </c>
      <c r="D193" s="44" t="s">
        <v>122</v>
      </c>
      <c r="E193" s="76" t="s">
        <v>90</v>
      </c>
      <c r="F193" s="42" t="s">
        <v>1</v>
      </c>
      <c r="G193" s="49" t="s">
        <v>70</v>
      </c>
      <c r="H193" s="45" t="s">
        <v>2205</v>
      </c>
      <c r="I193" s="83" t="s">
        <v>253</v>
      </c>
      <c r="J193" s="52" t="str">
        <f>VLOOKUP(I193,'CONTACT REFERENCE'!$A$2:$P$399,4,FALSE)</f>
        <v>SURE TACK SYSTEMS (DIVISION OF CRIST CO)</v>
      </c>
      <c r="K193" s="42"/>
      <c r="L193" s="42"/>
      <c r="M193" s="41" t="s">
        <v>143</v>
      </c>
      <c r="N193" s="41"/>
      <c r="O193" s="47" t="s">
        <v>2211</v>
      </c>
      <c r="P193" s="45" t="s">
        <v>136</v>
      </c>
      <c r="Q193" s="49" t="s">
        <v>2212</v>
      </c>
      <c r="R193" s="48">
        <f>2*3.25</f>
        <v>6.5</v>
      </c>
      <c r="S193" s="41" t="s">
        <v>28</v>
      </c>
      <c r="T193" s="42"/>
      <c r="U193" s="42"/>
      <c r="V193" s="21"/>
      <c r="W193" s="78"/>
      <c r="X193" s="22"/>
      <c r="Y193" s="22"/>
      <c r="Z193" s="74" t="str">
        <f>CONCATENATE(Table1[[#This Row],[P.R NUMBER]],"-",Table1[[#This Row],[SR NO]])</f>
        <v>150312252020-1008</v>
      </c>
    </row>
    <row r="194" spans="1:26" x14ac:dyDescent="0.25">
      <c r="A194" s="73"/>
      <c r="B194" s="42">
        <v>1008</v>
      </c>
      <c r="C194" s="42" t="s">
        <v>2200</v>
      </c>
      <c r="D194" s="44" t="s">
        <v>122</v>
      </c>
      <c r="E194" s="76" t="s">
        <v>90</v>
      </c>
      <c r="F194" s="42" t="s">
        <v>1</v>
      </c>
      <c r="G194" s="49" t="s">
        <v>70</v>
      </c>
      <c r="H194" s="45" t="s">
        <v>2205</v>
      </c>
      <c r="I194" s="83" t="s">
        <v>253</v>
      </c>
      <c r="J194" s="52" t="str">
        <f>VLOOKUP(I194,'CONTACT REFERENCE'!$A$2:$P$399,4,FALSE)</f>
        <v>SURE TACK SYSTEMS (DIVISION OF CRIST CO)</v>
      </c>
      <c r="K194" s="42"/>
      <c r="L194" s="42"/>
      <c r="M194" s="41" t="s">
        <v>143</v>
      </c>
      <c r="N194" s="41"/>
      <c r="O194" s="47" t="s">
        <v>2213</v>
      </c>
      <c r="P194" s="45" t="s">
        <v>124</v>
      </c>
      <c r="Q194" s="49" t="s">
        <v>120</v>
      </c>
      <c r="R194" s="48">
        <v>55</v>
      </c>
      <c r="S194" s="41" t="s">
        <v>28</v>
      </c>
      <c r="T194" s="42"/>
      <c r="U194" s="42"/>
      <c r="V194" s="21"/>
      <c r="W194" s="78"/>
      <c r="X194" s="22"/>
      <c r="Y194" s="22"/>
      <c r="Z194" s="74" t="str">
        <f>CONCATENATE(Table1[[#This Row],[P.R NUMBER]],"-",Table1[[#This Row],[SR NO]])</f>
        <v>150312252020-1008</v>
      </c>
    </row>
    <row r="195" spans="1:26" x14ac:dyDescent="0.25">
      <c r="A195" s="73"/>
      <c r="B195" s="42">
        <v>1008</v>
      </c>
      <c r="C195" s="42" t="s">
        <v>2200</v>
      </c>
      <c r="D195" s="44" t="s">
        <v>122</v>
      </c>
      <c r="E195" s="76" t="s">
        <v>90</v>
      </c>
      <c r="F195" s="42" t="s">
        <v>1</v>
      </c>
      <c r="G195" s="49" t="s">
        <v>70</v>
      </c>
      <c r="H195" s="45" t="s">
        <v>2205</v>
      </c>
      <c r="I195" s="83" t="s">
        <v>253</v>
      </c>
      <c r="J195" s="52" t="str">
        <f>VLOOKUP(I195,'CONTACT REFERENCE'!$A$2:$P$399,4,FALSE)</f>
        <v>SURE TACK SYSTEMS (DIVISION OF CRIST CO)</v>
      </c>
      <c r="K195" s="42"/>
      <c r="L195" s="42"/>
      <c r="M195" s="41" t="s">
        <v>143</v>
      </c>
      <c r="N195" s="41"/>
      <c r="O195" s="47" t="s">
        <v>2214</v>
      </c>
      <c r="P195" s="45" t="s">
        <v>136</v>
      </c>
      <c r="Q195" s="49" t="s">
        <v>120</v>
      </c>
      <c r="R195" s="48">
        <f>2*30</f>
        <v>60</v>
      </c>
      <c r="S195" s="41" t="s">
        <v>28</v>
      </c>
      <c r="T195" s="42"/>
      <c r="U195" s="42"/>
      <c r="V195" s="21"/>
      <c r="W195" s="78"/>
      <c r="X195" s="22"/>
      <c r="Y195" s="22"/>
      <c r="Z195" s="74" t="str">
        <f>CONCATENATE(Table1[[#This Row],[P.R NUMBER]],"-",Table1[[#This Row],[SR NO]])</f>
        <v>150312252020-1008</v>
      </c>
    </row>
    <row r="196" spans="1:26" x14ac:dyDescent="0.25">
      <c r="A196" s="73"/>
      <c r="B196" s="42">
        <v>1008</v>
      </c>
      <c r="C196" s="42" t="s">
        <v>2200</v>
      </c>
      <c r="D196" s="44" t="s">
        <v>122</v>
      </c>
      <c r="E196" s="76" t="s">
        <v>90</v>
      </c>
      <c r="F196" s="42" t="s">
        <v>1</v>
      </c>
      <c r="G196" s="49" t="s">
        <v>70</v>
      </c>
      <c r="H196" s="45" t="s">
        <v>2205</v>
      </c>
      <c r="I196" s="83" t="s">
        <v>253</v>
      </c>
      <c r="J196" s="52" t="str">
        <f>VLOOKUP(I196,'CONTACT REFERENCE'!$A$2:$P$399,4,FALSE)</f>
        <v>SURE TACK SYSTEMS (DIVISION OF CRIST CO)</v>
      </c>
      <c r="K196" s="42"/>
      <c r="L196" s="42"/>
      <c r="M196" s="41" t="s">
        <v>143</v>
      </c>
      <c r="N196" s="41"/>
      <c r="O196" s="47" t="s">
        <v>2215</v>
      </c>
      <c r="P196" s="45" t="s">
        <v>2216</v>
      </c>
      <c r="Q196" s="49" t="s">
        <v>120</v>
      </c>
      <c r="R196" s="48">
        <f>48*2.1</f>
        <v>100.80000000000001</v>
      </c>
      <c r="S196" s="41" t="s">
        <v>28</v>
      </c>
      <c r="T196" s="42"/>
      <c r="U196" s="42"/>
      <c r="V196" s="21"/>
      <c r="W196" s="78"/>
      <c r="X196" s="22"/>
      <c r="Y196" s="22"/>
      <c r="Z196" s="74" t="str">
        <f>CONCATENATE(Table1[[#This Row],[P.R NUMBER]],"-",Table1[[#This Row],[SR NO]])</f>
        <v>150312252020-1008</v>
      </c>
    </row>
    <row r="197" spans="1:26" x14ac:dyDescent="0.25">
      <c r="A197" s="73"/>
      <c r="B197" s="42">
        <v>1008</v>
      </c>
      <c r="C197" s="42" t="s">
        <v>2200</v>
      </c>
      <c r="D197" s="44" t="s">
        <v>122</v>
      </c>
      <c r="E197" s="76" t="s">
        <v>90</v>
      </c>
      <c r="F197" s="42" t="s">
        <v>1</v>
      </c>
      <c r="G197" s="49" t="s">
        <v>70</v>
      </c>
      <c r="H197" s="45" t="s">
        <v>2205</v>
      </c>
      <c r="I197" s="83" t="s">
        <v>253</v>
      </c>
      <c r="J197" s="52" t="str">
        <f>VLOOKUP(I197,'CONTACT REFERENCE'!$A$2:$P$399,4,FALSE)</f>
        <v>SURE TACK SYSTEMS (DIVISION OF CRIST CO)</v>
      </c>
      <c r="K197" s="42"/>
      <c r="L197" s="42"/>
      <c r="M197" s="41" t="s">
        <v>143</v>
      </c>
      <c r="N197" s="41"/>
      <c r="O197" s="47" t="s">
        <v>2217</v>
      </c>
      <c r="P197" s="45" t="s">
        <v>180</v>
      </c>
      <c r="Q197" s="49" t="s">
        <v>120</v>
      </c>
      <c r="R197" s="48">
        <f>24*9.35</f>
        <v>224.39999999999998</v>
      </c>
      <c r="S197" s="41" t="s">
        <v>28</v>
      </c>
      <c r="T197" s="42"/>
      <c r="U197" s="42"/>
      <c r="V197" s="21"/>
      <c r="W197" s="78"/>
      <c r="X197" s="22"/>
      <c r="Y197" s="22"/>
      <c r="Z197" s="74" t="str">
        <f>CONCATENATE(Table1[[#This Row],[P.R NUMBER]],"-",Table1[[#This Row],[SR NO]])</f>
        <v>150312252020-1008</v>
      </c>
    </row>
    <row r="198" spans="1:26" x14ac:dyDescent="0.25">
      <c r="A198" s="73"/>
      <c r="B198" s="42">
        <v>1008</v>
      </c>
      <c r="C198" s="42" t="s">
        <v>2200</v>
      </c>
      <c r="D198" s="44" t="s">
        <v>122</v>
      </c>
      <c r="E198" s="76" t="s">
        <v>90</v>
      </c>
      <c r="F198" s="42" t="s">
        <v>1</v>
      </c>
      <c r="G198" s="49" t="s">
        <v>70</v>
      </c>
      <c r="H198" s="45" t="s">
        <v>2205</v>
      </c>
      <c r="I198" s="83" t="s">
        <v>253</v>
      </c>
      <c r="J198" s="52" t="str">
        <f>VLOOKUP(I198,'CONTACT REFERENCE'!$A$2:$P$399,4,FALSE)</f>
        <v>SURE TACK SYSTEMS (DIVISION OF CRIST CO)</v>
      </c>
      <c r="K198" s="42"/>
      <c r="L198" s="42"/>
      <c r="M198" s="41" t="s">
        <v>143</v>
      </c>
      <c r="N198" s="41"/>
      <c r="O198" s="47" t="s">
        <v>2218</v>
      </c>
      <c r="P198" s="45" t="s">
        <v>124</v>
      </c>
      <c r="Q198" s="49" t="s">
        <v>120</v>
      </c>
      <c r="R198" s="48">
        <v>27</v>
      </c>
      <c r="S198" s="41" t="s">
        <v>28</v>
      </c>
      <c r="T198" s="42"/>
      <c r="U198" s="42"/>
      <c r="V198" s="21"/>
      <c r="W198" s="78"/>
      <c r="X198" s="22"/>
      <c r="Y198" s="22"/>
      <c r="Z198" s="74" t="str">
        <f>CONCATENATE(Table1[[#This Row],[P.R NUMBER]],"-",Table1[[#This Row],[SR NO]])</f>
        <v>150312252020-1008</v>
      </c>
    </row>
    <row r="199" spans="1:26" x14ac:dyDescent="0.25">
      <c r="A199" s="73"/>
      <c r="B199" s="42">
        <v>1009</v>
      </c>
      <c r="C199" s="42" t="s">
        <v>2219</v>
      </c>
      <c r="D199" s="44" t="s">
        <v>118</v>
      </c>
      <c r="E199" s="76" t="s">
        <v>90</v>
      </c>
      <c r="F199" s="42" t="s">
        <v>1</v>
      </c>
      <c r="G199" s="49" t="s">
        <v>70</v>
      </c>
      <c r="H199" s="45" t="s">
        <v>2205</v>
      </c>
      <c r="I199" s="83" t="s">
        <v>341</v>
      </c>
      <c r="J199" s="52" t="str">
        <f>VLOOKUP(I199,'CONTACT REFERENCE'!$A$2:$P$399,4,FALSE)</f>
        <v>ADVANCE TECHNOLOGY BELTING TRD EST</v>
      </c>
      <c r="K199" s="42" t="s">
        <v>2198</v>
      </c>
      <c r="L199" s="42">
        <v>1203134</v>
      </c>
      <c r="M199" s="41" t="s">
        <v>74</v>
      </c>
      <c r="N199" s="41"/>
      <c r="O199" s="47" t="s">
        <v>2220</v>
      </c>
      <c r="P199" s="45" t="s">
        <v>136</v>
      </c>
      <c r="Q199" s="49" t="s">
        <v>120</v>
      </c>
      <c r="R199" s="48">
        <v>590</v>
      </c>
      <c r="S199" s="41" t="s">
        <v>29</v>
      </c>
      <c r="T199" s="42" t="s">
        <v>1997</v>
      </c>
      <c r="U199" s="42"/>
      <c r="V199" s="21"/>
      <c r="W199" s="78"/>
      <c r="X199" s="22"/>
      <c r="Y199" s="22"/>
      <c r="Z199" s="74" t="str">
        <f>CONCATENATE(Table1[[#This Row],[P.R NUMBER]],"-",Table1[[#This Row],[SR NO]])</f>
        <v>150312252020-1009</v>
      </c>
    </row>
    <row r="200" spans="1:26" x14ac:dyDescent="0.25">
      <c r="A200" s="73"/>
      <c r="B200" s="42">
        <v>1010</v>
      </c>
      <c r="C200" s="42" t="s">
        <v>2196</v>
      </c>
      <c r="D200" s="44" t="s">
        <v>118</v>
      </c>
      <c r="E200" s="76" t="s">
        <v>90</v>
      </c>
      <c r="F200" s="42" t="s">
        <v>1</v>
      </c>
      <c r="G200" s="49" t="s">
        <v>53</v>
      </c>
      <c r="H200" s="45" t="s">
        <v>2221</v>
      </c>
      <c r="I200" s="83" t="s">
        <v>243</v>
      </c>
      <c r="J200" s="52" t="str">
        <f>VLOOKUP(I200,'CONTACT REFERENCE'!$A$2:$P$399,4,FALSE)</f>
        <v>FITWELL METAL INDUSTRIES LLC</v>
      </c>
      <c r="K200" s="42" t="s">
        <v>2222</v>
      </c>
      <c r="L200" s="42" t="s">
        <v>2223</v>
      </c>
      <c r="M200" s="41" t="s">
        <v>53</v>
      </c>
      <c r="N200" s="41"/>
      <c r="O200" s="47" t="s">
        <v>2224</v>
      </c>
      <c r="P200" s="45" t="s">
        <v>124</v>
      </c>
      <c r="Q200" s="49" t="s">
        <v>120</v>
      </c>
      <c r="R200" s="48">
        <v>180</v>
      </c>
      <c r="S200" s="41" t="s">
        <v>29</v>
      </c>
      <c r="T200" s="42" t="s">
        <v>2225</v>
      </c>
      <c r="U200" s="42"/>
      <c r="V200" s="21"/>
      <c r="W200" s="78"/>
      <c r="X200" s="22"/>
      <c r="Y200" s="22"/>
      <c r="Z200" s="74" t="str">
        <f>CONCATENATE(Table1[[#This Row],[P.R NUMBER]],"-",Table1[[#This Row],[SR NO]])</f>
        <v>150312062020-1010</v>
      </c>
    </row>
    <row r="201" spans="1:26" x14ac:dyDescent="0.25">
      <c r="A201" s="73"/>
      <c r="B201" s="42">
        <v>1010</v>
      </c>
      <c r="C201" s="42" t="s">
        <v>2196</v>
      </c>
      <c r="D201" s="44" t="s">
        <v>118</v>
      </c>
      <c r="E201" s="76" t="s">
        <v>90</v>
      </c>
      <c r="F201" s="42" t="s">
        <v>1</v>
      </c>
      <c r="G201" s="49" t="s">
        <v>53</v>
      </c>
      <c r="H201" s="45" t="s">
        <v>2221</v>
      </c>
      <c r="I201" s="83" t="s">
        <v>243</v>
      </c>
      <c r="J201" s="52" t="str">
        <f>VLOOKUP(I201,'CONTACT REFERENCE'!$A$2:$P$399,4,FALSE)</f>
        <v>FITWELL METAL INDUSTRIES LLC</v>
      </c>
      <c r="K201" s="42" t="s">
        <v>2222</v>
      </c>
      <c r="L201" s="42" t="s">
        <v>2223</v>
      </c>
      <c r="M201" s="41" t="s">
        <v>53</v>
      </c>
      <c r="N201" s="41"/>
      <c r="O201" s="47" t="s">
        <v>161</v>
      </c>
      <c r="P201" s="45" t="s">
        <v>136</v>
      </c>
      <c r="Q201" s="49" t="s">
        <v>120</v>
      </c>
      <c r="R201" s="48">
        <v>120</v>
      </c>
      <c r="S201" s="41" t="s">
        <v>29</v>
      </c>
      <c r="T201" s="42" t="s">
        <v>2225</v>
      </c>
      <c r="U201" s="42"/>
      <c r="V201" s="21"/>
      <c r="W201" s="78"/>
      <c r="X201" s="22"/>
      <c r="Y201" s="22"/>
      <c r="Z201" s="74" t="str">
        <f>CONCATENATE(Table1[[#This Row],[P.R NUMBER]],"-",Table1[[#This Row],[SR NO]])</f>
        <v>150312062020-1010</v>
      </c>
    </row>
    <row r="202" spans="1:26" x14ac:dyDescent="0.25">
      <c r="A202" s="73"/>
      <c r="B202" s="42">
        <v>1011</v>
      </c>
      <c r="C202" s="42" t="s">
        <v>2196</v>
      </c>
      <c r="D202" s="44" t="s">
        <v>118</v>
      </c>
      <c r="E202" s="76" t="s">
        <v>90</v>
      </c>
      <c r="F202" s="42" t="s">
        <v>1</v>
      </c>
      <c r="G202" s="49" t="s">
        <v>75</v>
      </c>
      <c r="H202" s="45" t="s">
        <v>2226</v>
      </c>
      <c r="I202" s="83" t="s">
        <v>243</v>
      </c>
      <c r="J202" s="52" t="str">
        <f>VLOOKUP(I202,'CONTACT REFERENCE'!$A$2:$P$399,4,FALSE)</f>
        <v>FITWELL METAL INDUSTRIES LLC</v>
      </c>
      <c r="K202" s="42" t="s">
        <v>2222</v>
      </c>
      <c r="L202" s="42" t="s">
        <v>2227</v>
      </c>
      <c r="M202" s="41" t="s">
        <v>75</v>
      </c>
      <c r="N202" s="41"/>
      <c r="O202" s="47" t="s">
        <v>2228</v>
      </c>
      <c r="P202" s="45" t="s">
        <v>2229</v>
      </c>
      <c r="Q202" s="49" t="s">
        <v>120</v>
      </c>
      <c r="R202" s="48">
        <f>35*11</f>
        <v>385</v>
      </c>
      <c r="S202" s="41" t="s">
        <v>29</v>
      </c>
      <c r="T202" s="42" t="s">
        <v>2080</v>
      </c>
      <c r="U202" s="42"/>
      <c r="V202" s="21"/>
      <c r="W202" s="78"/>
      <c r="X202" s="22"/>
      <c r="Y202" s="22"/>
      <c r="Z202" s="74" t="str">
        <f>CONCATENATE(Table1[[#This Row],[P.R NUMBER]],"-",Table1[[#This Row],[SR NO]])</f>
        <v>150312302020-1011</v>
      </c>
    </row>
    <row r="203" spans="1:26" x14ac:dyDescent="0.25">
      <c r="A203" s="73"/>
      <c r="B203" s="42">
        <v>1012</v>
      </c>
      <c r="C203" s="42" t="s">
        <v>2196</v>
      </c>
      <c r="D203" s="44" t="s">
        <v>118</v>
      </c>
      <c r="E203" s="76" t="s">
        <v>90</v>
      </c>
      <c r="F203" s="42" t="s">
        <v>1</v>
      </c>
      <c r="G203" s="49" t="s">
        <v>1871</v>
      </c>
      <c r="H203" s="45" t="s">
        <v>2230</v>
      </c>
      <c r="I203" s="83" t="s">
        <v>243</v>
      </c>
      <c r="J203" s="52" t="str">
        <f>VLOOKUP(I203,'CONTACT REFERENCE'!$A$2:$P$399,4,FALSE)</f>
        <v>FITWELL METAL INDUSTRIES LLC</v>
      </c>
      <c r="K203" s="42" t="s">
        <v>2222</v>
      </c>
      <c r="L203" s="42" t="s">
        <v>2223</v>
      </c>
      <c r="M203" s="41">
        <v>214</v>
      </c>
      <c r="N203" s="41"/>
      <c r="O203" s="47" t="s">
        <v>2231</v>
      </c>
      <c r="P203" s="45" t="s">
        <v>124</v>
      </c>
      <c r="Q203" s="49" t="s">
        <v>120</v>
      </c>
      <c r="R203" s="48">
        <v>220</v>
      </c>
      <c r="S203" s="41" t="s">
        <v>29</v>
      </c>
      <c r="T203" s="42" t="s">
        <v>2080</v>
      </c>
      <c r="U203" s="42"/>
      <c r="V203" s="21"/>
      <c r="W203" s="78"/>
      <c r="X203" s="22"/>
      <c r="Y203" s="22"/>
      <c r="Z203" s="74" t="str">
        <f>CONCATENATE(Table1[[#This Row],[P.R NUMBER]],"-",Table1[[#This Row],[SR NO]])</f>
        <v>150312102020-1012</v>
      </c>
    </row>
    <row r="204" spans="1:26" x14ac:dyDescent="0.25">
      <c r="A204" s="73"/>
      <c r="B204" s="42">
        <v>1013</v>
      </c>
      <c r="C204" s="42" t="s">
        <v>2196</v>
      </c>
      <c r="D204" s="44" t="s">
        <v>118</v>
      </c>
      <c r="E204" s="76" t="s">
        <v>90</v>
      </c>
      <c r="F204" s="42" t="s">
        <v>1</v>
      </c>
      <c r="G204" s="49" t="s">
        <v>66</v>
      </c>
      <c r="H204" s="45" t="s">
        <v>2232</v>
      </c>
      <c r="I204" s="83" t="s">
        <v>243</v>
      </c>
      <c r="J204" s="52" t="str">
        <f>VLOOKUP(I204,'CONTACT REFERENCE'!$A$2:$P$399,4,FALSE)</f>
        <v>FITWELL METAL INDUSTRIES LLC</v>
      </c>
      <c r="K204" s="42" t="s">
        <v>2222</v>
      </c>
      <c r="L204" s="42" t="s">
        <v>2223</v>
      </c>
      <c r="M204" s="41" t="s">
        <v>186</v>
      </c>
      <c r="N204" s="41"/>
      <c r="O204" s="47" t="s">
        <v>2233</v>
      </c>
      <c r="P204" s="45" t="s">
        <v>141</v>
      </c>
      <c r="Q204" s="49" t="s">
        <v>120</v>
      </c>
      <c r="R204" s="48">
        <f>220*4</f>
        <v>880</v>
      </c>
      <c r="S204" s="41" t="s">
        <v>29</v>
      </c>
      <c r="T204" s="42" t="s">
        <v>2080</v>
      </c>
      <c r="U204" s="42"/>
      <c r="V204" s="21"/>
      <c r="W204" s="78"/>
      <c r="X204" s="22"/>
      <c r="Y204" s="22"/>
      <c r="Z204" s="74" t="str">
        <f>CONCATENATE(Table1[[#This Row],[P.R NUMBER]],"-",Table1[[#This Row],[SR NO]])</f>
        <v>150312212020-1013</v>
      </c>
    </row>
    <row r="205" spans="1:26" x14ac:dyDescent="0.25">
      <c r="A205" s="73"/>
      <c r="B205" s="42">
        <v>1014</v>
      </c>
      <c r="C205" s="42" t="s">
        <v>1981</v>
      </c>
      <c r="D205" s="44" t="s">
        <v>118</v>
      </c>
      <c r="E205" s="76" t="s">
        <v>90</v>
      </c>
      <c r="F205" s="42" t="s">
        <v>1</v>
      </c>
      <c r="G205" s="49" t="s">
        <v>53</v>
      </c>
      <c r="H205" s="45" t="s">
        <v>2234</v>
      </c>
      <c r="I205" s="83" t="s">
        <v>119</v>
      </c>
      <c r="J205" s="52" t="str">
        <f>VLOOKUP(I205,'CONTACT REFERENCE'!$A$2:$P$399,4,FALSE)</f>
        <v>AL DOBOWI TYRE COMPANY LLC</v>
      </c>
      <c r="K205" s="42" t="s">
        <v>2235</v>
      </c>
      <c r="L205" s="42">
        <v>317838</v>
      </c>
      <c r="M205" s="41" t="s">
        <v>53</v>
      </c>
      <c r="N205" s="41"/>
      <c r="O205" s="47" t="s">
        <v>2236</v>
      </c>
      <c r="P205" s="45" t="s">
        <v>124</v>
      </c>
      <c r="Q205" s="49" t="s">
        <v>120</v>
      </c>
      <c r="R205" s="48">
        <v>325</v>
      </c>
      <c r="S205" s="41" t="s">
        <v>29</v>
      </c>
      <c r="T205" s="42" t="s">
        <v>2237</v>
      </c>
      <c r="U205" s="42"/>
      <c r="V205" s="21"/>
      <c r="W205" s="78"/>
      <c r="X205" s="22"/>
      <c r="Y205" s="22"/>
      <c r="Z205" s="74" t="str">
        <f>CONCATENATE(Table1[[#This Row],[P.R NUMBER]],"-",Table1[[#This Row],[SR NO]])</f>
        <v>210312062020-1014</v>
      </c>
    </row>
    <row r="206" spans="1:26" x14ac:dyDescent="0.25">
      <c r="A206" s="73"/>
      <c r="B206" s="42">
        <v>1015</v>
      </c>
      <c r="C206" s="42" t="s">
        <v>1981</v>
      </c>
      <c r="D206" s="44" t="s">
        <v>118</v>
      </c>
      <c r="E206" s="76" t="s">
        <v>90</v>
      </c>
      <c r="F206" s="42" t="s">
        <v>1</v>
      </c>
      <c r="G206" s="49" t="s">
        <v>1871</v>
      </c>
      <c r="H206" s="45" t="s">
        <v>2238</v>
      </c>
      <c r="I206" s="83" t="s">
        <v>119</v>
      </c>
      <c r="J206" s="52" t="str">
        <f>VLOOKUP(I206,'CONTACT REFERENCE'!$A$2:$P$399,4,FALSE)</f>
        <v>AL DOBOWI TYRE COMPANY LLC</v>
      </c>
      <c r="K206" s="42" t="s">
        <v>2235</v>
      </c>
      <c r="L206" s="42"/>
      <c r="M206" s="41">
        <v>214</v>
      </c>
      <c r="N206" s="41"/>
      <c r="O206" s="47" t="s">
        <v>2239</v>
      </c>
      <c r="P206" s="45" t="s">
        <v>124</v>
      </c>
      <c r="Q206" s="49" t="s">
        <v>120</v>
      </c>
      <c r="R206" s="48">
        <v>125</v>
      </c>
      <c r="S206" s="41" t="s">
        <v>29</v>
      </c>
      <c r="T206" s="42"/>
      <c r="U206" s="42"/>
      <c r="V206" s="21"/>
      <c r="W206" s="78"/>
      <c r="X206" s="22"/>
      <c r="Y206" s="22"/>
      <c r="Z206" s="74" t="str">
        <f>CONCATENATE(Table1[[#This Row],[P.R NUMBER]],"-",Table1[[#This Row],[SR NO]])</f>
        <v>210312102020-1015</v>
      </c>
    </row>
    <row r="207" spans="1:26" x14ac:dyDescent="0.25">
      <c r="A207" s="73"/>
      <c r="B207" s="42">
        <v>1015</v>
      </c>
      <c r="C207" s="42" t="s">
        <v>1981</v>
      </c>
      <c r="D207" s="44" t="s">
        <v>118</v>
      </c>
      <c r="E207" s="76" t="s">
        <v>90</v>
      </c>
      <c r="F207" s="42" t="s">
        <v>1</v>
      </c>
      <c r="G207" s="49" t="s">
        <v>1871</v>
      </c>
      <c r="H207" s="45" t="s">
        <v>2238</v>
      </c>
      <c r="I207" s="83" t="s">
        <v>119</v>
      </c>
      <c r="J207" s="52" t="str">
        <f>VLOOKUP(I207,'CONTACT REFERENCE'!$A$2:$P$399,4,FALSE)</f>
        <v>AL DOBOWI TYRE COMPANY LLC</v>
      </c>
      <c r="K207" s="42" t="s">
        <v>2235</v>
      </c>
      <c r="L207" s="42"/>
      <c r="M207" s="41">
        <v>214</v>
      </c>
      <c r="N207" s="41"/>
      <c r="O207" s="47" t="s">
        <v>2240</v>
      </c>
      <c r="P207" s="45" t="s">
        <v>136</v>
      </c>
      <c r="Q207" s="49" t="s">
        <v>120</v>
      </c>
      <c r="R207" s="48">
        <v>400</v>
      </c>
      <c r="S207" s="41" t="s">
        <v>29</v>
      </c>
      <c r="T207" s="42"/>
      <c r="U207" s="42"/>
      <c r="V207" s="21"/>
      <c r="W207" s="78"/>
      <c r="X207" s="22"/>
      <c r="Y207" s="22"/>
      <c r="Z207" s="74" t="str">
        <f>CONCATENATE(Table1[[#This Row],[P.R NUMBER]],"-",Table1[[#This Row],[SR NO]])</f>
        <v>210312102020-1015</v>
      </c>
    </row>
    <row r="208" spans="1:26" x14ac:dyDescent="0.25">
      <c r="A208" s="73"/>
      <c r="B208" s="42">
        <v>1015</v>
      </c>
      <c r="C208" s="42" t="s">
        <v>1981</v>
      </c>
      <c r="D208" s="44" t="s">
        <v>118</v>
      </c>
      <c r="E208" s="76" t="s">
        <v>90</v>
      </c>
      <c r="F208" s="42" t="s">
        <v>1</v>
      </c>
      <c r="G208" s="49" t="s">
        <v>1871</v>
      </c>
      <c r="H208" s="45" t="s">
        <v>2238</v>
      </c>
      <c r="I208" s="83" t="s">
        <v>119</v>
      </c>
      <c r="J208" s="52" t="str">
        <f>VLOOKUP(I208,'CONTACT REFERENCE'!$A$2:$P$399,4,FALSE)</f>
        <v>AL DOBOWI TYRE COMPANY LLC</v>
      </c>
      <c r="K208" s="42" t="s">
        <v>2235</v>
      </c>
      <c r="L208" s="42"/>
      <c r="M208" s="41">
        <v>214</v>
      </c>
      <c r="N208" s="41"/>
      <c r="O208" s="47" t="s">
        <v>2241</v>
      </c>
      <c r="P208" s="45" t="s">
        <v>124</v>
      </c>
      <c r="Q208" s="49" t="s">
        <v>120</v>
      </c>
      <c r="R208" s="48">
        <v>275</v>
      </c>
      <c r="S208" s="41" t="s">
        <v>29</v>
      </c>
      <c r="T208" s="42"/>
      <c r="U208" s="42"/>
      <c r="V208" s="21"/>
      <c r="W208" s="78"/>
      <c r="X208" s="22"/>
      <c r="Y208" s="22"/>
      <c r="Z208" s="74" t="str">
        <f>CONCATENATE(Table1[[#This Row],[P.R NUMBER]],"-",Table1[[#This Row],[SR NO]])</f>
        <v>210312102020-1015</v>
      </c>
    </row>
    <row r="209" spans="1:26" x14ac:dyDescent="0.25">
      <c r="A209" s="73"/>
      <c r="B209" s="42">
        <v>1015</v>
      </c>
      <c r="C209" s="42" t="s">
        <v>1981</v>
      </c>
      <c r="D209" s="44" t="s">
        <v>118</v>
      </c>
      <c r="E209" s="76" t="s">
        <v>90</v>
      </c>
      <c r="F209" s="42" t="s">
        <v>1</v>
      </c>
      <c r="G209" s="49" t="s">
        <v>1871</v>
      </c>
      <c r="H209" s="45" t="s">
        <v>2238</v>
      </c>
      <c r="I209" s="83" t="s">
        <v>119</v>
      </c>
      <c r="J209" s="52" t="str">
        <f>VLOOKUP(I209,'CONTACT REFERENCE'!$A$2:$P$399,4,FALSE)</f>
        <v>AL DOBOWI TYRE COMPANY LLC</v>
      </c>
      <c r="K209" s="42" t="s">
        <v>2235</v>
      </c>
      <c r="L209" s="42"/>
      <c r="M209" s="41">
        <v>214</v>
      </c>
      <c r="N209" s="41"/>
      <c r="O209" s="47" t="s">
        <v>2242</v>
      </c>
      <c r="P209" s="45" t="s">
        <v>124</v>
      </c>
      <c r="Q209" s="49" t="s">
        <v>120</v>
      </c>
      <c r="R209" s="48">
        <v>250</v>
      </c>
      <c r="S209" s="41" t="s">
        <v>29</v>
      </c>
      <c r="T209" s="42"/>
      <c r="U209" s="42"/>
      <c r="V209" s="21"/>
      <c r="W209" s="78"/>
      <c r="X209" s="22"/>
      <c r="Y209" s="22"/>
      <c r="Z209" s="74" t="str">
        <f>CONCATENATE(Table1[[#This Row],[P.R NUMBER]],"-",Table1[[#This Row],[SR NO]])</f>
        <v>210312102020-1015</v>
      </c>
    </row>
    <row r="210" spans="1:26" x14ac:dyDescent="0.25">
      <c r="A210" s="73"/>
      <c r="B210" s="42">
        <v>1015</v>
      </c>
      <c r="C210" s="42" t="s">
        <v>1981</v>
      </c>
      <c r="D210" s="44" t="s">
        <v>118</v>
      </c>
      <c r="E210" s="76" t="s">
        <v>90</v>
      </c>
      <c r="F210" s="42" t="s">
        <v>1</v>
      </c>
      <c r="G210" s="49" t="s">
        <v>1871</v>
      </c>
      <c r="H210" s="45" t="s">
        <v>2238</v>
      </c>
      <c r="I210" s="83" t="s">
        <v>119</v>
      </c>
      <c r="J210" s="52" t="str">
        <f>VLOOKUP(I210,'CONTACT REFERENCE'!$A$2:$P$399,4,FALSE)</f>
        <v>AL DOBOWI TYRE COMPANY LLC</v>
      </c>
      <c r="K210" s="42" t="s">
        <v>2235</v>
      </c>
      <c r="L210" s="42"/>
      <c r="M210" s="41">
        <v>214</v>
      </c>
      <c r="N210" s="41"/>
      <c r="O210" s="47" t="s">
        <v>2243</v>
      </c>
      <c r="P210" s="45" t="s">
        <v>124</v>
      </c>
      <c r="Q210" s="49" t="s">
        <v>120</v>
      </c>
      <c r="R210" s="48">
        <v>100</v>
      </c>
      <c r="S210" s="41" t="s">
        <v>29</v>
      </c>
      <c r="T210" s="42"/>
      <c r="U210" s="42"/>
      <c r="V210" s="21"/>
      <c r="W210" s="78"/>
      <c r="X210" s="22"/>
      <c r="Y210" s="22"/>
      <c r="Z210" s="74" t="str">
        <f>CONCATENATE(Table1[[#This Row],[P.R NUMBER]],"-",Table1[[#This Row],[SR NO]])</f>
        <v>210312102020-1015</v>
      </c>
    </row>
    <row r="211" spans="1:26" x14ac:dyDescent="0.25">
      <c r="A211" s="73"/>
      <c r="B211" s="42">
        <v>1016</v>
      </c>
      <c r="C211" s="42" t="s">
        <v>1981</v>
      </c>
      <c r="D211" s="44" t="s">
        <v>118</v>
      </c>
      <c r="E211" s="76" t="s">
        <v>90</v>
      </c>
      <c r="F211" s="42" t="s">
        <v>1</v>
      </c>
      <c r="G211" s="49" t="s">
        <v>75</v>
      </c>
      <c r="H211" s="45" t="s">
        <v>2244</v>
      </c>
      <c r="I211" s="83" t="s">
        <v>243</v>
      </c>
      <c r="J211" s="52" t="str">
        <f>VLOOKUP(I211,'CONTACT REFERENCE'!$A$2:$P$399,4,FALSE)</f>
        <v>FITWELL METAL INDUSTRIES LLC</v>
      </c>
      <c r="K211" s="42" t="s">
        <v>2062</v>
      </c>
      <c r="L211" s="42" t="s">
        <v>2227</v>
      </c>
      <c r="M211" s="41" t="s">
        <v>75</v>
      </c>
      <c r="N211" s="41"/>
      <c r="O211" s="47" t="s">
        <v>2076</v>
      </c>
      <c r="P211" s="45" t="s">
        <v>2229</v>
      </c>
      <c r="Q211" s="49" t="s">
        <v>120</v>
      </c>
      <c r="R211" s="48">
        <f>35*11</f>
        <v>385</v>
      </c>
      <c r="S211" s="41" t="s">
        <v>29</v>
      </c>
      <c r="T211" s="42" t="s">
        <v>2080</v>
      </c>
      <c r="U211" s="42"/>
      <c r="V211" s="21"/>
      <c r="W211" s="78"/>
      <c r="X211" s="22"/>
      <c r="Y211" s="22"/>
      <c r="Z211" s="74" t="str">
        <f>CONCATENATE(Table1[[#This Row],[P.R NUMBER]],"-",Table1[[#This Row],[SR NO]])</f>
        <v>210312302020-1016</v>
      </c>
    </row>
    <row r="212" spans="1:26" x14ac:dyDescent="0.25">
      <c r="A212" s="73"/>
      <c r="B212" s="42">
        <v>1017</v>
      </c>
      <c r="C212" s="42" t="s">
        <v>2245</v>
      </c>
      <c r="D212" s="44" t="s">
        <v>118</v>
      </c>
      <c r="E212" s="76" t="s">
        <v>92</v>
      </c>
      <c r="F212" s="42" t="s">
        <v>88</v>
      </c>
      <c r="G212" s="49" t="s">
        <v>72</v>
      </c>
      <c r="H212" s="45" t="s">
        <v>2246</v>
      </c>
      <c r="I212" s="83" t="s">
        <v>1737</v>
      </c>
      <c r="J212" s="52" t="str">
        <f>VLOOKUP(I212,'CONTACT REFERENCE'!$A$2:$P$399,4,FALSE)</f>
        <v>SAKET GARMENTS &amp; TEXTILE TRD</v>
      </c>
      <c r="K212" s="42"/>
      <c r="L212" s="42" t="s">
        <v>2247</v>
      </c>
      <c r="M212" s="41" t="s">
        <v>72</v>
      </c>
      <c r="N212" s="41"/>
      <c r="O212" s="47" t="s">
        <v>2248</v>
      </c>
      <c r="P212" s="45" t="s">
        <v>2249</v>
      </c>
      <c r="Q212" s="49" t="s">
        <v>195</v>
      </c>
      <c r="R212" s="48">
        <v>3430</v>
      </c>
      <c r="S212" s="41" t="s">
        <v>29</v>
      </c>
      <c r="T212" s="42" t="s">
        <v>2245</v>
      </c>
      <c r="U212" s="42"/>
      <c r="V212" s="21"/>
      <c r="W212" s="78"/>
      <c r="X212" s="22"/>
      <c r="Y212" s="22"/>
      <c r="Z212" s="74" t="str">
        <f>CONCATENATE(Table1[[#This Row],[P.R NUMBER]],"-",Table1[[#This Row],[SR NO]])</f>
        <v>230312274060-1017</v>
      </c>
    </row>
    <row r="213" spans="1:26" x14ac:dyDescent="0.25">
      <c r="A213" s="73"/>
      <c r="B213" s="42">
        <v>1018</v>
      </c>
      <c r="C213" s="42" t="s">
        <v>2245</v>
      </c>
      <c r="D213" s="44" t="s">
        <v>118</v>
      </c>
      <c r="E213" s="76" t="s">
        <v>90</v>
      </c>
      <c r="F213" s="42" t="s">
        <v>1</v>
      </c>
      <c r="G213" s="49" t="s">
        <v>1866</v>
      </c>
      <c r="H213" s="45" t="s">
        <v>2250</v>
      </c>
      <c r="I213" s="83" t="s">
        <v>1746</v>
      </c>
      <c r="J213" s="52" t="str">
        <f>VLOOKUP(I213,'CONTACT REFERENCE'!$A$2:$P$399,4,FALSE)</f>
        <v>DAR AL SALAM ENG TURN WORKS</v>
      </c>
      <c r="K213" s="42"/>
      <c r="L213" s="42">
        <v>1005</v>
      </c>
      <c r="M213" s="41">
        <v>135</v>
      </c>
      <c r="N213" s="41"/>
      <c r="O213" s="47" t="s">
        <v>2251</v>
      </c>
      <c r="P213" s="45" t="s">
        <v>2252</v>
      </c>
      <c r="Q213" s="49" t="s">
        <v>120</v>
      </c>
      <c r="R213" s="48">
        <v>4300</v>
      </c>
      <c r="S213" s="41" t="s">
        <v>29</v>
      </c>
      <c r="T213" s="42" t="s">
        <v>2245</v>
      </c>
      <c r="U213" s="42"/>
      <c r="V213" s="21"/>
      <c r="W213" s="78"/>
      <c r="X213" s="22"/>
      <c r="Y213" s="22"/>
      <c r="Z213" s="74" t="str">
        <f>CONCATENATE(Table1[[#This Row],[P.R NUMBER]],"-",Table1[[#This Row],[SR NO]])</f>
        <v>230312172020-1018</v>
      </c>
    </row>
    <row r="214" spans="1:26" x14ac:dyDescent="0.25">
      <c r="A214" s="73"/>
      <c r="B214" s="42">
        <v>1019</v>
      </c>
      <c r="C214" s="42" t="s">
        <v>2045</v>
      </c>
      <c r="D214" s="44" t="s">
        <v>118</v>
      </c>
      <c r="E214" s="76" t="s">
        <v>90</v>
      </c>
      <c r="F214" s="42" t="s">
        <v>1</v>
      </c>
      <c r="G214" s="49" t="s">
        <v>69</v>
      </c>
      <c r="H214" s="45" t="s">
        <v>2253</v>
      </c>
      <c r="I214" s="83" t="s">
        <v>538</v>
      </c>
      <c r="J214" s="52" t="str">
        <f>VLOOKUP(I214,'CONTACT REFERENCE'!$A$2:$P$399,4,FALSE)</f>
        <v>BOODAI TRADING COMPANY LLC</v>
      </c>
      <c r="K214" s="42"/>
      <c r="L214" s="42">
        <v>12300922</v>
      </c>
      <c r="M214" s="41" t="s">
        <v>156</v>
      </c>
      <c r="N214" s="42" t="s">
        <v>160</v>
      </c>
      <c r="O214" s="46" t="s">
        <v>2254</v>
      </c>
      <c r="P214" s="45" t="s">
        <v>124</v>
      </c>
      <c r="Q214" s="49" t="s">
        <v>208</v>
      </c>
      <c r="R214" s="48">
        <v>1350</v>
      </c>
      <c r="S214" s="41" t="s">
        <v>29</v>
      </c>
      <c r="T214" s="42"/>
      <c r="U214" s="42"/>
      <c r="V214" s="21"/>
      <c r="W214" s="78"/>
      <c r="X214" s="22"/>
      <c r="Y214" s="22"/>
      <c r="Z214" s="74" t="str">
        <f>CONCATENATE(Table1[[#This Row],[P.R NUMBER]],"-",Table1[[#This Row],[SR NO]])</f>
        <v>240312242020-1019</v>
      </c>
    </row>
    <row r="215" spans="1:26" x14ac:dyDescent="0.25">
      <c r="A215" s="73"/>
      <c r="B215" s="42">
        <v>1020</v>
      </c>
      <c r="C215" s="42" t="s">
        <v>2045</v>
      </c>
      <c r="D215" s="44" t="s">
        <v>122</v>
      </c>
      <c r="E215" s="76" t="s">
        <v>90</v>
      </c>
      <c r="F215" s="42" t="s">
        <v>1</v>
      </c>
      <c r="G215" s="49" t="s">
        <v>70</v>
      </c>
      <c r="H215" s="45" t="s">
        <v>2255</v>
      </c>
      <c r="I215" s="83" t="s">
        <v>253</v>
      </c>
      <c r="J215" s="52" t="str">
        <f>VLOOKUP(I215,'CONTACT REFERENCE'!$A$2:$P$399,4,FALSE)</f>
        <v>SURE TACK SYSTEMS (DIVISION OF CRIST CO)</v>
      </c>
      <c r="K215" s="42"/>
      <c r="L215" s="42"/>
      <c r="M215" s="41"/>
      <c r="N215" s="41"/>
      <c r="O215" s="47" t="s">
        <v>1875</v>
      </c>
      <c r="P215" s="45" t="s">
        <v>130</v>
      </c>
      <c r="Q215" s="49" t="s">
        <v>120</v>
      </c>
      <c r="R215" s="48">
        <f>275*6</f>
        <v>1650</v>
      </c>
      <c r="S215" s="41" t="s">
        <v>28</v>
      </c>
      <c r="T215" s="42"/>
      <c r="U215" s="42"/>
      <c r="V215" s="21"/>
      <c r="W215" s="78"/>
      <c r="X215" s="22"/>
      <c r="Y215" s="22"/>
      <c r="Z215" s="74" t="str">
        <f>CONCATENATE(Table1[[#This Row],[P.R NUMBER]],"-",Table1[[#This Row],[SR NO]])</f>
        <v>240312252020-1020</v>
      </c>
    </row>
    <row r="216" spans="1:26" x14ac:dyDescent="0.25">
      <c r="A216" s="73"/>
      <c r="B216" s="42">
        <v>1020</v>
      </c>
      <c r="C216" s="42" t="s">
        <v>2045</v>
      </c>
      <c r="D216" s="44" t="s">
        <v>122</v>
      </c>
      <c r="E216" s="76" t="s">
        <v>90</v>
      </c>
      <c r="F216" s="42" t="s">
        <v>1</v>
      </c>
      <c r="G216" s="49" t="s">
        <v>70</v>
      </c>
      <c r="H216" s="45" t="s">
        <v>2255</v>
      </c>
      <c r="I216" s="83" t="s">
        <v>253</v>
      </c>
      <c r="J216" s="52" t="str">
        <f>VLOOKUP(I216,'CONTACT REFERENCE'!$A$2:$P$399,4,FALSE)</f>
        <v>SURE TACK SYSTEMS (DIVISION OF CRIST CO)</v>
      </c>
      <c r="K216" s="42"/>
      <c r="L216" s="42"/>
      <c r="M216" s="41"/>
      <c r="N216" s="41"/>
      <c r="O216" s="47" t="s">
        <v>2256</v>
      </c>
      <c r="P216" s="45" t="s">
        <v>144</v>
      </c>
      <c r="Q216" s="49" t="s">
        <v>120</v>
      </c>
      <c r="R216" s="48">
        <f>12*9.35</f>
        <v>112.19999999999999</v>
      </c>
      <c r="S216" s="41" t="s">
        <v>28</v>
      </c>
      <c r="T216" s="42"/>
      <c r="U216" s="42"/>
      <c r="V216" s="21"/>
      <c r="W216" s="78"/>
      <c r="X216" s="22"/>
      <c r="Y216" s="22"/>
      <c r="Z216" s="74" t="str">
        <f>CONCATENATE(Table1[[#This Row],[P.R NUMBER]],"-",Table1[[#This Row],[SR NO]])</f>
        <v>240312252020-1020</v>
      </c>
    </row>
    <row r="217" spans="1:26" x14ac:dyDescent="0.25">
      <c r="A217" s="73"/>
      <c r="B217" s="42">
        <v>1021</v>
      </c>
      <c r="C217" s="42" t="s">
        <v>2045</v>
      </c>
      <c r="D217" s="44" t="s">
        <v>122</v>
      </c>
      <c r="E217" s="76" t="s">
        <v>89</v>
      </c>
      <c r="F217" s="42" t="s">
        <v>87</v>
      </c>
      <c r="G217" s="49" t="s">
        <v>61</v>
      </c>
      <c r="H217" s="45" t="s">
        <v>2257</v>
      </c>
      <c r="I217" s="83" t="s">
        <v>292</v>
      </c>
      <c r="J217" s="52" t="str">
        <f>VLOOKUP(I217,'CONTACT REFERENCE'!$A$2:$P$399,4,FALSE)</f>
        <v>WINDY CITY CUTTING DIE</v>
      </c>
      <c r="K217" s="42"/>
      <c r="L217" s="42">
        <v>134847</v>
      </c>
      <c r="M217" s="41" t="s">
        <v>157</v>
      </c>
      <c r="N217" s="41"/>
      <c r="O217" s="47" t="s">
        <v>2258</v>
      </c>
      <c r="P217" s="45" t="s">
        <v>124</v>
      </c>
      <c r="Q217" s="49" t="s">
        <v>120</v>
      </c>
      <c r="R217" s="48">
        <v>1134</v>
      </c>
      <c r="S217" s="41" t="s">
        <v>28</v>
      </c>
      <c r="T217" s="84">
        <v>41034</v>
      </c>
      <c r="U217" s="42" t="s">
        <v>2259</v>
      </c>
      <c r="V217" s="21"/>
      <c r="W217" s="78"/>
      <c r="X217" s="22">
        <v>18</v>
      </c>
      <c r="Y217" s="22"/>
      <c r="Z217" s="74" t="str">
        <f>CONCATENATE(Table1[[#This Row],[P.R NUMBER]],"-",Table1[[#This Row],[SR NO]])</f>
        <v>240312151050-1021</v>
      </c>
    </row>
    <row r="218" spans="1:26" x14ac:dyDescent="0.25">
      <c r="A218" s="73"/>
      <c r="B218" s="42">
        <v>1022</v>
      </c>
      <c r="C218" s="42" t="s">
        <v>2260</v>
      </c>
      <c r="D218" s="44" t="s">
        <v>122</v>
      </c>
      <c r="E218" s="76" t="s">
        <v>90</v>
      </c>
      <c r="F218" s="42" t="s">
        <v>1</v>
      </c>
      <c r="G218" s="49" t="s">
        <v>83</v>
      </c>
      <c r="H218" s="45" t="s">
        <v>2261</v>
      </c>
      <c r="I218" s="83" t="s">
        <v>262</v>
      </c>
      <c r="J218" s="52" t="str">
        <f>VLOOKUP(I218,'CONTACT REFERENCE'!$A$2:$P$399,4,FALSE)</f>
        <v>CURTIUS TRADING INC</v>
      </c>
      <c r="K218" s="42"/>
      <c r="L218" s="42"/>
      <c r="M218" s="41" t="s">
        <v>207</v>
      </c>
      <c r="N218" s="41"/>
      <c r="O218" s="47" t="s">
        <v>2262</v>
      </c>
      <c r="P218" s="45" t="s">
        <v>124</v>
      </c>
      <c r="Q218" s="49" t="s">
        <v>120</v>
      </c>
      <c r="R218" s="48">
        <v>178.62</v>
      </c>
      <c r="S218" s="41" t="s">
        <v>28</v>
      </c>
      <c r="T218" s="42"/>
      <c r="U218" s="42"/>
      <c r="V218" s="21"/>
      <c r="W218" s="78"/>
      <c r="X218" s="22"/>
      <c r="Y218" s="22"/>
      <c r="Z218" s="74" t="str">
        <f>CONCATENATE(Table1[[#This Row],[P.R NUMBER]],"-",Table1[[#This Row],[SR NO]])</f>
        <v>250312382020-1022</v>
      </c>
    </row>
    <row r="219" spans="1:26" x14ac:dyDescent="0.25">
      <c r="A219" s="73"/>
      <c r="B219" s="42">
        <v>1023</v>
      </c>
      <c r="C219" s="42" t="s">
        <v>2260</v>
      </c>
      <c r="D219" s="44" t="s">
        <v>118</v>
      </c>
      <c r="E219" s="76" t="s">
        <v>90</v>
      </c>
      <c r="F219" s="42" t="s">
        <v>1</v>
      </c>
      <c r="G219" s="49" t="s">
        <v>49</v>
      </c>
      <c r="H219" s="45" t="s">
        <v>2263</v>
      </c>
      <c r="I219" s="83" t="s">
        <v>460</v>
      </c>
      <c r="J219" s="52" t="str">
        <f>VLOOKUP(I219,'CONTACT REFERENCE'!$A$2:$P$399,4,FALSE)</f>
        <v>A-1 ENGINEERING</v>
      </c>
      <c r="K219" s="42">
        <v>5710</v>
      </c>
      <c r="L219" s="42"/>
      <c r="M219" s="41" t="s">
        <v>49</v>
      </c>
      <c r="N219" s="41"/>
      <c r="O219" s="47" t="s">
        <v>2264</v>
      </c>
      <c r="P219" s="45" t="s">
        <v>124</v>
      </c>
      <c r="Q219" s="49" t="s">
        <v>120</v>
      </c>
      <c r="R219" s="48">
        <v>580</v>
      </c>
      <c r="S219" s="41" t="s">
        <v>29</v>
      </c>
      <c r="T219" s="42"/>
      <c r="U219" s="42"/>
      <c r="V219" s="21"/>
      <c r="W219" s="78"/>
      <c r="X219" s="22"/>
      <c r="Y219" s="22"/>
      <c r="Z219" s="74" t="str">
        <f>CONCATENATE(Table1[[#This Row],[P.R NUMBER]],"-",Table1[[#This Row],[SR NO]])</f>
        <v>250312022020-1023</v>
      </c>
    </row>
    <row r="220" spans="1:26" x14ac:dyDescent="0.25">
      <c r="A220" s="73"/>
      <c r="B220" s="42">
        <v>1024</v>
      </c>
      <c r="C220" s="42" t="s">
        <v>2260</v>
      </c>
      <c r="D220" s="44" t="s">
        <v>118</v>
      </c>
      <c r="E220" s="76" t="s">
        <v>89</v>
      </c>
      <c r="F220" s="42" t="s">
        <v>1</v>
      </c>
      <c r="G220" s="49" t="s">
        <v>49</v>
      </c>
      <c r="H220" s="45" t="s">
        <v>2265</v>
      </c>
      <c r="I220" s="83" t="s">
        <v>460</v>
      </c>
      <c r="J220" s="52" t="str">
        <f>VLOOKUP(I220,'CONTACT REFERENCE'!$A$2:$P$399,4,FALSE)</f>
        <v>A-1 ENGINEERING</v>
      </c>
      <c r="K220" s="42">
        <v>5711</v>
      </c>
      <c r="L220" s="42"/>
      <c r="M220" s="41" t="s">
        <v>49</v>
      </c>
      <c r="N220" s="41"/>
      <c r="O220" s="47" t="s">
        <v>2266</v>
      </c>
      <c r="P220" s="45" t="s">
        <v>136</v>
      </c>
      <c r="Q220" s="49" t="s">
        <v>140</v>
      </c>
      <c r="R220" s="48">
        <v>500</v>
      </c>
      <c r="S220" s="41" t="s">
        <v>29</v>
      </c>
      <c r="T220" s="42"/>
      <c r="U220" s="42"/>
      <c r="V220" s="21"/>
      <c r="W220" s="78"/>
      <c r="X220" s="22"/>
      <c r="Y220" s="22"/>
      <c r="Z220" s="74" t="str">
        <f>CONCATENATE(Table1[[#This Row],[P.R NUMBER]],"-",Table1[[#This Row],[SR NO]])</f>
        <v>250312021020-1024</v>
      </c>
    </row>
    <row r="221" spans="1:26" x14ac:dyDescent="0.25">
      <c r="A221" s="73"/>
      <c r="B221" s="42">
        <v>1025</v>
      </c>
      <c r="C221" s="42" t="s">
        <v>2260</v>
      </c>
      <c r="D221" s="44" t="s">
        <v>118</v>
      </c>
      <c r="E221" s="76" t="s">
        <v>90</v>
      </c>
      <c r="F221" s="42" t="s">
        <v>1</v>
      </c>
      <c r="G221" s="49" t="s">
        <v>70</v>
      </c>
      <c r="H221" s="45" t="s">
        <v>2267</v>
      </c>
      <c r="I221" s="83" t="s">
        <v>460</v>
      </c>
      <c r="J221" s="52" t="str">
        <f>VLOOKUP(I221,'CONTACT REFERENCE'!$A$2:$P$399,4,FALSE)</f>
        <v>A-1 ENGINEERING</v>
      </c>
      <c r="K221" s="42">
        <v>5712</v>
      </c>
      <c r="L221" s="42"/>
      <c r="M221" s="41" t="s">
        <v>49</v>
      </c>
      <c r="N221" s="41"/>
      <c r="O221" s="47" t="s">
        <v>2268</v>
      </c>
      <c r="P221" s="45" t="s">
        <v>136</v>
      </c>
      <c r="Q221" s="49" t="s">
        <v>120</v>
      </c>
      <c r="R221" s="48">
        <v>580</v>
      </c>
      <c r="S221" s="41" t="s">
        <v>29</v>
      </c>
      <c r="T221" s="42"/>
      <c r="U221" s="42"/>
      <c r="V221" s="21"/>
      <c r="W221" s="78"/>
      <c r="X221" s="22"/>
      <c r="Y221" s="22"/>
      <c r="Z221" s="74" t="str">
        <f>CONCATENATE(Table1[[#This Row],[P.R NUMBER]],"-",Table1[[#This Row],[SR NO]])</f>
        <v>250312252020-1025</v>
      </c>
    </row>
    <row r="222" spans="1:26" x14ac:dyDescent="0.25">
      <c r="A222" s="73"/>
      <c r="B222" s="42">
        <v>1026</v>
      </c>
      <c r="C222" s="42" t="s">
        <v>2269</v>
      </c>
      <c r="D222" s="44" t="s">
        <v>122</v>
      </c>
      <c r="E222" s="76" t="s">
        <v>91</v>
      </c>
      <c r="F222" s="42" t="s">
        <v>85</v>
      </c>
      <c r="G222" s="49" t="s">
        <v>70</v>
      </c>
      <c r="H222" s="45" t="s">
        <v>2270</v>
      </c>
      <c r="I222" s="83" t="s">
        <v>276</v>
      </c>
      <c r="J222" s="52" t="str">
        <f>VLOOKUP(I222,'CONTACT REFERENCE'!$A$2:$P$399,4,FALSE)</f>
        <v>BEST CUTTING DIE COMPANY</v>
      </c>
      <c r="K222" s="42"/>
      <c r="L222" s="42">
        <v>37397</v>
      </c>
      <c r="M222" s="41"/>
      <c r="N222" s="41"/>
      <c r="O222" s="47" t="s">
        <v>168</v>
      </c>
      <c r="P222" s="45" t="s">
        <v>136</v>
      </c>
      <c r="Q222" s="49" t="s">
        <v>120</v>
      </c>
      <c r="R222" s="48">
        <v>210</v>
      </c>
      <c r="S222" s="41" t="s">
        <v>28</v>
      </c>
      <c r="T222" s="42" t="s">
        <v>2271</v>
      </c>
      <c r="U222" s="42" t="s">
        <v>2272</v>
      </c>
      <c r="V222" s="21"/>
      <c r="W222" s="78"/>
      <c r="X222" s="22"/>
      <c r="Y222" s="22"/>
      <c r="Z222" s="74" t="str">
        <f>CONCATENATE(Table1[[#This Row],[P.R NUMBER]],"-",Table1[[#This Row],[SR NO]])</f>
        <v>260312253030-1026</v>
      </c>
    </row>
    <row r="223" spans="1:26" x14ac:dyDescent="0.25">
      <c r="A223" s="73"/>
      <c r="B223" s="42">
        <v>1026</v>
      </c>
      <c r="C223" s="42" t="s">
        <v>2269</v>
      </c>
      <c r="D223" s="44" t="s">
        <v>122</v>
      </c>
      <c r="E223" s="76" t="s">
        <v>91</v>
      </c>
      <c r="F223" s="42" t="s">
        <v>85</v>
      </c>
      <c r="G223" s="49" t="s">
        <v>70</v>
      </c>
      <c r="H223" s="45" t="s">
        <v>2270</v>
      </c>
      <c r="I223" s="83" t="s">
        <v>276</v>
      </c>
      <c r="J223" s="52" t="str">
        <f>VLOOKUP(I223,'CONTACT REFERENCE'!$A$2:$P$399,4,FALSE)</f>
        <v>BEST CUTTING DIE COMPANY</v>
      </c>
      <c r="K223" s="42"/>
      <c r="L223" s="42">
        <v>37397</v>
      </c>
      <c r="M223" s="41"/>
      <c r="N223" s="41"/>
      <c r="O223" s="47" t="s">
        <v>2273</v>
      </c>
      <c r="P223" s="45" t="s">
        <v>136</v>
      </c>
      <c r="Q223" s="49" t="s">
        <v>120</v>
      </c>
      <c r="R223" s="48">
        <v>378</v>
      </c>
      <c r="S223" s="41" t="s">
        <v>28</v>
      </c>
      <c r="T223" s="42" t="s">
        <v>2271</v>
      </c>
      <c r="U223" s="42" t="s">
        <v>2272</v>
      </c>
      <c r="V223" s="21"/>
      <c r="W223" s="78"/>
      <c r="X223" s="22"/>
      <c r="Y223" s="22"/>
      <c r="Z223" s="74" t="str">
        <f>CONCATENATE(Table1[[#This Row],[P.R NUMBER]],"-",Table1[[#This Row],[SR NO]])</f>
        <v>260312253030-1026</v>
      </c>
    </row>
    <row r="224" spans="1:26" x14ac:dyDescent="0.25">
      <c r="A224" s="73"/>
      <c r="B224" s="42">
        <v>1026</v>
      </c>
      <c r="C224" s="42" t="s">
        <v>2269</v>
      </c>
      <c r="D224" s="44" t="s">
        <v>122</v>
      </c>
      <c r="E224" s="76" t="s">
        <v>91</v>
      </c>
      <c r="F224" s="42" t="s">
        <v>85</v>
      </c>
      <c r="G224" s="49" t="s">
        <v>70</v>
      </c>
      <c r="H224" s="45" t="s">
        <v>2270</v>
      </c>
      <c r="I224" s="83" t="s">
        <v>276</v>
      </c>
      <c r="J224" s="52" t="str">
        <f>VLOOKUP(I224,'CONTACT REFERENCE'!$A$2:$P$399,4,FALSE)</f>
        <v>BEST CUTTING DIE COMPANY</v>
      </c>
      <c r="K224" s="42"/>
      <c r="L224" s="42">
        <v>37397</v>
      </c>
      <c r="M224" s="41"/>
      <c r="N224" s="41"/>
      <c r="O224" s="47" t="s">
        <v>2274</v>
      </c>
      <c r="P224" s="45" t="s">
        <v>141</v>
      </c>
      <c r="Q224" s="49" t="s">
        <v>120</v>
      </c>
      <c r="R224" s="48">
        <v>176</v>
      </c>
      <c r="S224" s="41" t="s">
        <v>28</v>
      </c>
      <c r="T224" s="42" t="s">
        <v>2271</v>
      </c>
      <c r="U224" s="42" t="s">
        <v>2272</v>
      </c>
      <c r="V224" s="21"/>
      <c r="W224" s="78"/>
      <c r="X224" s="22"/>
      <c r="Y224" s="22"/>
      <c r="Z224" s="74" t="str">
        <f>CONCATENATE(Table1[[#This Row],[P.R NUMBER]],"-",Table1[[#This Row],[SR NO]])</f>
        <v>260312253030-1026</v>
      </c>
    </row>
    <row r="225" spans="1:26" x14ac:dyDescent="0.25">
      <c r="A225" s="73"/>
      <c r="B225" s="42">
        <v>1027</v>
      </c>
      <c r="C225" s="42" t="s">
        <v>2237</v>
      </c>
      <c r="D225" s="44" t="s">
        <v>118</v>
      </c>
      <c r="E225" s="76" t="s">
        <v>92</v>
      </c>
      <c r="F225" s="42" t="s">
        <v>1</v>
      </c>
      <c r="G225" s="49" t="s">
        <v>83</v>
      </c>
      <c r="H225" s="45" t="s">
        <v>2275</v>
      </c>
      <c r="I225" s="83" t="s">
        <v>341</v>
      </c>
      <c r="J225" s="52" t="str">
        <f>VLOOKUP(I225,'CONTACT REFERENCE'!$A$2:$P$399,4,FALSE)</f>
        <v>ADVANCE TECHNOLOGY BELTING TRD EST</v>
      </c>
      <c r="K225" s="42" t="s">
        <v>2276</v>
      </c>
      <c r="L225" s="42"/>
      <c r="M225" s="41"/>
      <c r="N225" s="41"/>
      <c r="O225" s="47" t="s">
        <v>2277</v>
      </c>
      <c r="P225" s="45" t="s">
        <v>137</v>
      </c>
      <c r="Q225" s="49" t="s">
        <v>120</v>
      </c>
      <c r="R225" s="48">
        <v>180</v>
      </c>
      <c r="S225" s="41" t="s">
        <v>29</v>
      </c>
      <c r="T225" s="42"/>
      <c r="U225" s="42"/>
      <c r="V225" s="21"/>
      <c r="W225" s="78"/>
      <c r="X225" s="22"/>
      <c r="Y225" s="22"/>
      <c r="Z225" s="74" t="str">
        <f>CONCATENATE(Table1[[#This Row],[P.R NUMBER]],"-",Table1[[#This Row],[SR NO]])</f>
        <v>270312382020-1027</v>
      </c>
    </row>
    <row r="226" spans="1:26" x14ac:dyDescent="0.25">
      <c r="A226" s="73"/>
      <c r="B226" s="42">
        <v>1028</v>
      </c>
      <c r="C226" s="43">
        <v>40995</v>
      </c>
      <c r="D226" s="44" t="s">
        <v>118</v>
      </c>
      <c r="E226" s="76" t="s">
        <v>90</v>
      </c>
      <c r="F226" s="42" t="s">
        <v>1</v>
      </c>
      <c r="G226" s="49" t="s">
        <v>70</v>
      </c>
      <c r="H226" s="45" t="s">
        <v>2278</v>
      </c>
      <c r="I226" s="83" t="s">
        <v>341</v>
      </c>
      <c r="J226" s="52" t="str">
        <f>VLOOKUP(I226,'CONTACT REFERENCE'!$A$2:$P$399,4,FALSE)</f>
        <v>ADVANCE TECHNOLOGY BELTING TRD EST</v>
      </c>
      <c r="K226" s="42" t="s">
        <v>2276</v>
      </c>
      <c r="L226" s="42"/>
      <c r="M226" s="41"/>
      <c r="N226" s="41"/>
      <c r="O226" s="47" t="s">
        <v>2279</v>
      </c>
      <c r="P226" s="45" t="s">
        <v>136</v>
      </c>
      <c r="Q226" s="49" t="s">
        <v>120</v>
      </c>
      <c r="R226" s="48">
        <v>480</v>
      </c>
      <c r="S226" s="41" t="s">
        <v>29</v>
      </c>
      <c r="T226" s="42"/>
      <c r="U226" s="42"/>
      <c r="V226" s="21"/>
      <c r="W226" s="78"/>
      <c r="X226" s="22"/>
      <c r="Y226" s="22"/>
      <c r="Z226" s="74" t="str">
        <f>CONCATENATE(Table1[[#This Row],[P.R NUMBER]],"-",Table1[[#This Row],[SR NO]])</f>
        <v>270312252020-1028</v>
      </c>
    </row>
    <row r="227" spans="1:26" x14ac:dyDescent="0.25">
      <c r="A227" s="73"/>
      <c r="B227" s="42">
        <v>1029</v>
      </c>
      <c r="C227" s="43">
        <v>41000</v>
      </c>
      <c r="D227" s="44" t="s">
        <v>118</v>
      </c>
      <c r="E227" s="76" t="s">
        <v>91</v>
      </c>
      <c r="F227" s="42" t="s">
        <v>88</v>
      </c>
      <c r="G227" s="49" t="s">
        <v>70</v>
      </c>
      <c r="H227" s="45" t="s">
        <v>2280</v>
      </c>
      <c r="I227" s="83" t="s">
        <v>484</v>
      </c>
      <c r="J227" s="52" t="str">
        <f>VLOOKUP(I227,'CONTACT REFERENCE'!$A$2:$P$399,4,FALSE)</f>
        <v>OMAN INKS AND PRINTING MATERIAL TRADING</v>
      </c>
      <c r="K227" s="42"/>
      <c r="L227" s="42"/>
      <c r="M227" s="41" t="s">
        <v>72</v>
      </c>
      <c r="N227" s="41" t="s">
        <v>171</v>
      </c>
      <c r="O227" s="46" t="s">
        <v>149</v>
      </c>
      <c r="P227" s="75" t="s">
        <v>124</v>
      </c>
      <c r="Q227" s="41" t="s">
        <v>135</v>
      </c>
      <c r="R227" s="48">
        <v>580</v>
      </c>
      <c r="S227" s="41" t="s">
        <v>29</v>
      </c>
      <c r="T227" s="42"/>
      <c r="U227" s="42"/>
      <c r="V227" s="21"/>
      <c r="W227" s="78"/>
      <c r="X227" s="22"/>
      <c r="Y227" s="22"/>
      <c r="Z227" s="74" t="str">
        <f>CONCATENATE(Table1[[#This Row],[P.R NUMBER]],"-",Table1[[#This Row],[SR NO]])</f>
        <v>020412253060-1029</v>
      </c>
    </row>
    <row r="228" spans="1:26" x14ac:dyDescent="0.25">
      <c r="A228" s="73"/>
      <c r="B228" s="42">
        <v>1030</v>
      </c>
      <c r="C228" s="43">
        <v>41000</v>
      </c>
      <c r="D228" s="44" t="s">
        <v>118</v>
      </c>
      <c r="E228" s="76" t="s">
        <v>90</v>
      </c>
      <c r="F228" s="42" t="s">
        <v>1</v>
      </c>
      <c r="G228" s="49" t="s">
        <v>74</v>
      </c>
      <c r="H228" s="45" t="s">
        <v>2281</v>
      </c>
      <c r="I228" s="83" t="s">
        <v>460</v>
      </c>
      <c r="J228" s="52" t="str">
        <f>VLOOKUP(I228,'CONTACT REFERENCE'!$A$2:$P$399,4,FALSE)</f>
        <v>A-1 ENGINEERING</v>
      </c>
      <c r="K228" s="42"/>
      <c r="L228" s="42">
        <v>5729</v>
      </c>
      <c r="M228" s="41" t="s">
        <v>74</v>
      </c>
      <c r="N228" s="41"/>
      <c r="O228" s="47" t="s">
        <v>2282</v>
      </c>
      <c r="P228" s="45" t="s">
        <v>124</v>
      </c>
      <c r="Q228" s="49" t="s">
        <v>120</v>
      </c>
      <c r="R228" s="48">
        <v>200</v>
      </c>
      <c r="S228" s="41" t="s">
        <v>29</v>
      </c>
      <c r="T228" s="42"/>
      <c r="U228" s="42"/>
      <c r="V228" s="21"/>
      <c r="W228" s="78"/>
      <c r="X228" s="22"/>
      <c r="Y228" s="22"/>
      <c r="Z228" s="74" t="str">
        <f>CONCATENATE(Table1[[#This Row],[P.R NUMBER]],"-",Table1[[#This Row],[SR NO]])</f>
        <v>020412292020-1030</v>
      </c>
    </row>
    <row r="229" spans="1:26" x14ac:dyDescent="0.25">
      <c r="A229" s="85"/>
      <c r="B229" s="39">
        <v>1031</v>
      </c>
      <c r="C229" s="79">
        <v>41002</v>
      </c>
      <c r="D229" s="80" t="s">
        <v>118</v>
      </c>
      <c r="E229" s="86" t="s">
        <v>91</v>
      </c>
      <c r="F229" s="39" t="s">
        <v>88</v>
      </c>
      <c r="G229" s="81" t="s">
        <v>49</v>
      </c>
      <c r="H229" s="82" t="s">
        <v>2283</v>
      </c>
      <c r="I229" s="87" t="s">
        <v>467</v>
      </c>
      <c r="J229" s="52" t="str">
        <f>VLOOKUP(I229,'CONTACT REFERENCE'!$A$2:$P$399,4,FALSE)</f>
        <v>DYNAGRAPH FOR PRINTING INUSTRY LLC</v>
      </c>
      <c r="K229" s="39"/>
      <c r="L229" s="39"/>
      <c r="M229" s="88" t="s">
        <v>49</v>
      </c>
      <c r="N229" s="88" t="s">
        <v>133</v>
      </c>
      <c r="O229" s="89" t="s">
        <v>134</v>
      </c>
      <c r="P229" s="82" t="s">
        <v>124</v>
      </c>
      <c r="Q229" s="81" t="s">
        <v>2284</v>
      </c>
      <c r="R229" s="90">
        <v>1200</v>
      </c>
      <c r="S229" s="88" t="s">
        <v>29</v>
      </c>
      <c r="T229" s="39"/>
      <c r="U229" s="39"/>
      <c r="V229" s="91"/>
      <c r="W229" s="92"/>
      <c r="X229" s="22"/>
      <c r="Y229" s="22"/>
      <c r="Z229" s="74" t="str">
        <f>CONCATENATE(Table1[[#This Row],[P.R NUMBER]],"-",Table1[[#This Row],[SR NO]])</f>
        <v>030412023060-1031</v>
      </c>
    </row>
    <row r="230" spans="1:26" x14ac:dyDescent="0.25">
      <c r="A230" s="85"/>
      <c r="B230" s="39">
        <v>1032</v>
      </c>
      <c r="C230" s="79">
        <v>41002</v>
      </c>
      <c r="D230" s="80" t="s">
        <v>118</v>
      </c>
      <c r="E230" s="86" t="s">
        <v>90</v>
      </c>
      <c r="F230" s="39" t="s">
        <v>1</v>
      </c>
      <c r="G230" s="81" t="s">
        <v>49</v>
      </c>
      <c r="H230" s="82" t="s">
        <v>2285</v>
      </c>
      <c r="I230" s="87" t="s">
        <v>460</v>
      </c>
      <c r="J230" s="52" t="str">
        <f>VLOOKUP(I230,'CONTACT REFERENCE'!$A$2:$P$399,4,FALSE)</f>
        <v>A-1 ENGINEERING</v>
      </c>
      <c r="K230" s="39">
        <v>5732</v>
      </c>
      <c r="L230" s="39"/>
      <c r="M230" s="81" t="s">
        <v>49</v>
      </c>
      <c r="N230" s="88"/>
      <c r="O230" s="89" t="s">
        <v>2286</v>
      </c>
      <c r="P230" s="82" t="s">
        <v>2287</v>
      </c>
      <c r="Q230" s="81" t="s">
        <v>2288</v>
      </c>
      <c r="R230" s="90">
        <v>800</v>
      </c>
      <c r="S230" s="88" t="s">
        <v>29</v>
      </c>
      <c r="T230" s="39"/>
      <c r="U230" s="39"/>
      <c r="V230" s="91"/>
      <c r="W230" s="92"/>
      <c r="X230" s="22"/>
      <c r="Y230" s="22"/>
      <c r="Z230" s="74" t="str">
        <f>CONCATENATE(Table1[[#This Row],[P.R NUMBER]],"-",Table1[[#This Row],[SR NO]])</f>
        <v>030412022020-1032</v>
      </c>
    </row>
    <row r="231" spans="1:26" x14ac:dyDescent="0.2">
      <c r="A231" s="85"/>
      <c r="B231" s="39">
        <v>1033</v>
      </c>
      <c r="C231" s="79">
        <v>41002</v>
      </c>
      <c r="D231" s="80" t="s">
        <v>122</v>
      </c>
      <c r="E231" s="86" t="s">
        <v>91</v>
      </c>
      <c r="F231" s="39" t="s">
        <v>88</v>
      </c>
      <c r="G231" s="81" t="s">
        <v>48</v>
      </c>
      <c r="H231" s="82" t="s">
        <v>2289</v>
      </c>
      <c r="I231" s="83" t="s">
        <v>262</v>
      </c>
      <c r="J231" s="52" t="str">
        <f>VLOOKUP(I231,'CONTACT REFERENCE'!$A$2:$P$399,4,FALSE)</f>
        <v>CURTIUS TRADING INC</v>
      </c>
      <c r="K231" s="39"/>
      <c r="L231" s="39"/>
      <c r="M231" s="88" t="s">
        <v>48</v>
      </c>
      <c r="N231" s="93" t="s">
        <v>2290</v>
      </c>
      <c r="O231" s="89" t="s">
        <v>2291</v>
      </c>
      <c r="P231" s="82" t="s">
        <v>2292</v>
      </c>
      <c r="Q231" s="81" t="s">
        <v>2284</v>
      </c>
      <c r="R231" s="90">
        <f>56.4*2</f>
        <v>112.8</v>
      </c>
      <c r="S231" s="88" t="s">
        <v>28</v>
      </c>
      <c r="T231" s="39"/>
      <c r="U231" s="39"/>
      <c r="V231" s="91"/>
      <c r="W231" s="92"/>
      <c r="X231" s="22"/>
      <c r="Y231" s="22"/>
      <c r="Z231" s="74" t="str">
        <f>CONCATENATE(Table1[[#This Row],[P.R NUMBER]],"-",Table1[[#This Row],[SR NO]])</f>
        <v>030412013060-1033</v>
      </c>
    </row>
    <row r="232" spans="1:26" x14ac:dyDescent="0.2">
      <c r="A232" s="85"/>
      <c r="B232" s="39">
        <v>1034</v>
      </c>
      <c r="C232" s="79">
        <v>41009</v>
      </c>
      <c r="D232" s="80" t="s">
        <v>122</v>
      </c>
      <c r="E232" s="86" t="s">
        <v>89</v>
      </c>
      <c r="F232" s="39" t="s">
        <v>1</v>
      </c>
      <c r="G232" s="81" t="s">
        <v>72</v>
      </c>
      <c r="H232" s="82" t="s">
        <v>2293</v>
      </c>
      <c r="I232" s="31" t="s">
        <v>276</v>
      </c>
      <c r="J232" s="52" t="str">
        <f>VLOOKUP(I232,'CONTACT REFERENCE'!$A$2:$P$399,4,FALSE)</f>
        <v>BEST CUTTING DIE COMPANY</v>
      </c>
      <c r="K232" s="39"/>
      <c r="L232" s="39"/>
      <c r="M232" s="88"/>
      <c r="N232" s="88"/>
      <c r="O232" s="94" t="s">
        <v>2294</v>
      </c>
      <c r="P232" s="82" t="s">
        <v>2287</v>
      </c>
      <c r="Q232" s="81" t="s">
        <v>2288</v>
      </c>
      <c r="R232" s="90">
        <v>1850</v>
      </c>
      <c r="S232" s="88" t="s">
        <v>28</v>
      </c>
      <c r="T232" s="39"/>
      <c r="U232" s="39"/>
      <c r="V232" s="91"/>
      <c r="W232" s="92"/>
      <c r="X232" s="22"/>
      <c r="Y232" s="22"/>
      <c r="Z232" s="74" t="str">
        <f>CONCATENATE(Table1[[#This Row],[P.R NUMBER]],"-",Table1[[#This Row],[SR NO]])</f>
        <v>100412271020-1034</v>
      </c>
    </row>
    <row r="233" spans="1:26" x14ac:dyDescent="0.25">
      <c r="A233" s="85"/>
      <c r="B233" s="39">
        <v>1035</v>
      </c>
      <c r="C233" s="79">
        <v>41002</v>
      </c>
      <c r="D233" s="80" t="s">
        <v>118</v>
      </c>
      <c r="E233" s="86" t="s">
        <v>90</v>
      </c>
      <c r="F233" s="39" t="s">
        <v>1</v>
      </c>
      <c r="G233" s="81" t="s">
        <v>67</v>
      </c>
      <c r="H233" s="82" t="s">
        <v>2295</v>
      </c>
      <c r="I233" s="87" t="s">
        <v>460</v>
      </c>
      <c r="J233" s="52" t="str">
        <f>VLOOKUP(I233,'CONTACT REFERENCE'!$A$2:$P$399,4,FALSE)</f>
        <v>A-1 ENGINEERING</v>
      </c>
      <c r="K233" s="39">
        <v>5733</v>
      </c>
      <c r="L233" s="39"/>
      <c r="M233" s="81" t="s">
        <v>67</v>
      </c>
      <c r="N233" s="88"/>
      <c r="O233" s="89" t="s">
        <v>2296</v>
      </c>
      <c r="P233" s="82" t="s">
        <v>2287</v>
      </c>
      <c r="Q233" s="81" t="s">
        <v>120</v>
      </c>
      <c r="R233" s="90">
        <v>1300</v>
      </c>
      <c r="S233" s="88" t="s">
        <v>29</v>
      </c>
      <c r="T233" s="39"/>
      <c r="U233" s="39"/>
      <c r="V233" s="91"/>
      <c r="W233" s="92"/>
      <c r="X233" s="22"/>
      <c r="Y233" s="22"/>
      <c r="Z233" s="74" t="str">
        <f>CONCATENATE(Table1[[#This Row],[P.R NUMBER]],"-",Table1[[#This Row],[SR NO]])</f>
        <v>100412222020-1035</v>
      </c>
    </row>
    <row r="234" spans="1:26" x14ac:dyDescent="0.25">
      <c r="A234" s="85"/>
      <c r="B234" s="39">
        <v>1036</v>
      </c>
      <c r="C234" s="79">
        <v>41006</v>
      </c>
      <c r="D234" s="80" t="s">
        <v>118</v>
      </c>
      <c r="E234" s="86" t="s">
        <v>90</v>
      </c>
      <c r="F234" s="39" t="s">
        <v>1</v>
      </c>
      <c r="G234" s="81" t="s">
        <v>64</v>
      </c>
      <c r="H234" s="82" t="s">
        <v>2297</v>
      </c>
      <c r="I234" s="87" t="s">
        <v>460</v>
      </c>
      <c r="J234" s="52" t="str">
        <f>VLOOKUP(I234,'CONTACT REFERENCE'!$A$2:$P$399,4,FALSE)</f>
        <v>A-1 ENGINEERING</v>
      </c>
      <c r="K234" s="39"/>
      <c r="L234" s="39"/>
      <c r="M234" s="88" t="s">
        <v>132</v>
      </c>
      <c r="N234" s="88"/>
      <c r="O234" s="89" t="s">
        <v>2298</v>
      </c>
      <c r="P234" s="82" t="s">
        <v>2287</v>
      </c>
      <c r="Q234" s="81" t="s">
        <v>120</v>
      </c>
      <c r="R234" s="90">
        <v>280</v>
      </c>
      <c r="S234" s="88" t="s">
        <v>29</v>
      </c>
      <c r="T234" s="39"/>
      <c r="U234" s="39"/>
      <c r="V234" s="91"/>
      <c r="W234" s="92"/>
      <c r="X234" s="22"/>
      <c r="Y234" s="22"/>
      <c r="Z234" s="74" t="str">
        <f>CONCATENATE(Table1[[#This Row],[P.R NUMBER]],"-",Table1[[#This Row],[SR NO]])</f>
        <v>100412192020-1036</v>
      </c>
    </row>
    <row r="235" spans="1:26" x14ac:dyDescent="0.25">
      <c r="A235" s="85"/>
      <c r="B235" s="39">
        <v>1037</v>
      </c>
      <c r="C235" s="79">
        <v>41015</v>
      </c>
      <c r="D235" s="80" t="s">
        <v>118</v>
      </c>
      <c r="E235" s="86" t="s">
        <v>92</v>
      </c>
      <c r="F235" s="39" t="s">
        <v>1</v>
      </c>
      <c r="G235" s="81" t="s">
        <v>51</v>
      </c>
      <c r="H235" s="82" t="s">
        <v>2299</v>
      </c>
      <c r="I235" s="87" t="s">
        <v>1720</v>
      </c>
      <c r="J235" s="52" t="str">
        <f>VLOOKUP(I235,'CONTACT REFERENCE'!$A$2:$P$399,4,FALSE)</f>
        <v>AMERICAN HOLT CORP</v>
      </c>
      <c r="K235" s="39"/>
      <c r="L235" s="39"/>
      <c r="M235" s="88"/>
      <c r="N235" s="88"/>
      <c r="O235" s="89" t="s">
        <v>2300</v>
      </c>
      <c r="P235" s="82" t="s">
        <v>2301</v>
      </c>
      <c r="Q235" s="81" t="s">
        <v>120</v>
      </c>
      <c r="R235" s="90">
        <v>200</v>
      </c>
      <c r="S235" s="88" t="s">
        <v>28</v>
      </c>
      <c r="T235" s="39"/>
      <c r="U235" s="39"/>
      <c r="V235" s="91"/>
      <c r="W235" s="92"/>
      <c r="X235" s="22"/>
      <c r="Y235" s="22"/>
      <c r="Z235" s="77" t="str">
        <f>CONCATENATE(Table1[[#This Row],[P.R NUMBER]],"-",Table1[[#This Row],[SR NO]])</f>
        <v>170412044020-1037</v>
      </c>
    </row>
    <row r="236" spans="1:26" x14ac:dyDescent="0.25">
      <c r="A236" s="85"/>
      <c r="B236" s="39">
        <v>1037</v>
      </c>
      <c r="C236" s="79">
        <v>41015</v>
      </c>
      <c r="D236" s="80" t="s">
        <v>118</v>
      </c>
      <c r="E236" s="86" t="s">
        <v>92</v>
      </c>
      <c r="F236" s="39" t="s">
        <v>1</v>
      </c>
      <c r="G236" s="81" t="s">
        <v>51</v>
      </c>
      <c r="H236" s="82" t="s">
        <v>2299</v>
      </c>
      <c r="I236" s="87" t="s">
        <v>1720</v>
      </c>
      <c r="J236" s="52" t="str">
        <f>VLOOKUP(I236,'CONTACT REFERENCE'!$A$2:$P$399,4,FALSE)</f>
        <v>AMERICAN HOLT CORP</v>
      </c>
      <c r="K236" s="39"/>
      <c r="L236" s="39"/>
      <c r="M236" s="88"/>
      <c r="N236" s="88"/>
      <c r="O236" s="89" t="s">
        <v>2302</v>
      </c>
      <c r="P236" s="82" t="s">
        <v>144</v>
      </c>
      <c r="Q236" s="81" t="s">
        <v>120</v>
      </c>
      <c r="R236" s="90">
        <v>115.8</v>
      </c>
      <c r="S236" s="88" t="s">
        <v>28</v>
      </c>
      <c r="T236" s="39"/>
      <c r="U236" s="39"/>
      <c r="V236" s="91"/>
      <c r="W236" s="92"/>
      <c r="X236" s="22"/>
      <c r="Y236" s="22"/>
      <c r="Z236" s="77" t="str">
        <f>CONCATENATE(Table1[[#This Row],[P.R NUMBER]],"-",Table1[[#This Row],[SR NO]])</f>
        <v>170412044020-1037</v>
      </c>
    </row>
    <row r="237" spans="1:26" x14ac:dyDescent="0.25">
      <c r="A237" s="85"/>
      <c r="B237" s="39">
        <v>1037</v>
      </c>
      <c r="C237" s="79">
        <v>41015</v>
      </c>
      <c r="D237" s="80" t="s">
        <v>118</v>
      </c>
      <c r="E237" s="86" t="s">
        <v>92</v>
      </c>
      <c r="F237" s="39" t="s">
        <v>1</v>
      </c>
      <c r="G237" s="81" t="s">
        <v>51</v>
      </c>
      <c r="H237" s="82" t="s">
        <v>2299</v>
      </c>
      <c r="I237" s="87" t="s">
        <v>1720</v>
      </c>
      <c r="J237" s="52" t="str">
        <f>VLOOKUP(I237,'CONTACT REFERENCE'!$A$2:$P$399,4,FALSE)</f>
        <v>AMERICAN HOLT CORP</v>
      </c>
      <c r="K237" s="39"/>
      <c r="L237" s="39"/>
      <c r="M237" s="88"/>
      <c r="N237" s="88"/>
      <c r="O237" s="89" t="s">
        <v>2303</v>
      </c>
      <c r="P237" s="82" t="s">
        <v>144</v>
      </c>
      <c r="Q237" s="81" t="s">
        <v>120</v>
      </c>
      <c r="R237" s="90">
        <v>177.6</v>
      </c>
      <c r="S237" s="88" t="s">
        <v>28</v>
      </c>
      <c r="T237" s="39"/>
      <c r="U237" s="39"/>
      <c r="V237" s="91"/>
      <c r="W237" s="92"/>
      <c r="X237" s="22"/>
      <c r="Y237" s="22"/>
      <c r="Z237" s="77" t="str">
        <f>CONCATENATE(Table1[[#This Row],[P.R NUMBER]],"-",Table1[[#This Row],[SR NO]])</f>
        <v>170412044020-1037</v>
      </c>
    </row>
    <row r="238" spans="1:26" x14ac:dyDescent="0.25">
      <c r="A238" s="85"/>
      <c r="B238" s="39">
        <v>1038</v>
      </c>
      <c r="C238" s="79">
        <v>41015</v>
      </c>
      <c r="D238" s="80" t="s">
        <v>118</v>
      </c>
      <c r="E238" s="86" t="s">
        <v>90</v>
      </c>
      <c r="F238" s="39" t="s">
        <v>1</v>
      </c>
      <c r="G238" s="81" t="s">
        <v>1871</v>
      </c>
      <c r="H238" s="82" t="s">
        <v>2304</v>
      </c>
      <c r="I238" s="87" t="s">
        <v>119</v>
      </c>
      <c r="J238" s="52" t="str">
        <f>VLOOKUP(I238,'CONTACT REFERENCE'!$A$2:$P$399,4,FALSE)</f>
        <v>AL DOBOWI TYRE COMPANY LLC</v>
      </c>
      <c r="K238" s="39"/>
      <c r="L238" s="39"/>
      <c r="M238" s="88"/>
      <c r="N238" s="88"/>
      <c r="O238" s="89" t="s">
        <v>2305</v>
      </c>
      <c r="P238" s="82" t="s">
        <v>162</v>
      </c>
      <c r="Q238" s="81" t="s">
        <v>135</v>
      </c>
      <c r="R238" s="90">
        <v>975</v>
      </c>
      <c r="S238" s="88" t="s">
        <v>29</v>
      </c>
      <c r="T238" s="39"/>
      <c r="U238" s="39"/>
      <c r="V238" s="91"/>
      <c r="W238" s="92"/>
      <c r="X238" s="22"/>
      <c r="Y238" s="22"/>
      <c r="Z238" s="77" t="str">
        <f>CONCATENATE(Table1[[#This Row],[P.R NUMBER]],"-",Table1[[#This Row],[SR NO]])</f>
        <v>170412102020-1038</v>
      </c>
    </row>
    <row r="239" spans="1:26" x14ac:dyDescent="0.25">
      <c r="A239" s="85"/>
      <c r="B239" s="39">
        <v>1038</v>
      </c>
      <c r="C239" s="79">
        <v>41015</v>
      </c>
      <c r="D239" s="80" t="s">
        <v>118</v>
      </c>
      <c r="E239" s="86" t="s">
        <v>90</v>
      </c>
      <c r="F239" s="39" t="s">
        <v>1</v>
      </c>
      <c r="G239" s="81" t="s">
        <v>64</v>
      </c>
      <c r="H239" s="82" t="s">
        <v>2306</v>
      </c>
      <c r="I239" s="87" t="s">
        <v>119</v>
      </c>
      <c r="J239" s="52" t="str">
        <f>VLOOKUP(I239,'CONTACT REFERENCE'!$A$2:$P$399,4,FALSE)</f>
        <v>AL DOBOWI TYRE COMPANY LLC</v>
      </c>
      <c r="K239" s="39"/>
      <c r="L239" s="39"/>
      <c r="M239" s="88"/>
      <c r="N239" s="88"/>
      <c r="O239" s="89" t="s">
        <v>2307</v>
      </c>
      <c r="P239" s="82" t="s">
        <v>162</v>
      </c>
      <c r="Q239" s="81" t="s">
        <v>135</v>
      </c>
      <c r="R239" s="90">
        <v>300</v>
      </c>
      <c r="S239" s="88" t="s">
        <v>29</v>
      </c>
      <c r="T239" s="39"/>
      <c r="U239" s="39"/>
      <c r="V239" s="91"/>
      <c r="W239" s="92"/>
      <c r="X239" s="22"/>
      <c r="Y239" s="22"/>
      <c r="Z239" s="77" t="str">
        <f>CONCATENATE(Table1[[#This Row],[P.R NUMBER]],"-",Table1[[#This Row],[SR NO]])</f>
        <v>170412192020-1038</v>
      </c>
    </row>
    <row r="240" spans="1:26" x14ac:dyDescent="0.25">
      <c r="A240" s="85"/>
      <c r="B240" s="39">
        <v>1038</v>
      </c>
      <c r="C240" s="79">
        <v>41015</v>
      </c>
      <c r="D240" s="80" t="s">
        <v>118</v>
      </c>
      <c r="E240" s="86" t="s">
        <v>90</v>
      </c>
      <c r="F240" s="39" t="s">
        <v>1</v>
      </c>
      <c r="G240" s="81" t="s">
        <v>1866</v>
      </c>
      <c r="H240" s="82" t="s">
        <v>2308</v>
      </c>
      <c r="I240" s="87" t="s">
        <v>119</v>
      </c>
      <c r="J240" s="52" t="str">
        <f>VLOOKUP(I240,'CONTACT REFERENCE'!$A$2:$P$399,4,FALSE)</f>
        <v>AL DOBOWI TYRE COMPANY LLC</v>
      </c>
      <c r="K240" s="39"/>
      <c r="L240" s="39"/>
      <c r="M240" s="88"/>
      <c r="N240" s="88"/>
      <c r="O240" s="89" t="s">
        <v>2309</v>
      </c>
      <c r="P240" s="82" t="s">
        <v>1867</v>
      </c>
      <c r="Q240" s="81" t="s">
        <v>135</v>
      </c>
      <c r="R240" s="90">
        <v>750</v>
      </c>
      <c r="S240" s="88" t="s">
        <v>29</v>
      </c>
      <c r="T240" s="39"/>
      <c r="U240" s="39"/>
      <c r="V240" s="91"/>
      <c r="W240" s="92"/>
      <c r="X240" s="22"/>
      <c r="Y240" s="22"/>
      <c r="Z240" s="77" t="str">
        <f>CONCATENATE(Table1[[#This Row],[P.R NUMBER]],"-",Table1[[#This Row],[SR NO]])</f>
        <v>170412172020-1038</v>
      </c>
    </row>
    <row r="241" spans="1:26" x14ac:dyDescent="0.25">
      <c r="A241" s="85"/>
      <c r="B241" s="39">
        <v>1039</v>
      </c>
      <c r="C241" s="79">
        <v>41016</v>
      </c>
      <c r="D241" s="80" t="s">
        <v>122</v>
      </c>
      <c r="E241" s="86" t="s">
        <v>89</v>
      </c>
      <c r="F241" s="39" t="s">
        <v>1</v>
      </c>
      <c r="G241" s="81" t="s">
        <v>49</v>
      </c>
      <c r="H241" s="82" t="s">
        <v>2310</v>
      </c>
      <c r="I241" s="87" t="s">
        <v>292</v>
      </c>
      <c r="J241" s="52" t="str">
        <f>VLOOKUP(I241,'CONTACT REFERENCE'!$A$2:$P$399,4,FALSE)</f>
        <v>WINDY CITY CUTTING DIE</v>
      </c>
      <c r="K241" s="39"/>
      <c r="L241" s="39">
        <v>135120</v>
      </c>
      <c r="M241" s="88"/>
      <c r="N241" s="88"/>
      <c r="O241" s="89" t="s">
        <v>2311</v>
      </c>
      <c r="P241" s="82" t="s">
        <v>2287</v>
      </c>
      <c r="Q241" s="81" t="s">
        <v>120</v>
      </c>
      <c r="R241" s="90">
        <v>2165</v>
      </c>
      <c r="S241" s="88" t="s">
        <v>28</v>
      </c>
      <c r="T241" s="95">
        <v>41034</v>
      </c>
      <c r="U241" s="39" t="s">
        <v>2312</v>
      </c>
      <c r="V241" s="91"/>
      <c r="W241" s="92"/>
      <c r="X241" s="22">
        <v>18</v>
      </c>
      <c r="Y241" s="22"/>
      <c r="Z241" s="77" t="str">
        <f>CONCATENATE(Table1[[#This Row],[P.R NUMBER]],"-",Table1[[#This Row],[SR NO]])</f>
        <v>170412021020-1039</v>
      </c>
    </row>
    <row r="242" spans="1:26" x14ac:dyDescent="0.25">
      <c r="A242" s="85"/>
      <c r="B242" s="39">
        <v>1040</v>
      </c>
      <c r="C242" s="79">
        <v>41016</v>
      </c>
      <c r="D242" s="80" t="s">
        <v>118</v>
      </c>
      <c r="E242" s="86" t="s">
        <v>90</v>
      </c>
      <c r="F242" s="39" t="s">
        <v>1</v>
      </c>
      <c r="G242" s="81" t="s">
        <v>49</v>
      </c>
      <c r="H242" s="82" t="s">
        <v>2313</v>
      </c>
      <c r="I242" s="87" t="s">
        <v>1728</v>
      </c>
      <c r="J242" s="52" t="str">
        <f>VLOOKUP(I242,'CONTACT REFERENCE'!$A$2:$P$399,4,FALSE)</f>
        <v>FALCON MECHANICAL SERVICES LLC</v>
      </c>
      <c r="K242" s="39"/>
      <c r="L242" s="39"/>
      <c r="M242" s="88"/>
      <c r="N242" s="88"/>
      <c r="O242" s="89" t="s">
        <v>2314</v>
      </c>
      <c r="P242" s="82" t="s">
        <v>144</v>
      </c>
      <c r="Q242" s="81" t="s">
        <v>120</v>
      </c>
      <c r="R242" s="90">
        <v>300</v>
      </c>
      <c r="S242" s="88" t="s">
        <v>29</v>
      </c>
      <c r="T242" s="39"/>
      <c r="U242" s="39"/>
      <c r="V242" s="91"/>
      <c r="W242" s="92"/>
      <c r="X242" s="22"/>
      <c r="Y242" s="22"/>
      <c r="Z242" s="77" t="str">
        <f>CONCATENATE(Table1[[#This Row],[P.R NUMBER]],"-",Table1[[#This Row],[SR NO]])</f>
        <v>170412022020-1040</v>
      </c>
    </row>
    <row r="243" spans="1:26" x14ac:dyDescent="0.25">
      <c r="A243" s="85"/>
      <c r="B243" s="39">
        <v>1040</v>
      </c>
      <c r="C243" s="79">
        <v>41016</v>
      </c>
      <c r="D243" s="80" t="s">
        <v>118</v>
      </c>
      <c r="E243" s="86" t="s">
        <v>89</v>
      </c>
      <c r="F243" s="39" t="s">
        <v>1</v>
      </c>
      <c r="G243" s="81" t="s">
        <v>49</v>
      </c>
      <c r="H243" s="82" t="s">
        <v>2310</v>
      </c>
      <c r="I243" s="87" t="s">
        <v>1728</v>
      </c>
      <c r="J243" s="52" t="str">
        <f>VLOOKUP(I243,'CONTACT REFERENCE'!$A$2:$P$399,4,FALSE)</f>
        <v>FALCON MECHANICAL SERVICES LLC</v>
      </c>
      <c r="K243" s="39"/>
      <c r="L243" s="39"/>
      <c r="M243" s="88"/>
      <c r="N243" s="88"/>
      <c r="O243" s="89" t="s">
        <v>2315</v>
      </c>
      <c r="P243" s="82" t="s">
        <v>2287</v>
      </c>
      <c r="Q243" s="81" t="s">
        <v>120</v>
      </c>
      <c r="R243" s="90">
        <v>350</v>
      </c>
      <c r="S243" s="88" t="s">
        <v>29</v>
      </c>
      <c r="T243" s="39"/>
      <c r="U243" s="39"/>
      <c r="V243" s="91"/>
      <c r="W243" s="92"/>
      <c r="X243" s="22"/>
      <c r="Y243" s="22"/>
      <c r="Z243" s="77" t="str">
        <f>CONCATENATE(Table1[[#This Row],[P.R NUMBER]],"-",Table1[[#This Row],[SR NO]])</f>
        <v>170412021020-1040</v>
      </c>
    </row>
    <row r="244" spans="1:26" x14ac:dyDescent="0.25">
      <c r="A244" s="85"/>
      <c r="B244" s="39">
        <v>1040</v>
      </c>
      <c r="C244" s="79">
        <v>41016</v>
      </c>
      <c r="D244" s="80" t="s">
        <v>118</v>
      </c>
      <c r="E244" s="86" t="s">
        <v>89</v>
      </c>
      <c r="F244" s="39" t="s">
        <v>1</v>
      </c>
      <c r="G244" s="81" t="s">
        <v>49</v>
      </c>
      <c r="H244" s="82" t="s">
        <v>2310</v>
      </c>
      <c r="I244" s="87" t="s">
        <v>1728</v>
      </c>
      <c r="J244" s="52" t="str">
        <f>VLOOKUP(I244,'CONTACT REFERENCE'!$A$2:$P$399,4,FALSE)</f>
        <v>FALCON MECHANICAL SERVICES LLC</v>
      </c>
      <c r="K244" s="39"/>
      <c r="L244" s="39"/>
      <c r="M244" s="88"/>
      <c r="N244" s="88"/>
      <c r="O244" s="89" t="s">
        <v>2316</v>
      </c>
      <c r="P244" s="82" t="s">
        <v>2287</v>
      </c>
      <c r="Q244" s="81" t="s">
        <v>120</v>
      </c>
      <c r="R244" s="90">
        <v>550</v>
      </c>
      <c r="S244" s="88" t="s">
        <v>29</v>
      </c>
      <c r="T244" s="39"/>
      <c r="U244" s="39"/>
      <c r="V244" s="91"/>
      <c r="W244" s="92"/>
      <c r="X244" s="22"/>
      <c r="Y244" s="22"/>
      <c r="Z244" s="77" t="str">
        <f>CONCATENATE(Table1[[#This Row],[P.R NUMBER]],"-",Table1[[#This Row],[SR NO]])</f>
        <v>170412021020-1040</v>
      </c>
    </row>
    <row r="245" spans="1:26" x14ac:dyDescent="0.25">
      <c r="A245" s="85"/>
      <c r="B245" s="39">
        <v>1041</v>
      </c>
      <c r="C245" s="79">
        <v>41017</v>
      </c>
      <c r="D245" s="80" t="s">
        <v>122</v>
      </c>
      <c r="E245" s="86" t="s">
        <v>89</v>
      </c>
      <c r="F245" s="39" t="s">
        <v>1</v>
      </c>
      <c r="G245" s="81" t="s">
        <v>48</v>
      </c>
      <c r="H245" s="82" t="s">
        <v>2317</v>
      </c>
      <c r="I245" s="83" t="s">
        <v>262</v>
      </c>
      <c r="J245" s="52" t="str">
        <f>VLOOKUP(I245,'CONTACT REFERENCE'!$A$2:$P$399,4,FALSE)</f>
        <v>CURTIUS TRADING INC</v>
      </c>
      <c r="K245" s="39"/>
      <c r="L245" s="39"/>
      <c r="M245" s="88"/>
      <c r="N245" s="88" t="s">
        <v>2318</v>
      </c>
      <c r="O245" s="89" t="s">
        <v>2319</v>
      </c>
      <c r="P245" s="82" t="s">
        <v>2287</v>
      </c>
      <c r="Q245" s="81" t="s">
        <v>2320</v>
      </c>
      <c r="R245" s="90">
        <v>11.72</v>
      </c>
      <c r="S245" s="88" t="s">
        <v>28</v>
      </c>
      <c r="T245" s="39"/>
      <c r="U245" s="39"/>
      <c r="V245" s="91"/>
      <c r="W245" s="92"/>
      <c r="X245" s="22"/>
      <c r="Y245" s="22"/>
      <c r="Z245" s="77" t="str">
        <f>CONCATENATE(Table1[[#This Row],[P.R NUMBER]],"-",Table1[[#This Row],[SR NO]])</f>
        <v>180412011020-1041</v>
      </c>
    </row>
    <row r="246" spans="1:26" x14ac:dyDescent="0.25">
      <c r="A246" s="73"/>
      <c r="B246" s="39">
        <v>1041</v>
      </c>
      <c r="C246" s="79">
        <v>41017</v>
      </c>
      <c r="D246" s="80" t="s">
        <v>122</v>
      </c>
      <c r="E246" s="86" t="s">
        <v>89</v>
      </c>
      <c r="F246" s="39" t="s">
        <v>1</v>
      </c>
      <c r="G246" s="81" t="s">
        <v>48</v>
      </c>
      <c r="H246" s="82" t="s">
        <v>2317</v>
      </c>
      <c r="I246" s="83" t="s">
        <v>262</v>
      </c>
      <c r="J246" s="52" t="str">
        <f>VLOOKUP(I246,'CONTACT REFERENCE'!$A$2:$P$399,4,FALSE)</f>
        <v>CURTIUS TRADING INC</v>
      </c>
      <c r="K246" s="42"/>
      <c r="L246" s="42"/>
      <c r="M246" s="41"/>
      <c r="N246" s="41" t="s">
        <v>2321</v>
      </c>
      <c r="O246" s="47" t="s">
        <v>2322</v>
      </c>
      <c r="P246" s="45" t="s">
        <v>2287</v>
      </c>
      <c r="Q246" s="49" t="s">
        <v>2320</v>
      </c>
      <c r="R246" s="48">
        <v>9.48</v>
      </c>
      <c r="S246" s="88" t="s">
        <v>28</v>
      </c>
      <c r="T246" s="42"/>
      <c r="U246" s="42"/>
      <c r="V246" s="21"/>
      <c r="W246" s="78"/>
      <c r="X246" s="22"/>
      <c r="Y246" s="22"/>
      <c r="Z246" s="77" t="str">
        <f>CONCATENATE(Table1[[#This Row],[P.R NUMBER]],"-",Table1[[#This Row],[SR NO]])</f>
        <v>180412011020-1041</v>
      </c>
    </row>
    <row r="247" spans="1:26" x14ac:dyDescent="0.25">
      <c r="A247" s="73"/>
      <c r="B247" s="39">
        <v>1041</v>
      </c>
      <c r="C247" s="79">
        <v>41017</v>
      </c>
      <c r="D247" s="80" t="s">
        <v>122</v>
      </c>
      <c r="E247" s="86" t="s">
        <v>89</v>
      </c>
      <c r="F247" s="39" t="s">
        <v>1</v>
      </c>
      <c r="G247" s="81" t="s">
        <v>48</v>
      </c>
      <c r="H247" s="82" t="s">
        <v>2317</v>
      </c>
      <c r="I247" s="83" t="s">
        <v>262</v>
      </c>
      <c r="J247" s="52" t="str">
        <f>VLOOKUP(I247,'CONTACT REFERENCE'!$A$2:$P$399,4,FALSE)</f>
        <v>CURTIUS TRADING INC</v>
      </c>
      <c r="K247" s="42"/>
      <c r="L247" s="42"/>
      <c r="M247" s="41"/>
      <c r="N247" s="41" t="s">
        <v>2323</v>
      </c>
      <c r="O247" s="47" t="s">
        <v>2324</v>
      </c>
      <c r="P247" s="45" t="s">
        <v>2292</v>
      </c>
      <c r="Q247" s="49" t="s">
        <v>2325</v>
      </c>
      <c r="R247" s="48">
        <v>49.04</v>
      </c>
      <c r="S247" s="88" t="s">
        <v>28</v>
      </c>
      <c r="T247" s="42"/>
      <c r="U247" s="42"/>
      <c r="V247" s="21"/>
      <c r="W247" s="78"/>
      <c r="X247" s="22"/>
      <c r="Y247" s="22"/>
      <c r="Z247" s="77" t="str">
        <f>CONCATENATE(Table1[[#This Row],[P.R NUMBER]],"-",Table1[[#This Row],[SR NO]])</f>
        <v>180412011020-1041</v>
      </c>
    </row>
    <row r="248" spans="1:26" x14ac:dyDescent="0.25">
      <c r="A248" s="73"/>
      <c r="B248" s="39">
        <v>1041</v>
      </c>
      <c r="C248" s="79">
        <v>41017</v>
      </c>
      <c r="D248" s="80" t="s">
        <v>122</v>
      </c>
      <c r="E248" s="86" t="s">
        <v>89</v>
      </c>
      <c r="F248" s="39" t="s">
        <v>1</v>
      </c>
      <c r="G248" s="81" t="s">
        <v>48</v>
      </c>
      <c r="H248" s="82" t="s">
        <v>2317</v>
      </c>
      <c r="I248" s="83" t="s">
        <v>262</v>
      </c>
      <c r="J248" s="52" t="str">
        <f>VLOOKUP(I248,'CONTACT REFERENCE'!$A$2:$P$399,4,FALSE)</f>
        <v>CURTIUS TRADING INC</v>
      </c>
      <c r="K248" s="42"/>
      <c r="L248" s="42"/>
      <c r="M248" s="41"/>
      <c r="N248" s="41" t="s">
        <v>2326</v>
      </c>
      <c r="O248" s="47" t="s">
        <v>2327</v>
      </c>
      <c r="P248" s="45" t="s">
        <v>2328</v>
      </c>
      <c r="Q248" s="49" t="s">
        <v>2325</v>
      </c>
      <c r="R248" s="48">
        <v>129.29999999999998</v>
      </c>
      <c r="S248" s="88" t="s">
        <v>28</v>
      </c>
      <c r="T248" s="42"/>
      <c r="U248" s="42"/>
      <c r="V248" s="21"/>
      <c r="W248" s="78"/>
      <c r="X248" s="22"/>
      <c r="Y248" s="22"/>
      <c r="Z248" s="77" t="str">
        <f>CONCATENATE(Table1[[#This Row],[P.R NUMBER]],"-",Table1[[#This Row],[SR NO]])</f>
        <v>180412011020-1041</v>
      </c>
    </row>
    <row r="249" spans="1:26" x14ac:dyDescent="0.25">
      <c r="A249" s="73"/>
      <c r="B249" s="39">
        <v>1041</v>
      </c>
      <c r="C249" s="79">
        <v>41017</v>
      </c>
      <c r="D249" s="80" t="s">
        <v>122</v>
      </c>
      <c r="E249" s="86" t="s">
        <v>89</v>
      </c>
      <c r="F249" s="39" t="s">
        <v>1</v>
      </c>
      <c r="G249" s="81" t="s">
        <v>48</v>
      </c>
      <c r="H249" s="82" t="s">
        <v>2317</v>
      </c>
      <c r="I249" s="83" t="s">
        <v>262</v>
      </c>
      <c r="J249" s="52" t="str">
        <f>VLOOKUP(I249,'CONTACT REFERENCE'!$A$2:$P$399,4,FALSE)</f>
        <v>CURTIUS TRADING INC</v>
      </c>
      <c r="K249" s="42"/>
      <c r="L249" s="42"/>
      <c r="M249" s="41"/>
      <c r="N249" s="41" t="s">
        <v>2329</v>
      </c>
      <c r="O249" s="47" t="s">
        <v>2330</v>
      </c>
      <c r="P249" s="45" t="s">
        <v>2328</v>
      </c>
      <c r="Q249" s="49" t="s">
        <v>2325</v>
      </c>
      <c r="R249" s="48">
        <v>184.8</v>
      </c>
      <c r="S249" s="88" t="s">
        <v>28</v>
      </c>
      <c r="T249" s="42"/>
      <c r="U249" s="42"/>
      <c r="V249" s="21"/>
      <c r="W249" s="78"/>
      <c r="X249" s="22"/>
      <c r="Y249" s="22"/>
      <c r="Z249" s="77" t="str">
        <f>CONCATENATE(Table1[[#This Row],[P.R NUMBER]],"-",Table1[[#This Row],[SR NO]])</f>
        <v>180412011020-1041</v>
      </c>
    </row>
    <row r="250" spans="1:26" x14ac:dyDescent="0.25">
      <c r="A250" s="73"/>
      <c r="B250" s="39">
        <v>1041</v>
      </c>
      <c r="C250" s="79">
        <v>41017</v>
      </c>
      <c r="D250" s="80" t="s">
        <v>122</v>
      </c>
      <c r="E250" s="86" t="s">
        <v>89</v>
      </c>
      <c r="F250" s="39" t="s">
        <v>1</v>
      </c>
      <c r="G250" s="81" t="s">
        <v>48</v>
      </c>
      <c r="H250" s="82" t="s">
        <v>2317</v>
      </c>
      <c r="I250" s="83" t="s">
        <v>262</v>
      </c>
      <c r="J250" s="52" t="str">
        <f>VLOOKUP(I250,'CONTACT REFERENCE'!$A$2:$P$399,4,FALSE)</f>
        <v>CURTIUS TRADING INC</v>
      </c>
      <c r="K250" s="42"/>
      <c r="L250" s="42"/>
      <c r="M250" s="41"/>
      <c r="N250" s="41" t="s">
        <v>2331</v>
      </c>
      <c r="O250" s="47" t="s">
        <v>2332</v>
      </c>
      <c r="P250" s="45" t="s">
        <v>2328</v>
      </c>
      <c r="Q250" s="49" t="s">
        <v>2325</v>
      </c>
      <c r="R250" s="48">
        <v>174.29999999999998</v>
      </c>
      <c r="S250" s="88" t="s">
        <v>28</v>
      </c>
      <c r="T250" s="42"/>
      <c r="U250" s="42"/>
      <c r="V250" s="21"/>
      <c r="W250" s="78"/>
      <c r="X250" s="22"/>
      <c r="Y250" s="22"/>
      <c r="Z250" s="77" t="str">
        <f>CONCATENATE(Table1[[#This Row],[P.R NUMBER]],"-",Table1[[#This Row],[SR NO]])</f>
        <v>180412011020-1041</v>
      </c>
    </row>
    <row r="251" spans="1:26" x14ac:dyDescent="0.25">
      <c r="A251" s="73"/>
      <c r="B251" s="39">
        <v>1041</v>
      </c>
      <c r="C251" s="79">
        <v>41017</v>
      </c>
      <c r="D251" s="80" t="s">
        <v>122</v>
      </c>
      <c r="E251" s="86" t="s">
        <v>89</v>
      </c>
      <c r="F251" s="39" t="s">
        <v>1</v>
      </c>
      <c r="G251" s="81" t="s">
        <v>48</v>
      </c>
      <c r="H251" s="82" t="s">
        <v>2317</v>
      </c>
      <c r="I251" s="83" t="s">
        <v>262</v>
      </c>
      <c r="J251" s="52" t="str">
        <f>VLOOKUP(I251,'CONTACT REFERENCE'!$A$2:$P$399,4,FALSE)</f>
        <v>CURTIUS TRADING INC</v>
      </c>
      <c r="K251" s="42"/>
      <c r="L251" s="42"/>
      <c r="M251" s="41"/>
      <c r="N251" s="41" t="s">
        <v>2333</v>
      </c>
      <c r="O251" s="47" t="s">
        <v>2334</v>
      </c>
      <c r="P251" s="45" t="s">
        <v>2335</v>
      </c>
      <c r="Q251" s="49" t="s">
        <v>2325</v>
      </c>
      <c r="R251" s="48">
        <v>671.02</v>
      </c>
      <c r="S251" s="88" t="s">
        <v>28</v>
      </c>
      <c r="T251" s="42"/>
      <c r="U251" s="42"/>
      <c r="V251" s="21"/>
      <c r="W251" s="78"/>
      <c r="X251" s="22"/>
      <c r="Y251" s="22"/>
      <c r="Z251" s="77" t="str">
        <f>CONCATENATE(Table1[[#This Row],[P.R NUMBER]],"-",Table1[[#This Row],[SR NO]])</f>
        <v>180412011020-1041</v>
      </c>
    </row>
    <row r="252" spans="1:26" x14ac:dyDescent="0.25">
      <c r="A252" s="73"/>
      <c r="B252" s="39">
        <v>1041</v>
      </c>
      <c r="C252" s="79">
        <v>41017</v>
      </c>
      <c r="D252" s="80" t="s">
        <v>122</v>
      </c>
      <c r="E252" s="86" t="s">
        <v>89</v>
      </c>
      <c r="F252" s="39" t="s">
        <v>1</v>
      </c>
      <c r="G252" s="81" t="s">
        <v>48</v>
      </c>
      <c r="H252" s="82" t="s">
        <v>2317</v>
      </c>
      <c r="I252" s="83" t="s">
        <v>262</v>
      </c>
      <c r="J252" s="52" t="str">
        <f>VLOOKUP(I252,'CONTACT REFERENCE'!$A$2:$P$399,4,FALSE)</f>
        <v>CURTIUS TRADING INC</v>
      </c>
      <c r="K252" s="42"/>
      <c r="L252" s="42"/>
      <c r="M252" s="41"/>
      <c r="N252" s="41" t="s">
        <v>2336</v>
      </c>
      <c r="O252" s="47" t="s">
        <v>2337</v>
      </c>
      <c r="P252" s="45" t="s">
        <v>2287</v>
      </c>
      <c r="Q252" s="49" t="s">
        <v>2325</v>
      </c>
      <c r="R252" s="48">
        <v>68.87</v>
      </c>
      <c r="S252" s="88" t="s">
        <v>28</v>
      </c>
      <c r="T252" s="42"/>
      <c r="U252" s="42"/>
      <c r="V252" s="21"/>
      <c r="W252" s="78"/>
      <c r="X252" s="22"/>
      <c r="Y252" s="22"/>
      <c r="Z252" s="77" t="str">
        <f>CONCATENATE(Table1[[#This Row],[P.R NUMBER]],"-",Table1[[#This Row],[SR NO]])</f>
        <v>180412011020-1041</v>
      </c>
    </row>
    <row r="253" spans="1:26" x14ac:dyDescent="0.25">
      <c r="A253" s="73"/>
      <c r="B253" s="39">
        <v>1041</v>
      </c>
      <c r="C253" s="79">
        <v>41017</v>
      </c>
      <c r="D253" s="80" t="s">
        <v>122</v>
      </c>
      <c r="E253" s="86" t="s">
        <v>89</v>
      </c>
      <c r="F253" s="39" t="s">
        <v>1</v>
      </c>
      <c r="G253" s="81" t="s">
        <v>48</v>
      </c>
      <c r="H253" s="82" t="s">
        <v>2317</v>
      </c>
      <c r="I253" s="83" t="s">
        <v>262</v>
      </c>
      <c r="J253" s="52" t="str">
        <f>VLOOKUP(I253,'CONTACT REFERENCE'!$A$2:$P$399,4,FALSE)</f>
        <v>CURTIUS TRADING INC</v>
      </c>
      <c r="K253" s="42"/>
      <c r="L253" s="42"/>
      <c r="M253" s="41"/>
      <c r="N253" s="41" t="s">
        <v>2338</v>
      </c>
      <c r="O253" s="47" t="s">
        <v>2339</v>
      </c>
      <c r="P253" s="45" t="s">
        <v>2287</v>
      </c>
      <c r="Q253" s="49" t="s">
        <v>2325</v>
      </c>
      <c r="R253" s="48">
        <v>36.799999999999997</v>
      </c>
      <c r="S253" s="88" t="s">
        <v>28</v>
      </c>
      <c r="T253" s="42"/>
      <c r="U253" s="42"/>
      <c r="V253" s="21"/>
      <c r="W253" s="78"/>
      <c r="X253" s="22"/>
      <c r="Y253" s="22"/>
      <c r="Z253" s="77" t="str">
        <f>CONCATENATE(Table1[[#This Row],[P.R NUMBER]],"-",Table1[[#This Row],[SR NO]])</f>
        <v>180412011020-1041</v>
      </c>
    </row>
    <row r="254" spans="1:26" x14ac:dyDescent="0.25">
      <c r="A254" s="73"/>
      <c r="B254" s="39">
        <v>1041</v>
      </c>
      <c r="C254" s="79">
        <v>41017</v>
      </c>
      <c r="D254" s="80" t="s">
        <v>122</v>
      </c>
      <c r="E254" s="86" t="s">
        <v>89</v>
      </c>
      <c r="F254" s="39" t="s">
        <v>1</v>
      </c>
      <c r="G254" s="81" t="s">
        <v>48</v>
      </c>
      <c r="H254" s="82" t="s">
        <v>2317</v>
      </c>
      <c r="I254" s="83" t="s">
        <v>262</v>
      </c>
      <c r="J254" s="52" t="str">
        <f>VLOOKUP(I254,'CONTACT REFERENCE'!$A$2:$P$399,4,FALSE)</f>
        <v>CURTIUS TRADING INC</v>
      </c>
      <c r="K254" s="42"/>
      <c r="L254" s="42"/>
      <c r="M254" s="41"/>
      <c r="N254" s="41" t="s">
        <v>2340</v>
      </c>
      <c r="O254" s="47" t="s">
        <v>2341</v>
      </c>
      <c r="P254" s="45" t="s">
        <v>2287</v>
      </c>
      <c r="Q254" s="49" t="s">
        <v>2325</v>
      </c>
      <c r="R254" s="48">
        <v>59.22</v>
      </c>
      <c r="S254" s="88" t="s">
        <v>28</v>
      </c>
      <c r="T254" s="42"/>
      <c r="U254" s="42"/>
      <c r="V254" s="21"/>
      <c r="W254" s="78"/>
      <c r="X254" s="22"/>
      <c r="Y254" s="22"/>
      <c r="Z254" s="77" t="str">
        <f>CONCATENATE(Table1[[#This Row],[P.R NUMBER]],"-",Table1[[#This Row],[SR NO]])</f>
        <v>180412011020-1041</v>
      </c>
    </row>
    <row r="255" spans="1:26" x14ac:dyDescent="0.25">
      <c r="A255" s="73"/>
      <c r="B255" s="39">
        <v>1041</v>
      </c>
      <c r="C255" s="79">
        <v>41017</v>
      </c>
      <c r="D255" s="80" t="s">
        <v>122</v>
      </c>
      <c r="E255" s="86" t="s">
        <v>89</v>
      </c>
      <c r="F255" s="39" t="s">
        <v>1</v>
      </c>
      <c r="G255" s="81" t="s">
        <v>48</v>
      </c>
      <c r="H255" s="82" t="s">
        <v>2317</v>
      </c>
      <c r="I255" s="83" t="s">
        <v>262</v>
      </c>
      <c r="J255" s="52" t="str">
        <f>VLOOKUP(I255,'CONTACT REFERENCE'!$A$2:$P$399,4,FALSE)</f>
        <v>CURTIUS TRADING INC</v>
      </c>
      <c r="K255" s="42"/>
      <c r="L255" s="42"/>
      <c r="M255" s="41"/>
      <c r="N255" s="41" t="s">
        <v>2342</v>
      </c>
      <c r="O255" s="47" t="s">
        <v>2343</v>
      </c>
      <c r="P255" s="45" t="s">
        <v>2292</v>
      </c>
      <c r="Q255" s="49" t="s">
        <v>2325</v>
      </c>
      <c r="R255" s="48">
        <v>42.14</v>
      </c>
      <c r="S255" s="88" t="s">
        <v>28</v>
      </c>
      <c r="T255" s="42"/>
      <c r="U255" s="42"/>
      <c r="V255" s="21"/>
      <c r="W255" s="78"/>
      <c r="X255" s="22"/>
      <c r="Y255" s="22"/>
      <c r="Z255" s="77" t="str">
        <f>CONCATENATE(Table1[[#This Row],[P.R NUMBER]],"-",Table1[[#This Row],[SR NO]])</f>
        <v>180412011020-1041</v>
      </c>
    </row>
    <row r="256" spans="1:26" x14ac:dyDescent="0.25">
      <c r="A256" s="73"/>
      <c r="B256" s="39">
        <v>1041</v>
      </c>
      <c r="C256" s="79">
        <v>41017</v>
      </c>
      <c r="D256" s="80" t="s">
        <v>122</v>
      </c>
      <c r="E256" s="86" t="s">
        <v>89</v>
      </c>
      <c r="F256" s="39" t="s">
        <v>1</v>
      </c>
      <c r="G256" s="81" t="s">
        <v>48</v>
      </c>
      <c r="H256" s="82" t="s">
        <v>2317</v>
      </c>
      <c r="I256" s="83" t="s">
        <v>262</v>
      </c>
      <c r="J256" s="52" t="str">
        <f>VLOOKUP(I256,'CONTACT REFERENCE'!$A$2:$P$399,4,FALSE)</f>
        <v>CURTIUS TRADING INC</v>
      </c>
      <c r="K256" s="42"/>
      <c r="L256" s="42"/>
      <c r="M256" s="41"/>
      <c r="N256" s="41" t="s">
        <v>2344</v>
      </c>
      <c r="O256" s="47" t="s">
        <v>2345</v>
      </c>
      <c r="P256" s="45" t="s">
        <v>2292</v>
      </c>
      <c r="Q256" s="49" t="s">
        <v>2325</v>
      </c>
      <c r="R256" s="48">
        <v>59.04</v>
      </c>
      <c r="S256" s="88" t="s">
        <v>28</v>
      </c>
      <c r="T256" s="42"/>
      <c r="U256" s="42"/>
      <c r="V256" s="21"/>
      <c r="W256" s="78"/>
      <c r="X256" s="22"/>
      <c r="Y256" s="22"/>
      <c r="Z256" s="77" t="str">
        <f>CONCATENATE(Table1[[#This Row],[P.R NUMBER]],"-",Table1[[#This Row],[SR NO]])</f>
        <v>180412011020-1041</v>
      </c>
    </row>
    <row r="257" spans="1:26" x14ac:dyDescent="0.25">
      <c r="A257" s="73"/>
      <c r="B257" s="39">
        <v>1041</v>
      </c>
      <c r="C257" s="79">
        <v>41017</v>
      </c>
      <c r="D257" s="80" t="s">
        <v>122</v>
      </c>
      <c r="E257" s="86" t="s">
        <v>89</v>
      </c>
      <c r="F257" s="39" t="s">
        <v>1</v>
      </c>
      <c r="G257" s="81" t="s">
        <v>48</v>
      </c>
      <c r="H257" s="82" t="s">
        <v>2317</v>
      </c>
      <c r="I257" s="83" t="s">
        <v>262</v>
      </c>
      <c r="J257" s="52" t="str">
        <f>VLOOKUP(I257,'CONTACT REFERENCE'!$A$2:$P$399,4,FALSE)</f>
        <v>CURTIUS TRADING INC</v>
      </c>
      <c r="K257" s="42"/>
      <c r="L257" s="42"/>
      <c r="M257" s="41"/>
      <c r="N257" s="41" t="s">
        <v>2346</v>
      </c>
      <c r="O257" s="47" t="s">
        <v>2347</v>
      </c>
      <c r="P257" s="45" t="s">
        <v>2292</v>
      </c>
      <c r="Q257" s="49" t="s">
        <v>2325</v>
      </c>
      <c r="R257" s="48">
        <v>68.64</v>
      </c>
      <c r="S257" s="88" t="s">
        <v>28</v>
      </c>
      <c r="T257" s="42"/>
      <c r="U257" s="42"/>
      <c r="V257" s="21"/>
      <c r="W257" s="78"/>
      <c r="X257" s="22"/>
      <c r="Y257" s="22"/>
      <c r="Z257" s="77" t="str">
        <f>CONCATENATE(Table1[[#This Row],[P.R NUMBER]],"-",Table1[[#This Row],[SR NO]])</f>
        <v>180412011020-1041</v>
      </c>
    </row>
    <row r="258" spans="1:26" x14ac:dyDescent="0.25">
      <c r="A258" s="73"/>
      <c r="B258" s="39">
        <v>1041</v>
      </c>
      <c r="C258" s="79">
        <v>41017</v>
      </c>
      <c r="D258" s="80" t="s">
        <v>122</v>
      </c>
      <c r="E258" s="86" t="s">
        <v>89</v>
      </c>
      <c r="F258" s="39" t="s">
        <v>1</v>
      </c>
      <c r="G258" s="81" t="s">
        <v>48</v>
      </c>
      <c r="H258" s="82" t="s">
        <v>2317</v>
      </c>
      <c r="I258" s="83" t="s">
        <v>262</v>
      </c>
      <c r="J258" s="52" t="str">
        <f>VLOOKUP(I258,'CONTACT REFERENCE'!$A$2:$P$399,4,FALSE)</f>
        <v>CURTIUS TRADING INC</v>
      </c>
      <c r="K258" s="42"/>
      <c r="L258" s="42"/>
      <c r="M258" s="41"/>
      <c r="N258" s="41" t="s">
        <v>2348</v>
      </c>
      <c r="O258" s="47" t="s">
        <v>2349</v>
      </c>
      <c r="P258" s="45" t="s">
        <v>2287</v>
      </c>
      <c r="Q258" s="49" t="s">
        <v>2325</v>
      </c>
      <c r="R258" s="48">
        <v>57.2</v>
      </c>
      <c r="S258" s="88" t="s">
        <v>28</v>
      </c>
      <c r="T258" s="42"/>
      <c r="U258" s="42"/>
      <c r="V258" s="21"/>
      <c r="W258" s="78"/>
      <c r="X258" s="22"/>
      <c r="Y258" s="22"/>
      <c r="Z258" s="77" t="str">
        <f>CONCATENATE(Table1[[#This Row],[P.R NUMBER]],"-",Table1[[#This Row],[SR NO]])</f>
        <v>180412011020-1041</v>
      </c>
    </row>
    <row r="259" spans="1:26" x14ac:dyDescent="0.25">
      <c r="A259" s="73"/>
      <c r="B259" s="39">
        <v>1041</v>
      </c>
      <c r="C259" s="79">
        <v>41017</v>
      </c>
      <c r="D259" s="80" t="s">
        <v>122</v>
      </c>
      <c r="E259" s="86" t="s">
        <v>89</v>
      </c>
      <c r="F259" s="39" t="s">
        <v>1</v>
      </c>
      <c r="G259" s="81" t="s">
        <v>48</v>
      </c>
      <c r="H259" s="82" t="s">
        <v>2317</v>
      </c>
      <c r="I259" s="83" t="s">
        <v>262</v>
      </c>
      <c r="J259" s="52" t="str">
        <f>VLOOKUP(I259,'CONTACT REFERENCE'!$A$2:$P$399,4,FALSE)</f>
        <v>CURTIUS TRADING INC</v>
      </c>
      <c r="K259" s="42"/>
      <c r="L259" s="42"/>
      <c r="M259" s="41"/>
      <c r="N259" s="41" t="s">
        <v>2350</v>
      </c>
      <c r="O259" s="47" t="s">
        <v>2351</v>
      </c>
      <c r="P259" s="45" t="s">
        <v>2287</v>
      </c>
      <c r="Q259" s="49" t="s">
        <v>2325</v>
      </c>
      <c r="R259" s="48">
        <v>93.99</v>
      </c>
      <c r="S259" s="88" t="s">
        <v>28</v>
      </c>
      <c r="T259" s="42"/>
      <c r="U259" s="42"/>
      <c r="V259" s="21"/>
      <c r="W259" s="78"/>
      <c r="X259" s="22"/>
      <c r="Y259" s="22"/>
      <c r="Z259" s="77" t="str">
        <f>CONCATENATE(Table1[[#This Row],[P.R NUMBER]],"-",Table1[[#This Row],[SR NO]])</f>
        <v>180412011020-1041</v>
      </c>
    </row>
    <row r="260" spans="1:26" x14ac:dyDescent="0.25">
      <c r="A260" s="85"/>
      <c r="B260" s="39">
        <v>1042</v>
      </c>
      <c r="C260" s="79">
        <v>41017</v>
      </c>
      <c r="D260" s="80" t="s">
        <v>122</v>
      </c>
      <c r="E260" s="86" t="s">
        <v>90</v>
      </c>
      <c r="F260" s="39" t="s">
        <v>1</v>
      </c>
      <c r="G260" s="81" t="s">
        <v>72</v>
      </c>
      <c r="H260" s="82" t="s">
        <v>2352</v>
      </c>
      <c r="I260" s="87" t="s">
        <v>1751</v>
      </c>
      <c r="J260" s="52" t="str">
        <f>VLOOKUP(I260,'CONTACT REFERENCE'!$A$2:$P$399,4,FALSE)</f>
        <v>Solberg International, Ltd.</v>
      </c>
      <c r="K260" s="39"/>
      <c r="L260" s="39"/>
      <c r="M260" s="88"/>
      <c r="N260" s="88" t="s">
        <v>2353</v>
      </c>
      <c r="O260" s="89" t="s">
        <v>2354</v>
      </c>
      <c r="P260" s="82" t="s">
        <v>2301</v>
      </c>
      <c r="Q260" s="81" t="s">
        <v>2325</v>
      </c>
      <c r="R260" s="90">
        <v>831</v>
      </c>
      <c r="S260" s="88" t="s">
        <v>28</v>
      </c>
      <c r="T260" s="39"/>
      <c r="U260" s="39"/>
      <c r="V260" s="91"/>
      <c r="W260" s="92"/>
      <c r="X260" s="22"/>
      <c r="Y260" s="22"/>
      <c r="Z260" s="77" t="str">
        <f>CONCATENATE(Table1[[#This Row],[P.R NUMBER]],"-",Table1[[#This Row],[SR NO]])</f>
        <v>180412272020-1042</v>
      </c>
    </row>
    <row r="261" spans="1:26" x14ac:dyDescent="0.25">
      <c r="A261" s="85"/>
      <c r="B261" s="39">
        <v>1042</v>
      </c>
      <c r="C261" s="79">
        <v>41017</v>
      </c>
      <c r="D261" s="80" t="s">
        <v>122</v>
      </c>
      <c r="E261" s="86" t="s">
        <v>89</v>
      </c>
      <c r="F261" s="39" t="s">
        <v>1</v>
      </c>
      <c r="G261" s="81" t="s">
        <v>72</v>
      </c>
      <c r="H261" s="82" t="s">
        <v>2355</v>
      </c>
      <c r="I261" s="87" t="s">
        <v>1751</v>
      </c>
      <c r="J261" s="52" t="str">
        <f>VLOOKUP(I261,'CONTACT REFERENCE'!$A$2:$P$399,4,FALSE)</f>
        <v>Solberg International, Ltd.</v>
      </c>
      <c r="K261" s="39"/>
      <c r="L261" s="39"/>
      <c r="M261" s="88"/>
      <c r="N261" s="88" t="s">
        <v>2356</v>
      </c>
      <c r="O261" s="89" t="s">
        <v>2357</v>
      </c>
      <c r="P261" s="82" t="s">
        <v>2287</v>
      </c>
      <c r="Q261" s="81" t="s">
        <v>2325</v>
      </c>
      <c r="R261" s="90">
        <v>190.5</v>
      </c>
      <c r="S261" s="88" t="s">
        <v>28</v>
      </c>
      <c r="T261" s="39"/>
      <c r="U261" s="39"/>
      <c r="V261" s="91"/>
      <c r="W261" s="92"/>
      <c r="X261" s="22"/>
      <c r="Y261" s="22"/>
      <c r="Z261" s="77" t="str">
        <f>CONCATENATE(Table1[[#This Row],[P.R NUMBER]],"-",Table1[[#This Row],[SR NO]])</f>
        <v>180412271020-1042</v>
      </c>
    </row>
    <row r="262" spans="1:26" x14ac:dyDescent="0.25">
      <c r="A262" s="85"/>
      <c r="B262" s="39">
        <v>1042</v>
      </c>
      <c r="C262" s="79">
        <v>41017</v>
      </c>
      <c r="D262" s="80" t="s">
        <v>122</v>
      </c>
      <c r="E262" s="86" t="s">
        <v>90</v>
      </c>
      <c r="F262" s="39" t="s">
        <v>1</v>
      </c>
      <c r="G262" s="81" t="s">
        <v>72</v>
      </c>
      <c r="H262" s="82" t="s">
        <v>2352</v>
      </c>
      <c r="I262" s="87" t="s">
        <v>1751</v>
      </c>
      <c r="J262" s="52" t="str">
        <f>VLOOKUP(I262,'CONTACT REFERENCE'!$A$2:$P$399,4,FALSE)</f>
        <v>Solberg International, Ltd.</v>
      </c>
      <c r="K262" s="39"/>
      <c r="L262" s="39"/>
      <c r="M262" s="88"/>
      <c r="N262" s="88" t="s">
        <v>2358</v>
      </c>
      <c r="O262" s="89" t="s">
        <v>2359</v>
      </c>
      <c r="P262" s="82" t="s">
        <v>2301</v>
      </c>
      <c r="Q262" s="81" t="s">
        <v>2325</v>
      </c>
      <c r="R262" s="90">
        <v>132</v>
      </c>
      <c r="S262" s="88" t="s">
        <v>28</v>
      </c>
      <c r="T262" s="39"/>
      <c r="U262" s="39"/>
      <c r="V262" s="91"/>
      <c r="W262" s="92"/>
      <c r="X262" s="22"/>
      <c r="Y262" s="22"/>
      <c r="Z262" s="77" t="str">
        <f>CONCATENATE(Table1[[#This Row],[P.R NUMBER]],"-",Table1[[#This Row],[SR NO]])</f>
        <v>180412272020-1042</v>
      </c>
    </row>
    <row r="263" spans="1:26" x14ac:dyDescent="0.25">
      <c r="A263" s="85"/>
      <c r="B263" s="39">
        <v>1042</v>
      </c>
      <c r="C263" s="79">
        <v>41017</v>
      </c>
      <c r="D263" s="80" t="s">
        <v>122</v>
      </c>
      <c r="E263" s="86" t="s">
        <v>89</v>
      </c>
      <c r="F263" s="39" t="s">
        <v>1</v>
      </c>
      <c r="G263" s="81" t="s">
        <v>72</v>
      </c>
      <c r="H263" s="82" t="s">
        <v>2355</v>
      </c>
      <c r="I263" s="87" t="s">
        <v>1751</v>
      </c>
      <c r="J263" s="52" t="str">
        <f>VLOOKUP(I263,'CONTACT REFERENCE'!$A$2:$P$399,4,FALSE)</f>
        <v>Solberg International, Ltd.</v>
      </c>
      <c r="K263" s="39"/>
      <c r="L263" s="39"/>
      <c r="M263" s="88"/>
      <c r="N263" s="88" t="s">
        <v>2360</v>
      </c>
      <c r="O263" s="89" t="s">
        <v>2361</v>
      </c>
      <c r="P263" s="82" t="s">
        <v>2301</v>
      </c>
      <c r="Q263" s="81" t="s">
        <v>2325</v>
      </c>
      <c r="R263" s="90">
        <v>132</v>
      </c>
      <c r="S263" s="88" t="s">
        <v>28</v>
      </c>
      <c r="T263" s="39"/>
      <c r="U263" s="39"/>
      <c r="V263" s="91"/>
      <c r="W263" s="92"/>
      <c r="X263" s="22"/>
      <c r="Y263" s="22"/>
      <c r="Z263" s="77" t="str">
        <f>CONCATENATE(Table1[[#This Row],[P.R NUMBER]],"-",Table1[[#This Row],[SR NO]])</f>
        <v>180412271020-1042</v>
      </c>
    </row>
    <row r="264" spans="1:26" x14ac:dyDescent="0.25">
      <c r="A264" s="85"/>
      <c r="B264" s="39">
        <v>1043</v>
      </c>
      <c r="C264" s="79">
        <v>41026</v>
      </c>
      <c r="D264" s="80" t="s">
        <v>118</v>
      </c>
      <c r="E264" s="86" t="s">
        <v>89</v>
      </c>
      <c r="F264" s="39" t="s">
        <v>1</v>
      </c>
      <c r="G264" s="81" t="s">
        <v>48</v>
      </c>
      <c r="H264" s="82" t="s">
        <v>2362</v>
      </c>
      <c r="I264" s="87" t="s">
        <v>1728</v>
      </c>
      <c r="J264" s="52" t="str">
        <f>VLOOKUP(I264,'CONTACT REFERENCE'!$A$2:$P$399,4,FALSE)</f>
        <v>FALCON MECHANICAL SERVICES LLC</v>
      </c>
      <c r="K264" s="39"/>
      <c r="L264" s="39"/>
      <c r="M264" s="88"/>
      <c r="N264" s="88"/>
      <c r="O264" s="89" t="s">
        <v>2363</v>
      </c>
      <c r="P264" s="82" t="s">
        <v>2364</v>
      </c>
      <c r="Q264" s="81" t="s">
        <v>2365</v>
      </c>
      <c r="R264" s="90">
        <v>4950</v>
      </c>
      <c r="S264" s="88" t="s">
        <v>29</v>
      </c>
      <c r="T264" s="39"/>
      <c r="U264" s="39"/>
      <c r="V264" s="91"/>
      <c r="W264" s="92"/>
      <c r="X264" s="22"/>
      <c r="Y264" s="22"/>
      <c r="Z264" s="77" t="str">
        <f>CONCATENATE(Table1[[#This Row],[P.R NUMBER]],"-",Table1[[#This Row],[SR NO]])</f>
        <v>280412011020-1043</v>
      </c>
    </row>
    <row r="265" spans="1:26" x14ac:dyDescent="0.25">
      <c r="A265" s="85"/>
      <c r="B265" s="39">
        <v>1043</v>
      </c>
      <c r="C265" s="79">
        <v>41026</v>
      </c>
      <c r="D265" s="80" t="s">
        <v>118</v>
      </c>
      <c r="E265" s="86" t="s">
        <v>90</v>
      </c>
      <c r="F265" s="39" t="s">
        <v>1</v>
      </c>
      <c r="G265" s="81" t="s">
        <v>75</v>
      </c>
      <c r="H265" s="82" t="s">
        <v>2366</v>
      </c>
      <c r="I265" s="87" t="s">
        <v>1728</v>
      </c>
      <c r="J265" s="52" t="str">
        <f>VLOOKUP(I265,'CONTACT REFERENCE'!$A$2:$P$399,4,FALSE)</f>
        <v>FALCON MECHANICAL SERVICES LLC</v>
      </c>
      <c r="K265" s="39" t="s">
        <v>2367</v>
      </c>
      <c r="L265" s="39"/>
      <c r="M265" s="88"/>
      <c r="N265" s="88"/>
      <c r="O265" s="89" t="s">
        <v>2368</v>
      </c>
      <c r="P265" s="82" t="s">
        <v>2369</v>
      </c>
      <c r="Q265" s="81" t="s">
        <v>120</v>
      </c>
      <c r="R265" s="90">
        <v>560</v>
      </c>
      <c r="S265" s="88" t="s">
        <v>29</v>
      </c>
      <c r="T265" s="95">
        <v>41105</v>
      </c>
      <c r="U265" s="39"/>
      <c r="V265" s="91" t="s">
        <v>2370</v>
      </c>
      <c r="W265" s="92"/>
      <c r="X265" s="22"/>
      <c r="Y265" s="22"/>
      <c r="Z265" s="77" t="str">
        <f>CONCATENATE(Table1[[#This Row],[P.R NUMBER]],"-",Table1[[#This Row],[SR NO]])</f>
        <v>280412302020-1043</v>
      </c>
    </row>
    <row r="266" spans="1:26" x14ac:dyDescent="0.25">
      <c r="A266" s="85"/>
      <c r="B266" s="39">
        <v>1044</v>
      </c>
      <c r="C266" s="79">
        <v>41026</v>
      </c>
      <c r="D266" s="80" t="s">
        <v>118</v>
      </c>
      <c r="E266" s="86" t="s">
        <v>89</v>
      </c>
      <c r="F266" s="39" t="s">
        <v>1</v>
      </c>
      <c r="G266" s="81" t="s">
        <v>49</v>
      </c>
      <c r="H266" s="82" t="s">
        <v>2371</v>
      </c>
      <c r="I266" s="87" t="s">
        <v>1728</v>
      </c>
      <c r="J266" s="52" t="str">
        <f>VLOOKUP(I266,'CONTACT REFERENCE'!$A$2:$P$399,4,FALSE)</f>
        <v>FALCON MECHANICAL SERVICES LLC</v>
      </c>
      <c r="K266" s="39"/>
      <c r="L266" s="39"/>
      <c r="M266" s="88"/>
      <c r="N266" s="88"/>
      <c r="O266" s="89" t="s">
        <v>2372</v>
      </c>
      <c r="P266" s="82" t="s">
        <v>2373</v>
      </c>
      <c r="Q266" s="81" t="s">
        <v>2365</v>
      </c>
      <c r="R266" s="90">
        <v>7800</v>
      </c>
      <c r="S266" s="88" t="s">
        <v>29</v>
      </c>
      <c r="T266" s="39"/>
      <c r="U266" s="39"/>
      <c r="V266" s="91"/>
      <c r="W266" s="92"/>
      <c r="X266" s="22"/>
      <c r="Y266" s="22"/>
      <c r="Z266" s="77" t="str">
        <f>CONCATENATE(Table1[[#This Row],[P.R NUMBER]],"-",Table1[[#This Row],[SR NO]])</f>
        <v>280412021020-1044</v>
      </c>
    </row>
    <row r="267" spans="1:26" x14ac:dyDescent="0.25">
      <c r="A267" s="85"/>
      <c r="B267" s="39">
        <v>1045</v>
      </c>
      <c r="C267" s="79">
        <v>41027</v>
      </c>
      <c r="D267" s="80" t="s">
        <v>118</v>
      </c>
      <c r="E267" s="86" t="s">
        <v>90</v>
      </c>
      <c r="F267" s="39" t="s">
        <v>1</v>
      </c>
      <c r="G267" s="81" t="s">
        <v>50</v>
      </c>
      <c r="H267" s="82" t="s">
        <v>2374</v>
      </c>
      <c r="I267" s="87" t="s">
        <v>460</v>
      </c>
      <c r="J267" s="52" t="str">
        <f>VLOOKUP(I267,'CONTACT REFERENCE'!$A$2:$P$399,4,FALSE)</f>
        <v>A-1 ENGINEERING</v>
      </c>
      <c r="K267" s="39">
        <v>5763</v>
      </c>
      <c r="L267" s="39">
        <v>8786</v>
      </c>
      <c r="M267" s="88"/>
      <c r="N267" s="88"/>
      <c r="O267" s="89" t="s">
        <v>2375</v>
      </c>
      <c r="P267" s="82" t="s">
        <v>2287</v>
      </c>
      <c r="Q267" s="81" t="s">
        <v>120</v>
      </c>
      <c r="R267" s="90">
        <v>450</v>
      </c>
      <c r="S267" s="88" t="s">
        <v>29</v>
      </c>
      <c r="T267" s="39"/>
      <c r="U267" s="39"/>
      <c r="V267" s="91"/>
      <c r="W267" s="92"/>
      <c r="X267" s="22">
        <v>18</v>
      </c>
      <c r="Y267" s="22"/>
      <c r="Z267" s="77" t="str">
        <f>CONCATENATE(Table1[[#This Row],[P.R NUMBER]],"-",Table1[[#This Row],[SR NO]])</f>
        <v>280412032020-1045</v>
      </c>
    </row>
    <row r="268" spans="1:26" x14ac:dyDescent="0.25">
      <c r="A268" s="85"/>
      <c r="B268" s="39">
        <v>1045</v>
      </c>
      <c r="C268" s="79">
        <v>41027</v>
      </c>
      <c r="D268" s="80" t="s">
        <v>118</v>
      </c>
      <c r="E268" s="86" t="s">
        <v>90</v>
      </c>
      <c r="F268" s="39" t="s">
        <v>1</v>
      </c>
      <c r="G268" s="81" t="s">
        <v>50</v>
      </c>
      <c r="H268" s="82" t="s">
        <v>2374</v>
      </c>
      <c r="I268" s="87" t="s">
        <v>460</v>
      </c>
      <c r="J268" s="52" t="str">
        <f>VLOOKUP(I268,'CONTACT REFERENCE'!$A$2:$P$399,4,FALSE)</f>
        <v>A-1 ENGINEERING</v>
      </c>
      <c r="K268" s="39">
        <v>5763</v>
      </c>
      <c r="L268" s="39">
        <v>8786</v>
      </c>
      <c r="M268" s="88"/>
      <c r="N268" s="88"/>
      <c r="O268" s="89" t="s">
        <v>2376</v>
      </c>
      <c r="P268" s="82" t="s">
        <v>2292</v>
      </c>
      <c r="Q268" s="81" t="s">
        <v>120</v>
      </c>
      <c r="R268" s="90">
        <v>600</v>
      </c>
      <c r="S268" s="88" t="s">
        <v>29</v>
      </c>
      <c r="T268" s="39"/>
      <c r="U268" s="39"/>
      <c r="V268" s="91"/>
      <c r="W268" s="92"/>
      <c r="X268" s="22">
        <v>18</v>
      </c>
      <c r="Y268" s="22"/>
      <c r="Z268" s="77" t="str">
        <f>CONCATENATE(Table1[[#This Row],[P.R NUMBER]],"-",Table1[[#This Row],[SR NO]])</f>
        <v>280412032020-1045</v>
      </c>
    </row>
    <row r="269" spans="1:26" x14ac:dyDescent="0.25">
      <c r="A269" s="85"/>
      <c r="B269" s="39">
        <v>1045</v>
      </c>
      <c r="C269" s="79">
        <v>41027</v>
      </c>
      <c r="D269" s="80" t="s">
        <v>118</v>
      </c>
      <c r="E269" s="86" t="s">
        <v>90</v>
      </c>
      <c r="F269" s="39" t="s">
        <v>1</v>
      </c>
      <c r="G269" s="81" t="s">
        <v>50</v>
      </c>
      <c r="H269" s="82" t="s">
        <v>2374</v>
      </c>
      <c r="I269" s="87" t="s">
        <v>460</v>
      </c>
      <c r="J269" s="52" t="str">
        <f>VLOOKUP(I269,'CONTACT REFERENCE'!$A$2:$P$399,4,FALSE)</f>
        <v>A-1 ENGINEERING</v>
      </c>
      <c r="K269" s="39">
        <v>5763</v>
      </c>
      <c r="L269" s="39">
        <v>8786</v>
      </c>
      <c r="M269" s="88"/>
      <c r="N269" s="88"/>
      <c r="O269" s="89" t="s">
        <v>2377</v>
      </c>
      <c r="P269" s="82" t="s">
        <v>2287</v>
      </c>
      <c r="Q269" s="81" t="s">
        <v>120</v>
      </c>
      <c r="R269" s="90">
        <v>480</v>
      </c>
      <c r="S269" s="88" t="s">
        <v>29</v>
      </c>
      <c r="T269" s="39"/>
      <c r="U269" s="39"/>
      <c r="V269" s="91"/>
      <c r="W269" s="92"/>
      <c r="X269" s="22">
        <v>18</v>
      </c>
      <c r="Y269" s="22"/>
      <c r="Z269" s="77" t="str">
        <f>CONCATENATE(Table1[[#This Row],[P.R NUMBER]],"-",Table1[[#This Row],[SR NO]])</f>
        <v>280412032020-1045</v>
      </c>
    </row>
    <row r="270" spans="1:26" x14ac:dyDescent="0.25">
      <c r="A270" s="85"/>
      <c r="B270" s="39">
        <v>1045</v>
      </c>
      <c r="C270" s="79">
        <v>41027</v>
      </c>
      <c r="D270" s="80" t="s">
        <v>118</v>
      </c>
      <c r="E270" s="86" t="s">
        <v>90</v>
      </c>
      <c r="F270" s="39" t="s">
        <v>1</v>
      </c>
      <c r="G270" s="81" t="s">
        <v>50</v>
      </c>
      <c r="H270" s="82" t="s">
        <v>2374</v>
      </c>
      <c r="I270" s="87" t="s">
        <v>460</v>
      </c>
      <c r="J270" s="52" t="str">
        <f>VLOOKUP(I270,'CONTACT REFERENCE'!$A$2:$P$399,4,FALSE)</f>
        <v>A-1 ENGINEERING</v>
      </c>
      <c r="K270" s="39">
        <v>5763</v>
      </c>
      <c r="L270" s="39">
        <v>8786</v>
      </c>
      <c r="M270" s="88"/>
      <c r="N270" s="88"/>
      <c r="O270" s="89" t="s">
        <v>2378</v>
      </c>
      <c r="P270" s="82" t="s">
        <v>2292</v>
      </c>
      <c r="Q270" s="81" t="s">
        <v>120</v>
      </c>
      <c r="R270" s="90">
        <v>600</v>
      </c>
      <c r="S270" s="88" t="s">
        <v>29</v>
      </c>
      <c r="T270" s="39"/>
      <c r="U270" s="39"/>
      <c r="V270" s="91"/>
      <c r="W270" s="92"/>
      <c r="X270" s="22">
        <v>18</v>
      </c>
      <c r="Y270" s="22"/>
      <c r="Z270" s="77" t="str">
        <f>CONCATENATE(Table1[[#This Row],[P.R NUMBER]],"-",Table1[[#This Row],[SR NO]])</f>
        <v>280412032020-1045</v>
      </c>
    </row>
    <row r="271" spans="1:26" x14ac:dyDescent="0.25">
      <c r="A271" s="85"/>
      <c r="B271" s="39">
        <v>1046</v>
      </c>
      <c r="C271" s="79">
        <v>41027</v>
      </c>
      <c r="D271" s="80" t="s">
        <v>118</v>
      </c>
      <c r="E271" s="86" t="s">
        <v>90</v>
      </c>
      <c r="F271" s="39" t="s">
        <v>1</v>
      </c>
      <c r="G271" s="81" t="s">
        <v>52</v>
      </c>
      <c r="H271" s="82" t="s">
        <v>2379</v>
      </c>
      <c r="I271" s="87" t="s">
        <v>460</v>
      </c>
      <c r="J271" s="52" t="str">
        <f>VLOOKUP(I271,'CONTACT REFERENCE'!$A$2:$P$399,4,FALSE)</f>
        <v>A-1 ENGINEERING</v>
      </c>
      <c r="K271" s="39">
        <v>5760</v>
      </c>
      <c r="L271" s="39">
        <v>8787</v>
      </c>
      <c r="M271" s="88"/>
      <c r="N271" s="88"/>
      <c r="O271" s="89" t="s">
        <v>2380</v>
      </c>
      <c r="P271" s="82" t="s">
        <v>2292</v>
      </c>
      <c r="Q271" s="81" t="s">
        <v>120</v>
      </c>
      <c r="R271" s="90">
        <v>700</v>
      </c>
      <c r="S271" s="88" t="s">
        <v>29</v>
      </c>
      <c r="T271" s="39"/>
      <c r="U271" s="39"/>
      <c r="V271" s="91"/>
      <c r="W271" s="92"/>
      <c r="X271" s="22">
        <v>18</v>
      </c>
      <c r="Y271" s="22"/>
      <c r="Z271" s="77" t="str">
        <f>CONCATENATE(Table1[[#This Row],[P.R NUMBER]],"-",Table1[[#This Row],[SR NO]])</f>
        <v>280412052020-1046</v>
      </c>
    </row>
    <row r="272" spans="1:26" x14ac:dyDescent="0.25">
      <c r="A272" s="85"/>
      <c r="B272" s="39">
        <v>1047</v>
      </c>
      <c r="C272" s="79">
        <v>41027</v>
      </c>
      <c r="D272" s="80" t="s">
        <v>118</v>
      </c>
      <c r="E272" s="86" t="s">
        <v>90</v>
      </c>
      <c r="F272" s="39" t="s">
        <v>1</v>
      </c>
      <c r="G272" s="81" t="s">
        <v>1866</v>
      </c>
      <c r="H272" s="82" t="s">
        <v>2381</v>
      </c>
      <c r="I272" s="87" t="s">
        <v>460</v>
      </c>
      <c r="J272" s="52" t="str">
        <f>VLOOKUP(I272,'CONTACT REFERENCE'!$A$2:$P$399,4,FALSE)</f>
        <v>A-1 ENGINEERING</v>
      </c>
      <c r="K272" s="39">
        <v>5765</v>
      </c>
      <c r="L272" s="39">
        <v>8785</v>
      </c>
      <c r="M272" s="88"/>
      <c r="N272" s="88"/>
      <c r="O272" s="89" t="s">
        <v>2382</v>
      </c>
      <c r="P272" s="82" t="s">
        <v>2287</v>
      </c>
      <c r="Q272" s="81" t="s">
        <v>120</v>
      </c>
      <c r="R272" s="90">
        <v>1400</v>
      </c>
      <c r="S272" s="88" t="s">
        <v>29</v>
      </c>
      <c r="T272" s="39"/>
      <c r="U272" s="39"/>
      <c r="V272" s="91"/>
      <c r="W272" s="92"/>
      <c r="X272" s="22">
        <v>18</v>
      </c>
      <c r="Y272" s="22"/>
      <c r="Z272" s="77" t="str">
        <f>CONCATENATE(Table1[[#This Row],[P.R NUMBER]],"-",Table1[[#This Row],[SR NO]])</f>
        <v>280412172020-1047</v>
      </c>
    </row>
    <row r="273" spans="1:26" x14ac:dyDescent="0.25">
      <c r="A273" s="85"/>
      <c r="B273" s="39">
        <v>1048</v>
      </c>
      <c r="C273" s="96">
        <v>41027</v>
      </c>
      <c r="D273" s="97" t="s">
        <v>122</v>
      </c>
      <c r="E273" s="98" t="s">
        <v>90</v>
      </c>
      <c r="F273" s="99" t="s">
        <v>86</v>
      </c>
      <c r="G273" s="100" t="s">
        <v>52</v>
      </c>
      <c r="H273" s="101" t="s">
        <v>2383</v>
      </c>
      <c r="I273" s="102" t="s">
        <v>292</v>
      </c>
      <c r="J273" s="52" t="str">
        <f>VLOOKUP(I273,'CONTACT REFERENCE'!$A$2:$P$399,4,FALSE)</f>
        <v>WINDY CITY CUTTING DIE</v>
      </c>
      <c r="K273" s="99"/>
      <c r="L273" s="99"/>
      <c r="M273" s="103"/>
      <c r="N273" s="103"/>
      <c r="O273" s="104" t="s">
        <v>2384</v>
      </c>
      <c r="P273" s="101" t="s">
        <v>2287</v>
      </c>
      <c r="Q273" s="100" t="s">
        <v>120</v>
      </c>
      <c r="R273" s="105">
        <v>0</v>
      </c>
      <c r="S273" s="103" t="s">
        <v>28</v>
      </c>
      <c r="T273" s="39"/>
      <c r="U273" s="39"/>
      <c r="V273" s="91"/>
      <c r="W273" s="92"/>
      <c r="X273" s="22"/>
      <c r="Y273" s="22"/>
      <c r="Z273" s="77" t="str">
        <f>CONCATENATE(Table1[[#This Row],[P.R NUMBER]],"-",Table1[[#This Row],[SR NO]])</f>
        <v>280412052040-1048</v>
      </c>
    </row>
    <row r="274" spans="1:26" x14ac:dyDescent="0.25">
      <c r="A274" s="85"/>
      <c r="B274" s="39">
        <v>1048</v>
      </c>
      <c r="C274" s="96">
        <v>41027</v>
      </c>
      <c r="D274" s="97" t="s">
        <v>122</v>
      </c>
      <c r="E274" s="98" t="s">
        <v>90</v>
      </c>
      <c r="F274" s="99" t="s">
        <v>86</v>
      </c>
      <c r="G274" s="100" t="s">
        <v>50</v>
      </c>
      <c r="H274" s="101" t="s">
        <v>2385</v>
      </c>
      <c r="I274" s="102" t="s">
        <v>292</v>
      </c>
      <c r="J274" s="52" t="str">
        <f>VLOOKUP(I274,'CONTACT REFERENCE'!$A$2:$P$399,4,FALSE)</f>
        <v>WINDY CITY CUTTING DIE</v>
      </c>
      <c r="K274" s="99"/>
      <c r="L274" s="99"/>
      <c r="M274" s="103"/>
      <c r="N274" s="103"/>
      <c r="O274" s="104" t="s">
        <v>2386</v>
      </c>
      <c r="P274" s="101" t="s">
        <v>2287</v>
      </c>
      <c r="Q274" s="100" t="s">
        <v>120</v>
      </c>
      <c r="R274" s="105">
        <v>0</v>
      </c>
      <c r="S274" s="103" t="s">
        <v>28</v>
      </c>
      <c r="T274" s="39"/>
      <c r="U274" s="39"/>
      <c r="V274" s="91"/>
      <c r="W274" s="92"/>
      <c r="X274" s="22"/>
      <c r="Y274" s="22"/>
      <c r="Z274" s="77" t="str">
        <f>CONCATENATE(Table1[[#This Row],[P.R NUMBER]],"-",Table1[[#This Row],[SR NO]])</f>
        <v>280412032040-1048</v>
      </c>
    </row>
    <row r="275" spans="1:26" x14ac:dyDescent="0.25">
      <c r="A275" s="85"/>
      <c r="B275" s="39">
        <v>1049</v>
      </c>
      <c r="C275" s="79">
        <v>41029</v>
      </c>
      <c r="D275" s="80" t="s">
        <v>118</v>
      </c>
      <c r="E275" s="86" t="s">
        <v>90</v>
      </c>
      <c r="F275" s="39" t="s">
        <v>1</v>
      </c>
      <c r="G275" s="81" t="s">
        <v>64</v>
      </c>
      <c r="H275" s="82" t="s">
        <v>2387</v>
      </c>
      <c r="I275" s="87" t="s">
        <v>119</v>
      </c>
      <c r="J275" s="52" t="str">
        <f>VLOOKUP(I275,'CONTACT REFERENCE'!$A$2:$P$399,4,FALSE)</f>
        <v>AL DOBOWI TYRE COMPANY LLC</v>
      </c>
      <c r="K275" s="39"/>
      <c r="L275" s="39"/>
      <c r="M275" s="88"/>
      <c r="N275" s="88"/>
      <c r="O275" s="89" t="s">
        <v>2388</v>
      </c>
      <c r="P275" s="82" t="s">
        <v>2389</v>
      </c>
      <c r="Q275" s="81" t="s">
        <v>120</v>
      </c>
      <c r="R275" s="90">
        <v>500</v>
      </c>
      <c r="S275" s="88" t="s">
        <v>29</v>
      </c>
      <c r="T275" s="39"/>
      <c r="U275" s="39"/>
      <c r="V275" s="91"/>
      <c r="W275" s="92"/>
      <c r="X275" s="22"/>
      <c r="Y275" s="22"/>
      <c r="Z275" s="77" t="str">
        <f>CONCATENATE(Table1[[#This Row],[P.R NUMBER]],"-",Table1[[#This Row],[SR NO]])</f>
        <v>300412192020-1049</v>
      </c>
    </row>
    <row r="276" spans="1:26" x14ac:dyDescent="0.25">
      <c r="A276" s="85"/>
      <c r="B276" s="39">
        <v>1049</v>
      </c>
      <c r="C276" s="79">
        <v>41029</v>
      </c>
      <c r="D276" s="80" t="s">
        <v>118</v>
      </c>
      <c r="E276" s="86" t="s">
        <v>90</v>
      </c>
      <c r="F276" s="39" t="s">
        <v>1</v>
      </c>
      <c r="G276" s="81" t="s">
        <v>1871</v>
      </c>
      <c r="H276" s="82" t="s">
        <v>2390</v>
      </c>
      <c r="I276" s="87" t="s">
        <v>119</v>
      </c>
      <c r="J276" s="52" t="str">
        <f>VLOOKUP(I276,'CONTACT REFERENCE'!$A$2:$P$399,4,FALSE)</f>
        <v>AL DOBOWI TYRE COMPANY LLC</v>
      </c>
      <c r="K276" s="39"/>
      <c r="L276" s="39"/>
      <c r="M276" s="88"/>
      <c r="N276" s="88"/>
      <c r="O276" s="89" t="s">
        <v>2391</v>
      </c>
      <c r="P276" s="82" t="s">
        <v>2287</v>
      </c>
      <c r="Q276" s="81" t="s">
        <v>120</v>
      </c>
      <c r="R276" s="90">
        <v>250</v>
      </c>
      <c r="S276" s="88" t="s">
        <v>29</v>
      </c>
      <c r="T276" s="39"/>
      <c r="U276" s="39"/>
      <c r="V276" s="91"/>
      <c r="W276" s="92"/>
      <c r="X276" s="22"/>
      <c r="Y276" s="22"/>
      <c r="Z276" s="77" t="str">
        <f>CONCATENATE(Table1[[#This Row],[P.R NUMBER]],"-",Table1[[#This Row],[SR NO]])</f>
        <v>300412102020-1049</v>
      </c>
    </row>
    <row r="277" spans="1:26" x14ac:dyDescent="0.25">
      <c r="A277" s="85"/>
      <c r="B277" s="39">
        <v>1049</v>
      </c>
      <c r="C277" s="79">
        <v>41029</v>
      </c>
      <c r="D277" s="80" t="s">
        <v>118</v>
      </c>
      <c r="E277" s="86" t="s">
        <v>90</v>
      </c>
      <c r="F277" s="39" t="s">
        <v>1</v>
      </c>
      <c r="G277" s="81" t="s">
        <v>1871</v>
      </c>
      <c r="H277" s="82" t="s">
        <v>2390</v>
      </c>
      <c r="I277" s="87" t="s">
        <v>119</v>
      </c>
      <c r="J277" s="52" t="str">
        <f>VLOOKUP(I277,'CONTACT REFERENCE'!$A$2:$P$399,4,FALSE)</f>
        <v>AL DOBOWI TYRE COMPANY LLC</v>
      </c>
      <c r="K277" s="39"/>
      <c r="L277" s="39"/>
      <c r="M277" s="88"/>
      <c r="N277" s="88"/>
      <c r="O277" s="89" t="s">
        <v>2392</v>
      </c>
      <c r="P277" s="82" t="s">
        <v>2287</v>
      </c>
      <c r="Q277" s="81" t="s">
        <v>120</v>
      </c>
      <c r="R277" s="90">
        <v>150</v>
      </c>
      <c r="S277" s="88" t="s">
        <v>29</v>
      </c>
      <c r="T277" s="39"/>
      <c r="U277" s="39"/>
      <c r="V277" s="91"/>
      <c r="W277" s="92"/>
      <c r="X277" s="22"/>
      <c r="Y277" s="22"/>
      <c r="Z277" s="77" t="str">
        <f>CONCATENATE(Table1[[#This Row],[P.R NUMBER]],"-",Table1[[#This Row],[SR NO]])</f>
        <v>300412102020-1049</v>
      </c>
    </row>
    <row r="278" spans="1:26" x14ac:dyDescent="0.25">
      <c r="A278" s="85"/>
      <c r="B278" s="39">
        <v>1049</v>
      </c>
      <c r="C278" s="79">
        <v>41029</v>
      </c>
      <c r="D278" s="80" t="s">
        <v>118</v>
      </c>
      <c r="E278" s="86" t="s">
        <v>90</v>
      </c>
      <c r="F278" s="39" t="s">
        <v>1</v>
      </c>
      <c r="G278" s="81" t="s">
        <v>64</v>
      </c>
      <c r="H278" s="82" t="s">
        <v>2387</v>
      </c>
      <c r="I278" s="87" t="s">
        <v>119</v>
      </c>
      <c r="J278" s="52" t="str">
        <f>VLOOKUP(I278,'CONTACT REFERENCE'!$A$2:$P$399,4,FALSE)</f>
        <v>AL DOBOWI TYRE COMPANY LLC</v>
      </c>
      <c r="K278" s="39"/>
      <c r="L278" s="39"/>
      <c r="M278" s="88"/>
      <c r="N278" s="88"/>
      <c r="O278" s="89" t="s">
        <v>2393</v>
      </c>
      <c r="P278" s="82" t="s">
        <v>2287</v>
      </c>
      <c r="Q278" s="81" t="s">
        <v>120</v>
      </c>
      <c r="R278" s="90">
        <v>150</v>
      </c>
      <c r="S278" s="88" t="s">
        <v>29</v>
      </c>
      <c r="T278" s="39"/>
      <c r="U278" s="39"/>
      <c r="V278" s="91"/>
      <c r="W278" s="92"/>
      <c r="X278" s="22"/>
      <c r="Y278" s="22"/>
      <c r="Z278" s="77" t="str">
        <f>CONCATENATE(Table1[[#This Row],[P.R NUMBER]],"-",Table1[[#This Row],[SR NO]])</f>
        <v>300412192020-1049</v>
      </c>
    </row>
    <row r="279" spans="1:26" x14ac:dyDescent="0.25">
      <c r="A279" s="85"/>
      <c r="B279" s="39">
        <v>1049</v>
      </c>
      <c r="C279" s="79">
        <v>41029</v>
      </c>
      <c r="D279" s="80" t="s">
        <v>118</v>
      </c>
      <c r="E279" s="86" t="s">
        <v>90</v>
      </c>
      <c r="F279" s="39" t="s">
        <v>1</v>
      </c>
      <c r="G279" s="81" t="s">
        <v>1871</v>
      </c>
      <c r="H279" s="82" t="s">
        <v>2390</v>
      </c>
      <c r="I279" s="87" t="s">
        <v>119</v>
      </c>
      <c r="J279" s="52" t="str">
        <f>VLOOKUP(I279,'CONTACT REFERENCE'!$A$2:$P$399,4,FALSE)</f>
        <v>AL DOBOWI TYRE COMPANY LLC</v>
      </c>
      <c r="K279" s="39"/>
      <c r="L279" s="39"/>
      <c r="M279" s="88"/>
      <c r="N279" s="88"/>
      <c r="O279" s="89" t="s">
        <v>2394</v>
      </c>
      <c r="P279" s="82" t="s">
        <v>2287</v>
      </c>
      <c r="Q279" s="81" t="s">
        <v>120</v>
      </c>
      <c r="R279" s="90">
        <v>125</v>
      </c>
      <c r="S279" s="88" t="s">
        <v>29</v>
      </c>
      <c r="T279" s="39"/>
      <c r="U279" s="39"/>
      <c r="V279" s="91"/>
      <c r="W279" s="92"/>
      <c r="X279" s="22"/>
      <c r="Y279" s="22"/>
      <c r="Z279" s="77" t="str">
        <f>CONCATENATE(Table1[[#This Row],[P.R NUMBER]],"-",Table1[[#This Row],[SR NO]])</f>
        <v>300412102020-1049</v>
      </c>
    </row>
    <row r="280" spans="1:26" x14ac:dyDescent="0.25">
      <c r="A280" s="85"/>
      <c r="B280" s="39">
        <v>1049</v>
      </c>
      <c r="C280" s="79">
        <v>40298</v>
      </c>
      <c r="D280" s="80" t="s">
        <v>118</v>
      </c>
      <c r="E280" s="86" t="s">
        <v>90</v>
      </c>
      <c r="F280" s="39" t="s">
        <v>1</v>
      </c>
      <c r="G280" s="81" t="s">
        <v>48</v>
      </c>
      <c r="H280" s="82" t="s">
        <v>2395</v>
      </c>
      <c r="I280" s="87" t="s">
        <v>119</v>
      </c>
      <c r="J280" s="52" t="str">
        <f>VLOOKUP(I280,'CONTACT REFERENCE'!$A$2:$P$399,4,FALSE)</f>
        <v>AL DOBOWI TYRE COMPANY LLC</v>
      </c>
      <c r="K280" s="39"/>
      <c r="L280" s="39"/>
      <c r="M280" s="88"/>
      <c r="N280" s="88"/>
      <c r="O280" s="89" t="s">
        <v>2396</v>
      </c>
      <c r="P280" s="82" t="s">
        <v>2292</v>
      </c>
      <c r="Q280" s="81" t="s">
        <v>120</v>
      </c>
      <c r="R280" s="90">
        <v>250</v>
      </c>
      <c r="S280" s="88" t="s">
        <v>29</v>
      </c>
      <c r="T280" s="39"/>
      <c r="U280" s="39"/>
      <c r="V280" s="91"/>
      <c r="W280" s="92"/>
      <c r="X280" s="22"/>
      <c r="Y280" s="22"/>
      <c r="Z280" s="77" t="str">
        <f>CONCATENATE(Table1[[#This Row],[P.R NUMBER]],"-",Table1[[#This Row],[SR NO]])</f>
        <v>300412012020-1049</v>
      </c>
    </row>
    <row r="281" spans="1:26" x14ac:dyDescent="0.25">
      <c r="A281" s="85"/>
      <c r="B281" s="39">
        <v>1050</v>
      </c>
      <c r="C281" s="79">
        <v>41029</v>
      </c>
      <c r="D281" s="80" t="s">
        <v>118</v>
      </c>
      <c r="E281" s="86" t="s">
        <v>89</v>
      </c>
      <c r="F281" s="39" t="s">
        <v>1</v>
      </c>
      <c r="G281" s="81" t="s">
        <v>48</v>
      </c>
      <c r="H281" s="82" t="s">
        <v>2397</v>
      </c>
      <c r="I281" s="87" t="s">
        <v>1728</v>
      </c>
      <c r="J281" s="52" t="str">
        <f>VLOOKUP(I281,'CONTACT REFERENCE'!$A$2:$P$399,4,FALSE)</f>
        <v>FALCON MECHANICAL SERVICES LLC</v>
      </c>
      <c r="K281" s="39"/>
      <c r="L281" s="39"/>
      <c r="M281" s="88"/>
      <c r="N281" s="88"/>
      <c r="O281" s="89" t="s">
        <v>2398</v>
      </c>
      <c r="P281" s="82" t="s">
        <v>1867</v>
      </c>
      <c r="Q281" s="81" t="s">
        <v>120</v>
      </c>
      <c r="R281" s="90">
        <v>850</v>
      </c>
      <c r="S281" s="88" t="s">
        <v>29</v>
      </c>
      <c r="T281" s="39"/>
      <c r="U281" s="39"/>
      <c r="V281" s="91"/>
      <c r="W281" s="92"/>
      <c r="X281" s="22"/>
      <c r="Y281" s="22"/>
      <c r="Z281" s="77" t="str">
        <f>CONCATENATE(Table1[[#This Row],[P.R NUMBER]],"-",Table1[[#This Row],[SR NO]])</f>
        <v>300412011020-1050</v>
      </c>
    </row>
    <row r="282" spans="1:26" x14ac:dyDescent="0.25">
      <c r="A282" s="85"/>
      <c r="B282" s="39">
        <v>1051</v>
      </c>
      <c r="C282" s="79">
        <v>41029</v>
      </c>
      <c r="D282" s="80" t="s">
        <v>118</v>
      </c>
      <c r="E282" s="86" t="s">
        <v>92</v>
      </c>
      <c r="F282" s="39" t="s">
        <v>1</v>
      </c>
      <c r="G282" s="81" t="s">
        <v>49</v>
      </c>
      <c r="H282" s="82" t="s">
        <v>2399</v>
      </c>
      <c r="I282" s="87" t="s">
        <v>341</v>
      </c>
      <c r="J282" s="52" t="str">
        <f>VLOOKUP(I282,'CONTACT REFERENCE'!$A$2:$P$399,4,FALSE)</f>
        <v>ADVANCE TECHNOLOGY BELTING TRD EST</v>
      </c>
      <c r="K282" s="39"/>
      <c r="L282" s="39">
        <v>1205042</v>
      </c>
      <c r="M282" s="88"/>
      <c r="N282" s="88"/>
      <c r="O282" s="89" t="s">
        <v>2400</v>
      </c>
      <c r="P282" s="82" t="s">
        <v>2292</v>
      </c>
      <c r="Q282" s="81" t="s">
        <v>120</v>
      </c>
      <c r="R282" s="90">
        <v>800</v>
      </c>
      <c r="S282" s="88" t="s">
        <v>29</v>
      </c>
      <c r="T282" s="39"/>
      <c r="U282" s="39"/>
      <c r="V282" s="91"/>
      <c r="W282" s="92"/>
      <c r="X282" s="22">
        <v>18</v>
      </c>
      <c r="Y282" s="22"/>
      <c r="Z282" s="77" t="str">
        <f>CONCATENATE(Table1[[#This Row],[P.R NUMBER]],"-",Table1[[#This Row],[SR NO]])</f>
        <v>300412024020-1051</v>
      </c>
    </row>
    <row r="283" spans="1:26" ht="45" x14ac:dyDescent="0.25">
      <c r="A283" s="85"/>
      <c r="B283" s="39">
        <v>1052</v>
      </c>
      <c r="C283" s="79">
        <v>41031</v>
      </c>
      <c r="D283" s="80" t="s">
        <v>122</v>
      </c>
      <c r="E283" s="86" t="s">
        <v>89</v>
      </c>
      <c r="F283" s="39" t="s">
        <v>1</v>
      </c>
      <c r="G283" s="81" t="s">
        <v>64</v>
      </c>
      <c r="H283" s="82" t="s">
        <v>2401</v>
      </c>
      <c r="I283" s="87" t="s">
        <v>292</v>
      </c>
      <c r="J283" s="52" t="str">
        <f>VLOOKUP(I283,'CONTACT REFERENCE'!$A$2:$P$399,4,FALSE)</f>
        <v>WINDY CITY CUTTING DIE</v>
      </c>
      <c r="K283" s="39"/>
      <c r="L283" s="39">
        <v>135123</v>
      </c>
      <c r="M283" s="88"/>
      <c r="N283" s="88"/>
      <c r="O283" s="89" t="s">
        <v>2402</v>
      </c>
      <c r="P283" s="82" t="s">
        <v>2292</v>
      </c>
      <c r="Q283" s="81" t="s">
        <v>120</v>
      </c>
      <c r="R283" s="90">
        <f>450</f>
        <v>450</v>
      </c>
      <c r="S283" s="88" t="s">
        <v>28</v>
      </c>
      <c r="T283" s="106">
        <v>41034</v>
      </c>
      <c r="U283" s="40" t="s">
        <v>2403</v>
      </c>
      <c r="V283" s="91"/>
      <c r="W283" s="92"/>
      <c r="X283" s="22">
        <v>18</v>
      </c>
      <c r="Y283" s="22"/>
      <c r="Z283" s="77" t="str">
        <f>CONCATENATE(Table1[[#This Row],[P.R NUMBER]],"-",Table1[[#This Row],[SR NO]])</f>
        <v>020512191020-1052</v>
      </c>
    </row>
    <row r="284" spans="1:26" ht="45" x14ac:dyDescent="0.25">
      <c r="A284" s="85"/>
      <c r="B284" s="39">
        <v>1052</v>
      </c>
      <c r="C284" s="79">
        <v>41031</v>
      </c>
      <c r="D284" s="80" t="s">
        <v>122</v>
      </c>
      <c r="E284" s="86" t="s">
        <v>89</v>
      </c>
      <c r="F284" s="39" t="s">
        <v>1</v>
      </c>
      <c r="G284" s="81" t="s">
        <v>48</v>
      </c>
      <c r="H284" s="82" t="s">
        <v>2404</v>
      </c>
      <c r="I284" s="87" t="s">
        <v>292</v>
      </c>
      <c r="J284" s="52" t="str">
        <f>VLOOKUP(I284,'CONTACT REFERENCE'!$A$2:$P$399,4,FALSE)</f>
        <v>WINDY CITY CUTTING DIE</v>
      </c>
      <c r="K284" s="39"/>
      <c r="L284" s="39">
        <v>135123</v>
      </c>
      <c r="M284" s="88"/>
      <c r="N284" s="88"/>
      <c r="O284" s="89" t="s">
        <v>2405</v>
      </c>
      <c r="P284" s="82" t="s">
        <v>2287</v>
      </c>
      <c r="Q284" s="81" t="s">
        <v>120</v>
      </c>
      <c r="R284" s="90">
        <v>555</v>
      </c>
      <c r="S284" s="88" t="s">
        <v>28</v>
      </c>
      <c r="T284" s="95">
        <v>41034</v>
      </c>
      <c r="U284" s="40" t="s">
        <v>2403</v>
      </c>
      <c r="V284" s="91"/>
      <c r="W284" s="92"/>
      <c r="X284" s="22">
        <v>18</v>
      </c>
      <c r="Y284" s="22"/>
      <c r="Z284" s="77" t="str">
        <f>CONCATENATE(Table1[[#This Row],[P.R NUMBER]],"-",Table1[[#This Row],[SR NO]])</f>
        <v>020512011020-1052</v>
      </c>
    </row>
    <row r="285" spans="1:26" ht="45" x14ac:dyDescent="0.25">
      <c r="A285" s="85"/>
      <c r="B285" s="39">
        <v>1052</v>
      </c>
      <c r="C285" s="79">
        <v>41031</v>
      </c>
      <c r="D285" s="80" t="s">
        <v>122</v>
      </c>
      <c r="E285" s="86" t="s">
        <v>89</v>
      </c>
      <c r="F285" s="39" t="s">
        <v>1</v>
      </c>
      <c r="G285" s="81" t="s">
        <v>48</v>
      </c>
      <c r="H285" s="82" t="s">
        <v>2404</v>
      </c>
      <c r="I285" s="87" t="s">
        <v>292</v>
      </c>
      <c r="J285" s="52" t="str">
        <f>VLOOKUP(I285,'CONTACT REFERENCE'!$A$2:$P$399,4,FALSE)</f>
        <v>WINDY CITY CUTTING DIE</v>
      </c>
      <c r="K285" s="39"/>
      <c r="L285" s="39">
        <v>135123</v>
      </c>
      <c r="M285" s="88"/>
      <c r="N285" s="88"/>
      <c r="O285" s="89" t="s">
        <v>2406</v>
      </c>
      <c r="P285" s="82" t="s">
        <v>2287</v>
      </c>
      <c r="Q285" s="81" t="s">
        <v>120</v>
      </c>
      <c r="R285" s="90">
        <v>290</v>
      </c>
      <c r="S285" s="88" t="s">
        <v>28</v>
      </c>
      <c r="T285" s="84">
        <v>41034</v>
      </c>
      <c r="U285" s="40" t="s">
        <v>2403</v>
      </c>
      <c r="V285" s="21"/>
      <c r="W285" s="78"/>
      <c r="X285" s="22">
        <v>18</v>
      </c>
      <c r="Y285" s="22"/>
      <c r="Z285" s="77" t="str">
        <f>CONCATENATE(Table1[[#This Row],[P.R NUMBER]],"-",Table1[[#This Row],[SR NO]])</f>
        <v>020512011020-1052</v>
      </c>
    </row>
    <row r="286" spans="1:26" ht="45" x14ac:dyDescent="0.25">
      <c r="A286" s="85"/>
      <c r="B286" s="39">
        <v>1052</v>
      </c>
      <c r="C286" s="79">
        <v>41031</v>
      </c>
      <c r="D286" s="80" t="s">
        <v>122</v>
      </c>
      <c r="E286" s="86" t="s">
        <v>90</v>
      </c>
      <c r="F286" s="39" t="s">
        <v>86</v>
      </c>
      <c r="G286" s="81" t="s">
        <v>53</v>
      </c>
      <c r="H286" s="82" t="s">
        <v>2407</v>
      </c>
      <c r="I286" s="87" t="s">
        <v>292</v>
      </c>
      <c r="J286" s="52" t="str">
        <f>VLOOKUP(I286,'CONTACT REFERENCE'!$A$2:$P$399,4,FALSE)</f>
        <v>WINDY CITY CUTTING DIE</v>
      </c>
      <c r="K286" s="39"/>
      <c r="L286" s="39">
        <v>135122</v>
      </c>
      <c r="M286" s="88"/>
      <c r="N286" s="88"/>
      <c r="O286" s="89" t="s">
        <v>2408</v>
      </c>
      <c r="P286" s="82" t="s">
        <v>2301</v>
      </c>
      <c r="Q286" s="81" t="s">
        <v>120</v>
      </c>
      <c r="R286" s="90">
        <v>460</v>
      </c>
      <c r="S286" s="88" t="s">
        <v>28</v>
      </c>
      <c r="T286" s="95">
        <v>41034</v>
      </c>
      <c r="U286" s="40" t="s">
        <v>2403</v>
      </c>
      <c r="V286" s="91"/>
      <c r="W286" s="92"/>
      <c r="X286" s="22">
        <v>18</v>
      </c>
      <c r="Y286" s="22"/>
      <c r="Z286" s="77" t="str">
        <f>CONCATENATE(Table1[[#This Row],[P.R NUMBER]],"-",Table1[[#This Row],[SR NO]])</f>
        <v>020512072040-1052</v>
      </c>
    </row>
    <row r="287" spans="1:26" ht="45" x14ac:dyDescent="0.25">
      <c r="A287" s="85"/>
      <c r="B287" s="39">
        <v>1052</v>
      </c>
      <c r="C287" s="79">
        <v>41031</v>
      </c>
      <c r="D287" s="80" t="s">
        <v>122</v>
      </c>
      <c r="E287" s="86" t="s">
        <v>90</v>
      </c>
      <c r="F287" s="39" t="s">
        <v>86</v>
      </c>
      <c r="G287" s="81" t="s">
        <v>53</v>
      </c>
      <c r="H287" s="82" t="s">
        <v>2407</v>
      </c>
      <c r="I287" s="87" t="s">
        <v>292</v>
      </c>
      <c r="J287" s="52" t="str">
        <f>VLOOKUP(I287,'CONTACT REFERENCE'!$A$2:$P$399,4,FALSE)</f>
        <v>WINDY CITY CUTTING DIE</v>
      </c>
      <c r="K287" s="39"/>
      <c r="L287" s="39">
        <v>135122</v>
      </c>
      <c r="M287" s="88"/>
      <c r="N287" s="88"/>
      <c r="O287" s="89" t="s">
        <v>2409</v>
      </c>
      <c r="P287" s="82" t="s">
        <v>2410</v>
      </c>
      <c r="Q287" s="81" t="s">
        <v>2411</v>
      </c>
      <c r="R287" s="90">
        <v>460</v>
      </c>
      <c r="S287" s="88" t="s">
        <v>28</v>
      </c>
      <c r="T287" s="95">
        <v>41034</v>
      </c>
      <c r="U287" s="40" t="s">
        <v>2403</v>
      </c>
      <c r="V287" s="91"/>
      <c r="W287" s="92"/>
      <c r="X287" s="22">
        <v>18</v>
      </c>
      <c r="Y287" s="22"/>
      <c r="Z287" s="77" t="str">
        <f>CONCATENATE(Table1[[#This Row],[P.R NUMBER]],"-",Table1[[#This Row],[SR NO]])</f>
        <v>020512072040-1052</v>
      </c>
    </row>
    <row r="288" spans="1:26" ht="45" x14ac:dyDescent="0.25">
      <c r="A288" s="85"/>
      <c r="B288" s="39">
        <v>1052</v>
      </c>
      <c r="C288" s="79">
        <v>41031</v>
      </c>
      <c r="D288" s="80" t="s">
        <v>122</v>
      </c>
      <c r="E288" s="86" t="s">
        <v>90</v>
      </c>
      <c r="F288" s="39" t="s">
        <v>86</v>
      </c>
      <c r="G288" s="81" t="s">
        <v>52</v>
      </c>
      <c r="H288" s="82" t="s">
        <v>2412</v>
      </c>
      <c r="I288" s="87" t="s">
        <v>292</v>
      </c>
      <c r="J288" s="52" t="str">
        <f>VLOOKUP(I288,'CONTACT REFERENCE'!$A$2:$P$399,4,FALSE)</f>
        <v>WINDY CITY CUTTING DIE</v>
      </c>
      <c r="K288" s="39"/>
      <c r="L288" s="39">
        <v>135122</v>
      </c>
      <c r="M288" s="88"/>
      <c r="N288" s="88"/>
      <c r="O288" s="89" t="s">
        <v>2413</v>
      </c>
      <c r="P288" s="82" t="s">
        <v>2287</v>
      </c>
      <c r="Q288" s="81" t="s">
        <v>120</v>
      </c>
      <c r="R288" s="90">
        <v>45</v>
      </c>
      <c r="S288" s="88" t="s">
        <v>28</v>
      </c>
      <c r="T288" s="95">
        <v>41034</v>
      </c>
      <c r="U288" s="40" t="s">
        <v>2403</v>
      </c>
      <c r="V288" s="91"/>
      <c r="W288" s="92"/>
      <c r="X288" s="22">
        <v>18</v>
      </c>
      <c r="Y288" s="22"/>
      <c r="Z288" s="77" t="str">
        <f>CONCATENATE(Table1[[#This Row],[P.R NUMBER]],"-",Table1[[#This Row],[SR NO]])</f>
        <v>020512052040-1052</v>
      </c>
    </row>
    <row r="289" spans="1:26" ht="45" x14ac:dyDescent="0.25">
      <c r="A289" s="85"/>
      <c r="B289" s="39">
        <v>1052</v>
      </c>
      <c r="C289" s="79">
        <v>41031</v>
      </c>
      <c r="D289" s="80" t="s">
        <v>122</v>
      </c>
      <c r="E289" s="86" t="s">
        <v>90</v>
      </c>
      <c r="F289" s="39" t="s">
        <v>86</v>
      </c>
      <c r="G289" s="81" t="s">
        <v>53</v>
      </c>
      <c r="H289" s="82" t="s">
        <v>2414</v>
      </c>
      <c r="I289" s="87" t="s">
        <v>292</v>
      </c>
      <c r="J289" s="52" t="str">
        <f>VLOOKUP(I289,'CONTACT REFERENCE'!$A$2:$P$399,4,FALSE)</f>
        <v>WINDY CITY CUTTING DIE</v>
      </c>
      <c r="K289" s="39"/>
      <c r="L289" s="39">
        <v>135122</v>
      </c>
      <c r="M289" s="88"/>
      <c r="N289" s="88"/>
      <c r="O289" s="89" t="s">
        <v>2415</v>
      </c>
      <c r="P289" s="82" t="s">
        <v>2287</v>
      </c>
      <c r="Q289" s="81" t="s">
        <v>120</v>
      </c>
      <c r="R289" s="90">
        <v>98</v>
      </c>
      <c r="S289" s="88" t="s">
        <v>28</v>
      </c>
      <c r="T289" s="95">
        <v>41034</v>
      </c>
      <c r="U289" s="40" t="s">
        <v>2403</v>
      </c>
      <c r="V289" s="91"/>
      <c r="W289" s="92"/>
      <c r="X289" s="22">
        <v>18</v>
      </c>
      <c r="Y289" s="22"/>
      <c r="Z289" s="77" t="str">
        <f>CONCATENATE(Table1[[#This Row],[P.R NUMBER]],"-",Table1[[#This Row],[SR NO]])</f>
        <v>020512062040-1052</v>
      </c>
    </row>
    <row r="290" spans="1:26" ht="45" x14ac:dyDescent="0.25">
      <c r="A290" s="85"/>
      <c r="B290" s="39">
        <v>1052</v>
      </c>
      <c r="C290" s="79">
        <v>41031</v>
      </c>
      <c r="D290" s="80" t="s">
        <v>122</v>
      </c>
      <c r="E290" s="86" t="s">
        <v>90</v>
      </c>
      <c r="F290" s="39" t="s">
        <v>1</v>
      </c>
      <c r="G290" s="81" t="s">
        <v>50</v>
      </c>
      <c r="H290" s="82" t="s">
        <v>2416</v>
      </c>
      <c r="I290" s="87" t="s">
        <v>292</v>
      </c>
      <c r="J290" s="52" t="str">
        <f>VLOOKUP(I290,'CONTACT REFERENCE'!$A$2:$P$399,4,FALSE)</f>
        <v>WINDY CITY CUTTING DIE</v>
      </c>
      <c r="K290" s="39"/>
      <c r="L290" s="39">
        <v>135121</v>
      </c>
      <c r="M290" s="88"/>
      <c r="N290" s="88"/>
      <c r="O290" s="89" t="s">
        <v>2417</v>
      </c>
      <c r="P290" s="82" t="s">
        <v>2287</v>
      </c>
      <c r="Q290" s="81" t="s">
        <v>120</v>
      </c>
      <c r="R290" s="90">
        <v>110</v>
      </c>
      <c r="S290" s="88" t="s">
        <v>28</v>
      </c>
      <c r="T290" s="95">
        <v>41034</v>
      </c>
      <c r="U290" s="40" t="s">
        <v>2403</v>
      </c>
      <c r="V290" s="91"/>
      <c r="W290" s="92"/>
      <c r="X290" s="22">
        <v>18</v>
      </c>
      <c r="Y290" s="22"/>
      <c r="Z290" s="77" t="str">
        <f>CONCATENATE(Table1[[#This Row],[P.R NUMBER]],"-",Table1[[#This Row],[SR NO]])</f>
        <v>020512032020-1052</v>
      </c>
    </row>
    <row r="291" spans="1:26" ht="45" x14ac:dyDescent="0.25">
      <c r="A291" s="85"/>
      <c r="B291" s="39">
        <v>1052</v>
      </c>
      <c r="C291" s="79">
        <v>41031</v>
      </c>
      <c r="D291" s="80" t="s">
        <v>122</v>
      </c>
      <c r="E291" s="86" t="s">
        <v>90</v>
      </c>
      <c r="F291" s="39" t="s">
        <v>1</v>
      </c>
      <c r="G291" s="81" t="s">
        <v>50</v>
      </c>
      <c r="H291" s="82" t="s">
        <v>2416</v>
      </c>
      <c r="I291" s="87" t="s">
        <v>292</v>
      </c>
      <c r="J291" s="52" t="str">
        <f>VLOOKUP(I291,'CONTACT REFERENCE'!$A$2:$P$399,4,FALSE)</f>
        <v>WINDY CITY CUTTING DIE</v>
      </c>
      <c r="K291" s="39"/>
      <c r="L291" s="39">
        <v>135121</v>
      </c>
      <c r="M291" s="88"/>
      <c r="N291" s="88"/>
      <c r="O291" s="89" t="s">
        <v>2418</v>
      </c>
      <c r="P291" s="82" t="s">
        <v>2287</v>
      </c>
      <c r="Q291" s="81" t="s">
        <v>120</v>
      </c>
      <c r="R291" s="90">
        <v>30</v>
      </c>
      <c r="S291" s="88" t="s">
        <v>28</v>
      </c>
      <c r="T291" s="84">
        <v>41034</v>
      </c>
      <c r="U291" s="40" t="s">
        <v>2403</v>
      </c>
      <c r="V291" s="21"/>
      <c r="W291" s="78"/>
      <c r="X291" s="22">
        <v>18</v>
      </c>
      <c r="Y291" s="22"/>
      <c r="Z291" s="77" t="str">
        <f>CONCATENATE(Table1[[#This Row],[P.R NUMBER]],"-",Table1[[#This Row],[SR NO]])</f>
        <v>020512032020-1052</v>
      </c>
    </row>
    <row r="292" spans="1:26" ht="45" x14ac:dyDescent="0.25">
      <c r="A292" s="85"/>
      <c r="B292" s="39">
        <v>1052</v>
      </c>
      <c r="C292" s="79">
        <v>41031</v>
      </c>
      <c r="D292" s="80" t="s">
        <v>122</v>
      </c>
      <c r="E292" s="86" t="s">
        <v>90</v>
      </c>
      <c r="F292" s="39" t="s">
        <v>1</v>
      </c>
      <c r="G292" s="81" t="s">
        <v>50</v>
      </c>
      <c r="H292" s="82" t="s">
        <v>2416</v>
      </c>
      <c r="I292" s="87" t="s">
        <v>292</v>
      </c>
      <c r="J292" s="52" t="str">
        <f>VLOOKUP(I292,'CONTACT REFERENCE'!$A$2:$P$399,4,FALSE)</f>
        <v>WINDY CITY CUTTING DIE</v>
      </c>
      <c r="K292" s="39"/>
      <c r="L292" s="39">
        <v>135121</v>
      </c>
      <c r="M292" s="88"/>
      <c r="N292" s="88"/>
      <c r="O292" s="89" t="s">
        <v>2419</v>
      </c>
      <c r="P292" s="82" t="s">
        <v>2287</v>
      </c>
      <c r="Q292" s="81" t="s">
        <v>120</v>
      </c>
      <c r="R292" s="90">
        <v>30</v>
      </c>
      <c r="S292" s="88" t="s">
        <v>28</v>
      </c>
      <c r="T292" s="95">
        <v>41034</v>
      </c>
      <c r="U292" s="40" t="s">
        <v>2403</v>
      </c>
      <c r="V292" s="91"/>
      <c r="W292" s="92"/>
      <c r="X292" s="22">
        <v>18</v>
      </c>
      <c r="Y292" s="22"/>
      <c r="Z292" s="77" t="str">
        <f>CONCATENATE(Table1[[#This Row],[P.R NUMBER]],"-",Table1[[#This Row],[SR NO]])</f>
        <v>020512032020-1052</v>
      </c>
    </row>
    <row r="293" spans="1:26" ht="45" x14ac:dyDescent="0.25">
      <c r="A293" s="85"/>
      <c r="B293" s="39">
        <v>1052</v>
      </c>
      <c r="C293" s="79">
        <v>41031</v>
      </c>
      <c r="D293" s="80" t="s">
        <v>122</v>
      </c>
      <c r="E293" s="86" t="s">
        <v>90</v>
      </c>
      <c r="F293" s="39" t="s">
        <v>1</v>
      </c>
      <c r="G293" s="81" t="s">
        <v>50</v>
      </c>
      <c r="H293" s="82" t="s">
        <v>2416</v>
      </c>
      <c r="I293" s="87" t="s">
        <v>292</v>
      </c>
      <c r="J293" s="52" t="str">
        <f>VLOOKUP(I293,'CONTACT REFERENCE'!$A$2:$P$399,4,FALSE)</f>
        <v>WINDY CITY CUTTING DIE</v>
      </c>
      <c r="K293" s="39"/>
      <c r="L293" s="39">
        <v>135121</v>
      </c>
      <c r="M293" s="88"/>
      <c r="N293" s="88"/>
      <c r="O293" s="89" t="s">
        <v>2420</v>
      </c>
      <c r="P293" s="82" t="s">
        <v>2287</v>
      </c>
      <c r="Q293" s="81" t="s">
        <v>120</v>
      </c>
      <c r="R293" s="90">
        <v>65</v>
      </c>
      <c r="S293" s="88" t="s">
        <v>28</v>
      </c>
      <c r="T293" s="95">
        <v>41034</v>
      </c>
      <c r="U293" s="40" t="s">
        <v>2403</v>
      </c>
      <c r="V293" s="91"/>
      <c r="W293" s="92"/>
      <c r="X293" s="22">
        <v>18</v>
      </c>
      <c r="Y293" s="22"/>
      <c r="Z293" s="77" t="str">
        <f>CONCATENATE(Table1[[#This Row],[P.R NUMBER]],"-",Table1[[#This Row],[SR NO]])</f>
        <v>020512032020-1052</v>
      </c>
    </row>
    <row r="294" spans="1:26" x14ac:dyDescent="0.25">
      <c r="A294" s="85"/>
      <c r="B294" s="39">
        <v>1053</v>
      </c>
      <c r="C294" s="79">
        <v>41034</v>
      </c>
      <c r="D294" s="80" t="s">
        <v>122</v>
      </c>
      <c r="E294" s="86" t="s">
        <v>90</v>
      </c>
      <c r="F294" s="39" t="s">
        <v>88</v>
      </c>
      <c r="G294" s="81" t="s">
        <v>75</v>
      </c>
      <c r="H294" s="82" t="s">
        <v>2421</v>
      </c>
      <c r="I294" s="87" t="s">
        <v>311</v>
      </c>
      <c r="J294" s="52" t="str">
        <f>VLOOKUP(I294,'CONTACT REFERENCE'!$A$2:$P$399,4,FALSE)</f>
        <v>UNICAST ENGINEERED URETHANE PRODUCTS</v>
      </c>
      <c r="K294" s="39"/>
      <c r="L294" s="39">
        <v>154354</v>
      </c>
      <c r="M294" s="88"/>
      <c r="N294" s="88"/>
      <c r="O294" s="89" t="s">
        <v>2422</v>
      </c>
      <c r="P294" s="82" t="s">
        <v>2287</v>
      </c>
      <c r="Q294" s="81" t="s">
        <v>120</v>
      </c>
      <c r="R294" s="90">
        <v>45.67</v>
      </c>
      <c r="S294" s="88" t="s">
        <v>28</v>
      </c>
      <c r="T294" s="95">
        <v>41034</v>
      </c>
      <c r="U294" s="39" t="s">
        <v>2423</v>
      </c>
      <c r="V294" s="91"/>
      <c r="W294" s="92"/>
      <c r="X294" s="22">
        <v>18</v>
      </c>
      <c r="Y294" s="22"/>
      <c r="Z294" s="77" t="str">
        <f>CONCATENATE(Table1[[#This Row],[P.R NUMBER]],"-",Table1[[#This Row],[SR NO]])</f>
        <v>050512302060-1053</v>
      </c>
    </row>
    <row r="295" spans="1:26" x14ac:dyDescent="0.25">
      <c r="A295" s="85"/>
      <c r="B295" s="39">
        <v>1054</v>
      </c>
      <c r="C295" s="79">
        <v>41034</v>
      </c>
      <c r="D295" s="80" t="s">
        <v>122</v>
      </c>
      <c r="E295" s="86" t="s">
        <v>90</v>
      </c>
      <c r="F295" s="39" t="s">
        <v>88</v>
      </c>
      <c r="G295" s="81" t="s">
        <v>72</v>
      </c>
      <c r="H295" s="82" t="s">
        <v>2424</v>
      </c>
      <c r="I295" s="87" t="s">
        <v>262</v>
      </c>
      <c r="J295" s="52" t="str">
        <f>VLOOKUP(I295,'CONTACT REFERENCE'!$A$2:$P$399,4,FALSE)</f>
        <v>CURTIUS TRADING INC</v>
      </c>
      <c r="K295" s="39"/>
      <c r="L295" s="39">
        <v>20120102</v>
      </c>
      <c r="M295" s="88"/>
      <c r="N295" s="88"/>
      <c r="O295" s="89" t="s">
        <v>2425</v>
      </c>
      <c r="P295" s="82" t="s">
        <v>2287</v>
      </c>
      <c r="Q295" s="81" t="s">
        <v>120</v>
      </c>
      <c r="R295" s="90">
        <v>361</v>
      </c>
      <c r="S295" s="88" t="s">
        <v>28</v>
      </c>
      <c r="T295" s="95">
        <v>41034</v>
      </c>
      <c r="U295" s="39" t="s">
        <v>2426</v>
      </c>
      <c r="V295" s="91"/>
      <c r="W295" s="92"/>
      <c r="X295" s="22">
        <v>18</v>
      </c>
      <c r="Y295" s="22"/>
      <c r="Z295" s="77" t="str">
        <f>CONCATENATE(Table1[[#This Row],[P.R NUMBER]],"-",Table1[[#This Row],[SR NO]])</f>
        <v>060512272060-1054</v>
      </c>
    </row>
    <row r="296" spans="1:26" x14ac:dyDescent="0.25">
      <c r="A296" s="85"/>
      <c r="B296" s="39">
        <v>1055</v>
      </c>
      <c r="C296" s="79">
        <v>41034</v>
      </c>
      <c r="D296" s="44" t="s">
        <v>122</v>
      </c>
      <c r="E296" s="76" t="s">
        <v>90</v>
      </c>
      <c r="F296" s="42" t="s">
        <v>1</v>
      </c>
      <c r="G296" s="49" t="s">
        <v>70</v>
      </c>
      <c r="H296" s="82" t="s">
        <v>2427</v>
      </c>
      <c r="I296" s="87" t="s">
        <v>253</v>
      </c>
      <c r="J296" s="52" t="str">
        <f>VLOOKUP(I296,'CONTACT REFERENCE'!$A$2:$P$399,4,FALSE)</f>
        <v>SURE TACK SYSTEMS (DIVISION OF CRIST CO)</v>
      </c>
      <c r="K296" s="39"/>
      <c r="L296" s="39"/>
      <c r="M296" s="88"/>
      <c r="N296" s="88"/>
      <c r="O296" s="89" t="s">
        <v>2217</v>
      </c>
      <c r="P296" s="82" t="s">
        <v>180</v>
      </c>
      <c r="Q296" s="81" t="s">
        <v>120</v>
      </c>
      <c r="R296" s="90">
        <f>9.35*Table1[[#This Row],[QTY]]</f>
        <v>224.39999999999998</v>
      </c>
      <c r="S296" s="88" t="s">
        <v>28</v>
      </c>
      <c r="T296" s="39"/>
      <c r="U296" s="39"/>
      <c r="V296" s="91"/>
      <c r="W296" s="92"/>
      <c r="X296" s="22"/>
      <c r="Y296" s="22"/>
      <c r="Z296" s="77" t="str">
        <f>CONCATENATE(Table1[[#This Row],[P.R NUMBER]],"-",Table1[[#This Row],[SR NO]])</f>
        <v>070512252020-1055</v>
      </c>
    </row>
    <row r="297" spans="1:26" x14ac:dyDescent="0.25">
      <c r="A297" s="85"/>
      <c r="B297" s="39">
        <v>1056</v>
      </c>
      <c r="C297" s="79">
        <v>41034</v>
      </c>
      <c r="D297" s="44" t="s">
        <v>122</v>
      </c>
      <c r="E297" s="76" t="s">
        <v>90</v>
      </c>
      <c r="F297" s="42" t="s">
        <v>1</v>
      </c>
      <c r="G297" s="49" t="s">
        <v>70</v>
      </c>
      <c r="H297" s="82" t="s">
        <v>2427</v>
      </c>
      <c r="I297" s="87" t="s">
        <v>2428</v>
      </c>
      <c r="J297" s="52" t="e">
        <f>VLOOKUP(I297,'CONTACT REFERENCE'!$A$2:$P$399,4,FALSE)</f>
        <v>#N/A</v>
      </c>
      <c r="K297" s="39"/>
      <c r="L297" s="39"/>
      <c r="M297" s="88"/>
      <c r="N297" s="88"/>
      <c r="O297" s="89"/>
      <c r="P297" s="82"/>
      <c r="Q297" s="81"/>
      <c r="R297" s="90"/>
      <c r="S297" s="88"/>
      <c r="T297" s="39"/>
      <c r="U297" s="39"/>
      <c r="V297" s="91"/>
      <c r="W297" s="92"/>
      <c r="X297" s="22"/>
      <c r="Y297" s="22"/>
      <c r="Z297" s="77" t="str">
        <f>CONCATENATE(Table1[[#This Row],[P.R NUMBER]],"-",Table1[[#This Row],[SR NO]])</f>
        <v>070512252020-1056</v>
      </c>
    </row>
    <row r="298" spans="1:26" x14ac:dyDescent="0.25">
      <c r="A298" s="73"/>
      <c r="B298" s="42">
        <v>1057</v>
      </c>
      <c r="C298" s="43">
        <v>41037</v>
      </c>
      <c r="D298" s="44" t="s">
        <v>118</v>
      </c>
      <c r="E298" s="76" t="s">
        <v>90</v>
      </c>
      <c r="F298" s="42" t="s">
        <v>1</v>
      </c>
      <c r="G298" s="49" t="s">
        <v>83</v>
      </c>
      <c r="H298" s="45" t="s">
        <v>2429</v>
      </c>
      <c r="I298" s="83" t="s">
        <v>119</v>
      </c>
      <c r="J298" s="52" t="str">
        <f>VLOOKUP(I298,'CONTACT REFERENCE'!$A$2:$P$399,4,FALSE)</f>
        <v>AL DOBOWI TYRE COMPANY LLC</v>
      </c>
      <c r="K298" s="42" t="s">
        <v>2430</v>
      </c>
      <c r="L298" s="42">
        <v>318013</v>
      </c>
      <c r="M298" s="41"/>
      <c r="N298" s="41"/>
      <c r="O298" s="47" t="s">
        <v>2431</v>
      </c>
      <c r="P298" s="45" t="s">
        <v>124</v>
      </c>
      <c r="Q298" s="49" t="s">
        <v>120</v>
      </c>
      <c r="R298" s="48">
        <v>350</v>
      </c>
      <c r="S298" s="41" t="s">
        <v>29</v>
      </c>
      <c r="T298" s="84">
        <v>41042</v>
      </c>
      <c r="U298" s="42"/>
      <c r="V298" s="21"/>
      <c r="W298" s="78"/>
      <c r="X298" s="22"/>
      <c r="Y298" s="22"/>
      <c r="Z298" s="74" t="str">
        <f>CONCATENATE(Table1[[#This Row],[P.R NUMBER]],"-",Table1[[#This Row],[SR NO]])</f>
        <v>080512382020-1057</v>
      </c>
    </row>
    <row r="299" spans="1:26" x14ac:dyDescent="0.25">
      <c r="A299" s="73"/>
      <c r="B299" s="42">
        <v>1057</v>
      </c>
      <c r="C299" s="43">
        <v>41037</v>
      </c>
      <c r="D299" s="44" t="s">
        <v>118</v>
      </c>
      <c r="E299" s="76" t="s">
        <v>90</v>
      </c>
      <c r="F299" s="42" t="s">
        <v>1</v>
      </c>
      <c r="G299" s="49" t="s">
        <v>83</v>
      </c>
      <c r="H299" s="45" t="s">
        <v>2429</v>
      </c>
      <c r="I299" s="83" t="s">
        <v>119</v>
      </c>
      <c r="J299" s="52" t="str">
        <f>VLOOKUP(I299,'CONTACT REFERENCE'!$A$2:$P$399,4,FALSE)</f>
        <v>AL DOBOWI TYRE COMPANY LLC</v>
      </c>
      <c r="K299" s="42" t="s">
        <v>2430</v>
      </c>
      <c r="L299" s="42">
        <v>318013</v>
      </c>
      <c r="M299" s="41"/>
      <c r="N299" s="41"/>
      <c r="O299" s="47" t="s">
        <v>2432</v>
      </c>
      <c r="P299" s="45" t="s">
        <v>124</v>
      </c>
      <c r="Q299" s="49" t="s">
        <v>120</v>
      </c>
      <c r="R299" s="48">
        <v>400</v>
      </c>
      <c r="S299" s="41" t="s">
        <v>29</v>
      </c>
      <c r="T299" s="84">
        <v>41042</v>
      </c>
      <c r="U299" s="42"/>
      <c r="V299" s="21"/>
      <c r="W299" s="78"/>
      <c r="X299" s="22"/>
      <c r="Y299" s="22"/>
      <c r="Z299" s="74" t="str">
        <f>CONCATENATE(Table1[[#This Row],[P.R NUMBER]],"-",Table1[[#This Row],[SR NO]])</f>
        <v>080512382020-1057</v>
      </c>
    </row>
    <row r="300" spans="1:26" x14ac:dyDescent="0.25">
      <c r="A300" s="73"/>
      <c r="B300" s="42">
        <v>1057</v>
      </c>
      <c r="C300" s="43">
        <v>41037</v>
      </c>
      <c r="D300" s="44" t="s">
        <v>118</v>
      </c>
      <c r="E300" s="76" t="s">
        <v>90</v>
      </c>
      <c r="F300" s="42" t="s">
        <v>1</v>
      </c>
      <c r="G300" s="49" t="s">
        <v>83</v>
      </c>
      <c r="H300" s="45" t="s">
        <v>2429</v>
      </c>
      <c r="I300" s="83" t="s">
        <v>119</v>
      </c>
      <c r="J300" s="52" t="str">
        <f>VLOOKUP(I300,'CONTACT REFERENCE'!$A$2:$P$399,4,FALSE)</f>
        <v>AL DOBOWI TYRE COMPANY LLC</v>
      </c>
      <c r="K300" s="42" t="s">
        <v>2430</v>
      </c>
      <c r="L300" s="42">
        <v>318013</v>
      </c>
      <c r="M300" s="41"/>
      <c r="N300" s="41"/>
      <c r="O300" s="47" t="s">
        <v>2433</v>
      </c>
      <c r="P300" s="45" t="s">
        <v>124</v>
      </c>
      <c r="Q300" s="49" t="s">
        <v>120</v>
      </c>
      <c r="R300" s="48">
        <v>250</v>
      </c>
      <c r="S300" s="41" t="s">
        <v>29</v>
      </c>
      <c r="T300" s="84">
        <v>41042</v>
      </c>
      <c r="U300" s="42"/>
      <c r="V300" s="21"/>
      <c r="W300" s="78"/>
      <c r="X300" s="22"/>
      <c r="Y300" s="22"/>
      <c r="Z300" s="74" t="str">
        <f>CONCATENATE(Table1[[#This Row],[P.R NUMBER]],"-",Table1[[#This Row],[SR NO]])</f>
        <v>080512382020-1057</v>
      </c>
    </row>
    <row r="301" spans="1:26" x14ac:dyDescent="0.25">
      <c r="A301" s="73"/>
      <c r="B301" s="42">
        <v>1058</v>
      </c>
      <c r="C301" s="43">
        <v>41037</v>
      </c>
      <c r="D301" s="44" t="s">
        <v>118</v>
      </c>
      <c r="E301" s="76" t="s">
        <v>92</v>
      </c>
      <c r="F301" s="42" t="s">
        <v>1</v>
      </c>
      <c r="G301" s="49" t="s">
        <v>48</v>
      </c>
      <c r="H301" s="45" t="s">
        <v>2434</v>
      </c>
      <c r="I301" s="83" t="s">
        <v>341</v>
      </c>
      <c r="J301" s="52" t="str">
        <f>VLOOKUP(I301,'CONTACT REFERENCE'!$A$2:$P$399,4,FALSE)</f>
        <v>ADVANCE TECHNOLOGY BELTING TRD EST</v>
      </c>
      <c r="K301" s="42"/>
      <c r="L301" s="42">
        <v>1205042</v>
      </c>
      <c r="M301" s="41"/>
      <c r="N301" s="41"/>
      <c r="O301" s="47" t="s">
        <v>2435</v>
      </c>
      <c r="P301" s="45" t="s">
        <v>136</v>
      </c>
      <c r="Q301" s="49" t="s">
        <v>120</v>
      </c>
      <c r="R301" s="48">
        <v>800</v>
      </c>
      <c r="S301" s="41" t="s">
        <v>29</v>
      </c>
      <c r="T301" s="42"/>
      <c r="U301" s="42"/>
      <c r="V301" s="21"/>
      <c r="W301" s="78"/>
      <c r="X301" s="22">
        <v>18</v>
      </c>
      <c r="Y301" s="22"/>
      <c r="Z301" s="74" t="str">
        <f>CONCATENATE(Table1[[#This Row],[P.R NUMBER]],"-",Table1[[#This Row],[SR NO]])</f>
        <v>080512014020-1058</v>
      </c>
    </row>
    <row r="302" spans="1:26" x14ac:dyDescent="0.25">
      <c r="A302" s="73"/>
      <c r="B302" s="42">
        <v>1059</v>
      </c>
      <c r="C302" s="43">
        <v>41038</v>
      </c>
      <c r="D302" s="44" t="s">
        <v>122</v>
      </c>
      <c r="E302" s="76" t="s">
        <v>90</v>
      </c>
      <c r="F302" s="42" t="s">
        <v>1</v>
      </c>
      <c r="G302" s="49" t="s">
        <v>70</v>
      </c>
      <c r="H302" s="45" t="s">
        <v>2436</v>
      </c>
      <c r="I302" s="83" t="s">
        <v>253</v>
      </c>
      <c r="J302" s="52" t="str">
        <f>VLOOKUP(I302,'CONTACT REFERENCE'!$A$2:$P$399,4,FALSE)</f>
        <v>SURE TACK SYSTEMS (DIVISION OF CRIST CO)</v>
      </c>
      <c r="K302" s="42"/>
      <c r="L302" s="42">
        <v>24687</v>
      </c>
      <c r="M302" s="41"/>
      <c r="N302" s="41"/>
      <c r="O302" s="47" t="s">
        <v>1875</v>
      </c>
      <c r="P302" s="45" t="s">
        <v>137</v>
      </c>
      <c r="Q302" s="49" t="s">
        <v>120</v>
      </c>
      <c r="R302" s="48">
        <f>3*275</f>
        <v>825</v>
      </c>
      <c r="S302" s="41" t="s">
        <v>28</v>
      </c>
      <c r="T302" s="84">
        <v>41043</v>
      </c>
      <c r="U302" s="42" t="s">
        <v>2437</v>
      </c>
      <c r="V302" s="21"/>
      <c r="W302" s="78"/>
      <c r="X302" s="22">
        <v>18</v>
      </c>
      <c r="Y302" s="22"/>
      <c r="Z302" s="74" t="str">
        <f>CONCATENATE(Table1[[#This Row],[P.R NUMBER]],"-",Table1[[#This Row],[SR NO]])</f>
        <v>090512252020-1059</v>
      </c>
    </row>
    <row r="303" spans="1:26" x14ac:dyDescent="0.25">
      <c r="A303" s="73"/>
      <c r="B303" s="42">
        <v>1059</v>
      </c>
      <c r="C303" s="43">
        <v>41038</v>
      </c>
      <c r="D303" s="44" t="s">
        <v>122</v>
      </c>
      <c r="E303" s="76" t="s">
        <v>90</v>
      </c>
      <c r="F303" s="42" t="s">
        <v>1</v>
      </c>
      <c r="G303" s="49" t="s">
        <v>70</v>
      </c>
      <c r="H303" s="45" t="s">
        <v>2436</v>
      </c>
      <c r="I303" s="83" t="s">
        <v>253</v>
      </c>
      <c r="J303" s="52" t="str">
        <f>VLOOKUP(I303,'CONTACT REFERENCE'!$A$2:$P$399,4,FALSE)</f>
        <v>SURE TACK SYSTEMS (DIVISION OF CRIST CO)</v>
      </c>
      <c r="K303" s="42"/>
      <c r="L303" s="42">
        <v>24687</v>
      </c>
      <c r="M303" s="41"/>
      <c r="N303" s="41"/>
      <c r="O303" s="47" t="s">
        <v>2256</v>
      </c>
      <c r="P303" s="45" t="s">
        <v>180</v>
      </c>
      <c r="Q303" s="49" t="s">
        <v>120</v>
      </c>
      <c r="R303" s="48">
        <f>24*9.35</f>
        <v>224.39999999999998</v>
      </c>
      <c r="S303" s="41" t="s">
        <v>28</v>
      </c>
      <c r="T303" s="84">
        <v>41043</v>
      </c>
      <c r="U303" s="42" t="s">
        <v>2437</v>
      </c>
      <c r="V303" s="21"/>
      <c r="W303" s="78"/>
      <c r="X303" s="22">
        <v>18</v>
      </c>
      <c r="Y303" s="22"/>
      <c r="Z303" s="74" t="str">
        <f>CONCATENATE(Table1[[#This Row],[P.R NUMBER]],"-",Table1[[#This Row],[SR NO]])</f>
        <v>090512252020-1059</v>
      </c>
    </row>
    <row r="304" spans="1:26" x14ac:dyDescent="0.25">
      <c r="A304" s="73"/>
      <c r="B304" s="42">
        <v>1060</v>
      </c>
      <c r="C304" s="43">
        <v>41038</v>
      </c>
      <c r="D304" s="44" t="s">
        <v>118</v>
      </c>
      <c r="E304" s="76" t="s">
        <v>91</v>
      </c>
      <c r="F304" s="42" t="s">
        <v>88</v>
      </c>
      <c r="G304" s="49" t="s">
        <v>70</v>
      </c>
      <c r="H304" s="45" t="s">
        <v>2438</v>
      </c>
      <c r="I304" s="83" t="s">
        <v>1220</v>
      </c>
      <c r="J304" s="52" t="str">
        <f>VLOOKUP(I304,'CONTACT REFERENCE'!$A$2:$P$399,4,FALSE)</f>
        <v>PRINTECH MIDDLE EAST LLC</v>
      </c>
      <c r="K304" s="42"/>
      <c r="L304" s="42" t="s">
        <v>2439</v>
      </c>
      <c r="M304" s="41"/>
      <c r="N304" s="41"/>
      <c r="O304" s="47" t="s">
        <v>178</v>
      </c>
      <c r="P304" s="45" t="s">
        <v>136</v>
      </c>
      <c r="Q304" s="49" t="s">
        <v>2440</v>
      </c>
      <c r="R304" s="48">
        <v>320</v>
      </c>
      <c r="S304" s="41" t="s">
        <v>29</v>
      </c>
      <c r="T304" s="84">
        <v>41035</v>
      </c>
      <c r="U304" s="42"/>
      <c r="V304" s="21"/>
      <c r="W304" s="78"/>
      <c r="X304" s="22">
        <v>18</v>
      </c>
      <c r="Y304" s="22"/>
      <c r="Z304" s="74" t="str">
        <f>CONCATENATE(Table1[[#This Row],[P.R NUMBER]],"-",Table1[[#This Row],[SR NO]])</f>
        <v>090512253060-1060</v>
      </c>
    </row>
    <row r="305" spans="1:26" x14ac:dyDescent="0.25">
      <c r="A305" s="73"/>
      <c r="B305" s="42">
        <v>1061</v>
      </c>
      <c r="C305" s="43">
        <v>41038</v>
      </c>
      <c r="D305" s="44" t="s">
        <v>118</v>
      </c>
      <c r="E305" s="76" t="s">
        <v>91</v>
      </c>
      <c r="F305" s="42" t="s">
        <v>88</v>
      </c>
      <c r="G305" s="49" t="s">
        <v>70</v>
      </c>
      <c r="H305" s="45" t="s">
        <v>2438</v>
      </c>
      <c r="I305" s="83" t="s">
        <v>377</v>
      </c>
      <c r="J305" s="52" t="str">
        <f>VLOOKUP(I305,'CONTACT REFERENCE'!$A$2:$P$399,4,FALSE)</f>
        <v>EURO PACK TRADING EST LTD</v>
      </c>
      <c r="K305" s="42"/>
      <c r="L305" s="42">
        <v>40437</v>
      </c>
      <c r="M305" s="41"/>
      <c r="N305" s="41"/>
      <c r="O305" s="47" t="s">
        <v>2441</v>
      </c>
      <c r="P305" s="45" t="s">
        <v>124</v>
      </c>
      <c r="Q305" s="49" t="s">
        <v>135</v>
      </c>
      <c r="R305" s="48">
        <v>110</v>
      </c>
      <c r="S305" s="41" t="s">
        <v>29</v>
      </c>
      <c r="T305" s="84">
        <v>41042</v>
      </c>
      <c r="U305" s="42"/>
      <c r="V305" s="21"/>
      <c r="W305" s="78"/>
      <c r="X305" s="22">
        <v>18</v>
      </c>
      <c r="Y305" s="22"/>
      <c r="Z305" s="74" t="str">
        <f>CONCATENATE(Table1[[#This Row],[P.R NUMBER]],"-",Table1[[#This Row],[SR NO]])</f>
        <v>090512253060-1061</v>
      </c>
    </row>
    <row r="306" spans="1:26" x14ac:dyDescent="0.25">
      <c r="A306" s="73"/>
      <c r="B306" s="42">
        <v>1061</v>
      </c>
      <c r="C306" s="43">
        <v>41038</v>
      </c>
      <c r="D306" s="44" t="s">
        <v>118</v>
      </c>
      <c r="E306" s="76" t="s">
        <v>91</v>
      </c>
      <c r="F306" s="42" t="s">
        <v>88</v>
      </c>
      <c r="G306" s="49" t="s">
        <v>70</v>
      </c>
      <c r="H306" s="45" t="s">
        <v>2438</v>
      </c>
      <c r="I306" s="83" t="s">
        <v>377</v>
      </c>
      <c r="J306" s="52" t="str">
        <f>VLOOKUP(I306,'CONTACT REFERENCE'!$A$2:$P$399,4,FALSE)</f>
        <v>EURO PACK TRADING EST LTD</v>
      </c>
      <c r="K306" s="42"/>
      <c r="L306" s="42">
        <v>40437</v>
      </c>
      <c r="M306" s="41"/>
      <c r="N306" s="41"/>
      <c r="O306" s="47" t="s">
        <v>2442</v>
      </c>
      <c r="P306" s="45" t="s">
        <v>124</v>
      </c>
      <c r="Q306" s="49" t="s">
        <v>135</v>
      </c>
      <c r="R306" s="48">
        <v>200</v>
      </c>
      <c r="S306" s="41" t="s">
        <v>29</v>
      </c>
      <c r="T306" s="84">
        <v>41042</v>
      </c>
      <c r="U306" s="42"/>
      <c r="V306" s="21"/>
      <c r="W306" s="78"/>
      <c r="X306" s="22">
        <v>18</v>
      </c>
      <c r="Y306" s="22"/>
      <c r="Z306" s="74" t="str">
        <f>CONCATENATE(Table1[[#This Row],[P.R NUMBER]],"-",Table1[[#This Row],[SR NO]])</f>
        <v>090512253060-1061</v>
      </c>
    </row>
    <row r="307" spans="1:26" x14ac:dyDescent="0.25">
      <c r="A307" s="73"/>
      <c r="B307" s="42">
        <v>1062</v>
      </c>
      <c r="C307" s="43">
        <v>41039</v>
      </c>
      <c r="D307" s="44" t="s">
        <v>118</v>
      </c>
      <c r="E307" s="76" t="s">
        <v>89</v>
      </c>
      <c r="F307" s="42" t="s">
        <v>1</v>
      </c>
      <c r="G307" s="49" t="s">
        <v>48</v>
      </c>
      <c r="H307" s="45" t="s">
        <v>2443</v>
      </c>
      <c r="I307" s="83" t="s">
        <v>460</v>
      </c>
      <c r="J307" s="52" t="str">
        <f>VLOOKUP(I307,'CONTACT REFERENCE'!$A$2:$P$399,4,FALSE)</f>
        <v>A-1 ENGINEERING</v>
      </c>
      <c r="K307" s="42">
        <v>5853</v>
      </c>
      <c r="L307" s="42">
        <v>8830</v>
      </c>
      <c r="M307" s="41"/>
      <c r="N307" s="41"/>
      <c r="O307" s="47" t="s">
        <v>2444</v>
      </c>
      <c r="P307" s="45" t="s">
        <v>137</v>
      </c>
      <c r="Q307" s="49" t="s">
        <v>120</v>
      </c>
      <c r="R307" s="48">
        <v>900</v>
      </c>
      <c r="S307" s="41" t="s">
        <v>29</v>
      </c>
      <c r="T307" s="84">
        <v>41059</v>
      </c>
      <c r="U307" s="42"/>
      <c r="V307" s="21"/>
      <c r="W307" s="78"/>
      <c r="X307" s="22">
        <v>18</v>
      </c>
      <c r="Y307" s="22"/>
      <c r="Z307" s="74" t="str">
        <f>CONCATENATE(Table1[[#This Row],[P.R NUMBER]],"-",Table1[[#This Row],[SR NO]])</f>
        <v>100512011020-1062</v>
      </c>
    </row>
    <row r="308" spans="1:26" x14ac:dyDescent="0.25">
      <c r="A308" s="73"/>
      <c r="B308" s="42">
        <v>1062</v>
      </c>
      <c r="C308" s="43">
        <v>41039</v>
      </c>
      <c r="D308" s="44" t="s">
        <v>118</v>
      </c>
      <c r="E308" s="76" t="s">
        <v>89</v>
      </c>
      <c r="F308" s="42" t="s">
        <v>1</v>
      </c>
      <c r="G308" s="49" t="s">
        <v>48</v>
      </c>
      <c r="H308" s="45" t="s">
        <v>2443</v>
      </c>
      <c r="I308" s="83" t="s">
        <v>460</v>
      </c>
      <c r="J308" s="52" t="str">
        <f>VLOOKUP(I308,'CONTACT REFERENCE'!$A$2:$P$399,4,FALSE)</f>
        <v>A-1 ENGINEERING</v>
      </c>
      <c r="K308" s="42">
        <v>5854</v>
      </c>
      <c r="L308" s="42">
        <v>8830</v>
      </c>
      <c r="M308" s="41"/>
      <c r="N308" s="41"/>
      <c r="O308" s="47" t="s">
        <v>2445</v>
      </c>
      <c r="P308" s="45" t="s">
        <v>137</v>
      </c>
      <c r="Q308" s="49" t="s">
        <v>120</v>
      </c>
      <c r="R308" s="48">
        <v>1620</v>
      </c>
      <c r="S308" s="41" t="s">
        <v>29</v>
      </c>
      <c r="T308" s="84">
        <v>41059</v>
      </c>
      <c r="U308" s="42"/>
      <c r="V308" s="21"/>
      <c r="W308" s="78"/>
      <c r="X308" s="22">
        <v>18</v>
      </c>
      <c r="Y308" s="22"/>
      <c r="Z308" s="74" t="str">
        <f>CONCATENATE(Table1[[#This Row],[P.R NUMBER]],"-",Table1[[#This Row],[SR NO]])</f>
        <v>100512011020-1062</v>
      </c>
    </row>
    <row r="309" spans="1:26" x14ac:dyDescent="0.25">
      <c r="A309" s="73"/>
      <c r="B309" s="42">
        <v>1062</v>
      </c>
      <c r="C309" s="43">
        <v>41039</v>
      </c>
      <c r="D309" s="44" t="s">
        <v>118</v>
      </c>
      <c r="E309" s="76" t="s">
        <v>89</v>
      </c>
      <c r="F309" s="42" t="s">
        <v>1</v>
      </c>
      <c r="G309" s="49" t="s">
        <v>48</v>
      </c>
      <c r="H309" s="45" t="s">
        <v>2443</v>
      </c>
      <c r="I309" s="83" t="s">
        <v>460</v>
      </c>
      <c r="J309" s="52" t="str">
        <f>VLOOKUP(I309,'CONTACT REFERENCE'!$A$2:$P$399,4,FALSE)</f>
        <v>A-1 ENGINEERING</v>
      </c>
      <c r="K309" s="42">
        <v>5855</v>
      </c>
      <c r="L309" s="42">
        <v>8830</v>
      </c>
      <c r="M309" s="41"/>
      <c r="N309" s="41"/>
      <c r="O309" s="47" t="s">
        <v>2446</v>
      </c>
      <c r="P309" s="45" t="s">
        <v>124</v>
      </c>
      <c r="Q309" s="49" t="s">
        <v>120</v>
      </c>
      <c r="R309" s="48">
        <v>380</v>
      </c>
      <c r="S309" s="41" t="s">
        <v>29</v>
      </c>
      <c r="T309" s="84">
        <v>41059</v>
      </c>
      <c r="U309" s="42"/>
      <c r="V309" s="21"/>
      <c r="W309" s="78"/>
      <c r="X309" s="22">
        <v>18</v>
      </c>
      <c r="Y309" s="22"/>
      <c r="Z309" s="74" t="str">
        <f>CONCATENATE(Table1[[#This Row],[P.R NUMBER]],"-",Table1[[#This Row],[SR NO]])</f>
        <v>100512011020-1062</v>
      </c>
    </row>
    <row r="310" spans="1:26" x14ac:dyDescent="0.25">
      <c r="A310" s="73"/>
      <c r="B310" s="42">
        <v>1062</v>
      </c>
      <c r="C310" s="43">
        <v>41039</v>
      </c>
      <c r="D310" s="44" t="s">
        <v>118</v>
      </c>
      <c r="E310" s="76" t="s">
        <v>89</v>
      </c>
      <c r="F310" s="42" t="s">
        <v>1</v>
      </c>
      <c r="G310" s="49" t="s">
        <v>48</v>
      </c>
      <c r="H310" s="45" t="s">
        <v>2443</v>
      </c>
      <c r="I310" s="83" t="s">
        <v>460</v>
      </c>
      <c r="J310" s="52" t="str">
        <f>VLOOKUP(I310,'CONTACT REFERENCE'!$A$2:$P$399,4,FALSE)</f>
        <v>A-1 ENGINEERING</v>
      </c>
      <c r="K310" s="42">
        <v>5856</v>
      </c>
      <c r="L310" s="42">
        <v>8830</v>
      </c>
      <c r="M310" s="41"/>
      <c r="N310" s="41"/>
      <c r="O310" s="47" t="s">
        <v>2447</v>
      </c>
      <c r="P310" s="45" t="s">
        <v>136</v>
      </c>
      <c r="Q310" s="49" t="s">
        <v>120</v>
      </c>
      <c r="R310" s="48">
        <v>800</v>
      </c>
      <c r="S310" s="41" t="s">
        <v>29</v>
      </c>
      <c r="T310" s="84">
        <v>41059</v>
      </c>
      <c r="U310" s="42"/>
      <c r="V310" s="21"/>
      <c r="W310" s="78"/>
      <c r="X310" s="22">
        <v>18</v>
      </c>
      <c r="Y310" s="22"/>
      <c r="Z310" s="74" t="str">
        <f>CONCATENATE(Table1[[#This Row],[P.R NUMBER]],"-",Table1[[#This Row],[SR NO]])</f>
        <v>100512011020-1062</v>
      </c>
    </row>
    <row r="311" spans="1:26" x14ac:dyDescent="0.25">
      <c r="A311" s="73"/>
      <c r="B311" s="42">
        <v>1062</v>
      </c>
      <c r="C311" s="43">
        <v>41039</v>
      </c>
      <c r="D311" s="44" t="s">
        <v>118</v>
      </c>
      <c r="E311" s="76" t="s">
        <v>89</v>
      </c>
      <c r="F311" s="42" t="s">
        <v>1</v>
      </c>
      <c r="G311" s="49" t="s">
        <v>48</v>
      </c>
      <c r="H311" s="45" t="s">
        <v>2443</v>
      </c>
      <c r="I311" s="83" t="s">
        <v>460</v>
      </c>
      <c r="J311" s="52" t="str">
        <f>VLOOKUP(I311,'CONTACT REFERENCE'!$A$2:$P$399,4,FALSE)</f>
        <v>A-1 ENGINEERING</v>
      </c>
      <c r="K311" s="42">
        <v>5857</v>
      </c>
      <c r="L311" s="42">
        <v>8830</v>
      </c>
      <c r="M311" s="41"/>
      <c r="N311" s="41"/>
      <c r="O311" s="47" t="s">
        <v>2448</v>
      </c>
      <c r="P311" s="45" t="s">
        <v>136</v>
      </c>
      <c r="Q311" s="49" t="s">
        <v>120</v>
      </c>
      <c r="R311" s="48">
        <v>760</v>
      </c>
      <c r="S311" s="41" t="s">
        <v>29</v>
      </c>
      <c r="T311" s="84">
        <v>41059</v>
      </c>
      <c r="U311" s="42"/>
      <c r="V311" s="21"/>
      <c r="W311" s="78"/>
      <c r="X311" s="22">
        <v>18</v>
      </c>
      <c r="Y311" s="22"/>
      <c r="Z311" s="74" t="str">
        <f>CONCATENATE(Table1[[#This Row],[P.R NUMBER]],"-",Table1[[#This Row],[SR NO]])</f>
        <v>100512011020-1062</v>
      </c>
    </row>
    <row r="312" spans="1:26" x14ac:dyDescent="0.25">
      <c r="A312" s="73"/>
      <c r="B312" s="42">
        <v>1062</v>
      </c>
      <c r="C312" s="43">
        <v>41039</v>
      </c>
      <c r="D312" s="44" t="s">
        <v>118</v>
      </c>
      <c r="E312" s="76" t="s">
        <v>89</v>
      </c>
      <c r="F312" s="42" t="s">
        <v>1</v>
      </c>
      <c r="G312" s="49" t="s">
        <v>48</v>
      </c>
      <c r="H312" s="45" t="s">
        <v>2443</v>
      </c>
      <c r="I312" s="83" t="s">
        <v>460</v>
      </c>
      <c r="J312" s="52" t="str">
        <f>VLOOKUP(I312,'CONTACT REFERENCE'!$A$2:$P$399,4,FALSE)</f>
        <v>A-1 ENGINEERING</v>
      </c>
      <c r="K312" s="42">
        <v>5858</v>
      </c>
      <c r="L312" s="42">
        <v>8830</v>
      </c>
      <c r="M312" s="41"/>
      <c r="N312" s="41"/>
      <c r="O312" s="47" t="s">
        <v>2449</v>
      </c>
      <c r="P312" s="45" t="s">
        <v>124</v>
      </c>
      <c r="Q312" s="49" t="s">
        <v>120</v>
      </c>
      <c r="R312" s="48">
        <v>400</v>
      </c>
      <c r="S312" s="41" t="s">
        <v>29</v>
      </c>
      <c r="T312" s="84">
        <v>41059</v>
      </c>
      <c r="U312" s="42"/>
      <c r="V312" s="21"/>
      <c r="W312" s="78"/>
      <c r="X312" s="22">
        <v>18</v>
      </c>
      <c r="Y312" s="22"/>
      <c r="Z312" s="74" t="str">
        <f>CONCATENATE(Table1[[#This Row],[P.R NUMBER]],"-",Table1[[#This Row],[SR NO]])</f>
        <v>100512011020-1062</v>
      </c>
    </row>
    <row r="313" spans="1:26" x14ac:dyDescent="0.25">
      <c r="A313" s="73"/>
      <c r="B313" s="42">
        <v>1062</v>
      </c>
      <c r="C313" s="43">
        <v>41039</v>
      </c>
      <c r="D313" s="44" t="s">
        <v>118</v>
      </c>
      <c r="E313" s="76" t="s">
        <v>89</v>
      </c>
      <c r="F313" s="42" t="s">
        <v>1</v>
      </c>
      <c r="G313" s="49" t="s">
        <v>48</v>
      </c>
      <c r="H313" s="45" t="s">
        <v>2443</v>
      </c>
      <c r="I313" s="83" t="s">
        <v>460</v>
      </c>
      <c r="J313" s="52" t="str">
        <f>VLOOKUP(I313,'CONTACT REFERENCE'!$A$2:$P$399,4,FALSE)</f>
        <v>A-1 ENGINEERING</v>
      </c>
      <c r="K313" s="42">
        <v>5859</v>
      </c>
      <c r="L313" s="42">
        <v>8830</v>
      </c>
      <c r="M313" s="41"/>
      <c r="N313" s="41"/>
      <c r="O313" s="47" t="s">
        <v>2450</v>
      </c>
      <c r="P313" s="45" t="s">
        <v>136</v>
      </c>
      <c r="Q313" s="49" t="s">
        <v>120</v>
      </c>
      <c r="R313" s="48">
        <v>300</v>
      </c>
      <c r="S313" s="41" t="s">
        <v>29</v>
      </c>
      <c r="T313" s="84">
        <v>41059</v>
      </c>
      <c r="U313" s="42"/>
      <c r="V313" s="21"/>
      <c r="W313" s="78"/>
      <c r="X313" s="22">
        <v>18</v>
      </c>
      <c r="Y313" s="22"/>
      <c r="Z313" s="74" t="str">
        <f>CONCATENATE(Table1[[#This Row],[P.R NUMBER]],"-",Table1[[#This Row],[SR NO]])</f>
        <v>100512011020-1062</v>
      </c>
    </row>
    <row r="314" spans="1:26" ht="15" customHeight="1" x14ac:dyDescent="0.25">
      <c r="A314" s="73"/>
      <c r="B314" s="42">
        <v>1063</v>
      </c>
      <c r="C314" s="43">
        <v>41039</v>
      </c>
      <c r="D314" s="44" t="s">
        <v>118</v>
      </c>
      <c r="E314" s="76" t="s">
        <v>89</v>
      </c>
      <c r="F314" s="42" t="s">
        <v>1</v>
      </c>
      <c r="G314" s="49" t="s">
        <v>48</v>
      </c>
      <c r="H314" s="45" t="s">
        <v>2443</v>
      </c>
      <c r="I314" s="83" t="s">
        <v>243</v>
      </c>
      <c r="J314" s="52" t="str">
        <f>VLOOKUP(I314,'CONTACT REFERENCE'!$A$2:$P$399,4,FALSE)</f>
        <v>FITWELL METAL INDUSTRIES LLC</v>
      </c>
      <c r="K314" s="42" t="s">
        <v>2451</v>
      </c>
      <c r="L314" s="42" t="s">
        <v>2452</v>
      </c>
      <c r="M314" s="41"/>
      <c r="N314" s="41"/>
      <c r="O314" s="47" t="s">
        <v>2453</v>
      </c>
      <c r="P314" s="45" t="s">
        <v>124</v>
      </c>
      <c r="Q314" s="49" t="s">
        <v>120</v>
      </c>
      <c r="R314" s="48">
        <v>280</v>
      </c>
      <c r="S314" s="41" t="s">
        <v>29</v>
      </c>
      <c r="T314" s="107">
        <v>41791</v>
      </c>
      <c r="U314" s="42"/>
      <c r="V314" s="21" t="s">
        <v>2454</v>
      </c>
      <c r="W314" s="78"/>
      <c r="X314" s="22">
        <v>18</v>
      </c>
      <c r="Y314" s="22"/>
      <c r="Z314" s="74" t="str">
        <f>CONCATENATE(Table1[[#This Row],[P.R NUMBER]],"-",Table1[[#This Row],[SR NO]])</f>
        <v>100512011020-1063</v>
      </c>
    </row>
    <row r="315" spans="1:26" ht="15" customHeight="1" x14ac:dyDescent="0.25">
      <c r="A315" s="73"/>
      <c r="B315" s="42">
        <v>1063</v>
      </c>
      <c r="C315" s="43">
        <v>41039</v>
      </c>
      <c r="D315" s="44" t="s">
        <v>118</v>
      </c>
      <c r="E315" s="76" t="s">
        <v>89</v>
      </c>
      <c r="F315" s="42" t="s">
        <v>1</v>
      </c>
      <c r="G315" s="49" t="s">
        <v>48</v>
      </c>
      <c r="H315" s="45" t="s">
        <v>2443</v>
      </c>
      <c r="I315" s="83" t="s">
        <v>243</v>
      </c>
      <c r="J315" s="52" t="str">
        <f>VLOOKUP(I315,'CONTACT REFERENCE'!$A$2:$P$399,4,FALSE)</f>
        <v>FITWELL METAL INDUSTRIES LLC</v>
      </c>
      <c r="K315" s="42" t="s">
        <v>2451</v>
      </c>
      <c r="L315" s="42" t="s">
        <v>2452</v>
      </c>
      <c r="M315" s="41"/>
      <c r="N315" s="41"/>
      <c r="O315" s="47" t="s">
        <v>2455</v>
      </c>
      <c r="P315" s="45" t="s">
        <v>136</v>
      </c>
      <c r="Q315" s="49" t="s">
        <v>120</v>
      </c>
      <c r="R315" s="48">
        <f>2*130</f>
        <v>260</v>
      </c>
      <c r="S315" s="41" t="s">
        <v>29</v>
      </c>
      <c r="T315" s="107">
        <v>41791</v>
      </c>
      <c r="U315" s="42"/>
      <c r="V315" s="21" t="s">
        <v>2454</v>
      </c>
      <c r="W315" s="78"/>
      <c r="X315" s="22">
        <v>18</v>
      </c>
      <c r="Y315" s="22"/>
      <c r="Z315" s="74" t="str">
        <f>CONCATENATE(Table1[[#This Row],[P.R NUMBER]],"-",Table1[[#This Row],[SR NO]])</f>
        <v>100512011020-1063</v>
      </c>
    </row>
    <row r="316" spans="1:26" ht="15" customHeight="1" x14ac:dyDescent="0.25">
      <c r="A316" s="73"/>
      <c r="B316" s="42">
        <v>1063</v>
      </c>
      <c r="C316" s="43">
        <v>41039</v>
      </c>
      <c r="D316" s="44" t="s">
        <v>118</v>
      </c>
      <c r="E316" s="76" t="s">
        <v>89</v>
      </c>
      <c r="F316" s="42" t="s">
        <v>1</v>
      </c>
      <c r="G316" s="49" t="s">
        <v>48</v>
      </c>
      <c r="H316" s="45" t="s">
        <v>2443</v>
      </c>
      <c r="I316" s="83" t="s">
        <v>243</v>
      </c>
      <c r="J316" s="52" t="str">
        <f>VLOOKUP(I316,'CONTACT REFERENCE'!$A$2:$P$399,4,FALSE)</f>
        <v>FITWELL METAL INDUSTRIES LLC</v>
      </c>
      <c r="K316" s="42" t="s">
        <v>2451</v>
      </c>
      <c r="L316" s="42" t="s">
        <v>2452</v>
      </c>
      <c r="M316" s="41"/>
      <c r="N316" s="41"/>
      <c r="O316" s="47" t="s">
        <v>2456</v>
      </c>
      <c r="P316" s="45" t="s">
        <v>136</v>
      </c>
      <c r="Q316" s="49" t="s">
        <v>120</v>
      </c>
      <c r="R316" s="48">
        <f>2*230</f>
        <v>460</v>
      </c>
      <c r="S316" s="41" t="s">
        <v>29</v>
      </c>
      <c r="T316" s="107">
        <v>41791</v>
      </c>
      <c r="U316" s="42"/>
      <c r="V316" s="21" t="s">
        <v>2454</v>
      </c>
      <c r="W316" s="78"/>
      <c r="X316" s="22">
        <v>18</v>
      </c>
      <c r="Y316" s="22"/>
      <c r="Z316" s="74" t="str">
        <f>CONCATENATE(Table1[[#This Row],[P.R NUMBER]],"-",Table1[[#This Row],[SR NO]])</f>
        <v>100512011020-1063</v>
      </c>
    </row>
    <row r="317" spans="1:26" ht="15" customHeight="1" x14ac:dyDescent="0.25">
      <c r="A317" s="73"/>
      <c r="B317" s="42">
        <v>1063</v>
      </c>
      <c r="C317" s="43">
        <v>41039</v>
      </c>
      <c r="D317" s="44" t="s">
        <v>118</v>
      </c>
      <c r="E317" s="76" t="s">
        <v>89</v>
      </c>
      <c r="F317" s="42" t="s">
        <v>1</v>
      </c>
      <c r="G317" s="49" t="s">
        <v>48</v>
      </c>
      <c r="H317" s="45" t="s">
        <v>2443</v>
      </c>
      <c r="I317" s="83" t="s">
        <v>243</v>
      </c>
      <c r="J317" s="52" t="str">
        <f>VLOOKUP(I317,'CONTACT REFERENCE'!$A$2:$P$399,4,FALSE)</f>
        <v>FITWELL METAL INDUSTRIES LLC</v>
      </c>
      <c r="K317" s="42" t="s">
        <v>2451</v>
      </c>
      <c r="L317" s="42" t="s">
        <v>2452</v>
      </c>
      <c r="M317" s="41"/>
      <c r="N317" s="41"/>
      <c r="O317" s="47" t="s">
        <v>2457</v>
      </c>
      <c r="P317" s="45" t="s">
        <v>124</v>
      </c>
      <c r="Q317" s="49" t="s">
        <v>120</v>
      </c>
      <c r="R317" s="48">
        <v>550</v>
      </c>
      <c r="S317" s="41" t="s">
        <v>29</v>
      </c>
      <c r="T317" s="107">
        <v>41791</v>
      </c>
      <c r="U317" s="42"/>
      <c r="V317" s="21" t="s">
        <v>2454</v>
      </c>
      <c r="W317" s="78"/>
      <c r="X317" s="22">
        <v>18</v>
      </c>
      <c r="Y317" s="22"/>
      <c r="Z317" s="74" t="str">
        <f>CONCATENATE(Table1[[#This Row],[P.R NUMBER]],"-",Table1[[#This Row],[SR NO]])</f>
        <v>100512011020-1063</v>
      </c>
    </row>
    <row r="318" spans="1:26" x14ac:dyDescent="0.25">
      <c r="A318" s="73"/>
      <c r="B318" s="42">
        <v>1064</v>
      </c>
      <c r="C318" s="43">
        <v>41042</v>
      </c>
      <c r="D318" s="44" t="s">
        <v>118</v>
      </c>
      <c r="E318" s="76" t="s">
        <v>89</v>
      </c>
      <c r="F318" s="42" t="s">
        <v>1</v>
      </c>
      <c r="G318" s="49" t="s">
        <v>48</v>
      </c>
      <c r="H318" s="45" t="s">
        <v>2458</v>
      </c>
      <c r="I318" s="83" t="s">
        <v>460</v>
      </c>
      <c r="J318" s="52" t="str">
        <f>VLOOKUP(I318,'CONTACT REFERENCE'!$A$2:$P$399,4,FALSE)</f>
        <v>A-1 ENGINEERING</v>
      </c>
      <c r="K318" s="42">
        <v>5770</v>
      </c>
      <c r="L318" s="42">
        <v>8844</v>
      </c>
      <c r="M318" s="41"/>
      <c r="N318" s="41"/>
      <c r="O318" s="47" t="s">
        <v>2459</v>
      </c>
      <c r="P318" s="45" t="s">
        <v>137</v>
      </c>
      <c r="Q318" s="49" t="s">
        <v>120</v>
      </c>
      <c r="R318" s="48">
        <v>950</v>
      </c>
      <c r="S318" s="41" t="s">
        <v>29</v>
      </c>
      <c r="T318" s="84">
        <v>41059</v>
      </c>
      <c r="U318" s="42"/>
      <c r="V318" s="21"/>
      <c r="W318" s="78"/>
      <c r="X318" s="22">
        <v>19</v>
      </c>
      <c r="Y318" s="22"/>
      <c r="Z318" s="74" t="str">
        <f>CONCATENATE(Table1[[#This Row],[P.R NUMBER]],"-",Table1[[#This Row],[SR NO]])</f>
        <v>130512011020-1064</v>
      </c>
    </row>
    <row r="319" spans="1:26" x14ac:dyDescent="0.25">
      <c r="A319" s="73"/>
      <c r="B319" s="42">
        <v>1064</v>
      </c>
      <c r="C319" s="43">
        <v>41042</v>
      </c>
      <c r="D319" s="44" t="s">
        <v>118</v>
      </c>
      <c r="E319" s="76" t="s">
        <v>89</v>
      </c>
      <c r="F319" s="42" t="s">
        <v>1</v>
      </c>
      <c r="G319" s="49" t="s">
        <v>48</v>
      </c>
      <c r="H319" s="45" t="s">
        <v>2458</v>
      </c>
      <c r="I319" s="83" t="s">
        <v>460</v>
      </c>
      <c r="J319" s="52" t="str">
        <f>VLOOKUP(I319,'CONTACT REFERENCE'!$A$2:$P$399,4,FALSE)</f>
        <v>A-1 ENGINEERING</v>
      </c>
      <c r="K319" s="42">
        <v>5571</v>
      </c>
      <c r="L319" s="42">
        <v>8844</v>
      </c>
      <c r="M319" s="41"/>
      <c r="N319" s="41"/>
      <c r="O319" s="47" t="s">
        <v>2460</v>
      </c>
      <c r="P319" s="45" t="s">
        <v>137</v>
      </c>
      <c r="Q319" s="49" t="s">
        <v>120</v>
      </c>
      <c r="R319" s="48">
        <v>1200</v>
      </c>
      <c r="S319" s="41" t="s">
        <v>29</v>
      </c>
      <c r="T319" s="84">
        <v>41059</v>
      </c>
      <c r="U319" s="42"/>
      <c r="V319" s="21"/>
      <c r="W319" s="78"/>
      <c r="X319" s="22">
        <v>19</v>
      </c>
      <c r="Y319" s="22"/>
      <c r="Z319" s="74" t="str">
        <f>CONCATENATE(Table1[[#This Row],[P.R NUMBER]],"-",Table1[[#This Row],[SR NO]])</f>
        <v>130512011020-1064</v>
      </c>
    </row>
    <row r="320" spans="1:26" x14ac:dyDescent="0.25">
      <c r="A320" s="73"/>
      <c r="B320" s="42">
        <v>1064</v>
      </c>
      <c r="C320" s="43">
        <v>41042</v>
      </c>
      <c r="D320" s="44" t="s">
        <v>118</v>
      </c>
      <c r="E320" s="76" t="s">
        <v>89</v>
      </c>
      <c r="F320" s="42" t="s">
        <v>1</v>
      </c>
      <c r="G320" s="49" t="s">
        <v>48</v>
      </c>
      <c r="H320" s="45" t="s">
        <v>2458</v>
      </c>
      <c r="I320" s="83" t="s">
        <v>460</v>
      </c>
      <c r="J320" s="52" t="str">
        <f>VLOOKUP(I320,'CONTACT REFERENCE'!$A$2:$P$399,4,FALSE)</f>
        <v>A-1 ENGINEERING</v>
      </c>
      <c r="K320" s="42">
        <v>5772</v>
      </c>
      <c r="L320" s="42">
        <v>8844</v>
      </c>
      <c r="M320" s="41"/>
      <c r="N320" s="41"/>
      <c r="O320" s="47" t="s">
        <v>2461</v>
      </c>
      <c r="P320" s="45" t="s">
        <v>137</v>
      </c>
      <c r="Q320" s="49" t="s">
        <v>120</v>
      </c>
      <c r="R320" s="48">
        <v>1050</v>
      </c>
      <c r="S320" s="41" t="s">
        <v>29</v>
      </c>
      <c r="T320" s="84">
        <v>41059</v>
      </c>
      <c r="U320" s="42"/>
      <c r="V320" s="21"/>
      <c r="W320" s="78"/>
      <c r="X320" s="22">
        <v>19</v>
      </c>
      <c r="Y320" s="22"/>
      <c r="Z320" s="74" t="str">
        <f>CONCATENATE(Table1[[#This Row],[P.R NUMBER]],"-",Table1[[#This Row],[SR NO]])</f>
        <v>130512011020-1064</v>
      </c>
    </row>
    <row r="321" spans="1:26" x14ac:dyDescent="0.25">
      <c r="A321" s="73"/>
      <c r="B321" s="42">
        <v>1064</v>
      </c>
      <c r="C321" s="43">
        <v>41042</v>
      </c>
      <c r="D321" s="44" t="s">
        <v>118</v>
      </c>
      <c r="E321" s="76" t="s">
        <v>89</v>
      </c>
      <c r="F321" s="42" t="s">
        <v>1</v>
      </c>
      <c r="G321" s="49" t="s">
        <v>48</v>
      </c>
      <c r="H321" s="45" t="s">
        <v>2458</v>
      </c>
      <c r="I321" s="83" t="s">
        <v>460</v>
      </c>
      <c r="J321" s="52" t="str">
        <f>VLOOKUP(I321,'CONTACT REFERENCE'!$A$2:$P$399,4,FALSE)</f>
        <v>A-1 ENGINEERING</v>
      </c>
      <c r="K321" s="42">
        <v>5773</v>
      </c>
      <c r="L321" s="42">
        <v>8844</v>
      </c>
      <c r="M321" s="41"/>
      <c r="N321" s="41"/>
      <c r="O321" s="47" t="s">
        <v>2462</v>
      </c>
      <c r="P321" s="45" t="s">
        <v>137</v>
      </c>
      <c r="Q321" s="49" t="s">
        <v>120</v>
      </c>
      <c r="R321" s="48">
        <v>3150</v>
      </c>
      <c r="S321" s="41" t="s">
        <v>29</v>
      </c>
      <c r="T321" s="84">
        <v>41059</v>
      </c>
      <c r="U321" s="42"/>
      <c r="V321" s="21"/>
      <c r="W321" s="78"/>
      <c r="X321" s="22">
        <v>19</v>
      </c>
      <c r="Y321" s="22"/>
      <c r="Z321" s="74" t="str">
        <f>CONCATENATE(Table1[[#This Row],[P.R NUMBER]],"-",Table1[[#This Row],[SR NO]])</f>
        <v>130512011020-1064</v>
      </c>
    </row>
    <row r="322" spans="1:26" x14ac:dyDescent="0.25">
      <c r="A322" s="73"/>
      <c r="B322" s="42">
        <v>1064</v>
      </c>
      <c r="C322" s="43">
        <v>41042</v>
      </c>
      <c r="D322" s="44" t="s">
        <v>118</v>
      </c>
      <c r="E322" s="76" t="s">
        <v>89</v>
      </c>
      <c r="F322" s="42" t="s">
        <v>1</v>
      </c>
      <c r="G322" s="49" t="s">
        <v>48</v>
      </c>
      <c r="H322" s="45" t="s">
        <v>2458</v>
      </c>
      <c r="I322" s="83" t="s">
        <v>460</v>
      </c>
      <c r="J322" s="52" t="str">
        <f>VLOOKUP(I322,'CONTACT REFERENCE'!$A$2:$P$399,4,FALSE)</f>
        <v>A-1 ENGINEERING</v>
      </c>
      <c r="K322" s="42">
        <v>5810</v>
      </c>
      <c r="L322" s="42">
        <v>8845</v>
      </c>
      <c r="M322" s="41"/>
      <c r="N322" s="41"/>
      <c r="O322" s="47" t="s">
        <v>2463</v>
      </c>
      <c r="P322" s="45" t="s">
        <v>124</v>
      </c>
      <c r="Q322" s="49" t="s">
        <v>140</v>
      </c>
      <c r="R322" s="48">
        <v>800</v>
      </c>
      <c r="S322" s="41" t="s">
        <v>29</v>
      </c>
      <c r="T322" s="84">
        <v>41059</v>
      </c>
      <c r="U322" s="42"/>
      <c r="V322" s="21"/>
      <c r="W322" s="78"/>
      <c r="X322" s="22">
        <v>19</v>
      </c>
      <c r="Y322" s="22"/>
      <c r="Z322" s="74" t="str">
        <f>CONCATENATE(Table1[[#This Row],[P.R NUMBER]],"-",Table1[[#This Row],[SR NO]])</f>
        <v>130512011020-1064</v>
      </c>
    </row>
    <row r="323" spans="1:26" x14ac:dyDescent="0.25">
      <c r="A323" s="73"/>
      <c r="B323" s="42">
        <v>1064</v>
      </c>
      <c r="C323" s="43">
        <v>41042</v>
      </c>
      <c r="D323" s="44" t="s">
        <v>118</v>
      </c>
      <c r="E323" s="76" t="s">
        <v>89</v>
      </c>
      <c r="F323" s="42" t="s">
        <v>1</v>
      </c>
      <c r="G323" s="49" t="s">
        <v>48</v>
      </c>
      <c r="H323" s="45" t="s">
        <v>2458</v>
      </c>
      <c r="I323" s="83" t="s">
        <v>460</v>
      </c>
      <c r="J323" s="52" t="str">
        <f>VLOOKUP(I323,'CONTACT REFERENCE'!$A$2:$P$399,4,FALSE)</f>
        <v>A-1 ENGINEERING</v>
      </c>
      <c r="K323" s="42">
        <v>5811</v>
      </c>
      <c r="L323" s="42">
        <v>8845</v>
      </c>
      <c r="M323" s="41"/>
      <c r="N323" s="41"/>
      <c r="O323" s="47" t="s">
        <v>2464</v>
      </c>
      <c r="P323" s="45" t="s">
        <v>124</v>
      </c>
      <c r="Q323" s="49" t="s">
        <v>120</v>
      </c>
      <c r="R323" s="48">
        <v>480</v>
      </c>
      <c r="S323" s="41" t="s">
        <v>29</v>
      </c>
      <c r="T323" s="84">
        <v>41059</v>
      </c>
      <c r="U323" s="42"/>
      <c r="V323" s="21"/>
      <c r="W323" s="78"/>
      <c r="X323" s="22">
        <v>19</v>
      </c>
      <c r="Y323" s="22"/>
      <c r="Z323" s="74" t="str">
        <f>CONCATENATE(Table1[[#This Row],[P.R NUMBER]],"-",Table1[[#This Row],[SR NO]])</f>
        <v>130512011020-1064</v>
      </c>
    </row>
    <row r="324" spans="1:26" x14ac:dyDescent="0.25">
      <c r="A324" s="73"/>
      <c r="B324" s="42">
        <v>1064</v>
      </c>
      <c r="C324" s="43">
        <v>41042</v>
      </c>
      <c r="D324" s="44" t="s">
        <v>118</v>
      </c>
      <c r="E324" s="76" t="s">
        <v>89</v>
      </c>
      <c r="F324" s="42" t="s">
        <v>1</v>
      </c>
      <c r="G324" s="49" t="s">
        <v>48</v>
      </c>
      <c r="H324" s="45" t="s">
        <v>2458</v>
      </c>
      <c r="I324" s="83" t="s">
        <v>460</v>
      </c>
      <c r="J324" s="52" t="str">
        <f>VLOOKUP(I324,'CONTACT REFERENCE'!$A$2:$P$399,4,FALSE)</f>
        <v>A-1 ENGINEERING</v>
      </c>
      <c r="K324" s="42">
        <v>5812</v>
      </c>
      <c r="L324" s="42">
        <v>8845</v>
      </c>
      <c r="M324" s="41"/>
      <c r="N324" s="41"/>
      <c r="O324" s="47" t="s">
        <v>2465</v>
      </c>
      <c r="P324" s="45" t="s">
        <v>124</v>
      </c>
      <c r="Q324" s="49" t="s">
        <v>120</v>
      </c>
      <c r="R324" s="48">
        <v>150</v>
      </c>
      <c r="S324" s="41" t="s">
        <v>29</v>
      </c>
      <c r="T324" s="84">
        <v>41059</v>
      </c>
      <c r="U324" s="42"/>
      <c r="V324" s="21"/>
      <c r="W324" s="78"/>
      <c r="X324" s="22">
        <v>19</v>
      </c>
      <c r="Y324" s="22"/>
      <c r="Z324" s="74" t="str">
        <f>CONCATENATE(Table1[[#This Row],[P.R NUMBER]],"-",Table1[[#This Row],[SR NO]])</f>
        <v>130512011020-1064</v>
      </c>
    </row>
    <row r="325" spans="1:26" x14ac:dyDescent="0.25">
      <c r="A325" s="73"/>
      <c r="B325" s="42">
        <v>1064</v>
      </c>
      <c r="C325" s="43">
        <v>41042</v>
      </c>
      <c r="D325" s="44" t="s">
        <v>118</v>
      </c>
      <c r="E325" s="76" t="s">
        <v>89</v>
      </c>
      <c r="F325" s="42" t="s">
        <v>1</v>
      </c>
      <c r="G325" s="49" t="s">
        <v>48</v>
      </c>
      <c r="H325" s="45" t="s">
        <v>2458</v>
      </c>
      <c r="I325" s="83" t="s">
        <v>460</v>
      </c>
      <c r="J325" s="52" t="str">
        <f>VLOOKUP(I325,'CONTACT REFERENCE'!$A$2:$P$399,4,FALSE)</f>
        <v>A-1 ENGINEERING</v>
      </c>
      <c r="K325" s="42">
        <v>5816</v>
      </c>
      <c r="L325" s="42">
        <v>8845</v>
      </c>
      <c r="M325" s="41"/>
      <c r="N325" s="41"/>
      <c r="O325" s="47" t="s">
        <v>2466</v>
      </c>
      <c r="P325" s="45" t="s">
        <v>124</v>
      </c>
      <c r="Q325" s="49" t="s">
        <v>120</v>
      </c>
      <c r="R325" s="48">
        <v>300</v>
      </c>
      <c r="S325" s="41" t="s">
        <v>29</v>
      </c>
      <c r="T325" s="84">
        <v>41059</v>
      </c>
      <c r="U325" s="42"/>
      <c r="V325" s="21"/>
      <c r="W325" s="78"/>
      <c r="X325" s="22">
        <v>19</v>
      </c>
      <c r="Y325" s="22"/>
      <c r="Z325" s="74" t="str">
        <f>CONCATENATE(Table1[[#This Row],[P.R NUMBER]],"-",Table1[[#This Row],[SR NO]])</f>
        <v>130512011020-1064</v>
      </c>
    </row>
    <row r="326" spans="1:26" x14ac:dyDescent="0.25">
      <c r="A326" s="73"/>
      <c r="B326" s="42">
        <v>1065</v>
      </c>
      <c r="C326" s="43">
        <v>41043</v>
      </c>
      <c r="D326" s="44" t="s">
        <v>118</v>
      </c>
      <c r="E326" s="76" t="s">
        <v>90</v>
      </c>
      <c r="F326" s="42" t="s">
        <v>1</v>
      </c>
      <c r="G326" s="49" t="s">
        <v>1871</v>
      </c>
      <c r="H326" s="45" t="s">
        <v>2467</v>
      </c>
      <c r="I326" s="83" t="s">
        <v>119</v>
      </c>
      <c r="J326" s="52" t="str">
        <f>VLOOKUP(I326,'CONTACT REFERENCE'!$A$2:$P$399,4,FALSE)</f>
        <v>AL DOBOWI TYRE COMPANY LLC</v>
      </c>
      <c r="K326" s="42" t="s">
        <v>2468</v>
      </c>
      <c r="L326" s="42"/>
      <c r="M326" s="41"/>
      <c r="N326" s="41"/>
      <c r="O326" s="47" t="s">
        <v>2469</v>
      </c>
      <c r="P326" s="45" t="s">
        <v>136</v>
      </c>
      <c r="Q326" s="49" t="s">
        <v>120</v>
      </c>
      <c r="R326" s="48">
        <v>330</v>
      </c>
      <c r="S326" s="41" t="s">
        <v>29</v>
      </c>
      <c r="T326" s="42"/>
      <c r="U326" s="42"/>
      <c r="V326" s="21"/>
      <c r="W326" s="78"/>
      <c r="X326" s="22">
        <v>20</v>
      </c>
      <c r="Y326" s="22"/>
      <c r="Z326" s="74" t="str">
        <f>CONCATENATE(Table1[[#This Row],[P.R NUMBER]],"-",Table1[[#This Row],[SR NO]])</f>
        <v>140512102020-1065</v>
      </c>
    </row>
    <row r="327" spans="1:26" x14ac:dyDescent="0.25">
      <c r="A327" s="73"/>
      <c r="B327" s="42">
        <v>1066</v>
      </c>
      <c r="C327" s="43">
        <v>41043</v>
      </c>
      <c r="D327" s="44" t="s">
        <v>118</v>
      </c>
      <c r="E327" s="76" t="s">
        <v>89</v>
      </c>
      <c r="F327" s="42" t="s">
        <v>1</v>
      </c>
      <c r="G327" s="49" t="s">
        <v>48</v>
      </c>
      <c r="H327" s="45" t="s">
        <v>2470</v>
      </c>
      <c r="I327" s="83" t="s">
        <v>243</v>
      </c>
      <c r="J327" s="52" t="str">
        <f>VLOOKUP(I327,'CONTACT REFERENCE'!$A$2:$P$399,4,FALSE)</f>
        <v>FITWELL METAL INDUSTRIES LLC</v>
      </c>
      <c r="K327" s="42" t="s">
        <v>2471</v>
      </c>
      <c r="L327" s="42" t="s">
        <v>2472</v>
      </c>
      <c r="M327" s="41"/>
      <c r="N327" s="41"/>
      <c r="O327" s="47" t="s">
        <v>2473</v>
      </c>
      <c r="P327" s="45" t="s">
        <v>124</v>
      </c>
      <c r="Q327" s="49" t="s">
        <v>120</v>
      </c>
      <c r="R327" s="48">
        <v>1380</v>
      </c>
      <c r="S327" s="41" t="s">
        <v>29</v>
      </c>
      <c r="T327" s="84">
        <v>41059</v>
      </c>
      <c r="U327" s="42"/>
      <c r="V327" s="21"/>
      <c r="W327" s="78"/>
      <c r="X327" s="22">
        <v>20</v>
      </c>
      <c r="Y327" s="22"/>
      <c r="Z327" s="74" t="str">
        <f>CONCATENATE(Table1[[#This Row],[P.R NUMBER]],"-",Table1[[#This Row],[SR NO]])</f>
        <v>140512011020-1066</v>
      </c>
    </row>
    <row r="328" spans="1:26" x14ac:dyDescent="0.25">
      <c r="A328" s="85"/>
      <c r="B328" s="39">
        <v>1067</v>
      </c>
      <c r="C328" s="79">
        <v>41043</v>
      </c>
      <c r="D328" s="80" t="s">
        <v>122</v>
      </c>
      <c r="E328" s="86" t="s">
        <v>91</v>
      </c>
      <c r="F328" s="39" t="s">
        <v>88</v>
      </c>
      <c r="G328" s="81" t="s">
        <v>75</v>
      </c>
      <c r="H328" s="82" t="s">
        <v>2474</v>
      </c>
      <c r="I328" s="87" t="s">
        <v>262</v>
      </c>
      <c r="J328" s="52" t="str">
        <f>VLOOKUP(I328,'CONTACT REFERENCE'!$A$2:$P$399,4,FALSE)</f>
        <v>CURTIUS TRADING INC</v>
      </c>
      <c r="K328" s="39"/>
      <c r="L328" s="39"/>
      <c r="M328" s="88"/>
      <c r="N328" s="88"/>
      <c r="O328" s="89" t="s">
        <v>2475</v>
      </c>
      <c r="P328" s="82" t="s">
        <v>137</v>
      </c>
      <c r="Q328" s="81" t="s">
        <v>2476</v>
      </c>
      <c r="R328" s="90">
        <v>672</v>
      </c>
      <c r="S328" s="88" t="s">
        <v>28</v>
      </c>
      <c r="T328" s="39"/>
      <c r="U328" s="39"/>
      <c r="V328" s="91"/>
      <c r="W328" s="92"/>
      <c r="X328" s="22">
        <v>20</v>
      </c>
      <c r="Y328" s="22"/>
      <c r="Z328" s="77" t="str">
        <f>CONCATENATE(Table1[[#This Row],[P.R NUMBER]],"-",Table1[[#This Row],[SR NO]])</f>
        <v>140512303060-1067</v>
      </c>
    </row>
    <row r="329" spans="1:26" x14ac:dyDescent="0.25">
      <c r="A329" s="73"/>
      <c r="B329" s="42">
        <v>1068</v>
      </c>
      <c r="C329" s="43">
        <v>41045</v>
      </c>
      <c r="D329" s="44" t="s">
        <v>122</v>
      </c>
      <c r="E329" s="76" t="s">
        <v>90</v>
      </c>
      <c r="F329" s="42" t="s">
        <v>1</v>
      </c>
      <c r="G329" s="49" t="s">
        <v>48</v>
      </c>
      <c r="H329" s="45" t="s">
        <v>2477</v>
      </c>
      <c r="I329" s="83" t="s">
        <v>1680</v>
      </c>
      <c r="J329" s="52" t="str">
        <f>VLOOKUP(I329,'CONTACT REFERENCE'!$A$2:$P$399,4,FALSE)</f>
        <v>AccuWeb, Inc</v>
      </c>
      <c r="K329" s="42"/>
      <c r="L329" s="42"/>
      <c r="M329" s="41"/>
      <c r="N329" s="41" t="s">
        <v>1869</v>
      </c>
      <c r="O329" s="47" t="s">
        <v>1870</v>
      </c>
      <c r="P329" s="45" t="s">
        <v>124</v>
      </c>
      <c r="Q329" s="49" t="s">
        <v>120</v>
      </c>
      <c r="R329" s="48">
        <v>927</v>
      </c>
      <c r="S329" s="41" t="s">
        <v>29</v>
      </c>
      <c r="T329" s="84">
        <v>41049</v>
      </c>
      <c r="U329" s="42" t="s">
        <v>2478</v>
      </c>
      <c r="V329" s="21"/>
      <c r="W329" s="78"/>
      <c r="X329" s="15">
        <v>20</v>
      </c>
      <c r="Z329" s="74" t="str">
        <f>CONCATENATE(Table1[[#This Row],[P.R NUMBER]],"-",Table1[[#This Row],[SR NO]])</f>
        <v>160512012020-1068</v>
      </c>
    </row>
    <row r="330" spans="1:26" x14ac:dyDescent="0.25">
      <c r="A330" s="73"/>
      <c r="B330" s="42">
        <v>1069</v>
      </c>
      <c r="C330" s="43">
        <v>41048</v>
      </c>
      <c r="D330" s="44" t="s">
        <v>118</v>
      </c>
      <c r="E330" s="76" t="s">
        <v>90</v>
      </c>
      <c r="F330" s="42" t="s">
        <v>88</v>
      </c>
      <c r="G330" s="49" t="s">
        <v>72</v>
      </c>
      <c r="H330" s="45" t="s">
        <v>2479</v>
      </c>
      <c r="I330" s="83" t="s">
        <v>1767</v>
      </c>
      <c r="J330" s="52" t="str">
        <f>VLOOKUP(I330,'CONTACT REFERENCE'!$A$2:$P$399,4,FALSE)</f>
        <v>SAFE STAR CONSULTANT</v>
      </c>
      <c r="K330" s="42" t="s">
        <v>2480</v>
      </c>
      <c r="L330" s="42"/>
      <c r="M330" s="41"/>
      <c r="N330" s="41"/>
      <c r="O330" s="47" t="s">
        <v>2481</v>
      </c>
      <c r="P330" s="45" t="s">
        <v>136</v>
      </c>
      <c r="Q330" s="49" t="s">
        <v>120</v>
      </c>
      <c r="R330" s="48">
        <f>2*400</f>
        <v>800</v>
      </c>
      <c r="S330" s="41" t="s">
        <v>29</v>
      </c>
      <c r="T330" s="42"/>
      <c r="U330" s="42"/>
      <c r="V330" s="21"/>
      <c r="W330" s="78"/>
      <c r="X330" s="15">
        <v>20</v>
      </c>
      <c r="Z330" s="74" t="str">
        <f>CONCATENATE(Table1[[#This Row],[P.R NUMBER]],"-",Table1[[#This Row],[SR NO]])</f>
        <v>190512272060-1069</v>
      </c>
    </row>
    <row r="331" spans="1:26" x14ac:dyDescent="0.25">
      <c r="A331" s="73"/>
      <c r="B331" s="42">
        <v>1069</v>
      </c>
      <c r="C331" s="43">
        <v>41048</v>
      </c>
      <c r="D331" s="44" t="s">
        <v>118</v>
      </c>
      <c r="E331" s="76" t="s">
        <v>90</v>
      </c>
      <c r="F331" s="42" t="s">
        <v>88</v>
      </c>
      <c r="G331" s="49" t="s">
        <v>72</v>
      </c>
      <c r="H331" s="45" t="s">
        <v>2479</v>
      </c>
      <c r="I331" s="83" t="s">
        <v>1767</v>
      </c>
      <c r="J331" s="52" t="str">
        <f>VLOOKUP(I331,'CONTACT REFERENCE'!$A$2:$P$399,4,FALSE)</f>
        <v>SAFE STAR CONSULTANT</v>
      </c>
      <c r="K331" s="42" t="s">
        <v>2480</v>
      </c>
      <c r="L331" s="42"/>
      <c r="M331" s="41"/>
      <c r="N331" s="41"/>
      <c r="O331" s="47" t="s">
        <v>2482</v>
      </c>
      <c r="P331" s="45" t="s">
        <v>124</v>
      </c>
      <c r="Q331" s="49" t="s">
        <v>120</v>
      </c>
      <c r="R331" s="48">
        <v>300</v>
      </c>
      <c r="S331" s="41" t="s">
        <v>29</v>
      </c>
      <c r="T331" s="42"/>
      <c r="U331" s="42"/>
      <c r="V331" s="21"/>
      <c r="W331" s="78"/>
      <c r="X331" s="15">
        <v>20</v>
      </c>
      <c r="Z331" s="74" t="str">
        <f>CONCATENATE(Table1[[#This Row],[P.R NUMBER]],"-",Table1[[#This Row],[SR NO]])</f>
        <v>190512272060-1069</v>
      </c>
    </row>
    <row r="332" spans="1:26" x14ac:dyDescent="0.25">
      <c r="A332" s="73"/>
      <c r="B332" s="42">
        <v>1069</v>
      </c>
      <c r="C332" s="43">
        <v>41048</v>
      </c>
      <c r="D332" s="44" t="s">
        <v>118</v>
      </c>
      <c r="E332" s="76" t="s">
        <v>90</v>
      </c>
      <c r="F332" s="42" t="s">
        <v>88</v>
      </c>
      <c r="G332" s="49" t="s">
        <v>72</v>
      </c>
      <c r="H332" s="45" t="s">
        <v>2479</v>
      </c>
      <c r="I332" s="83" t="s">
        <v>1767</v>
      </c>
      <c r="J332" s="52" t="str">
        <f>VLOOKUP(I332,'CONTACT REFERENCE'!$A$2:$P$399,4,FALSE)</f>
        <v>SAFE STAR CONSULTANT</v>
      </c>
      <c r="K332" s="42" t="s">
        <v>2480</v>
      </c>
      <c r="L332" s="42"/>
      <c r="M332" s="41"/>
      <c r="N332" s="41"/>
      <c r="O332" s="47" t="s">
        <v>2483</v>
      </c>
      <c r="P332" s="45" t="s">
        <v>124</v>
      </c>
      <c r="Q332" s="49" t="s">
        <v>120</v>
      </c>
      <c r="R332" s="48">
        <v>300</v>
      </c>
      <c r="S332" s="41" t="s">
        <v>29</v>
      </c>
      <c r="T332" s="42"/>
      <c r="U332" s="42"/>
      <c r="V332" s="21"/>
      <c r="W332" s="78"/>
      <c r="X332" s="15">
        <v>20</v>
      </c>
      <c r="Z332" s="74" t="str">
        <f>CONCATENATE(Table1[[#This Row],[P.R NUMBER]],"-",Table1[[#This Row],[SR NO]])</f>
        <v>190512272060-1069</v>
      </c>
    </row>
    <row r="333" spans="1:26" x14ac:dyDescent="0.25">
      <c r="A333" s="73"/>
      <c r="B333" s="42">
        <v>1069</v>
      </c>
      <c r="C333" s="43">
        <v>41048</v>
      </c>
      <c r="D333" s="44" t="s">
        <v>118</v>
      </c>
      <c r="E333" s="76" t="s">
        <v>90</v>
      </c>
      <c r="F333" s="42" t="s">
        <v>88</v>
      </c>
      <c r="G333" s="49" t="s">
        <v>72</v>
      </c>
      <c r="H333" s="45" t="s">
        <v>2479</v>
      </c>
      <c r="I333" s="83" t="s">
        <v>1767</v>
      </c>
      <c r="J333" s="52" t="str">
        <f>VLOOKUP(I333,'CONTACT REFERENCE'!$A$2:$P$399,4,FALSE)</f>
        <v>SAFE STAR CONSULTANT</v>
      </c>
      <c r="K333" s="42" t="s">
        <v>2480</v>
      </c>
      <c r="L333" s="42"/>
      <c r="M333" s="41"/>
      <c r="N333" s="41"/>
      <c r="O333" s="47" t="s">
        <v>2484</v>
      </c>
      <c r="P333" s="45" t="s">
        <v>124</v>
      </c>
      <c r="Q333" s="49" t="s">
        <v>120</v>
      </c>
      <c r="R333" s="48">
        <v>300</v>
      </c>
      <c r="S333" s="41" t="s">
        <v>29</v>
      </c>
      <c r="T333" s="42"/>
      <c r="U333" s="42"/>
      <c r="V333" s="21"/>
      <c r="W333" s="78"/>
      <c r="X333" s="15">
        <v>20</v>
      </c>
      <c r="Z333" s="74" t="str">
        <f>CONCATENATE(Table1[[#This Row],[P.R NUMBER]],"-",Table1[[#This Row],[SR NO]])</f>
        <v>190512272060-1069</v>
      </c>
    </row>
    <row r="334" spans="1:26" x14ac:dyDescent="0.25">
      <c r="A334" s="73"/>
      <c r="B334" s="42">
        <v>1070</v>
      </c>
      <c r="C334" s="43">
        <v>41049</v>
      </c>
      <c r="D334" s="44" t="s">
        <v>118</v>
      </c>
      <c r="E334" s="76" t="s">
        <v>89</v>
      </c>
      <c r="F334" s="42" t="s">
        <v>1</v>
      </c>
      <c r="G334" s="49" t="s">
        <v>48</v>
      </c>
      <c r="H334" s="45" t="s">
        <v>2485</v>
      </c>
      <c r="I334" s="83" t="s">
        <v>1775</v>
      </c>
      <c r="J334" s="52" t="str">
        <f>VLOOKUP(I334,'CONTACT REFERENCE'!$A$2:$P$399,4,FALSE)</f>
        <v>PERFECT TOOLS MOULDS FACTORY LLC</v>
      </c>
      <c r="K334" s="42">
        <v>23762</v>
      </c>
      <c r="L334" s="42"/>
      <c r="M334" s="41"/>
      <c r="N334" s="41"/>
      <c r="O334" s="47" t="s">
        <v>2486</v>
      </c>
      <c r="P334" s="45" t="s">
        <v>124</v>
      </c>
      <c r="Q334" s="49" t="s">
        <v>120</v>
      </c>
      <c r="R334" s="48">
        <v>1500</v>
      </c>
      <c r="S334" s="41" t="s">
        <v>29</v>
      </c>
      <c r="T334" s="42"/>
      <c r="U334" s="42"/>
      <c r="V334" s="21"/>
      <c r="W334" s="78"/>
      <c r="X334" s="15">
        <v>20</v>
      </c>
      <c r="Z334" s="74" t="str">
        <f>CONCATENATE(Table1[[#This Row],[P.R NUMBER]],"-",Table1[[#This Row],[SR NO]])</f>
        <v>200512011020-1070</v>
      </c>
    </row>
    <row r="335" spans="1:26" x14ac:dyDescent="0.25">
      <c r="A335" s="73"/>
      <c r="B335" s="42">
        <v>1071</v>
      </c>
      <c r="C335" s="43">
        <v>41050</v>
      </c>
      <c r="D335" s="44" t="s">
        <v>118</v>
      </c>
      <c r="E335" s="76" t="s">
        <v>91</v>
      </c>
      <c r="F335" s="42" t="s">
        <v>88</v>
      </c>
      <c r="G335" s="49" t="s">
        <v>70</v>
      </c>
      <c r="H335" s="45" t="s">
        <v>2487</v>
      </c>
      <c r="I335" s="83" t="s">
        <v>467</v>
      </c>
      <c r="J335" s="52" t="str">
        <f>VLOOKUP(I335,'CONTACT REFERENCE'!$A$2:$P$399,4,FALSE)</f>
        <v>DYNAGRAPH FOR PRINTING INUSTRY LLC</v>
      </c>
      <c r="K335" s="42"/>
      <c r="L335" s="42" t="s">
        <v>2488</v>
      </c>
      <c r="M335" s="41"/>
      <c r="N335" s="41"/>
      <c r="O335" s="47" t="s">
        <v>2489</v>
      </c>
      <c r="P335" s="45" t="s">
        <v>124</v>
      </c>
      <c r="Q335" s="49" t="s">
        <v>135</v>
      </c>
      <c r="R335" s="48">
        <v>1200</v>
      </c>
      <c r="S335" s="41" t="s">
        <v>29</v>
      </c>
      <c r="T335" s="42"/>
      <c r="U335" s="42"/>
      <c r="V335" s="21"/>
      <c r="W335" s="78"/>
      <c r="X335" s="15">
        <v>21</v>
      </c>
      <c r="Z335" s="74" t="str">
        <f>CONCATENATE(Table1[[#This Row],[P.R NUMBER]],"-",Table1[[#This Row],[SR NO]])</f>
        <v>210512253060-1071</v>
      </c>
    </row>
    <row r="336" spans="1:26" x14ac:dyDescent="0.25">
      <c r="A336" s="73"/>
      <c r="B336" s="42">
        <v>1072</v>
      </c>
      <c r="C336" s="43">
        <v>41050</v>
      </c>
      <c r="D336" s="44" t="s">
        <v>118</v>
      </c>
      <c r="E336" s="76" t="s">
        <v>90</v>
      </c>
      <c r="F336" s="42" t="s">
        <v>1</v>
      </c>
      <c r="G336" s="49" t="s">
        <v>70</v>
      </c>
      <c r="H336" s="45" t="s">
        <v>2490</v>
      </c>
      <c r="I336" s="83" t="s">
        <v>1783</v>
      </c>
      <c r="J336" s="52" t="str">
        <f>VLOOKUP(I336,'CONTACT REFERENCE'!$A$2:$P$399,4,FALSE)</f>
        <v>PROBE MANUFACTURING LLC</v>
      </c>
      <c r="K336" s="42"/>
      <c r="L336" s="42"/>
      <c r="M336" s="41" t="s">
        <v>72</v>
      </c>
      <c r="N336" s="41"/>
      <c r="O336" s="47" t="s">
        <v>2491</v>
      </c>
      <c r="P336" s="45" t="s">
        <v>141</v>
      </c>
      <c r="Q336" s="49" t="s">
        <v>120</v>
      </c>
      <c r="R336" s="48">
        <f>4*98</f>
        <v>392</v>
      </c>
      <c r="S336" s="41" t="s">
        <v>29</v>
      </c>
      <c r="T336" s="42"/>
      <c r="U336" s="42"/>
      <c r="V336" s="21"/>
      <c r="W336" s="78"/>
      <c r="X336" s="15">
        <v>21</v>
      </c>
      <c r="Z336" s="74" t="str">
        <f>CONCATENATE(Table1[[#This Row],[P.R NUMBER]],"-",Table1[[#This Row],[SR NO]])</f>
        <v>210512252020-1072</v>
      </c>
    </row>
    <row r="337" spans="1:26" x14ac:dyDescent="0.25">
      <c r="A337" s="73"/>
      <c r="B337" s="42">
        <v>1073</v>
      </c>
      <c r="C337" s="43">
        <v>41050</v>
      </c>
      <c r="D337" s="44" t="s">
        <v>118</v>
      </c>
      <c r="E337" s="76" t="s">
        <v>89</v>
      </c>
      <c r="F337" s="42" t="s">
        <v>1</v>
      </c>
      <c r="G337" s="49" t="s">
        <v>83</v>
      </c>
      <c r="H337" s="45" t="s">
        <v>2492</v>
      </c>
      <c r="I337" s="83" t="s">
        <v>230</v>
      </c>
      <c r="J337" s="52" t="str">
        <f>VLOOKUP(I337,'CONTACT REFERENCE'!$A$2:$P$399,4,FALSE)</f>
        <v>MECHATRONICS INDUSTRIAL EQUIPMENT LLC</v>
      </c>
      <c r="K337" s="42" t="s">
        <v>2493</v>
      </c>
      <c r="L337" s="42">
        <v>32456</v>
      </c>
      <c r="M337" s="41" t="s">
        <v>207</v>
      </c>
      <c r="N337" s="41"/>
      <c r="O337" s="47" t="s">
        <v>2494</v>
      </c>
      <c r="P337" s="45" t="s">
        <v>124</v>
      </c>
      <c r="Q337" s="49" t="s">
        <v>120</v>
      </c>
      <c r="R337" s="48">
        <v>3877</v>
      </c>
      <c r="S337" s="41" t="s">
        <v>29</v>
      </c>
      <c r="T337" s="84">
        <v>41081</v>
      </c>
      <c r="U337" s="42"/>
      <c r="V337" s="21"/>
      <c r="W337" s="78"/>
      <c r="X337" s="15">
        <v>21</v>
      </c>
      <c r="Z337" s="74" t="str">
        <f>CONCATENATE(Table1[[#This Row],[P.R NUMBER]],"-",Table1[[#This Row],[SR NO]])</f>
        <v>210512381020-1073</v>
      </c>
    </row>
    <row r="338" spans="1:26" x14ac:dyDescent="0.25">
      <c r="A338" s="73"/>
      <c r="B338" s="42">
        <v>1073</v>
      </c>
      <c r="C338" s="43">
        <v>41050</v>
      </c>
      <c r="D338" s="44" t="s">
        <v>118</v>
      </c>
      <c r="E338" s="76" t="s">
        <v>89</v>
      </c>
      <c r="F338" s="42" t="s">
        <v>1</v>
      </c>
      <c r="G338" s="49" t="s">
        <v>83</v>
      </c>
      <c r="H338" s="45" t="s">
        <v>2492</v>
      </c>
      <c r="I338" s="83" t="s">
        <v>230</v>
      </c>
      <c r="J338" s="52" t="str">
        <f>VLOOKUP(I338,'CONTACT REFERENCE'!$A$2:$P$399,4,FALSE)</f>
        <v>MECHATRONICS INDUSTRIAL EQUIPMENT LLC</v>
      </c>
      <c r="K338" s="42" t="s">
        <v>2493</v>
      </c>
      <c r="L338" s="42">
        <v>32456</v>
      </c>
      <c r="M338" s="41" t="s">
        <v>207</v>
      </c>
      <c r="N338" s="41"/>
      <c r="O338" s="47" t="s">
        <v>2495</v>
      </c>
      <c r="P338" s="45" t="s">
        <v>124</v>
      </c>
      <c r="Q338" s="49" t="s">
        <v>120</v>
      </c>
      <c r="R338" s="48">
        <v>138</v>
      </c>
      <c r="S338" s="41" t="s">
        <v>29</v>
      </c>
      <c r="T338" s="84">
        <v>41081</v>
      </c>
      <c r="U338" s="42"/>
      <c r="V338" s="21"/>
      <c r="W338" s="78"/>
      <c r="X338" s="15">
        <v>21</v>
      </c>
      <c r="Z338" s="74" t="str">
        <f>CONCATENATE(Table1[[#This Row],[P.R NUMBER]],"-",Table1[[#This Row],[SR NO]])</f>
        <v>210512381020-1073</v>
      </c>
    </row>
    <row r="339" spans="1:26" x14ac:dyDescent="0.25">
      <c r="A339" s="73"/>
      <c r="B339" s="42">
        <v>1073</v>
      </c>
      <c r="C339" s="43">
        <v>41050</v>
      </c>
      <c r="D339" s="44" t="s">
        <v>118</v>
      </c>
      <c r="E339" s="76" t="s">
        <v>89</v>
      </c>
      <c r="F339" s="42" t="s">
        <v>1</v>
      </c>
      <c r="G339" s="49" t="s">
        <v>83</v>
      </c>
      <c r="H339" s="45" t="s">
        <v>2492</v>
      </c>
      <c r="I339" s="83" t="s">
        <v>230</v>
      </c>
      <c r="J339" s="52" t="str">
        <f>VLOOKUP(I339,'CONTACT REFERENCE'!$A$2:$P$399,4,FALSE)</f>
        <v>MECHATRONICS INDUSTRIAL EQUIPMENT LLC</v>
      </c>
      <c r="K339" s="42" t="s">
        <v>2493</v>
      </c>
      <c r="L339" s="42">
        <v>32456</v>
      </c>
      <c r="M339" s="41" t="s">
        <v>207</v>
      </c>
      <c r="N339" s="41"/>
      <c r="O339" s="47" t="s">
        <v>2496</v>
      </c>
      <c r="P339" s="45" t="s">
        <v>124</v>
      </c>
      <c r="Q339" s="49" t="s">
        <v>120</v>
      </c>
      <c r="R339" s="48">
        <v>127</v>
      </c>
      <c r="S339" s="41" t="s">
        <v>29</v>
      </c>
      <c r="T339" s="84">
        <v>41081</v>
      </c>
      <c r="U339" s="42"/>
      <c r="V339" s="21"/>
      <c r="W339" s="78"/>
      <c r="X339" s="15">
        <v>21</v>
      </c>
      <c r="Z339" s="74" t="str">
        <f>CONCATENATE(Table1[[#This Row],[P.R NUMBER]],"-",Table1[[#This Row],[SR NO]])</f>
        <v>210512381020-1073</v>
      </c>
    </row>
    <row r="340" spans="1:26" x14ac:dyDescent="0.25">
      <c r="A340" s="73"/>
      <c r="B340" s="42">
        <v>1073</v>
      </c>
      <c r="C340" s="43">
        <v>41050</v>
      </c>
      <c r="D340" s="44" t="s">
        <v>118</v>
      </c>
      <c r="E340" s="76" t="s">
        <v>89</v>
      </c>
      <c r="F340" s="42" t="s">
        <v>1</v>
      </c>
      <c r="G340" s="49" t="s">
        <v>83</v>
      </c>
      <c r="H340" s="45" t="s">
        <v>2492</v>
      </c>
      <c r="I340" s="83" t="s">
        <v>230</v>
      </c>
      <c r="J340" s="52" t="str">
        <f>VLOOKUP(I340,'CONTACT REFERENCE'!$A$2:$P$399,4,FALSE)</f>
        <v>MECHATRONICS INDUSTRIAL EQUIPMENT LLC</v>
      </c>
      <c r="K340" s="42" t="s">
        <v>2493</v>
      </c>
      <c r="L340" s="42">
        <v>32456</v>
      </c>
      <c r="M340" s="41" t="s">
        <v>207</v>
      </c>
      <c r="N340" s="41"/>
      <c r="O340" s="47" t="s">
        <v>2497</v>
      </c>
      <c r="P340" s="45" t="s">
        <v>124</v>
      </c>
      <c r="Q340" s="49" t="s">
        <v>120</v>
      </c>
      <c r="R340" s="48">
        <v>1420</v>
      </c>
      <c r="S340" s="41" t="s">
        <v>29</v>
      </c>
      <c r="T340" s="84">
        <v>41081</v>
      </c>
      <c r="U340" s="42"/>
      <c r="V340" s="21"/>
      <c r="W340" s="78"/>
      <c r="X340" s="15">
        <v>21</v>
      </c>
      <c r="Z340" s="74" t="str">
        <f>CONCATENATE(Table1[[#This Row],[P.R NUMBER]],"-",Table1[[#This Row],[SR NO]])</f>
        <v>210512381020-1073</v>
      </c>
    </row>
    <row r="341" spans="1:26" x14ac:dyDescent="0.25">
      <c r="A341" s="73"/>
      <c r="B341" s="42">
        <v>1074</v>
      </c>
      <c r="C341" s="43">
        <v>41051</v>
      </c>
      <c r="D341" s="44" t="s">
        <v>122</v>
      </c>
      <c r="E341" s="76" t="s">
        <v>90</v>
      </c>
      <c r="F341" s="42" t="s">
        <v>1</v>
      </c>
      <c r="G341" s="49" t="s">
        <v>69</v>
      </c>
      <c r="H341" s="45" t="s">
        <v>2498</v>
      </c>
      <c r="I341" s="83" t="s">
        <v>262</v>
      </c>
      <c r="J341" s="52" t="str">
        <f>VLOOKUP(I341,'CONTACT REFERENCE'!$A$2:$P$399,4,FALSE)</f>
        <v>CURTIUS TRADING INC</v>
      </c>
      <c r="K341" s="42"/>
      <c r="L341" s="42">
        <v>20120132</v>
      </c>
      <c r="M341" s="41" t="s">
        <v>131</v>
      </c>
      <c r="N341" s="41">
        <v>23681</v>
      </c>
      <c r="O341" s="47" t="s">
        <v>2499</v>
      </c>
      <c r="P341" s="45" t="s">
        <v>124</v>
      </c>
      <c r="Q341" s="49" t="s">
        <v>120</v>
      </c>
      <c r="R341" s="48">
        <v>13</v>
      </c>
      <c r="S341" s="41" t="s">
        <v>28</v>
      </c>
      <c r="T341" s="84">
        <v>41077</v>
      </c>
      <c r="U341" s="42" t="s">
        <v>2500</v>
      </c>
      <c r="V341" s="21"/>
      <c r="W341" s="78"/>
      <c r="X341" s="15">
        <v>22</v>
      </c>
      <c r="Z341" s="74" t="str">
        <f>CONCATENATE(Table1[[#This Row],[P.R NUMBER]],"-",Table1[[#This Row],[SR NO]])</f>
        <v>220512242020-1074</v>
      </c>
    </row>
    <row r="342" spans="1:26" x14ac:dyDescent="0.25">
      <c r="A342" s="73"/>
      <c r="B342" s="42">
        <v>1074</v>
      </c>
      <c r="C342" s="43">
        <v>41051</v>
      </c>
      <c r="D342" s="44" t="s">
        <v>122</v>
      </c>
      <c r="E342" s="76" t="s">
        <v>90</v>
      </c>
      <c r="F342" s="42" t="s">
        <v>1</v>
      </c>
      <c r="G342" s="49" t="s">
        <v>69</v>
      </c>
      <c r="H342" s="45" t="s">
        <v>2498</v>
      </c>
      <c r="I342" s="83" t="s">
        <v>262</v>
      </c>
      <c r="J342" s="52" t="str">
        <f>VLOOKUP(I342,'CONTACT REFERENCE'!$A$2:$P$399,4,FALSE)</f>
        <v>CURTIUS TRADING INC</v>
      </c>
      <c r="K342" s="42"/>
      <c r="L342" s="42">
        <v>20120132</v>
      </c>
      <c r="M342" s="41" t="s">
        <v>131</v>
      </c>
      <c r="N342" s="41">
        <v>22880</v>
      </c>
      <c r="O342" s="47" t="s">
        <v>2501</v>
      </c>
      <c r="P342" s="45" t="s">
        <v>124</v>
      </c>
      <c r="Q342" s="49" t="s">
        <v>120</v>
      </c>
      <c r="R342" s="48">
        <v>18.96</v>
      </c>
      <c r="S342" s="41" t="s">
        <v>28</v>
      </c>
      <c r="T342" s="84">
        <v>41077</v>
      </c>
      <c r="U342" s="42" t="s">
        <v>2500</v>
      </c>
      <c r="V342" s="21"/>
      <c r="W342" s="78"/>
      <c r="X342" s="15">
        <v>22</v>
      </c>
      <c r="Z342" s="74" t="str">
        <f>CONCATENATE(Table1[[#This Row],[P.R NUMBER]],"-",Table1[[#This Row],[SR NO]])</f>
        <v>220512242020-1074</v>
      </c>
    </row>
    <row r="343" spans="1:26" x14ac:dyDescent="0.25">
      <c r="A343" s="73"/>
      <c r="B343" s="42">
        <v>1074</v>
      </c>
      <c r="C343" s="43">
        <v>41051</v>
      </c>
      <c r="D343" s="44" t="s">
        <v>122</v>
      </c>
      <c r="E343" s="76" t="s">
        <v>90</v>
      </c>
      <c r="F343" s="42" t="s">
        <v>1</v>
      </c>
      <c r="G343" s="49" t="s">
        <v>69</v>
      </c>
      <c r="H343" s="45" t="s">
        <v>2498</v>
      </c>
      <c r="I343" s="83" t="s">
        <v>262</v>
      </c>
      <c r="J343" s="52" t="str">
        <f>VLOOKUP(I343,'CONTACT REFERENCE'!$A$2:$P$399,4,FALSE)</f>
        <v>CURTIUS TRADING INC</v>
      </c>
      <c r="K343" s="42"/>
      <c r="L343" s="42">
        <v>20120132</v>
      </c>
      <c r="M343" s="41" t="s">
        <v>131</v>
      </c>
      <c r="N343" s="88">
        <v>123092</v>
      </c>
      <c r="O343" s="89" t="s">
        <v>2502</v>
      </c>
      <c r="P343" s="82" t="s">
        <v>124</v>
      </c>
      <c r="Q343" s="81" t="s">
        <v>120</v>
      </c>
      <c r="R343" s="90">
        <v>10.37</v>
      </c>
      <c r="S343" s="88" t="s">
        <v>28</v>
      </c>
      <c r="T343" s="84">
        <v>41077</v>
      </c>
      <c r="U343" s="42" t="s">
        <v>2500</v>
      </c>
      <c r="V343" s="91"/>
      <c r="W343" s="92"/>
      <c r="X343" s="22">
        <v>22</v>
      </c>
      <c r="Y343" s="22"/>
      <c r="Z343" s="77" t="str">
        <f>CONCATENATE(Table1[[#This Row],[P.R NUMBER]],"-",Table1[[#This Row],[SR NO]])</f>
        <v>220512242020-1074</v>
      </c>
    </row>
    <row r="344" spans="1:26" x14ac:dyDescent="0.25">
      <c r="A344" s="73"/>
      <c r="B344" s="42">
        <v>1074</v>
      </c>
      <c r="C344" s="43">
        <v>41051</v>
      </c>
      <c r="D344" s="44" t="s">
        <v>122</v>
      </c>
      <c r="E344" s="76" t="s">
        <v>90</v>
      </c>
      <c r="F344" s="42" t="s">
        <v>1</v>
      </c>
      <c r="G344" s="49" t="s">
        <v>69</v>
      </c>
      <c r="H344" s="45" t="s">
        <v>2498</v>
      </c>
      <c r="I344" s="83" t="s">
        <v>262</v>
      </c>
      <c r="J344" s="52" t="str">
        <f>VLOOKUP(I344,'CONTACT REFERENCE'!$A$2:$P$399,4,FALSE)</f>
        <v>CURTIUS TRADING INC</v>
      </c>
      <c r="K344" s="42"/>
      <c r="L344" s="42">
        <v>20120132</v>
      </c>
      <c r="M344" s="41" t="s">
        <v>131</v>
      </c>
      <c r="N344" s="41" t="s">
        <v>2503</v>
      </c>
      <c r="O344" s="47" t="s">
        <v>2504</v>
      </c>
      <c r="P344" s="45" t="s">
        <v>124</v>
      </c>
      <c r="Q344" s="49" t="s">
        <v>120</v>
      </c>
      <c r="R344" s="48">
        <v>12.93</v>
      </c>
      <c r="S344" s="41" t="s">
        <v>28</v>
      </c>
      <c r="T344" s="84">
        <v>41077</v>
      </c>
      <c r="U344" s="42" t="s">
        <v>2500</v>
      </c>
      <c r="V344" s="21"/>
      <c r="W344" s="78"/>
      <c r="X344" s="15">
        <v>22</v>
      </c>
      <c r="Z344" s="74" t="str">
        <f>CONCATENATE(Table1[[#This Row],[P.R NUMBER]],"-",Table1[[#This Row],[SR NO]])</f>
        <v>220512242020-1074</v>
      </c>
    </row>
    <row r="345" spans="1:26" x14ac:dyDescent="0.25">
      <c r="A345" s="73"/>
      <c r="B345" s="42">
        <v>1074</v>
      </c>
      <c r="C345" s="43">
        <v>41051</v>
      </c>
      <c r="D345" s="44" t="s">
        <v>122</v>
      </c>
      <c r="E345" s="76" t="s">
        <v>90</v>
      </c>
      <c r="F345" s="42" t="s">
        <v>1</v>
      </c>
      <c r="G345" s="49" t="s">
        <v>69</v>
      </c>
      <c r="H345" s="45" t="s">
        <v>2498</v>
      </c>
      <c r="I345" s="83" t="s">
        <v>262</v>
      </c>
      <c r="J345" s="52" t="str">
        <f>VLOOKUP(I345,'CONTACT REFERENCE'!$A$2:$P$399,4,FALSE)</f>
        <v>CURTIUS TRADING INC</v>
      </c>
      <c r="K345" s="42"/>
      <c r="L345" s="42">
        <v>20120132</v>
      </c>
      <c r="M345" s="41" t="s">
        <v>131</v>
      </c>
      <c r="N345" s="41">
        <v>126649</v>
      </c>
      <c r="O345" s="47" t="s">
        <v>2505</v>
      </c>
      <c r="P345" s="45" t="s">
        <v>124</v>
      </c>
      <c r="Q345" s="49" t="s">
        <v>120</v>
      </c>
      <c r="R345" s="48">
        <v>46.17</v>
      </c>
      <c r="S345" s="41" t="s">
        <v>28</v>
      </c>
      <c r="T345" s="84">
        <v>41077</v>
      </c>
      <c r="U345" s="42" t="s">
        <v>2500</v>
      </c>
      <c r="V345" s="21"/>
      <c r="W345" s="78"/>
      <c r="X345" s="15">
        <v>22</v>
      </c>
      <c r="Z345" s="74" t="str">
        <f>CONCATENATE(Table1[[#This Row],[P.R NUMBER]],"-",Table1[[#This Row],[SR NO]])</f>
        <v>220512242020-1074</v>
      </c>
    </row>
    <row r="346" spans="1:26" x14ac:dyDescent="0.25">
      <c r="A346" s="73"/>
      <c r="B346" s="42">
        <v>1074</v>
      </c>
      <c r="C346" s="43">
        <v>41051</v>
      </c>
      <c r="D346" s="44" t="s">
        <v>122</v>
      </c>
      <c r="E346" s="76" t="s">
        <v>90</v>
      </c>
      <c r="F346" s="42" t="s">
        <v>1</v>
      </c>
      <c r="G346" s="49" t="s">
        <v>69</v>
      </c>
      <c r="H346" s="45" t="s">
        <v>2498</v>
      </c>
      <c r="I346" s="83" t="s">
        <v>262</v>
      </c>
      <c r="J346" s="52" t="str">
        <f>VLOOKUP(I346,'CONTACT REFERENCE'!$A$2:$P$399,4,FALSE)</f>
        <v>CURTIUS TRADING INC</v>
      </c>
      <c r="K346" s="42"/>
      <c r="L346" s="42">
        <v>20120132</v>
      </c>
      <c r="M346" s="41" t="s">
        <v>131</v>
      </c>
      <c r="N346" s="41">
        <v>126648</v>
      </c>
      <c r="O346" s="47" t="s">
        <v>2506</v>
      </c>
      <c r="P346" s="45" t="s">
        <v>124</v>
      </c>
      <c r="Q346" s="49" t="s">
        <v>120</v>
      </c>
      <c r="R346" s="48">
        <v>224.62</v>
      </c>
      <c r="S346" s="41" t="s">
        <v>28</v>
      </c>
      <c r="T346" s="84">
        <v>41077</v>
      </c>
      <c r="U346" s="42" t="s">
        <v>2500</v>
      </c>
      <c r="V346" s="21"/>
      <c r="W346" s="78"/>
      <c r="X346" s="15">
        <v>22</v>
      </c>
      <c r="Z346" s="74" t="str">
        <f>CONCATENATE(Table1[[#This Row],[P.R NUMBER]],"-",Table1[[#This Row],[SR NO]])</f>
        <v>220512242020-1074</v>
      </c>
    </row>
    <row r="347" spans="1:26" x14ac:dyDescent="0.25">
      <c r="A347" s="73"/>
      <c r="B347" s="42">
        <v>1074</v>
      </c>
      <c r="C347" s="43">
        <v>41051</v>
      </c>
      <c r="D347" s="44" t="s">
        <v>122</v>
      </c>
      <c r="E347" s="76" t="s">
        <v>90</v>
      </c>
      <c r="F347" s="42" t="s">
        <v>1</v>
      </c>
      <c r="G347" s="49" t="s">
        <v>69</v>
      </c>
      <c r="H347" s="45" t="s">
        <v>2498</v>
      </c>
      <c r="I347" s="83" t="s">
        <v>262</v>
      </c>
      <c r="J347" s="52" t="str">
        <f>VLOOKUP(I347,'CONTACT REFERENCE'!$A$2:$P$399,4,FALSE)</f>
        <v>CURTIUS TRADING INC</v>
      </c>
      <c r="K347" s="42"/>
      <c r="L347" s="42">
        <v>20120132</v>
      </c>
      <c r="M347" s="41" t="s">
        <v>131</v>
      </c>
      <c r="N347" s="41">
        <v>126647</v>
      </c>
      <c r="O347" s="47" t="s">
        <v>2507</v>
      </c>
      <c r="P347" s="45" t="s">
        <v>124</v>
      </c>
      <c r="Q347" s="49" t="s">
        <v>120</v>
      </c>
      <c r="R347" s="48">
        <v>6.56</v>
      </c>
      <c r="S347" s="41" t="s">
        <v>28</v>
      </c>
      <c r="T347" s="84">
        <v>41077</v>
      </c>
      <c r="U347" s="42" t="s">
        <v>2500</v>
      </c>
      <c r="V347" s="21"/>
      <c r="W347" s="78"/>
      <c r="X347" s="15">
        <v>22</v>
      </c>
      <c r="Z347" s="74" t="str">
        <f>CONCATENATE(Table1[[#This Row],[P.R NUMBER]],"-",Table1[[#This Row],[SR NO]])</f>
        <v>220512242020-1074</v>
      </c>
    </row>
    <row r="348" spans="1:26" x14ac:dyDescent="0.25">
      <c r="A348" s="73"/>
      <c r="B348" s="42">
        <v>1074</v>
      </c>
      <c r="C348" s="43">
        <v>41051</v>
      </c>
      <c r="D348" s="44" t="s">
        <v>122</v>
      </c>
      <c r="E348" s="76" t="s">
        <v>90</v>
      </c>
      <c r="F348" s="42" t="s">
        <v>1</v>
      </c>
      <c r="G348" s="49" t="s">
        <v>69</v>
      </c>
      <c r="H348" s="45" t="s">
        <v>2498</v>
      </c>
      <c r="I348" s="83" t="s">
        <v>262</v>
      </c>
      <c r="J348" s="52" t="str">
        <f>VLOOKUP(I348,'CONTACT REFERENCE'!$A$2:$P$399,4,FALSE)</f>
        <v>CURTIUS TRADING INC</v>
      </c>
      <c r="K348" s="42"/>
      <c r="L348" s="42">
        <v>20120132</v>
      </c>
      <c r="M348" s="41" t="s">
        <v>131</v>
      </c>
      <c r="N348" s="41" t="s">
        <v>2508</v>
      </c>
      <c r="O348" s="47" t="s">
        <v>2509</v>
      </c>
      <c r="P348" s="45" t="s">
        <v>124</v>
      </c>
      <c r="Q348" s="49" t="s">
        <v>120</v>
      </c>
      <c r="R348" s="48">
        <v>125.55</v>
      </c>
      <c r="S348" s="41" t="s">
        <v>28</v>
      </c>
      <c r="T348" s="84">
        <v>41077</v>
      </c>
      <c r="U348" s="42" t="s">
        <v>2500</v>
      </c>
      <c r="V348" s="21"/>
      <c r="W348" s="78"/>
      <c r="X348" s="15">
        <v>22</v>
      </c>
      <c r="Z348" s="74" t="str">
        <f>CONCATENATE(Table1[[#This Row],[P.R NUMBER]],"-",Table1[[#This Row],[SR NO]])</f>
        <v>220512242020-1074</v>
      </c>
    </row>
    <row r="349" spans="1:26" x14ac:dyDescent="0.25">
      <c r="A349" s="73"/>
      <c r="B349" s="42">
        <v>1074</v>
      </c>
      <c r="C349" s="43">
        <v>41051</v>
      </c>
      <c r="D349" s="44" t="s">
        <v>122</v>
      </c>
      <c r="E349" s="76" t="s">
        <v>90</v>
      </c>
      <c r="F349" s="42" t="s">
        <v>1</v>
      </c>
      <c r="G349" s="49" t="s">
        <v>69</v>
      </c>
      <c r="H349" s="45" t="s">
        <v>2498</v>
      </c>
      <c r="I349" s="83" t="s">
        <v>262</v>
      </c>
      <c r="J349" s="52" t="str">
        <f>VLOOKUP(I349,'CONTACT REFERENCE'!$A$2:$P$399,4,FALSE)</f>
        <v>CURTIUS TRADING INC</v>
      </c>
      <c r="K349" s="42"/>
      <c r="L349" s="42">
        <v>20120132</v>
      </c>
      <c r="M349" s="41" t="s">
        <v>131</v>
      </c>
      <c r="N349" s="41" t="s">
        <v>2510</v>
      </c>
      <c r="O349" s="47" t="s">
        <v>2511</v>
      </c>
      <c r="P349" s="45" t="s">
        <v>124</v>
      </c>
      <c r="Q349" s="49" t="s">
        <v>120</v>
      </c>
      <c r="R349" s="48">
        <v>2.27</v>
      </c>
      <c r="S349" s="41" t="s">
        <v>28</v>
      </c>
      <c r="T349" s="84">
        <v>41077</v>
      </c>
      <c r="U349" s="42" t="s">
        <v>2500</v>
      </c>
      <c r="V349" s="21"/>
      <c r="W349" s="78"/>
      <c r="X349" s="15">
        <v>22</v>
      </c>
      <c r="Z349" s="74" t="str">
        <f>CONCATENATE(Table1[[#This Row],[P.R NUMBER]],"-",Table1[[#This Row],[SR NO]])</f>
        <v>220512242020-1074</v>
      </c>
    </row>
    <row r="350" spans="1:26" x14ac:dyDescent="0.25">
      <c r="A350" s="73"/>
      <c r="B350" s="42">
        <v>1074</v>
      </c>
      <c r="C350" s="43">
        <v>41051</v>
      </c>
      <c r="D350" s="44" t="s">
        <v>122</v>
      </c>
      <c r="E350" s="76" t="s">
        <v>90</v>
      </c>
      <c r="F350" s="42" t="s">
        <v>1</v>
      </c>
      <c r="G350" s="49" t="s">
        <v>69</v>
      </c>
      <c r="H350" s="45" t="s">
        <v>2498</v>
      </c>
      <c r="I350" s="83" t="s">
        <v>262</v>
      </c>
      <c r="J350" s="52" t="str">
        <f>VLOOKUP(I350,'CONTACT REFERENCE'!$A$2:$P$399,4,FALSE)</f>
        <v>CURTIUS TRADING INC</v>
      </c>
      <c r="K350" s="42"/>
      <c r="L350" s="42">
        <v>20120132</v>
      </c>
      <c r="M350" s="41" t="s">
        <v>131</v>
      </c>
      <c r="N350" s="41" t="s">
        <v>2512</v>
      </c>
      <c r="O350" s="47" t="s">
        <v>2513</v>
      </c>
      <c r="P350" s="45" t="s">
        <v>124</v>
      </c>
      <c r="Q350" s="49" t="s">
        <v>120</v>
      </c>
      <c r="R350" s="48">
        <v>4.71</v>
      </c>
      <c r="S350" s="41" t="s">
        <v>28</v>
      </c>
      <c r="T350" s="84">
        <v>41077</v>
      </c>
      <c r="U350" s="42" t="s">
        <v>2500</v>
      </c>
      <c r="V350" s="21"/>
      <c r="W350" s="78"/>
      <c r="X350" s="15">
        <v>22</v>
      </c>
      <c r="Z350" s="74" t="str">
        <f>CONCATENATE(Table1[[#This Row],[P.R NUMBER]],"-",Table1[[#This Row],[SR NO]])</f>
        <v>220512242020-1074</v>
      </c>
    </row>
    <row r="351" spans="1:26" x14ac:dyDescent="0.25">
      <c r="A351" s="73"/>
      <c r="B351" s="42">
        <v>1074</v>
      </c>
      <c r="C351" s="43">
        <v>41051</v>
      </c>
      <c r="D351" s="44" t="s">
        <v>122</v>
      </c>
      <c r="E351" s="76" t="s">
        <v>90</v>
      </c>
      <c r="F351" s="42" t="s">
        <v>1</v>
      </c>
      <c r="G351" s="49" t="s">
        <v>69</v>
      </c>
      <c r="H351" s="45" t="s">
        <v>2498</v>
      </c>
      <c r="I351" s="83" t="s">
        <v>262</v>
      </c>
      <c r="J351" s="52" t="str">
        <f>VLOOKUP(I351,'CONTACT REFERENCE'!$A$2:$P$399,4,FALSE)</f>
        <v>CURTIUS TRADING INC</v>
      </c>
      <c r="K351" s="42"/>
      <c r="L351" s="42">
        <v>20120132</v>
      </c>
      <c r="M351" s="41" t="s">
        <v>131</v>
      </c>
      <c r="N351" s="41">
        <v>126645</v>
      </c>
      <c r="O351" s="47" t="s">
        <v>2514</v>
      </c>
      <c r="P351" s="45" t="s">
        <v>124</v>
      </c>
      <c r="Q351" s="49" t="s">
        <v>120</v>
      </c>
      <c r="R351" s="48">
        <v>182.83</v>
      </c>
      <c r="S351" s="41" t="s">
        <v>28</v>
      </c>
      <c r="T351" s="84">
        <v>41077</v>
      </c>
      <c r="U351" s="42" t="s">
        <v>2500</v>
      </c>
      <c r="V351" s="21"/>
      <c r="W351" s="78"/>
      <c r="X351" s="15">
        <v>22</v>
      </c>
      <c r="Z351" s="74" t="str">
        <f>CONCATENATE(Table1[[#This Row],[P.R NUMBER]],"-",Table1[[#This Row],[SR NO]])</f>
        <v>220512242020-1074</v>
      </c>
    </row>
    <row r="352" spans="1:26" x14ac:dyDescent="0.25">
      <c r="A352" s="73"/>
      <c r="B352" s="42">
        <v>1074</v>
      </c>
      <c r="C352" s="43">
        <v>41051</v>
      </c>
      <c r="D352" s="44" t="s">
        <v>122</v>
      </c>
      <c r="E352" s="76" t="s">
        <v>90</v>
      </c>
      <c r="F352" s="42" t="s">
        <v>1</v>
      </c>
      <c r="G352" s="49" t="s">
        <v>69</v>
      </c>
      <c r="H352" s="45" t="s">
        <v>2498</v>
      </c>
      <c r="I352" s="83" t="s">
        <v>262</v>
      </c>
      <c r="J352" s="52" t="str">
        <f>VLOOKUP(I352,'CONTACT REFERENCE'!$A$2:$P$399,4,FALSE)</f>
        <v>CURTIUS TRADING INC</v>
      </c>
      <c r="K352" s="42"/>
      <c r="L352" s="42">
        <v>20120132</v>
      </c>
      <c r="M352" s="41" t="s">
        <v>131</v>
      </c>
      <c r="N352" s="41" t="s">
        <v>2515</v>
      </c>
      <c r="O352" s="47" t="s">
        <v>2516</v>
      </c>
      <c r="P352" s="45" t="s">
        <v>130</v>
      </c>
      <c r="Q352" s="49" t="s">
        <v>120</v>
      </c>
      <c r="R352" s="48">
        <f>6*2.97</f>
        <v>17.82</v>
      </c>
      <c r="S352" s="41" t="s">
        <v>28</v>
      </c>
      <c r="T352" s="84">
        <v>41077</v>
      </c>
      <c r="U352" s="42" t="s">
        <v>2500</v>
      </c>
      <c r="V352" s="21"/>
      <c r="W352" s="78"/>
      <c r="X352" s="15">
        <v>22</v>
      </c>
      <c r="Z352" s="74" t="str">
        <f>CONCATENATE(Table1[[#This Row],[P.R NUMBER]],"-",Table1[[#This Row],[SR NO]])</f>
        <v>220512242020-1074</v>
      </c>
    </row>
    <row r="353" spans="1:26" x14ac:dyDescent="0.25">
      <c r="A353" s="73"/>
      <c r="B353" s="42">
        <v>1074</v>
      </c>
      <c r="C353" s="43">
        <v>41051</v>
      </c>
      <c r="D353" s="44" t="s">
        <v>122</v>
      </c>
      <c r="E353" s="76" t="s">
        <v>90</v>
      </c>
      <c r="F353" s="42" t="s">
        <v>1</v>
      </c>
      <c r="G353" s="49" t="s">
        <v>69</v>
      </c>
      <c r="H353" s="45" t="s">
        <v>2498</v>
      </c>
      <c r="I353" s="83" t="s">
        <v>262</v>
      </c>
      <c r="J353" s="52" t="str">
        <f>VLOOKUP(I353,'CONTACT REFERENCE'!$A$2:$P$399,4,FALSE)</f>
        <v>CURTIUS TRADING INC</v>
      </c>
      <c r="K353" s="42"/>
      <c r="L353" s="42">
        <v>20120132</v>
      </c>
      <c r="M353" s="41" t="s">
        <v>131</v>
      </c>
      <c r="N353" s="41">
        <v>141258</v>
      </c>
      <c r="O353" s="47" t="s">
        <v>2517</v>
      </c>
      <c r="P353" s="45" t="s">
        <v>124</v>
      </c>
      <c r="Q353" s="49" t="s">
        <v>120</v>
      </c>
      <c r="R353" s="48">
        <v>21.95</v>
      </c>
      <c r="S353" s="41" t="s">
        <v>28</v>
      </c>
      <c r="T353" s="84">
        <v>41077</v>
      </c>
      <c r="U353" s="42" t="s">
        <v>2500</v>
      </c>
      <c r="V353" s="21"/>
      <c r="W353" s="78"/>
      <c r="X353" s="15">
        <v>22</v>
      </c>
      <c r="Z353" s="74" t="str">
        <f>CONCATENATE(Table1[[#This Row],[P.R NUMBER]],"-",Table1[[#This Row],[SR NO]])</f>
        <v>220512242020-1074</v>
      </c>
    </row>
    <row r="354" spans="1:26" x14ac:dyDescent="0.25">
      <c r="A354" s="73"/>
      <c r="B354" s="42">
        <v>1074</v>
      </c>
      <c r="C354" s="43">
        <v>41051</v>
      </c>
      <c r="D354" s="44" t="s">
        <v>122</v>
      </c>
      <c r="E354" s="76" t="s">
        <v>90</v>
      </c>
      <c r="F354" s="42" t="s">
        <v>1</v>
      </c>
      <c r="G354" s="49" t="s">
        <v>69</v>
      </c>
      <c r="H354" s="45" t="s">
        <v>2498</v>
      </c>
      <c r="I354" s="83" t="s">
        <v>262</v>
      </c>
      <c r="J354" s="52" t="str">
        <f>VLOOKUP(I354,'CONTACT REFERENCE'!$A$2:$P$399,4,FALSE)</f>
        <v>CURTIUS TRADING INC</v>
      </c>
      <c r="K354" s="42"/>
      <c r="L354" s="42">
        <v>20120132</v>
      </c>
      <c r="M354" s="41" t="s">
        <v>131</v>
      </c>
      <c r="N354" s="41" t="s">
        <v>2518</v>
      </c>
      <c r="O354" s="47" t="s">
        <v>2519</v>
      </c>
      <c r="P354" s="45" t="s">
        <v>130</v>
      </c>
      <c r="Q354" s="49" t="s">
        <v>120</v>
      </c>
      <c r="R354" s="48">
        <f>6*3.22</f>
        <v>19.32</v>
      </c>
      <c r="S354" s="41" t="s">
        <v>28</v>
      </c>
      <c r="T354" s="84">
        <v>41077</v>
      </c>
      <c r="U354" s="42" t="s">
        <v>2500</v>
      </c>
      <c r="V354" s="21"/>
      <c r="W354" s="78"/>
      <c r="X354" s="15">
        <v>22</v>
      </c>
      <c r="Z354" s="74" t="str">
        <f>CONCATENATE(Table1[[#This Row],[P.R NUMBER]],"-",Table1[[#This Row],[SR NO]])</f>
        <v>220512242020-1074</v>
      </c>
    </row>
    <row r="355" spans="1:26" x14ac:dyDescent="0.25">
      <c r="A355" s="73"/>
      <c r="B355" s="42">
        <v>1075</v>
      </c>
      <c r="C355" s="43">
        <v>41051</v>
      </c>
      <c r="D355" s="44" t="s">
        <v>118</v>
      </c>
      <c r="E355" s="76" t="s">
        <v>89</v>
      </c>
      <c r="F355" s="42" t="s">
        <v>1</v>
      </c>
      <c r="G355" s="49" t="s">
        <v>48</v>
      </c>
      <c r="H355" s="45" t="s">
        <v>2520</v>
      </c>
      <c r="I355" s="83" t="s">
        <v>460</v>
      </c>
      <c r="J355" s="52" t="str">
        <f>VLOOKUP(I355,'CONTACT REFERENCE'!$A$2:$P$399,4,FALSE)</f>
        <v>A-1 ENGINEERING</v>
      </c>
      <c r="K355" s="42">
        <v>5884</v>
      </c>
      <c r="L355" s="42">
        <v>8863</v>
      </c>
      <c r="M355" s="41" t="s">
        <v>48</v>
      </c>
      <c r="N355" s="41"/>
      <c r="O355" s="47" t="s">
        <v>2521</v>
      </c>
      <c r="P355" s="45" t="s">
        <v>124</v>
      </c>
      <c r="Q355" s="49" t="s">
        <v>120</v>
      </c>
      <c r="R355" s="48">
        <v>275</v>
      </c>
      <c r="S355" s="41" t="s">
        <v>29</v>
      </c>
      <c r="T355" s="84">
        <v>41059</v>
      </c>
      <c r="U355" s="42"/>
      <c r="V355" s="21"/>
      <c r="W355" s="78"/>
      <c r="X355" s="15">
        <v>22</v>
      </c>
      <c r="Z355" s="74" t="str">
        <f>CONCATENATE(Table1[[#This Row],[P.R NUMBER]],"-",Table1[[#This Row],[SR NO]])</f>
        <v>220512011020-1075</v>
      </c>
    </row>
    <row r="356" spans="1:26" x14ac:dyDescent="0.25">
      <c r="A356" s="73"/>
      <c r="B356" s="42">
        <v>1075</v>
      </c>
      <c r="C356" s="43">
        <v>41051</v>
      </c>
      <c r="D356" s="44" t="s">
        <v>118</v>
      </c>
      <c r="E356" s="76" t="s">
        <v>89</v>
      </c>
      <c r="F356" s="42" t="s">
        <v>1</v>
      </c>
      <c r="G356" s="49" t="s">
        <v>48</v>
      </c>
      <c r="H356" s="45" t="s">
        <v>2520</v>
      </c>
      <c r="I356" s="83" t="s">
        <v>460</v>
      </c>
      <c r="J356" s="52" t="str">
        <f>VLOOKUP(I356,'CONTACT REFERENCE'!$A$2:$P$399,4,FALSE)</f>
        <v>A-1 ENGINEERING</v>
      </c>
      <c r="K356" s="42">
        <v>5884</v>
      </c>
      <c r="L356" s="42">
        <v>8863</v>
      </c>
      <c r="M356" s="41" t="s">
        <v>48</v>
      </c>
      <c r="N356" s="41"/>
      <c r="O356" s="47" t="s">
        <v>2522</v>
      </c>
      <c r="P356" s="45" t="s">
        <v>124</v>
      </c>
      <c r="Q356" s="49" t="s">
        <v>120</v>
      </c>
      <c r="R356" s="48">
        <v>375</v>
      </c>
      <c r="S356" s="41" t="s">
        <v>29</v>
      </c>
      <c r="T356" s="84">
        <v>41059</v>
      </c>
      <c r="U356" s="42"/>
      <c r="V356" s="21"/>
      <c r="W356" s="78"/>
      <c r="X356" s="15">
        <v>22</v>
      </c>
      <c r="Z356" s="74" t="str">
        <f>CONCATENATE(Table1[[#This Row],[P.R NUMBER]],"-",Table1[[#This Row],[SR NO]])</f>
        <v>220512011020-1075</v>
      </c>
    </row>
    <row r="357" spans="1:26" x14ac:dyDescent="0.25">
      <c r="A357" s="73"/>
      <c r="B357" s="42">
        <v>1076</v>
      </c>
      <c r="C357" s="43">
        <v>41051</v>
      </c>
      <c r="D357" s="44" t="s">
        <v>118</v>
      </c>
      <c r="E357" s="76" t="s">
        <v>90</v>
      </c>
      <c r="F357" s="42" t="s">
        <v>1</v>
      </c>
      <c r="G357" s="49" t="s">
        <v>51</v>
      </c>
      <c r="H357" s="45" t="s">
        <v>2523</v>
      </c>
      <c r="I357" s="83" t="s">
        <v>460</v>
      </c>
      <c r="J357" s="52" t="str">
        <f>VLOOKUP(I357,'CONTACT REFERENCE'!$A$2:$P$399,4,FALSE)</f>
        <v>A-1 ENGINEERING</v>
      </c>
      <c r="K357" s="42">
        <v>5883</v>
      </c>
      <c r="L357" s="42">
        <v>8862</v>
      </c>
      <c r="M357" s="41" t="s">
        <v>51</v>
      </c>
      <c r="N357" s="41"/>
      <c r="O357" s="47" t="s">
        <v>2524</v>
      </c>
      <c r="P357" s="45" t="s">
        <v>124</v>
      </c>
      <c r="Q357" s="49" t="s">
        <v>120</v>
      </c>
      <c r="R357" s="48">
        <v>675</v>
      </c>
      <c r="S357" s="41" t="s">
        <v>29</v>
      </c>
      <c r="T357" s="84">
        <v>41059</v>
      </c>
      <c r="U357" s="42"/>
      <c r="V357" s="21"/>
      <c r="W357" s="78"/>
      <c r="X357" s="15">
        <v>22</v>
      </c>
      <c r="Z357" s="74" t="str">
        <f>CONCATENATE(Table1[[#This Row],[P.R NUMBER]],"-",Table1[[#This Row],[SR NO]])</f>
        <v>220512042020-1076</v>
      </c>
    </row>
    <row r="358" spans="1:26" x14ac:dyDescent="0.25">
      <c r="A358" s="73"/>
      <c r="B358" s="42">
        <v>1077</v>
      </c>
      <c r="C358" s="43">
        <v>41051</v>
      </c>
      <c r="D358" s="44" t="s">
        <v>118</v>
      </c>
      <c r="E358" s="76" t="s">
        <v>90</v>
      </c>
      <c r="F358" s="42" t="s">
        <v>1</v>
      </c>
      <c r="G358" s="49" t="s">
        <v>1871</v>
      </c>
      <c r="H358" s="45" t="s">
        <v>2525</v>
      </c>
      <c r="I358" s="83" t="s">
        <v>460</v>
      </c>
      <c r="J358" s="52" t="str">
        <f>VLOOKUP(I358,'CONTACT REFERENCE'!$A$2:$P$399,4,FALSE)</f>
        <v>A-1 ENGINEERING</v>
      </c>
      <c r="K358" s="42">
        <v>5892</v>
      </c>
      <c r="L358" s="42">
        <v>8874</v>
      </c>
      <c r="M358" s="41">
        <v>214</v>
      </c>
      <c r="N358" s="41"/>
      <c r="O358" s="47" t="s">
        <v>2526</v>
      </c>
      <c r="P358" s="45" t="s">
        <v>136</v>
      </c>
      <c r="Q358" s="49" t="s">
        <v>120</v>
      </c>
      <c r="R358" s="48">
        <v>350</v>
      </c>
      <c r="S358" s="41" t="s">
        <v>29</v>
      </c>
      <c r="T358" s="84">
        <v>41059</v>
      </c>
      <c r="U358" s="42"/>
      <c r="V358" s="21"/>
      <c r="W358" s="78"/>
      <c r="X358" s="15">
        <v>22</v>
      </c>
      <c r="Z358" s="74" t="str">
        <f>CONCATENATE(Table1[[#This Row],[P.R NUMBER]],"-",Table1[[#This Row],[SR NO]])</f>
        <v>220512102020-1077</v>
      </c>
    </row>
    <row r="359" spans="1:26" x14ac:dyDescent="0.25">
      <c r="A359" s="73"/>
      <c r="B359" s="42">
        <v>1077</v>
      </c>
      <c r="C359" s="43">
        <v>41051</v>
      </c>
      <c r="D359" s="44" t="s">
        <v>118</v>
      </c>
      <c r="E359" s="76" t="s">
        <v>90</v>
      </c>
      <c r="F359" s="42" t="s">
        <v>1</v>
      </c>
      <c r="G359" s="49" t="s">
        <v>1871</v>
      </c>
      <c r="H359" s="45" t="s">
        <v>2525</v>
      </c>
      <c r="I359" s="83" t="s">
        <v>460</v>
      </c>
      <c r="J359" s="52" t="str">
        <f>VLOOKUP(I359,'CONTACT REFERENCE'!$A$2:$P$399,4,FALSE)</f>
        <v>A-1 ENGINEERING</v>
      </c>
      <c r="K359" s="42">
        <v>5892</v>
      </c>
      <c r="L359" s="42">
        <v>8874</v>
      </c>
      <c r="M359" s="41">
        <v>214</v>
      </c>
      <c r="N359" s="41"/>
      <c r="O359" s="47" t="s">
        <v>2527</v>
      </c>
      <c r="P359" s="45" t="s">
        <v>136</v>
      </c>
      <c r="Q359" s="49" t="s">
        <v>120</v>
      </c>
      <c r="R359" s="48">
        <v>400</v>
      </c>
      <c r="S359" s="41" t="s">
        <v>29</v>
      </c>
      <c r="T359" s="84">
        <v>41059</v>
      </c>
      <c r="U359" s="42"/>
      <c r="V359" s="21"/>
      <c r="W359" s="78"/>
      <c r="X359" s="15">
        <v>22</v>
      </c>
      <c r="Z359" s="74" t="str">
        <f>CONCATENATE(Table1[[#This Row],[P.R NUMBER]],"-",Table1[[#This Row],[SR NO]])</f>
        <v>220512102020-1077</v>
      </c>
    </row>
    <row r="360" spans="1:26" x14ac:dyDescent="0.25">
      <c r="A360" s="73"/>
      <c r="B360" s="42">
        <v>1078</v>
      </c>
      <c r="C360" s="43">
        <v>41051</v>
      </c>
      <c r="D360" s="44" t="s">
        <v>118</v>
      </c>
      <c r="E360" s="76" t="s">
        <v>90</v>
      </c>
      <c r="F360" s="42" t="s">
        <v>0</v>
      </c>
      <c r="G360" s="49" t="s">
        <v>72</v>
      </c>
      <c r="H360" s="45" t="s">
        <v>2528</v>
      </c>
      <c r="I360" s="83" t="s">
        <v>388</v>
      </c>
      <c r="J360" s="52" t="str">
        <f>VLOOKUP(I360,'CONTACT REFERENCE'!$A$2:$P$399,4,FALSE)</f>
        <v>AL MENHALI H.E. TRADING</v>
      </c>
      <c r="K360" s="42"/>
      <c r="L360" s="42"/>
      <c r="M360" s="41"/>
      <c r="N360" s="41"/>
      <c r="O360" s="47" t="s">
        <v>2529</v>
      </c>
      <c r="P360" s="45" t="s">
        <v>124</v>
      </c>
      <c r="Q360" s="49" t="s">
        <v>120</v>
      </c>
      <c r="R360" s="48">
        <v>800</v>
      </c>
      <c r="S360" s="41" t="s">
        <v>29</v>
      </c>
      <c r="T360" s="42"/>
      <c r="U360" s="42"/>
      <c r="V360" s="21"/>
      <c r="W360" s="78"/>
      <c r="X360" s="15">
        <v>22</v>
      </c>
      <c r="Z360" s="74" t="str">
        <f>CONCATENATE(Table1[[#This Row],[P.R NUMBER]],"-",Table1[[#This Row],[SR NO]])</f>
        <v>220512272010-1078</v>
      </c>
    </row>
    <row r="361" spans="1:26" x14ac:dyDescent="0.25">
      <c r="A361" s="73"/>
      <c r="B361" s="42">
        <v>1079</v>
      </c>
      <c r="C361" s="43">
        <v>41055</v>
      </c>
      <c r="D361" s="44" t="s">
        <v>118</v>
      </c>
      <c r="E361" s="76" t="s">
        <v>89</v>
      </c>
      <c r="F361" s="42" t="s">
        <v>1</v>
      </c>
      <c r="G361" s="49" t="s">
        <v>48</v>
      </c>
      <c r="H361" s="45" t="s">
        <v>2530</v>
      </c>
      <c r="I361" s="83" t="s">
        <v>460</v>
      </c>
      <c r="J361" s="52" t="str">
        <f>VLOOKUP(I361,'CONTACT REFERENCE'!$A$2:$P$399,4,FALSE)</f>
        <v>A-1 ENGINEERING</v>
      </c>
      <c r="K361" s="42">
        <v>5906</v>
      </c>
      <c r="L361" s="42">
        <v>8875</v>
      </c>
      <c r="M361" s="41" t="s">
        <v>48</v>
      </c>
      <c r="N361" s="41"/>
      <c r="O361" s="47" t="s">
        <v>2531</v>
      </c>
      <c r="P361" s="45" t="s">
        <v>136</v>
      </c>
      <c r="Q361" s="49" t="s">
        <v>120</v>
      </c>
      <c r="R361" s="48">
        <v>450</v>
      </c>
      <c r="S361" s="41" t="s">
        <v>29</v>
      </c>
      <c r="T361" s="84">
        <v>41059</v>
      </c>
      <c r="U361" s="42"/>
      <c r="V361" s="21"/>
      <c r="W361" s="78"/>
      <c r="X361" s="15">
        <v>22</v>
      </c>
      <c r="Z361" s="74" t="str">
        <f>CONCATENATE(Table1[[#This Row],[P.R NUMBER]],"-",Table1[[#This Row],[SR NO]])</f>
        <v>260512011020-1079</v>
      </c>
    </row>
    <row r="362" spans="1:26" x14ac:dyDescent="0.25">
      <c r="A362" s="73"/>
      <c r="B362" s="42">
        <v>1079</v>
      </c>
      <c r="C362" s="43">
        <v>41055</v>
      </c>
      <c r="D362" s="44" t="s">
        <v>118</v>
      </c>
      <c r="E362" s="76" t="s">
        <v>89</v>
      </c>
      <c r="F362" s="42" t="s">
        <v>1</v>
      </c>
      <c r="G362" s="49" t="s">
        <v>48</v>
      </c>
      <c r="H362" s="45" t="s">
        <v>2530</v>
      </c>
      <c r="I362" s="83" t="s">
        <v>460</v>
      </c>
      <c r="J362" s="52" t="str">
        <f>VLOOKUP(I362,'CONTACT REFERENCE'!$A$2:$P$399,4,FALSE)</f>
        <v>A-1 ENGINEERING</v>
      </c>
      <c r="K362" s="42">
        <v>5906</v>
      </c>
      <c r="L362" s="42">
        <v>8875</v>
      </c>
      <c r="M362" s="41" t="s">
        <v>48</v>
      </c>
      <c r="N362" s="41"/>
      <c r="O362" s="47" t="s">
        <v>2532</v>
      </c>
      <c r="P362" s="45" t="s">
        <v>136</v>
      </c>
      <c r="Q362" s="49" t="s">
        <v>120</v>
      </c>
      <c r="R362" s="48">
        <v>250</v>
      </c>
      <c r="S362" s="41" t="s">
        <v>29</v>
      </c>
      <c r="T362" s="84">
        <v>41059</v>
      </c>
      <c r="U362" s="42"/>
      <c r="V362" s="21"/>
      <c r="W362" s="78"/>
      <c r="X362" s="15">
        <v>22</v>
      </c>
      <c r="Z362" s="74" t="str">
        <f>CONCATENATE(Table1[[#This Row],[P.R NUMBER]],"-",Table1[[#This Row],[SR NO]])</f>
        <v>260512011020-1079</v>
      </c>
    </row>
    <row r="363" spans="1:26" x14ac:dyDescent="0.25">
      <c r="A363" s="73"/>
      <c r="B363" s="42">
        <v>1080</v>
      </c>
      <c r="C363" s="43">
        <v>41055</v>
      </c>
      <c r="D363" s="44" t="s">
        <v>118</v>
      </c>
      <c r="E363" s="76" t="s">
        <v>89</v>
      </c>
      <c r="F363" s="42" t="s">
        <v>1</v>
      </c>
      <c r="G363" s="49" t="s">
        <v>48</v>
      </c>
      <c r="H363" s="45" t="s">
        <v>2530</v>
      </c>
      <c r="I363" s="83" t="s">
        <v>1775</v>
      </c>
      <c r="J363" s="52" t="str">
        <f>VLOOKUP(I363,'CONTACT REFERENCE'!$A$2:$P$399,4,FALSE)</f>
        <v>PERFECT TOOLS MOULDS FACTORY LLC</v>
      </c>
      <c r="K363" s="42">
        <v>23799</v>
      </c>
      <c r="L363" s="42"/>
      <c r="M363" s="41" t="s">
        <v>48</v>
      </c>
      <c r="N363" s="41"/>
      <c r="O363" s="47" t="s">
        <v>2533</v>
      </c>
      <c r="P363" s="45" t="s">
        <v>124</v>
      </c>
      <c r="Q363" s="49" t="s">
        <v>120</v>
      </c>
      <c r="R363" s="48">
        <v>220</v>
      </c>
      <c r="S363" s="41" t="s">
        <v>29</v>
      </c>
      <c r="T363" s="42"/>
      <c r="U363" s="42"/>
      <c r="V363" s="21"/>
      <c r="W363" s="78"/>
      <c r="X363" s="15">
        <v>22</v>
      </c>
      <c r="Z363" s="74" t="str">
        <f>CONCATENATE(Table1[[#This Row],[P.R NUMBER]],"-",Table1[[#This Row],[SR NO]])</f>
        <v>260512011020-1080</v>
      </c>
    </row>
    <row r="364" spans="1:26" x14ac:dyDescent="0.25">
      <c r="A364" s="73"/>
      <c r="B364" s="42">
        <v>1080</v>
      </c>
      <c r="C364" s="43">
        <v>41055</v>
      </c>
      <c r="D364" s="44" t="s">
        <v>118</v>
      </c>
      <c r="E364" s="76" t="s">
        <v>89</v>
      </c>
      <c r="F364" s="42" t="s">
        <v>1</v>
      </c>
      <c r="G364" s="49" t="s">
        <v>48</v>
      </c>
      <c r="H364" s="45" t="s">
        <v>2530</v>
      </c>
      <c r="I364" s="83" t="s">
        <v>1775</v>
      </c>
      <c r="J364" s="52" t="str">
        <f>VLOOKUP(I364,'CONTACT REFERENCE'!$A$2:$P$399,4,FALSE)</f>
        <v>PERFECT TOOLS MOULDS FACTORY LLC</v>
      </c>
      <c r="K364" s="42">
        <v>23799</v>
      </c>
      <c r="L364" s="42"/>
      <c r="M364" s="41" t="s">
        <v>48</v>
      </c>
      <c r="N364" s="41"/>
      <c r="O364" s="47" t="s">
        <v>2534</v>
      </c>
      <c r="P364" s="45" t="s">
        <v>124</v>
      </c>
      <c r="Q364" s="49" t="s">
        <v>120</v>
      </c>
      <c r="R364" s="48">
        <v>160</v>
      </c>
      <c r="S364" s="41" t="s">
        <v>29</v>
      </c>
      <c r="T364" s="42"/>
      <c r="U364" s="42"/>
      <c r="V364" s="21"/>
      <c r="W364" s="78"/>
      <c r="X364" s="15">
        <v>22</v>
      </c>
      <c r="Z364" s="74" t="str">
        <f>CONCATENATE(Table1[[#This Row],[P.R NUMBER]],"-",Table1[[#This Row],[SR NO]])</f>
        <v>260512011020-1080</v>
      </c>
    </row>
    <row r="365" spans="1:26" x14ac:dyDescent="0.25">
      <c r="A365" s="73"/>
      <c r="B365" s="42">
        <v>1081</v>
      </c>
      <c r="C365" s="43">
        <v>41055</v>
      </c>
      <c r="D365" s="44" t="s">
        <v>122</v>
      </c>
      <c r="E365" s="76" t="s">
        <v>90</v>
      </c>
      <c r="F365" s="42" t="s">
        <v>1</v>
      </c>
      <c r="G365" s="49" t="s">
        <v>70</v>
      </c>
      <c r="H365" s="45" t="s">
        <v>2535</v>
      </c>
      <c r="I365" s="83" t="s">
        <v>311</v>
      </c>
      <c r="J365" s="52" t="str">
        <f>VLOOKUP(I365,'CONTACT REFERENCE'!$A$2:$P$399,4,FALSE)</f>
        <v>UNICAST ENGINEERED URETHANE PRODUCTS</v>
      </c>
      <c r="K365" s="42"/>
      <c r="L365" s="42">
        <v>154825</v>
      </c>
      <c r="M365" s="41"/>
      <c r="N365" s="41"/>
      <c r="O365" s="47" t="s">
        <v>2536</v>
      </c>
      <c r="P365" s="45" t="s">
        <v>124</v>
      </c>
      <c r="Q365" s="49" t="s">
        <v>120</v>
      </c>
      <c r="R365" s="48">
        <v>45.67</v>
      </c>
      <c r="S365" s="41" t="s">
        <v>28</v>
      </c>
      <c r="T365" s="84">
        <v>41035</v>
      </c>
      <c r="U365" s="42" t="s">
        <v>2537</v>
      </c>
      <c r="V365" s="21"/>
      <c r="W365" s="78"/>
      <c r="X365" s="15">
        <v>22</v>
      </c>
      <c r="Z365" s="74" t="str">
        <f>CONCATENATE(Table1[[#This Row],[P.R NUMBER]],"-",Table1[[#This Row],[SR NO]])</f>
        <v>260512252020-1081</v>
      </c>
    </row>
    <row r="366" spans="1:26" x14ac:dyDescent="0.25">
      <c r="A366" s="73"/>
      <c r="B366" s="42">
        <v>1081</v>
      </c>
      <c r="C366" s="43">
        <v>41055</v>
      </c>
      <c r="D366" s="44" t="s">
        <v>122</v>
      </c>
      <c r="E366" s="76" t="s">
        <v>90</v>
      </c>
      <c r="F366" s="42" t="s">
        <v>1</v>
      </c>
      <c r="G366" s="49" t="s">
        <v>70</v>
      </c>
      <c r="H366" s="45" t="s">
        <v>2535</v>
      </c>
      <c r="I366" s="83" t="s">
        <v>311</v>
      </c>
      <c r="J366" s="52" t="str">
        <f>VLOOKUP(I366,'CONTACT REFERENCE'!$A$2:$P$399,4,FALSE)</f>
        <v>UNICAST ENGINEERED URETHANE PRODUCTS</v>
      </c>
      <c r="K366" s="42"/>
      <c r="L366" s="42">
        <v>154825</v>
      </c>
      <c r="M366" s="41"/>
      <c r="N366" s="41"/>
      <c r="O366" s="47" t="s">
        <v>2538</v>
      </c>
      <c r="P366" s="45" t="s">
        <v>124</v>
      </c>
      <c r="Q366" s="49" t="s">
        <v>120</v>
      </c>
      <c r="R366" s="48">
        <v>55.4</v>
      </c>
      <c r="S366" s="41" t="s">
        <v>28</v>
      </c>
      <c r="T366" s="84">
        <v>41035</v>
      </c>
      <c r="U366" s="42" t="s">
        <v>2537</v>
      </c>
      <c r="V366" s="21"/>
      <c r="W366" s="78"/>
      <c r="X366" s="15">
        <v>22</v>
      </c>
      <c r="Z366" s="74" t="str">
        <f>CONCATENATE(Table1[[#This Row],[P.R NUMBER]],"-",Table1[[#This Row],[SR NO]])</f>
        <v>260512252020-1081</v>
      </c>
    </row>
    <row r="367" spans="1:26" x14ac:dyDescent="0.25">
      <c r="A367" s="73"/>
      <c r="B367" s="42">
        <v>1081</v>
      </c>
      <c r="C367" s="43">
        <v>41055</v>
      </c>
      <c r="D367" s="44" t="s">
        <v>122</v>
      </c>
      <c r="E367" s="76" t="s">
        <v>90</v>
      </c>
      <c r="F367" s="42" t="s">
        <v>1</v>
      </c>
      <c r="G367" s="49" t="s">
        <v>70</v>
      </c>
      <c r="H367" s="45" t="s">
        <v>2535</v>
      </c>
      <c r="I367" s="83" t="s">
        <v>311</v>
      </c>
      <c r="J367" s="52" t="str">
        <f>VLOOKUP(I367,'CONTACT REFERENCE'!$A$2:$P$399,4,FALSE)</f>
        <v>UNICAST ENGINEERED URETHANE PRODUCTS</v>
      </c>
      <c r="K367" s="42"/>
      <c r="L367" s="42">
        <v>154825</v>
      </c>
      <c r="M367" s="41"/>
      <c r="N367" s="41"/>
      <c r="O367" s="47" t="s">
        <v>2539</v>
      </c>
      <c r="P367" s="45" t="s">
        <v>1867</v>
      </c>
      <c r="Q367" s="49" t="s">
        <v>120</v>
      </c>
      <c r="R367" s="48">
        <v>109.5</v>
      </c>
      <c r="S367" s="41" t="s">
        <v>28</v>
      </c>
      <c r="T367" s="84">
        <v>41035</v>
      </c>
      <c r="U367" s="42" t="s">
        <v>2537</v>
      </c>
      <c r="V367" s="21"/>
      <c r="W367" s="78"/>
      <c r="X367" s="15">
        <v>22</v>
      </c>
      <c r="Z367" s="74" t="str">
        <f>CONCATENATE(Table1[[#This Row],[P.R NUMBER]],"-",Table1[[#This Row],[SR NO]])</f>
        <v>260512252020-1081</v>
      </c>
    </row>
    <row r="368" spans="1:26" x14ac:dyDescent="0.25">
      <c r="A368" s="73"/>
      <c r="B368" s="42">
        <v>1081</v>
      </c>
      <c r="C368" s="43">
        <v>41055</v>
      </c>
      <c r="D368" s="44" t="s">
        <v>122</v>
      </c>
      <c r="E368" s="76" t="s">
        <v>90</v>
      </c>
      <c r="F368" s="42" t="s">
        <v>1</v>
      </c>
      <c r="G368" s="49" t="s">
        <v>70</v>
      </c>
      <c r="H368" s="45" t="s">
        <v>2535</v>
      </c>
      <c r="I368" s="83" t="s">
        <v>311</v>
      </c>
      <c r="J368" s="52" t="str">
        <f>VLOOKUP(I368,'CONTACT REFERENCE'!$A$2:$P$399,4,FALSE)</f>
        <v>UNICAST ENGINEERED URETHANE PRODUCTS</v>
      </c>
      <c r="K368" s="42"/>
      <c r="L368" s="42">
        <v>154825</v>
      </c>
      <c r="M368" s="41"/>
      <c r="N368" s="41"/>
      <c r="O368" s="47" t="s">
        <v>2540</v>
      </c>
      <c r="P368" s="45" t="s">
        <v>144</v>
      </c>
      <c r="Q368" s="49" t="s">
        <v>120</v>
      </c>
      <c r="R368" s="48">
        <v>230.28</v>
      </c>
      <c r="S368" s="41" t="s">
        <v>28</v>
      </c>
      <c r="T368" s="84">
        <v>41035</v>
      </c>
      <c r="U368" s="42" t="s">
        <v>2537</v>
      </c>
      <c r="V368" s="21"/>
      <c r="W368" s="78"/>
      <c r="X368" s="15">
        <v>22</v>
      </c>
      <c r="Z368" s="74" t="str">
        <f>CONCATENATE(Table1[[#This Row],[P.R NUMBER]],"-",Table1[[#This Row],[SR NO]])</f>
        <v>260512252020-1081</v>
      </c>
    </row>
    <row r="369" spans="1:26" x14ac:dyDescent="0.25">
      <c r="A369" s="73"/>
      <c r="B369" s="42">
        <v>1082</v>
      </c>
      <c r="C369" s="43">
        <v>41055</v>
      </c>
      <c r="D369" s="44" t="s">
        <v>122</v>
      </c>
      <c r="E369" s="76" t="s">
        <v>90</v>
      </c>
      <c r="F369" s="42" t="s">
        <v>1</v>
      </c>
      <c r="G369" s="49" t="s">
        <v>70</v>
      </c>
      <c r="H369" s="45" t="s">
        <v>2535</v>
      </c>
      <c r="I369" s="83" t="s">
        <v>292</v>
      </c>
      <c r="J369" s="52" t="str">
        <f>VLOOKUP(I369,'CONTACT REFERENCE'!$A$2:$P$399,4,FALSE)</f>
        <v>WINDY CITY CUTTING DIE</v>
      </c>
      <c r="K369" s="42"/>
      <c r="L369" s="42">
        <v>135093</v>
      </c>
      <c r="M369" s="41" t="s">
        <v>72</v>
      </c>
      <c r="N369" s="41"/>
      <c r="O369" s="47" t="s">
        <v>200</v>
      </c>
      <c r="P369" s="45" t="s">
        <v>136</v>
      </c>
      <c r="Q369" s="49" t="s">
        <v>120</v>
      </c>
      <c r="R369" s="48">
        <v>100</v>
      </c>
      <c r="S369" s="41" t="s">
        <v>28</v>
      </c>
      <c r="T369" s="84">
        <v>41055</v>
      </c>
      <c r="U369" s="42" t="s">
        <v>2541</v>
      </c>
      <c r="V369" s="21"/>
      <c r="W369" s="78"/>
      <c r="X369" s="15">
        <v>22</v>
      </c>
      <c r="Z369" s="74" t="str">
        <f>CONCATENATE(Table1[[#This Row],[P.R NUMBER]],"-",Table1[[#This Row],[SR NO]])</f>
        <v>260512252020-1082</v>
      </c>
    </row>
    <row r="370" spans="1:26" x14ac:dyDescent="0.25">
      <c r="A370" s="73"/>
      <c r="B370" s="42">
        <v>1083</v>
      </c>
      <c r="C370" s="43">
        <v>41055</v>
      </c>
      <c r="D370" s="44" t="s">
        <v>122</v>
      </c>
      <c r="E370" s="76" t="s">
        <v>89</v>
      </c>
      <c r="F370" s="42" t="s">
        <v>1</v>
      </c>
      <c r="G370" s="49" t="s">
        <v>48</v>
      </c>
      <c r="H370" s="45" t="s">
        <v>2530</v>
      </c>
      <c r="I370" s="83" t="s">
        <v>292</v>
      </c>
      <c r="J370" s="52" t="str">
        <f>VLOOKUP(I370,'CONTACT REFERENCE'!$A$2:$P$399,4,FALSE)</f>
        <v>WINDY CITY CUTTING DIE</v>
      </c>
      <c r="K370" s="42"/>
      <c r="L370" s="42">
        <v>135329</v>
      </c>
      <c r="M370" s="41" t="s">
        <v>48</v>
      </c>
      <c r="N370" s="41"/>
      <c r="O370" s="47" t="s">
        <v>2542</v>
      </c>
      <c r="P370" s="45" t="s">
        <v>137</v>
      </c>
      <c r="Q370" s="49" t="s">
        <v>120</v>
      </c>
      <c r="R370" s="48">
        <v>2025</v>
      </c>
      <c r="S370" s="41" t="s">
        <v>28</v>
      </c>
      <c r="T370" s="84">
        <v>41055</v>
      </c>
      <c r="U370" s="42" t="s">
        <v>2543</v>
      </c>
      <c r="V370" s="21"/>
      <c r="W370" s="78"/>
      <c r="X370" s="15">
        <v>22</v>
      </c>
      <c r="Z370" s="74" t="str">
        <f>CONCATENATE(Table1[[#This Row],[P.R NUMBER]],"-",Table1[[#This Row],[SR NO]])</f>
        <v>260512011020-1083</v>
      </c>
    </row>
    <row r="371" spans="1:26" x14ac:dyDescent="0.25">
      <c r="A371" s="73"/>
      <c r="B371" s="42">
        <v>1083</v>
      </c>
      <c r="C371" s="43">
        <v>41055</v>
      </c>
      <c r="D371" s="44" t="s">
        <v>122</v>
      </c>
      <c r="E371" s="76" t="s">
        <v>89</v>
      </c>
      <c r="F371" s="42" t="s">
        <v>1</v>
      </c>
      <c r="G371" s="49" t="s">
        <v>48</v>
      </c>
      <c r="H371" s="45" t="s">
        <v>2530</v>
      </c>
      <c r="I371" s="83" t="s">
        <v>292</v>
      </c>
      <c r="J371" s="52" t="str">
        <f>VLOOKUP(I371,'CONTACT REFERENCE'!$A$2:$P$399,4,FALSE)</f>
        <v>WINDY CITY CUTTING DIE</v>
      </c>
      <c r="K371" s="42"/>
      <c r="L371" s="42">
        <v>135329</v>
      </c>
      <c r="M371" s="41" t="s">
        <v>48</v>
      </c>
      <c r="N371" s="41"/>
      <c r="O371" s="47" t="s">
        <v>2544</v>
      </c>
      <c r="P371" s="45" t="s">
        <v>136</v>
      </c>
      <c r="Q371" s="49" t="s">
        <v>120</v>
      </c>
      <c r="R371" s="48">
        <v>1470</v>
      </c>
      <c r="S371" s="41" t="s">
        <v>28</v>
      </c>
      <c r="T371" s="84">
        <v>41055</v>
      </c>
      <c r="U371" s="42" t="s">
        <v>2543</v>
      </c>
      <c r="V371" s="21"/>
      <c r="W371" s="78"/>
      <c r="X371" s="15">
        <v>22</v>
      </c>
      <c r="Z371" s="74" t="str">
        <f>CONCATENATE(Table1[[#This Row],[P.R NUMBER]],"-",Table1[[#This Row],[SR NO]])</f>
        <v>260512011020-1083</v>
      </c>
    </row>
    <row r="372" spans="1:26" x14ac:dyDescent="0.25">
      <c r="A372" s="73"/>
      <c r="B372" s="42">
        <v>1083</v>
      </c>
      <c r="C372" s="43">
        <v>41055</v>
      </c>
      <c r="D372" s="44" t="s">
        <v>122</v>
      </c>
      <c r="E372" s="76" t="s">
        <v>89</v>
      </c>
      <c r="F372" s="42" t="s">
        <v>1</v>
      </c>
      <c r="G372" s="49" t="s">
        <v>48</v>
      </c>
      <c r="H372" s="45" t="s">
        <v>2530</v>
      </c>
      <c r="I372" s="83" t="s">
        <v>292</v>
      </c>
      <c r="J372" s="52" t="str">
        <f>VLOOKUP(I372,'CONTACT REFERENCE'!$A$2:$P$399,4,FALSE)</f>
        <v>WINDY CITY CUTTING DIE</v>
      </c>
      <c r="K372" s="42"/>
      <c r="L372" s="42">
        <v>135329</v>
      </c>
      <c r="M372" s="41" t="s">
        <v>48</v>
      </c>
      <c r="N372" s="41"/>
      <c r="O372" s="47" t="s">
        <v>2545</v>
      </c>
      <c r="P372" s="45" t="s">
        <v>141</v>
      </c>
      <c r="Q372" s="49" t="s">
        <v>120</v>
      </c>
      <c r="R372" s="48">
        <v>292</v>
      </c>
      <c r="S372" s="41" t="s">
        <v>28</v>
      </c>
      <c r="T372" s="84">
        <v>41055</v>
      </c>
      <c r="U372" s="42" t="s">
        <v>2543</v>
      </c>
      <c r="V372" s="21"/>
      <c r="W372" s="78"/>
      <c r="X372" s="15">
        <v>22</v>
      </c>
      <c r="Z372" s="74" t="str">
        <f>CONCATENATE(Table1[[#This Row],[P.R NUMBER]],"-",Table1[[#This Row],[SR NO]])</f>
        <v>260512011020-1083</v>
      </c>
    </row>
    <row r="373" spans="1:26" x14ac:dyDescent="0.25">
      <c r="A373" s="73"/>
      <c r="B373" s="42">
        <v>1084</v>
      </c>
      <c r="C373" s="43">
        <v>41055</v>
      </c>
      <c r="D373" s="44" t="s">
        <v>118</v>
      </c>
      <c r="E373" s="76" t="s">
        <v>90</v>
      </c>
      <c r="F373" s="42" t="s">
        <v>1</v>
      </c>
      <c r="G373" s="49" t="s">
        <v>83</v>
      </c>
      <c r="H373" s="45" t="s">
        <v>2546</v>
      </c>
      <c r="I373" s="83" t="s">
        <v>119</v>
      </c>
      <c r="J373" s="52" t="str">
        <f>VLOOKUP(I373,'CONTACT REFERENCE'!$A$2:$P$399,4,FALSE)</f>
        <v>AL DOBOWI TYRE COMPANY LLC</v>
      </c>
      <c r="K373" s="42" t="s">
        <v>2547</v>
      </c>
      <c r="L373" s="42">
        <v>318078</v>
      </c>
      <c r="M373" s="41" t="s">
        <v>207</v>
      </c>
      <c r="N373" s="41"/>
      <c r="O373" s="47" t="s">
        <v>2431</v>
      </c>
      <c r="P373" s="45" t="s">
        <v>124</v>
      </c>
      <c r="Q373" s="49" t="s">
        <v>120</v>
      </c>
      <c r="R373" s="48">
        <v>350</v>
      </c>
      <c r="S373" s="41" t="s">
        <v>29</v>
      </c>
      <c r="T373" s="84">
        <v>41035</v>
      </c>
      <c r="U373" s="42"/>
      <c r="V373" s="21"/>
      <c r="W373" s="78"/>
      <c r="X373" s="15">
        <v>22</v>
      </c>
      <c r="Z373" s="74" t="str">
        <f>CONCATENATE(Table1[[#This Row],[P.R NUMBER]],"-",Table1[[#This Row],[SR NO]])</f>
        <v>260512382020-1084</v>
      </c>
    </row>
    <row r="374" spans="1:26" x14ac:dyDescent="0.25">
      <c r="A374" s="73"/>
      <c r="B374" s="42">
        <v>1084</v>
      </c>
      <c r="C374" s="43">
        <v>41055</v>
      </c>
      <c r="D374" s="44" t="s">
        <v>118</v>
      </c>
      <c r="E374" s="76" t="s">
        <v>90</v>
      </c>
      <c r="F374" s="42" t="s">
        <v>1</v>
      </c>
      <c r="G374" s="49" t="s">
        <v>83</v>
      </c>
      <c r="H374" s="45" t="s">
        <v>2546</v>
      </c>
      <c r="I374" s="83" t="s">
        <v>119</v>
      </c>
      <c r="J374" s="52" t="str">
        <f>VLOOKUP(I374,'CONTACT REFERENCE'!$A$2:$P$399,4,FALSE)</f>
        <v>AL DOBOWI TYRE COMPANY LLC</v>
      </c>
      <c r="K374" s="42" t="s">
        <v>2547</v>
      </c>
      <c r="L374" s="42">
        <v>318078</v>
      </c>
      <c r="M374" s="41" t="s">
        <v>207</v>
      </c>
      <c r="N374" s="41"/>
      <c r="O374" s="47" t="s">
        <v>2432</v>
      </c>
      <c r="P374" s="45" t="s">
        <v>124</v>
      </c>
      <c r="Q374" s="49" t="s">
        <v>120</v>
      </c>
      <c r="R374" s="48">
        <v>400</v>
      </c>
      <c r="S374" s="41" t="s">
        <v>29</v>
      </c>
      <c r="T374" s="84">
        <v>41035</v>
      </c>
      <c r="U374" s="42"/>
      <c r="V374" s="21"/>
      <c r="W374" s="78"/>
      <c r="X374" s="15">
        <v>22</v>
      </c>
      <c r="Z374" s="74" t="str">
        <f>CONCATENATE(Table1[[#This Row],[P.R NUMBER]],"-",Table1[[#This Row],[SR NO]])</f>
        <v>260512382020-1084</v>
      </c>
    </row>
    <row r="375" spans="1:26" x14ac:dyDescent="0.25">
      <c r="A375" s="73"/>
      <c r="B375" s="42">
        <v>1085</v>
      </c>
      <c r="C375" s="43">
        <v>41055</v>
      </c>
      <c r="D375" s="44" t="s">
        <v>118</v>
      </c>
      <c r="E375" s="76" t="s">
        <v>90</v>
      </c>
      <c r="F375" s="42" t="s">
        <v>1</v>
      </c>
      <c r="G375" s="49" t="s">
        <v>1866</v>
      </c>
      <c r="H375" s="45" t="s">
        <v>2548</v>
      </c>
      <c r="I375" s="83" t="s">
        <v>119</v>
      </c>
      <c r="J375" s="52" t="str">
        <f>VLOOKUP(I375,'CONTACT REFERENCE'!$A$2:$P$399,4,FALSE)</f>
        <v>AL DOBOWI TYRE COMPANY LLC</v>
      </c>
      <c r="K375" s="42" t="s">
        <v>2547</v>
      </c>
      <c r="L375" s="42">
        <v>318079</v>
      </c>
      <c r="M375" s="41" t="s">
        <v>207</v>
      </c>
      <c r="N375" s="41"/>
      <c r="O375" s="89" t="s">
        <v>2549</v>
      </c>
      <c r="P375" s="82" t="s">
        <v>141</v>
      </c>
      <c r="Q375" s="81" t="s">
        <v>120</v>
      </c>
      <c r="R375" s="90">
        <v>300</v>
      </c>
      <c r="S375" s="88" t="s">
        <v>29</v>
      </c>
      <c r="T375" s="95">
        <v>41035</v>
      </c>
      <c r="U375" s="39"/>
      <c r="V375" s="91"/>
      <c r="W375" s="92"/>
      <c r="X375" s="22">
        <v>22</v>
      </c>
      <c r="Y375" s="22"/>
      <c r="Z375" s="77" t="str">
        <f>CONCATENATE(Table1[[#This Row],[P.R NUMBER]],"-",Table1[[#This Row],[SR NO]])</f>
        <v>260512172020-1085</v>
      </c>
    </row>
    <row r="376" spans="1:26" x14ac:dyDescent="0.25">
      <c r="A376" s="73"/>
      <c r="B376" s="42">
        <v>1086</v>
      </c>
      <c r="C376" s="43">
        <v>41056</v>
      </c>
      <c r="D376" s="44" t="s">
        <v>122</v>
      </c>
      <c r="E376" s="76" t="s">
        <v>90</v>
      </c>
      <c r="F376" s="42" t="s">
        <v>1</v>
      </c>
      <c r="G376" s="49" t="s">
        <v>70</v>
      </c>
      <c r="H376" s="45" t="s">
        <v>2550</v>
      </c>
      <c r="I376" s="83" t="s">
        <v>292</v>
      </c>
      <c r="J376" s="52" t="str">
        <f>VLOOKUP(I376,'CONTACT REFERENCE'!$A$2:$P$399,4,FALSE)</f>
        <v>WINDY CITY CUTTING DIE</v>
      </c>
      <c r="K376" s="42"/>
      <c r="L376" s="42">
        <v>134886</v>
      </c>
      <c r="M376" s="41" t="s">
        <v>51</v>
      </c>
      <c r="N376" s="41"/>
      <c r="O376" s="47" t="s">
        <v>200</v>
      </c>
      <c r="P376" s="45" t="s">
        <v>126</v>
      </c>
      <c r="Q376" s="49" t="s">
        <v>120</v>
      </c>
      <c r="R376" s="48">
        <v>633</v>
      </c>
      <c r="S376" s="41" t="s">
        <v>28</v>
      </c>
      <c r="T376" s="84">
        <v>41049</v>
      </c>
      <c r="U376" s="42" t="s">
        <v>2551</v>
      </c>
      <c r="V376" s="21"/>
      <c r="W376" s="78"/>
      <c r="X376" s="15">
        <v>22</v>
      </c>
      <c r="Z376" s="74" t="str">
        <f>CONCATENATE(Table1[[#This Row],[P.R NUMBER]],"-",Table1[[#This Row],[SR NO]])</f>
        <v>300512252020-1086</v>
      </c>
    </row>
    <row r="377" spans="1:26" x14ac:dyDescent="0.25">
      <c r="A377" s="73"/>
      <c r="B377" s="42">
        <v>1087</v>
      </c>
      <c r="C377" s="43">
        <v>41059</v>
      </c>
      <c r="D377" s="44" t="s">
        <v>118</v>
      </c>
      <c r="E377" s="76" t="s">
        <v>90</v>
      </c>
      <c r="F377" s="42" t="s">
        <v>1</v>
      </c>
      <c r="G377" s="49" t="s">
        <v>1871</v>
      </c>
      <c r="H377" s="45" t="s">
        <v>2552</v>
      </c>
      <c r="I377" s="83" t="s">
        <v>1006</v>
      </c>
      <c r="J377" s="52" t="str">
        <f>VLOOKUP(I377,'CONTACT REFERENCE'!$A$2:$P$399,4,FALSE)</f>
        <v>AL NAURAS RUBBER FACTORY LLC</v>
      </c>
      <c r="K377" s="42" t="s">
        <v>2553</v>
      </c>
      <c r="L377" s="42" t="s">
        <v>2554</v>
      </c>
      <c r="M377" s="41">
        <v>214</v>
      </c>
      <c r="N377" s="41"/>
      <c r="O377" s="47" t="s">
        <v>2555</v>
      </c>
      <c r="P377" s="45" t="s">
        <v>137</v>
      </c>
      <c r="Q377" s="49" t="s">
        <v>120</v>
      </c>
      <c r="R377" s="48">
        <v>300</v>
      </c>
      <c r="S377" s="41" t="s">
        <v>29</v>
      </c>
      <c r="T377" s="84">
        <v>41097</v>
      </c>
      <c r="U377" s="42" t="s">
        <v>2556</v>
      </c>
      <c r="V377" s="21"/>
      <c r="W377" s="78"/>
      <c r="X377" s="15">
        <v>22</v>
      </c>
      <c r="Z377" s="74" t="str">
        <f>CONCATENATE(Table1[[#This Row],[P.R NUMBER]],"-",Table1[[#This Row],[SR NO]])</f>
        <v>300512102020-1087</v>
      </c>
    </row>
    <row r="378" spans="1:26" x14ac:dyDescent="0.25">
      <c r="A378" s="73"/>
      <c r="B378" s="42">
        <v>1087</v>
      </c>
      <c r="C378" s="43">
        <v>41059</v>
      </c>
      <c r="D378" s="44" t="s">
        <v>118</v>
      </c>
      <c r="E378" s="76" t="s">
        <v>90</v>
      </c>
      <c r="F378" s="42" t="s">
        <v>1</v>
      </c>
      <c r="G378" s="49" t="s">
        <v>1871</v>
      </c>
      <c r="H378" s="45" t="s">
        <v>2552</v>
      </c>
      <c r="I378" s="83" t="s">
        <v>1006</v>
      </c>
      <c r="J378" s="52" t="str">
        <f>VLOOKUP(I378,'CONTACT REFERENCE'!$A$2:$P$399,4,FALSE)</f>
        <v>AL NAURAS RUBBER FACTORY LLC</v>
      </c>
      <c r="K378" s="42" t="s">
        <v>2553</v>
      </c>
      <c r="L378" s="42" t="s">
        <v>2554</v>
      </c>
      <c r="M378" s="41">
        <v>214</v>
      </c>
      <c r="N378" s="41"/>
      <c r="O378" s="47" t="s">
        <v>2557</v>
      </c>
      <c r="P378" s="45" t="s">
        <v>124</v>
      </c>
      <c r="Q378" s="49" t="s">
        <v>120</v>
      </c>
      <c r="R378" s="48">
        <v>1200</v>
      </c>
      <c r="S378" s="41" t="s">
        <v>29</v>
      </c>
      <c r="T378" s="84">
        <v>41097</v>
      </c>
      <c r="U378" s="42" t="s">
        <v>2556</v>
      </c>
      <c r="V378" s="21"/>
      <c r="W378" s="78"/>
      <c r="X378" s="15">
        <v>22</v>
      </c>
      <c r="Z378" s="74" t="str">
        <f>CONCATENATE(Table1[[#This Row],[P.R NUMBER]],"-",Table1[[#This Row],[SR NO]])</f>
        <v>300512102020-1087</v>
      </c>
    </row>
    <row r="379" spans="1:26" x14ac:dyDescent="0.25">
      <c r="A379" s="73"/>
      <c r="B379" s="42">
        <v>1088</v>
      </c>
      <c r="C379" s="43">
        <v>41059</v>
      </c>
      <c r="D379" s="44" t="s">
        <v>118</v>
      </c>
      <c r="E379" s="76" t="s">
        <v>91</v>
      </c>
      <c r="F379" s="42" t="s">
        <v>88</v>
      </c>
      <c r="G379" s="49" t="s">
        <v>72</v>
      </c>
      <c r="H379" s="45" t="s">
        <v>2558</v>
      </c>
      <c r="I379" s="83" t="s">
        <v>425</v>
      </c>
      <c r="J379" s="52" t="str">
        <f>VLOOKUP(I379,'CONTACT REFERENCE'!$A$2:$P$399,4,FALSE)</f>
        <v>AL HOTY STANGER LABORATORIES</v>
      </c>
      <c r="K379" s="42"/>
      <c r="L379" s="42" t="s">
        <v>2559</v>
      </c>
      <c r="M379" s="41"/>
      <c r="N379" s="41"/>
      <c r="O379" s="47" t="s">
        <v>2560</v>
      </c>
      <c r="P379" s="45" t="s">
        <v>124</v>
      </c>
      <c r="Q379" s="49" t="s">
        <v>120</v>
      </c>
      <c r="R379" s="48">
        <v>450</v>
      </c>
      <c r="S379" s="41" t="s">
        <v>29</v>
      </c>
      <c r="T379" s="84">
        <v>41035</v>
      </c>
      <c r="U379" s="42"/>
      <c r="V379" s="21"/>
      <c r="W379" s="78"/>
      <c r="X379" s="15">
        <v>22</v>
      </c>
      <c r="Z379" s="74" t="str">
        <f>CONCATENATE(Table1[[#This Row],[P.R NUMBER]],"-",Table1[[#This Row],[SR NO]])</f>
        <v>300512273060-1088</v>
      </c>
    </row>
    <row r="380" spans="1:26" x14ac:dyDescent="0.25">
      <c r="A380" s="73"/>
      <c r="B380" s="42">
        <v>1089</v>
      </c>
      <c r="C380" s="43">
        <v>41059</v>
      </c>
      <c r="D380" s="44" t="s">
        <v>122</v>
      </c>
      <c r="E380" s="76" t="s">
        <v>90</v>
      </c>
      <c r="F380" s="42" t="s">
        <v>1</v>
      </c>
      <c r="G380" s="49" t="s">
        <v>70</v>
      </c>
      <c r="H380" s="45" t="s">
        <v>2550</v>
      </c>
      <c r="I380" s="83" t="s">
        <v>292</v>
      </c>
      <c r="J380" s="52" t="str">
        <f>VLOOKUP(I380,'CONTACT REFERENCE'!$A$2:$P$399,4,FALSE)</f>
        <v>WINDY CITY CUTTING DIE</v>
      </c>
      <c r="K380" s="42"/>
      <c r="L380" s="42">
        <v>135330</v>
      </c>
      <c r="M380" s="41" t="s">
        <v>54</v>
      </c>
      <c r="N380" s="41"/>
      <c r="O380" s="47" t="s">
        <v>2561</v>
      </c>
      <c r="P380" s="45" t="s">
        <v>124</v>
      </c>
      <c r="Q380" s="49" t="s">
        <v>120</v>
      </c>
      <c r="R380" s="48">
        <v>60</v>
      </c>
      <c r="S380" s="41" t="s">
        <v>28</v>
      </c>
      <c r="T380" s="84">
        <v>41059</v>
      </c>
      <c r="U380" s="42" t="s">
        <v>2562</v>
      </c>
      <c r="V380" s="21"/>
      <c r="W380" s="78"/>
      <c r="X380" s="15">
        <v>22</v>
      </c>
      <c r="Z380" s="74" t="str">
        <f>CONCATENATE(Table1[[#This Row],[P.R NUMBER]],"-",Table1[[#This Row],[SR NO]])</f>
        <v>300512252020-1089</v>
      </c>
    </row>
    <row r="381" spans="1:26" x14ac:dyDescent="0.25">
      <c r="A381" s="73"/>
      <c r="B381" s="42">
        <v>1089</v>
      </c>
      <c r="C381" s="43">
        <v>41059</v>
      </c>
      <c r="D381" s="44" t="s">
        <v>122</v>
      </c>
      <c r="E381" s="76" t="s">
        <v>90</v>
      </c>
      <c r="F381" s="42" t="s">
        <v>1</v>
      </c>
      <c r="G381" s="49" t="s">
        <v>70</v>
      </c>
      <c r="H381" s="45" t="s">
        <v>2550</v>
      </c>
      <c r="I381" s="83" t="s">
        <v>292</v>
      </c>
      <c r="J381" s="52" t="str">
        <f>VLOOKUP(I381,'CONTACT REFERENCE'!$A$2:$P$399,4,FALSE)</f>
        <v>WINDY CITY CUTTING DIE</v>
      </c>
      <c r="K381" s="42"/>
      <c r="L381" s="42">
        <v>135330</v>
      </c>
      <c r="M381" s="41" t="s">
        <v>123</v>
      </c>
      <c r="N381" s="41"/>
      <c r="O381" s="47" t="s">
        <v>2563</v>
      </c>
      <c r="P381" s="45" t="s">
        <v>124</v>
      </c>
      <c r="Q381" s="49" t="s">
        <v>120</v>
      </c>
      <c r="R381" s="48">
        <v>65</v>
      </c>
      <c r="S381" s="41" t="s">
        <v>28</v>
      </c>
      <c r="T381" s="84">
        <v>41059</v>
      </c>
      <c r="U381" s="42" t="s">
        <v>2562</v>
      </c>
      <c r="V381" s="21"/>
      <c r="W381" s="78"/>
      <c r="X381" s="15">
        <v>22</v>
      </c>
      <c r="Z381" s="74" t="str">
        <f>CONCATENATE(Table1[[#This Row],[P.R NUMBER]],"-",Table1[[#This Row],[SR NO]])</f>
        <v>300512252020-1089</v>
      </c>
    </row>
    <row r="382" spans="1:26" x14ac:dyDescent="0.25">
      <c r="A382" s="73"/>
      <c r="B382" s="42">
        <v>1089</v>
      </c>
      <c r="C382" s="43">
        <v>41059</v>
      </c>
      <c r="D382" s="44" t="s">
        <v>122</v>
      </c>
      <c r="E382" s="76" t="s">
        <v>90</v>
      </c>
      <c r="F382" s="42" t="s">
        <v>1</v>
      </c>
      <c r="G382" s="49" t="s">
        <v>70</v>
      </c>
      <c r="H382" s="45" t="s">
        <v>2550</v>
      </c>
      <c r="I382" s="83" t="s">
        <v>292</v>
      </c>
      <c r="J382" s="52" t="str">
        <f>VLOOKUP(I382,'CONTACT REFERENCE'!$A$2:$P$399,4,FALSE)</f>
        <v>WINDY CITY CUTTING DIE</v>
      </c>
      <c r="K382" s="42"/>
      <c r="L382" s="42">
        <v>135330</v>
      </c>
      <c r="M382" s="41" t="s">
        <v>54</v>
      </c>
      <c r="N382" s="41"/>
      <c r="O382" s="47" t="s">
        <v>2564</v>
      </c>
      <c r="P382" s="45" t="s">
        <v>124</v>
      </c>
      <c r="Q382" s="49" t="s">
        <v>120</v>
      </c>
      <c r="R382" s="48">
        <v>55</v>
      </c>
      <c r="S382" s="41" t="s">
        <v>28</v>
      </c>
      <c r="T382" s="84">
        <v>41059</v>
      </c>
      <c r="U382" s="42" t="s">
        <v>2562</v>
      </c>
      <c r="V382" s="21"/>
      <c r="W382" s="78"/>
      <c r="X382" s="15">
        <v>22</v>
      </c>
      <c r="Z382" s="74" t="str">
        <f>CONCATENATE(Table1[[#This Row],[P.R NUMBER]],"-",Table1[[#This Row],[SR NO]])</f>
        <v>300512252020-1089</v>
      </c>
    </row>
    <row r="383" spans="1:26" x14ac:dyDescent="0.25">
      <c r="A383" s="73"/>
      <c r="B383" s="42">
        <v>1090</v>
      </c>
      <c r="C383" s="43">
        <v>41059</v>
      </c>
      <c r="D383" s="44" t="s">
        <v>122</v>
      </c>
      <c r="E383" s="76" t="s">
        <v>90</v>
      </c>
      <c r="F383" s="42" t="s">
        <v>1</v>
      </c>
      <c r="G383" s="49" t="s">
        <v>70</v>
      </c>
      <c r="H383" s="45" t="s">
        <v>2550</v>
      </c>
      <c r="I383" s="83" t="s">
        <v>292</v>
      </c>
      <c r="J383" s="52" t="str">
        <f>VLOOKUP(I383,'CONTACT REFERENCE'!$A$2:$P$399,4,FALSE)</f>
        <v>WINDY CITY CUTTING DIE</v>
      </c>
      <c r="K383" s="42"/>
      <c r="L383" s="42">
        <v>135331</v>
      </c>
      <c r="M383" s="41" t="s">
        <v>123</v>
      </c>
      <c r="N383" s="41"/>
      <c r="O383" s="47" t="s">
        <v>2565</v>
      </c>
      <c r="P383" s="45" t="s">
        <v>124</v>
      </c>
      <c r="Q383" s="49" t="s">
        <v>120</v>
      </c>
      <c r="R383" s="48">
        <v>35</v>
      </c>
      <c r="S383" s="41" t="s">
        <v>28</v>
      </c>
      <c r="T383" s="84">
        <v>41059</v>
      </c>
      <c r="U383" s="42" t="s">
        <v>2562</v>
      </c>
      <c r="V383" s="21"/>
      <c r="W383" s="78"/>
      <c r="X383" s="15">
        <v>22</v>
      </c>
      <c r="Z383" s="74" t="str">
        <f>CONCATENATE(Table1[[#This Row],[P.R NUMBER]],"-",Table1[[#This Row],[SR NO]])</f>
        <v>300512252020-1090</v>
      </c>
    </row>
    <row r="384" spans="1:26" x14ac:dyDescent="0.25">
      <c r="A384" s="73"/>
      <c r="B384" s="42">
        <v>1090</v>
      </c>
      <c r="C384" s="43">
        <v>41059</v>
      </c>
      <c r="D384" s="44" t="s">
        <v>122</v>
      </c>
      <c r="E384" s="76" t="s">
        <v>90</v>
      </c>
      <c r="F384" s="42" t="s">
        <v>1</v>
      </c>
      <c r="G384" s="49" t="s">
        <v>70</v>
      </c>
      <c r="H384" s="45" t="s">
        <v>2550</v>
      </c>
      <c r="I384" s="83" t="s">
        <v>292</v>
      </c>
      <c r="J384" s="52" t="str">
        <f>VLOOKUP(I384,'CONTACT REFERENCE'!$A$2:$P$399,4,FALSE)</f>
        <v>WINDY CITY CUTTING DIE</v>
      </c>
      <c r="K384" s="42"/>
      <c r="L384" s="42">
        <v>135331</v>
      </c>
      <c r="M384" s="41" t="s">
        <v>123</v>
      </c>
      <c r="N384" s="41"/>
      <c r="O384" s="47" t="s">
        <v>2566</v>
      </c>
      <c r="P384" s="45" t="s">
        <v>124</v>
      </c>
      <c r="Q384" s="49" t="s">
        <v>120</v>
      </c>
      <c r="R384" s="48">
        <v>70</v>
      </c>
      <c r="S384" s="41" t="s">
        <v>28</v>
      </c>
      <c r="T384" s="84">
        <v>41059</v>
      </c>
      <c r="U384" s="42" t="s">
        <v>2562</v>
      </c>
      <c r="V384" s="21"/>
      <c r="W384" s="78"/>
      <c r="X384" s="15">
        <v>22</v>
      </c>
      <c r="Z384" s="74" t="str">
        <f>CONCATENATE(Table1[[#This Row],[P.R NUMBER]],"-",Table1[[#This Row],[SR NO]])</f>
        <v>300512252020-1090</v>
      </c>
    </row>
    <row r="385" spans="1:26" x14ac:dyDescent="0.25">
      <c r="A385" s="73"/>
      <c r="B385" s="42">
        <v>1090</v>
      </c>
      <c r="C385" s="43">
        <v>41059</v>
      </c>
      <c r="D385" s="44" t="s">
        <v>122</v>
      </c>
      <c r="E385" s="76" t="s">
        <v>90</v>
      </c>
      <c r="F385" s="42" t="s">
        <v>1</v>
      </c>
      <c r="G385" s="49" t="s">
        <v>70</v>
      </c>
      <c r="H385" s="45" t="s">
        <v>2550</v>
      </c>
      <c r="I385" s="83" t="s">
        <v>292</v>
      </c>
      <c r="J385" s="52" t="str">
        <f>VLOOKUP(I385,'CONTACT REFERENCE'!$A$2:$P$399,4,FALSE)</f>
        <v>WINDY CITY CUTTING DIE</v>
      </c>
      <c r="K385" s="42"/>
      <c r="L385" s="42">
        <v>135331</v>
      </c>
      <c r="M385" s="41" t="s">
        <v>52</v>
      </c>
      <c r="N385" s="41"/>
      <c r="O385" s="47" t="s">
        <v>2567</v>
      </c>
      <c r="P385" s="45" t="s">
        <v>124</v>
      </c>
      <c r="Q385" s="49" t="s">
        <v>120</v>
      </c>
      <c r="R385" s="48">
        <v>45</v>
      </c>
      <c r="S385" s="41" t="s">
        <v>28</v>
      </c>
      <c r="T385" s="84">
        <v>41059</v>
      </c>
      <c r="U385" s="42" t="s">
        <v>2562</v>
      </c>
      <c r="V385" s="21"/>
      <c r="W385" s="78"/>
      <c r="X385" s="15">
        <v>22</v>
      </c>
      <c r="Z385" s="74" t="str">
        <f>CONCATENATE(Table1[[#This Row],[P.R NUMBER]],"-",Table1[[#This Row],[SR NO]])</f>
        <v>300512252020-1090</v>
      </c>
    </row>
    <row r="386" spans="1:26" x14ac:dyDescent="0.25">
      <c r="A386" s="73"/>
      <c r="B386" s="42">
        <v>1091</v>
      </c>
      <c r="C386" s="43">
        <v>41059</v>
      </c>
      <c r="D386" s="44" t="s">
        <v>122</v>
      </c>
      <c r="E386" s="76" t="s">
        <v>90</v>
      </c>
      <c r="F386" s="42" t="s">
        <v>1</v>
      </c>
      <c r="G386" s="49" t="s">
        <v>70</v>
      </c>
      <c r="H386" s="45" t="s">
        <v>2550</v>
      </c>
      <c r="I386" s="83" t="s">
        <v>262</v>
      </c>
      <c r="J386" s="52" t="str">
        <f>VLOOKUP(I386,'CONTACT REFERENCE'!$A$2:$P$399,4,FALSE)</f>
        <v>CURTIUS TRADING INC</v>
      </c>
      <c r="K386" s="42"/>
      <c r="L386" s="42">
        <v>20120145</v>
      </c>
      <c r="M386" s="41"/>
      <c r="N386" s="41"/>
      <c r="O386" s="47" t="s">
        <v>1877</v>
      </c>
      <c r="P386" s="45" t="s">
        <v>136</v>
      </c>
      <c r="Q386" s="49" t="s">
        <v>120</v>
      </c>
      <c r="R386" s="48">
        <v>303.10000000000002</v>
      </c>
      <c r="S386" s="41" t="s">
        <v>28</v>
      </c>
      <c r="T386" s="84">
        <v>41085</v>
      </c>
      <c r="U386" s="42" t="s">
        <v>2568</v>
      </c>
      <c r="V386" s="21"/>
      <c r="W386" s="78"/>
      <c r="X386" s="15">
        <v>22</v>
      </c>
      <c r="Z386" s="74" t="str">
        <f>CONCATENATE(Table1[[#This Row],[P.R NUMBER]],"-",Table1[[#This Row],[SR NO]])</f>
        <v>300512252020-1091</v>
      </c>
    </row>
    <row r="387" spans="1:26" x14ac:dyDescent="0.25">
      <c r="A387" s="73"/>
      <c r="B387" s="42">
        <v>1091</v>
      </c>
      <c r="C387" s="43">
        <v>41059</v>
      </c>
      <c r="D387" s="44" t="s">
        <v>122</v>
      </c>
      <c r="E387" s="76" t="s">
        <v>90</v>
      </c>
      <c r="F387" s="42" t="s">
        <v>1</v>
      </c>
      <c r="G387" s="49" t="s">
        <v>70</v>
      </c>
      <c r="H387" s="45" t="s">
        <v>2550</v>
      </c>
      <c r="I387" s="83" t="s">
        <v>262</v>
      </c>
      <c r="J387" s="52" t="str">
        <f>VLOOKUP(I387,'CONTACT REFERENCE'!$A$2:$P$399,4,FALSE)</f>
        <v>CURTIUS TRADING INC</v>
      </c>
      <c r="K387" s="42"/>
      <c r="L387" s="42">
        <v>20120145</v>
      </c>
      <c r="M387" s="41"/>
      <c r="N387" s="41"/>
      <c r="O387" s="47" t="s">
        <v>2569</v>
      </c>
      <c r="P387" s="45" t="s">
        <v>124</v>
      </c>
      <c r="Q387" s="49" t="s">
        <v>120</v>
      </c>
      <c r="R387" s="48">
        <v>200</v>
      </c>
      <c r="S387" s="41" t="s">
        <v>28</v>
      </c>
      <c r="T387" s="84">
        <v>41085</v>
      </c>
      <c r="U387" s="42" t="s">
        <v>2568</v>
      </c>
      <c r="V387" s="21"/>
      <c r="W387" s="78"/>
      <c r="X387" s="15">
        <v>22</v>
      </c>
      <c r="Z387" s="74" t="str">
        <f>CONCATENATE(Table1[[#This Row],[P.R NUMBER]],"-",Table1[[#This Row],[SR NO]])</f>
        <v>300512252020-1091</v>
      </c>
    </row>
    <row r="388" spans="1:26" x14ac:dyDescent="0.25">
      <c r="A388" s="73"/>
      <c r="B388" s="42">
        <v>1092</v>
      </c>
      <c r="C388" s="43">
        <v>40914</v>
      </c>
      <c r="D388" s="44" t="s">
        <v>122</v>
      </c>
      <c r="E388" s="76" t="s">
        <v>89</v>
      </c>
      <c r="F388" s="42" t="s">
        <v>1</v>
      </c>
      <c r="G388" s="49" t="s">
        <v>48</v>
      </c>
      <c r="H388" s="45" t="s">
        <v>2570</v>
      </c>
      <c r="I388" s="83" t="s">
        <v>262</v>
      </c>
      <c r="J388" s="52" t="str">
        <f>VLOOKUP(I388,'CONTACT REFERENCE'!$A$2:$P$399,4,FALSE)</f>
        <v>CURTIUS TRADING INC</v>
      </c>
      <c r="K388" s="42"/>
      <c r="L388" s="42">
        <v>20120121</v>
      </c>
      <c r="M388" s="41" t="s">
        <v>123</v>
      </c>
      <c r="N388" s="41" t="s">
        <v>2571</v>
      </c>
      <c r="O388" s="47" t="s">
        <v>2572</v>
      </c>
      <c r="P388" s="45" t="s">
        <v>126</v>
      </c>
      <c r="Q388" s="49" t="s">
        <v>120</v>
      </c>
      <c r="R388" s="48">
        <f>5*55.32</f>
        <v>276.60000000000002</v>
      </c>
      <c r="S388" s="41" t="s">
        <v>28</v>
      </c>
      <c r="T388" s="107">
        <v>41791</v>
      </c>
      <c r="U388" s="42" t="s">
        <v>2573</v>
      </c>
      <c r="V388" s="21"/>
      <c r="W388" s="78"/>
      <c r="X388" s="15">
        <v>22</v>
      </c>
      <c r="Z388" s="74" t="str">
        <f>CONCATENATE(Table1[[#This Row],[P.R NUMBER]],"-",Table1[[#This Row],[SR NO]])</f>
        <v>010612011020-1092</v>
      </c>
    </row>
    <row r="389" spans="1:26" x14ac:dyDescent="0.25">
      <c r="A389" s="73"/>
      <c r="B389" s="42">
        <v>1092</v>
      </c>
      <c r="C389" s="43">
        <v>40914</v>
      </c>
      <c r="D389" s="44" t="s">
        <v>122</v>
      </c>
      <c r="E389" s="76" t="s">
        <v>89</v>
      </c>
      <c r="F389" s="42" t="s">
        <v>1</v>
      </c>
      <c r="G389" s="49" t="s">
        <v>48</v>
      </c>
      <c r="H389" s="45" t="s">
        <v>2570</v>
      </c>
      <c r="I389" s="83" t="s">
        <v>262</v>
      </c>
      <c r="J389" s="52" t="str">
        <f>VLOOKUP(I389,'CONTACT REFERENCE'!$A$2:$P$399,4,FALSE)</f>
        <v>CURTIUS TRADING INC</v>
      </c>
      <c r="K389" s="42"/>
      <c r="L389" s="42">
        <v>20120121</v>
      </c>
      <c r="M389" s="41" t="s">
        <v>123</v>
      </c>
      <c r="N389" s="41" t="s">
        <v>2571</v>
      </c>
      <c r="O389" s="47" t="s">
        <v>2574</v>
      </c>
      <c r="P389" s="45" t="s">
        <v>126</v>
      </c>
      <c r="Q389" s="49" t="s">
        <v>120</v>
      </c>
      <c r="R389" s="48">
        <f>5*8.3</f>
        <v>41.5</v>
      </c>
      <c r="S389" s="41" t="s">
        <v>28</v>
      </c>
      <c r="T389" s="107">
        <v>41791</v>
      </c>
      <c r="U389" s="42" t="s">
        <v>2573</v>
      </c>
      <c r="V389" s="21"/>
      <c r="W389" s="78"/>
      <c r="X389" s="15">
        <v>22</v>
      </c>
      <c r="Z389" s="74" t="str">
        <f>CONCATENATE(Table1[[#This Row],[P.R NUMBER]],"-",Table1[[#This Row],[SR NO]])</f>
        <v>010612011020-1092</v>
      </c>
    </row>
    <row r="390" spans="1:26" x14ac:dyDescent="0.25">
      <c r="A390" s="73"/>
      <c r="B390" s="42">
        <v>1092</v>
      </c>
      <c r="C390" s="43">
        <v>40914</v>
      </c>
      <c r="D390" s="44" t="s">
        <v>122</v>
      </c>
      <c r="E390" s="76" t="s">
        <v>89</v>
      </c>
      <c r="F390" s="42" t="s">
        <v>1</v>
      </c>
      <c r="G390" s="49" t="s">
        <v>48</v>
      </c>
      <c r="H390" s="45" t="s">
        <v>2570</v>
      </c>
      <c r="I390" s="83" t="s">
        <v>262</v>
      </c>
      <c r="J390" s="52" t="str">
        <f>VLOOKUP(I390,'CONTACT REFERENCE'!$A$2:$P$399,4,FALSE)</f>
        <v>CURTIUS TRADING INC</v>
      </c>
      <c r="K390" s="42"/>
      <c r="L390" s="42">
        <v>20120121</v>
      </c>
      <c r="M390" s="41" t="s">
        <v>123</v>
      </c>
      <c r="N390" s="41" t="s">
        <v>2571</v>
      </c>
      <c r="O390" s="47" t="s">
        <v>2575</v>
      </c>
      <c r="P390" s="45" t="s">
        <v>130</v>
      </c>
      <c r="Q390" s="49" t="s">
        <v>120</v>
      </c>
      <c r="R390" s="48">
        <f>6*8.54</f>
        <v>51.239999999999995</v>
      </c>
      <c r="S390" s="41" t="s">
        <v>28</v>
      </c>
      <c r="T390" s="107">
        <v>41791</v>
      </c>
      <c r="U390" s="42" t="s">
        <v>2573</v>
      </c>
      <c r="V390" s="21"/>
      <c r="W390" s="78"/>
      <c r="X390" s="15">
        <v>22</v>
      </c>
      <c r="Z390" s="74" t="str">
        <f>CONCATENATE(Table1[[#This Row],[P.R NUMBER]],"-",Table1[[#This Row],[SR NO]])</f>
        <v>010612011020-1092</v>
      </c>
    </row>
    <row r="391" spans="1:26" x14ac:dyDescent="0.25">
      <c r="A391" s="73"/>
      <c r="B391" s="42">
        <v>1092</v>
      </c>
      <c r="C391" s="43">
        <v>40914</v>
      </c>
      <c r="D391" s="44" t="s">
        <v>122</v>
      </c>
      <c r="E391" s="76" t="s">
        <v>89</v>
      </c>
      <c r="F391" s="42" t="s">
        <v>1</v>
      </c>
      <c r="G391" s="49" t="s">
        <v>48</v>
      </c>
      <c r="H391" s="45" t="s">
        <v>2570</v>
      </c>
      <c r="I391" s="83" t="s">
        <v>262</v>
      </c>
      <c r="J391" s="52" t="str">
        <f>VLOOKUP(I391,'CONTACT REFERENCE'!$A$2:$P$399,4,FALSE)</f>
        <v>CURTIUS TRADING INC</v>
      </c>
      <c r="K391" s="42"/>
      <c r="L391" s="42">
        <v>20120121</v>
      </c>
      <c r="M391" s="41" t="s">
        <v>123</v>
      </c>
      <c r="N391" s="41" t="s">
        <v>2571</v>
      </c>
      <c r="O391" s="47" t="s">
        <v>2576</v>
      </c>
      <c r="P391" s="45" t="s">
        <v>130</v>
      </c>
      <c r="Q391" s="49" t="s">
        <v>120</v>
      </c>
      <c r="R391" s="48">
        <f>6*16.73</f>
        <v>100.38</v>
      </c>
      <c r="S391" s="41" t="s">
        <v>28</v>
      </c>
      <c r="T391" s="107">
        <v>41791</v>
      </c>
      <c r="U391" s="42" t="s">
        <v>2573</v>
      </c>
      <c r="V391" s="21"/>
      <c r="W391" s="78"/>
      <c r="X391" s="15">
        <v>22</v>
      </c>
      <c r="Z391" s="74" t="str">
        <f>CONCATENATE(Table1[[#This Row],[P.R NUMBER]],"-",Table1[[#This Row],[SR NO]])</f>
        <v>010612011020-1092</v>
      </c>
    </row>
    <row r="392" spans="1:26" x14ac:dyDescent="0.25">
      <c r="A392" s="73"/>
      <c r="B392" s="42">
        <v>1092</v>
      </c>
      <c r="C392" s="43">
        <v>40914</v>
      </c>
      <c r="D392" s="44" t="s">
        <v>122</v>
      </c>
      <c r="E392" s="76" t="s">
        <v>89</v>
      </c>
      <c r="F392" s="42" t="s">
        <v>1</v>
      </c>
      <c r="G392" s="49" t="s">
        <v>48</v>
      </c>
      <c r="H392" s="45" t="s">
        <v>2570</v>
      </c>
      <c r="I392" s="83" t="s">
        <v>262</v>
      </c>
      <c r="J392" s="52" t="str">
        <f>VLOOKUP(I392,'CONTACT REFERENCE'!$A$2:$P$399,4,FALSE)</f>
        <v>CURTIUS TRADING INC</v>
      </c>
      <c r="K392" s="42"/>
      <c r="L392" s="42">
        <v>20120121</v>
      </c>
      <c r="M392" s="41" t="s">
        <v>123</v>
      </c>
      <c r="N392" s="41" t="s">
        <v>2571</v>
      </c>
      <c r="O392" s="89" t="s">
        <v>2577</v>
      </c>
      <c r="P392" s="82" t="s">
        <v>1867</v>
      </c>
      <c r="Q392" s="81" t="s">
        <v>120</v>
      </c>
      <c r="R392" s="90">
        <f>10*16.38</f>
        <v>163.79999999999998</v>
      </c>
      <c r="S392" s="88" t="s">
        <v>28</v>
      </c>
      <c r="T392" s="107">
        <v>41791</v>
      </c>
      <c r="U392" s="42" t="s">
        <v>2573</v>
      </c>
      <c r="V392" s="91"/>
      <c r="W392" s="92"/>
      <c r="X392" s="22">
        <v>22</v>
      </c>
      <c r="Y392" s="22"/>
      <c r="Z392" s="77" t="str">
        <f>CONCATENATE(Table1[[#This Row],[P.R NUMBER]],"-",Table1[[#This Row],[SR NO]])</f>
        <v>010612011020-1092</v>
      </c>
    </row>
    <row r="393" spans="1:26" x14ac:dyDescent="0.25">
      <c r="A393" s="73"/>
      <c r="B393" s="42">
        <v>1093</v>
      </c>
      <c r="C393" s="43">
        <v>41005</v>
      </c>
      <c r="D393" s="44" t="s">
        <v>118</v>
      </c>
      <c r="E393" s="76" t="s">
        <v>90</v>
      </c>
      <c r="F393" s="42" t="s">
        <v>1</v>
      </c>
      <c r="G393" s="49" t="s">
        <v>70</v>
      </c>
      <c r="H393" s="45" t="s">
        <v>2578</v>
      </c>
      <c r="I393" s="83" t="s">
        <v>341</v>
      </c>
      <c r="J393" s="52" t="str">
        <f>VLOOKUP(I393,'CONTACT REFERENCE'!$A$2:$P$399,4,FALSE)</f>
        <v>ADVANCE TECHNOLOGY BELTING TRD EST</v>
      </c>
      <c r="K393" s="42" t="s">
        <v>2579</v>
      </c>
      <c r="L393" s="42">
        <v>1206016</v>
      </c>
      <c r="M393" s="41"/>
      <c r="N393" s="41"/>
      <c r="O393" s="47" t="s">
        <v>2580</v>
      </c>
      <c r="P393" s="45" t="s">
        <v>136</v>
      </c>
      <c r="Q393" s="49" t="s">
        <v>120</v>
      </c>
      <c r="R393" s="48">
        <v>300</v>
      </c>
      <c r="S393" s="41" t="s">
        <v>29</v>
      </c>
      <c r="T393" s="84">
        <v>41082</v>
      </c>
      <c r="U393" s="42"/>
      <c r="V393" s="21" t="s">
        <v>2581</v>
      </c>
      <c r="W393" s="78"/>
      <c r="X393" s="15">
        <v>22</v>
      </c>
      <c r="Z393" s="74" t="str">
        <f>CONCATENATE(Table1[[#This Row],[P.R NUMBER]],"-",Table1[[#This Row],[SR NO]])</f>
        <v>040612252020-1093</v>
      </c>
    </row>
    <row r="394" spans="1:26" x14ac:dyDescent="0.25">
      <c r="A394" s="73"/>
      <c r="B394" s="42">
        <v>1094</v>
      </c>
      <c r="C394" s="43">
        <v>41005</v>
      </c>
      <c r="D394" s="44" t="s">
        <v>122</v>
      </c>
      <c r="E394" s="76" t="s">
        <v>85</v>
      </c>
      <c r="F394" s="42" t="s">
        <v>85</v>
      </c>
      <c r="G394" s="49" t="s">
        <v>70</v>
      </c>
      <c r="H394" s="45" t="s">
        <v>2582</v>
      </c>
      <c r="I394" s="83" t="s">
        <v>276</v>
      </c>
      <c r="J394" s="52" t="str">
        <f>VLOOKUP(I394,'CONTACT REFERENCE'!$A$2:$P$399,4,FALSE)</f>
        <v>BEST CUTTING DIE COMPANY</v>
      </c>
      <c r="K394" s="42"/>
      <c r="L394" s="42">
        <v>40562</v>
      </c>
      <c r="M394" s="41" t="s">
        <v>123</v>
      </c>
      <c r="N394" s="41"/>
      <c r="O394" s="47" t="s">
        <v>2583</v>
      </c>
      <c r="P394" s="45" t="s">
        <v>124</v>
      </c>
      <c r="Q394" s="49" t="s">
        <v>120</v>
      </c>
      <c r="R394" s="48">
        <v>189</v>
      </c>
      <c r="S394" s="41" t="s">
        <v>28</v>
      </c>
      <c r="T394" s="84">
        <v>41066</v>
      </c>
      <c r="U394" s="42" t="s">
        <v>2584</v>
      </c>
      <c r="V394" s="21"/>
      <c r="W394" s="78"/>
      <c r="X394" s="15">
        <v>22</v>
      </c>
      <c r="Z394" s="74" t="str">
        <f>CONCATENATE(Table1[[#This Row],[P.R NUMBER]],"-",Table1[[#This Row],[SR NO]])</f>
        <v>040612253030-1094</v>
      </c>
    </row>
    <row r="395" spans="1:26" x14ac:dyDescent="0.25">
      <c r="A395" s="73"/>
      <c r="B395" s="42">
        <v>1094</v>
      </c>
      <c r="C395" s="43">
        <v>41005</v>
      </c>
      <c r="D395" s="44" t="s">
        <v>122</v>
      </c>
      <c r="E395" s="76" t="s">
        <v>85</v>
      </c>
      <c r="F395" s="42" t="s">
        <v>85</v>
      </c>
      <c r="G395" s="49" t="s">
        <v>70</v>
      </c>
      <c r="H395" s="45" t="s">
        <v>2582</v>
      </c>
      <c r="I395" s="83" t="s">
        <v>276</v>
      </c>
      <c r="J395" s="52" t="str">
        <f>VLOOKUP(I395,'CONTACT REFERENCE'!$A$2:$P$399,4,FALSE)</f>
        <v>BEST CUTTING DIE COMPANY</v>
      </c>
      <c r="K395" s="42"/>
      <c r="L395" s="42">
        <v>40562</v>
      </c>
      <c r="M395" s="41" t="s">
        <v>123</v>
      </c>
      <c r="N395" s="41"/>
      <c r="O395" s="47" t="s">
        <v>2585</v>
      </c>
      <c r="P395" s="45" t="s">
        <v>136</v>
      </c>
      <c r="Q395" s="49" t="s">
        <v>120</v>
      </c>
      <c r="R395" s="48">
        <f>2*189</f>
        <v>378</v>
      </c>
      <c r="S395" s="41" t="s">
        <v>28</v>
      </c>
      <c r="T395" s="84">
        <v>41066</v>
      </c>
      <c r="U395" s="42" t="s">
        <v>2584</v>
      </c>
      <c r="V395" s="21"/>
      <c r="W395" s="78"/>
      <c r="X395" s="15">
        <v>22</v>
      </c>
      <c r="Z395" s="74" t="str">
        <f>CONCATENATE(Table1[[#This Row],[P.R NUMBER]],"-",Table1[[#This Row],[SR NO]])</f>
        <v>040612253030-1094</v>
      </c>
    </row>
    <row r="396" spans="1:26" x14ac:dyDescent="0.25">
      <c r="A396" s="73"/>
      <c r="B396" s="42">
        <v>1094</v>
      </c>
      <c r="C396" s="43">
        <v>41005</v>
      </c>
      <c r="D396" s="44" t="s">
        <v>122</v>
      </c>
      <c r="E396" s="76" t="s">
        <v>85</v>
      </c>
      <c r="F396" s="42" t="s">
        <v>85</v>
      </c>
      <c r="G396" s="49" t="s">
        <v>70</v>
      </c>
      <c r="H396" s="45" t="s">
        <v>2582</v>
      </c>
      <c r="I396" s="83" t="s">
        <v>276</v>
      </c>
      <c r="J396" s="52" t="str">
        <f>VLOOKUP(I396,'CONTACT REFERENCE'!$A$2:$P$399,4,FALSE)</f>
        <v>BEST CUTTING DIE COMPANY</v>
      </c>
      <c r="K396" s="42"/>
      <c r="L396" s="42">
        <v>40562</v>
      </c>
      <c r="M396" s="41" t="s">
        <v>123</v>
      </c>
      <c r="N396" s="41"/>
      <c r="O396" s="47" t="s">
        <v>2586</v>
      </c>
      <c r="P396" s="45" t="s">
        <v>124</v>
      </c>
      <c r="Q396" s="49" t="s">
        <v>120</v>
      </c>
      <c r="R396" s="48">
        <v>189</v>
      </c>
      <c r="S396" s="41" t="s">
        <v>28</v>
      </c>
      <c r="T396" s="84">
        <v>41066</v>
      </c>
      <c r="U396" s="42" t="s">
        <v>2584</v>
      </c>
      <c r="V396" s="21"/>
      <c r="W396" s="78"/>
      <c r="X396" s="15">
        <v>22</v>
      </c>
      <c r="Z396" s="74" t="str">
        <f>CONCATENATE(Table1[[#This Row],[P.R NUMBER]],"-",Table1[[#This Row],[SR NO]])</f>
        <v>040612253030-1094</v>
      </c>
    </row>
    <row r="397" spans="1:26" x14ac:dyDescent="0.25">
      <c r="A397" s="73"/>
      <c r="B397" s="42">
        <v>1094</v>
      </c>
      <c r="C397" s="43">
        <v>41005</v>
      </c>
      <c r="D397" s="44" t="s">
        <v>122</v>
      </c>
      <c r="E397" s="76" t="s">
        <v>85</v>
      </c>
      <c r="F397" s="42" t="s">
        <v>85</v>
      </c>
      <c r="G397" s="49" t="s">
        <v>70</v>
      </c>
      <c r="H397" s="45" t="s">
        <v>2582</v>
      </c>
      <c r="I397" s="83" t="s">
        <v>276</v>
      </c>
      <c r="J397" s="52" t="str">
        <f>VLOOKUP(I397,'CONTACT REFERENCE'!$A$2:$P$399,4,FALSE)</f>
        <v>BEST CUTTING DIE COMPANY</v>
      </c>
      <c r="K397" s="42"/>
      <c r="L397" s="42">
        <v>40562</v>
      </c>
      <c r="M397" s="41" t="s">
        <v>123</v>
      </c>
      <c r="N397" s="41"/>
      <c r="O397" s="47" t="s">
        <v>2587</v>
      </c>
      <c r="P397" s="45" t="s">
        <v>124</v>
      </c>
      <c r="Q397" s="49" t="s">
        <v>120</v>
      </c>
      <c r="R397" s="48">
        <v>189</v>
      </c>
      <c r="S397" s="41" t="s">
        <v>28</v>
      </c>
      <c r="T397" s="84">
        <v>41066</v>
      </c>
      <c r="U397" s="42" t="s">
        <v>2584</v>
      </c>
      <c r="V397" s="21"/>
      <c r="W397" s="78"/>
      <c r="X397" s="15">
        <v>22</v>
      </c>
      <c r="Z397" s="74" t="str">
        <f>CONCATENATE(Table1[[#This Row],[P.R NUMBER]],"-",Table1[[#This Row],[SR NO]])</f>
        <v>040612253030-1094</v>
      </c>
    </row>
    <row r="398" spans="1:26" x14ac:dyDescent="0.25">
      <c r="A398" s="73"/>
      <c r="B398" s="42">
        <v>1094</v>
      </c>
      <c r="C398" s="43">
        <v>41005</v>
      </c>
      <c r="D398" s="44" t="s">
        <v>122</v>
      </c>
      <c r="E398" s="76" t="s">
        <v>85</v>
      </c>
      <c r="F398" s="42" t="s">
        <v>85</v>
      </c>
      <c r="G398" s="49" t="s">
        <v>70</v>
      </c>
      <c r="H398" s="45" t="s">
        <v>2582</v>
      </c>
      <c r="I398" s="83" t="s">
        <v>276</v>
      </c>
      <c r="J398" s="52" t="str">
        <f>VLOOKUP(I398,'CONTACT REFERENCE'!$A$2:$P$399,4,FALSE)</f>
        <v>BEST CUTTING DIE COMPANY</v>
      </c>
      <c r="K398" s="42"/>
      <c r="L398" s="42">
        <v>40562</v>
      </c>
      <c r="M398" s="41" t="s">
        <v>123</v>
      </c>
      <c r="N398" s="41"/>
      <c r="O398" s="47" t="s">
        <v>2588</v>
      </c>
      <c r="P398" s="45" t="s">
        <v>136</v>
      </c>
      <c r="Q398" s="49" t="s">
        <v>120</v>
      </c>
      <c r="R398" s="48">
        <f>2*44</f>
        <v>88</v>
      </c>
      <c r="S398" s="41" t="s">
        <v>28</v>
      </c>
      <c r="T398" s="84">
        <v>41066</v>
      </c>
      <c r="U398" s="42" t="s">
        <v>2584</v>
      </c>
      <c r="V398" s="21"/>
      <c r="W398" s="78"/>
      <c r="X398" s="15">
        <v>22</v>
      </c>
      <c r="Z398" s="74" t="str">
        <f>CONCATENATE(Table1[[#This Row],[P.R NUMBER]],"-",Table1[[#This Row],[SR NO]])</f>
        <v>040612253030-1094</v>
      </c>
    </row>
    <row r="399" spans="1:26" x14ac:dyDescent="0.25">
      <c r="A399" s="73"/>
      <c r="B399" s="42">
        <v>1094</v>
      </c>
      <c r="C399" s="43">
        <v>41005</v>
      </c>
      <c r="D399" s="44" t="s">
        <v>122</v>
      </c>
      <c r="E399" s="76" t="s">
        <v>85</v>
      </c>
      <c r="F399" s="42" t="s">
        <v>85</v>
      </c>
      <c r="G399" s="49" t="s">
        <v>70</v>
      </c>
      <c r="H399" s="45" t="s">
        <v>2582</v>
      </c>
      <c r="I399" s="83" t="s">
        <v>276</v>
      </c>
      <c r="J399" s="52" t="str">
        <f>VLOOKUP(I399,'CONTACT REFERENCE'!$A$2:$P$399,4,FALSE)</f>
        <v>BEST CUTTING DIE COMPANY</v>
      </c>
      <c r="K399" s="42"/>
      <c r="L399" s="42">
        <v>40562</v>
      </c>
      <c r="M399" s="41" t="s">
        <v>123</v>
      </c>
      <c r="N399" s="41"/>
      <c r="O399" s="47" t="s">
        <v>2589</v>
      </c>
      <c r="P399" s="45" t="s">
        <v>141</v>
      </c>
      <c r="Q399" s="49" t="s">
        <v>120</v>
      </c>
      <c r="R399" s="48">
        <f>4*44</f>
        <v>176</v>
      </c>
      <c r="S399" s="41" t="s">
        <v>28</v>
      </c>
      <c r="T399" s="84">
        <v>41066</v>
      </c>
      <c r="U399" s="42" t="s">
        <v>2584</v>
      </c>
      <c r="V399" s="21"/>
      <c r="W399" s="78"/>
      <c r="X399" s="15">
        <v>22</v>
      </c>
      <c r="Z399" s="74" t="str">
        <f>CONCATENATE(Table1[[#This Row],[P.R NUMBER]],"-",Table1[[#This Row],[SR NO]])</f>
        <v>040612253030-1094</v>
      </c>
    </row>
    <row r="400" spans="1:26" x14ac:dyDescent="0.25">
      <c r="A400" s="73"/>
      <c r="B400" s="42">
        <v>1095</v>
      </c>
      <c r="C400" s="43">
        <v>41005</v>
      </c>
      <c r="D400" s="44" t="s">
        <v>122</v>
      </c>
      <c r="E400" s="76" t="s">
        <v>91</v>
      </c>
      <c r="F400" s="42" t="s">
        <v>88</v>
      </c>
      <c r="G400" s="49" t="s">
        <v>70</v>
      </c>
      <c r="H400" s="45" t="s">
        <v>2590</v>
      </c>
      <c r="I400" s="83" t="s">
        <v>262</v>
      </c>
      <c r="J400" s="52" t="str">
        <f>VLOOKUP(I400,'CONTACT REFERENCE'!$A$2:$P$399,4,FALSE)</f>
        <v>CURTIUS TRADING INC</v>
      </c>
      <c r="K400" s="42"/>
      <c r="L400" s="42">
        <v>20120130</v>
      </c>
      <c r="M400" s="41"/>
      <c r="N400" s="41"/>
      <c r="O400" s="47" t="s">
        <v>2591</v>
      </c>
      <c r="P400" s="45" t="s">
        <v>1927</v>
      </c>
      <c r="Q400" s="49" t="s">
        <v>120</v>
      </c>
      <c r="R400" s="48">
        <v>385</v>
      </c>
      <c r="S400" s="41" t="s">
        <v>28</v>
      </c>
      <c r="T400" s="84">
        <v>41077</v>
      </c>
      <c r="U400" s="42" t="s">
        <v>2592</v>
      </c>
      <c r="V400" s="21"/>
      <c r="W400" s="78"/>
      <c r="X400" s="15">
        <v>22</v>
      </c>
      <c r="Z400" s="74" t="str">
        <f>CONCATENATE(Table1[[#This Row],[P.R NUMBER]],"-",Table1[[#This Row],[SR NO]])</f>
        <v>040612253060-1095</v>
      </c>
    </row>
    <row r="401" spans="1:26" x14ac:dyDescent="0.25">
      <c r="A401" s="73"/>
      <c r="B401" s="42">
        <v>1096</v>
      </c>
      <c r="C401" s="43">
        <v>41005</v>
      </c>
      <c r="D401" s="44" t="s">
        <v>118</v>
      </c>
      <c r="E401" s="76" t="s">
        <v>89</v>
      </c>
      <c r="F401" s="42" t="s">
        <v>1</v>
      </c>
      <c r="G401" s="49" t="s">
        <v>48</v>
      </c>
      <c r="H401" s="45" t="s">
        <v>2593</v>
      </c>
      <c r="I401" s="83" t="s">
        <v>460</v>
      </c>
      <c r="J401" s="52" t="str">
        <f>VLOOKUP(I401,'CONTACT REFERENCE'!$A$2:$P$399,4,FALSE)</f>
        <v>A-1 ENGINEERING</v>
      </c>
      <c r="K401" s="42">
        <v>5921</v>
      </c>
      <c r="L401" s="42">
        <v>8904</v>
      </c>
      <c r="M401" s="41"/>
      <c r="N401" s="41"/>
      <c r="O401" s="47" t="s">
        <v>2594</v>
      </c>
      <c r="P401" s="45" t="s">
        <v>136</v>
      </c>
      <c r="Q401" s="49" t="s">
        <v>120</v>
      </c>
      <c r="R401" s="48">
        <v>800</v>
      </c>
      <c r="S401" s="41" t="s">
        <v>29</v>
      </c>
      <c r="T401" s="84">
        <v>41099</v>
      </c>
      <c r="U401" s="42"/>
      <c r="V401" s="21"/>
      <c r="W401" s="78"/>
      <c r="X401" s="15">
        <v>22</v>
      </c>
      <c r="Z401" s="74" t="str">
        <f>CONCATENATE(Table1[[#This Row],[P.R NUMBER]],"-",Table1[[#This Row],[SR NO]])</f>
        <v>040612011020-1096</v>
      </c>
    </row>
    <row r="402" spans="1:26" x14ac:dyDescent="0.25">
      <c r="A402" s="73"/>
      <c r="B402" s="42">
        <v>1096</v>
      </c>
      <c r="C402" s="43">
        <v>41005</v>
      </c>
      <c r="D402" s="44" t="s">
        <v>118</v>
      </c>
      <c r="E402" s="76" t="s">
        <v>89</v>
      </c>
      <c r="F402" s="42" t="s">
        <v>1</v>
      </c>
      <c r="G402" s="49" t="s">
        <v>48</v>
      </c>
      <c r="H402" s="45" t="s">
        <v>2593</v>
      </c>
      <c r="I402" s="83" t="s">
        <v>460</v>
      </c>
      <c r="J402" s="52" t="str">
        <f>VLOOKUP(I402,'CONTACT REFERENCE'!$A$2:$P$399,4,FALSE)</f>
        <v>A-1 ENGINEERING</v>
      </c>
      <c r="K402" s="42">
        <v>5922</v>
      </c>
      <c r="L402" s="42">
        <v>8904</v>
      </c>
      <c r="M402" s="41"/>
      <c r="N402" s="41"/>
      <c r="O402" s="47" t="s">
        <v>2595</v>
      </c>
      <c r="P402" s="45" t="s">
        <v>124</v>
      </c>
      <c r="Q402" s="49" t="s">
        <v>120</v>
      </c>
      <c r="R402" s="48">
        <v>250</v>
      </c>
      <c r="S402" s="41" t="s">
        <v>29</v>
      </c>
      <c r="T402" s="84">
        <v>41099</v>
      </c>
      <c r="U402" s="42"/>
      <c r="V402" s="21"/>
      <c r="W402" s="78"/>
      <c r="X402" s="15">
        <v>22</v>
      </c>
      <c r="Z402" s="74" t="str">
        <f>CONCATENATE(Table1[[#This Row],[P.R NUMBER]],"-",Table1[[#This Row],[SR NO]])</f>
        <v>040612011020-1096</v>
      </c>
    </row>
    <row r="403" spans="1:26" x14ac:dyDescent="0.25">
      <c r="A403" s="73"/>
      <c r="B403" s="42">
        <v>1096</v>
      </c>
      <c r="C403" s="43">
        <v>41005</v>
      </c>
      <c r="D403" s="44" t="s">
        <v>118</v>
      </c>
      <c r="E403" s="76" t="s">
        <v>89</v>
      </c>
      <c r="F403" s="42" t="s">
        <v>1</v>
      </c>
      <c r="G403" s="49" t="s">
        <v>48</v>
      </c>
      <c r="H403" s="45" t="s">
        <v>2593</v>
      </c>
      <c r="I403" s="83" t="s">
        <v>460</v>
      </c>
      <c r="J403" s="52" t="str">
        <f>VLOOKUP(I403,'CONTACT REFERENCE'!$A$2:$P$399,4,FALSE)</f>
        <v>A-1 ENGINEERING</v>
      </c>
      <c r="K403" s="42">
        <v>5923</v>
      </c>
      <c r="L403" s="42">
        <v>8904</v>
      </c>
      <c r="M403" s="41"/>
      <c r="N403" s="41"/>
      <c r="O403" s="47" t="s">
        <v>2596</v>
      </c>
      <c r="P403" s="45" t="s">
        <v>136</v>
      </c>
      <c r="Q403" s="49" t="s">
        <v>120</v>
      </c>
      <c r="R403" s="48">
        <v>2000</v>
      </c>
      <c r="S403" s="41" t="s">
        <v>29</v>
      </c>
      <c r="T403" s="84">
        <v>41099</v>
      </c>
      <c r="U403" s="42"/>
      <c r="V403" s="21"/>
      <c r="W403" s="78"/>
      <c r="X403" s="15">
        <v>22</v>
      </c>
      <c r="Z403" s="74" t="str">
        <f>CONCATENATE(Table1[[#This Row],[P.R NUMBER]],"-",Table1[[#This Row],[SR NO]])</f>
        <v>040612011020-1096</v>
      </c>
    </row>
    <row r="404" spans="1:26" ht="30" x14ac:dyDescent="0.25">
      <c r="A404" s="73"/>
      <c r="B404" s="42">
        <v>1097</v>
      </c>
      <c r="C404" s="43">
        <v>41065</v>
      </c>
      <c r="D404" s="44" t="s">
        <v>122</v>
      </c>
      <c r="E404" s="76" t="s">
        <v>90</v>
      </c>
      <c r="F404" s="42" t="s">
        <v>1</v>
      </c>
      <c r="G404" s="49" t="s">
        <v>70</v>
      </c>
      <c r="H404" s="45" t="s">
        <v>2597</v>
      </c>
      <c r="I404" s="83" t="s">
        <v>253</v>
      </c>
      <c r="J404" s="52" t="str">
        <f>VLOOKUP(I404,'CONTACT REFERENCE'!$A$2:$P$399,4,FALSE)</f>
        <v>SURE TACK SYSTEMS (DIVISION OF CRIST CO)</v>
      </c>
      <c r="K404" s="42"/>
      <c r="L404" s="42">
        <v>24881</v>
      </c>
      <c r="M404" s="41"/>
      <c r="N404" s="41"/>
      <c r="O404" s="47" t="s">
        <v>1875</v>
      </c>
      <c r="P404" s="45" t="s">
        <v>137</v>
      </c>
      <c r="Q404" s="49" t="s">
        <v>120</v>
      </c>
      <c r="R404" s="48">
        <f>3*275</f>
        <v>825</v>
      </c>
      <c r="S404" s="41" t="s">
        <v>28</v>
      </c>
      <c r="T404" s="84">
        <v>41090</v>
      </c>
      <c r="U404" s="38" t="s">
        <v>2598</v>
      </c>
      <c r="V404" s="21"/>
      <c r="W404" s="78"/>
      <c r="X404" s="15">
        <v>23</v>
      </c>
      <c r="Z404" s="74" t="str">
        <f>CONCATENATE(Table1[[#This Row],[P.R NUMBER]],"-",Table1[[#This Row],[SR NO]])</f>
        <v>050612252020-1097</v>
      </c>
    </row>
    <row r="405" spans="1:26" ht="30" x14ac:dyDescent="0.25">
      <c r="A405" s="73"/>
      <c r="B405" s="42">
        <v>1097</v>
      </c>
      <c r="C405" s="43">
        <v>41065</v>
      </c>
      <c r="D405" s="44" t="s">
        <v>122</v>
      </c>
      <c r="E405" s="76" t="s">
        <v>90</v>
      </c>
      <c r="F405" s="42" t="s">
        <v>1</v>
      </c>
      <c r="G405" s="49" t="s">
        <v>70</v>
      </c>
      <c r="H405" s="45" t="s">
        <v>2597</v>
      </c>
      <c r="I405" s="83" t="s">
        <v>253</v>
      </c>
      <c r="J405" s="52" t="str">
        <f>VLOOKUP(I405,'CONTACT REFERENCE'!$A$2:$P$399,4,FALSE)</f>
        <v>SURE TACK SYSTEMS (DIVISION OF CRIST CO)</v>
      </c>
      <c r="K405" s="42"/>
      <c r="L405" s="42">
        <v>24881</v>
      </c>
      <c r="M405" s="41"/>
      <c r="N405" s="41"/>
      <c r="O405" s="47" t="s">
        <v>2256</v>
      </c>
      <c r="P405" s="45" t="s">
        <v>181</v>
      </c>
      <c r="Q405" s="49" t="s">
        <v>120</v>
      </c>
      <c r="R405" s="48">
        <f>18*9.35</f>
        <v>168.29999999999998</v>
      </c>
      <c r="S405" s="41" t="s">
        <v>28</v>
      </c>
      <c r="T405" s="84">
        <v>41090</v>
      </c>
      <c r="U405" s="38" t="s">
        <v>2598</v>
      </c>
      <c r="V405" s="21"/>
      <c r="W405" s="78"/>
      <c r="X405" s="15">
        <v>23</v>
      </c>
      <c r="Z405" s="74" t="str">
        <f>CONCATENATE(Table1[[#This Row],[P.R NUMBER]],"-",Table1[[#This Row],[SR NO]])</f>
        <v>050612252020-1097</v>
      </c>
    </row>
    <row r="406" spans="1:26" ht="30" x14ac:dyDescent="0.25">
      <c r="A406" s="73"/>
      <c r="B406" s="42">
        <v>1097</v>
      </c>
      <c r="C406" s="43">
        <v>41065</v>
      </c>
      <c r="D406" s="44" t="s">
        <v>122</v>
      </c>
      <c r="E406" s="76" t="s">
        <v>90</v>
      </c>
      <c r="F406" s="42" t="s">
        <v>1</v>
      </c>
      <c r="G406" s="49" t="s">
        <v>70</v>
      </c>
      <c r="H406" s="45" t="s">
        <v>2597</v>
      </c>
      <c r="I406" s="83" t="s">
        <v>253</v>
      </c>
      <c r="J406" s="52" t="str">
        <f>VLOOKUP(I406,'CONTACT REFERENCE'!$A$2:$P$399,4,FALSE)</f>
        <v>SURE TACK SYSTEMS (DIVISION OF CRIST CO)</v>
      </c>
      <c r="K406" s="42"/>
      <c r="L406" s="42">
        <v>24881</v>
      </c>
      <c r="M406" s="41"/>
      <c r="N406" s="41"/>
      <c r="O406" s="47" t="s">
        <v>2215</v>
      </c>
      <c r="P406" s="45" t="s">
        <v>1868</v>
      </c>
      <c r="Q406" s="49" t="s">
        <v>120</v>
      </c>
      <c r="R406" s="48">
        <f>60*2.1</f>
        <v>126</v>
      </c>
      <c r="S406" s="41" t="s">
        <v>28</v>
      </c>
      <c r="T406" s="84">
        <v>41090</v>
      </c>
      <c r="U406" s="38" t="s">
        <v>2598</v>
      </c>
      <c r="V406" s="21"/>
      <c r="W406" s="78"/>
      <c r="X406" s="15">
        <v>23</v>
      </c>
      <c r="Z406" s="74" t="str">
        <f>CONCATENATE(Table1[[#This Row],[P.R NUMBER]],"-",Table1[[#This Row],[SR NO]])</f>
        <v>050612252020-1097</v>
      </c>
    </row>
    <row r="407" spans="1:26" ht="30" x14ac:dyDescent="0.25">
      <c r="A407" s="73"/>
      <c r="B407" s="42">
        <v>1097</v>
      </c>
      <c r="C407" s="43">
        <v>41065</v>
      </c>
      <c r="D407" s="44" t="s">
        <v>122</v>
      </c>
      <c r="E407" s="76" t="s">
        <v>90</v>
      </c>
      <c r="F407" s="42" t="s">
        <v>1</v>
      </c>
      <c r="G407" s="49" t="s">
        <v>70</v>
      </c>
      <c r="H407" s="45" t="s">
        <v>2597</v>
      </c>
      <c r="I407" s="83" t="s">
        <v>253</v>
      </c>
      <c r="J407" s="52" t="str">
        <f>VLOOKUP(I407,'CONTACT REFERENCE'!$A$2:$P$399,4,FALSE)</f>
        <v>SURE TACK SYSTEMS (DIVISION OF CRIST CO)</v>
      </c>
      <c r="K407" s="42"/>
      <c r="L407" s="42">
        <v>24881</v>
      </c>
      <c r="M407" s="41"/>
      <c r="N407" s="41"/>
      <c r="O407" s="47" t="s">
        <v>2211</v>
      </c>
      <c r="P407" s="45" t="s">
        <v>136</v>
      </c>
      <c r="Q407" s="49" t="s">
        <v>2212</v>
      </c>
      <c r="R407" s="48">
        <f>2*3.25</f>
        <v>6.5</v>
      </c>
      <c r="S407" s="41" t="s">
        <v>28</v>
      </c>
      <c r="T407" s="84">
        <v>41090</v>
      </c>
      <c r="U407" s="38" t="s">
        <v>2598</v>
      </c>
      <c r="V407" s="21"/>
      <c r="W407" s="78"/>
      <c r="X407" s="15">
        <v>23</v>
      </c>
      <c r="Z407" s="74" t="str">
        <f>CONCATENATE(Table1[[#This Row],[P.R NUMBER]],"-",Table1[[#This Row],[SR NO]])</f>
        <v>050612252020-1097</v>
      </c>
    </row>
    <row r="408" spans="1:26" ht="30" x14ac:dyDescent="0.25">
      <c r="A408" s="73"/>
      <c r="B408" s="42">
        <v>1098</v>
      </c>
      <c r="C408" s="43">
        <v>41096</v>
      </c>
      <c r="D408" s="44" t="s">
        <v>122</v>
      </c>
      <c r="E408" s="76" t="s">
        <v>90</v>
      </c>
      <c r="F408" s="42" t="s">
        <v>1</v>
      </c>
      <c r="G408" s="49" t="s">
        <v>70</v>
      </c>
      <c r="H408" s="45" t="s">
        <v>2599</v>
      </c>
      <c r="I408" s="83" t="s">
        <v>253</v>
      </c>
      <c r="J408" s="52" t="str">
        <f>VLOOKUP(I408,'CONTACT REFERENCE'!$A$2:$P$399,4,FALSE)</f>
        <v>SURE TACK SYSTEMS (DIVISION OF CRIST CO)</v>
      </c>
      <c r="K408" s="42"/>
      <c r="L408" s="42">
        <v>24822</v>
      </c>
      <c r="M408" s="41"/>
      <c r="N408" s="41"/>
      <c r="O408" s="47" t="s">
        <v>1923</v>
      </c>
      <c r="P408" s="45" t="s">
        <v>130</v>
      </c>
      <c r="Q408" s="49" t="s">
        <v>120</v>
      </c>
      <c r="R408" s="48">
        <f>80*6</f>
        <v>480</v>
      </c>
      <c r="S408" s="41" t="s">
        <v>28</v>
      </c>
      <c r="T408" s="107">
        <v>43617</v>
      </c>
      <c r="U408" s="38" t="s">
        <v>2600</v>
      </c>
      <c r="V408" s="21"/>
      <c r="W408" s="78"/>
      <c r="X408" s="15">
        <v>23</v>
      </c>
      <c r="Z408" s="74" t="str">
        <f>CONCATENATE(Table1[[#This Row],[P.R NUMBER]],"-",Table1[[#This Row],[SR NO]])</f>
        <v>070612252020-1098</v>
      </c>
    </row>
    <row r="409" spans="1:26" x14ac:dyDescent="0.25">
      <c r="A409" s="73"/>
      <c r="B409" s="42">
        <v>1099</v>
      </c>
      <c r="C409" s="43">
        <v>41096</v>
      </c>
      <c r="D409" s="44" t="s">
        <v>118</v>
      </c>
      <c r="E409" s="76" t="s">
        <v>90</v>
      </c>
      <c r="F409" s="42" t="s">
        <v>1</v>
      </c>
      <c r="G409" s="49" t="s">
        <v>70</v>
      </c>
      <c r="H409" s="45" t="s">
        <v>2599</v>
      </c>
      <c r="I409" s="83" t="s">
        <v>625</v>
      </c>
      <c r="J409" s="52" t="str">
        <f>VLOOKUP(I409,'CONTACT REFERENCE'!$A$2:$P$399,4,FALSE)</f>
        <v>AL MAHBOOB OIL &amp; INDUSTRIAL PROD TRD EST</v>
      </c>
      <c r="K409" s="42"/>
      <c r="L409" s="42">
        <v>2413</v>
      </c>
      <c r="M409" s="41"/>
      <c r="N409" s="41"/>
      <c r="O409" s="47" t="s">
        <v>2166</v>
      </c>
      <c r="P409" s="45" t="s">
        <v>181</v>
      </c>
      <c r="Q409" s="49" t="s">
        <v>203</v>
      </c>
      <c r="R409" s="48">
        <v>1417</v>
      </c>
      <c r="S409" s="41" t="s">
        <v>29</v>
      </c>
      <c r="T409" s="42"/>
      <c r="U409" s="42"/>
      <c r="V409" s="21"/>
      <c r="W409" s="78"/>
      <c r="X409" s="15">
        <v>23</v>
      </c>
      <c r="Z409" s="74" t="str">
        <f>CONCATENATE(Table1[[#This Row],[P.R NUMBER]],"-",Table1[[#This Row],[SR NO]])</f>
        <v>070612252020-1099</v>
      </c>
    </row>
    <row r="410" spans="1:26" x14ac:dyDescent="0.25">
      <c r="A410" s="73"/>
      <c r="B410" s="42">
        <v>1099</v>
      </c>
      <c r="C410" s="43">
        <v>41096</v>
      </c>
      <c r="D410" s="44" t="s">
        <v>118</v>
      </c>
      <c r="E410" s="76" t="s">
        <v>90</v>
      </c>
      <c r="F410" s="42" t="s">
        <v>1</v>
      </c>
      <c r="G410" s="49" t="s">
        <v>70</v>
      </c>
      <c r="H410" s="45" t="s">
        <v>2599</v>
      </c>
      <c r="I410" s="83" t="s">
        <v>625</v>
      </c>
      <c r="J410" s="52" t="str">
        <f>VLOOKUP(I410,'CONTACT REFERENCE'!$A$2:$P$399,4,FALSE)</f>
        <v>AL MAHBOOB OIL &amp; INDUSTRIAL PROD TRD EST</v>
      </c>
      <c r="K410" s="42"/>
      <c r="L410" s="42">
        <v>2413</v>
      </c>
      <c r="M410" s="41"/>
      <c r="N410" s="41"/>
      <c r="O410" s="47" t="s">
        <v>2601</v>
      </c>
      <c r="P410" s="45" t="s">
        <v>181</v>
      </c>
      <c r="Q410" s="49" t="s">
        <v>203</v>
      </c>
      <c r="R410" s="48">
        <v>550</v>
      </c>
      <c r="S410" s="41" t="s">
        <v>29</v>
      </c>
      <c r="T410" s="42"/>
      <c r="U410" s="42"/>
      <c r="V410" s="21"/>
      <c r="W410" s="78"/>
      <c r="X410" s="15">
        <v>23</v>
      </c>
      <c r="Z410" s="74" t="str">
        <f>CONCATENATE(Table1[[#This Row],[P.R NUMBER]],"-",Table1[[#This Row],[SR NO]])</f>
        <v>070612252020-1099</v>
      </c>
    </row>
    <row r="411" spans="1:26" x14ac:dyDescent="0.25">
      <c r="A411" s="73"/>
      <c r="B411" s="42">
        <v>1100</v>
      </c>
      <c r="C411" s="43">
        <v>41096</v>
      </c>
      <c r="D411" s="44" t="s">
        <v>122</v>
      </c>
      <c r="E411" s="76" t="s">
        <v>90</v>
      </c>
      <c r="F411" s="42" t="s">
        <v>1</v>
      </c>
      <c r="G411" s="49" t="s">
        <v>83</v>
      </c>
      <c r="H411" s="45" t="s">
        <v>2602</v>
      </c>
      <c r="I411" s="83" t="s">
        <v>1791</v>
      </c>
      <c r="J411" s="52" t="str">
        <f>VLOOKUP(I411,'CONTACT REFERENCE'!$A$2:$P$399,4,FALSE)</f>
        <v>TRESU ROYSE INC</v>
      </c>
      <c r="K411" s="42"/>
      <c r="L411" s="42"/>
      <c r="M411" s="41" t="s">
        <v>207</v>
      </c>
      <c r="N411" s="41"/>
      <c r="O411" s="47" t="s">
        <v>2603</v>
      </c>
      <c r="P411" s="45" t="s">
        <v>124</v>
      </c>
      <c r="Q411" s="49" t="s">
        <v>140</v>
      </c>
      <c r="R411" s="48">
        <v>74.569999999999993</v>
      </c>
      <c r="S411" s="41" t="s">
        <v>28</v>
      </c>
      <c r="T411" s="84">
        <v>41035</v>
      </c>
      <c r="U411" s="42" t="s">
        <v>2604</v>
      </c>
      <c r="V411" s="21"/>
      <c r="W411" s="78"/>
      <c r="X411" s="15">
        <v>23</v>
      </c>
      <c r="Z411" s="74" t="str">
        <f>CONCATENATE(Table1[[#This Row],[P.R NUMBER]],"-",Table1[[#This Row],[SR NO]])</f>
        <v>070612382020-1100</v>
      </c>
    </row>
    <row r="412" spans="1:26" x14ac:dyDescent="0.25">
      <c r="A412" s="73"/>
      <c r="B412" s="42">
        <v>1101</v>
      </c>
      <c r="C412" s="43">
        <v>41096</v>
      </c>
      <c r="D412" s="44" t="s">
        <v>122</v>
      </c>
      <c r="E412" s="76" t="s">
        <v>89</v>
      </c>
      <c r="F412" s="42" t="s">
        <v>87</v>
      </c>
      <c r="G412" s="49" t="s">
        <v>59</v>
      </c>
      <c r="H412" s="45" t="s">
        <v>2605</v>
      </c>
      <c r="I412" s="83" t="s">
        <v>292</v>
      </c>
      <c r="J412" s="52" t="str">
        <f>VLOOKUP(I412,'CONTACT REFERENCE'!$A$2:$P$399,4,FALSE)</f>
        <v>WINDY CITY CUTTING DIE</v>
      </c>
      <c r="K412" s="42"/>
      <c r="L412" s="42">
        <v>135409</v>
      </c>
      <c r="M412" s="41"/>
      <c r="N412" s="41"/>
      <c r="O412" s="47" t="s">
        <v>2606</v>
      </c>
      <c r="P412" s="45" t="s">
        <v>124</v>
      </c>
      <c r="Q412" s="49" t="s">
        <v>120</v>
      </c>
      <c r="R412" s="48">
        <v>1014</v>
      </c>
      <c r="S412" s="41" t="s">
        <v>28</v>
      </c>
      <c r="T412" s="84">
        <v>41035</v>
      </c>
      <c r="U412" s="42" t="s">
        <v>2607</v>
      </c>
      <c r="V412" s="21"/>
      <c r="W412" s="78"/>
      <c r="X412" s="15">
        <v>23</v>
      </c>
      <c r="Z412" s="74" t="str">
        <f>CONCATENATE(Table1[[#This Row],[P.R NUMBER]],"-",Table1[[#This Row],[SR NO]])</f>
        <v>070612131050-1101</v>
      </c>
    </row>
    <row r="413" spans="1:26" ht="30" x14ac:dyDescent="0.25">
      <c r="A413" s="73"/>
      <c r="B413" s="42">
        <v>1102</v>
      </c>
      <c r="C413" s="43">
        <v>41096</v>
      </c>
      <c r="D413" s="44" t="s">
        <v>122</v>
      </c>
      <c r="E413" s="76" t="s">
        <v>89</v>
      </c>
      <c r="F413" s="42" t="s">
        <v>87</v>
      </c>
      <c r="G413" s="49" t="s">
        <v>61</v>
      </c>
      <c r="H413" s="45" t="s">
        <v>2608</v>
      </c>
      <c r="I413" s="83" t="s">
        <v>292</v>
      </c>
      <c r="J413" s="52" t="str">
        <f>VLOOKUP(I413,'CONTACT REFERENCE'!$A$2:$P$399,4,FALSE)</f>
        <v>WINDY CITY CUTTING DIE</v>
      </c>
      <c r="K413" s="42"/>
      <c r="L413" s="42">
        <v>135343</v>
      </c>
      <c r="M413" s="41"/>
      <c r="N413" s="41"/>
      <c r="O413" s="47" t="s">
        <v>2609</v>
      </c>
      <c r="P413" s="45" t="s">
        <v>124</v>
      </c>
      <c r="Q413" s="49" t="s">
        <v>120</v>
      </c>
      <c r="R413" s="48">
        <v>844</v>
      </c>
      <c r="S413" s="41" t="s">
        <v>28</v>
      </c>
      <c r="T413" s="84">
        <v>41035</v>
      </c>
      <c r="U413" s="38" t="s">
        <v>2610</v>
      </c>
      <c r="V413" s="21" t="s">
        <v>2611</v>
      </c>
      <c r="W413" s="78"/>
      <c r="X413" s="15">
        <v>23</v>
      </c>
      <c r="Z413" s="74" t="str">
        <f>CONCATENATE(Table1[[#This Row],[P.R NUMBER]],"-",Table1[[#This Row],[SR NO]])</f>
        <v>070612151050-1102</v>
      </c>
    </row>
    <row r="414" spans="1:26" x14ac:dyDescent="0.25">
      <c r="A414" s="73"/>
      <c r="B414" s="42">
        <v>1103</v>
      </c>
      <c r="C414" s="43">
        <v>41188</v>
      </c>
      <c r="D414" s="44" t="s">
        <v>118</v>
      </c>
      <c r="E414" s="76" t="s">
        <v>90</v>
      </c>
      <c r="F414" s="42" t="s">
        <v>1</v>
      </c>
      <c r="G414" s="49" t="s">
        <v>57</v>
      </c>
      <c r="H414" s="45" t="s">
        <v>2612</v>
      </c>
      <c r="I414" s="83" t="s">
        <v>341</v>
      </c>
      <c r="J414" s="52" t="str">
        <f>VLOOKUP(I414,'CONTACT REFERENCE'!$A$2:$P$399,4,FALSE)</f>
        <v>ADVANCE TECHNOLOGY BELTING TRD EST</v>
      </c>
      <c r="K414" s="42" t="s">
        <v>2613</v>
      </c>
      <c r="L414" s="42">
        <v>1206067</v>
      </c>
      <c r="M414" s="41" t="s">
        <v>57</v>
      </c>
      <c r="N414" s="41"/>
      <c r="O414" s="47" t="s">
        <v>2614</v>
      </c>
      <c r="P414" s="45" t="s">
        <v>136</v>
      </c>
      <c r="Q414" s="49" t="s">
        <v>120</v>
      </c>
      <c r="R414" s="48">
        <v>180</v>
      </c>
      <c r="S414" s="41" t="s">
        <v>29</v>
      </c>
      <c r="T414" s="84">
        <v>41082</v>
      </c>
      <c r="U414" s="42"/>
      <c r="V414" s="21" t="s">
        <v>2615</v>
      </c>
      <c r="W414" s="78"/>
      <c r="X414" s="15">
        <v>23</v>
      </c>
      <c r="Z414" s="74" t="str">
        <f>CONCATENATE(Table1[[#This Row],[P.R NUMBER]],"-",Table1[[#This Row],[SR NO]])</f>
        <v>100612112020-1103</v>
      </c>
    </row>
    <row r="415" spans="1:26" x14ac:dyDescent="0.25">
      <c r="A415" s="73"/>
      <c r="B415" s="42">
        <v>1104</v>
      </c>
      <c r="C415" s="43">
        <v>41219</v>
      </c>
      <c r="D415" s="44" t="s">
        <v>118</v>
      </c>
      <c r="E415" s="76" t="s">
        <v>89</v>
      </c>
      <c r="F415" s="42" t="s">
        <v>1</v>
      </c>
      <c r="G415" s="49" t="s">
        <v>69</v>
      </c>
      <c r="H415" s="45" t="s">
        <v>2616</v>
      </c>
      <c r="I415" s="83" t="s">
        <v>460</v>
      </c>
      <c r="J415" s="52" t="str">
        <f>VLOOKUP(I415,'CONTACT REFERENCE'!$A$2:$P$399,4,FALSE)</f>
        <v>A-1 ENGINEERING</v>
      </c>
      <c r="K415" s="42">
        <v>5945</v>
      </c>
      <c r="L415" s="42">
        <v>8962</v>
      </c>
      <c r="M415" s="41" t="s">
        <v>131</v>
      </c>
      <c r="N415" s="41"/>
      <c r="O415" s="47" t="s">
        <v>2617</v>
      </c>
      <c r="P415" s="45" t="s">
        <v>124</v>
      </c>
      <c r="Q415" s="49" t="s">
        <v>120</v>
      </c>
      <c r="R415" s="48">
        <v>1800</v>
      </c>
      <c r="S415" s="41" t="s">
        <v>29</v>
      </c>
      <c r="T415" s="84">
        <v>41099</v>
      </c>
      <c r="U415" s="42"/>
      <c r="V415" s="21"/>
      <c r="W415" s="78"/>
      <c r="X415" s="15">
        <v>24</v>
      </c>
      <c r="Z415" s="74" t="str">
        <f>CONCATENATE(Table1[[#This Row],[P.R NUMBER]],"-",Table1[[#This Row],[SR NO]])</f>
        <v>110612241020-1104</v>
      </c>
    </row>
    <row r="416" spans="1:26" x14ac:dyDescent="0.25">
      <c r="A416" s="73"/>
      <c r="B416" s="42">
        <v>1105</v>
      </c>
      <c r="C416" s="43">
        <v>41219</v>
      </c>
      <c r="D416" s="44" t="s">
        <v>118</v>
      </c>
      <c r="E416" s="76" t="s">
        <v>90</v>
      </c>
      <c r="F416" s="42" t="s">
        <v>1</v>
      </c>
      <c r="G416" s="49" t="s">
        <v>64</v>
      </c>
      <c r="H416" s="45" t="s">
        <v>2618</v>
      </c>
      <c r="I416" s="83" t="s">
        <v>460</v>
      </c>
      <c r="J416" s="52" t="str">
        <f>VLOOKUP(I416,'CONTACT REFERENCE'!$A$2:$P$399,4,FALSE)</f>
        <v>A-1 ENGINEERING</v>
      </c>
      <c r="K416" s="42">
        <v>5960</v>
      </c>
      <c r="L416" s="42">
        <v>8991</v>
      </c>
      <c r="M416" s="41" t="s">
        <v>132</v>
      </c>
      <c r="N416" s="41"/>
      <c r="O416" s="47" t="s">
        <v>2619</v>
      </c>
      <c r="P416" s="45" t="s">
        <v>2328</v>
      </c>
      <c r="Q416" s="49" t="s">
        <v>120</v>
      </c>
      <c r="R416" s="48">
        <v>300</v>
      </c>
      <c r="S416" s="41" t="s">
        <v>29</v>
      </c>
      <c r="T416" s="84">
        <v>41099</v>
      </c>
      <c r="U416" s="42"/>
      <c r="V416" s="21"/>
      <c r="W416" s="78"/>
      <c r="X416" s="15">
        <v>24</v>
      </c>
      <c r="Z416" s="74" t="str">
        <f>CONCATENATE(Table1[[#This Row],[P.R NUMBER]],"-",Table1[[#This Row],[SR NO]])</f>
        <v>110612192020-1105</v>
      </c>
    </row>
    <row r="417" spans="1:26" x14ac:dyDescent="0.25">
      <c r="A417" s="73"/>
      <c r="B417" s="42">
        <v>1106</v>
      </c>
      <c r="C417" s="43">
        <v>41074</v>
      </c>
      <c r="D417" s="44" t="s">
        <v>122</v>
      </c>
      <c r="E417" s="76" t="s">
        <v>91</v>
      </c>
      <c r="F417" s="42" t="s">
        <v>88</v>
      </c>
      <c r="G417" s="49" t="s">
        <v>75</v>
      </c>
      <c r="H417" s="45" t="s">
        <v>2620</v>
      </c>
      <c r="I417" s="83" t="s">
        <v>262</v>
      </c>
      <c r="J417" s="52" t="str">
        <f>VLOOKUP(I417,'CONTACT REFERENCE'!$A$2:$P$399,4,FALSE)</f>
        <v>CURTIUS TRADING INC</v>
      </c>
      <c r="K417" s="42">
        <v>20120110</v>
      </c>
      <c r="L417" s="42"/>
      <c r="M417" s="41"/>
      <c r="N417" s="41"/>
      <c r="O417" s="47" t="s">
        <v>2621</v>
      </c>
      <c r="P417" s="45" t="s">
        <v>137</v>
      </c>
      <c r="Q417" s="49" t="s">
        <v>2476</v>
      </c>
      <c r="R417" s="48">
        <v>672.75</v>
      </c>
      <c r="S417" s="41" t="s">
        <v>28</v>
      </c>
      <c r="T417" s="42"/>
      <c r="U417" s="42"/>
      <c r="V417" s="21"/>
      <c r="W417" s="78"/>
      <c r="X417" s="15">
        <v>24</v>
      </c>
      <c r="Z417" s="74" t="str">
        <f>CONCATENATE(Table1[[#This Row],[P.R NUMBER]],"-",Table1[[#This Row],[SR NO]])</f>
        <v>140612303060-1106</v>
      </c>
    </row>
    <row r="418" spans="1:26" x14ac:dyDescent="0.25">
      <c r="A418" s="85"/>
      <c r="B418" s="39">
        <v>1107</v>
      </c>
      <c r="C418" s="43">
        <v>41075</v>
      </c>
      <c r="D418" s="80" t="s">
        <v>122</v>
      </c>
      <c r="E418" s="86" t="s">
        <v>90</v>
      </c>
      <c r="F418" s="39" t="s">
        <v>1</v>
      </c>
      <c r="G418" s="81" t="s">
        <v>70</v>
      </c>
      <c r="H418" s="82" t="s">
        <v>2622</v>
      </c>
      <c r="I418" s="83" t="s">
        <v>262</v>
      </c>
      <c r="J418" s="52" t="str">
        <f>VLOOKUP(I418,'CONTACT REFERENCE'!$A$2:$P$399,4,FALSE)</f>
        <v>CURTIUS TRADING INC</v>
      </c>
      <c r="K418" s="39">
        <v>20120147</v>
      </c>
      <c r="L418" s="39"/>
      <c r="M418" s="88"/>
      <c r="N418" s="88"/>
      <c r="O418" s="89" t="s">
        <v>2623</v>
      </c>
      <c r="P418" s="82" t="s">
        <v>137</v>
      </c>
      <c r="Q418" s="81" t="s">
        <v>120</v>
      </c>
      <c r="R418" s="90">
        <f>3*148.59</f>
        <v>445.77</v>
      </c>
      <c r="S418" s="88" t="s">
        <v>28</v>
      </c>
      <c r="T418" s="106">
        <v>41088</v>
      </c>
      <c r="U418" s="39" t="s">
        <v>2624</v>
      </c>
      <c r="V418" s="91"/>
      <c r="W418" s="92"/>
      <c r="X418" s="22">
        <v>24</v>
      </c>
      <c r="Y418" s="22"/>
      <c r="Z418" s="77" t="str">
        <f>CONCATENATE(Table1[[#This Row],[P.R NUMBER]],"-",Table1[[#This Row],[SR NO]])</f>
        <v>170612252020-1107</v>
      </c>
    </row>
    <row r="419" spans="1:26" x14ac:dyDescent="0.25">
      <c r="A419" s="85"/>
      <c r="B419" s="39">
        <v>1107</v>
      </c>
      <c r="C419" s="43">
        <v>41075</v>
      </c>
      <c r="D419" s="80" t="s">
        <v>122</v>
      </c>
      <c r="E419" s="86" t="s">
        <v>90</v>
      </c>
      <c r="F419" s="39" t="s">
        <v>1</v>
      </c>
      <c r="G419" s="81" t="s">
        <v>70</v>
      </c>
      <c r="H419" s="82" t="s">
        <v>2622</v>
      </c>
      <c r="I419" s="83" t="s">
        <v>262</v>
      </c>
      <c r="J419" s="52" t="str">
        <f>VLOOKUP(I419,'CONTACT REFERENCE'!$A$2:$P$399,4,FALSE)</f>
        <v>CURTIUS TRADING INC</v>
      </c>
      <c r="K419" s="39">
        <v>20120147</v>
      </c>
      <c r="L419" s="39"/>
      <c r="M419" s="88"/>
      <c r="N419" s="88"/>
      <c r="O419" s="47" t="s">
        <v>2625</v>
      </c>
      <c r="P419" s="45" t="s">
        <v>130</v>
      </c>
      <c r="Q419" s="49" t="s">
        <v>120</v>
      </c>
      <c r="R419" s="48">
        <f>6*145.6</f>
        <v>873.59999999999991</v>
      </c>
      <c r="S419" s="41" t="s">
        <v>28</v>
      </c>
      <c r="T419" s="84">
        <v>41088</v>
      </c>
      <c r="U419" s="42" t="s">
        <v>2624</v>
      </c>
      <c r="V419" s="21"/>
      <c r="W419" s="78"/>
      <c r="X419" s="15">
        <v>24</v>
      </c>
      <c r="Z419" s="74" t="str">
        <f>CONCATENATE(Table1[[#This Row],[P.R NUMBER]],"-",Table1[[#This Row],[SR NO]])</f>
        <v>170612252020-1107</v>
      </c>
    </row>
    <row r="420" spans="1:26" x14ac:dyDescent="0.25">
      <c r="A420" s="73"/>
      <c r="B420" s="42">
        <v>1108</v>
      </c>
      <c r="C420" s="43">
        <v>41080</v>
      </c>
      <c r="D420" s="44" t="s">
        <v>118</v>
      </c>
      <c r="E420" s="76" t="s">
        <v>90</v>
      </c>
      <c r="F420" s="42" t="s">
        <v>1</v>
      </c>
      <c r="G420" s="49" t="s">
        <v>62</v>
      </c>
      <c r="H420" s="45" t="s">
        <v>2626</v>
      </c>
      <c r="I420" s="83" t="s">
        <v>1783</v>
      </c>
      <c r="J420" s="52" t="str">
        <f>VLOOKUP(I420,'CONTACT REFERENCE'!$A$2:$P$399,4,FALSE)</f>
        <v>PROBE MANUFACTURING LLC</v>
      </c>
      <c r="K420" s="42"/>
      <c r="L420" s="42">
        <v>2001</v>
      </c>
      <c r="M420" s="41"/>
      <c r="N420" s="41"/>
      <c r="O420" s="47" t="s">
        <v>2627</v>
      </c>
      <c r="P420" s="45" t="s">
        <v>141</v>
      </c>
      <c r="Q420" s="49" t="s">
        <v>120</v>
      </c>
      <c r="R420" s="48">
        <f>4*60</f>
        <v>240</v>
      </c>
      <c r="S420" s="41" t="s">
        <v>29</v>
      </c>
      <c r="T420" s="84">
        <v>41090</v>
      </c>
      <c r="U420" s="42"/>
      <c r="V420" s="21"/>
      <c r="W420" s="78"/>
      <c r="X420" s="15">
        <v>25</v>
      </c>
      <c r="Z420" s="74" t="str">
        <f>CONCATENATE(Table1[[#This Row],[P.R NUMBER]],"-",Table1[[#This Row],[SR NO]])</f>
        <v>200612162020-1108</v>
      </c>
    </row>
    <row r="421" spans="1:26" x14ac:dyDescent="0.25">
      <c r="A421" s="73"/>
      <c r="B421" s="42">
        <v>1109</v>
      </c>
      <c r="C421" s="43">
        <v>41081</v>
      </c>
      <c r="D421" s="44" t="s">
        <v>118</v>
      </c>
      <c r="E421" s="76" t="s">
        <v>90</v>
      </c>
      <c r="F421" s="42" t="s">
        <v>1</v>
      </c>
      <c r="G421" s="49" t="s">
        <v>70</v>
      </c>
      <c r="H421" s="45" t="s">
        <v>2628</v>
      </c>
      <c r="I421" s="83" t="s">
        <v>341</v>
      </c>
      <c r="J421" s="52" t="str">
        <f>VLOOKUP(I421,'CONTACT REFERENCE'!$A$2:$P$399,4,FALSE)</f>
        <v>ADVANCE TECHNOLOGY BELTING TRD EST</v>
      </c>
      <c r="K421" s="42" t="s">
        <v>2629</v>
      </c>
      <c r="L421" s="42">
        <v>1208085</v>
      </c>
      <c r="M421" s="41"/>
      <c r="N421" s="41"/>
      <c r="O421" s="47" t="s">
        <v>2630</v>
      </c>
      <c r="P421" s="45" t="s">
        <v>136</v>
      </c>
      <c r="Q421" s="49" t="s">
        <v>120</v>
      </c>
      <c r="R421" s="48">
        <f>2*520</f>
        <v>1040</v>
      </c>
      <c r="S421" s="41" t="s">
        <v>29</v>
      </c>
      <c r="T421" s="84">
        <v>41143</v>
      </c>
      <c r="U421" s="42"/>
      <c r="V421" s="21"/>
      <c r="W421" s="78"/>
      <c r="X421" s="15">
        <v>25</v>
      </c>
      <c r="Z421" s="74" t="str">
        <f>CONCATENATE(Table1[[#This Row],[P.R NUMBER]],"-",Table1[[#This Row],[SR NO]])</f>
        <v>210612252020-1109</v>
      </c>
    </row>
    <row r="422" spans="1:26" x14ac:dyDescent="0.25">
      <c r="A422" s="73"/>
      <c r="B422" s="42">
        <v>1110</v>
      </c>
      <c r="C422" s="108">
        <v>41082</v>
      </c>
      <c r="D422" s="44" t="s">
        <v>118</v>
      </c>
      <c r="E422" s="76" t="s">
        <v>90</v>
      </c>
      <c r="F422" s="42" t="s">
        <v>1</v>
      </c>
      <c r="G422" s="49" t="s">
        <v>72</v>
      </c>
      <c r="H422" s="45" t="s">
        <v>2631</v>
      </c>
      <c r="I422" s="83" t="s">
        <v>1793</v>
      </c>
      <c r="J422" s="52" t="str">
        <f>VLOOKUP(I422,'CONTACT REFERENCE'!$A$2:$P$399,4,FALSE)</f>
        <v>LOYAL A/C &amp; ELECTRICAL SERVICES</v>
      </c>
      <c r="K422" s="42"/>
      <c r="L422" s="42">
        <v>6863</v>
      </c>
      <c r="M422" s="41"/>
      <c r="N422" s="41"/>
      <c r="O422" s="47" t="s">
        <v>2632</v>
      </c>
      <c r="P422" s="45" t="s">
        <v>124</v>
      </c>
      <c r="Q422" s="49" t="s">
        <v>120</v>
      </c>
      <c r="R422" s="48">
        <v>320</v>
      </c>
      <c r="S422" s="41" t="s">
        <v>29</v>
      </c>
      <c r="T422" s="84">
        <v>41082</v>
      </c>
      <c r="U422" s="42"/>
      <c r="V422" s="21" t="s">
        <v>210</v>
      </c>
      <c r="W422" s="78"/>
      <c r="X422" s="15">
        <v>25</v>
      </c>
      <c r="Z422" s="74" t="str">
        <f>CONCATENATE(Table1[[#This Row],[P.R NUMBER]],"-",Table1[[#This Row],[SR NO]])</f>
        <v>220612272020-1110</v>
      </c>
    </row>
    <row r="423" spans="1:26" x14ac:dyDescent="0.25">
      <c r="A423" s="73"/>
      <c r="B423" s="42">
        <v>1111</v>
      </c>
      <c r="C423" s="108">
        <v>41082</v>
      </c>
      <c r="D423" s="44" t="s">
        <v>118</v>
      </c>
      <c r="E423" s="76" t="s">
        <v>90</v>
      </c>
      <c r="F423" s="42" t="s">
        <v>1</v>
      </c>
      <c r="G423" s="49" t="s">
        <v>69</v>
      </c>
      <c r="H423" s="45" t="s">
        <v>2633</v>
      </c>
      <c r="I423" s="83" t="s">
        <v>538</v>
      </c>
      <c r="J423" s="52" t="str">
        <f>VLOOKUP(I423,'CONTACT REFERENCE'!$A$2:$P$399,4,FALSE)</f>
        <v>BOODAI TRADING COMPANY LLC</v>
      </c>
      <c r="K423" s="42"/>
      <c r="L423" s="42">
        <v>12301989</v>
      </c>
      <c r="M423" s="41"/>
      <c r="N423" s="41"/>
      <c r="O423" s="47" t="s">
        <v>2254</v>
      </c>
      <c r="P423" s="45" t="s">
        <v>124</v>
      </c>
      <c r="Q423" s="49" t="s">
        <v>2476</v>
      </c>
      <c r="R423" s="48">
        <v>1300</v>
      </c>
      <c r="S423" s="41" t="s">
        <v>29</v>
      </c>
      <c r="T423" s="84">
        <v>41082</v>
      </c>
      <c r="U423" s="42"/>
      <c r="V423" s="21" t="s">
        <v>2634</v>
      </c>
      <c r="W423" s="78"/>
      <c r="X423" s="15">
        <v>25</v>
      </c>
      <c r="Z423" s="74" t="str">
        <f>CONCATENATE(Table1[[#This Row],[P.R NUMBER]],"-",Table1[[#This Row],[SR NO]])</f>
        <v>220612242020-1111</v>
      </c>
    </row>
    <row r="424" spans="1:26" x14ac:dyDescent="0.25">
      <c r="A424" s="73"/>
      <c r="B424" s="42">
        <v>1112</v>
      </c>
      <c r="C424" s="108">
        <v>41082</v>
      </c>
      <c r="D424" s="44" t="s">
        <v>122</v>
      </c>
      <c r="E424" s="76" t="s">
        <v>90</v>
      </c>
      <c r="F424" s="42" t="s">
        <v>1</v>
      </c>
      <c r="G424" s="49" t="s">
        <v>70</v>
      </c>
      <c r="H424" s="45" t="s">
        <v>2635</v>
      </c>
      <c r="I424" s="83" t="s">
        <v>292</v>
      </c>
      <c r="J424" s="52" t="str">
        <f>VLOOKUP(I424,'CONTACT REFERENCE'!$A$2:$P$399,4,FALSE)</f>
        <v>WINDY CITY CUTTING DIE</v>
      </c>
      <c r="K424" s="42"/>
      <c r="L424" s="42">
        <v>135562</v>
      </c>
      <c r="M424" s="41"/>
      <c r="N424" s="41"/>
      <c r="O424" s="47" t="s">
        <v>200</v>
      </c>
      <c r="P424" s="45" t="s">
        <v>141</v>
      </c>
      <c r="Q424" s="49" t="s">
        <v>120</v>
      </c>
      <c r="R424" s="48">
        <v>170</v>
      </c>
      <c r="S424" s="41" t="s">
        <v>28</v>
      </c>
      <c r="T424" s="84">
        <v>41082</v>
      </c>
      <c r="U424" s="42" t="s">
        <v>2636</v>
      </c>
      <c r="V424" s="21"/>
      <c r="W424" s="78"/>
      <c r="X424" s="15">
        <v>25</v>
      </c>
      <c r="Z424" s="74" t="str">
        <f>CONCATENATE(Table1[[#This Row],[P.R NUMBER]],"-",Table1[[#This Row],[SR NO]])</f>
        <v>220612252020-1112</v>
      </c>
    </row>
    <row r="425" spans="1:26" x14ac:dyDescent="0.25">
      <c r="A425" s="73"/>
      <c r="B425" s="42">
        <v>1113</v>
      </c>
      <c r="C425" s="108">
        <v>41082</v>
      </c>
      <c r="D425" s="44" t="s">
        <v>122</v>
      </c>
      <c r="E425" s="76" t="s">
        <v>90</v>
      </c>
      <c r="F425" s="42" t="s">
        <v>1</v>
      </c>
      <c r="G425" s="49" t="s">
        <v>70</v>
      </c>
      <c r="H425" s="45" t="s">
        <v>2635</v>
      </c>
      <c r="I425" s="83" t="s">
        <v>292</v>
      </c>
      <c r="J425" s="52" t="str">
        <f>VLOOKUP(I425,'CONTACT REFERENCE'!$A$2:$P$399,4,FALSE)</f>
        <v>WINDY CITY CUTTING DIE</v>
      </c>
      <c r="K425" s="42"/>
      <c r="L425" s="42">
        <v>135563</v>
      </c>
      <c r="M425" s="41"/>
      <c r="N425" s="41"/>
      <c r="O425" s="47" t="s">
        <v>200</v>
      </c>
      <c r="P425" s="45" t="s">
        <v>141</v>
      </c>
      <c r="Q425" s="49" t="s">
        <v>120</v>
      </c>
      <c r="R425" s="48">
        <v>520</v>
      </c>
      <c r="S425" s="41" t="s">
        <v>28</v>
      </c>
      <c r="T425" s="84">
        <v>41082</v>
      </c>
      <c r="U425" s="42" t="s">
        <v>2636</v>
      </c>
      <c r="V425" s="21"/>
      <c r="W425" s="78"/>
      <c r="X425" s="15">
        <v>25</v>
      </c>
      <c r="Z425" s="74" t="str">
        <f>CONCATENATE(Table1[[#This Row],[P.R NUMBER]],"-",Table1[[#This Row],[SR NO]])</f>
        <v>220612252020-1113</v>
      </c>
    </row>
    <row r="426" spans="1:26" x14ac:dyDescent="0.25">
      <c r="A426" s="73"/>
      <c r="B426" s="42">
        <v>1114</v>
      </c>
      <c r="C426" s="108">
        <v>41083</v>
      </c>
      <c r="D426" s="44" t="s">
        <v>118</v>
      </c>
      <c r="E426" s="76" t="s">
        <v>90</v>
      </c>
      <c r="F426" s="42" t="s">
        <v>1</v>
      </c>
      <c r="G426" s="49" t="s">
        <v>69</v>
      </c>
      <c r="H426" s="45" t="s">
        <v>2637</v>
      </c>
      <c r="I426" s="83" t="s">
        <v>538</v>
      </c>
      <c r="J426" s="52" t="str">
        <f>VLOOKUP(I426,'CONTACT REFERENCE'!$A$2:$P$399,4,FALSE)</f>
        <v>BOODAI TRADING COMPANY LLC</v>
      </c>
      <c r="K426" s="42"/>
      <c r="L426" s="42">
        <v>12301998</v>
      </c>
      <c r="M426" s="41"/>
      <c r="N426" s="41"/>
      <c r="O426" s="47" t="s">
        <v>2254</v>
      </c>
      <c r="P426" s="45" t="s">
        <v>1867</v>
      </c>
      <c r="Q426" s="49" t="s">
        <v>2476</v>
      </c>
      <c r="R426" s="48">
        <f>10*1300</f>
        <v>13000</v>
      </c>
      <c r="S426" s="41" t="s">
        <v>29</v>
      </c>
      <c r="T426" s="84">
        <v>41085</v>
      </c>
      <c r="U426" s="42"/>
      <c r="V426" s="21"/>
      <c r="W426" s="78"/>
      <c r="X426" s="15">
        <v>25</v>
      </c>
      <c r="Z426" s="74" t="str">
        <f>CONCATENATE(Table1[[#This Row],[P.R NUMBER]],"-",Table1[[#This Row],[SR NO]])</f>
        <v>230612242020-1114</v>
      </c>
    </row>
    <row r="427" spans="1:26" x14ac:dyDescent="0.25">
      <c r="A427" s="73"/>
      <c r="B427" s="42">
        <v>1115</v>
      </c>
      <c r="C427" s="108">
        <v>41083</v>
      </c>
      <c r="D427" s="44" t="s">
        <v>118</v>
      </c>
      <c r="E427" s="76" t="s">
        <v>91</v>
      </c>
      <c r="F427" s="42" t="s">
        <v>2638</v>
      </c>
      <c r="G427" s="49" t="s">
        <v>53</v>
      </c>
      <c r="H427" s="45" t="s">
        <v>2639</v>
      </c>
      <c r="I427" s="83" t="s">
        <v>1775</v>
      </c>
      <c r="J427" s="52" t="str">
        <f>VLOOKUP(I427,'CONTACT REFERENCE'!$A$2:$P$399,4,FALSE)</f>
        <v>PERFECT TOOLS MOULDS FACTORY LLC</v>
      </c>
      <c r="K427" s="42">
        <v>23917</v>
      </c>
      <c r="L427" s="42"/>
      <c r="M427" s="41"/>
      <c r="N427" s="41"/>
      <c r="O427" s="47" t="s">
        <v>2640</v>
      </c>
      <c r="P427" s="45" t="s">
        <v>124</v>
      </c>
      <c r="Q427" s="49" t="s">
        <v>120</v>
      </c>
      <c r="R427" s="48">
        <v>950</v>
      </c>
      <c r="S427" s="41" t="s">
        <v>29</v>
      </c>
      <c r="T427" s="42"/>
      <c r="U427" s="42"/>
      <c r="V427" s="21"/>
      <c r="W427" s="78"/>
      <c r="X427" s="15">
        <v>25</v>
      </c>
      <c r="Z427" s="74" t="str">
        <f>CONCATENATE(Table1[[#This Row],[P.R NUMBER]],"-",Table1[[#This Row],[SR NO]])</f>
        <v>230612063040-1115</v>
      </c>
    </row>
    <row r="428" spans="1:26" x14ac:dyDescent="0.25">
      <c r="A428" s="73"/>
      <c r="B428" s="42">
        <v>1116</v>
      </c>
      <c r="C428" s="108">
        <v>41083</v>
      </c>
      <c r="D428" s="44" t="s">
        <v>118</v>
      </c>
      <c r="E428" s="76" t="s">
        <v>90</v>
      </c>
      <c r="F428" s="42" t="s">
        <v>1</v>
      </c>
      <c r="G428" s="49" t="s">
        <v>57</v>
      </c>
      <c r="H428" s="45" t="s">
        <v>2641</v>
      </c>
      <c r="I428" s="83" t="s">
        <v>119</v>
      </c>
      <c r="J428" s="52" t="str">
        <f>VLOOKUP(I428,'CONTACT REFERENCE'!$A$2:$P$399,4,FALSE)</f>
        <v>AL DOBOWI TYRE COMPANY LLC</v>
      </c>
      <c r="K428" s="42" t="s">
        <v>2642</v>
      </c>
      <c r="L428" s="42">
        <v>318185</v>
      </c>
      <c r="M428" s="41"/>
      <c r="N428" s="41"/>
      <c r="O428" s="47" t="s">
        <v>2162</v>
      </c>
      <c r="P428" s="45" t="s">
        <v>124</v>
      </c>
      <c r="Q428" s="49" t="s">
        <v>120</v>
      </c>
      <c r="R428" s="48">
        <v>150</v>
      </c>
      <c r="S428" s="41" t="s">
        <v>29</v>
      </c>
      <c r="T428" s="84">
        <v>41090</v>
      </c>
      <c r="U428" s="42"/>
      <c r="V428" s="21"/>
      <c r="W428" s="78"/>
      <c r="X428" s="15">
        <v>25</v>
      </c>
      <c r="Z428" s="74" t="str">
        <f>CONCATENATE(Table1[[#This Row],[P.R NUMBER]],"-",Table1[[#This Row],[SR NO]])</f>
        <v>230612112020-1116</v>
      </c>
    </row>
    <row r="429" spans="1:26" x14ac:dyDescent="0.25">
      <c r="A429" s="73"/>
      <c r="B429" s="42">
        <v>1117</v>
      </c>
      <c r="C429" s="108">
        <v>41083</v>
      </c>
      <c r="D429" s="44" t="s">
        <v>118</v>
      </c>
      <c r="E429" s="76" t="s">
        <v>90</v>
      </c>
      <c r="F429" s="42" t="s">
        <v>1</v>
      </c>
      <c r="G429" s="49" t="s">
        <v>64</v>
      </c>
      <c r="H429" s="45" t="s">
        <v>2643</v>
      </c>
      <c r="I429" s="83" t="s">
        <v>460</v>
      </c>
      <c r="J429" s="52" t="str">
        <f>VLOOKUP(I429,'CONTACT REFERENCE'!$A$2:$P$399,4,FALSE)</f>
        <v>A-1 ENGINEERING</v>
      </c>
      <c r="K429" s="42">
        <v>5983</v>
      </c>
      <c r="L429" s="42">
        <v>8975</v>
      </c>
      <c r="M429" s="41"/>
      <c r="N429" s="41"/>
      <c r="O429" s="47" t="s">
        <v>2644</v>
      </c>
      <c r="P429" s="45" t="s">
        <v>130</v>
      </c>
      <c r="Q429" s="49" t="s">
        <v>120</v>
      </c>
      <c r="R429" s="48">
        <v>1500</v>
      </c>
      <c r="S429" s="41" t="s">
        <v>29</v>
      </c>
      <c r="T429" s="84">
        <v>41099</v>
      </c>
      <c r="U429" s="42"/>
      <c r="V429" s="21"/>
      <c r="W429" s="78"/>
      <c r="X429" s="15">
        <v>25</v>
      </c>
      <c r="Z429" s="74" t="str">
        <f>CONCATENATE(Table1[[#This Row],[P.R NUMBER]],"-",Table1[[#This Row],[SR NO]])</f>
        <v>230612192020-1117</v>
      </c>
    </row>
    <row r="430" spans="1:26" x14ac:dyDescent="0.25">
      <c r="A430" s="73"/>
      <c r="B430" s="42">
        <v>1118</v>
      </c>
      <c r="C430" s="108">
        <v>41085</v>
      </c>
      <c r="D430" s="44" t="s">
        <v>118</v>
      </c>
      <c r="E430" s="76" t="s">
        <v>90</v>
      </c>
      <c r="F430" s="42" t="s">
        <v>1</v>
      </c>
      <c r="G430" s="49" t="s">
        <v>51</v>
      </c>
      <c r="H430" s="45" t="s">
        <v>2645</v>
      </c>
      <c r="I430" s="83" t="s">
        <v>460</v>
      </c>
      <c r="J430" s="52" t="str">
        <f>VLOOKUP(I430,'CONTACT REFERENCE'!$A$2:$P$399,4,FALSE)</f>
        <v>A-1 ENGINEERING</v>
      </c>
      <c r="K430" s="42">
        <v>5961</v>
      </c>
      <c r="L430" s="42">
        <v>8974</v>
      </c>
      <c r="M430" s="41"/>
      <c r="N430" s="41"/>
      <c r="O430" s="47" t="s">
        <v>2646</v>
      </c>
      <c r="P430" s="45" t="s">
        <v>136</v>
      </c>
      <c r="Q430" s="49" t="s">
        <v>140</v>
      </c>
      <c r="R430" s="48">
        <v>80</v>
      </c>
      <c r="S430" s="41" t="s">
        <v>29</v>
      </c>
      <c r="T430" s="84">
        <v>41099</v>
      </c>
      <c r="U430" s="42"/>
      <c r="V430" s="21"/>
      <c r="W430" s="78"/>
      <c r="X430" s="15">
        <v>26</v>
      </c>
      <c r="Z430" s="74" t="str">
        <f>CONCATENATE(Table1[[#This Row],[P.R NUMBER]],"-",Table1[[#This Row],[SR NO]])</f>
        <v>250612042020-1118</v>
      </c>
    </row>
    <row r="431" spans="1:26" x14ac:dyDescent="0.25">
      <c r="A431" s="73"/>
      <c r="B431" s="42">
        <v>1118</v>
      </c>
      <c r="C431" s="108">
        <v>41085</v>
      </c>
      <c r="D431" s="44" t="s">
        <v>118</v>
      </c>
      <c r="E431" s="76" t="s">
        <v>90</v>
      </c>
      <c r="F431" s="42" t="s">
        <v>1</v>
      </c>
      <c r="G431" s="49" t="s">
        <v>51</v>
      </c>
      <c r="H431" s="45" t="s">
        <v>2645</v>
      </c>
      <c r="I431" s="83" t="s">
        <v>460</v>
      </c>
      <c r="J431" s="52" t="str">
        <f>VLOOKUP(I431,'CONTACT REFERENCE'!$A$2:$P$399,4,FALSE)</f>
        <v>A-1 ENGINEERING</v>
      </c>
      <c r="K431" s="42">
        <v>5961</v>
      </c>
      <c r="L431" s="42"/>
      <c r="M431" s="41"/>
      <c r="N431" s="41"/>
      <c r="O431" s="47" t="s">
        <v>2647</v>
      </c>
      <c r="P431" s="45" t="s">
        <v>124</v>
      </c>
      <c r="Q431" s="49" t="s">
        <v>120</v>
      </c>
      <c r="R431" s="48">
        <v>400</v>
      </c>
      <c r="S431" s="41" t="s">
        <v>29</v>
      </c>
      <c r="T431" s="42"/>
      <c r="U431" s="42"/>
      <c r="V431" s="21"/>
      <c r="W431" s="78"/>
      <c r="X431" s="15">
        <v>26</v>
      </c>
      <c r="Z431" s="74" t="str">
        <f>CONCATENATE(Table1[[#This Row],[P.R NUMBER]],"-",Table1[[#This Row],[SR NO]])</f>
        <v>250612042020-1118</v>
      </c>
    </row>
    <row r="432" spans="1:26" x14ac:dyDescent="0.25">
      <c r="A432" s="73"/>
      <c r="B432" s="42">
        <v>1118</v>
      </c>
      <c r="C432" s="108">
        <v>41085</v>
      </c>
      <c r="D432" s="44" t="s">
        <v>118</v>
      </c>
      <c r="E432" s="76" t="s">
        <v>90</v>
      </c>
      <c r="F432" s="42" t="s">
        <v>1</v>
      </c>
      <c r="G432" s="49" t="s">
        <v>51</v>
      </c>
      <c r="H432" s="45" t="s">
        <v>2645</v>
      </c>
      <c r="I432" s="83" t="s">
        <v>460</v>
      </c>
      <c r="J432" s="52" t="str">
        <f>VLOOKUP(I432,'CONTACT REFERENCE'!$A$2:$P$399,4,FALSE)</f>
        <v>A-1 ENGINEERING</v>
      </c>
      <c r="K432" s="42">
        <v>5962</v>
      </c>
      <c r="L432" s="42"/>
      <c r="M432" s="41"/>
      <c r="N432" s="41"/>
      <c r="O432" s="47" t="s">
        <v>2648</v>
      </c>
      <c r="P432" s="45" t="s">
        <v>136</v>
      </c>
      <c r="Q432" s="49" t="s">
        <v>120</v>
      </c>
      <c r="R432" s="48">
        <v>900</v>
      </c>
      <c r="S432" s="41" t="s">
        <v>29</v>
      </c>
      <c r="T432" s="42"/>
      <c r="U432" s="42"/>
      <c r="V432" s="21"/>
      <c r="W432" s="78"/>
      <c r="X432" s="15">
        <v>26</v>
      </c>
      <c r="Z432" s="74" t="str">
        <f>CONCATENATE(Table1[[#This Row],[P.R NUMBER]],"-",Table1[[#This Row],[SR NO]])</f>
        <v>250612042020-1118</v>
      </c>
    </row>
    <row r="433" spans="1:26" x14ac:dyDescent="0.25">
      <c r="A433" s="73"/>
      <c r="B433" s="42">
        <v>1118</v>
      </c>
      <c r="C433" s="108">
        <v>41085</v>
      </c>
      <c r="D433" s="44" t="s">
        <v>118</v>
      </c>
      <c r="E433" s="76" t="s">
        <v>90</v>
      </c>
      <c r="F433" s="42" t="s">
        <v>1</v>
      </c>
      <c r="G433" s="49" t="s">
        <v>51</v>
      </c>
      <c r="H433" s="45" t="s">
        <v>2645</v>
      </c>
      <c r="I433" s="83" t="s">
        <v>460</v>
      </c>
      <c r="J433" s="52" t="str">
        <f>VLOOKUP(I433,'CONTACT REFERENCE'!$A$2:$P$399,4,FALSE)</f>
        <v>A-1 ENGINEERING</v>
      </c>
      <c r="K433" s="42">
        <v>5963</v>
      </c>
      <c r="L433" s="42"/>
      <c r="M433" s="41"/>
      <c r="N433" s="41"/>
      <c r="O433" s="47" t="s">
        <v>2649</v>
      </c>
      <c r="P433" s="45" t="s">
        <v>124</v>
      </c>
      <c r="Q433" s="49" t="s">
        <v>120</v>
      </c>
      <c r="R433" s="48">
        <v>500</v>
      </c>
      <c r="S433" s="41" t="s">
        <v>29</v>
      </c>
      <c r="T433" s="42"/>
      <c r="U433" s="42"/>
      <c r="V433" s="21"/>
      <c r="W433" s="78"/>
      <c r="X433" s="15">
        <v>26</v>
      </c>
      <c r="Z433" s="74" t="str">
        <f>CONCATENATE(Table1[[#This Row],[P.R NUMBER]],"-",Table1[[#This Row],[SR NO]])</f>
        <v>250612042020-1118</v>
      </c>
    </row>
    <row r="434" spans="1:26" x14ac:dyDescent="0.25">
      <c r="A434" s="73"/>
      <c r="B434" s="42">
        <v>1118</v>
      </c>
      <c r="C434" s="108">
        <v>41085</v>
      </c>
      <c r="D434" s="44" t="s">
        <v>118</v>
      </c>
      <c r="E434" s="76" t="s">
        <v>90</v>
      </c>
      <c r="F434" s="42" t="s">
        <v>1</v>
      </c>
      <c r="G434" s="49" t="s">
        <v>51</v>
      </c>
      <c r="H434" s="45" t="s">
        <v>2645</v>
      </c>
      <c r="I434" s="83" t="s">
        <v>460</v>
      </c>
      <c r="J434" s="52" t="str">
        <f>VLOOKUP(I434,'CONTACT REFERENCE'!$A$2:$P$399,4,FALSE)</f>
        <v>A-1 ENGINEERING</v>
      </c>
      <c r="K434" s="42">
        <v>5964</v>
      </c>
      <c r="L434" s="42"/>
      <c r="M434" s="41"/>
      <c r="N434" s="41"/>
      <c r="O434" s="47" t="s">
        <v>2650</v>
      </c>
      <c r="P434" s="45" t="s">
        <v>124</v>
      </c>
      <c r="Q434" s="49" t="s">
        <v>120</v>
      </c>
      <c r="R434" s="48">
        <v>400</v>
      </c>
      <c r="S434" s="41" t="s">
        <v>29</v>
      </c>
      <c r="T434" s="42"/>
      <c r="U434" s="42"/>
      <c r="V434" s="21"/>
      <c r="W434" s="78"/>
      <c r="X434" s="15">
        <v>26</v>
      </c>
      <c r="Z434" s="74" t="str">
        <f>CONCATENATE(Table1[[#This Row],[P.R NUMBER]],"-",Table1[[#This Row],[SR NO]])</f>
        <v>250612042020-1118</v>
      </c>
    </row>
    <row r="435" spans="1:26" x14ac:dyDescent="0.25">
      <c r="A435" s="73"/>
      <c r="B435" s="42">
        <v>1119</v>
      </c>
      <c r="C435" s="108">
        <v>41086</v>
      </c>
      <c r="D435" s="44" t="s">
        <v>118</v>
      </c>
      <c r="E435" s="76" t="s">
        <v>90</v>
      </c>
      <c r="F435" s="42" t="s">
        <v>1</v>
      </c>
      <c r="G435" s="49" t="s">
        <v>72</v>
      </c>
      <c r="H435" s="45" t="s">
        <v>2651</v>
      </c>
      <c r="I435" s="83" t="s">
        <v>119</v>
      </c>
      <c r="J435" s="52" t="str">
        <f>VLOOKUP(I435,'CONTACT REFERENCE'!$A$2:$P$399,4,FALSE)</f>
        <v>AL DOBOWI TYRE COMPANY LLC</v>
      </c>
      <c r="K435" s="42"/>
      <c r="L435" s="42" t="s">
        <v>2652</v>
      </c>
      <c r="M435" s="41" t="s">
        <v>2653</v>
      </c>
      <c r="N435" s="41"/>
      <c r="O435" s="47" t="s">
        <v>2654</v>
      </c>
      <c r="P435" s="45" t="s">
        <v>124</v>
      </c>
      <c r="Q435" s="49" t="s">
        <v>140</v>
      </c>
      <c r="R435" s="48">
        <v>1800</v>
      </c>
      <c r="S435" s="41" t="s">
        <v>29</v>
      </c>
      <c r="T435" s="84">
        <v>41085</v>
      </c>
      <c r="U435" s="42"/>
      <c r="V435" s="21"/>
      <c r="W435" s="78"/>
      <c r="X435" s="15">
        <v>26</v>
      </c>
      <c r="Z435" s="74" t="str">
        <f>CONCATENATE(Table1[[#This Row],[P.R NUMBER]],"-",Table1[[#This Row],[SR NO]])</f>
        <v>260612272020-1119</v>
      </c>
    </row>
    <row r="436" spans="1:26" x14ac:dyDescent="0.25">
      <c r="A436" s="73"/>
      <c r="B436" s="42">
        <v>1119</v>
      </c>
      <c r="C436" s="108">
        <v>41086</v>
      </c>
      <c r="D436" s="44" t="s">
        <v>118</v>
      </c>
      <c r="E436" s="76" t="s">
        <v>90</v>
      </c>
      <c r="F436" s="42" t="s">
        <v>1</v>
      </c>
      <c r="G436" s="49" t="s">
        <v>72</v>
      </c>
      <c r="H436" s="45" t="s">
        <v>2651</v>
      </c>
      <c r="I436" s="83" t="s">
        <v>119</v>
      </c>
      <c r="J436" s="52" t="str">
        <f>VLOOKUP(I436,'CONTACT REFERENCE'!$A$2:$P$399,4,FALSE)</f>
        <v>AL DOBOWI TYRE COMPANY LLC</v>
      </c>
      <c r="K436" s="42"/>
      <c r="L436" s="42" t="s">
        <v>2652</v>
      </c>
      <c r="M436" s="41" t="s">
        <v>2653</v>
      </c>
      <c r="N436" s="41"/>
      <c r="O436" s="47" t="s">
        <v>2655</v>
      </c>
      <c r="P436" s="45" t="s">
        <v>124</v>
      </c>
      <c r="Q436" s="49" t="s">
        <v>140</v>
      </c>
      <c r="R436" s="48">
        <v>1060</v>
      </c>
      <c r="S436" s="41" t="s">
        <v>29</v>
      </c>
      <c r="T436" s="84">
        <v>41085</v>
      </c>
      <c r="U436" s="42"/>
      <c r="V436" s="21"/>
      <c r="W436" s="78"/>
      <c r="X436" s="15">
        <v>26</v>
      </c>
      <c r="Z436" s="74" t="str">
        <f>CONCATENATE(Table1[[#This Row],[P.R NUMBER]],"-",Table1[[#This Row],[SR NO]])</f>
        <v>260612272020-1119</v>
      </c>
    </row>
    <row r="437" spans="1:26" x14ac:dyDescent="0.25">
      <c r="A437" s="73"/>
      <c r="B437" s="42">
        <v>1120</v>
      </c>
      <c r="C437" s="108">
        <v>41087</v>
      </c>
      <c r="D437" s="44" t="s">
        <v>122</v>
      </c>
      <c r="E437" s="76" t="s">
        <v>90</v>
      </c>
      <c r="F437" s="42" t="s">
        <v>1</v>
      </c>
      <c r="G437" s="49" t="s">
        <v>69</v>
      </c>
      <c r="H437" s="45" t="s">
        <v>2656</v>
      </c>
      <c r="I437" s="83" t="s">
        <v>262</v>
      </c>
      <c r="J437" s="52" t="str">
        <f>VLOOKUP(I437,'CONTACT REFERENCE'!$A$2:$P$399,4,FALSE)</f>
        <v>CURTIUS TRADING INC</v>
      </c>
      <c r="K437" s="42" t="s">
        <v>2657</v>
      </c>
      <c r="L437" s="42">
        <v>20120164</v>
      </c>
      <c r="M437" s="41"/>
      <c r="N437" s="41"/>
      <c r="O437" s="47" t="s">
        <v>1877</v>
      </c>
      <c r="P437" s="45" t="s">
        <v>136</v>
      </c>
      <c r="Q437" s="49" t="s">
        <v>120</v>
      </c>
      <c r="R437" s="48">
        <v>405.88</v>
      </c>
      <c r="S437" s="41" t="s">
        <v>28</v>
      </c>
      <c r="T437" s="107">
        <v>41105</v>
      </c>
      <c r="U437" s="42" t="s">
        <v>2658</v>
      </c>
      <c r="V437" s="21"/>
      <c r="W437" s="78"/>
      <c r="X437" s="15">
        <v>26</v>
      </c>
      <c r="Z437" s="74" t="str">
        <f>CONCATENATE(Table1[[#This Row],[P.R NUMBER]],"-",Table1[[#This Row],[SR NO]])</f>
        <v>270612242020-1120</v>
      </c>
    </row>
    <row r="438" spans="1:26" x14ac:dyDescent="0.25">
      <c r="A438" s="73"/>
      <c r="B438" s="42">
        <v>1121</v>
      </c>
      <c r="C438" s="108">
        <v>41087</v>
      </c>
      <c r="D438" s="44" t="s">
        <v>118</v>
      </c>
      <c r="E438" s="76" t="s">
        <v>90</v>
      </c>
      <c r="F438" s="42" t="s">
        <v>1</v>
      </c>
      <c r="G438" s="49" t="s">
        <v>57</v>
      </c>
      <c r="H438" s="45" t="s">
        <v>2659</v>
      </c>
      <c r="I438" s="83" t="s">
        <v>341</v>
      </c>
      <c r="J438" s="52" t="str">
        <f>VLOOKUP(I438,'CONTACT REFERENCE'!$A$2:$P$399,4,FALSE)</f>
        <v>ADVANCE TECHNOLOGY BELTING TRD EST</v>
      </c>
      <c r="K438" s="42" t="s">
        <v>2660</v>
      </c>
      <c r="L438" s="42">
        <v>1207002</v>
      </c>
      <c r="M438" s="41" t="s">
        <v>57</v>
      </c>
      <c r="N438" s="41"/>
      <c r="O438" s="47" t="s">
        <v>2614</v>
      </c>
      <c r="P438" s="45" t="s">
        <v>136</v>
      </c>
      <c r="Q438" s="49" t="s">
        <v>120</v>
      </c>
      <c r="R438" s="48">
        <v>180</v>
      </c>
      <c r="S438" s="41" t="s">
        <v>29</v>
      </c>
      <c r="T438" s="84">
        <v>41092</v>
      </c>
      <c r="U438" s="42"/>
      <c r="V438" s="21" t="s">
        <v>2661</v>
      </c>
      <c r="W438" s="78"/>
      <c r="X438" s="15">
        <v>26</v>
      </c>
      <c r="Z438" s="74" t="str">
        <f>CONCATENATE(Table1[[#This Row],[P.R NUMBER]],"-",Table1[[#This Row],[SR NO]])</f>
        <v>270612112020-1121</v>
      </c>
    </row>
    <row r="439" spans="1:26" x14ac:dyDescent="0.25">
      <c r="A439" s="73"/>
      <c r="B439" s="42">
        <v>1122</v>
      </c>
      <c r="C439" s="108">
        <v>41088</v>
      </c>
      <c r="D439" s="44" t="s">
        <v>118</v>
      </c>
      <c r="E439" s="76" t="s">
        <v>91</v>
      </c>
      <c r="F439" s="42" t="s">
        <v>88</v>
      </c>
      <c r="G439" s="49" t="s">
        <v>70</v>
      </c>
      <c r="H439" s="45" t="s">
        <v>2662</v>
      </c>
      <c r="I439" s="83" t="s">
        <v>484</v>
      </c>
      <c r="J439" s="52" t="str">
        <f>VLOOKUP(I439,'CONTACT REFERENCE'!$A$2:$P$399,4,FALSE)</f>
        <v>OMAN INKS AND PRINTING MATERIAL TRADING</v>
      </c>
      <c r="K439" s="42"/>
      <c r="L439" s="42">
        <v>10768</v>
      </c>
      <c r="M439" s="41"/>
      <c r="N439" s="42" t="s">
        <v>171</v>
      </c>
      <c r="O439" s="46" t="s">
        <v>149</v>
      </c>
      <c r="P439" s="45" t="s">
        <v>124</v>
      </c>
      <c r="Q439" s="49" t="s">
        <v>135</v>
      </c>
      <c r="R439" s="48">
        <v>580</v>
      </c>
      <c r="S439" s="41" t="s">
        <v>29</v>
      </c>
      <c r="T439" s="84">
        <v>41090</v>
      </c>
      <c r="U439" s="42"/>
      <c r="V439" s="21"/>
      <c r="W439" s="78"/>
      <c r="X439" s="15">
        <v>26</v>
      </c>
      <c r="Z439" s="74" t="str">
        <f>CONCATENATE(Table1[[#This Row],[P.R NUMBER]],"-",Table1[[#This Row],[SR NO]])</f>
        <v>280612253060-1122</v>
      </c>
    </row>
    <row r="440" spans="1:26" x14ac:dyDescent="0.25">
      <c r="A440" s="73"/>
      <c r="B440" s="42">
        <v>1123</v>
      </c>
      <c r="C440" s="108">
        <v>41088</v>
      </c>
      <c r="D440" s="44" t="s">
        <v>118</v>
      </c>
      <c r="E440" s="76" t="s">
        <v>90</v>
      </c>
      <c r="F440" s="42" t="s">
        <v>1</v>
      </c>
      <c r="G440" s="49" t="s">
        <v>51</v>
      </c>
      <c r="H440" s="45" t="s">
        <v>2663</v>
      </c>
      <c r="I440" s="83" t="s">
        <v>460</v>
      </c>
      <c r="J440" s="52" t="str">
        <f>VLOOKUP(I440,'CONTACT REFERENCE'!$A$2:$P$399,4,FALSE)</f>
        <v>A-1 ENGINEERING</v>
      </c>
      <c r="K440" s="42">
        <v>5918</v>
      </c>
      <c r="L440" s="42">
        <v>9083</v>
      </c>
      <c r="M440" s="41" t="s">
        <v>51</v>
      </c>
      <c r="N440" s="41"/>
      <c r="O440" s="47" t="s">
        <v>2664</v>
      </c>
      <c r="P440" s="45" t="s">
        <v>128</v>
      </c>
      <c r="Q440" s="49" t="s">
        <v>120</v>
      </c>
      <c r="R440" s="48">
        <v>800</v>
      </c>
      <c r="S440" s="41" t="s">
        <v>29</v>
      </c>
      <c r="T440" s="84">
        <v>41120</v>
      </c>
      <c r="U440" s="42"/>
      <c r="V440" s="21"/>
      <c r="W440" s="78"/>
      <c r="X440" s="15">
        <v>26</v>
      </c>
      <c r="Z440" s="74" t="str">
        <f>CONCATENATE(Table1[[#This Row],[P.R NUMBER]],"-",Table1[[#This Row],[SR NO]])</f>
        <v>280612042020-1123</v>
      </c>
    </row>
    <row r="441" spans="1:26" x14ac:dyDescent="0.25">
      <c r="A441" s="73"/>
      <c r="B441" s="42">
        <v>1123</v>
      </c>
      <c r="C441" s="108">
        <v>41088</v>
      </c>
      <c r="D441" s="44" t="s">
        <v>118</v>
      </c>
      <c r="E441" s="76" t="s">
        <v>90</v>
      </c>
      <c r="F441" s="42" t="s">
        <v>1</v>
      </c>
      <c r="G441" s="49" t="s">
        <v>51</v>
      </c>
      <c r="H441" s="45" t="s">
        <v>2663</v>
      </c>
      <c r="I441" s="83" t="s">
        <v>460</v>
      </c>
      <c r="J441" s="52" t="str">
        <f>VLOOKUP(I441,'CONTACT REFERENCE'!$A$2:$P$399,4,FALSE)</f>
        <v>A-1 ENGINEERING</v>
      </c>
      <c r="K441" s="42">
        <v>6008</v>
      </c>
      <c r="L441" s="42">
        <v>8992</v>
      </c>
      <c r="M441" s="41" t="s">
        <v>51</v>
      </c>
      <c r="N441" s="41"/>
      <c r="O441" s="47" t="s">
        <v>2665</v>
      </c>
      <c r="P441" s="45" t="s">
        <v>124</v>
      </c>
      <c r="Q441" s="49" t="s">
        <v>120</v>
      </c>
      <c r="R441" s="48">
        <v>450</v>
      </c>
      <c r="S441" s="41" t="s">
        <v>29</v>
      </c>
      <c r="T441" s="84">
        <v>41099</v>
      </c>
      <c r="U441" s="42"/>
      <c r="V441" s="21"/>
      <c r="W441" s="78"/>
      <c r="X441" s="15">
        <v>26</v>
      </c>
      <c r="Z441" s="74" t="str">
        <f>CONCATENATE(Table1[[#This Row],[P.R NUMBER]],"-",Table1[[#This Row],[SR NO]])</f>
        <v>280612042020-1123</v>
      </c>
    </row>
    <row r="442" spans="1:26" x14ac:dyDescent="0.25">
      <c r="A442" s="73"/>
      <c r="B442" s="42">
        <v>1124</v>
      </c>
      <c r="C442" s="108">
        <v>41088</v>
      </c>
      <c r="D442" s="44" t="s">
        <v>118</v>
      </c>
      <c r="E442" s="76" t="s">
        <v>90</v>
      </c>
      <c r="F442" s="42" t="s">
        <v>1</v>
      </c>
      <c r="G442" s="49" t="s">
        <v>64</v>
      </c>
      <c r="H442" s="45" t="s">
        <v>2666</v>
      </c>
      <c r="I442" s="83" t="s">
        <v>460</v>
      </c>
      <c r="J442" s="52" t="str">
        <f>VLOOKUP(I442,'CONTACT REFERENCE'!$A$2:$P$399,4,FALSE)</f>
        <v>A-1 ENGINEERING</v>
      </c>
      <c r="K442" s="42">
        <v>6005</v>
      </c>
      <c r="L442" s="42">
        <v>8993</v>
      </c>
      <c r="M442" s="41" t="s">
        <v>132</v>
      </c>
      <c r="N442" s="41"/>
      <c r="O442" s="47" t="s">
        <v>2667</v>
      </c>
      <c r="P442" s="45" t="s">
        <v>124</v>
      </c>
      <c r="Q442" s="49" t="s">
        <v>120</v>
      </c>
      <c r="R442" s="48">
        <v>450</v>
      </c>
      <c r="S442" s="41" t="s">
        <v>29</v>
      </c>
      <c r="T442" s="84">
        <v>41099</v>
      </c>
      <c r="U442" s="42"/>
      <c r="V442" s="21"/>
      <c r="W442" s="78"/>
      <c r="X442" s="15">
        <v>26</v>
      </c>
      <c r="Z442" s="74" t="str">
        <f>CONCATENATE(Table1[[#This Row],[P.R NUMBER]],"-",Table1[[#This Row],[SR NO]])</f>
        <v>280612192020-1124</v>
      </c>
    </row>
    <row r="443" spans="1:26" x14ac:dyDescent="0.25">
      <c r="A443" s="73"/>
      <c r="B443" s="42">
        <v>1124</v>
      </c>
      <c r="C443" s="108">
        <v>41088</v>
      </c>
      <c r="D443" s="44" t="s">
        <v>118</v>
      </c>
      <c r="E443" s="76" t="s">
        <v>90</v>
      </c>
      <c r="F443" s="42" t="s">
        <v>1</v>
      </c>
      <c r="G443" s="49" t="s">
        <v>64</v>
      </c>
      <c r="H443" s="45" t="s">
        <v>2666</v>
      </c>
      <c r="I443" s="83" t="s">
        <v>460</v>
      </c>
      <c r="J443" s="52" t="str">
        <f>VLOOKUP(I443,'CONTACT REFERENCE'!$A$2:$P$399,4,FALSE)</f>
        <v>A-1 ENGINEERING</v>
      </c>
      <c r="K443" s="42">
        <v>6006</v>
      </c>
      <c r="L443" s="42">
        <v>8993</v>
      </c>
      <c r="M443" s="41" t="s">
        <v>132</v>
      </c>
      <c r="N443" s="41"/>
      <c r="O443" s="47" t="s">
        <v>2668</v>
      </c>
      <c r="P443" s="45" t="s">
        <v>124</v>
      </c>
      <c r="Q443" s="49" t="s">
        <v>120</v>
      </c>
      <c r="R443" s="48">
        <v>300</v>
      </c>
      <c r="S443" s="41" t="s">
        <v>29</v>
      </c>
      <c r="T443" s="84">
        <v>41099</v>
      </c>
      <c r="U443" s="42"/>
      <c r="V443" s="21"/>
      <c r="W443" s="78"/>
      <c r="X443" s="15">
        <v>26</v>
      </c>
      <c r="Z443" s="74" t="str">
        <f>CONCATENATE(Table1[[#This Row],[P.R NUMBER]],"-",Table1[[#This Row],[SR NO]])</f>
        <v>280612192020-1124</v>
      </c>
    </row>
    <row r="444" spans="1:26" x14ac:dyDescent="0.25">
      <c r="A444" s="73"/>
      <c r="B444" s="42">
        <v>1125</v>
      </c>
      <c r="C444" s="108">
        <v>41092</v>
      </c>
      <c r="D444" s="44" t="s">
        <v>118</v>
      </c>
      <c r="E444" s="76" t="s">
        <v>90</v>
      </c>
      <c r="F444" s="42" t="s">
        <v>1</v>
      </c>
      <c r="G444" s="49" t="s">
        <v>70</v>
      </c>
      <c r="H444" s="45" t="s">
        <v>2669</v>
      </c>
      <c r="I444" s="83" t="s">
        <v>625</v>
      </c>
      <c r="J444" s="52" t="str">
        <f>VLOOKUP(I444,'CONTACT REFERENCE'!$A$2:$P$399,4,FALSE)</f>
        <v>AL MAHBOOB OIL &amp; INDUSTRIAL PROD TRD EST</v>
      </c>
      <c r="K444" s="42"/>
      <c r="L444" s="42">
        <v>2494</v>
      </c>
      <c r="M444" s="41"/>
      <c r="N444" s="41"/>
      <c r="O444" s="47" t="s">
        <v>2670</v>
      </c>
      <c r="P444" s="45" t="s">
        <v>124</v>
      </c>
      <c r="Q444" s="49" t="s">
        <v>174</v>
      </c>
      <c r="R444" s="48">
        <v>1585</v>
      </c>
      <c r="S444" s="41" t="s">
        <v>29</v>
      </c>
      <c r="T444" s="84">
        <v>41092</v>
      </c>
      <c r="U444" s="42"/>
      <c r="V444" s="21"/>
      <c r="W444" s="78"/>
      <c r="X444" s="15">
        <v>27</v>
      </c>
      <c r="Z444" s="74" t="str">
        <f>CONCATENATE(Table1[[#This Row],[P.R NUMBER]],"-",Table1[[#This Row],[SR NO]])</f>
        <v>020712252020-1125</v>
      </c>
    </row>
    <row r="445" spans="1:26" x14ac:dyDescent="0.25">
      <c r="A445" s="73"/>
      <c r="B445" s="42">
        <v>1126</v>
      </c>
      <c r="C445" s="108">
        <v>41092</v>
      </c>
      <c r="D445" s="44" t="s">
        <v>118</v>
      </c>
      <c r="E445" s="76" t="s">
        <v>90</v>
      </c>
      <c r="F445" s="42" t="s">
        <v>1</v>
      </c>
      <c r="G445" s="49" t="s">
        <v>64</v>
      </c>
      <c r="H445" s="45" t="s">
        <v>2671</v>
      </c>
      <c r="I445" s="83" t="s">
        <v>119</v>
      </c>
      <c r="J445" s="52" t="str">
        <f>VLOOKUP(I445,'CONTACT REFERENCE'!$A$2:$P$399,4,FALSE)</f>
        <v>AL DOBOWI TYRE COMPANY LLC</v>
      </c>
      <c r="K445" s="42" t="s">
        <v>2672</v>
      </c>
      <c r="L445" s="42">
        <v>430627</v>
      </c>
      <c r="M445" s="41"/>
      <c r="N445" s="41"/>
      <c r="O445" s="47" t="s">
        <v>2673</v>
      </c>
      <c r="P445" s="45" t="s">
        <v>179</v>
      </c>
      <c r="Q445" s="49" t="s">
        <v>120</v>
      </c>
      <c r="R445" s="48">
        <v>1100</v>
      </c>
      <c r="S445" s="41" t="s">
        <v>29</v>
      </c>
      <c r="T445" s="84">
        <v>41112</v>
      </c>
      <c r="U445" s="42"/>
      <c r="V445" s="21"/>
      <c r="W445" s="78"/>
      <c r="X445" s="15">
        <v>27</v>
      </c>
      <c r="Z445" s="74" t="str">
        <f>CONCATENATE(Table1[[#This Row],[P.R NUMBER]],"-",Table1[[#This Row],[SR NO]])</f>
        <v>020712192020-1126</v>
      </c>
    </row>
    <row r="446" spans="1:26" ht="30" x14ac:dyDescent="0.25">
      <c r="A446" s="85"/>
      <c r="B446" s="39">
        <v>1127</v>
      </c>
      <c r="C446" s="109">
        <v>41092</v>
      </c>
      <c r="D446" s="80" t="s">
        <v>122</v>
      </c>
      <c r="E446" s="86" t="s">
        <v>90</v>
      </c>
      <c r="F446" s="39" t="s">
        <v>1</v>
      </c>
      <c r="G446" s="81" t="s">
        <v>70</v>
      </c>
      <c r="H446" s="82" t="s">
        <v>2669</v>
      </c>
      <c r="I446" s="87" t="s">
        <v>253</v>
      </c>
      <c r="J446" s="52" t="str">
        <f>VLOOKUP(I446,'CONTACT REFERENCE'!$A$2:$P$399,4,FALSE)</f>
        <v>SURE TACK SYSTEMS (DIVISION OF CRIST CO)</v>
      </c>
      <c r="K446" s="39" t="s">
        <v>2674</v>
      </c>
      <c r="L446" s="39">
        <v>25051</v>
      </c>
      <c r="M446" s="88"/>
      <c r="N446" s="88" t="s">
        <v>2675</v>
      </c>
      <c r="O446" s="89" t="s">
        <v>2676</v>
      </c>
      <c r="P446" s="82" t="s">
        <v>141</v>
      </c>
      <c r="Q446" s="81" t="s">
        <v>120</v>
      </c>
      <c r="R446" s="90">
        <f>2.5*4</f>
        <v>10</v>
      </c>
      <c r="S446" s="88" t="s">
        <v>28</v>
      </c>
      <c r="T446" s="95">
        <v>41153</v>
      </c>
      <c r="U446" s="40" t="s">
        <v>2677</v>
      </c>
      <c r="V446" s="91"/>
      <c r="W446" s="92"/>
      <c r="X446" s="22">
        <v>27</v>
      </c>
      <c r="Y446" s="22"/>
      <c r="Z446" s="77" t="str">
        <f>CONCATENATE(Table1[[#This Row],[P.R NUMBER]],"-",Table1[[#This Row],[SR NO]])</f>
        <v>020712252020-1127</v>
      </c>
    </row>
    <row r="447" spans="1:26" ht="30" x14ac:dyDescent="0.25">
      <c r="A447" s="85"/>
      <c r="B447" s="39">
        <v>1127</v>
      </c>
      <c r="C447" s="109">
        <v>41092</v>
      </c>
      <c r="D447" s="80" t="s">
        <v>122</v>
      </c>
      <c r="E447" s="86" t="s">
        <v>90</v>
      </c>
      <c r="F447" s="39" t="s">
        <v>1</v>
      </c>
      <c r="G447" s="81" t="s">
        <v>70</v>
      </c>
      <c r="H447" s="82" t="s">
        <v>2669</v>
      </c>
      <c r="I447" s="87" t="s">
        <v>253</v>
      </c>
      <c r="J447" s="52" t="str">
        <f>VLOOKUP(I447,'CONTACT REFERENCE'!$A$2:$P$399,4,FALSE)</f>
        <v>SURE TACK SYSTEMS (DIVISION OF CRIST CO)</v>
      </c>
      <c r="K447" s="39" t="s">
        <v>2674</v>
      </c>
      <c r="L447" s="39">
        <v>25051</v>
      </c>
      <c r="M447" s="88"/>
      <c r="N447" s="88" t="s">
        <v>2678</v>
      </c>
      <c r="O447" s="47" t="s">
        <v>2679</v>
      </c>
      <c r="P447" s="45" t="s">
        <v>124</v>
      </c>
      <c r="Q447" s="49" t="s">
        <v>120</v>
      </c>
      <c r="R447" s="48">
        <v>16.5</v>
      </c>
      <c r="S447" s="41" t="s">
        <v>28</v>
      </c>
      <c r="T447" s="95">
        <v>41153</v>
      </c>
      <c r="U447" s="40" t="s">
        <v>2677</v>
      </c>
      <c r="V447" s="21"/>
      <c r="W447" s="78"/>
      <c r="X447" s="15">
        <v>27</v>
      </c>
      <c r="Z447" s="74" t="str">
        <f>CONCATENATE(Table1[[#This Row],[P.R NUMBER]],"-",Table1[[#This Row],[SR NO]])</f>
        <v>020712252020-1127</v>
      </c>
    </row>
    <row r="448" spans="1:26" ht="30" x14ac:dyDescent="0.25">
      <c r="A448" s="85"/>
      <c r="B448" s="39">
        <v>1127</v>
      </c>
      <c r="C448" s="109">
        <v>41092</v>
      </c>
      <c r="D448" s="80" t="s">
        <v>122</v>
      </c>
      <c r="E448" s="86" t="s">
        <v>90</v>
      </c>
      <c r="F448" s="39" t="s">
        <v>1</v>
      </c>
      <c r="G448" s="81" t="s">
        <v>70</v>
      </c>
      <c r="H448" s="82" t="s">
        <v>2669</v>
      </c>
      <c r="I448" s="87" t="s">
        <v>253</v>
      </c>
      <c r="J448" s="52" t="str">
        <f>VLOOKUP(I448,'CONTACT REFERENCE'!$A$2:$P$399,4,FALSE)</f>
        <v>SURE TACK SYSTEMS (DIVISION OF CRIST CO)</v>
      </c>
      <c r="K448" s="39" t="s">
        <v>2674</v>
      </c>
      <c r="L448" s="39">
        <v>25051</v>
      </c>
      <c r="M448" s="88"/>
      <c r="N448" s="88" t="s">
        <v>150</v>
      </c>
      <c r="O448" s="47" t="s">
        <v>1923</v>
      </c>
      <c r="P448" s="45" t="s">
        <v>130</v>
      </c>
      <c r="Q448" s="49" t="s">
        <v>120</v>
      </c>
      <c r="R448" s="48">
        <f>6*80</f>
        <v>480</v>
      </c>
      <c r="S448" s="41" t="s">
        <v>28</v>
      </c>
      <c r="T448" s="95">
        <v>41153</v>
      </c>
      <c r="U448" s="40" t="s">
        <v>2677</v>
      </c>
      <c r="V448" s="21"/>
      <c r="W448" s="78"/>
      <c r="X448" s="15">
        <v>27</v>
      </c>
      <c r="Z448" s="74" t="str">
        <f>CONCATENATE(Table1[[#This Row],[P.R NUMBER]],"-",Table1[[#This Row],[SR NO]])</f>
        <v>020712252020-1127</v>
      </c>
    </row>
    <row r="449" spans="1:26" x14ac:dyDescent="0.25">
      <c r="A449" s="73"/>
      <c r="B449" s="42">
        <v>1128</v>
      </c>
      <c r="C449" s="43">
        <v>40975</v>
      </c>
      <c r="D449" s="44" t="s">
        <v>122</v>
      </c>
      <c r="E449" s="76" t="s">
        <v>90</v>
      </c>
      <c r="F449" s="42" t="s">
        <v>1</v>
      </c>
      <c r="G449" s="49" t="s">
        <v>70</v>
      </c>
      <c r="H449" s="45" t="s">
        <v>2680</v>
      </c>
      <c r="I449" s="83" t="s">
        <v>311</v>
      </c>
      <c r="J449" s="52" t="str">
        <f>VLOOKUP(I449,'CONTACT REFERENCE'!$A$2:$P$399,4,FALSE)</f>
        <v>UNICAST ENGINEERED URETHANE PRODUCTS</v>
      </c>
      <c r="K449" s="42" t="s">
        <v>2674</v>
      </c>
      <c r="L449" s="42">
        <v>155347</v>
      </c>
      <c r="M449" s="41" t="s">
        <v>2681</v>
      </c>
      <c r="N449" s="41"/>
      <c r="O449" s="47" t="s">
        <v>2682</v>
      </c>
      <c r="P449" s="45" t="s">
        <v>124</v>
      </c>
      <c r="Q449" s="49" t="s">
        <v>120</v>
      </c>
      <c r="R449" s="48">
        <v>115.53</v>
      </c>
      <c r="S449" s="41" t="s">
        <v>28</v>
      </c>
      <c r="T449" s="84">
        <v>41105</v>
      </c>
      <c r="U449" s="42" t="s">
        <v>2683</v>
      </c>
      <c r="V449" s="21"/>
      <c r="W449" s="78"/>
      <c r="X449" s="15">
        <v>27</v>
      </c>
      <c r="Z449" s="74" t="str">
        <f>CONCATENATE(Table1[[#This Row],[P.R NUMBER]],"-",Table1[[#This Row],[SR NO]])</f>
        <v>030712252020-1128</v>
      </c>
    </row>
    <row r="450" spans="1:26" x14ac:dyDescent="0.25">
      <c r="A450" s="73"/>
      <c r="B450" s="42">
        <v>1128</v>
      </c>
      <c r="C450" s="43">
        <v>40975</v>
      </c>
      <c r="D450" s="44" t="s">
        <v>122</v>
      </c>
      <c r="E450" s="76" t="s">
        <v>90</v>
      </c>
      <c r="F450" s="42" t="s">
        <v>1</v>
      </c>
      <c r="G450" s="49" t="s">
        <v>70</v>
      </c>
      <c r="H450" s="45" t="s">
        <v>2680</v>
      </c>
      <c r="I450" s="83" t="s">
        <v>311</v>
      </c>
      <c r="J450" s="52" t="str">
        <f>VLOOKUP(I450,'CONTACT REFERENCE'!$A$2:$P$399,4,FALSE)</f>
        <v>UNICAST ENGINEERED URETHANE PRODUCTS</v>
      </c>
      <c r="K450" s="42" t="s">
        <v>2674</v>
      </c>
      <c r="L450" s="42">
        <v>155347</v>
      </c>
      <c r="M450" s="41" t="s">
        <v>2684</v>
      </c>
      <c r="N450" s="41"/>
      <c r="O450" s="47" t="s">
        <v>2685</v>
      </c>
      <c r="P450" s="45" t="s">
        <v>124</v>
      </c>
      <c r="Q450" s="49" t="s">
        <v>120</v>
      </c>
      <c r="R450" s="48">
        <v>52.41</v>
      </c>
      <c r="S450" s="41" t="s">
        <v>28</v>
      </c>
      <c r="T450" s="84">
        <v>41105</v>
      </c>
      <c r="U450" s="42" t="s">
        <v>2683</v>
      </c>
      <c r="V450" s="21"/>
      <c r="W450" s="78"/>
      <c r="X450" s="15">
        <v>27</v>
      </c>
      <c r="Z450" s="74" t="str">
        <f>CONCATENATE(Table1[[#This Row],[P.R NUMBER]],"-",Table1[[#This Row],[SR NO]])</f>
        <v>030712252020-1128</v>
      </c>
    </row>
    <row r="451" spans="1:26" x14ac:dyDescent="0.25">
      <c r="A451" s="73"/>
      <c r="B451" s="42">
        <v>1128</v>
      </c>
      <c r="C451" s="43">
        <v>40975</v>
      </c>
      <c r="D451" s="44" t="s">
        <v>122</v>
      </c>
      <c r="E451" s="76" t="s">
        <v>90</v>
      </c>
      <c r="F451" s="42" t="s">
        <v>1</v>
      </c>
      <c r="G451" s="49" t="s">
        <v>70</v>
      </c>
      <c r="H451" s="45" t="s">
        <v>2680</v>
      </c>
      <c r="I451" s="83" t="s">
        <v>311</v>
      </c>
      <c r="J451" s="52" t="str">
        <f>VLOOKUP(I451,'CONTACT REFERENCE'!$A$2:$P$399,4,FALSE)</f>
        <v>UNICAST ENGINEERED URETHANE PRODUCTS</v>
      </c>
      <c r="K451" s="42" t="s">
        <v>2674</v>
      </c>
      <c r="L451" s="42">
        <v>155347</v>
      </c>
      <c r="M451" s="41" t="s">
        <v>2686</v>
      </c>
      <c r="N451" s="41"/>
      <c r="O451" s="47" t="s">
        <v>2687</v>
      </c>
      <c r="P451" s="45" t="s">
        <v>180</v>
      </c>
      <c r="Q451" s="49" t="s">
        <v>120</v>
      </c>
      <c r="R451" s="48">
        <f>24*1.31</f>
        <v>31.44</v>
      </c>
      <c r="S451" s="41" t="s">
        <v>28</v>
      </c>
      <c r="T451" s="84">
        <v>41105</v>
      </c>
      <c r="U451" s="42" t="s">
        <v>2683</v>
      </c>
      <c r="V451" s="21"/>
      <c r="W451" s="78"/>
      <c r="X451" s="15">
        <v>27</v>
      </c>
      <c r="Z451" s="74" t="str">
        <f>CONCATENATE(Table1[[#This Row],[P.R NUMBER]],"-",Table1[[#This Row],[SR NO]])</f>
        <v>030712252020-1128</v>
      </c>
    </row>
    <row r="452" spans="1:26" x14ac:dyDescent="0.25">
      <c r="A452" s="73"/>
      <c r="B452" s="42">
        <v>1128</v>
      </c>
      <c r="C452" s="43">
        <v>40975</v>
      </c>
      <c r="D452" s="44" t="s">
        <v>122</v>
      </c>
      <c r="E452" s="76" t="s">
        <v>90</v>
      </c>
      <c r="F452" s="42" t="s">
        <v>1</v>
      </c>
      <c r="G452" s="49" t="s">
        <v>70</v>
      </c>
      <c r="H452" s="45" t="s">
        <v>2680</v>
      </c>
      <c r="I452" s="83" t="s">
        <v>311</v>
      </c>
      <c r="J452" s="52" t="str">
        <f>VLOOKUP(I452,'CONTACT REFERENCE'!$A$2:$P$399,4,FALSE)</f>
        <v>UNICAST ENGINEERED URETHANE PRODUCTS</v>
      </c>
      <c r="K452" s="42" t="s">
        <v>2674</v>
      </c>
      <c r="L452" s="42">
        <v>155347</v>
      </c>
      <c r="M452" s="41" t="s">
        <v>2688</v>
      </c>
      <c r="N452" s="41"/>
      <c r="O452" s="47" t="s">
        <v>2689</v>
      </c>
      <c r="P452" s="45" t="s">
        <v>180</v>
      </c>
      <c r="Q452" s="49" t="s">
        <v>120</v>
      </c>
      <c r="R452" s="48">
        <f>24*4.11</f>
        <v>98.640000000000015</v>
      </c>
      <c r="S452" s="41" t="s">
        <v>28</v>
      </c>
      <c r="T452" s="84">
        <v>41105</v>
      </c>
      <c r="U452" s="42" t="s">
        <v>2683</v>
      </c>
      <c r="V452" s="21"/>
      <c r="W452" s="78"/>
      <c r="X452" s="15">
        <v>27</v>
      </c>
      <c r="Z452" s="74" t="str">
        <f>CONCATENATE(Table1[[#This Row],[P.R NUMBER]],"-",Table1[[#This Row],[SR NO]])</f>
        <v>030712252020-1128</v>
      </c>
    </row>
    <row r="453" spans="1:26" x14ac:dyDescent="0.25">
      <c r="A453" s="73"/>
      <c r="B453" s="42">
        <v>1128</v>
      </c>
      <c r="C453" s="43">
        <v>40975</v>
      </c>
      <c r="D453" s="44" t="s">
        <v>122</v>
      </c>
      <c r="E453" s="76" t="s">
        <v>90</v>
      </c>
      <c r="F453" s="42" t="s">
        <v>1</v>
      </c>
      <c r="G453" s="49" t="s">
        <v>70</v>
      </c>
      <c r="H453" s="45" t="s">
        <v>2680</v>
      </c>
      <c r="I453" s="83" t="s">
        <v>311</v>
      </c>
      <c r="J453" s="52" t="str">
        <f>VLOOKUP(I453,'CONTACT REFERENCE'!$A$2:$P$399,4,FALSE)</f>
        <v>UNICAST ENGINEERED URETHANE PRODUCTS</v>
      </c>
      <c r="K453" s="42" t="s">
        <v>2674</v>
      </c>
      <c r="L453" s="42">
        <v>155347</v>
      </c>
      <c r="M453" s="41" t="s">
        <v>2690</v>
      </c>
      <c r="N453" s="41"/>
      <c r="O453" s="47" t="s">
        <v>2691</v>
      </c>
      <c r="P453" s="45" t="s">
        <v>130</v>
      </c>
      <c r="Q453" s="49" t="s">
        <v>120</v>
      </c>
      <c r="R453" s="48">
        <f>6*18.18</f>
        <v>109.08</v>
      </c>
      <c r="S453" s="41" t="s">
        <v>28</v>
      </c>
      <c r="T453" s="84">
        <v>41105</v>
      </c>
      <c r="U453" s="42" t="s">
        <v>2683</v>
      </c>
      <c r="V453" s="21"/>
      <c r="W453" s="78"/>
      <c r="X453" s="15">
        <v>27</v>
      </c>
      <c r="Z453" s="74" t="str">
        <f>CONCATENATE(Table1[[#This Row],[P.R NUMBER]],"-",Table1[[#This Row],[SR NO]])</f>
        <v>030712252020-1128</v>
      </c>
    </row>
    <row r="454" spans="1:26" x14ac:dyDescent="0.25">
      <c r="A454" s="73"/>
      <c r="B454" s="42">
        <v>1128</v>
      </c>
      <c r="C454" s="43">
        <v>40975</v>
      </c>
      <c r="D454" s="44" t="s">
        <v>122</v>
      </c>
      <c r="E454" s="76" t="s">
        <v>90</v>
      </c>
      <c r="F454" s="42" t="s">
        <v>1</v>
      </c>
      <c r="G454" s="49" t="s">
        <v>70</v>
      </c>
      <c r="H454" s="45" t="s">
        <v>2680</v>
      </c>
      <c r="I454" s="83" t="s">
        <v>311</v>
      </c>
      <c r="J454" s="52" t="str">
        <f>VLOOKUP(I454,'CONTACT REFERENCE'!$A$2:$P$399,4,FALSE)</f>
        <v>UNICAST ENGINEERED URETHANE PRODUCTS</v>
      </c>
      <c r="K454" s="42" t="s">
        <v>2674</v>
      </c>
      <c r="L454" s="42">
        <v>155347</v>
      </c>
      <c r="M454" s="41" t="s">
        <v>2692</v>
      </c>
      <c r="N454" s="41"/>
      <c r="O454" s="47" t="s">
        <v>2693</v>
      </c>
      <c r="P454" s="45" t="s">
        <v>126</v>
      </c>
      <c r="Q454" s="49" t="s">
        <v>120</v>
      </c>
      <c r="R454" s="48">
        <f>5*41.55</f>
        <v>207.75</v>
      </c>
      <c r="S454" s="41" t="s">
        <v>28</v>
      </c>
      <c r="T454" s="84">
        <v>41105</v>
      </c>
      <c r="U454" s="42" t="s">
        <v>2683</v>
      </c>
      <c r="V454" s="21"/>
      <c r="W454" s="78"/>
      <c r="X454" s="15">
        <v>27</v>
      </c>
      <c r="Z454" s="74" t="str">
        <f>CONCATENATE(Table1[[#This Row],[P.R NUMBER]],"-",Table1[[#This Row],[SR NO]])</f>
        <v>030712252020-1128</v>
      </c>
    </row>
    <row r="455" spans="1:26" x14ac:dyDescent="0.25">
      <c r="A455" s="73"/>
      <c r="B455" s="42">
        <v>1128</v>
      </c>
      <c r="C455" s="43">
        <v>40975</v>
      </c>
      <c r="D455" s="44" t="s">
        <v>122</v>
      </c>
      <c r="E455" s="76" t="s">
        <v>90</v>
      </c>
      <c r="F455" s="42" t="s">
        <v>1</v>
      </c>
      <c r="G455" s="49" t="s">
        <v>70</v>
      </c>
      <c r="H455" s="45" t="s">
        <v>2680</v>
      </c>
      <c r="I455" s="83" t="s">
        <v>311</v>
      </c>
      <c r="J455" s="52" t="str">
        <f>VLOOKUP(I455,'CONTACT REFERENCE'!$A$2:$P$399,4,FALSE)</f>
        <v>UNICAST ENGINEERED URETHANE PRODUCTS</v>
      </c>
      <c r="K455" s="42" t="s">
        <v>2674</v>
      </c>
      <c r="L455" s="42">
        <v>155347</v>
      </c>
      <c r="M455" s="41" t="s">
        <v>2694</v>
      </c>
      <c r="N455" s="41"/>
      <c r="O455" s="47" t="s">
        <v>2695</v>
      </c>
      <c r="P455" s="45" t="s">
        <v>137</v>
      </c>
      <c r="Q455" s="49" t="s">
        <v>120</v>
      </c>
      <c r="R455" s="48">
        <f>3*35</f>
        <v>105</v>
      </c>
      <c r="S455" s="41" t="s">
        <v>28</v>
      </c>
      <c r="T455" s="84">
        <v>41105</v>
      </c>
      <c r="U455" s="42" t="s">
        <v>2683</v>
      </c>
      <c r="V455" s="21"/>
      <c r="W455" s="78"/>
      <c r="X455" s="15">
        <v>27</v>
      </c>
      <c r="Z455" s="74" t="str">
        <f>CONCATENATE(Table1[[#This Row],[P.R NUMBER]],"-",Table1[[#This Row],[SR NO]])</f>
        <v>030712252020-1128</v>
      </c>
    </row>
    <row r="456" spans="1:26" x14ac:dyDescent="0.25">
      <c r="A456" s="73"/>
      <c r="B456" s="42">
        <v>1129</v>
      </c>
      <c r="C456" s="43">
        <v>41006</v>
      </c>
      <c r="D456" s="44" t="s">
        <v>118</v>
      </c>
      <c r="E456" s="76" t="s">
        <v>91</v>
      </c>
      <c r="F456" s="42" t="s">
        <v>88</v>
      </c>
      <c r="G456" s="49" t="s">
        <v>72</v>
      </c>
      <c r="H456" s="45" t="s">
        <v>2696</v>
      </c>
      <c r="I456" s="83" t="s">
        <v>441</v>
      </c>
      <c r="J456" s="52" t="str">
        <f>VLOOKUP(I456,'CONTACT REFERENCE'!$A$2:$P$399,4,FALSE)</f>
        <v>IDEAL SERVICES LLC</v>
      </c>
      <c r="K456" s="42"/>
      <c r="L456" s="42" t="s">
        <v>2697</v>
      </c>
      <c r="M456" s="41"/>
      <c r="N456" s="41"/>
      <c r="O456" s="47" t="s">
        <v>2698</v>
      </c>
      <c r="P456" s="45" t="s">
        <v>124</v>
      </c>
      <c r="Q456" s="49" t="s">
        <v>120</v>
      </c>
      <c r="R456" s="48">
        <v>1400</v>
      </c>
      <c r="S456" s="41" t="s">
        <v>29</v>
      </c>
      <c r="T456" s="84">
        <v>41094</v>
      </c>
      <c r="U456" s="42"/>
      <c r="V456" s="21"/>
      <c r="W456" s="78"/>
      <c r="X456" s="15">
        <v>27</v>
      </c>
      <c r="Z456" s="74" t="str">
        <f>CONCATENATE(Table1[[#This Row],[P.R NUMBER]],"-",Table1[[#This Row],[SR NO]])</f>
        <v>040712273060-1129</v>
      </c>
    </row>
    <row r="457" spans="1:26" x14ac:dyDescent="0.25">
      <c r="A457" s="73"/>
      <c r="B457" s="42">
        <v>1130</v>
      </c>
      <c r="C457" s="43">
        <v>41097</v>
      </c>
      <c r="D457" s="44" t="s">
        <v>118</v>
      </c>
      <c r="E457" s="76" t="s">
        <v>91</v>
      </c>
      <c r="F457" s="42" t="s">
        <v>88</v>
      </c>
      <c r="G457" s="49" t="s">
        <v>72</v>
      </c>
      <c r="H457" s="45" t="s">
        <v>2699</v>
      </c>
      <c r="I457" s="83" t="s">
        <v>1808</v>
      </c>
      <c r="J457" s="52" t="str">
        <f>VLOOKUP(I457,'CONTACT REFERENCE'!$A$2:$P$399,4,FALSE)</f>
        <v>Blue Diamond General Maintenance LLC</v>
      </c>
      <c r="K457" s="42" t="s">
        <v>2700</v>
      </c>
      <c r="L457" s="42"/>
      <c r="M457" s="41"/>
      <c r="N457" s="41"/>
      <c r="O457" s="47" t="s">
        <v>2701</v>
      </c>
      <c r="P457" s="45" t="s">
        <v>130</v>
      </c>
      <c r="Q457" s="49" t="s">
        <v>2702</v>
      </c>
      <c r="R457" s="48">
        <v>9000</v>
      </c>
      <c r="S457" s="41" t="s">
        <v>29</v>
      </c>
      <c r="T457" s="42"/>
      <c r="U457" s="42"/>
      <c r="V457" s="21"/>
      <c r="W457" s="78"/>
      <c r="X457" s="15">
        <v>27</v>
      </c>
      <c r="Z457" s="74" t="str">
        <f>CONCATENATE(Table1[[#This Row],[P.R NUMBER]],"-",Table1[[#This Row],[SR NO]])</f>
        <v>070712273060-1130</v>
      </c>
    </row>
    <row r="458" spans="1:26" x14ac:dyDescent="0.25">
      <c r="A458" s="73"/>
      <c r="B458" s="42">
        <v>1131</v>
      </c>
      <c r="C458" s="43">
        <v>41097</v>
      </c>
      <c r="D458" s="44" t="s">
        <v>118</v>
      </c>
      <c r="E458" s="76" t="s">
        <v>89</v>
      </c>
      <c r="F458" s="42" t="s">
        <v>88</v>
      </c>
      <c r="G458" s="49" t="s">
        <v>72</v>
      </c>
      <c r="H458" s="45" t="s">
        <v>2703</v>
      </c>
      <c r="I458" s="83" t="s">
        <v>1818</v>
      </c>
      <c r="J458" s="52" t="str">
        <f>VLOOKUP(I458,'CONTACT REFERENCE'!$A$2:$P$399,4,FALSE)</f>
        <v>MILL MECHANICAL SERVICES</v>
      </c>
      <c r="K458" s="42" t="s">
        <v>2704</v>
      </c>
      <c r="L458" s="42"/>
      <c r="M458" s="41"/>
      <c r="N458" s="41"/>
      <c r="O458" s="47" t="s">
        <v>2705</v>
      </c>
      <c r="P458" s="45"/>
      <c r="Q458" s="49"/>
      <c r="R458" s="48"/>
      <c r="S458" s="41"/>
      <c r="T458" s="42"/>
      <c r="U458" s="42"/>
      <c r="V458" s="21"/>
      <c r="W458" s="78"/>
      <c r="X458" s="15">
        <v>27</v>
      </c>
      <c r="Z458" s="74" t="str">
        <f>CONCATENATE(Table1[[#This Row],[P.R NUMBER]],"-",Table1[[#This Row],[SR NO]])</f>
        <v>070712271060-1131</v>
      </c>
    </row>
    <row r="459" spans="1:26" x14ac:dyDescent="0.25">
      <c r="A459" s="73"/>
      <c r="B459" s="42">
        <v>1132</v>
      </c>
      <c r="C459" s="43">
        <v>41159</v>
      </c>
      <c r="D459" s="44" t="s">
        <v>118</v>
      </c>
      <c r="E459" s="76" t="s">
        <v>89</v>
      </c>
      <c r="F459" s="42" t="s">
        <v>88</v>
      </c>
      <c r="G459" s="49" t="s">
        <v>72</v>
      </c>
      <c r="H459" s="45" t="s">
        <v>2706</v>
      </c>
      <c r="I459" s="83" t="s">
        <v>1826</v>
      </c>
      <c r="J459" s="52" t="str">
        <f>VLOOKUP(I459,'CONTACT REFERENCE'!$A$2:$P$399,4,FALSE)</f>
        <v>GEO ELECTRICALS CONTRACTING TRD CO LLC</v>
      </c>
      <c r="K459" s="42" t="s">
        <v>2707</v>
      </c>
      <c r="L459" s="42" t="s">
        <v>2708</v>
      </c>
      <c r="M459" s="41"/>
      <c r="N459" s="41"/>
      <c r="O459" s="47" t="s">
        <v>2709</v>
      </c>
      <c r="P459" s="45" t="s">
        <v>124</v>
      </c>
      <c r="Q459" s="49" t="s">
        <v>120</v>
      </c>
      <c r="R459" s="48">
        <v>4850</v>
      </c>
      <c r="S459" s="41" t="s">
        <v>29</v>
      </c>
      <c r="T459" s="84">
        <v>41102</v>
      </c>
      <c r="U459" s="42"/>
      <c r="V459" s="21" t="s">
        <v>2710</v>
      </c>
      <c r="W459" s="78"/>
      <c r="X459" s="15">
        <v>28</v>
      </c>
      <c r="Z459" s="74" t="str">
        <f>CONCATENATE(Table1[[#This Row],[P.R NUMBER]],"-",Table1[[#This Row],[SR NO]])</f>
        <v>090712271060-1132</v>
      </c>
    </row>
    <row r="460" spans="1:26" x14ac:dyDescent="0.25">
      <c r="A460" s="73"/>
      <c r="B460" s="42">
        <v>1132</v>
      </c>
      <c r="C460" s="43">
        <v>41159</v>
      </c>
      <c r="D460" s="44" t="s">
        <v>118</v>
      </c>
      <c r="E460" s="76" t="s">
        <v>89</v>
      </c>
      <c r="F460" s="42" t="s">
        <v>88</v>
      </c>
      <c r="G460" s="49" t="s">
        <v>72</v>
      </c>
      <c r="H460" s="45" t="s">
        <v>2706</v>
      </c>
      <c r="I460" s="83" t="s">
        <v>1826</v>
      </c>
      <c r="J460" s="52" t="str">
        <f>VLOOKUP(I460,'CONTACT REFERENCE'!$A$2:$P$399,4,FALSE)</f>
        <v>GEO ELECTRICALS CONTRACTING TRD CO LLC</v>
      </c>
      <c r="K460" s="42" t="s">
        <v>2707</v>
      </c>
      <c r="L460" s="42" t="s">
        <v>2711</v>
      </c>
      <c r="M460" s="41"/>
      <c r="N460" s="41"/>
      <c r="O460" s="47" t="s">
        <v>2712</v>
      </c>
      <c r="P460" s="45" t="s">
        <v>124</v>
      </c>
      <c r="Q460" s="49" t="s">
        <v>120</v>
      </c>
      <c r="R460" s="48">
        <v>1200</v>
      </c>
      <c r="S460" s="41" t="s">
        <v>29</v>
      </c>
      <c r="T460" s="84">
        <v>41102</v>
      </c>
      <c r="U460" s="42"/>
      <c r="V460" s="21" t="s">
        <v>2710</v>
      </c>
      <c r="W460" s="78"/>
      <c r="X460" s="15">
        <v>28</v>
      </c>
      <c r="Z460" s="74" t="str">
        <f>CONCATENATE(Table1[[#This Row],[P.R NUMBER]],"-",Table1[[#This Row],[SR NO]])</f>
        <v>090712271060-1132</v>
      </c>
    </row>
    <row r="461" spans="1:26" x14ac:dyDescent="0.25">
      <c r="A461" s="73"/>
      <c r="B461" s="42">
        <v>1133</v>
      </c>
      <c r="C461" s="43">
        <v>41159</v>
      </c>
      <c r="D461" s="44" t="s">
        <v>118</v>
      </c>
      <c r="E461" s="76" t="s">
        <v>1</v>
      </c>
      <c r="F461" s="42" t="s">
        <v>1</v>
      </c>
      <c r="G461" s="49" t="s">
        <v>70</v>
      </c>
      <c r="H461" s="45" t="s">
        <v>2713</v>
      </c>
      <c r="I461" s="83" t="s">
        <v>1410</v>
      </c>
      <c r="J461" s="52" t="str">
        <f>VLOOKUP(I461,'CONTACT REFERENCE'!$A$2:$P$399,4,FALSE)</f>
        <v>FAMCO</v>
      </c>
      <c r="K461" s="42" t="s">
        <v>2674</v>
      </c>
      <c r="L461" s="42"/>
      <c r="M461" s="41"/>
      <c r="N461" s="41"/>
      <c r="O461" s="46" t="s">
        <v>2714</v>
      </c>
      <c r="P461" s="45" t="s">
        <v>136</v>
      </c>
      <c r="Q461" s="49" t="s">
        <v>120</v>
      </c>
      <c r="R461" s="48">
        <f>2*1190</f>
        <v>2380</v>
      </c>
      <c r="S461" s="41" t="s">
        <v>29</v>
      </c>
      <c r="T461" s="42"/>
      <c r="U461" s="42"/>
      <c r="V461" s="21"/>
      <c r="W461" s="78"/>
      <c r="X461" s="15">
        <v>28</v>
      </c>
      <c r="Z461" s="74" t="str">
        <f>CONCATENATE(Table1[[#This Row],[P.R NUMBER]],"-",Table1[[#This Row],[SR NO]])</f>
        <v>090712252020-1133</v>
      </c>
    </row>
    <row r="462" spans="1:26" x14ac:dyDescent="0.25">
      <c r="A462" s="73"/>
      <c r="B462" s="42">
        <v>1134</v>
      </c>
      <c r="C462" s="43">
        <v>41159</v>
      </c>
      <c r="D462" s="44" t="s">
        <v>118</v>
      </c>
      <c r="E462" s="76" t="s">
        <v>90</v>
      </c>
      <c r="F462" s="42" t="s">
        <v>1</v>
      </c>
      <c r="G462" s="49" t="s">
        <v>69</v>
      </c>
      <c r="H462" s="45" t="s">
        <v>2715</v>
      </c>
      <c r="I462" s="83" t="s">
        <v>230</v>
      </c>
      <c r="J462" s="52" t="str">
        <f>VLOOKUP(I462,'CONTACT REFERENCE'!$A$2:$P$399,4,FALSE)</f>
        <v>MECHATRONICS INDUSTRIAL EQUIPMENT LLC</v>
      </c>
      <c r="K462" s="42"/>
      <c r="L462" s="42">
        <v>32756</v>
      </c>
      <c r="M462" s="41"/>
      <c r="N462" s="41"/>
      <c r="O462" s="47" t="s">
        <v>2716</v>
      </c>
      <c r="P462" s="45" t="s">
        <v>124</v>
      </c>
      <c r="Q462" s="49" t="s">
        <v>120</v>
      </c>
      <c r="R462" s="48">
        <v>300</v>
      </c>
      <c r="S462" s="41" t="s">
        <v>29</v>
      </c>
      <c r="T462" s="84">
        <v>41099</v>
      </c>
      <c r="U462" s="42"/>
      <c r="V462" s="21"/>
      <c r="W462" s="78"/>
      <c r="X462" s="15">
        <v>28</v>
      </c>
      <c r="Z462" s="74" t="str">
        <f>CONCATENATE(Table1[[#This Row],[P.R NUMBER]],"-",Table1[[#This Row],[SR NO]])</f>
        <v>090712242020-1134</v>
      </c>
    </row>
    <row r="463" spans="1:26" x14ac:dyDescent="0.25">
      <c r="A463" s="73"/>
      <c r="B463" s="42">
        <v>1135</v>
      </c>
      <c r="C463" s="43">
        <v>41189</v>
      </c>
      <c r="D463" s="44" t="s">
        <v>118</v>
      </c>
      <c r="E463" s="76" t="s">
        <v>89</v>
      </c>
      <c r="F463" s="42" t="s">
        <v>1</v>
      </c>
      <c r="G463" s="49" t="s">
        <v>69</v>
      </c>
      <c r="H463" s="45" t="s">
        <v>2717</v>
      </c>
      <c r="I463" s="83" t="s">
        <v>705</v>
      </c>
      <c r="J463" s="52" t="str">
        <f>VLOOKUP(I463,'CONTACT REFERENCE'!$A$2:$P$399,4,FALSE)</f>
        <v>COSMOPLAST INDUSTRIAL CO LLC</v>
      </c>
      <c r="K463" s="42" t="s">
        <v>2674</v>
      </c>
      <c r="L463" s="42"/>
      <c r="M463" s="41"/>
      <c r="N463" s="41"/>
      <c r="O463" s="47" t="s">
        <v>2718</v>
      </c>
      <c r="P463" s="45" t="s">
        <v>137</v>
      </c>
      <c r="Q463" s="49" t="s">
        <v>120</v>
      </c>
      <c r="R463" s="48">
        <f>75*3</f>
        <v>225</v>
      </c>
      <c r="S463" s="41" t="s">
        <v>29</v>
      </c>
      <c r="T463" s="42"/>
      <c r="U463" s="42"/>
      <c r="V463" s="21"/>
      <c r="W463" s="78"/>
      <c r="X463" s="15">
        <v>28</v>
      </c>
      <c r="Z463" s="74" t="str">
        <f>CONCATENATE(Table1[[#This Row],[P.R NUMBER]],"-",Table1[[#This Row],[SR NO]])</f>
        <v>100712241020-1135</v>
      </c>
    </row>
    <row r="464" spans="1:26" x14ac:dyDescent="0.25">
      <c r="A464" s="73"/>
      <c r="B464" s="42">
        <v>1135</v>
      </c>
      <c r="C464" s="43">
        <v>41189</v>
      </c>
      <c r="D464" s="44" t="s">
        <v>118</v>
      </c>
      <c r="E464" s="76" t="s">
        <v>89</v>
      </c>
      <c r="F464" s="42" t="s">
        <v>1</v>
      </c>
      <c r="G464" s="49" t="s">
        <v>69</v>
      </c>
      <c r="H464" s="45" t="s">
        <v>2717</v>
      </c>
      <c r="I464" s="83" t="s">
        <v>705</v>
      </c>
      <c r="J464" s="52" t="str">
        <f>VLOOKUP(I464,'CONTACT REFERENCE'!$A$2:$P$399,4,FALSE)</f>
        <v>COSMOPLAST INDUSTRIAL CO LLC</v>
      </c>
      <c r="K464" s="42" t="s">
        <v>2674</v>
      </c>
      <c r="L464" s="42"/>
      <c r="M464" s="41"/>
      <c r="N464" s="41"/>
      <c r="O464" s="47" t="s">
        <v>2719</v>
      </c>
      <c r="P464" s="45" t="s">
        <v>137</v>
      </c>
      <c r="Q464" s="49" t="s">
        <v>120</v>
      </c>
      <c r="R464" s="48">
        <f>3*11.5</f>
        <v>34.5</v>
      </c>
      <c r="S464" s="41" t="s">
        <v>29</v>
      </c>
      <c r="T464" s="42"/>
      <c r="U464" s="42"/>
      <c r="V464" s="21"/>
      <c r="W464" s="78"/>
      <c r="X464" s="15">
        <v>28</v>
      </c>
      <c r="Z464" s="74" t="str">
        <f>CONCATENATE(Table1[[#This Row],[P.R NUMBER]],"-",Table1[[#This Row],[SR NO]])</f>
        <v>100712241020-1135</v>
      </c>
    </row>
    <row r="465" spans="1:26" x14ac:dyDescent="0.25">
      <c r="A465" s="73"/>
      <c r="B465" s="42">
        <v>1135</v>
      </c>
      <c r="C465" s="43">
        <v>41189</v>
      </c>
      <c r="D465" s="44" t="s">
        <v>118</v>
      </c>
      <c r="E465" s="76" t="s">
        <v>89</v>
      </c>
      <c r="F465" s="42" t="s">
        <v>1</v>
      </c>
      <c r="G465" s="49" t="s">
        <v>69</v>
      </c>
      <c r="H465" s="45" t="s">
        <v>2717</v>
      </c>
      <c r="I465" s="83" t="s">
        <v>705</v>
      </c>
      <c r="J465" s="52" t="str">
        <f>VLOOKUP(I465,'CONTACT REFERENCE'!$A$2:$P$399,4,FALSE)</f>
        <v>COSMOPLAST INDUSTRIAL CO LLC</v>
      </c>
      <c r="K465" s="42" t="s">
        <v>2674</v>
      </c>
      <c r="L465" s="42"/>
      <c r="M465" s="41"/>
      <c r="N465" s="41"/>
      <c r="O465" s="47" t="s">
        <v>2720</v>
      </c>
      <c r="P465" s="45" t="s">
        <v>141</v>
      </c>
      <c r="Q465" s="49" t="s">
        <v>120</v>
      </c>
      <c r="R465" s="48">
        <f>4*49.68</f>
        <v>198.72</v>
      </c>
      <c r="S465" s="41" t="s">
        <v>29</v>
      </c>
      <c r="T465" s="42"/>
      <c r="U465" s="42"/>
      <c r="V465" s="21"/>
      <c r="W465" s="78"/>
      <c r="X465" s="15">
        <v>28</v>
      </c>
      <c r="Z465" s="74" t="str">
        <f>CONCATENATE(Table1[[#This Row],[P.R NUMBER]],"-",Table1[[#This Row],[SR NO]])</f>
        <v>100712241020-1135</v>
      </c>
    </row>
    <row r="466" spans="1:26" x14ac:dyDescent="0.25">
      <c r="A466" s="73"/>
      <c r="B466" s="42">
        <v>1135</v>
      </c>
      <c r="C466" s="43">
        <v>41189</v>
      </c>
      <c r="D466" s="44" t="s">
        <v>118</v>
      </c>
      <c r="E466" s="76" t="s">
        <v>89</v>
      </c>
      <c r="F466" s="42" t="s">
        <v>1</v>
      </c>
      <c r="G466" s="49" t="s">
        <v>69</v>
      </c>
      <c r="H466" s="45" t="s">
        <v>2717</v>
      </c>
      <c r="I466" s="83" t="s">
        <v>705</v>
      </c>
      <c r="J466" s="52" t="str">
        <f>VLOOKUP(I466,'CONTACT REFERENCE'!$A$2:$P$399,4,FALSE)</f>
        <v>COSMOPLAST INDUSTRIAL CO LLC</v>
      </c>
      <c r="K466" s="42" t="s">
        <v>2674</v>
      </c>
      <c r="L466" s="42"/>
      <c r="M466" s="41"/>
      <c r="N466" s="41"/>
      <c r="O466" s="47" t="s">
        <v>2721</v>
      </c>
      <c r="P466" s="45" t="s">
        <v>141</v>
      </c>
      <c r="Q466" s="49" t="s">
        <v>120</v>
      </c>
      <c r="R466" s="48">
        <f>4*10.5</f>
        <v>42</v>
      </c>
      <c r="S466" s="41" t="s">
        <v>29</v>
      </c>
      <c r="T466" s="42"/>
      <c r="U466" s="42"/>
      <c r="V466" s="21"/>
      <c r="W466" s="78"/>
      <c r="X466" s="15">
        <v>28</v>
      </c>
      <c r="Z466" s="74" t="str">
        <f>CONCATENATE(Table1[[#This Row],[P.R NUMBER]],"-",Table1[[#This Row],[SR NO]])</f>
        <v>100712241020-1135</v>
      </c>
    </row>
    <row r="467" spans="1:26" x14ac:dyDescent="0.25">
      <c r="A467" s="73"/>
      <c r="B467" s="42">
        <v>1135</v>
      </c>
      <c r="C467" s="43">
        <v>41189</v>
      </c>
      <c r="D467" s="44" t="s">
        <v>118</v>
      </c>
      <c r="E467" s="76" t="s">
        <v>89</v>
      </c>
      <c r="F467" s="42" t="s">
        <v>1</v>
      </c>
      <c r="G467" s="49" t="s">
        <v>69</v>
      </c>
      <c r="H467" s="45" t="s">
        <v>2717</v>
      </c>
      <c r="I467" s="83" t="s">
        <v>705</v>
      </c>
      <c r="J467" s="52" t="str">
        <f>VLOOKUP(I467,'CONTACT REFERENCE'!$A$2:$P$399,4,FALSE)</f>
        <v>COSMOPLAST INDUSTRIAL CO LLC</v>
      </c>
      <c r="K467" s="42" t="s">
        <v>2674</v>
      </c>
      <c r="L467" s="42"/>
      <c r="M467" s="41"/>
      <c r="N467" s="41"/>
      <c r="O467" s="47" t="s">
        <v>2722</v>
      </c>
      <c r="P467" s="45" t="s">
        <v>141</v>
      </c>
      <c r="Q467" s="49" t="s">
        <v>120</v>
      </c>
      <c r="R467" s="48">
        <f>4*15.75</f>
        <v>63</v>
      </c>
      <c r="S467" s="41" t="s">
        <v>29</v>
      </c>
      <c r="T467" s="42"/>
      <c r="U467" s="42"/>
      <c r="V467" s="21"/>
      <c r="W467" s="78"/>
      <c r="X467" s="15">
        <v>28</v>
      </c>
      <c r="Z467" s="74" t="str">
        <f>CONCATENATE(Table1[[#This Row],[P.R NUMBER]],"-",Table1[[#This Row],[SR NO]])</f>
        <v>100712241020-1135</v>
      </c>
    </row>
    <row r="468" spans="1:26" x14ac:dyDescent="0.25">
      <c r="A468" s="73"/>
      <c r="B468" s="42">
        <v>1135</v>
      </c>
      <c r="C468" s="43">
        <v>41189</v>
      </c>
      <c r="D468" s="44" t="s">
        <v>118</v>
      </c>
      <c r="E468" s="76" t="s">
        <v>89</v>
      </c>
      <c r="F468" s="42" t="s">
        <v>1</v>
      </c>
      <c r="G468" s="49" t="s">
        <v>69</v>
      </c>
      <c r="H468" s="45" t="s">
        <v>2717</v>
      </c>
      <c r="I468" s="83" t="s">
        <v>705</v>
      </c>
      <c r="J468" s="52" t="str">
        <f>VLOOKUP(I468,'CONTACT REFERENCE'!$A$2:$P$399,4,FALSE)</f>
        <v>COSMOPLAST INDUSTRIAL CO LLC</v>
      </c>
      <c r="K468" s="42" t="s">
        <v>2674</v>
      </c>
      <c r="L468" s="42"/>
      <c r="M468" s="41"/>
      <c r="N468" s="41"/>
      <c r="O468" s="47" t="s">
        <v>2723</v>
      </c>
      <c r="P468" s="45" t="s">
        <v>141</v>
      </c>
      <c r="Q468" s="49" t="s">
        <v>120</v>
      </c>
      <c r="R468" s="48">
        <f>4*12</f>
        <v>48</v>
      </c>
      <c r="S468" s="41" t="s">
        <v>29</v>
      </c>
      <c r="T468" s="42"/>
      <c r="U468" s="42"/>
      <c r="V468" s="21"/>
      <c r="W468" s="78"/>
      <c r="X468" s="15">
        <v>28</v>
      </c>
      <c r="Z468" s="74" t="str">
        <f>CONCATENATE(Table1[[#This Row],[P.R NUMBER]],"-",Table1[[#This Row],[SR NO]])</f>
        <v>100712241020-1135</v>
      </c>
    </row>
    <row r="469" spans="1:26" x14ac:dyDescent="0.25">
      <c r="A469" s="73"/>
      <c r="B469" s="42">
        <v>1135</v>
      </c>
      <c r="C469" s="43">
        <v>41189</v>
      </c>
      <c r="D469" s="44" t="s">
        <v>118</v>
      </c>
      <c r="E469" s="76" t="s">
        <v>89</v>
      </c>
      <c r="F469" s="42" t="s">
        <v>1</v>
      </c>
      <c r="G469" s="49" t="s">
        <v>69</v>
      </c>
      <c r="H469" s="45" t="s">
        <v>2717</v>
      </c>
      <c r="I469" s="83" t="s">
        <v>705</v>
      </c>
      <c r="J469" s="52" t="str">
        <f>VLOOKUP(I469,'CONTACT REFERENCE'!$A$2:$P$399,4,FALSE)</f>
        <v>COSMOPLAST INDUSTRIAL CO LLC</v>
      </c>
      <c r="K469" s="42" t="s">
        <v>2674</v>
      </c>
      <c r="L469" s="42"/>
      <c r="M469" s="41"/>
      <c r="N469" s="41"/>
      <c r="O469" s="47" t="s">
        <v>2724</v>
      </c>
      <c r="P469" s="45" t="s">
        <v>136</v>
      </c>
      <c r="Q469" s="49" t="s">
        <v>120</v>
      </c>
      <c r="R469" s="48">
        <f>2*5.08</f>
        <v>10.16</v>
      </c>
      <c r="S469" s="41" t="s">
        <v>29</v>
      </c>
      <c r="T469" s="42"/>
      <c r="U469" s="42"/>
      <c r="V469" s="21"/>
      <c r="W469" s="78"/>
      <c r="X469" s="15">
        <v>28</v>
      </c>
      <c r="Z469" s="74" t="str">
        <f>CONCATENATE(Table1[[#This Row],[P.R NUMBER]],"-",Table1[[#This Row],[SR NO]])</f>
        <v>100712241020-1135</v>
      </c>
    </row>
    <row r="470" spans="1:26" x14ac:dyDescent="0.25">
      <c r="A470" s="73"/>
      <c r="B470" s="42">
        <v>1135</v>
      </c>
      <c r="C470" s="43">
        <v>41189</v>
      </c>
      <c r="D470" s="44" t="s">
        <v>118</v>
      </c>
      <c r="E470" s="76" t="s">
        <v>89</v>
      </c>
      <c r="F470" s="42" t="s">
        <v>1</v>
      </c>
      <c r="G470" s="49" t="s">
        <v>69</v>
      </c>
      <c r="H470" s="45" t="s">
        <v>2717</v>
      </c>
      <c r="I470" s="83" t="s">
        <v>705</v>
      </c>
      <c r="J470" s="52" t="str">
        <f>VLOOKUP(I470,'CONTACT REFERENCE'!$A$2:$P$399,4,FALSE)</f>
        <v>COSMOPLAST INDUSTRIAL CO LLC</v>
      </c>
      <c r="K470" s="42" t="s">
        <v>2674</v>
      </c>
      <c r="L470" s="42"/>
      <c r="M470" s="41"/>
      <c r="N470" s="41"/>
      <c r="O470" s="47" t="s">
        <v>2725</v>
      </c>
      <c r="P470" s="45" t="s">
        <v>136</v>
      </c>
      <c r="Q470" s="49" t="s">
        <v>120</v>
      </c>
      <c r="R470" s="48">
        <f>2*2.84</f>
        <v>5.68</v>
      </c>
      <c r="S470" s="41" t="s">
        <v>29</v>
      </c>
      <c r="T470" s="42"/>
      <c r="U470" s="42"/>
      <c r="V470" s="21"/>
      <c r="W470" s="78"/>
      <c r="X470" s="15">
        <v>28</v>
      </c>
      <c r="Z470" s="74" t="str">
        <f>CONCATENATE(Table1[[#This Row],[P.R NUMBER]],"-",Table1[[#This Row],[SR NO]])</f>
        <v>100712241020-1135</v>
      </c>
    </row>
    <row r="471" spans="1:26" x14ac:dyDescent="0.25">
      <c r="A471" s="73"/>
      <c r="B471" s="42">
        <v>1135</v>
      </c>
      <c r="C471" s="43">
        <v>41189</v>
      </c>
      <c r="D471" s="44" t="s">
        <v>118</v>
      </c>
      <c r="E471" s="76" t="s">
        <v>89</v>
      </c>
      <c r="F471" s="42" t="s">
        <v>1</v>
      </c>
      <c r="G471" s="49" t="s">
        <v>69</v>
      </c>
      <c r="H471" s="45" t="s">
        <v>2717</v>
      </c>
      <c r="I471" s="83" t="s">
        <v>705</v>
      </c>
      <c r="J471" s="52" t="str">
        <f>VLOOKUP(I471,'CONTACT REFERENCE'!$A$2:$P$399,4,FALSE)</f>
        <v>COSMOPLAST INDUSTRIAL CO LLC</v>
      </c>
      <c r="K471" s="42" t="s">
        <v>2674</v>
      </c>
      <c r="L471" s="42"/>
      <c r="M471" s="41"/>
      <c r="N471" s="41"/>
      <c r="O471" s="47" t="s">
        <v>2726</v>
      </c>
      <c r="P471" s="45" t="s">
        <v>124</v>
      </c>
      <c r="Q471" s="49" t="s">
        <v>120</v>
      </c>
      <c r="R471" s="48">
        <v>3.05</v>
      </c>
      <c r="S471" s="41" t="s">
        <v>29</v>
      </c>
      <c r="T471" s="42"/>
      <c r="U471" s="42"/>
      <c r="V471" s="21"/>
      <c r="W471" s="78"/>
      <c r="X471" s="15">
        <v>28</v>
      </c>
      <c r="Z471" s="74" t="str">
        <f>CONCATENATE(Table1[[#This Row],[P.R NUMBER]],"-",Table1[[#This Row],[SR NO]])</f>
        <v>100712241020-1135</v>
      </c>
    </row>
    <row r="472" spans="1:26" x14ac:dyDescent="0.25">
      <c r="A472" s="73"/>
      <c r="B472" s="42">
        <v>1135</v>
      </c>
      <c r="C472" s="43">
        <v>41189</v>
      </c>
      <c r="D472" s="44" t="s">
        <v>118</v>
      </c>
      <c r="E472" s="76" t="s">
        <v>89</v>
      </c>
      <c r="F472" s="42" t="s">
        <v>1</v>
      </c>
      <c r="G472" s="49" t="s">
        <v>69</v>
      </c>
      <c r="H472" s="45" t="s">
        <v>2717</v>
      </c>
      <c r="I472" s="83" t="s">
        <v>705</v>
      </c>
      <c r="J472" s="52" t="str">
        <f>VLOOKUP(I472,'CONTACT REFERENCE'!$A$2:$P$399,4,FALSE)</f>
        <v>COSMOPLAST INDUSTRIAL CO LLC</v>
      </c>
      <c r="K472" s="42" t="s">
        <v>2674</v>
      </c>
      <c r="L472" s="42"/>
      <c r="M472" s="41"/>
      <c r="N472" s="41"/>
      <c r="O472" s="47" t="s">
        <v>2727</v>
      </c>
      <c r="P472" s="45" t="s">
        <v>124</v>
      </c>
      <c r="Q472" s="49" t="s">
        <v>120</v>
      </c>
      <c r="R472" s="48">
        <v>4.7300000000000004</v>
      </c>
      <c r="S472" s="41" t="s">
        <v>29</v>
      </c>
      <c r="T472" s="42"/>
      <c r="U472" s="42"/>
      <c r="V472" s="21"/>
      <c r="W472" s="78"/>
      <c r="X472" s="15">
        <v>28</v>
      </c>
      <c r="Z472" s="74" t="str">
        <f>CONCATENATE(Table1[[#This Row],[P.R NUMBER]],"-",Table1[[#This Row],[SR NO]])</f>
        <v>100712241020-1135</v>
      </c>
    </row>
    <row r="473" spans="1:26" x14ac:dyDescent="0.25">
      <c r="A473" s="73"/>
      <c r="B473" s="42">
        <v>1135</v>
      </c>
      <c r="C473" s="43">
        <v>41189</v>
      </c>
      <c r="D473" s="44" t="s">
        <v>118</v>
      </c>
      <c r="E473" s="76" t="s">
        <v>89</v>
      </c>
      <c r="F473" s="42" t="s">
        <v>1</v>
      </c>
      <c r="G473" s="49" t="s">
        <v>69</v>
      </c>
      <c r="H473" s="45" t="s">
        <v>2717</v>
      </c>
      <c r="I473" s="83" t="s">
        <v>705</v>
      </c>
      <c r="J473" s="52" t="str">
        <f>VLOOKUP(I473,'CONTACT REFERENCE'!$A$2:$P$399,4,FALSE)</f>
        <v>COSMOPLAST INDUSTRIAL CO LLC</v>
      </c>
      <c r="K473" s="42" t="s">
        <v>2674</v>
      </c>
      <c r="L473" s="42"/>
      <c r="M473" s="41"/>
      <c r="N473" s="41"/>
      <c r="O473" s="89" t="s">
        <v>2728</v>
      </c>
      <c r="P473" s="82" t="s">
        <v>124</v>
      </c>
      <c r="Q473" s="81" t="s">
        <v>120</v>
      </c>
      <c r="R473" s="90">
        <v>110.21</v>
      </c>
      <c r="S473" s="88" t="s">
        <v>29</v>
      </c>
      <c r="T473" s="39"/>
      <c r="U473" s="39"/>
      <c r="V473" s="91"/>
      <c r="W473" s="92"/>
      <c r="X473" s="15">
        <v>28</v>
      </c>
      <c r="Z473" s="77" t="str">
        <f>CONCATENATE(Table1[[#This Row],[P.R NUMBER]],"-",Table1[[#This Row],[SR NO]])</f>
        <v>100712241020-1135</v>
      </c>
    </row>
    <row r="474" spans="1:26" x14ac:dyDescent="0.25">
      <c r="A474" s="73"/>
      <c r="B474" s="42">
        <v>1135</v>
      </c>
      <c r="C474" s="43">
        <v>41189</v>
      </c>
      <c r="D474" s="44" t="s">
        <v>118</v>
      </c>
      <c r="E474" s="76" t="s">
        <v>89</v>
      </c>
      <c r="F474" s="42" t="s">
        <v>1</v>
      </c>
      <c r="G474" s="49" t="s">
        <v>69</v>
      </c>
      <c r="H474" s="45" t="s">
        <v>2717</v>
      </c>
      <c r="I474" s="83" t="s">
        <v>705</v>
      </c>
      <c r="J474" s="52" t="str">
        <f>VLOOKUP(I474,'CONTACT REFERENCE'!$A$2:$P$399,4,FALSE)</f>
        <v>COSMOPLAST INDUSTRIAL CO LLC</v>
      </c>
      <c r="K474" s="42" t="s">
        <v>2674</v>
      </c>
      <c r="L474" s="42"/>
      <c r="M474" s="41"/>
      <c r="N474" s="41"/>
      <c r="O474" s="47" t="s">
        <v>2729</v>
      </c>
      <c r="P474" s="45" t="s">
        <v>144</v>
      </c>
      <c r="Q474" s="49" t="s">
        <v>120</v>
      </c>
      <c r="R474" s="48">
        <f>12*10.4</f>
        <v>124.80000000000001</v>
      </c>
      <c r="S474" s="41" t="s">
        <v>29</v>
      </c>
      <c r="T474" s="42"/>
      <c r="U474" s="42"/>
      <c r="V474" s="21"/>
      <c r="W474" s="78"/>
      <c r="X474" s="15">
        <v>28</v>
      </c>
      <c r="Z474" s="74" t="str">
        <f>CONCATENATE(Table1[[#This Row],[P.R NUMBER]],"-",Table1[[#This Row],[SR NO]])</f>
        <v>100712241020-1135</v>
      </c>
    </row>
    <row r="475" spans="1:26" x14ac:dyDescent="0.25">
      <c r="A475" s="73"/>
      <c r="B475" s="42">
        <v>1135</v>
      </c>
      <c r="C475" s="43">
        <v>41189</v>
      </c>
      <c r="D475" s="44" t="s">
        <v>118</v>
      </c>
      <c r="E475" s="76" t="s">
        <v>89</v>
      </c>
      <c r="F475" s="42" t="s">
        <v>1</v>
      </c>
      <c r="G475" s="49" t="s">
        <v>69</v>
      </c>
      <c r="H475" s="45" t="s">
        <v>2717</v>
      </c>
      <c r="I475" s="83" t="s">
        <v>705</v>
      </c>
      <c r="J475" s="52" t="str">
        <f>VLOOKUP(I475,'CONTACT REFERENCE'!$A$2:$P$399,4,FALSE)</f>
        <v>COSMOPLAST INDUSTRIAL CO LLC</v>
      </c>
      <c r="K475" s="42" t="s">
        <v>2674</v>
      </c>
      <c r="L475" s="42"/>
      <c r="M475" s="41"/>
      <c r="N475" s="41"/>
      <c r="O475" s="47" t="s">
        <v>2730</v>
      </c>
      <c r="P475" s="45" t="s">
        <v>180</v>
      </c>
      <c r="Q475" s="49" t="s">
        <v>120</v>
      </c>
      <c r="R475" s="48">
        <f>24*2.25</f>
        <v>54</v>
      </c>
      <c r="S475" s="41" t="s">
        <v>29</v>
      </c>
      <c r="T475" s="42"/>
      <c r="U475" s="42"/>
      <c r="V475" s="21"/>
      <c r="W475" s="78"/>
      <c r="X475" s="15">
        <v>28</v>
      </c>
      <c r="Z475" s="74" t="str">
        <f>CONCATENATE(Table1[[#This Row],[P.R NUMBER]],"-",Table1[[#This Row],[SR NO]])</f>
        <v>100712241020-1135</v>
      </c>
    </row>
    <row r="476" spans="1:26" x14ac:dyDescent="0.25">
      <c r="A476" s="73"/>
      <c r="B476" s="42">
        <v>1135</v>
      </c>
      <c r="C476" s="43">
        <v>41189</v>
      </c>
      <c r="D476" s="44" t="s">
        <v>118</v>
      </c>
      <c r="E476" s="76" t="s">
        <v>89</v>
      </c>
      <c r="F476" s="42" t="s">
        <v>1</v>
      </c>
      <c r="G476" s="49" t="s">
        <v>69</v>
      </c>
      <c r="H476" s="45" t="s">
        <v>2717</v>
      </c>
      <c r="I476" s="83" t="s">
        <v>705</v>
      </c>
      <c r="J476" s="52" t="str">
        <f>VLOOKUP(I476,'CONTACT REFERENCE'!$A$2:$P$399,4,FALSE)</f>
        <v>COSMOPLAST INDUSTRIAL CO LLC</v>
      </c>
      <c r="K476" s="42" t="s">
        <v>2674</v>
      </c>
      <c r="L476" s="42"/>
      <c r="M476" s="41"/>
      <c r="N476" s="41"/>
      <c r="O476" s="47" t="s">
        <v>2731</v>
      </c>
      <c r="P476" s="45" t="s">
        <v>130</v>
      </c>
      <c r="Q476" s="49" t="s">
        <v>120</v>
      </c>
      <c r="R476" s="48">
        <f>6*10</f>
        <v>60</v>
      </c>
      <c r="S476" s="41" t="s">
        <v>29</v>
      </c>
      <c r="T476" s="42"/>
      <c r="U476" s="42"/>
      <c r="V476" s="21"/>
      <c r="W476" s="78"/>
      <c r="X476" s="15">
        <v>28</v>
      </c>
      <c r="Z476" s="74" t="str">
        <f>CONCATENATE(Table1[[#This Row],[P.R NUMBER]],"-",Table1[[#This Row],[SR NO]])</f>
        <v>100712241020-1135</v>
      </c>
    </row>
    <row r="477" spans="1:26" x14ac:dyDescent="0.25">
      <c r="A477" s="73"/>
      <c r="B477" s="42">
        <v>1135</v>
      </c>
      <c r="C477" s="43">
        <v>41189</v>
      </c>
      <c r="D477" s="44" t="s">
        <v>118</v>
      </c>
      <c r="E477" s="76" t="s">
        <v>89</v>
      </c>
      <c r="F477" s="42" t="s">
        <v>1</v>
      </c>
      <c r="G477" s="49" t="s">
        <v>69</v>
      </c>
      <c r="H477" s="45" t="s">
        <v>2717</v>
      </c>
      <c r="I477" s="83" t="s">
        <v>705</v>
      </c>
      <c r="J477" s="52" t="str">
        <f>VLOOKUP(I477,'CONTACT REFERENCE'!$A$2:$P$399,4,FALSE)</f>
        <v>COSMOPLAST INDUSTRIAL CO LLC</v>
      </c>
      <c r="K477" s="42" t="s">
        <v>2674</v>
      </c>
      <c r="L477" s="42"/>
      <c r="M477" s="41"/>
      <c r="N477" s="41"/>
      <c r="O477" s="47" t="s">
        <v>2732</v>
      </c>
      <c r="P477" s="45" t="s">
        <v>130</v>
      </c>
      <c r="Q477" s="49" t="s">
        <v>120</v>
      </c>
      <c r="R477" s="48">
        <f>6*14</f>
        <v>84</v>
      </c>
      <c r="S477" s="41" t="s">
        <v>29</v>
      </c>
      <c r="T477" s="42"/>
      <c r="U477" s="42"/>
      <c r="V477" s="21"/>
      <c r="W477" s="78"/>
      <c r="X477" s="15">
        <v>28</v>
      </c>
      <c r="Z477" s="74" t="str">
        <f>CONCATENATE(Table1[[#This Row],[P.R NUMBER]],"-",Table1[[#This Row],[SR NO]])</f>
        <v>100712241020-1135</v>
      </c>
    </row>
    <row r="478" spans="1:26" x14ac:dyDescent="0.25">
      <c r="A478" s="73"/>
      <c r="B478" s="42">
        <v>1136</v>
      </c>
      <c r="C478" s="43">
        <v>41250</v>
      </c>
      <c r="D478" s="44" t="s">
        <v>118</v>
      </c>
      <c r="E478" s="76" t="s">
        <v>90</v>
      </c>
      <c r="F478" s="42" t="s">
        <v>1</v>
      </c>
      <c r="G478" s="49" t="s">
        <v>69</v>
      </c>
      <c r="H478" s="45" t="s">
        <v>2733</v>
      </c>
      <c r="I478" s="83" t="s">
        <v>538</v>
      </c>
      <c r="J478" s="52" t="str">
        <f>VLOOKUP(I478,'CONTACT REFERENCE'!$A$2:$P$399,4,FALSE)</f>
        <v>BOODAI TRADING COMPANY LLC</v>
      </c>
      <c r="K478" s="42"/>
      <c r="L478" s="42"/>
      <c r="M478" s="41"/>
      <c r="N478" s="41"/>
      <c r="O478" s="47" t="s">
        <v>2254</v>
      </c>
      <c r="P478" s="45" t="s">
        <v>124</v>
      </c>
      <c r="Q478" s="49" t="s">
        <v>2476</v>
      </c>
      <c r="R478" s="48">
        <v>1300</v>
      </c>
      <c r="S478" s="41" t="s">
        <v>29</v>
      </c>
      <c r="T478" s="42"/>
      <c r="U478" s="42"/>
      <c r="V478" s="21"/>
      <c r="W478" s="78"/>
      <c r="X478" s="15">
        <v>28</v>
      </c>
      <c r="Z478" s="74" t="str">
        <f>CONCATENATE(Table1[[#This Row],[P.R NUMBER]],"-",Table1[[#This Row],[SR NO]])</f>
        <v>120712242020-1136</v>
      </c>
    </row>
    <row r="479" spans="1:26" x14ac:dyDescent="0.25">
      <c r="A479" s="73"/>
      <c r="B479" s="42">
        <v>1137</v>
      </c>
      <c r="C479" s="43">
        <v>41250</v>
      </c>
      <c r="D479" s="44" t="s">
        <v>118</v>
      </c>
      <c r="E479" s="76" t="s">
        <v>90</v>
      </c>
      <c r="F479" s="42" t="s">
        <v>1</v>
      </c>
      <c r="G479" s="49" t="s">
        <v>52</v>
      </c>
      <c r="H479" s="45" t="s">
        <v>2734</v>
      </c>
      <c r="I479" s="83" t="s">
        <v>341</v>
      </c>
      <c r="J479" s="52" t="str">
        <f>VLOOKUP(I479,'CONTACT REFERENCE'!$A$2:$P$399,4,FALSE)</f>
        <v>ADVANCE TECHNOLOGY BELTING TRD EST</v>
      </c>
      <c r="K479" s="42" t="s">
        <v>2735</v>
      </c>
      <c r="L479" s="42">
        <v>1207092</v>
      </c>
      <c r="M479" s="41"/>
      <c r="N479" s="41"/>
      <c r="O479" s="47" t="s">
        <v>2736</v>
      </c>
      <c r="P479" s="45" t="s">
        <v>136</v>
      </c>
      <c r="Q479" s="49" t="s">
        <v>120</v>
      </c>
      <c r="R479" s="48">
        <f>2*170</f>
        <v>340</v>
      </c>
      <c r="S479" s="41" t="s">
        <v>29</v>
      </c>
      <c r="T479" s="84">
        <v>41105</v>
      </c>
      <c r="U479" s="42"/>
      <c r="V479" s="21"/>
      <c r="W479" s="78"/>
      <c r="X479" s="15">
        <v>28</v>
      </c>
      <c r="Z479" s="74" t="str">
        <f>CONCATENATE(Table1[[#This Row],[P.R NUMBER]],"-",Table1[[#This Row],[SR NO]])</f>
        <v>120712052020-1137</v>
      </c>
    </row>
    <row r="480" spans="1:26" x14ac:dyDescent="0.25">
      <c r="A480" s="73"/>
      <c r="B480" s="42">
        <v>1138</v>
      </c>
      <c r="C480" s="43">
        <v>41250</v>
      </c>
      <c r="D480" s="44" t="s">
        <v>118</v>
      </c>
      <c r="E480" s="76" t="s">
        <v>90</v>
      </c>
      <c r="F480" s="42" t="s">
        <v>1</v>
      </c>
      <c r="G480" s="49" t="s">
        <v>65</v>
      </c>
      <c r="H480" s="45" t="s">
        <v>2737</v>
      </c>
      <c r="I480" s="83" t="s">
        <v>460</v>
      </c>
      <c r="J480" s="52" t="str">
        <f>VLOOKUP(I480,'CONTACT REFERENCE'!$A$2:$P$399,4,FALSE)</f>
        <v>A-1 ENGINEERING</v>
      </c>
      <c r="K480" s="42">
        <v>6053</v>
      </c>
      <c r="L480" s="42">
        <v>9084</v>
      </c>
      <c r="M480" s="41"/>
      <c r="N480" s="41"/>
      <c r="O480" s="47" t="s">
        <v>2738</v>
      </c>
      <c r="P480" s="45" t="s">
        <v>126</v>
      </c>
      <c r="Q480" s="49" t="s">
        <v>120</v>
      </c>
      <c r="R480" s="48">
        <f>5*125</f>
        <v>625</v>
      </c>
      <c r="S480" s="41" t="s">
        <v>29</v>
      </c>
      <c r="T480" s="84">
        <v>41120</v>
      </c>
      <c r="U480" s="42"/>
      <c r="V480" s="21"/>
      <c r="W480" s="78"/>
      <c r="X480" s="15">
        <v>28</v>
      </c>
      <c r="Z480" s="74" t="str">
        <f>CONCATENATE(Table1[[#This Row],[P.R NUMBER]],"-",Table1[[#This Row],[SR NO]])</f>
        <v>120712202020-1138</v>
      </c>
    </row>
    <row r="481" spans="1:26" x14ac:dyDescent="0.25">
      <c r="A481" s="73"/>
      <c r="B481" s="42">
        <v>1138</v>
      </c>
      <c r="C481" s="43">
        <v>41250</v>
      </c>
      <c r="D481" s="44" t="s">
        <v>118</v>
      </c>
      <c r="E481" s="76" t="s">
        <v>90</v>
      </c>
      <c r="F481" s="42" t="s">
        <v>1</v>
      </c>
      <c r="G481" s="49" t="s">
        <v>65</v>
      </c>
      <c r="H481" s="45" t="s">
        <v>2737</v>
      </c>
      <c r="I481" s="83" t="s">
        <v>460</v>
      </c>
      <c r="J481" s="52" t="str">
        <f>VLOOKUP(I481,'CONTACT REFERENCE'!$A$2:$P$399,4,FALSE)</f>
        <v>A-1 ENGINEERING</v>
      </c>
      <c r="K481" s="42">
        <v>6053</v>
      </c>
      <c r="L481" s="42">
        <v>9084</v>
      </c>
      <c r="M481" s="41"/>
      <c r="N481" s="41"/>
      <c r="O481" s="47" t="s">
        <v>2739</v>
      </c>
      <c r="P481" s="45" t="s">
        <v>124</v>
      </c>
      <c r="Q481" s="49" t="s">
        <v>120</v>
      </c>
      <c r="R481" s="48">
        <v>450</v>
      </c>
      <c r="S481" s="41" t="s">
        <v>29</v>
      </c>
      <c r="T481" s="84">
        <v>41120</v>
      </c>
      <c r="U481" s="42"/>
      <c r="V481" s="21"/>
      <c r="W481" s="78"/>
      <c r="X481" s="15">
        <v>28</v>
      </c>
      <c r="Z481" s="74" t="str">
        <f>CONCATENATE(Table1[[#This Row],[P.R NUMBER]],"-",Table1[[#This Row],[SR NO]])</f>
        <v>120712202020-1138</v>
      </c>
    </row>
    <row r="482" spans="1:26" x14ac:dyDescent="0.25">
      <c r="A482" s="73"/>
      <c r="B482" s="42">
        <v>1139</v>
      </c>
      <c r="C482" s="43">
        <v>41250</v>
      </c>
      <c r="D482" s="44" t="s">
        <v>118</v>
      </c>
      <c r="E482" s="76" t="s">
        <v>90</v>
      </c>
      <c r="F482" s="42" t="s">
        <v>1</v>
      </c>
      <c r="G482" s="49" t="s">
        <v>72</v>
      </c>
      <c r="H482" s="45" t="s">
        <v>2740</v>
      </c>
      <c r="I482" s="83" t="s">
        <v>460</v>
      </c>
      <c r="J482" s="52" t="str">
        <f>VLOOKUP(I482,'CONTACT REFERENCE'!$A$2:$P$399,4,FALSE)</f>
        <v>A-1 ENGINEERING</v>
      </c>
      <c r="K482" s="42">
        <v>6055</v>
      </c>
      <c r="L482" s="42">
        <v>9081</v>
      </c>
      <c r="M482" s="41"/>
      <c r="N482" s="41"/>
      <c r="O482" s="47" t="s">
        <v>2741</v>
      </c>
      <c r="P482" s="45" t="s">
        <v>2335</v>
      </c>
      <c r="Q482" s="49" t="s">
        <v>120</v>
      </c>
      <c r="R482" s="48">
        <v>350</v>
      </c>
      <c r="S482" s="41" t="s">
        <v>29</v>
      </c>
      <c r="T482" s="84">
        <v>41120</v>
      </c>
      <c r="U482" s="42"/>
      <c r="V482" s="21"/>
      <c r="W482" s="78"/>
      <c r="X482" s="15">
        <v>28</v>
      </c>
      <c r="Z482" s="74" t="str">
        <f>CONCATENATE(Table1[[#This Row],[P.R NUMBER]],"-",Table1[[#This Row],[SR NO]])</f>
        <v>120712272020-1139</v>
      </c>
    </row>
    <row r="483" spans="1:26" x14ac:dyDescent="0.25">
      <c r="A483" s="73"/>
      <c r="B483" s="42">
        <v>1140</v>
      </c>
      <c r="C483" s="43">
        <v>41250</v>
      </c>
      <c r="D483" s="44" t="s">
        <v>118</v>
      </c>
      <c r="E483" s="76" t="s">
        <v>90</v>
      </c>
      <c r="F483" s="42" t="s">
        <v>1</v>
      </c>
      <c r="G483" s="49" t="s">
        <v>66</v>
      </c>
      <c r="H483" s="45" t="s">
        <v>2742</v>
      </c>
      <c r="I483" s="83" t="s">
        <v>460</v>
      </c>
      <c r="J483" s="52" t="str">
        <f>VLOOKUP(I483,'CONTACT REFERENCE'!$A$2:$P$399,4,FALSE)</f>
        <v>A-1 ENGINEERING</v>
      </c>
      <c r="K483" s="42">
        <v>6055</v>
      </c>
      <c r="L483" s="42">
        <v>9082</v>
      </c>
      <c r="M483" s="41"/>
      <c r="N483" s="41"/>
      <c r="O483" s="47" t="s">
        <v>2743</v>
      </c>
      <c r="P483" s="45" t="s">
        <v>124</v>
      </c>
      <c r="Q483" s="49" t="s">
        <v>120</v>
      </c>
      <c r="R483" s="48">
        <v>350</v>
      </c>
      <c r="S483" s="41" t="s">
        <v>29</v>
      </c>
      <c r="T483" s="84">
        <v>41120</v>
      </c>
      <c r="U483" s="42"/>
      <c r="V483" s="21"/>
      <c r="W483" s="78"/>
      <c r="X483" s="15">
        <v>28</v>
      </c>
      <c r="Z483" s="74" t="str">
        <f>CONCATENATE(Table1[[#This Row],[P.R NUMBER]],"-",Table1[[#This Row],[SR NO]])</f>
        <v>120712212020-1140</v>
      </c>
    </row>
    <row r="484" spans="1:26" x14ac:dyDescent="0.25">
      <c r="A484" s="73"/>
      <c r="B484" s="42">
        <v>1141</v>
      </c>
      <c r="C484" s="43">
        <v>41250</v>
      </c>
      <c r="D484" s="44" t="s">
        <v>118</v>
      </c>
      <c r="E484" s="76" t="s">
        <v>90</v>
      </c>
      <c r="F484" s="42" t="s">
        <v>1</v>
      </c>
      <c r="G484" s="49" t="s">
        <v>84</v>
      </c>
      <c r="H484" s="45" t="s">
        <v>2744</v>
      </c>
      <c r="I484" s="83" t="s">
        <v>341</v>
      </c>
      <c r="J484" s="52" t="str">
        <f>VLOOKUP(I484,'CONTACT REFERENCE'!$A$2:$P$399,4,FALSE)</f>
        <v>ADVANCE TECHNOLOGY BELTING TRD EST</v>
      </c>
      <c r="K484" s="42" t="s">
        <v>2735</v>
      </c>
      <c r="L484" s="42">
        <v>1207145</v>
      </c>
      <c r="M484" s="41"/>
      <c r="N484" s="41"/>
      <c r="O484" s="47" t="s">
        <v>2745</v>
      </c>
      <c r="P484" s="45" t="s">
        <v>124</v>
      </c>
      <c r="Q484" s="49" t="s">
        <v>120</v>
      </c>
      <c r="R484" s="48">
        <v>1950</v>
      </c>
      <c r="S484" s="41" t="s">
        <v>29</v>
      </c>
      <c r="T484" s="84">
        <v>41113</v>
      </c>
      <c r="U484" s="42"/>
      <c r="V484" s="21"/>
      <c r="W484" s="78"/>
      <c r="X484" s="15">
        <v>28</v>
      </c>
      <c r="Z484" s="74" t="str">
        <f>CONCATENATE(Table1[[#This Row],[P.R NUMBER]],"-",Table1[[#This Row],[SR NO]])</f>
        <v>120712392020-1141</v>
      </c>
    </row>
    <row r="485" spans="1:26" x14ac:dyDescent="0.25">
      <c r="A485" s="73"/>
      <c r="B485" s="42">
        <v>1142</v>
      </c>
      <c r="C485" s="43">
        <v>41107</v>
      </c>
      <c r="D485" s="44" t="s">
        <v>118</v>
      </c>
      <c r="E485" s="76" t="s">
        <v>90</v>
      </c>
      <c r="F485" s="42" t="s">
        <v>1</v>
      </c>
      <c r="G485" s="49" t="s">
        <v>70</v>
      </c>
      <c r="H485" s="45" t="s">
        <v>2746</v>
      </c>
      <c r="I485" s="83" t="s">
        <v>341</v>
      </c>
      <c r="J485" s="52" t="str">
        <f>VLOOKUP(I485,'CONTACT REFERENCE'!$A$2:$P$399,4,FALSE)</f>
        <v>ADVANCE TECHNOLOGY BELTING TRD EST</v>
      </c>
      <c r="K485" s="42">
        <v>1204006</v>
      </c>
      <c r="L485" s="42">
        <v>1207129</v>
      </c>
      <c r="M485" s="41"/>
      <c r="N485" s="41"/>
      <c r="O485" s="47" t="s">
        <v>2747</v>
      </c>
      <c r="P485" s="45" t="s">
        <v>136</v>
      </c>
      <c r="Q485" s="49" t="s">
        <v>120</v>
      </c>
      <c r="R485" s="48">
        <f>2*240</f>
        <v>480</v>
      </c>
      <c r="S485" s="41" t="s">
        <v>29</v>
      </c>
      <c r="T485" s="84">
        <v>41110</v>
      </c>
      <c r="U485" s="42"/>
      <c r="V485" s="21"/>
      <c r="W485" s="78"/>
      <c r="X485" s="15">
        <v>29</v>
      </c>
      <c r="Z485" s="74" t="str">
        <f>CONCATENATE(Table1[[#This Row],[P.R NUMBER]],"-",Table1[[#This Row],[SR NO]])</f>
        <v>170712252020-1142</v>
      </c>
    </row>
    <row r="486" spans="1:26" x14ac:dyDescent="0.25">
      <c r="A486" s="73"/>
      <c r="B486" s="42">
        <v>1143</v>
      </c>
      <c r="C486" s="43">
        <v>41107</v>
      </c>
      <c r="D486" s="44" t="s">
        <v>118</v>
      </c>
      <c r="E486" s="76" t="s">
        <v>90</v>
      </c>
      <c r="F486" s="42" t="s">
        <v>1</v>
      </c>
      <c r="G486" s="49" t="s">
        <v>70</v>
      </c>
      <c r="H486" s="45" t="s">
        <v>2746</v>
      </c>
      <c r="I486" s="83" t="s">
        <v>698</v>
      </c>
      <c r="J486" s="52" t="str">
        <f>VLOOKUP(I486,'CONTACT REFERENCE'!$A$2:$P$399,4,FALSE)</f>
        <v>ACME INDUSTRIAL HARDWARE TRADING LLC</v>
      </c>
      <c r="K486" s="42" t="s">
        <v>2674</v>
      </c>
      <c r="L486" s="42"/>
      <c r="M486" s="41"/>
      <c r="N486" s="41" t="s">
        <v>2748</v>
      </c>
      <c r="O486" s="47" t="s">
        <v>2749</v>
      </c>
      <c r="P486" s="45" t="s">
        <v>130</v>
      </c>
      <c r="Q486" s="49" t="s">
        <v>120</v>
      </c>
      <c r="R486" s="48">
        <f>6*103</f>
        <v>618</v>
      </c>
      <c r="S486" s="41" t="s">
        <v>29</v>
      </c>
      <c r="T486" s="42"/>
      <c r="U486" s="42"/>
      <c r="V486" s="21"/>
      <c r="W486" s="78"/>
      <c r="X486" s="15">
        <v>29</v>
      </c>
      <c r="Z486" s="74" t="str">
        <f>CONCATENATE(Table1[[#This Row],[P.R NUMBER]],"-",Table1[[#This Row],[SR NO]])</f>
        <v>170712252020-1143</v>
      </c>
    </row>
    <row r="487" spans="1:26" x14ac:dyDescent="0.25">
      <c r="A487" s="73"/>
      <c r="B487" s="42">
        <v>1144</v>
      </c>
      <c r="C487" s="43">
        <v>41108</v>
      </c>
      <c r="D487" s="44" t="s">
        <v>118</v>
      </c>
      <c r="E487" s="76" t="s">
        <v>92</v>
      </c>
      <c r="F487" s="42" t="s">
        <v>88</v>
      </c>
      <c r="G487" s="49" t="s">
        <v>84</v>
      </c>
      <c r="H487" s="45" t="s">
        <v>2750</v>
      </c>
      <c r="I487" s="83" t="s">
        <v>377</v>
      </c>
      <c r="J487" s="52" t="str">
        <f>VLOOKUP(I487,'CONTACT REFERENCE'!$A$2:$P$399,4,FALSE)</f>
        <v>EURO PACK TRADING EST LTD</v>
      </c>
      <c r="K487" s="42" t="s">
        <v>2751</v>
      </c>
      <c r="L487" s="42">
        <v>41152</v>
      </c>
      <c r="M487" s="41" t="s">
        <v>2752</v>
      </c>
      <c r="N487" s="41"/>
      <c r="O487" s="47" t="s">
        <v>2753</v>
      </c>
      <c r="P487" s="45" t="s">
        <v>124</v>
      </c>
      <c r="Q487" s="49" t="s">
        <v>135</v>
      </c>
      <c r="R487" s="48">
        <v>110</v>
      </c>
      <c r="S487" s="41" t="s">
        <v>29</v>
      </c>
      <c r="T487" s="42"/>
      <c r="U487" s="42"/>
      <c r="V487" s="21"/>
      <c r="W487" s="78"/>
      <c r="X487" s="15">
        <v>29</v>
      </c>
      <c r="Z487" s="74" t="str">
        <f>CONCATENATE(Table1[[#This Row],[P.R NUMBER]],"-",Table1[[#This Row],[SR NO]])</f>
        <v>180712394060-1144</v>
      </c>
    </row>
    <row r="488" spans="1:26" x14ac:dyDescent="0.25">
      <c r="A488" s="73"/>
      <c r="B488" s="42">
        <v>1144</v>
      </c>
      <c r="C488" s="43">
        <v>41108</v>
      </c>
      <c r="D488" s="44" t="s">
        <v>118</v>
      </c>
      <c r="E488" s="76" t="s">
        <v>92</v>
      </c>
      <c r="F488" s="42" t="s">
        <v>88</v>
      </c>
      <c r="G488" s="49" t="s">
        <v>84</v>
      </c>
      <c r="H488" s="45" t="s">
        <v>2750</v>
      </c>
      <c r="I488" s="83" t="s">
        <v>377</v>
      </c>
      <c r="J488" s="52" t="str">
        <f>VLOOKUP(I488,'CONTACT REFERENCE'!$A$2:$P$399,4,FALSE)</f>
        <v>EURO PACK TRADING EST LTD</v>
      </c>
      <c r="K488" s="42" t="s">
        <v>2751</v>
      </c>
      <c r="L488" s="42">
        <v>41152</v>
      </c>
      <c r="M488" s="41" t="s">
        <v>2752</v>
      </c>
      <c r="N488" s="41"/>
      <c r="O488" s="47" t="s">
        <v>2753</v>
      </c>
      <c r="P488" s="45" t="s">
        <v>124</v>
      </c>
      <c r="Q488" s="49" t="s">
        <v>135</v>
      </c>
      <c r="R488" s="48">
        <v>200</v>
      </c>
      <c r="S488" s="41" t="s">
        <v>29</v>
      </c>
      <c r="T488" s="42"/>
      <c r="U488" s="42"/>
      <c r="V488" s="21"/>
      <c r="W488" s="78"/>
      <c r="X488" s="15">
        <v>29</v>
      </c>
      <c r="Z488" s="74" t="str">
        <f>CONCATENATE(Table1[[#This Row],[P.R NUMBER]],"-",Table1[[#This Row],[SR NO]])</f>
        <v>180712394060-1144</v>
      </c>
    </row>
    <row r="489" spans="1:26" x14ac:dyDescent="0.25">
      <c r="A489" s="73"/>
      <c r="B489" s="42">
        <v>1144</v>
      </c>
      <c r="C489" s="43">
        <v>41108</v>
      </c>
      <c r="D489" s="44" t="s">
        <v>118</v>
      </c>
      <c r="E489" s="76" t="s">
        <v>92</v>
      </c>
      <c r="F489" s="42" t="s">
        <v>88</v>
      </c>
      <c r="G489" s="49" t="s">
        <v>84</v>
      </c>
      <c r="H489" s="45" t="s">
        <v>2750</v>
      </c>
      <c r="I489" s="83" t="s">
        <v>377</v>
      </c>
      <c r="J489" s="52" t="str">
        <f>VLOOKUP(I489,'CONTACT REFERENCE'!$A$2:$P$399,4,FALSE)</f>
        <v>EURO PACK TRADING EST LTD</v>
      </c>
      <c r="K489" s="42" t="s">
        <v>2751</v>
      </c>
      <c r="L489" s="42">
        <v>41152</v>
      </c>
      <c r="M489" s="41" t="s">
        <v>2185</v>
      </c>
      <c r="N489" s="41"/>
      <c r="O489" s="47" t="s">
        <v>2753</v>
      </c>
      <c r="P489" s="45" t="s">
        <v>124</v>
      </c>
      <c r="Q489" s="49" t="s">
        <v>135</v>
      </c>
      <c r="R489" s="48">
        <v>200</v>
      </c>
      <c r="S489" s="41" t="s">
        <v>29</v>
      </c>
      <c r="T489" s="42"/>
      <c r="U489" s="42"/>
      <c r="V489" s="21"/>
      <c r="W489" s="78"/>
      <c r="X489" s="15">
        <v>29</v>
      </c>
      <c r="Z489" s="74" t="str">
        <f>CONCATENATE(Table1[[#This Row],[P.R NUMBER]],"-",Table1[[#This Row],[SR NO]])</f>
        <v>180712394060-1144</v>
      </c>
    </row>
    <row r="490" spans="1:26" x14ac:dyDescent="0.25">
      <c r="A490" s="73"/>
      <c r="B490" s="42">
        <v>1145</v>
      </c>
      <c r="C490" s="43">
        <v>41108</v>
      </c>
      <c r="D490" s="44" t="s">
        <v>118</v>
      </c>
      <c r="E490" s="76" t="s">
        <v>91</v>
      </c>
      <c r="F490" s="42" t="s">
        <v>88</v>
      </c>
      <c r="G490" s="49" t="s">
        <v>48</v>
      </c>
      <c r="H490" s="45" t="s">
        <v>2754</v>
      </c>
      <c r="I490" s="83" t="s">
        <v>119</v>
      </c>
      <c r="J490" s="52" t="str">
        <f>VLOOKUP(I490,'CONTACT REFERENCE'!$A$2:$P$399,4,FALSE)</f>
        <v>AL DOBOWI TYRE COMPANY LLC</v>
      </c>
      <c r="K490" s="42" t="s">
        <v>2755</v>
      </c>
      <c r="L490" s="42"/>
      <c r="M490" s="41" t="s">
        <v>123</v>
      </c>
      <c r="N490" s="41"/>
      <c r="O490" s="47" t="s">
        <v>2756</v>
      </c>
      <c r="P490" s="45" t="s">
        <v>136</v>
      </c>
      <c r="Q490" s="49" t="s">
        <v>120</v>
      </c>
      <c r="R490" s="48">
        <v>650</v>
      </c>
      <c r="S490" s="41" t="s">
        <v>29</v>
      </c>
      <c r="T490" s="42"/>
      <c r="U490" s="42"/>
      <c r="V490" s="21"/>
      <c r="W490" s="78"/>
      <c r="X490" s="15">
        <v>29</v>
      </c>
      <c r="Z490" s="74" t="str">
        <f>CONCATENATE(Table1[[#This Row],[P.R NUMBER]],"-",Table1[[#This Row],[SR NO]])</f>
        <v>180712013060-1145</v>
      </c>
    </row>
    <row r="491" spans="1:26" x14ac:dyDescent="0.25">
      <c r="A491" s="73"/>
      <c r="B491" s="42">
        <v>1146</v>
      </c>
      <c r="C491" s="43">
        <v>41108</v>
      </c>
      <c r="D491" s="44" t="s">
        <v>118</v>
      </c>
      <c r="E491" s="76" t="s">
        <v>90</v>
      </c>
      <c r="F491" s="42" t="s">
        <v>88</v>
      </c>
      <c r="G491" s="49" t="s">
        <v>72</v>
      </c>
      <c r="H491" s="45" t="s">
        <v>2757</v>
      </c>
      <c r="I491" s="83" t="s">
        <v>359</v>
      </c>
      <c r="J491" s="52" t="str">
        <f>VLOOKUP(I491,'CONTACT REFERENCE'!$A$2:$P$399,4,FALSE)</f>
        <v>UNISAFE FIRE PROTECTION SPECIALISTS LLC</v>
      </c>
      <c r="K491" s="42" t="s">
        <v>2758</v>
      </c>
      <c r="L491" s="42"/>
      <c r="M491" s="41"/>
      <c r="N491" s="41"/>
      <c r="O491" s="47" t="s">
        <v>2759</v>
      </c>
      <c r="P491" s="45" t="s">
        <v>124</v>
      </c>
      <c r="Q491" s="49" t="s">
        <v>120</v>
      </c>
      <c r="R491" s="48">
        <v>225</v>
      </c>
      <c r="S491" s="41" t="s">
        <v>29</v>
      </c>
      <c r="T491" s="42"/>
      <c r="U491" s="42"/>
      <c r="V491" s="21"/>
      <c r="W491" s="78"/>
      <c r="X491" s="15">
        <v>29</v>
      </c>
      <c r="Z491" s="74" t="str">
        <f>CONCATENATE(Table1[[#This Row],[P.R NUMBER]],"-",Table1[[#This Row],[SR NO]])</f>
        <v>180712272060-1146</v>
      </c>
    </row>
    <row r="492" spans="1:26" x14ac:dyDescent="0.25">
      <c r="A492" s="73"/>
      <c r="B492" s="42">
        <v>1146</v>
      </c>
      <c r="C492" s="43">
        <v>41108</v>
      </c>
      <c r="D492" s="44" t="s">
        <v>118</v>
      </c>
      <c r="E492" s="76" t="s">
        <v>90</v>
      </c>
      <c r="F492" s="42" t="s">
        <v>88</v>
      </c>
      <c r="G492" s="49" t="s">
        <v>72</v>
      </c>
      <c r="H492" s="45" t="s">
        <v>2757</v>
      </c>
      <c r="I492" s="83" t="s">
        <v>359</v>
      </c>
      <c r="J492" s="52" t="str">
        <f>VLOOKUP(I492,'CONTACT REFERENCE'!$A$2:$P$399,4,FALSE)</f>
        <v>UNISAFE FIRE PROTECTION SPECIALISTS LLC</v>
      </c>
      <c r="K492" s="42" t="s">
        <v>2758</v>
      </c>
      <c r="L492" s="42"/>
      <c r="M492" s="41"/>
      <c r="N492" s="41"/>
      <c r="O492" s="47" t="s">
        <v>193</v>
      </c>
      <c r="P492" s="45" t="s">
        <v>126</v>
      </c>
      <c r="Q492" s="49" t="s">
        <v>120</v>
      </c>
      <c r="R492" s="48">
        <v>200</v>
      </c>
      <c r="S492" s="41" t="s">
        <v>29</v>
      </c>
      <c r="T492" s="42"/>
      <c r="U492" s="42"/>
      <c r="V492" s="21"/>
      <c r="W492" s="78"/>
      <c r="X492" s="15">
        <v>29</v>
      </c>
      <c r="Z492" s="74" t="str">
        <f>CONCATENATE(Table1[[#This Row],[P.R NUMBER]],"-",Table1[[#This Row],[SR NO]])</f>
        <v>180712272060-1146</v>
      </c>
    </row>
    <row r="493" spans="1:26" x14ac:dyDescent="0.25">
      <c r="A493" s="73"/>
      <c r="B493" s="42">
        <v>1146</v>
      </c>
      <c r="C493" s="43">
        <v>41108</v>
      </c>
      <c r="D493" s="44" t="s">
        <v>118</v>
      </c>
      <c r="E493" s="76" t="s">
        <v>90</v>
      </c>
      <c r="F493" s="42" t="s">
        <v>88</v>
      </c>
      <c r="G493" s="49" t="s">
        <v>72</v>
      </c>
      <c r="H493" s="45" t="s">
        <v>2757</v>
      </c>
      <c r="I493" s="83" t="s">
        <v>359</v>
      </c>
      <c r="J493" s="52" t="str">
        <f>VLOOKUP(I493,'CONTACT REFERENCE'!$A$2:$P$399,4,FALSE)</f>
        <v>UNISAFE FIRE PROTECTION SPECIALISTS LLC</v>
      </c>
      <c r="K493" s="42" t="s">
        <v>2758</v>
      </c>
      <c r="L493" s="42"/>
      <c r="M493" s="41"/>
      <c r="N493" s="41"/>
      <c r="O493" s="47" t="s">
        <v>2760</v>
      </c>
      <c r="P493" s="45" t="s">
        <v>124</v>
      </c>
      <c r="Q493" s="49" t="s">
        <v>120</v>
      </c>
      <c r="R493" s="48">
        <v>250</v>
      </c>
      <c r="S493" s="41" t="s">
        <v>29</v>
      </c>
      <c r="T493" s="42"/>
      <c r="U493" s="42"/>
      <c r="V493" s="21"/>
      <c r="W493" s="78"/>
      <c r="X493" s="15">
        <v>29</v>
      </c>
      <c r="Z493" s="74" t="str">
        <f>CONCATENATE(Table1[[#This Row],[P.R NUMBER]],"-",Table1[[#This Row],[SR NO]])</f>
        <v>180712272060-1146</v>
      </c>
    </row>
    <row r="494" spans="1:26" x14ac:dyDescent="0.25">
      <c r="A494" s="73"/>
      <c r="B494" s="42">
        <v>1146</v>
      </c>
      <c r="C494" s="43">
        <v>41108</v>
      </c>
      <c r="D494" s="44" t="s">
        <v>118</v>
      </c>
      <c r="E494" s="76" t="s">
        <v>90</v>
      </c>
      <c r="F494" s="42" t="s">
        <v>88</v>
      </c>
      <c r="G494" s="49" t="s">
        <v>72</v>
      </c>
      <c r="H494" s="45" t="s">
        <v>2757</v>
      </c>
      <c r="I494" s="83" t="s">
        <v>359</v>
      </c>
      <c r="J494" s="52" t="str">
        <f>VLOOKUP(I494,'CONTACT REFERENCE'!$A$2:$P$399,4,FALSE)</f>
        <v>UNISAFE FIRE PROTECTION SPECIALISTS LLC</v>
      </c>
      <c r="K494" s="42" t="s">
        <v>2758</v>
      </c>
      <c r="L494" s="42"/>
      <c r="M494" s="41"/>
      <c r="N494" s="41"/>
      <c r="O494" s="47" t="s">
        <v>2761</v>
      </c>
      <c r="P494" s="45" t="s">
        <v>141</v>
      </c>
      <c r="Q494" s="49" t="s">
        <v>120</v>
      </c>
      <c r="R494" s="48">
        <v>1200</v>
      </c>
      <c r="S494" s="41" t="s">
        <v>29</v>
      </c>
      <c r="T494" s="42"/>
      <c r="U494" s="42"/>
      <c r="V494" s="21"/>
      <c r="W494" s="78"/>
      <c r="X494" s="15">
        <v>29</v>
      </c>
      <c r="Z494" s="74" t="str">
        <f>CONCATENATE(Table1[[#This Row],[P.R NUMBER]],"-",Table1[[#This Row],[SR NO]])</f>
        <v>180712272060-1146</v>
      </c>
    </row>
    <row r="495" spans="1:26" ht="45" x14ac:dyDescent="0.25">
      <c r="A495" s="73"/>
      <c r="B495" s="42">
        <v>1147</v>
      </c>
      <c r="C495" s="43">
        <v>41109</v>
      </c>
      <c r="D495" s="44" t="s">
        <v>122</v>
      </c>
      <c r="E495" s="76" t="s">
        <v>89</v>
      </c>
      <c r="F495" s="42" t="s">
        <v>88</v>
      </c>
      <c r="G495" s="49" t="s">
        <v>48</v>
      </c>
      <c r="H495" s="45" t="s">
        <v>2762</v>
      </c>
      <c r="I495" s="83" t="s">
        <v>1834</v>
      </c>
      <c r="J495" s="52" t="str">
        <f>VLOOKUP(I495,'CONTACT REFERENCE'!$A$2:$P$399,4,FALSE)</f>
        <v>ARC INTERNATIONAL</v>
      </c>
      <c r="K495" s="42" t="s">
        <v>2674</v>
      </c>
      <c r="L495" s="38" t="s">
        <v>2763</v>
      </c>
      <c r="M495" s="41"/>
      <c r="N495" s="41"/>
      <c r="O495" s="47" t="s">
        <v>2764</v>
      </c>
      <c r="P495" s="45" t="s">
        <v>126</v>
      </c>
      <c r="Q495" s="49" t="s">
        <v>120</v>
      </c>
      <c r="R495" s="48">
        <f>2688+2687</f>
        <v>5375</v>
      </c>
      <c r="S495" s="41" t="s">
        <v>28</v>
      </c>
      <c r="T495" s="84">
        <v>41161</v>
      </c>
      <c r="U495" s="38" t="s">
        <v>2765</v>
      </c>
      <c r="V495" s="21"/>
      <c r="W495" s="78"/>
      <c r="X495" s="15">
        <v>30</v>
      </c>
      <c r="Z495" s="74" t="str">
        <f>CONCATENATE(Table1[[#This Row],[P.R NUMBER]],"-",Table1[[#This Row],[SR NO]])</f>
        <v>190712011060-1147</v>
      </c>
    </row>
    <row r="496" spans="1:26" x14ac:dyDescent="0.25">
      <c r="A496" s="73"/>
      <c r="B496" s="42">
        <v>1148</v>
      </c>
      <c r="C496" s="43">
        <v>41112</v>
      </c>
      <c r="D496" s="44" t="s">
        <v>118</v>
      </c>
      <c r="E496" s="76" t="s">
        <v>90</v>
      </c>
      <c r="F496" s="42" t="s">
        <v>1</v>
      </c>
      <c r="G496" s="49" t="s">
        <v>62</v>
      </c>
      <c r="H496" s="45" t="s">
        <v>2766</v>
      </c>
      <c r="I496" s="83" t="s">
        <v>1843</v>
      </c>
      <c r="J496" s="52" t="str">
        <f>VLOOKUP(I496,'CONTACT REFERENCE'!$A$2:$P$399,4,FALSE)</f>
        <v>FIMX MECHANICAL SERVICES</v>
      </c>
      <c r="K496" s="42" t="s">
        <v>2767</v>
      </c>
      <c r="L496" s="42"/>
      <c r="M496" s="41"/>
      <c r="N496" s="41"/>
      <c r="O496" s="47" t="s">
        <v>2768</v>
      </c>
      <c r="P496" s="45" t="s">
        <v>136</v>
      </c>
      <c r="Q496" s="49" t="s">
        <v>120</v>
      </c>
      <c r="R496" s="48">
        <v>800</v>
      </c>
      <c r="S496" s="41" t="s">
        <v>29</v>
      </c>
      <c r="T496" s="42"/>
      <c r="U496" s="42"/>
      <c r="V496" s="21"/>
      <c r="W496" s="78"/>
      <c r="X496" s="15">
        <v>30</v>
      </c>
      <c r="Z496" s="74" t="str">
        <f>CONCATENATE(Table1[[#This Row],[P.R NUMBER]],"-",Table1[[#This Row],[SR NO]])</f>
        <v>220712162020-1148</v>
      </c>
    </row>
    <row r="497" spans="1:26" x14ac:dyDescent="0.25">
      <c r="A497" s="73"/>
      <c r="B497" s="42">
        <v>1149</v>
      </c>
      <c r="C497" s="43">
        <v>41114</v>
      </c>
      <c r="D497" s="44" t="s">
        <v>118</v>
      </c>
      <c r="E497" s="76" t="s">
        <v>91</v>
      </c>
      <c r="F497" s="42" t="s">
        <v>88</v>
      </c>
      <c r="G497" s="49" t="s">
        <v>72</v>
      </c>
      <c r="H497" s="45" t="s">
        <v>2769</v>
      </c>
      <c r="I497" s="83" t="s">
        <v>467</v>
      </c>
      <c r="J497" s="52" t="str">
        <f>VLOOKUP(I497,'CONTACT REFERENCE'!$A$2:$P$399,4,FALSE)</f>
        <v>DYNAGRAPH FOR PRINTING INUSTRY LLC</v>
      </c>
      <c r="K497" s="42" t="s">
        <v>2674</v>
      </c>
      <c r="L497" s="42">
        <v>123312</v>
      </c>
      <c r="M497" s="41"/>
      <c r="N497" s="41"/>
      <c r="O497" s="47" t="s">
        <v>2489</v>
      </c>
      <c r="P497" s="45" t="s">
        <v>124</v>
      </c>
      <c r="Q497" s="49" t="s">
        <v>135</v>
      </c>
      <c r="R497" s="48">
        <v>1200</v>
      </c>
      <c r="S497" s="41" t="s">
        <v>29</v>
      </c>
      <c r="T497" s="84">
        <v>41116</v>
      </c>
      <c r="U497" s="42"/>
      <c r="V497" s="21"/>
      <c r="W497" s="78"/>
      <c r="X497" s="15">
        <v>30</v>
      </c>
      <c r="Z497" s="74" t="str">
        <f>CONCATENATE(Table1[[#This Row],[P.R NUMBER]],"-",Table1[[#This Row],[SR NO]])</f>
        <v>240712273060-1149</v>
      </c>
    </row>
    <row r="498" spans="1:26" x14ac:dyDescent="0.25">
      <c r="A498" s="73"/>
      <c r="B498" s="42">
        <v>1150</v>
      </c>
      <c r="C498" s="43">
        <v>41114</v>
      </c>
      <c r="D498" s="44" t="s">
        <v>122</v>
      </c>
      <c r="E498" s="76" t="s">
        <v>91</v>
      </c>
      <c r="F498" s="42" t="s">
        <v>88</v>
      </c>
      <c r="G498" s="49" t="s">
        <v>72</v>
      </c>
      <c r="H498" s="45" t="s">
        <v>2769</v>
      </c>
      <c r="I498" s="83" t="s">
        <v>262</v>
      </c>
      <c r="J498" s="52" t="str">
        <f>VLOOKUP(I498,'CONTACT REFERENCE'!$A$2:$P$399,4,FALSE)</f>
        <v>CURTIUS TRADING INC</v>
      </c>
      <c r="K498" s="42" t="s">
        <v>2674</v>
      </c>
      <c r="L498" s="42">
        <v>20120184</v>
      </c>
      <c r="M498" s="41"/>
      <c r="N498" s="41"/>
      <c r="O498" s="47" t="s">
        <v>2770</v>
      </c>
      <c r="P498" s="45" t="s">
        <v>136</v>
      </c>
      <c r="Q498" s="49" t="s">
        <v>135</v>
      </c>
      <c r="R498" s="48">
        <f>2*180</f>
        <v>360</v>
      </c>
      <c r="S498" s="41" t="s">
        <v>28</v>
      </c>
      <c r="T498" s="84">
        <v>41126</v>
      </c>
      <c r="U498" s="42" t="s">
        <v>2771</v>
      </c>
      <c r="V498" s="21"/>
      <c r="W498" s="78"/>
      <c r="X498" s="15">
        <v>30</v>
      </c>
      <c r="Z498" s="74" t="str">
        <f>CONCATENATE(Table1[[#This Row],[P.R NUMBER]],"-",Table1[[#This Row],[SR NO]])</f>
        <v>240712273060-1150</v>
      </c>
    </row>
    <row r="499" spans="1:26" x14ac:dyDescent="0.25">
      <c r="A499" s="73"/>
      <c r="B499" s="42">
        <v>1151</v>
      </c>
      <c r="C499" s="43">
        <v>41116</v>
      </c>
      <c r="D499" s="44" t="s">
        <v>118</v>
      </c>
      <c r="E499" s="76" t="s">
        <v>90</v>
      </c>
      <c r="F499" s="42" t="s">
        <v>1</v>
      </c>
      <c r="G499" s="49" t="s">
        <v>70</v>
      </c>
      <c r="H499" s="45" t="s">
        <v>2772</v>
      </c>
      <c r="I499" s="83" t="s">
        <v>119</v>
      </c>
      <c r="J499" s="52" t="str">
        <f>VLOOKUP(I499,'CONTACT REFERENCE'!$A$2:$P$399,4,FALSE)</f>
        <v>AL DOBOWI TYRE COMPANY LLC</v>
      </c>
      <c r="K499" s="42" t="s">
        <v>2773</v>
      </c>
      <c r="L499" s="42">
        <v>430903</v>
      </c>
      <c r="M499" s="41" t="s">
        <v>207</v>
      </c>
      <c r="N499" s="41"/>
      <c r="O499" s="47" t="s">
        <v>2774</v>
      </c>
      <c r="P499" s="45" t="s">
        <v>124</v>
      </c>
      <c r="Q499" s="49" t="s">
        <v>120</v>
      </c>
      <c r="R499" s="48">
        <v>350</v>
      </c>
      <c r="S499" s="41" t="s">
        <v>29</v>
      </c>
      <c r="T499" s="84">
        <v>41126</v>
      </c>
      <c r="U499" s="42"/>
      <c r="V499" s="21"/>
      <c r="W499" s="78"/>
      <c r="X499" s="15">
        <v>30</v>
      </c>
      <c r="Z499" s="74" t="str">
        <f>CONCATENATE(Table1[[#This Row],[P.R NUMBER]],"-",Table1[[#This Row],[SR NO]])</f>
        <v>260712252020-1151</v>
      </c>
    </row>
    <row r="500" spans="1:26" x14ac:dyDescent="0.25">
      <c r="A500" s="73"/>
      <c r="B500" s="42">
        <v>1151</v>
      </c>
      <c r="C500" s="43">
        <v>41116</v>
      </c>
      <c r="D500" s="44" t="s">
        <v>118</v>
      </c>
      <c r="E500" s="76" t="s">
        <v>90</v>
      </c>
      <c r="F500" s="42" t="s">
        <v>1</v>
      </c>
      <c r="G500" s="49" t="s">
        <v>70</v>
      </c>
      <c r="H500" s="45" t="s">
        <v>2772</v>
      </c>
      <c r="I500" s="83" t="s">
        <v>119</v>
      </c>
      <c r="J500" s="52" t="str">
        <f>VLOOKUP(I500,'CONTACT REFERENCE'!$A$2:$P$399,4,FALSE)</f>
        <v>AL DOBOWI TYRE COMPANY LLC</v>
      </c>
      <c r="K500" s="42" t="s">
        <v>2773</v>
      </c>
      <c r="L500" s="42">
        <v>430903</v>
      </c>
      <c r="M500" s="41">
        <v>214</v>
      </c>
      <c r="N500" s="41"/>
      <c r="O500" s="47" t="s">
        <v>2775</v>
      </c>
      <c r="P500" s="45" t="s">
        <v>124</v>
      </c>
      <c r="Q500" s="49" t="s">
        <v>120</v>
      </c>
      <c r="R500" s="48">
        <v>150</v>
      </c>
      <c r="S500" s="41" t="s">
        <v>29</v>
      </c>
      <c r="T500" s="84">
        <v>41126</v>
      </c>
      <c r="U500" s="42"/>
      <c r="V500" s="21"/>
      <c r="W500" s="78"/>
      <c r="X500" s="15">
        <v>30</v>
      </c>
      <c r="Z500" s="74" t="str">
        <f>CONCATENATE(Table1[[#This Row],[P.R NUMBER]],"-",Table1[[#This Row],[SR NO]])</f>
        <v>260712252020-1151</v>
      </c>
    </row>
    <row r="501" spans="1:26" x14ac:dyDescent="0.25">
      <c r="A501" s="73"/>
      <c r="B501" s="42">
        <v>1151</v>
      </c>
      <c r="C501" s="43">
        <v>41116</v>
      </c>
      <c r="D501" s="44" t="s">
        <v>118</v>
      </c>
      <c r="E501" s="76" t="s">
        <v>90</v>
      </c>
      <c r="F501" s="42" t="s">
        <v>1</v>
      </c>
      <c r="G501" s="49" t="s">
        <v>70</v>
      </c>
      <c r="H501" s="45" t="s">
        <v>2772</v>
      </c>
      <c r="I501" s="83" t="s">
        <v>119</v>
      </c>
      <c r="J501" s="52" t="str">
        <f>VLOOKUP(I501,'CONTACT REFERENCE'!$A$2:$P$399,4,FALSE)</f>
        <v>AL DOBOWI TYRE COMPANY LLC</v>
      </c>
      <c r="K501" s="42" t="s">
        <v>2773</v>
      </c>
      <c r="L501" s="42">
        <v>430903</v>
      </c>
      <c r="M501" s="41">
        <v>214</v>
      </c>
      <c r="N501" s="41"/>
      <c r="O501" s="47" t="s">
        <v>2776</v>
      </c>
      <c r="P501" s="45" t="s">
        <v>124</v>
      </c>
      <c r="Q501" s="49" t="s">
        <v>120</v>
      </c>
      <c r="R501" s="48">
        <v>150</v>
      </c>
      <c r="S501" s="41" t="s">
        <v>29</v>
      </c>
      <c r="T501" s="84">
        <v>41126</v>
      </c>
      <c r="U501" s="42"/>
      <c r="V501" s="21"/>
      <c r="W501" s="78"/>
      <c r="X501" s="15">
        <v>30</v>
      </c>
      <c r="Z501" s="74" t="str">
        <f>CONCATENATE(Table1[[#This Row],[P.R NUMBER]],"-",Table1[[#This Row],[SR NO]])</f>
        <v>260712252020-1151</v>
      </c>
    </row>
    <row r="502" spans="1:26" x14ac:dyDescent="0.25">
      <c r="A502" s="73"/>
      <c r="B502" s="42">
        <v>1152</v>
      </c>
      <c r="C502" s="43">
        <v>41116</v>
      </c>
      <c r="D502" s="44" t="s">
        <v>118</v>
      </c>
      <c r="E502" s="76" t="s">
        <v>90</v>
      </c>
      <c r="F502" s="42" t="s">
        <v>1</v>
      </c>
      <c r="G502" s="49" t="s">
        <v>72</v>
      </c>
      <c r="H502" s="45" t="s">
        <v>2777</v>
      </c>
      <c r="I502" s="83" t="s">
        <v>1793</v>
      </c>
      <c r="J502" s="52" t="str">
        <f>VLOOKUP(I502,'CONTACT REFERENCE'!$A$2:$P$399,4,FALSE)</f>
        <v>LOYAL A/C &amp; ELECTRICAL SERVICES</v>
      </c>
      <c r="K502" s="42" t="s">
        <v>2674</v>
      </c>
      <c r="L502" s="42"/>
      <c r="M502" s="41">
        <v>6991</v>
      </c>
      <c r="N502" s="41"/>
      <c r="O502" s="47" t="s">
        <v>2778</v>
      </c>
      <c r="P502" s="45" t="s">
        <v>124</v>
      </c>
      <c r="Q502" s="49" t="s">
        <v>120</v>
      </c>
      <c r="R502" s="48">
        <v>345</v>
      </c>
      <c r="S502" s="41" t="s">
        <v>29</v>
      </c>
      <c r="T502" s="84">
        <v>41126</v>
      </c>
      <c r="U502" s="42"/>
      <c r="V502" s="21"/>
      <c r="W502" s="78"/>
      <c r="X502" s="15">
        <v>30</v>
      </c>
      <c r="Z502" s="74" t="str">
        <f>CONCATENATE(Table1[[#This Row],[P.R NUMBER]],"-",Table1[[#This Row],[SR NO]])</f>
        <v>260712272020-1152</v>
      </c>
    </row>
    <row r="503" spans="1:26" x14ac:dyDescent="0.25">
      <c r="A503" s="73"/>
      <c r="B503" s="42">
        <v>1152</v>
      </c>
      <c r="C503" s="43">
        <v>41116</v>
      </c>
      <c r="D503" s="44" t="s">
        <v>118</v>
      </c>
      <c r="E503" s="76" t="s">
        <v>90</v>
      </c>
      <c r="F503" s="42" t="s">
        <v>1</v>
      </c>
      <c r="G503" s="49" t="s">
        <v>72</v>
      </c>
      <c r="H503" s="45" t="s">
        <v>2777</v>
      </c>
      <c r="I503" s="83" t="s">
        <v>1793</v>
      </c>
      <c r="J503" s="52" t="str">
        <f>VLOOKUP(I503,'CONTACT REFERENCE'!$A$2:$P$399,4,FALSE)</f>
        <v>LOYAL A/C &amp; ELECTRICAL SERVICES</v>
      </c>
      <c r="K503" s="42" t="s">
        <v>2674</v>
      </c>
      <c r="L503" s="42"/>
      <c r="M503" s="41">
        <v>6991</v>
      </c>
      <c r="N503" s="41"/>
      <c r="O503" s="47" t="s">
        <v>2779</v>
      </c>
      <c r="P503" s="45" t="s">
        <v>136</v>
      </c>
      <c r="Q503" s="49" t="s">
        <v>120</v>
      </c>
      <c r="R503" s="48">
        <f>2*320</f>
        <v>640</v>
      </c>
      <c r="S503" s="41" t="s">
        <v>29</v>
      </c>
      <c r="T503" s="84">
        <v>41126</v>
      </c>
      <c r="U503" s="42"/>
      <c r="V503" s="21"/>
      <c r="W503" s="78"/>
      <c r="X503" s="15">
        <v>30</v>
      </c>
      <c r="Z503" s="74" t="str">
        <f>CONCATENATE(Table1[[#This Row],[P.R NUMBER]],"-",Table1[[#This Row],[SR NO]])</f>
        <v>260712272020-1152</v>
      </c>
    </row>
    <row r="504" spans="1:26" x14ac:dyDescent="0.25">
      <c r="A504" s="73"/>
      <c r="B504" s="42">
        <v>1152</v>
      </c>
      <c r="C504" s="43">
        <v>41116</v>
      </c>
      <c r="D504" s="44" t="s">
        <v>118</v>
      </c>
      <c r="E504" s="76" t="s">
        <v>90</v>
      </c>
      <c r="F504" s="42" t="s">
        <v>1</v>
      </c>
      <c r="G504" s="49" t="s">
        <v>72</v>
      </c>
      <c r="H504" s="45" t="s">
        <v>2777</v>
      </c>
      <c r="I504" s="83" t="s">
        <v>1793</v>
      </c>
      <c r="J504" s="52" t="str">
        <f>VLOOKUP(I504,'CONTACT REFERENCE'!$A$2:$P$399,4,FALSE)</f>
        <v>LOYAL A/C &amp; ELECTRICAL SERVICES</v>
      </c>
      <c r="K504" s="42" t="s">
        <v>2674</v>
      </c>
      <c r="L504" s="42"/>
      <c r="M504" s="41">
        <v>6991</v>
      </c>
      <c r="N504" s="41"/>
      <c r="O504" s="47" t="s">
        <v>2780</v>
      </c>
      <c r="P504" s="45" t="s">
        <v>124</v>
      </c>
      <c r="Q504" s="49" t="s">
        <v>120</v>
      </c>
      <c r="R504" s="48">
        <v>175</v>
      </c>
      <c r="S504" s="41" t="s">
        <v>29</v>
      </c>
      <c r="T504" s="84">
        <v>41126</v>
      </c>
      <c r="U504" s="42"/>
      <c r="V504" s="21"/>
      <c r="W504" s="78"/>
      <c r="X504" s="15">
        <v>30</v>
      </c>
      <c r="Z504" s="74" t="str">
        <f>CONCATENATE(Table1[[#This Row],[P.R NUMBER]],"-",Table1[[#This Row],[SR NO]])</f>
        <v>260712272020-1152</v>
      </c>
    </row>
    <row r="505" spans="1:26" x14ac:dyDescent="0.25">
      <c r="A505" s="73"/>
      <c r="B505" s="42">
        <v>1152</v>
      </c>
      <c r="C505" s="43">
        <v>41116</v>
      </c>
      <c r="D505" s="44" t="s">
        <v>118</v>
      </c>
      <c r="E505" s="76" t="s">
        <v>90</v>
      </c>
      <c r="F505" s="42" t="s">
        <v>1</v>
      </c>
      <c r="G505" s="49" t="s">
        <v>72</v>
      </c>
      <c r="H505" s="45" t="s">
        <v>2777</v>
      </c>
      <c r="I505" s="83" t="s">
        <v>1793</v>
      </c>
      <c r="J505" s="52" t="str">
        <f>VLOOKUP(I505,'CONTACT REFERENCE'!$A$2:$P$399,4,FALSE)</f>
        <v>LOYAL A/C &amp; ELECTRICAL SERVICES</v>
      </c>
      <c r="K505" s="42" t="s">
        <v>2674</v>
      </c>
      <c r="L505" s="42"/>
      <c r="M505" s="41">
        <v>6991</v>
      </c>
      <c r="N505" s="41"/>
      <c r="O505" s="47" t="s">
        <v>2781</v>
      </c>
      <c r="P505" s="45"/>
      <c r="Q505" s="49"/>
      <c r="R505" s="48">
        <v>-100</v>
      </c>
      <c r="S505" s="41" t="s">
        <v>29</v>
      </c>
      <c r="T505" s="84">
        <v>41126</v>
      </c>
      <c r="U505" s="42"/>
      <c r="V505" s="21"/>
      <c r="W505" s="78"/>
      <c r="X505" s="15">
        <v>30</v>
      </c>
      <c r="Z505" s="74" t="str">
        <f>CONCATENATE(Table1[[#This Row],[P.R NUMBER]],"-",Table1[[#This Row],[SR NO]])</f>
        <v>260712272020-1152</v>
      </c>
    </row>
    <row r="506" spans="1:26" x14ac:dyDescent="0.25">
      <c r="A506" s="73"/>
      <c r="B506" s="42">
        <v>1153</v>
      </c>
      <c r="C506" s="43">
        <v>41116</v>
      </c>
      <c r="D506" s="44" t="s">
        <v>122</v>
      </c>
      <c r="E506" s="76" t="s">
        <v>90</v>
      </c>
      <c r="F506" s="42" t="s">
        <v>1</v>
      </c>
      <c r="G506" s="49" t="s">
        <v>52</v>
      </c>
      <c r="H506" s="45" t="s">
        <v>2782</v>
      </c>
      <c r="I506" s="83" t="s">
        <v>292</v>
      </c>
      <c r="J506" s="52" t="str">
        <f>VLOOKUP(I506,'CONTACT REFERENCE'!$A$2:$P$399,4,FALSE)</f>
        <v>WINDY CITY CUTTING DIE</v>
      </c>
      <c r="K506" s="42"/>
      <c r="L506" s="42">
        <v>135870</v>
      </c>
      <c r="M506" s="41"/>
      <c r="N506" s="41"/>
      <c r="O506" s="47" t="s">
        <v>2783</v>
      </c>
      <c r="P506" s="45" t="s">
        <v>124</v>
      </c>
      <c r="Q506" s="49" t="s">
        <v>120</v>
      </c>
      <c r="R506" s="48">
        <v>45</v>
      </c>
      <c r="S506" s="41" t="s">
        <v>28</v>
      </c>
      <c r="T506" s="84">
        <v>41115</v>
      </c>
      <c r="U506" s="42" t="s">
        <v>2784</v>
      </c>
      <c r="V506" s="21"/>
      <c r="W506" s="78"/>
      <c r="X506" s="15">
        <v>30</v>
      </c>
      <c r="Z506" s="74" t="str">
        <f>CONCATENATE(Table1[[#This Row],[P.R NUMBER]],"-",Table1[[#This Row],[SR NO]])</f>
        <v>260712052020-1153</v>
      </c>
    </row>
    <row r="507" spans="1:26" x14ac:dyDescent="0.25">
      <c r="A507" s="73"/>
      <c r="B507" s="42">
        <v>1154</v>
      </c>
      <c r="C507" s="43">
        <v>41116</v>
      </c>
      <c r="D507" s="44" t="s">
        <v>122</v>
      </c>
      <c r="E507" s="76" t="s">
        <v>90</v>
      </c>
      <c r="F507" s="42" t="s">
        <v>1</v>
      </c>
      <c r="G507" s="49" t="s">
        <v>53</v>
      </c>
      <c r="H507" s="45" t="s">
        <v>2785</v>
      </c>
      <c r="I507" s="83" t="s">
        <v>292</v>
      </c>
      <c r="J507" s="52" t="str">
        <f>VLOOKUP(I507,'CONTACT REFERENCE'!$A$2:$P$399,4,FALSE)</f>
        <v>WINDY CITY CUTTING DIE</v>
      </c>
      <c r="K507" s="42"/>
      <c r="L507" s="42">
        <v>135870</v>
      </c>
      <c r="M507" s="41"/>
      <c r="N507" s="41"/>
      <c r="O507" s="47" t="s">
        <v>153</v>
      </c>
      <c r="P507" s="45" t="s">
        <v>136</v>
      </c>
      <c r="Q507" s="49" t="s">
        <v>140</v>
      </c>
      <c r="R507" s="48">
        <v>230</v>
      </c>
      <c r="S507" s="41" t="s">
        <v>29</v>
      </c>
      <c r="T507" s="84">
        <v>41115</v>
      </c>
      <c r="U507" s="42" t="s">
        <v>2784</v>
      </c>
      <c r="V507" s="21"/>
      <c r="W507" s="78"/>
      <c r="X507" s="15">
        <v>30</v>
      </c>
      <c r="Z507" s="74" t="str">
        <f>CONCATENATE(Table1[[#This Row],[P.R NUMBER]],"-",Table1[[#This Row],[SR NO]])</f>
        <v>260712062020-1154</v>
      </c>
    </row>
    <row r="508" spans="1:26" x14ac:dyDescent="0.25">
      <c r="A508" s="73"/>
      <c r="B508" s="42">
        <v>1154</v>
      </c>
      <c r="C508" s="43">
        <v>41116</v>
      </c>
      <c r="D508" s="44" t="s">
        <v>122</v>
      </c>
      <c r="E508" s="76" t="s">
        <v>90</v>
      </c>
      <c r="F508" s="42" t="s">
        <v>1</v>
      </c>
      <c r="G508" s="49" t="s">
        <v>53</v>
      </c>
      <c r="H508" s="45" t="s">
        <v>2785</v>
      </c>
      <c r="I508" s="83" t="s">
        <v>292</v>
      </c>
      <c r="J508" s="52" t="str">
        <f>VLOOKUP(I508,'CONTACT REFERENCE'!$A$2:$P$399,4,FALSE)</f>
        <v>WINDY CITY CUTTING DIE</v>
      </c>
      <c r="K508" s="42"/>
      <c r="L508" s="42">
        <v>135870</v>
      </c>
      <c r="M508" s="41"/>
      <c r="N508" s="41"/>
      <c r="O508" s="47" t="s">
        <v>153</v>
      </c>
      <c r="P508" s="45" t="s">
        <v>136</v>
      </c>
      <c r="Q508" s="49" t="s">
        <v>140</v>
      </c>
      <c r="R508" s="48">
        <v>230</v>
      </c>
      <c r="S508" s="41" t="s">
        <v>29</v>
      </c>
      <c r="T508" s="84">
        <v>41115</v>
      </c>
      <c r="U508" s="42" t="s">
        <v>2784</v>
      </c>
      <c r="V508" s="21"/>
      <c r="W508" s="78"/>
      <c r="X508" s="15">
        <v>30</v>
      </c>
      <c r="Z508" s="74" t="str">
        <f>CONCATENATE(Table1[[#This Row],[P.R NUMBER]],"-",Table1[[#This Row],[SR NO]])</f>
        <v>260712062020-1154</v>
      </c>
    </row>
    <row r="509" spans="1:26" x14ac:dyDescent="0.25">
      <c r="A509" s="73"/>
      <c r="B509" s="42">
        <v>1155</v>
      </c>
      <c r="C509" s="43">
        <v>41117</v>
      </c>
      <c r="D509" s="44" t="s">
        <v>122</v>
      </c>
      <c r="E509" s="76" t="s">
        <v>91</v>
      </c>
      <c r="F509" s="42" t="s">
        <v>85</v>
      </c>
      <c r="G509" s="49" t="s">
        <v>72</v>
      </c>
      <c r="H509" s="45" t="s">
        <v>2786</v>
      </c>
      <c r="I509" s="83" t="s">
        <v>276</v>
      </c>
      <c r="J509" s="52" t="str">
        <f>VLOOKUP(I509,'CONTACT REFERENCE'!$A$2:$P$399,4,FALSE)</f>
        <v>BEST CUTTING DIE COMPANY</v>
      </c>
      <c r="K509" s="42" t="s">
        <v>2674</v>
      </c>
      <c r="L509" s="42">
        <v>43013</v>
      </c>
      <c r="M509" s="41" t="s">
        <v>123</v>
      </c>
      <c r="N509" s="41"/>
      <c r="O509" s="47" t="s">
        <v>2787</v>
      </c>
      <c r="P509" s="45" t="s">
        <v>124</v>
      </c>
      <c r="Q509" s="49" t="s">
        <v>120</v>
      </c>
      <c r="R509" s="48">
        <v>105</v>
      </c>
      <c r="S509" s="41" t="s">
        <v>28</v>
      </c>
      <c r="T509" s="84">
        <v>41126</v>
      </c>
      <c r="U509" s="42" t="s">
        <v>2788</v>
      </c>
      <c r="V509" s="21"/>
      <c r="W509" s="78"/>
      <c r="X509" s="15">
        <v>30</v>
      </c>
      <c r="Z509" s="74" t="str">
        <f>CONCATENATE(Table1[[#This Row],[P.R NUMBER]],"-",Table1[[#This Row],[SR NO]])</f>
        <v>270712273030-1155</v>
      </c>
    </row>
    <row r="510" spans="1:26" x14ac:dyDescent="0.25">
      <c r="A510" s="73"/>
      <c r="B510" s="42">
        <v>1155</v>
      </c>
      <c r="C510" s="43">
        <v>41117</v>
      </c>
      <c r="D510" s="44" t="s">
        <v>122</v>
      </c>
      <c r="E510" s="76" t="s">
        <v>91</v>
      </c>
      <c r="F510" s="42" t="s">
        <v>85</v>
      </c>
      <c r="G510" s="49" t="s">
        <v>72</v>
      </c>
      <c r="H510" s="45" t="s">
        <v>2786</v>
      </c>
      <c r="I510" s="83" t="s">
        <v>276</v>
      </c>
      <c r="J510" s="52" t="str">
        <f>VLOOKUP(I510,'CONTACT REFERENCE'!$A$2:$P$399,4,FALSE)</f>
        <v>BEST CUTTING DIE COMPANY</v>
      </c>
      <c r="K510" s="42" t="s">
        <v>2674</v>
      </c>
      <c r="L510" s="42">
        <v>43013</v>
      </c>
      <c r="M510" s="41" t="s">
        <v>123</v>
      </c>
      <c r="N510" s="41"/>
      <c r="O510" s="47" t="s">
        <v>2789</v>
      </c>
      <c r="P510" s="45" t="s">
        <v>137</v>
      </c>
      <c r="Q510" s="49" t="s">
        <v>120</v>
      </c>
      <c r="R510" s="48">
        <f>189*3</f>
        <v>567</v>
      </c>
      <c r="S510" s="41" t="s">
        <v>28</v>
      </c>
      <c r="T510" s="84">
        <v>41126</v>
      </c>
      <c r="U510" s="42" t="s">
        <v>2788</v>
      </c>
      <c r="V510" s="21"/>
      <c r="W510" s="78"/>
      <c r="X510" s="15">
        <v>30</v>
      </c>
      <c r="Z510" s="74" t="str">
        <f>CONCATENATE(Table1[[#This Row],[P.R NUMBER]],"-",Table1[[#This Row],[SR NO]])</f>
        <v>270712273030-1155</v>
      </c>
    </row>
    <row r="511" spans="1:26" x14ac:dyDescent="0.25">
      <c r="A511" s="73"/>
      <c r="B511" s="42">
        <v>1156</v>
      </c>
      <c r="C511" s="43">
        <v>41121</v>
      </c>
      <c r="D511" s="44" t="s">
        <v>118</v>
      </c>
      <c r="E511" s="76" t="s">
        <v>90</v>
      </c>
      <c r="F511" s="42" t="s">
        <v>1</v>
      </c>
      <c r="G511" s="49" t="s">
        <v>68</v>
      </c>
      <c r="H511" s="45" t="s">
        <v>2790</v>
      </c>
      <c r="I511" s="83" t="s">
        <v>377</v>
      </c>
      <c r="J511" s="52" t="str">
        <f>VLOOKUP(I511,'CONTACT REFERENCE'!$A$2:$P$399,4,FALSE)</f>
        <v>EURO PACK TRADING EST LTD</v>
      </c>
      <c r="K511" s="42" t="s">
        <v>2674</v>
      </c>
      <c r="L511" s="42">
        <v>41465</v>
      </c>
      <c r="M511" s="41" t="s">
        <v>68</v>
      </c>
      <c r="N511" s="41"/>
      <c r="O511" s="47" t="s">
        <v>167</v>
      </c>
      <c r="P511" s="45" t="s">
        <v>124</v>
      </c>
      <c r="Q511" s="49" t="s">
        <v>120</v>
      </c>
      <c r="R511" s="48">
        <v>225</v>
      </c>
      <c r="S511" s="41" t="s">
        <v>29</v>
      </c>
      <c r="T511" s="84">
        <v>41125</v>
      </c>
      <c r="U511" s="42"/>
      <c r="V511" s="21"/>
      <c r="W511" s="78"/>
      <c r="X511" s="15">
        <v>31</v>
      </c>
      <c r="Z511" s="74" t="str">
        <f>CONCATENATE(Table1[[#This Row],[P.R NUMBER]],"-",Table1[[#This Row],[SR NO]])</f>
        <v>310712232020-1156</v>
      </c>
    </row>
    <row r="512" spans="1:26" x14ac:dyDescent="0.25">
      <c r="A512" s="73"/>
      <c r="B512" s="42">
        <v>1156</v>
      </c>
      <c r="C512" s="43">
        <v>41121</v>
      </c>
      <c r="D512" s="44" t="s">
        <v>118</v>
      </c>
      <c r="E512" s="76" t="s">
        <v>90</v>
      </c>
      <c r="F512" s="42" t="s">
        <v>1</v>
      </c>
      <c r="G512" s="49" t="s">
        <v>68</v>
      </c>
      <c r="H512" s="45" t="s">
        <v>2790</v>
      </c>
      <c r="I512" s="83" t="s">
        <v>377</v>
      </c>
      <c r="J512" s="52" t="str">
        <f>VLOOKUP(I512,'CONTACT REFERENCE'!$A$2:$P$399,4,FALSE)</f>
        <v>EURO PACK TRADING EST LTD</v>
      </c>
      <c r="K512" s="42" t="s">
        <v>2674</v>
      </c>
      <c r="L512" s="42">
        <v>41465</v>
      </c>
      <c r="M512" s="41" t="s">
        <v>68</v>
      </c>
      <c r="N512" s="41"/>
      <c r="O512" s="47" t="s">
        <v>166</v>
      </c>
      <c r="P512" s="45" t="s">
        <v>124</v>
      </c>
      <c r="Q512" s="49" t="s">
        <v>120</v>
      </c>
      <c r="R512" s="48">
        <v>225</v>
      </c>
      <c r="S512" s="41" t="s">
        <v>29</v>
      </c>
      <c r="T512" s="84">
        <v>41125</v>
      </c>
      <c r="U512" s="42"/>
      <c r="V512" s="21"/>
      <c r="W512" s="78"/>
      <c r="X512" s="15">
        <v>31</v>
      </c>
      <c r="Z512" s="74" t="str">
        <f>CONCATENATE(Table1[[#This Row],[P.R NUMBER]],"-",Table1[[#This Row],[SR NO]])</f>
        <v>310712232020-1156</v>
      </c>
    </row>
    <row r="513" spans="1:26" x14ac:dyDescent="0.25">
      <c r="A513" s="73"/>
      <c r="B513" s="42">
        <v>1156</v>
      </c>
      <c r="C513" s="43">
        <v>41121</v>
      </c>
      <c r="D513" s="44" t="s">
        <v>118</v>
      </c>
      <c r="E513" s="76" t="s">
        <v>90</v>
      </c>
      <c r="F513" s="42" t="s">
        <v>1</v>
      </c>
      <c r="G513" s="49" t="s">
        <v>68</v>
      </c>
      <c r="H513" s="45" t="s">
        <v>2790</v>
      </c>
      <c r="I513" s="83" t="s">
        <v>377</v>
      </c>
      <c r="J513" s="52" t="str">
        <f>VLOOKUP(I513,'CONTACT REFERENCE'!$A$2:$P$399,4,FALSE)</f>
        <v>EURO PACK TRADING EST LTD</v>
      </c>
      <c r="K513" s="42" t="s">
        <v>2674</v>
      </c>
      <c r="L513" s="42">
        <v>41465</v>
      </c>
      <c r="M513" s="41" t="s">
        <v>68</v>
      </c>
      <c r="N513" s="41"/>
      <c r="O513" s="47" t="s">
        <v>182</v>
      </c>
      <c r="P513" s="45" t="s">
        <v>124</v>
      </c>
      <c r="Q513" s="49" t="s">
        <v>120</v>
      </c>
      <c r="R513" s="48">
        <v>125</v>
      </c>
      <c r="S513" s="41" t="s">
        <v>29</v>
      </c>
      <c r="T513" s="84">
        <v>41125</v>
      </c>
      <c r="U513" s="42"/>
      <c r="V513" s="21"/>
      <c r="W513" s="78"/>
      <c r="X513" s="15">
        <v>31</v>
      </c>
      <c r="Z513" s="74" t="str">
        <f>CONCATENATE(Table1[[#This Row],[P.R NUMBER]],"-",Table1[[#This Row],[SR NO]])</f>
        <v>310712232020-1156</v>
      </c>
    </row>
    <row r="514" spans="1:26" x14ac:dyDescent="0.25">
      <c r="A514" s="73"/>
      <c r="B514" s="42">
        <v>1156</v>
      </c>
      <c r="C514" s="43">
        <v>41121</v>
      </c>
      <c r="D514" s="44" t="s">
        <v>118</v>
      </c>
      <c r="E514" s="76" t="s">
        <v>90</v>
      </c>
      <c r="F514" s="42" t="s">
        <v>1</v>
      </c>
      <c r="G514" s="49" t="s">
        <v>68</v>
      </c>
      <c r="H514" s="45" t="s">
        <v>2790</v>
      </c>
      <c r="I514" s="83" t="s">
        <v>377</v>
      </c>
      <c r="J514" s="52" t="str">
        <f>VLOOKUP(I514,'CONTACT REFERENCE'!$A$2:$P$399,4,FALSE)</f>
        <v>EURO PACK TRADING EST LTD</v>
      </c>
      <c r="K514" s="42" t="s">
        <v>2674</v>
      </c>
      <c r="L514" s="42">
        <v>41465</v>
      </c>
      <c r="M514" s="41" t="s">
        <v>68</v>
      </c>
      <c r="N514" s="41"/>
      <c r="O514" s="47" t="s">
        <v>2791</v>
      </c>
      <c r="P514" s="45" t="s">
        <v>124</v>
      </c>
      <c r="Q514" s="49" t="s">
        <v>120</v>
      </c>
      <c r="R514" s="48">
        <v>125</v>
      </c>
      <c r="S514" s="41" t="s">
        <v>29</v>
      </c>
      <c r="T514" s="84">
        <v>41125</v>
      </c>
      <c r="U514" s="42"/>
      <c r="V514" s="21"/>
      <c r="W514" s="78"/>
      <c r="X514" s="15">
        <v>31</v>
      </c>
      <c r="Z514" s="74" t="str">
        <f>CONCATENATE(Table1[[#This Row],[P.R NUMBER]],"-",Table1[[#This Row],[SR NO]])</f>
        <v>310712232020-1156</v>
      </c>
    </row>
    <row r="515" spans="1:26" x14ac:dyDescent="0.25">
      <c r="A515" s="73"/>
      <c r="B515" s="42">
        <v>1156</v>
      </c>
      <c r="C515" s="43">
        <v>41121</v>
      </c>
      <c r="D515" s="44" t="s">
        <v>118</v>
      </c>
      <c r="E515" s="76" t="s">
        <v>90</v>
      </c>
      <c r="F515" s="42" t="s">
        <v>1</v>
      </c>
      <c r="G515" s="49" t="s">
        <v>68</v>
      </c>
      <c r="H515" s="45" t="s">
        <v>2790</v>
      </c>
      <c r="I515" s="83" t="s">
        <v>377</v>
      </c>
      <c r="J515" s="52" t="str">
        <f>VLOOKUP(I515,'CONTACT REFERENCE'!$A$2:$P$399,4,FALSE)</f>
        <v>EURO PACK TRADING EST LTD</v>
      </c>
      <c r="K515" s="42" t="s">
        <v>2674</v>
      </c>
      <c r="L515" s="42">
        <v>41465</v>
      </c>
      <c r="M515" s="41" t="s">
        <v>68</v>
      </c>
      <c r="N515" s="41"/>
      <c r="O515" s="47" t="s">
        <v>2792</v>
      </c>
      <c r="P515" s="45" t="s">
        <v>124</v>
      </c>
      <c r="Q515" s="49" t="s">
        <v>120</v>
      </c>
      <c r="R515" s="48">
        <v>725</v>
      </c>
      <c r="S515" s="41" t="s">
        <v>29</v>
      </c>
      <c r="T515" s="84">
        <v>41125</v>
      </c>
      <c r="U515" s="42"/>
      <c r="V515" s="21"/>
      <c r="W515" s="78"/>
      <c r="X515" s="15">
        <v>31</v>
      </c>
      <c r="Z515" s="74" t="str">
        <f>CONCATENATE(Table1[[#This Row],[P.R NUMBER]],"-",Table1[[#This Row],[SR NO]])</f>
        <v>310712232020-1156</v>
      </c>
    </row>
    <row r="516" spans="1:26" x14ac:dyDescent="0.25">
      <c r="A516" s="73"/>
      <c r="B516" s="42">
        <v>1156</v>
      </c>
      <c r="C516" s="43">
        <v>41121</v>
      </c>
      <c r="D516" s="44" t="s">
        <v>118</v>
      </c>
      <c r="E516" s="76" t="s">
        <v>90</v>
      </c>
      <c r="F516" s="42" t="s">
        <v>1</v>
      </c>
      <c r="G516" s="49" t="s">
        <v>68</v>
      </c>
      <c r="H516" s="45" t="s">
        <v>2790</v>
      </c>
      <c r="I516" s="83" t="s">
        <v>377</v>
      </c>
      <c r="J516" s="52" t="str">
        <f>VLOOKUP(I516,'CONTACT REFERENCE'!$A$2:$P$399,4,FALSE)</f>
        <v>EURO PACK TRADING EST LTD</v>
      </c>
      <c r="K516" s="42" t="s">
        <v>2674</v>
      </c>
      <c r="L516" s="42">
        <v>41465</v>
      </c>
      <c r="M516" s="41" t="s">
        <v>68</v>
      </c>
      <c r="N516" s="41"/>
      <c r="O516" s="47" t="s">
        <v>2793</v>
      </c>
      <c r="P516" s="45" t="s">
        <v>124</v>
      </c>
      <c r="Q516" s="49" t="s">
        <v>135</v>
      </c>
      <c r="R516" s="48">
        <v>110</v>
      </c>
      <c r="S516" s="41" t="s">
        <v>29</v>
      </c>
      <c r="T516" s="84">
        <v>41125</v>
      </c>
      <c r="U516" s="42"/>
      <c r="V516" s="21"/>
      <c r="W516" s="78"/>
      <c r="X516" s="15">
        <v>31</v>
      </c>
      <c r="Z516" s="74" t="str">
        <f>CONCATENATE(Table1[[#This Row],[P.R NUMBER]],"-",Table1[[#This Row],[SR NO]])</f>
        <v>310712232020-1156</v>
      </c>
    </row>
    <row r="517" spans="1:26" x14ac:dyDescent="0.25">
      <c r="A517" s="73"/>
      <c r="B517" s="42">
        <v>1156</v>
      </c>
      <c r="C517" s="43">
        <v>41121</v>
      </c>
      <c r="D517" s="44" t="s">
        <v>118</v>
      </c>
      <c r="E517" s="76" t="s">
        <v>90</v>
      </c>
      <c r="F517" s="42" t="s">
        <v>1</v>
      </c>
      <c r="G517" s="49" t="s">
        <v>68</v>
      </c>
      <c r="H517" s="45" t="s">
        <v>2790</v>
      </c>
      <c r="I517" s="83" t="s">
        <v>377</v>
      </c>
      <c r="J517" s="52" t="str">
        <f>VLOOKUP(I517,'CONTACT REFERENCE'!$A$2:$P$399,4,FALSE)</f>
        <v>EURO PACK TRADING EST LTD</v>
      </c>
      <c r="K517" s="42" t="s">
        <v>2674</v>
      </c>
      <c r="L517" s="42">
        <v>41465</v>
      </c>
      <c r="M517" s="41" t="s">
        <v>68</v>
      </c>
      <c r="N517" s="41"/>
      <c r="O517" s="47" t="s">
        <v>2794</v>
      </c>
      <c r="P517" s="45" t="s">
        <v>124</v>
      </c>
      <c r="Q517" s="49" t="s">
        <v>135</v>
      </c>
      <c r="R517" s="48">
        <v>200</v>
      </c>
      <c r="S517" s="41" t="s">
        <v>29</v>
      </c>
      <c r="T517" s="84">
        <v>41125</v>
      </c>
      <c r="U517" s="42"/>
      <c r="V517" s="21"/>
      <c r="W517" s="78"/>
      <c r="X517" s="15">
        <v>31</v>
      </c>
      <c r="Z517" s="74" t="str">
        <f>CONCATENATE(Table1[[#This Row],[P.R NUMBER]],"-",Table1[[#This Row],[SR NO]])</f>
        <v>310712232020-1156</v>
      </c>
    </row>
    <row r="518" spans="1:26" x14ac:dyDescent="0.25">
      <c r="A518" s="73"/>
      <c r="B518" s="42">
        <v>1157</v>
      </c>
      <c r="C518" s="43">
        <v>41121</v>
      </c>
      <c r="D518" s="44" t="s">
        <v>118</v>
      </c>
      <c r="E518" s="76" t="s">
        <v>90</v>
      </c>
      <c r="F518" s="42" t="s">
        <v>1</v>
      </c>
      <c r="G518" s="49" t="s">
        <v>72</v>
      </c>
      <c r="H518" s="45" t="s">
        <v>2795</v>
      </c>
      <c r="I518" s="83" t="s">
        <v>1793</v>
      </c>
      <c r="J518" s="52" t="str">
        <f>VLOOKUP(I518,'CONTACT REFERENCE'!$A$2:$P$399,4,FALSE)</f>
        <v>LOYAL A/C &amp; ELECTRICAL SERVICES</v>
      </c>
      <c r="K518" s="42" t="s">
        <v>2796</v>
      </c>
      <c r="L518" s="42"/>
      <c r="M518" s="41"/>
      <c r="N518" s="41"/>
      <c r="O518" s="47" t="s">
        <v>2797</v>
      </c>
      <c r="P518" s="45" t="s">
        <v>124</v>
      </c>
      <c r="Q518" s="49" t="s">
        <v>2798</v>
      </c>
      <c r="R518" s="48">
        <v>1350</v>
      </c>
      <c r="S518" s="41" t="s">
        <v>29</v>
      </c>
      <c r="T518" s="42"/>
      <c r="U518" s="42"/>
      <c r="V518" s="21"/>
      <c r="W518" s="78"/>
      <c r="X518" s="15">
        <v>31</v>
      </c>
      <c r="Z518" s="74" t="str">
        <f>CONCATENATE(Table1[[#This Row],[P.R NUMBER]],"-",Table1[[#This Row],[SR NO]])</f>
        <v>310712272020-1157</v>
      </c>
    </row>
    <row r="519" spans="1:26" x14ac:dyDescent="0.25">
      <c r="A519" s="73"/>
      <c r="B519" s="42">
        <v>1158</v>
      </c>
      <c r="C519" s="43">
        <v>41122</v>
      </c>
      <c r="D519" s="44" t="s">
        <v>118</v>
      </c>
      <c r="E519" s="76" t="s">
        <v>1</v>
      </c>
      <c r="F519" s="42" t="s">
        <v>1</v>
      </c>
      <c r="G519" s="49" t="s">
        <v>70</v>
      </c>
      <c r="H519" s="45" t="s">
        <v>2799</v>
      </c>
      <c r="I519" s="83" t="s">
        <v>341</v>
      </c>
      <c r="J519" s="52" t="str">
        <f>VLOOKUP(I519,'CONTACT REFERENCE'!$A$2:$P$399,4,FALSE)</f>
        <v>ADVANCE TECHNOLOGY BELTING TRD EST</v>
      </c>
      <c r="K519" s="42" t="s">
        <v>2800</v>
      </c>
      <c r="L519" s="42">
        <v>1208073</v>
      </c>
      <c r="M519" s="41">
        <v>214</v>
      </c>
      <c r="N519" s="41"/>
      <c r="O519" s="47" t="s">
        <v>2801</v>
      </c>
      <c r="P519" s="45" t="s">
        <v>124</v>
      </c>
      <c r="Q519" s="49" t="s">
        <v>120</v>
      </c>
      <c r="R519" s="48">
        <v>290</v>
      </c>
      <c r="S519" s="41" t="s">
        <v>29</v>
      </c>
      <c r="T519" s="84">
        <v>41143</v>
      </c>
      <c r="U519" s="42"/>
      <c r="V519" s="21"/>
      <c r="W519" s="78"/>
      <c r="X519" s="15">
        <v>31</v>
      </c>
      <c r="Z519" s="74" t="str">
        <f>CONCATENATE(Table1[[#This Row],[P.R NUMBER]],"-",Table1[[#This Row],[SR NO]])</f>
        <v>020812252020-1158</v>
      </c>
    </row>
    <row r="520" spans="1:26" x14ac:dyDescent="0.25">
      <c r="A520" s="73"/>
      <c r="B520" s="42">
        <v>1158</v>
      </c>
      <c r="C520" s="43">
        <v>41122</v>
      </c>
      <c r="D520" s="44" t="s">
        <v>118</v>
      </c>
      <c r="E520" s="76" t="s">
        <v>1</v>
      </c>
      <c r="F520" s="42" t="s">
        <v>1</v>
      </c>
      <c r="G520" s="49" t="s">
        <v>70</v>
      </c>
      <c r="H520" s="45" t="s">
        <v>2799</v>
      </c>
      <c r="I520" s="83" t="s">
        <v>341</v>
      </c>
      <c r="J520" s="52" t="str">
        <f>VLOOKUP(I520,'CONTACT REFERENCE'!$A$2:$P$399,4,FALSE)</f>
        <v>ADVANCE TECHNOLOGY BELTING TRD EST</v>
      </c>
      <c r="K520" s="42" t="s">
        <v>2800</v>
      </c>
      <c r="L520" s="42">
        <v>1208073</v>
      </c>
      <c r="M520" s="41" t="s">
        <v>207</v>
      </c>
      <c r="N520" s="41"/>
      <c r="O520" s="47" t="s">
        <v>2802</v>
      </c>
      <c r="P520" s="45" t="s">
        <v>130</v>
      </c>
      <c r="Q520" s="49" t="s">
        <v>120</v>
      </c>
      <c r="R520" s="48">
        <v>360</v>
      </c>
      <c r="S520" s="41" t="s">
        <v>29</v>
      </c>
      <c r="T520" s="84">
        <v>41143</v>
      </c>
      <c r="U520" s="42"/>
      <c r="V520" s="21"/>
      <c r="W520" s="78"/>
      <c r="X520" s="15">
        <v>31</v>
      </c>
      <c r="Z520" s="74" t="str">
        <f>CONCATENATE(Table1[[#This Row],[P.R NUMBER]],"-",Table1[[#This Row],[SR NO]])</f>
        <v>020812252020-1158</v>
      </c>
    </row>
    <row r="521" spans="1:26" x14ac:dyDescent="0.25">
      <c r="A521" s="73"/>
      <c r="B521" s="42">
        <v>1159</v>
      </c>
      <c r="C521" s="43">
        <v>41123</v>
      </c>
      <c r="D521" s="44" t="s">
        <v>118</v>
      </c>
      <c r="E521" s="76" t="s">
        <v>90</v>
      </c>
      <c r="F521" s="42" t="s">
        <v>1</v>
      </c>
      <c r="G521" s="49" t="s">
        <v>72</v>
      </c>
      <c r="H521" s="45" t="s">
        <v>2803</v>
      </c>
      <c r="I521" s="83" t="s">
        <v>1793</v>
      </c>
      <c r="J521" s="52" t="str">
        <f>VLOOKUP(I521,'CONTACT REFERENCE'!$A$2:$P$399,4,FALSE)</f>
        <v>LOYAL A/C &amp; ELECTRICAL SERVICES</v>
      </c>
      <c r="K521" s="42"/>
      <c r="L521" s="42">
        <v>6968</v>
      </c>
      <c r="M521" s="41"/>
      <c r="N521" s="41"/>
      <c r="O521" s="47" t="s">
        <v>2804</v>
      </c>
      <c r="P521" s="45" t="s">
        <v>124</v>
      </c>
      <c r="Q521" s="49" t="s">
        <v>120</v>
      </c>
      <c r="R521" s="48">
        <v>320</v>
      </c>
      <c r="S521" s="41" t="s">
        <v>29</v>
      </c>
      <c r="T521" s="84">
        <v>41126</v>
      </c>
      <c r="U521" s="42"/>
      <c r="V521" s="21"/>
      <c r="W521" s="78"/>
      <c r="X521" s="15">
        <v>31</v>
      </c>
      <c r="Z521" s="74" t="str">
        <f>CONCATENATE(Table1[[#This Row],[P.R NUMBER]],"-",Table1[[#This Row],[SR NO]])</f>
        <v>020812272020-1159</v>
      </c>
    </row>
    <row r="522" spans="1:26" x14ac:dyDescent="0.25">
      <c r="A522" s="73"/>
      <c r="B522" s="42">
        <v>1159</v>
      </c>
      <c r="C522" s="43">
        <v>41123</v>
      </c>
      <c r="D522" s="44" t="s">
        <v>118</v>
      </c>
      <c r="E522" s="76" t="s">
        <v>90</v>
      </c>
      <c r="F522" s="42" t="s">
        <v>1</v>
      </c>
      <c r="G522" s="49" t="s">
        <v>72</v>
      </c>
      <c r="H522" s="45" t="s">
        <v>2803</v>
      </c>
      <c r="I522" s="83" t="s">
        <v>1793</v>
      </c>
      <c r="J522" s="52" t="str">
        <f>VLOOKUP(I522,'CONTACT REFERENCE'!$A$2:$P$399,4,FALSE)</f>
        <v>LOYAL A/C &amp; ELECTRICAL SERVICES</v>
      </c>
      <c r="K522" s="42"/>
      <c r="L522" s="42"/>
      <c r="M522" s="41"/>
      <c r="N522" s="41"/>
      <c r="O522" s="47" t="s">
        <v>2805</v>
      </c>
      <c r="P522" s="45" t="s">
        <v>124</v>
      </c>
      <c r="Q522" s="49" t="s">
        <v>120</v>
      </c>
      <c r="R522" s="48">
        <v>175</v>
      </c>
      <c r="S522" s="41" t="s">
        <v>29</v>
      </c>
      <c r="T522" s="42"/>
      <c r="U522" s="42"/>
      <c r="V522" s="21"/>
      <c r="W522" s="78"/>
      <c r="X522" s="15">
        <v>31</v>
      </c>
      <c r="Z522" s="74" t="str">
        <f>CONCATENATE(Table1[[#This Row],[P.R NUMBER]],"-",Table1[[#This Row],[SR NO]])</f>
        <v>020812272020-1159</v>
      </c>
    </row>
    <row r="523" spans="1:26" x14ac:dyDescent="0.25">
      <c r="A523" s="73"/>
      <c r="B523" s="42">
        <v>1160</v>
      </c>
      <c r="C523" s="43">
        <v>41125</v>
      </c>
      <c r="D523" s="44" t="s">
        <v>118</v>
      </c>
      <c r="E523" s="76" t="s">
        <v>90</v>
      </c>
      <c r="F523" s="42" t="s">
        <v>1</v>
      </c>
      <c r="G523" s="49" t="s">
        <v>72</v>
      </c>
      <c r="H523" s="45" t="s">
        <v>2806</v>
      </c>
      <c r="I523" s="83" t="s">
        <v>1793</v>
      </c>
      <c r="J523" s="52" t="str">
        <f>VLOOKUP(I523,'CONTACT REFERENCE'!$A$2:$P$399,4,FALSE)</f>
        <v>LOYAL A/C &amp; ELECTRICAL SERVICES</v>
      </c>
      <c r="K523" s="42" t="s">
        <v>2674</v>
      </c>
      <c r="L523" s="42"/>
      <c r="M523" s="41"/>
      <c r="N523" s="41"/>
      <c r="O523" s="47" t="s">
        <v>2807</v>
      </c>
      <c r="P523" s="45" t="s">
        <v>124</v>
      </c>
      <c r="Q523" s="49" t="s">
        <v>120</v>
      </c>
      <c r="R523" s="48">
        <v>295</v>
      </c>
      <c r="S523" s="41" t="s">
        <v>29</v>
      </c>
      <c r="T523" s="42"/>
      <c r="U523" s="42"/>
      <c r="V523" s="21"/>
      <c r="W523" s="78"/>
      <c r="X523" s="15">
        <v>31</v>
      </c>
      <c r="Z523" s="74" t="str">
        <f>CONCATENATE(Table1[[#This Row],[P.R NUMBER]],"-",Table1[[#This Row],[SR NO]])</f>
        <v>040812272020-1160</v>
      </c>
    </row>
    <row r="524" spans="1:26" x14ac:dyDescent="0.25">
      <c r="A524" s="73"/>
      <c r="B524" s="42">
        <v>1161</v>
      </c>
      <c r="C524" s="43">
        <v>41126</v>
      </c>
      <c r="D524" s="44" t="s">
        <v>122</v>
      </c>
      <c r="E524" s="76" t="s">
        <v>90</v>
      </c>
      <c r="F524" s="42" t="s">
        <v>1</v>
      </c>
      <c r="G524" s="49" t="s">
        <v>70</v>
      </c>
      <c r="H524" s="45" t="s">
        <v>2808</v>
      </c>
      <c r="I524" s="83" t="s">
        <v>292</v>
      </c>
      <c r="J524" s="52" t="str">
        <f>VLOOKUP(I524,'CONTACT REFERENCE'!$A$2:$P$399,4,FALSE)</f>
        <v>WINDY CITY CUTTING DIE</v>
      </c>
      <c r="K524" s="42"/>
      <c r="L524" s="42">
        <v>135958</v>
      </c>
      <c r="M524" s="41" t="s">
        <v>52</v>
      </c>
      <c r="N524" s="41"/>
      <c r="O524" s="47" t="s">
        <v>2809</v>
      </c>
      <c r="P524" s="45" t="s">
        <v>124</v>
      </c>
      <c r="Q524" s="49" t="s">
        <v>120</v>
      </c>
      <c r="R524" s="48">
        <v>45</v>
      </c>
      <c r="S524" s="41" t="s">
        <v>29</v>
      </c>
      <c r="T524" s="84">
        <v>41126</v>
      </c>
      <c r="U524" s="42" t="s">
        <v>2810</v>
      </c>
      <c r="V524" s="21"/>
      <c r="W524" s="78"/>
      <c r="X524" s="15">
        <v>31</v>
      </c>
      <c r="Z524" s="74" t="str">
        <f>CONCATENATE(Table1[[#This Row],[P.R NUMBER]],"-",Table1[[#This Row],[SR NO]])</f>
        <v>050812252020-1161</v>
      </c>
    </row>
    <row r="525" spans="1:26" x14ac:dyDescent="0.25">
      <c r="A525" s="73"/>
      <c r="B525" s="42">
        <v>1161</v>
      </c>
      <c r="C525" s="43">
        <v>41126</v>
      </c>
      <c r="D525" s="44" t="s">
        <v>122</v>
      </c>
      <c r="E525" s="76" t="s">
        <v>90</v>
      </c>
      <c r="F525" s="42" t="s">
        <v>1</v>
      </c>
      <c r="G525" s="49" t="s">
        <v>70</v>
      </c>
      <c r="H525" s="45" t="s">
        <v>2808</v>
      </c>
      <c r="I525" s="83" t="s">
        <v>292</v>
      </c>
      <c r="J525" s="52" t="str">
        <f>VLOOKUP(I525,'CONTACT REFERENCE'!$A$2:$P$399,4,FALSE)</f>
        <v>WINDY CITY CUTTING DIE</v>
      </c>
      <c r="K525" s="42"/>
      <c r="L525" s="42">
        <v>135958</v>
      </c>
      <c r="M525" s="41" t="s">
        <v>52</v>
      </c>
      <c r="N525" s="41"/>
      <c r="O525" s="47" t="s">
        <v>2811</v>
      </c>
      <c r="P525" s="45" t="s">
        <v>124</v>
      </c>
      <c r="Q525" s="49" t="s">
        <v>120</v>
      </c>
      <c r="R525" s="48">
        <v>45</v>
      </c>
      <c r="S525" s="41" t="s">
        <v>29</v>
      </c>
      <c r="T525" s="84">
        <v>41126</v>
      </c>
      <c r="U525" s="42" t="s">
        <v>2810</v>
      </c>
      <c r="V525" s="21"/>
      <c r="W525" s="78"/>
      <c r="X525" s="15">
        <v>31</v>
      </c>
      <c r="Z525" s="74" t="str">
        <f>CONCATENATE(Table1[[#This Row],[P.R NUMBER]],"-",Table1[[#This Row],[SR NO]])</f>
        <v>050812252020-1161</v>
      </c>
    </row>
    <row r="526" spans="1:26" x14ac:dyDescent="0.25">
      <c r="A526" s="73"/>
      <c r="B526" s="42">
        <v>1161</v>
      </c>
      <c r="C526" s="43">
        <v>41126</v>
      </c>
      <c r="D526" s="44" t="s">
        <v>122</v>
      </c>
      <c r="E526" s="76" t="s">
        <v>90</v>
      </c>
      <c r="F526" s="42" t="s">
        <v>1</v>
      </c>
      <c r="G526" s="49" t="s">
        <v>70</v>
      </c>
      <c r="H526" s="45" t="s">
        <v>2808</v>
      </c>
      <c r="I526" s="83" t="s">
        <v>292</v>
      </c>
      <c r="J526" s="52" t="str">
        <f>VLOOKUP(I526,'CONTACT REFERENCE'!$A$2:$P$399,4,FALSE)</f>
        <v>WINDY CITY CUTTING DIE</v>
      </c>
      <c r="K526" s="42"/>
      <c r="L526" s="42">
        <v>135958</v>
      </c>
      <c r="M526" s="41" t="s">
        <v>53</v>
      </c>
      <c r="N526" s="41"/>
      <c r="O526" s="47" t="s">
        <v>153</v>
      </c>
      <c r="P526" s="45" t="s">
        <v>136</v>
      </c>
      <c r="Q526" s="49" t="s">
        <v>120</v>
      </c>
      <c r="R526" s="48">
        <v>115</v>
      </c>
      <c r="S526" s="41" t="s">
        <v>29</v>
      </c>
      <c r="T526" s="84">
        <v>41126</v>
      </c>
      <c r="U526" s="42" t="s">
        <v>2810</v>
      </c>
      <c r="V526" s="21"/>
      <c r="W526" s="78"/>
      <c r="X526" s="15">
        <v>31</v>
      </c>
      <c r="Z526" s="74" t="str">
        <f>CONCATENATE(Table1[[#This Row],[P.R NUMBER]],"-",Table1[[#This Row],[SR NO]])</f>
        <v>050812252020-1161</v>
      </c>
    </row>
    <row r="527" spans="1:26" x14ac:dyDescent="0.25">
      <c r="A527" s="73"/>
      <c r="B527" s="42">
        <v>1161</v>
      </c>
      <c r="C527" s="43">
        <v>41126</v>
      </c>
      <c r="D527" s="44" t="s">
        <v>122</v>
      </c>
      <c r="E527" s="76" t="s">
        <v>90</v>
      </c>
      <c r="F527" s="42" t="s">
        <v>1</v>
      </c>
      <c r="G527" s="49" t="s">
        <v>70</v>
      </c>
      <c r="H527" s="45" t="s">
        <v>2808</v>
      </c>
      <c r="I527" s="83" t="s">
        <v>292</v>
      </c>
      <c r="J527" s="52" t="str">
        <f>VLOOKUP(I527,'CONTACT REFERENCE'!$A$2:$P$399,4,FALSE)</f>
        <v>WINDY CITY CUTTING DIE</v>
      </c>
      <c r="K527" s="42"/>
      <c r="L527" s="42">
        <v>135958</v>
      </c>
      <c r="M527" s="41" t="s">
        <v>53</v>
      </c>
      <c r="N527" s="41"/>
      <c r="O527" s="47" t="s">
        <v>153</v>
      </c>
      <c r="P527" s="45" t="s">
        <v>136</v>
      </c>
      <c r="Q527" s="49" t="s">
        <v>120</v>
      </c>
      <c r="R527" s="48">
        <v>115</v>
      </c>
      <c r="S527" s="41" t="s">
        <v>29</v>
      </c>
      <c r="T527" s="84">
        <v>41126</v>
      </c>
      <c r="U527" s="42" t="s">
        <v>2810</v>
      </c>
      <c r="V527" s="21"/>
      <c r="W527" s="78"/>
      <c r="X527" s="15">
        <v>31</v>
      </c>
      <c r="Z527" s="74" t="str">
        <f>CONCATENATE(Table1[[#This Row],[P.R NUMBER]],"-",Table1[[#This Row],[SR NO]])</f>
        <v>050812252020-1161</v>
      </c>
    </row>
    <row r="528" spans="1:26" x14ac:dyDescent="0.25">
      <c r="A528" s="73"/>
      <c r="B528" s="42">
        <v>1161</v>
      </c>
      <c r="C528" s="43">
        <v>41126</v>
      </c>
      <c r="D528" s="44" t="s">
        <v>122</v>
      </c>
      <c r="E528" s="76" t="s">
        <v>90</v>
      </c>
      <c r="F528" s="42" t="s">
        <v>1</v>
      </c>
      <c r="G528" s="49" t="s">
        <v>70</v>
      </c>
      <c r="H528" s="45" t="s">
        <v>2808</v>
      </c>
      <c r="I528" s="83" t="s">
        <v>292</v>
      </c>
      <c r="J528" s="52" t="str">
        <f>VLOOKUP(I528,'CONTACT REFERENCE'!$A$2:$P$399,4,FALSE)</f>
        <v>WINDY CITY CUTTING DIE</v>
      </c>
      <c r="K528" s="42"/>
      <c r="L528" s="42">
        <v>135958</v>
      </c>
      <c r="M528" s="41" t="s">
        <v>123</v>
      </c>
      <c r="N528" s="41"/>
      <c r="O528" s="47" t="s">
        <v>2812</v>
      </c>
      <c r="P528" s="45" t="s">
        <v>124</v>
      </c>
      <c r="Q528" s="49" t="s">
        <v>120</v>
      </c>
      <c r="R528" s="48">
        <v>65</v>
      </c>
      <c r="S528" s="41" t="s">
        <v>29</v>
      </c>
      <c r="T528" s="84">
        <v>41126</v>
      </c>
      <c r="U528" s="42" t="s">
        <v>2810</v>
      </c>
      <c r="V528" s="21"/>
      <c r="W528" s="78"/>
      <c r="X528" s="15">
        <v>31</v>
      </c>
      <c r="Z528" s="74" t="str">
        <f>CONCATENATE(Table1[[#This Row],[P.R NUMBER]],"-",Table1[[#This Row],[SR NO]])</f>
        <v>050812252020-1161</v>
      </c>
    </row>
    <row r="529" spans="1:26" x14ac:dyDescent="0.25">
      <c r="A529" s="73"/>
      <c r="B529" s="42">
        <v>1162</v>
      </c>
      <c r="C529" s="43">
        <v>41128</v>
      </c>
      <c r="D529" s="44" t="s">
        <v>118</v>
      </c>
      <c r="E529" s="76" t="s">
        <v>90</v>
      </c>
      <c r="F529" s="42" t="s">
        <v>1</v>
      </c>
      <c r="G529" s="49" t="s">
        <v>72</v>
      </c>
      <c r="H529" s="45" t="s">
        <v>2813</v>
      </c>
      <c r="I529" s="83" t="s">
        <v>1793</v>
      </c>
      <c r="J529" s="52" t="str">
        <f>VLOOKUP(I529,'CONTACT REFERENCE'!$A$2:$P$399,4,FALSE)</f>
        <v>LOYAL A/C &amp; ELECTRICAL SERVICES</v>
      </c>
      <c r="K529" s="42" t="s">
        <v>2814</v>
      </c>
      <c r="L529" s="42"/>
      <c r="M529" s="41" t="s">
        <v>207</v>
      </c>
      <c r="N529" s="41"/>
      <c r="O529" s="47" t="s">
        <v>2815</v>
      </c>
      <c r="P529" s="45" t="s">
        <v>124</v>
      </c>
      <c r="Q529" s="49" t="s">
        <v>120</v>
      </c>
      <c r="R529" s="48">
        <v>3450</v>
      </c>
      <c r="S529" s="41" t="s">
        <v>29</v>
      </c>
      <c r="T529" s="42"/>
      <c r="U529" s="42"/>
      <c r="V529" s="21"/>
      <c r="W529" s="78"/>
      <c r="X529" s="15">
        <v>32</v>
      </c>
      <c r="Z529" s="74" t="str">
        <f>CONCATENATE(Table1[[#This Row],[P.R NUMBER]],"-",Table1[[#This Row],[SR NO]])</f>
        <v>070812272020-1162</v>
      </c>
    </row>
    <row r="530" spans="1:26" x14ac:dyDescent="0.25">
      <c r="A530" s="73"/>
      <c r="B530" s="42">
        <v>1163</v>
      </c>
      <c r="C530" s="43">
        <v>41128</v>
      </c>
      <c r="D530" s="44" t="s">
        <v>122</v>
      </c>
      <c r="E530" s="76" t="s">
        <v>90</v>
      </c>
      <c r="F530" s="42" t="s">
        <v>1</v>
      </c>
      <c r="G530" s="49" t="s">
        <v>70</v>
      </c>
      <c r="H530" s="45" t="s">
        <v>2816</v>
      </c>
      <c r="I530" s="83" t="s">
        <v>262</v>
      </c>
      <c r="J530" s="52" t="str">
        <f>VLOOKUP(I530,'CONTACT REFERENCE'!$A$2:$P$399,4,FALSE)</f>
        <v>CURTIUS TRADING INC</v>
      </c>
      <c r="K530" s="42" t="s">
        <v>2674</v>
      </c>
      <c r="L530" s="42">
        <v>20120197</v>
      </c>
      <c r="M530" s="41"/>
      <c r="N530" s="41"/>
      <c r="O530" s="47" t="s">
        <v>2817</v>
      </c>
      <c r="P530" s="45" t="s">
        <v>137</v>
      </c>
      <c r="Q530" s="49" t="s">
        <v>120</v>
      </c>
      <c r="R530" s="48">
        <f>196.23*3</f>
        <v>588.68999999999994</v>
      </c>
      <c r="S530" s="41" t="s">
        <v>28</v>
      </c>
      <c r="T530" s="84">
        <v>41143</v>
      </c>
      <c r="U530" s="42" t="s">
        <v>2818</v>
      </c>
      <c r="V530" s="21"/>
      <c r="W530" s="78"/>
      <c r="X530" s="15">
        <v>32</v>
      </c>
      <c r="Z530" s="74" t="str">
        <f>CONCATENATE(Table1[[#This Row],[P.R NUMBER]],"-",Table1[[#This Row],[SR NO]])</f>
        <v>070812252020-1163</v>
      </c>
    </row>
    <row r="531" spans="1:26" x14ac:dyDescent="0.25">
      <c r="A531" s="73"/>
      <c r="B531" s="42">
        <v>1163</v>
      </c>
      <c r="C531" s="43">
        <v>41128</v>
      </c>
      <c r="D531" s="44" t="s">
        <v>122</v>
      </c>
      <c r="E531" s="76" t="s">
        <v>90</v>
      </c>
      <c r="F531" s="42" t="s">
        <v>1</v>
      </c>
      <c r="G531" s="49" t="s">
        <v>70</v>
      </c>
      <c r="H531" s="45" t="s">
        <v>2816</v>
      </c>
      <c r="I531" s="83" t="s">
        <v>262</v>
      </c>
      <c r="J531" s="52" t="str">
        <f>VLOOKUP(I531,'CONTACT REFERENCE'!$A$2:$P$399,4,FALSE)</f>
        <v>CURTIUS TRADING INC</v>
      </c>
      <c r="K531" s="42" t="s">
        <v>2674</v>
      </c>
      <c r="L531" s="42">
        <v>20120197</v>
      </c>
      <c r="M531" s="41"/>
      <c r="N531" s="41"/>
      <c r="O531" s="47" t="s">
        <v>2819</v>
      </c>
      <c r="P531" s="45" t="s">
        <v>136</v>
      </c>
      <c r="Q531" s="49" t="s">
        <v>120</v>
      </c>
      <c r="R531" s="48">
        <f>149*2</f>
        <v>298</v>
      </c>
      <c r="S531" s="41" t="s">
        <v>28</v>
      </c>
      <c r="T531" s="84">
        <v>41143</v>
      </c>
      <c r="U531" s="42" t="s">
        <v>2818</v>
      </c>
      <c r="V531" s="21"/>
      <c r="W531" s="78"/>
      <c r="X531" s="15">
        <v>32</v>
      </c>
      <c r="Z531" s="74" t="str">
        <f>CONCATENATE(Table1[[#This Row],[P.R NUMBER]],"-",Table1[[#This Row],[SR NO]])</f>
        <v>070812252020-1163</v>
      </c>
    </row>
    <row r="532" spans="1:26" x14ac:dyDescent="0.25">
      <c r="A532" s="73"/>
      <c r="B532" s="42">
        <v>1164</v>
      </c>
      <c r="C532" s="43">
        <v>41128</v>
      </c>
      <c r="D532" s="44" t="s">
        <v>122</v>
      </c>
      <c r="E532" s="76" t="s">
        <v>90</v>
      </c>
      <c r="F532" s="42" t="s">
        <v>1</v>
      </c>
      <c r="G532" s="49" t="s">
        <v>70</v>
      </c>
      <c r="H532" s="45" t="s">
        <v>2816</v>
      </c>
      <c r="I532" s="83" t="s">
        <v>253</v>
      </c>
      <c r="J532" s="52" t="str">
        <f>VLOOKUP(I532,'CONTACT REFERENCE'!$A$2:$P$399,4,FALSE)</f>
        <v>SURE TACK SYSTEMS (DIVISION OF CRIST CO)</v>
      </c>
      <c r="K532" s="42" t="s">
        <v>2674</v>
      </c>
      <c r="L532" s="42"/>
      <c r="M532" s="41"/>
      <c r="N532" s="41"/>
      <c r="O532" s="47" t="s">
        <v>1928</v>
      </c>
      <c r="P532" s="45" t="s">
        <v>124</v>
      </c>
      <c r="Q532" s="49" t="s">
        <v>120</v>
      </c>
      <c r="R532" s="48">
        <v>38</v>
      </c>
      <c r="S532" s="41" t="s">
        <v>28</v>
      </c>
      <c r="T532" s="42"/>
      <c r="U532" s="42"/>
      <c r="V532" s="21"/>
      <c r="W532" s="78"/>
      <c r="X532" s="15">
        <v>32</v>
      </c>
      <c r="Z532" s="74" t="str">
        <f>CONCATENATE(Table1[[#This Row],[P.R NUMBER]],"-",Table1[[#This Row],[SR NO]])</f>
        <v>070812252020-1164</v>
      </c>
    </row>
    <row r="533" spans="1:26" x14ac:dyDescent="0.25">
      <c r="A533" s="73"/>
      <c r="B533" s="42">
        <v>1164</v>
      </c>
      <c r="C533" s="43">
        <v>41128</v>
      </c>
      <c r="D533" s="44" t="s">
        <v>122</v>
      </c>
      <c r="E533" s="76" t="s">
        <v>90</v>
      </c>
      <c r="F533" s="42" t="s">
        <v>1</v>
      </c>
      <c r="G533" s="49" t="s">
        <v>70</v>
      </c>
      <c r="H533" s="45" t="s">
        <v>2816</v>
      </c>
      <c r="I533" s="83" t="s">
        <v>253</v>
      </c>
      <c r="J533" s="52" t="str">
        <f>VLOOKUP(I533,'CONTACT REFERENCE'!$A$2:$P$399,4,FALSE)</f>
        <v>SURE TACK SYSTEMS (DIVISION OF CRIST CO)</v>
      </c>
      <c r="K533" s="42" t="s">
        <v>2674</v>
      </c>
      <c r="L533" s="42"/>
      <c r="M533" s="41"/>
      <c r="N533" s="41"/>
      <c r="O533" s="47" t="s">
        <v>2679</v>
      </c>
      <c r="P533" s="45" t="s">
        <v>124</v>
      </c>
      <c r="Q533" s="49" t="s">
        <v>120</v>
      </c>
      <c r="R533" s="48">
        <v>23</v>
      </c>
      <c r="S533" s="41" t="s">
        <v>28</v>
      </c>
      <c r="T533" s="42"/>
      <c r="U533" s="42"/>
      <c r="V533" s="21"/>
      <c r="W533" s="78"/>
      <c r="X533" s="15">
        <v>32</v>
      </c>
      <c r="Z533" s="74" t="str">
        <f>CONCATENATE(Table1[[#This Row],[P.R NUMBER]],"-",Table1[[#This Row],[SR NO]])</f>
        <v>070812252020-1164</v>
      </c>
    </row>
    <row r="534" spans="1:26" x14ac:dyDescent="0.25">
      <c r="A534" s="73"/>
      <c r="B534" s="42">
        <v>1164</v>
      </c>
      <c r="C534" s="43">
        <v>41128</v>
      </c>
      <c r="D534" s="44" t="s">
        <v>122</v>
      </c>
      <c r="E534" s="76" t="s">
        <v>90</v>
      </c>
      <c r="F534" s="42" t="s">
        <v>1</v>
      </c>
      <c r="G534" s="49" t="s">
        <v>70</v>
      </c>
      <c r="H534" s="45" t="s">
        <v>2816</v>
      </c>
      <c r="I534" s="83" t="s">
        <v>253</v>
      </c>
      <c r="J534" s="52" t="str">
        <f>VLOOKUP(I534,'CONTACT REFERENCE'!$A$2:$P$399,4,FALSE)</f>
        <v>SURE TACK SYSTEMS (DIVISION OF CRIST CO)</v>
      </c>
      <c r="K534" s="42" t="s">
        <v>2674</v>
      </c>
      <c r="L534" s="42"/>
      <c r="M534" s="41"/>
      <c r="N534" s="41"/>
      <c r="O534" s="47" t="s">
        <v>1923</v>
      </c>
      <c r="P534" s="45" t="s">
        <v>137</v>
      </c>
      <c r="Q534" s="49" t="s">
        <v>120</v>
      </c>
      <c r="R534" s="48">
        <f>80*3</f>
        <v>240</v>
      </c>
      <c r="S534" s="41" t="s">
        <v>28</v>
      </c>
      <c r="T534" s="42"/>
      <c r="U534" s="42"/>
      <c r="V534" s="21"/>
      <c r="W534" s="78"/>
      <c r="X534" s="15">
        <v>32</v>
      </c>
      <c r="Z534" s="74" t="str">
        <f>CONCATENATE(Table1[[#This Row],[P.R NUMBER]],"-",Table1[[#This Row],[SR NO]])</f>
        <v>070812252020-1164</v>
      </c>
    </row>
    <row r="535" spans="1:26" x14ac:dyDescent="0.25">
      <c r="A535" s="73"/>
      <c r="B535" s="42">
        <v>1164</v>
      </c>
      <c r="C535" s="43">
        <v>41128</v>
      </c>
      <c r="D535" s="44" t="s">
        <v>122</v>
      </c>
      <c r="E535" s="76" t="s">
        <v>90</v>
      </c>
      <c r="F535" s="42" t="s">
        <v>1</v>
      </c>
      <c r="G535" s="49" t="s">
        <v>70</v>
      </c>
      <c r="H535" s="45" t="s">
        <v>2816</v>
      </c>
      <c r="I535" s="83" t="s">
        <v>253</v>
      </c>
      <c r="J535" s="52" t="str">
        <f>VLOOKUP(I535,'CONTACT REFERENCE'!$A$2:$P$399,4,FALSE)</f>
        <v>SURE TACK SYSTEMS (DIVISION OF CRIST CO)</v>
      </c>
      <c r="K535" s="42" t="s">
        <v>2674</v>
      </c>
      <c r="L535" s="42"/>
      <c r="M535" s="41"/>
      <c r="N535" s="41"/>
      <c r="O535" s="47" t="s">
        <v>2820</v>
      </c>
      <c r="P535" s="45" t="s">
        <v>126</v>
      </c>
      <c r="Q535" s="49" t="s">
        <v>120</v>
      </c>
      <c r="R535" s="48">
        <f>5*10</f>
        <v>50</v>
      </c>
      <c r="S535" s="41" t="s">
        <v>28</v>
      </c>
      <c r="T535" s="42"/>
      <c r="U535" s="42"/>
      <c r="V535" s="21"/>
      <c r="W535" s="78"/>
      <c r="X535" s="15">
        <v>32</v>
      </c>
      <c r="Z535" s="74" t="str">
        <f>CONCATENATE(Table1[[#This Row],[P.R NUMBER]],"-",Table1[[#This Row],[SR NO]])</f>
        <v>070812252020-1164</v>
      </c>
    </row>
    <row r="536" spans="1:26" x14ac:dyDescent="0.25">
      <c r="A536" s="73"/>
      <c r="B536" s="42">
        <v>1164</v>
      </c>
      <c r="C536" s="43">
        <v>41128</v>
      </c>
      <c r="D536" s="44" t="s">
        <v>122</v>
      </c>
      <c r="E536" s="76" t="s">
        <v>90</v>
      </c>
      <c r="F536" s="42" t="s">
        <v>1</v>
      </c>
      <c r="G536" s="49" t="s">
        <v>70</v>
      </c>
      <c r="H536" s="45" t="s">
        <v>2816</v>
      </c>
      <c r="I536" s="83" t="s">
        <v>253</v>
      </c>
      <c r="J536" s="52" t="str">
        <f>VLOOKUP(I536,'CONTACT REFERENCE'!$A$2:$P$399,4,FALSE)</f>
        <v>SURE TACK SYSTEMS (DIVISION OF CRIST CO)</v>
      </c>
      <c r="K536" s="42" t="s">
        <v>2674</v>
      </c>
      <c r="L536" s="42"/>
      <c r="M536" s="41"/>
      <c r="N536" s="41"/>
      <c r="O536" s="47" t="s">
        <v>1875</v>
      </c>
      <c r="P536" s="45" t="s">
        <v>137</v>
      </c>
      <c r="Q536" s="49" t="s">
        <v>120</v>
      </c>
      <c r="R536" s="48">
        <f>3*275</f>
        <v>825</v>
      </c>
      <c r="S536" s="41" t="s">
        <v>28</v>
      </c>
      <c r="T536" s="42"/>
      <c r="U536" s="42"/>
      <c r="V536" s="21"/>
      <c r="W536" s="78"/>
      <c r="X536" s="15">
        <v>32</v>
      </c>
      <c r="Z536" s="74" t="str">
        <f>CONCATENATE(Table1[[#This Row],[P.R NUMBER]],"-",Table1[[#This Row],[SR NO]])</f>
        <v>070812252020-1164</v>
      </c>
    </row>
    <row r="537" spans="1:26" x14ac:dyDescent="0.25">
      <c r="A537" s="73"/>
      <c r="B537" s="42">
        <v>1164</v>
      </c>
      <c r="C537" s="43">
        <v>41128</v>
      </c>
      <c r="D537" s="44" t="s">
        <v>122</v>
      </c>
      <c r="E537" s="76" t="s">
        <v>90</v>
      </c>
      <c r="F537" s="42" t="s">
        <v>1</v>
      </c>
      <c r="G537" s="49" t="s">
        <v>70</v>
      </c>
      <c r="H537" s="45" t="s">
        <v>2816</v>
      </c>
      <c r="I537" s="83" t="s">
        <v>253</v>
      </c>
      <c r="J537" s="52" t="str">
        <f>VLOOKUP(I537,'CONTACT REFERENCE'!$A$2:$P$399,4,FALSE)</f>
        <v>SURE TACK SYSTEMS (DIVISION OF CRIST CO)</v>
      </c>
      <c r="K537" s="42" t="s">
        <v>2674</v>
      </c>
      <c r="L537" s="42"/>
      <c r="M537" s="41"/>
      <c r="N537" s="41"/>
      <c r="O537" s="47" t="s">
        <v>2821</v>
      </c>
      <c r="P537" s="45" t="s">
        <v>136</v>
      </c>
      <c r="Q537" s="49" t="s">
        <v>120</v>
      </c>
      <c r="R537" s="48">
        <f>2*9.5</f>
        <v>19</v>
      </c>
      <c r="S537" s="41" t="s">
        <v>28</v>
      </c>
      <c r="T537" s="42"/>
      <c r="U537" s="42"/>
      <c r="V537" s="21"/>
      <c r="W537" s="78"/>
      <c r="X537" s="15">
        <v>32</v>
      </c>
      <c r="Z537" s="74" t="str">
        <f>CONCATENATE(Table1[[#This Row],[P.R NUMBER]],"-",Table1[[#This Row],[SR NO]])</f>
        <v>070812252020-1164</v>
      </c>
    </row>
    <row r="538" spans="1:26" x14ac:dyDescent="0.25">
      <c r="A538" s="73"/>
      <c r="B538" s="42">
        <v>1164</v>
      </c>
      <c r="C538" s="43">
        <v>41128</v>
      </c>
      <c r="D538" s="44" t="s">
        <v>122</v>
      </c>
      <c r="E538" s="76" t="s">
        <v>90</v>
      </c>
      <c r="F538" s="42" t="s">
        <v>1</v>
      </c>
      <c r="G538" s="49" t="s">
        <v>70</v>
      </c>
      <c r="H538" s="45" t="s">
        <v>2816</v>
      </c>
      <c r="I538" s="83" t="s">
        <v>253</v>
      </c>
      <c r="J538" s="52" t="str">
        <f>VLOOKUP(I538,'CONTACT REFERENCE'!$A$2:$P$399,4,FALSE)</f>
        <v>SURE TACK SYSTEMS (DIVISION OF CRIST CO)</v>
      </c>
      <c r="K538" s="42" t="s">
        <v>2674</v>
      </c>
      <c r="L538" s="42"/>
      <c r="M538" s="41"/>
      <c r="N538" s="41"/>
      <c r="O538" s="47" t="s">
        <v>2214</v>
      </c>
      <c r="P538" s="45" t="s">
        <v>124</v>
      </c>
      <c r="Q538" s="49" t="s">
        <v>120</v>
      </c>
      <c r="R538" s="48">
        <v>30</v>
      </c>
      <c r="S538" s="41" t="s">
        <v>28</v>
      </c>
      <c r="T538" s="42"/>
      <c r="U538" s="42"/>
      <c r="V538" s="21"/>
      <c r="W538" s="78"/>
      <c r="X538" s="15">
        <v>32</v>
      </c>
      <c r="Z538" s="74" t="str">
        <f>CONCATENATE(Table1[[#This Row],[P.R NUMBER]],"-",Table1[[#This Row],[SR NO]])</f>
        <v>070812252020-1164</v>
      </c>
    </row>
    <row r="539" spans="1:26" x14ac:dyDescent="0.25">
      <c r="A539" s="73"/>
      <c r="B539" s="42">
        <v>1164</v>
      </c>
      <c r="C539" s="43">
        <v>41128</v>
      </c>
      <c r="D539" s="44" t="s">
        <v>122</v>
      </c>
      <c r="E539" s="76" t="s">
        <v>90</v>
      </c>
      <c r="F539" s="42" t="s">
        <v>1</v>
      </c>
      <c r="G539" s="49" t="s">
        <v>70</v>
      </c>
      <c r="H539" s="45" t="s">
        <v>2816</v>
      </c>
      <c r="I539" s="83" t="s">
        <v>253</v>
      </c>
      <c r="J539" s="52" t="str">
        <f>VLOOKUP(I539,'CONTACT REFERENCE'!$A$2:$P$399,4,FALSE)</f>
        <v>SURE TACK SYSTEMS (DIVISION OF CRIST CO)</v>
      </c>
      <c r="K539" s="42" t="s">
        <v>2674</v>
      </c>
      <c r="L539" s="42"/>
      <c r="M539" s="41"/>
      <c r="N539" s="41"/>
      <c r="O539" s="47" t="s">
        <v>2822</v>
      </c>
      <c r="P539" s="45" t="s">
        <v>124</v>
      </c>
      <c r="Q539" s="49" t="s">
        <v>120</v>
      </c>
      <c r="R539" s="48">
        <v>26</v>
      </c>
      <c r="S539" s="41" t="s">
        <v>28</v>
      </c>
      <c r="T539" s="42"/>
      <c r="U539" s="42"/>
      <c r="V539" s="21"/>
      <c r="W539" s="78"/>
      <c r="X539" s="15">
        <v>32</v>
      </c>
      <c r="Z539" s="74" t="str">
        <f>CONCATENATE(Table1[[#This Row],[P.R NUMBER]],"-",Table1[[#This Row],[SR NO]])</f>
        <v>070812252020-1164</v>
      </c>
    </row>
    <row r="540" spans="1:26" x14ac:dyDescent="0.25">
      <c r="A540" s="73"/>
      <c r="B540" s="42">
        <v>1165</v>
      </c>
      <c r="C540" s="43">
        <v>41128</v>
      </c>
      <c r="D540" s="44" t="s">
        <v>122</v>
      </c>
      <c r="E540" s="76" t="s">
        <v>90</v>
      </c>
      <c r="F540" s="42" t="s">
        <v>1</v>
      </c>
      <c r="G540" s="49" t="s">
        <v>70</v>
      </c>
      <c r="H540" s="45" t="s">
        <v>2816</v>
      </c>
      <c r="I540" s="83" t="s">
        <v>262</v>
      </c>
      <c r="J540" s="52" t="str">
        <f>VLOOKUP(I540,'CONTACT REFERENCE'!$A$2:$P$399,4,FALSE)</f>
        <v>CURTIUS TRADING INC</v>
      </c>
      <c r="K540" s="42" t="s">
        <v>2674</v>
      </c>
      <c r="L540" s="42">
        <v>20120199</v>
      </c>
      <c r="M540" s="41"/>
      <c r="N540" s="41"/>
      <c r="O540" s="47" t="s">
        <v>1970</v>
      </c>
      <c r="P540" s="45" t="s">
        <v>144</v>
      </c>
      <c r="Q540" s="49" t="s">
        <v>120</v>
      </c>
      <c r="R540" s="48">
        <f>12*1.04</f>
        <v>12.48</v>
      </c>
      <c r="S540" s="41" t="s">
        <v>28</v>
      </c>
      <c r="T540" s="84">
        <v>41143</v>
      </c>
      <c r="U540" s="42" t="s">
        <v>2823</v>
      </c>
      <c r="V540" s="21"/>
      <c r="W540" s="78"/>
      <c r="X540" s="15">
        <v>32</v>
      </c>
      <c r="Z540" s="74" t="str">
        <f>CONCATENATE(Table1[[#This Row],[P.R NUMBER]],"-",Table1[[#This Row],[SR NO]])</f>
        <v>070812252020-1165</v>
      </c>
    </row>
    <row r="541" spans="1:26" x14ac:dyDescent="0.25">
      <c r="A541" s="73"/>
      <c r="B541" s="42">
        <v>1165</v>
      </c>
      <c r="C541" s="43">
        <v>41128</v>
      </c>
      <c r="D541" s="44" t="s">
        <v>122</v>
      </c>
      <c r="E541" s="76" t="s">
        <v>90</v>
      </c>
      <c r="F541" s="42" t="s">
        <v>1</v>
      </c>
      <c r="G541" s="49" t="s">
        <v>70</v>
      </c>
      <c r="H541" s="45" t="s">
        <v>2816</v>
      </c>
      <c r="I541" s="83" t="s">
        <v>262</v>
      </c>
      <c r="J541" s="52" t="str">
        <f>VLOOKUP(I541,'CONTACT REFERENCE'!$A$2:$P$399,4,FALSE)</f>
        <v>CURTIUS TRADING INC</v>
      </c>
      <c r="K541" s="42" t="s">
        <v>2674</v>
      </c>
      <c r="L541" s="42">
        <v>20120199</v>
      </c>
      <c r="M541" s="41"/>
      <c r="N541" s="41"/>
      <c r="O541" s="47" t="s">
        <v>2824</v>
      </c>
      <c r="P541" s="45" t="s">
        <v>141</v>
      </c>
      <c r="Q541" s="49" t="s">
        <v>120</v>
      </c>
      <c r="R541" s="48">
        <f>4*25.88</f>
        <v>103.52</v>
      </c>
      <c r="S541" s="41" t="s">
        <v>28</v>
      </c>
      <c r="T541" s="84">
        <v>41143</v>
      </c>
      <c r="U541" s="42" t="s">
        <v>2823</v>
      </c>
      <c r="V541" s="21"/>
      <c r="W541" s="78"/>
      <c r="X541" s="15">
        <v>32</v>
      </c>
      <c r="Z541" s="74" t="str">
        <f>CONCATENATE(Table1[[#This Row],[P.R NUMBER]],"-",Table1[[#This Row],[SR NO]])</f>
        <v>070812252020-1165</v>
      </c>
    </row>
    <row r="542" spans="1:26" x14ac:dyDescent="0.25">
      <c r="A542" s="73"/>
      <c r="B542" s="42">
        <v>1165</v>
      </c>
      <c r="C542" s="43">
        <v>41128</v>
      </c>
      <c r="D542" s="44" t="s">
        <v>122</v>
      </c>
      <c r="E542" s="76" t="s">
        <v>90</v>
      </c>
      <c r="F542" s="42" t="s">
        <v>1</v>
      </c>
      <c r="G542" s="49" t="s">
        <v>70</v>
      </c>
      <c r="H542" s="45" t="s">
        <v>2816</v>
      </c>
      <c r="I542" s="83" t="s">
        <v>262</v>
      </c>
      <c r="J542" s="52" t="str">
        <f>VLOOKUP(I542,'CONTACT REFERENCE'!$A$2:$P$399,4,FALSE)</f>
        <v>CURTIUS TRADING INC</v>
      </c>
      <c r="K542" s="42" t="s">
        <v>2674</v>
      </c>
      <c r="L542" s="42">
        <v>20120199</v>
      </c>
      <c r="M542" s="41"/>
      <c r="N542" s="41"/>
      <c r="O542" s="47" t="s">
        <v>2825</v>
      </c>
      <c r="P542" s="45" t="s">
        <v>136</v>
      </c>
      <c r="Q542" s="49" t="s">
        <v>120</v>
      </c>
      <c r="R542" s="48">
        <f>2*20.46</f>
        <v>40.92</v>
      </c>
      <c r="S542" s="41" t="s">
        <v>28</v>
      </c>
      <c r="T542" s="84">
        <v>41143</v>
      </c>
      <c r="U542" s="42" t="s">
        <v>2823</v>
      </c>
      <c r="V542" s="21"/>
      <c r="W542" s="78"/>
      <c r="X542" s="15">
        <v>32</v>
      </c>
      <c r="Z542" s="74" t="str">
        <f>CONCATENATE(Table1[[#This Row],[P.R NUMBER]],"-",Table1[[#This Row],[SR NO]])</f>
        <v>070812252020-1165</v>
      </c>
    </row>
    <row r="543" spans="1:26" x14ac:dyDescent="0.25">
      <c r="A543" s="73"/>
      <c r="B543" s="42">
        <v>1165</v>
      </c>
      <c r="C543" s="43">
        <v>41128</v>
      </c>
      <c r="D543" s="44" t="s">
        <v>122</v>
      </c>
      <c r="E543" s="76" t="s">
        <v>90</v>
      </c>
      <c r="F543" s="42" t="s">
        <v>1</v>
      </c>
      <c r="G543" s="49" t="s">
        <v>70</v>
      </c>
      <c r="H543" s="45" t="s">
        <v>2816</v>
      </c>
      <c r="I543" s="83" t="s">
        <v>262</v>
      </c>
      <c r="J543" s="52" t="str">
        <f>VLOOKUP(I543,'CONTACT REFERENCE'!$A$2:$P$399,4,FALSE)</f>
        <v>CURTIUS TRADING INC</v>
      </c>
      <c r="K543" s="42" t="s">
        <v>2674</v>
      </c>
      <c r="L543" s="42">
        <v>20120199</v>
      </c>
      <c r="M543" s="41"/>
      <c r="N543" s="41"/>
      <c r="O543" s="47" t="s">
        <v>2826</v>
      </c>
      <c r="P543" s="45" t="s">
        <v>128</v>
      </c>
      <c r="Q543" s="49" t="s">
        <v>120</v>
      </c>
      <c r="R543" s="48">
        <f>8*11.21</f>
        <v>89.68</v>
      </c>
      <c r="S543" s="41" t="s">
        <v>28</v>
      </c>
      <c r="T543" s="84">
        <v>41143</v>
      </c>
      <c r="U543" s="42" t="s">
        <v>2823</v>
      </c>
      <c r="V543" s="21"/>
      <c r="W543" s="78"/>
      <c r="X543" s="15">
        <v>32</v>
      </c>
      <c r="Z543" s="74" t="str">
        <f>CONCATENATE(Table1[[#This Row],[P.R NUMBER]],"-",Table1[[#This Row],[SR NO]])</f>
        <v>070812252020-1165</v>
      </c>
    </row>
    <row r="544" spans="1:26" x14ac:dyDescent="0.25">
      <c r="A544" s="73"/>
      <c r="B544" s="42">
        <v>1165</v>
      </c>
      <c r="C544" s="43">
        <v>41128</v>
      </c>
      <c r="D544" s="44" t="s">
        <v>122</v>
      </c>
      <c r="E544" s="76" t="s">
        <v>90</v>
      </c>
      <c r="F544" s="42" t="s">
        <v>1</v>
      </c>
      <c r="G544" s="49" t="s">
        <v>70</v>
      </c>
      <c r="H544" s="45" t="s">
        <v>2816</v>
      </c>
      <c r="I544" s="83" t="s">
        <v>262</v>
      </c>
      <c r="J544" s="52" t="str">
        <f>VLOOKUP(I544,'CONTACT REFERENCE'!$A$2:$P$399,4,FALSE)</f>
        <v>CURTIUS TRADING INC</v>
      </c>
      <c r="K544" s="42" t="s">
        <v>2674</v>
      </c>
      <c r="L544" s="42">
        <v>20120199</v>
      </c>
      <c r="M544" s="41"/>
      <c r="N544" s="41"/>
      <c r="O544" s="47" t="s">
        <v>2827</v>
      </c>
      <c r="P544" s="45" t="s">
        <v>128</v>
      </c>
      <c r="Q544" s="49" t="s">
        <v>120</v>
      </c>
      <c r="R544" s="48">
        <f>8*5.13</f>
        <v>41.04</v>
      </c>
      <c r="S544" s="41" t="s">
        <v>28</v>
      </c>
      <c r="T544" s="84">
        <v>41143</v>
      </c>
      <c r="U544" s="42" t="s">
        <v>2823</v>
      </c>
      <c r="V544" s="21"/>
      <c r="W544" s="78"/>
      <c r="X544" s="15">
        <v>32</v>
      </c>
      <c r="Z544" s="74" t="str">
        <f>CONCATENATE(Table1[[#This Row],[P.R NUMBER]],"-",Table1[[#This Row],[SR NO]])</f>
        <v>070812252020-1165</v>
      </c>
    </row>
    <row r="545" spans="1:26" x14ac:dyDescent="0.25">
      <c r="A545" s="73"/>
      <c r="B545" s="42">
        <v>1165</v>
      </c>
      <c r="C545" s="43">
        <v>41128</v>
      </c>
      <c r="D545" s="44" t="s">
        <v>122</v>
      </c>
      <c r="E545" s="76" t="s">
        <v>90</v>
      </c>
      <c r="F545" s="42" t="s">
        <v>1</v>
      </c>
      <c r="G545" s="49" t="s">
        <v>70</v>
      </c>
      <c r="H545" s="45" t="s">
        <v>2816</v>
      </c>
      <c r="I545" s="83" t="s">
        <v>262</v>
      </c>
      <c r="J545" s="52" t="str">
        <f>VLOOKUP(I545,'CONTACT REFERENCE'!$A$2:$P$399,4,FALSE)</f>
        <v>CURTIUS TRADING INC</v>
      </c>
      <c r="K545" s="42" t="s">
        <v>2674</v>
      </c>
      <c r="L545" s="42">
        <v>20120199</v>
      </c>
      <c r="M545" s="41"/>
      <c r="N545" s="41"/>
      <c r="O545" s="47" t="s">
        <v>2828</v>
      </c>
      <c r="P545" s="45" t="s">
        <v>128</v>
      </c>
      <c r="Q545" s="49" t="s">
        <v>120</v>
      </c>
      <c r="R545" s="48">
        <f>8*5.07</f>
        <v>40.56</v>
      </c>
      <c r="S545" s="41" t="s">
        <v>28</v>
      </c>
      <c r="T545" s="84">
        <v>41143</v>
      </c>
      <c r="U545" s="42" t="s">
        <v>2823</v>
      </c>
      <c r="V545" s="21"/>
      <c r="W545" s="78"/>
      <c r="X545" s="15">
        <v>32</v>
      </c>
      <c r="Z545" s="74" t="str">
        <f>CONCATENATE(Table1[[#This Row],[P.R NUMBER]],"-",Table1[[#This Row],[SR NO]])</f>
        <v>070812252020-1165</v>
      </c>
    </row>
    <row r="546" spans="1:26" x14ac:dyDescent="0.25">
      <c r="A546" s="73"/>
      <c r="B546" s="42">
        <v>1165</v>
      </c>
      <c r="C546" s="43">
        <v>41128</v>
      </c>
      <c r="D546" s="44" t="s">
        <v>122</v>
      </c>
      <c r="E546" s="76" t="s">
        <v>90</v>
      </c>
      <c r="F546" s="42" t="s">
        <v>1</v>
      </c>
      <c r="G546" s="49" t="s">
        <v>70</v>
      </c>
      <c r="H546" s="45" t="s">
        <v>2816</v>
      </c>
      <c r="I546" s="83" t="s">
        <v>262</v>
      </c>
      <c r="J546" s="52" t="str">
        <f>VLOOKUP(I546,'CONTACT REFERENCE'!$A$2:$P$399,4,FALSE)</f>
        <v>CURTIUS TRADING INC</v>
      </c>
      <c r="K546" s="42" t="s">
        <v>2674</v>
      </c>
      <c r="L546" s="42">
        <v>20120199</v>
      </c>
      <c r="M546" s="41"/>
      <c r="N546" s="41"/>
      <c r="O546" s="47" t="s">
        <v>2829</v>
      </c>
      <c r="P546" s="45" t="s">
        <v>141</v>
      </c>
      <c r="Q546" s="49" t="s">
        <v>120</v>
      </c>
      <c r="R546" s="48">
        <f>4*21.58</f>
        <v>86.32</v>
      </c>
      <c r="S546" s="41" t="s">
        <v>28</v>
      </c>
      <c r="T546" s="84">
        <v>41143</v>
      </c>
      <c r="U546" s="42" t="s">
        <v>2823</v>
      </c>
      <c r="V546" s="21"/>
      <c r="W546" s="78"/>
      <c r="X546" s="15">
        <v>32</v>
      </c>
      <c r="Z546" s="74" t="str">
        <f>CONCATENATE(Table1[[#This Row],[P.R NUMBER]],"-",Table1[[#This Row],[SR NO]])</f>
        <v>070812252020-1165</v>
      </c>
    </row>
    <row r="547" spans="1:26" x14ac:dyDescent="0.25">
      <c r="A547" s="73"/>
      <c r="B547" s="42">
        <v>1166</v>
      </c>
      <c r="C547" s="43">
        <v>41128</v>
      </c>
      <c r="D547" s="44" t="s">
        <v>122</v>
      </c>
      <c r="E547" s="76" t="s">
        <v>90</v>
      </c>
      <c r="F547" s="42" t="s">
        <v>1</v>
      </c>
      <c r="G547" s="49" t="s">
        <v>69</v>
      </c>
      <c r="H547" s="45" t="s">
        <v>2830</v>
      </c>
      <c r="I547" s="83" t="s">
        <v>262</v>
      </c>
      <c r="J547" s="52" t="str">
        <f>VLOOKUP(I547,'CONTACT REFERENCE'!$A$2:$P$399,4,FALSE)</f>
        <v>CURTIUS TRADING INC</v>
      </c>
      <c r="K547" s="42"/>
      <c r="L547" s="42">
        <v>20120196</v>
      </c>
      <c r="M547" s="41"/>
      <c r="N547" s="41"/>
      <c r="O547" s="47" t="s">
        <v>1877</v>
      </c>
      <c r="P547" s="45" t="s">
        <v>136</v>
      </c>
      <c r="Q547" s="49" t="s">
        <v>120</v>
      </c>
      <c r="R547" s="48">
        <v>325.88</v>
      </c>
      <c r="S547" s="41" t="s">
        <v>28</v>
      </c>
      <c r="T547" s="84">
        <v>41143</v>
      </c>
      <c r="U547" s="42" t="s">
        <v>2831</v>
      </c>
      <c r="V547" s="21"/>
      <c r="W547" s="78"/>
      <c r="X547" s="15">
        <v>32</v>
      </c>
      <c r="Z547" s="74" t="str">
        <f>CONCATENATE(Table1[[#This Row],[P.R NUMBER]],"-",Table1[[#This Row],[SR NO]])</f>
        <v>070812242020-1166</v>
      </c>
    </row>
    <row r="548" spans="1:26" x14ac:dyDescent="0.25">
      <c r="A548" s="73"/>
      <c r="B548" s="42">
        <v>1167</v>
      </c>
      <c r="C548" s="43">
        <v>41128</v>
      </c>
      <c r="D548" s="44" t="s">
        <v>122</v>
      </c>
      <c r="E548" s="76" t="s">
        <v>90</v>
      </c>
      <c r="F548" s="42" t="s">
        <v>1</v>
      </c>
      <c r="G548" s="49" t="s">
        <v>59</v>
      </c>
      <c r="H548" s="45" t="s">
        <v>2832</v>
      </c>
      <c r="I548" s="83" t="s">
        <v>292</v>
      </c>
      <c r="J548" s="52" t="str">
        <f>VLOOKUP(I548,'CONTACT REFERENCE'!$A$2:$P$399,4,FALSE)</f>
        <v>WINDY CITY CUTTING DIE</v>
      </c>
      <c r="K548" s="42"/>
      <c r="L548" s="42">
        <v>135957</v>
      </c>
      <c r="M548" s="41"/>
      <c r="N548" s="41"/>
      <c r="O548" s="47" t="s">
        <v>2833</v>
      </c>
      <c r="P548" s="45" t="s">
        <v>124</v>
      </c>
      <c r="Q548" s="49" t="s">
        <v>120</v>
      </c>
      <c r="R548" s="48">
        <v>135</v>
      </c>
      <c r="S548" s="41" t="s">
        <v>28</v>
      </c>
      <c r="T548" s="84">
        <v>41128</v>
      </c>
      <c r="U548" s="42" t="s">
        <v>2810</v>
      </c>
      <c r="V548" s="21"/>
      <c r="W548" s="78"/>
      <c r="X548" s="15">
        <v>32</v>
      </c>
      <c r="Z548" s="74" t="str">
        <f>CONCATENATE(Table1[[#This Row],[P.R NUMBER]],"-",Table1[[#This Row],[SR NO]])</f>
        <v>070812132020-1167</v>
      </c>
    </row>
    <row r="549" spans="1:26" x14ac:dyDescent="0.25">
      <c r="A549" s="73"/>
      <c r="B549" s="42">
        <v>1167</v>
      </c>
      <c r="C549" s="43">
        <v>41128</v>
      </c>
      <c r="D549" s="44" t="s">
        <v>122</v>
      </c>
      <c r="E549" s="76" t="s">
        <v>90</v>
      </c>
      <c r="F549" s="42" t="s">
        <v>1</v>
      </c>
      <c r="G549" s="49" t="s">
        <v>59</v>
      </c>
      <c r="H549" s="45" t="s">
        <v>2832</v>
      </c>
      <c r="I549" s="83" t="s">
        <v>292</v>
      </c>
      <c r="J549" s="52" t="str">
        <f>VLOOKUP(I549,'CONTACT REFERENCE'!$A$2:$P$399,4,FALSE)</f>
        <v>WINDY CITY CUTTING DIE</v>
      </c>
      <c r="K549" s="42"/>
      <c r="L549" s="42">
        <v>135957</v>
      </c>
      <c r="M549" s="41"/>
      <c r="N549" s="41"/>
      <c r="O549" s="47" t="s">
        <v>2834</v>
      </c>
      <c r="P549" s="45" t="s">
        <v>124</v>
      </c>
      <c r="Q549" s="49" t="s">
        <v>120</v>
      </c>
      <c r="R549" s="48">
        <v>95</v>
      </c>
      <c r="S549" s="41" t="s">
        <v>28</v>
      </c>
      <c r="T549" s="84">
        <v>41128</v>
      </c>
      <c r="U549" s="42" t="s">
        <v>2835</v>
      </c>
      <c r="V549" s="21"/>
      <c r="W549" s="78"/>
      <c r="X549" s="15">
        <v>32</v>
      </c>
      <c r="Z549" s="74" t="str">
        <f>CONCATENATE(Table1[[#This Row],[P.R NUMBER]],"-",Table1[[#This Row],[SR NO]])</f>
        <v>070812132020-1167</v>
      </c>
    </row>
    <row r="550" spans="1:26" x14ac:dyDescent="0.25">
      <c r="A550" s="73"/>
      <c r="B550" s="42">
        <v>1167</v>
      </c>
      <c r="C550" s="43">
        <v>41128</v>
      </c>
      <c r="D550" s="44" t="s">
        <v>122</v>
      </c>
      <c r="E550" s="76" t="s">
        <v>90</v>
      </c>
      <c r="F550" s="42" t="s">
        <v>1</v>
      </c>
      <c r="G550" s="49" t="s">
        <v>59</v>
      </c>
      <c r="H550" s="45" t="s">
        <v>2832</v>
      </c>
      <c r="I550" s="83" t="s">
        <v>292</v>
      </c>
      <c r="J550" s="52" t="str">
        <f>VLOOKUP(I550,'CONTACT REFERENCE'!$A$2:$P$399,4,FALSE)</f>
        <v>WINDY CITY CUTTING DIE</v>
      </c>
      <c r="K550" s="42"/>
      <c r="L550" s="42">
        <v>135957</v>
      </c>
      <c r="M550" s="41"/>
      <c r="N550" s="41"/>
      <c r="O550" s="47" t="s">
        <v>2836</v>
      </c>
      <c r="P550" s="45" t="s">
        <v>124</v>
      </c>
      <c r="Q550" s="49" t="s">
        <v>120</v>
      </c>
      <c r="R550" s="48">
        <v>108</v>
      </c>
      <c r="S550" s="41" t="s">
        <v>28</v>
      </c>
      <c r="T550" s="84">
        <v>41128</v>
      </c>
      <c r="U550" s="42" t="s">
        <v>2837</v>
      </c>
      <c r="V550" s="21"/>
      <c r="W550" s="78"/>
      <c r="X550" s="15">
        <v>32</v>
      </c>
      <c r="Z550" s="74" t="str">
        <f>CONCATENATE(Table1[[#This Row],[P.R NUMBER]],"-",Table1[[#This Row],[SR NO]])</f>
        <v>070812132020-1167</v>
      </c>
    </row>
    <row r="551" spans="1:26" x14ac:dyDescent="0.25">
      <c r="A551" s="73"/>
      <c r="B551" s="42">
        <v>1167</v>
      </c>
      <c r="C551" s="43">
        <v>41128</v>
      </c>
      <c r="D551" s="44" t="s">
        <v>122</v>
      </c>
      <c r="E551" s="76" t="s">
        <v>90</v>
      </c>
      <c r="F551" s="42" t="s">
        <v>1</v>
      </c>
      <c r="G551" s="49" t="s">
        <v>59</v>
      </c>
      <c r="H551" s="45" t="s">
        <v>2832</v>
      </c>
      <c r="I551" s="83" t="s">
        <v>292</v>
      </c>
      <c r="J551" s="52" t="str">
        <f>VLOOKUP(I551,'CONTACT REFERENCE'!$A$2:$P$399,4,FALSE)</f>
        <v>WINDY CITY CUTTING DIE</v>
      </c>
      <c r="K551" s="42"/>
      <c r="L551" s="42">
        <v>135957</v>
      </c>
      <c r="M551" s="41"/>
      <c r="N551" s="41"/>
      <c r="O551" s="47" t="s">
        <v>2838</v>
      </c>
      <c r="P551" s="45" t="s">
        <v>124</v>
      </c>
      <c r="Q551" s="49" t="s">
        <v>120</v>
      </c>
      <c r="R551" s="48">
        <v>140</v>
      </c>
      <c r="S551" s="41" t="s">
        <v>28</v>
      </c>
      <c r="T551" s="84">
        <v>41128</v>
      </c>
      <c r="U551" s="42" t="s">
        <v>2839</v>
      </c>
      <c r="V551" s="21"/>
      <c r="W551" s="78"/>
      <c r="X551" s="15">
        <v>32</v>
      </c>
      <c r="Z551" s="74" t="str">
        <f>CONCATENATE(Table1[[#This Row],[P.R NUMBER]],"-",Table1[[#This Row],[SR NO]])</f>
        <v>070812132020-1167</v>
      </c>
    </row>
    <row r="552" spans="1:26" x14ac:dyDescent="0.25">
      <c r="A552" s="73"/>
      <c r="B552" s="42">
        <v>1167</v>
      </c>
      <c r="C552" s="43">
        <v>41128</v>
      </c>
      <c r="D552" s="44" t="s">
        <v>122</v>
      </c>
      <c r="E552" s="76" t="s">
        <v>90</v>
      </c>
      <c r="F552" s="42" t="s">
        <v>1</v>
      </c>
      <c r="G552" s="49" t="s">
        <v>59</v>
      </c>
      <c r="H552" s="45" t="s">
        <v>2832</v>
      </c>
      <c r="I552" s="83" t="s">
        <v>292</v>
      </c>
      <c r="J552" s="52" t="str">
        <f>VLOOKUP(I552,'CONTACT REFERENCE'!$A$2:$P$399,4,FALSE)</f>
        <v>WINDY CITY CUTTING DIE</v>
      </c>
      <c r="K552" s="42"/>
      <c r="L552" s="42">
        <v>135957</v>
      </c>
      <c r="M552" s="41"/>
      <c r="N552" s="41"/>
      <c r="O552" s="47" t="s">
        <v>2840</v>
      </c>
      <c r="P552" s="45" t="s">
        <v>124</v>
      </c>
      <c r="Q552" s="49" t="s">
        <v>120</v>
      </c>
      <c r="R552" s="48">
        <v>90</v>
      </c>
      <c r="S552" s="41" t="s">
        <v>28</v>
      </c>
      <c r="T552" s="84">
        <v>41128</v>
      </c>
      <c r="U552" s="42" t="s">
        <v>2841</v>
      </c>
      <c r="V552" s="21"/>
      <c r="W552" s="78"/>
      <c r="X552" s="15">
        <v>32</v>
      </c>
      <c r="Z552" s="74" t="str">
        <f>CONCATENATE(Table1[[#This Row],[P.R NUMBER]],"-",Table1[[#This Row],[SR NO]])</f>
        <v>070812132020-1167</v>
      </c>
    </row>
    <row r="553" spans="1:26" x14ac:dyDescent="0.25">
      <c r="A553" s="73"/>
      <c r="B553" s="42">
        <v>1167</v>
      </c>
      <c r="C553" s="43">
        <v>41128</v>
      </c>
      <c r="D553" s="44" t="s">
        <v>122</v>
      </c>
      <c r="E553" s="76" t="s">
        <v>90</v>
      </c>
      <c r="F553" s="42" t="s">
        <v>1</v>
      </c>
      <c r="G553" s="49" t="s">
        <v>59</v>
      </c>
      <c r="H553" s="45" t="s">
        <v>2832</v>
      </c>
      <c r="I553" s="83" t="s">
        <v>292</v>
      </c>
      <c r="J553" s="52" t="str">
        <f>VLOOKUP(I553,'CONTACT REFERENCE'!$A$2:$P$399,4,FALSE)</f>
        <v>WINDY CITY CUTTING DIE</v>
      </c>
      <c r="K553" s="42"/>
      <c r="L553" s="42">
        <v>135957</v>
      </c>
      <c r="M553" s="41"/>
      <c r="N553" s="41"/>
      <c r="O553" s="47" t="s">
        <v>2842</v>
      </c>
      <c r="P553" s="45" t="s">
        <v>124</v>
      </c>
      <c r="Q553" s="49" t="s">
        <v>120</v>
      </c>
      <c r="R553" s="48">
        <v>189</v>
      </c>
      <c r="S553" s="41" t="s">
        <v>28</v>
      </c>
      <c r="T553" s="84">
        <v>41128</v>
      </c>
      <c r="U553" s="42" t="s">
        <v>2843</v>
      </c>
      <c r="V553" s="21"/>
      <c r="W553" s="78"/>
      <c r="X553" s="15">
        <v>32</v>
      </c>
      <c r="Z553" s="74" t="str">
        <f>CONCATENATE(Table1[[#This Row],[P.R NUMBER]],"-",Table1[[#This Row],[SR NO]])</f>
        <v>070812132020-1167</v>
      </c>
    </row>
    <row r="554" spans="1:26" x14ac:dyDescent="0.25">
      <c r="A554" s="73"/>
      <c r="B554" s="42">
        <v>1167</v>
      </c>
      <c r="C554" s="43">
        <v>41128</v>
      </c>
      <c r="D554" s="44" t="s">
        <v>122</v>
      </c>
      <c r="E554" s="76" t="s">
        <v>90</v>
      </c>
      <c r="F554" s="42" t="s">
        <v>1</v>
      </c>
      <c r="G554" s="49" t="s">
        <v>59</v>
      </c>
      <c r="H554" s="45" t="s">
        <v>2832</v>
      </c>
      <c r="I554" s="83" t="s">
        <v>292</v>
      </c>
      <c r="J554" s="52" t="str">
        <f>VLOOKUP(I554,'CONTACT REFERENCE'!$A$2:$P$399,4,FALSE)</f>
        <v>WINDY CITY CUTTING DIE</v>
      </c>
      <c r="K554" s="42"/>
      <c r="L554" s="42">
        <v>135957</v>
      </c>
      <c r="M554" s="41"/>
      <c r="N554" s="41"/>
      <c r="O554" s="47" t="s">
        <v>2844</v>
      </c>
      <c r="P554" s="45" t="s">
        <v>124</v>
      </c>
      <c r="Q554" s="49" t="s">
        <v>120</v>
      </c>
      <c r="R554" s="48">
        <v>240</v>
      </c>
      <c r="S554" s="41" t="s">
        <v>28</v>
      </c>
      <c r="T554" s="84">
        <v>41128</v>
      </c>
      <c r="U554" s="42" t="s">
        <v>2845</v>
      </c>
      <c r="V554" s="21"/>
      <c r="W554" s="78"/>
      <c r="X554" s="15">
        <v>32</v>
      </c>
      <c r="Z554" s="74" t="str">
        <f>CONCATENATE(Table1[[#This Row],[P.R NUMBER]],"-",Table1[[#This Row],[SR NO]])</f>
        <v>070812132020-1167</v>
      </c>
    </row>
    <row r="555" spans="1:26" x14ac:dyDescent="0.25">
      <c r="A555" s="73"/>
      <c r="B555" s="42">
        <v>1167</v>
      </c>
      <c r="C555" s="43">
        <v>41128</v>
      </c>
      <c r="D555" s="44" t="s">
        <v>122</v>
      </c>
      <c r="E555" s="76" t="s">
        <v>90</v>
      </c>
      <c r="F555" s="42" t="s">
        <v>1</v>
      </c>
      <c r="G555" s="49" t="s">
        <v>59</v>
      </c>
      <c r="H555" s="45" t="s">
        <v>2832</v>
      </c>
      <c r="I555" s="83" t="s">
        <v>292</v>
      </c>
      <c r="J555" s="52" t="str">
        <f>VLOOKUP(I555,'CONTACT REFERENCE'!$A$2:$P$399,4,FALSE)</f>
        <v>WINDY CITY CUTTING DIE</v>
      </c>
      <c r="K555" s="42"/>
      <c r="L555" s="42">
        <v>135957</v>
      </c>
      <c r="M555" s="41"/>
      <c r="N555" s="41"/>
      <c r="O555" s="47" t="s">
        <v>2846</v>
      </c>
      <c r="P555" s="45" t="s">
        <v>124</v>
      </c>
      <c r="Q555" s="49" t="s">
        <v>120</v>
      </c>
      <c r="R555" s="48">
        <v>110</v>
      </c>
      <c r="S555" s="41" t="s">
        <v>28</v>
      </c>
      <c r="T555" s="84">
        <v>41128</v>
      </c>
      <c r="U555" s="42" t="s">
        <v>2847</v>
      </c>
      <c r="V555" s="21"/>
      <c r="W555" s="78"/>
      <c r="X555" s="15">
        <v>32</v>
      </c>
      <c r="Z555" s="74" t="str">
        <f>CONCATENATE(Table1[[#This Row],[P.R NUMBER]],"-",Table1[[#This Row],[SR NO]])</f>
        <v>070812132020-1167</v>
      </c>
    </row>
    <row r="556" spans="1:26" x14ac:dyDescent="0.25">
      <c r="A556" s="73"/>
      <c r="B556" s="42">
        <v>1167</v>
      </c>
      <c r="C556" s="43">
        <v>41128</v>
      </c>
      <c r="D556" s="44" t="s">
        <v>122</v>
      </c>
      <c r="E556" s="76" t="s">
        <v>90</v>
      </c>
      <c r="F556" s="42" t="s">
        <v>1</v>
      </c>
      <c r="G556" s="49" t="s">
        <v>59</v>
      </c>
      <c r="H556" s="45" t="s">
        <v>2832</v>
      </c>
      <c r="I556" s="83" t="s">
        <v>292</v>
      </c>
      <c r="J556" s="52" t="str">
        <f>VLOOKUP(I556,'CONTACT REFERENCE'!$A$2:$P$399,4,FALSE)</f>
        <v>WINDY CITY CUTTING DIE</v>
      </c>
      <c r="K556" s="42"/>
      <c r="L556" s="42">
        <v>135957</v>
      </c>
      <c r="M556" s="41"/>
      <c r="N556" s="41"/>
      <c r="O556" s="47" t="s">
        <v>2848</v>
      </c>
      <c r="P556" s="45" t="s">
        <v>124</v>
      </c>
      <c r="Q556" s="49" t="s">
        <v>120</v>
      </c>
      <c r="R556" s="48">
        <v>275</v>
      </c>
      <c r="S556" s="41" t="s">
        <v>28</v>
      </c>
      <c r="T556" s="84">
        <v>41128</v>
      </c>
      <c r="U556" s="42" t="s">
        <v>2849</v>
      </c>
      <c r="V556" s="21"/>
      <c r="W556" s="78"/>
      <c r="X556" s="15">
        <v>32</v>
      </c>
      <c r="Z556" s="74" t="str">
        <f>CONCATENATE(Table1[[#This Row],[P.R NUMBER]],"-",Table1[[#This Row],[SR NO]])</f>
        <v>070812132020-1167</v>
      </c>
    </row>
    <row r="557" spans="1:26" x14ac:dyDescent="0.25">
      <c r="A557" s="73"/>
      <c r="B557" s="42">
        <v>1167</v>
      </c>
      <c r="C557" s="43">
        <v>41128</v>
      </c>
      <c r="D557" s="44" t="s">
        <v>122</v>
      </c>
      <c r="E557" s="76" t="s">
        <v>90</v>
      </c>
      <c r="F557" s="42" t="s">
        <v>1</v>
      </c>
      <c r="G557" s="49" t="s">
        <v>59</v>
      </c>
      <c r="H557" s="45" t="s">
        <v>2832</v>
      </c>
      <c r="I557" s="83" t="s">
        <v>292</v>
      </c>
      <c r="J557" s="52" t="str">
        <f>VLOOKUP(I557,'CONTACT REFERENCE'!$A$2:$P$399,4,FALSE)</f>
        <v>WINDY CITY CUTTING DIE</v>
      </c>
      <c r="K557" s="42"/>
      <c r="L557" s="42">
        <v>135957</v>
      </c>
      <c r="M557" s="41"/>
      <c r="N557" s="41"/>
      <c r="O557" s="47" t="s">
        <v>2850</v>
      </c>
      <c r="P557" s="45" t="s">
        <v>124</v>
      </c>
      <c r="Q557" s="49" t="s">
        <v>120</v>
      </c>
      <c r="R557" s="48">
        <v>90</v>
      </c>
      <c r="S557" s="41" t="s">
        <v>28</v>
      </c>
      <c r="T557" s="84">
        <v>41128</v>
      </c>
      <c r="U557" s="42" t="s">
        <v>2851</v>
      </c>
      <c r="V557" s="21"/>
      <c r="W557" s="78"/>
      <c r="X557" s="15">
        <v>32</v>
      </c>
      <c r="Z557" s="74" t="str">
        <f>CONCATENATE(Table1[[#This Row],[P.R NUMBER]],"-",Table1[[#This Row],[SR NO]])</f>
        <v>070812132020-1167</v>
      </c>
    </row>
    <row r="558" spans="1:26" x14ac:dyDescent="0.25">
      <c r="A558" s="73"/>
      <c r="B558" s="42">
        <v>1167</v>
      </c>
      <c r="C558" s="43">
        <v>41128</v>
      </c>
      <c r="D558" s="44" t="s">
        <v>122</v>
      </c>
      <c r="E558" s="76" t="s">
        <v>90</v>
      </c>
      <c r="F558" s="42" t="s">
        <v>1</v>
      </c>
      <c r="G558" s="49" t="s">
        <v>59</v>
      </c>
      <c r="H558" s="45" t="s">
        <v>2832</v>
      </c>
      <c r="I558" s="83" t="s">
        <v>292</v>
      </c>
      <c r="J558" s="52" t="str">
        <f>VLOOKUP(I558,'CONTACT REFERENCE'!$A$2:$P$399,4,FALSE)</f>
        <v>WINDY CITY CUTTING DIE</v>
      </c>
      <c r="K558" s="42"/>
      <c r="L558" s="42">
        <v>135957</v>
      </c>
      <c r="M558" s="41"/>
      <c r="N558" s="41"/>
      <c r="O558" s="47" t="s">
        <v>2852</v>
      </c>
      <c r="P558" s="45" t="s">
        <v>124</v>
      </c>
      <c r="Q558" s="49" t="s">
        <v>120</v>
      </c>
      <c r="R558" s="48">
        <v>110</v>
      </c>
      <c r="S558" s="41" t="s">
        <v>28</v>
      </c>
      <c r="T558" s="84">
        <v>41128</v>
      </c>
      <c r="U558" s="42" t="s">
        <v>2810</v>
      </c>
      <c r="V558" s="21"/>
      <c r="W558" s="78"/>
      <c r="X558" s="15">
        <v>32</v>
      </c>
      <c r="Z558" s="74" t="str">
        <f>CONCATENATE(Table1[[#This Row],[P.R NUMBER]],"-",Table1[[#This Row],[SR NO]])</f>
        <v>070812132020-1167</v>
      </c>
    </row>
    <row r="559" spans="1:26" x14ac:dyDescent="0.25">
      <c r="A559" s="73"/>
      <c r="B559" s="42">
        <v>1167</v>
      </c>
      <c r="C559" s="43">
        <v>41128</v>
      </c>
      <c r="D559" s="44" t="s">
        <v>122</v>
      </c>
      <c r="E559" s="76" t="s">
        <v>90</v>
      </c>
      <c r="F559" s="42" t="s">
        <v>1</v>
      </c>
      <c r="G559" s="49" t="s">
        <v>59</v>
      </c>
      <c r="H559" s="45" t="s">
        <v>2832</v>
      </c>
      <c r="I559" s="83" t="s">
        <v>292</v>
      </c>
      <c r="J559" s="52" t="str">
        <f>VLOOKUP(I559,'CONTACT REFERENCE'!$A$2:$P$399,4,FALSE)</f>
        <v>WINDY CITY CUTTING DIE</v>
      </c>
      <c r="K559" s="42"/>
      <c r="L559" s="42">
        <v>135957</v>
      </c>
      <c r="M559" s="41"/>
      <c r="N559" s="41"/>
      <c r="O559" s="47" t="s">
        <v>175</v>
      </c>
      <c r="P559" s="45" t="s">
        <v>124</v>
      </c>
      <c r="Q559" s="49" t="s">
        <v>120</v>
      </c>
      <c r="R559" s="48">
        <v>35</v>
      </c>
      <c r="S559" s="41" t="s">
        <v>28</v>
      </c>
      <c r="T559" s="84">
        <v>41128</v>
      </c>
      <c r="U559" s="42" t="s">
        <v>2810</v>
      </c>
      <c r="V559" s="21"/>
      <c r="W559" s="78"/>
      <c r="X559" s="15">
        <v>32</v>
      </c>
      <c r="Z559" s="74" t="str">
        <f>CONCATENATE(Table1[[#This Row],[P.R NUMBER]],"-",Table1[[#This Row],[SR NO]])</f>
        <v>070812132020-1167</v>
      </c>
    </row>
    <row r="560" spans="1:26" x14ac:dyDescent="0.25">
      <c r="A560" s="73"/>
      <c r="B560" s="42">
        <v>1168</v>
      </c>
      <c r="C560" s="43">
        <v>41130</v>
      </c>
      <c r="D560" s="44" t="s">
        <v>118</v>
      </c>
      <c r="E560" s="76" t="s">
        <v>90</v>
      </c>
      <c r="F560" s="42" t="s">
        <v>1</v>
      </c>
      <c r="G560" s="49" t="s">
        <v>70</v>
      </c>
      <c r="H560" s="45" t="s">
        <v>2853</v>
      </c>
      <c r="I560" s="83" t="s">
        <v>119</v>
      </c>
      <c r="J560" s="52" t="str">
        <f>VLOOKUP(I560,'CONTACT REFERENCE'!$A$2:$P$399,4,FALSE)</f>
        <v>AL DOBOWI TYRE COMPANY LLC</v>
      </c>
      <c r="K560" s="42" t="s">
        <v>2854</v>
      </c>
      <c r="L560" s="42">
        <v>431142</v>
      </c>
      <c r="M560" s="41" t="s">
        <v>123</v>
      </c>
      <c r="N560" s="41"/>
      <c r="O560" s="47" t="s">
        <v>2855</v>
      </c>
      <c r="P560" s="45" t="s">
        <v>124</v>
      </c>
      <c r="Q560" s="49" t="s">
        <v>120</v>
      </c>
      <c r="R560" s="48">
        <v>325</v>
      </c>
      <c r="S560" s="41" t="s">
        <v>29</v>
      </c>
      <c r="T560" s="107">
        <v>45870</v>
      </c>
      <c r="U560" s="42"/>
      <c r="V560" s="21"/>
      <c r="W560" s="78"/>
      <c r="X560" s="15">
        <v>32</v>
      </c>
      <c r="Z560" s="74" t="str">
        <f>CONCATENATE(Table1[[#This Row],[P.R NUMBER]],"-",Table1[[#This Row],[SR NO]])</f>
        <v>090812252020-1168</v>
      </c>
    </row>
    <row r="561" spans="1:26" x14ac:dyDescent="0.25">
      <c r="A561" s="73"/>
      <c r="B561" s="42">
        <v>1168</v>
      </c>
      <c r="C561" s="43">
        <v>41130</v>
      </c>
      <c r="D561" s="44" t="s">
        <v>118</v>
      </c>
      <c r="E561" s="76" t="s">
        <v>90</v>
      </c>
      <c r="F561" s="42" t="s">
        <v>1</v>
      </c>
      <c r="G561" s="49" t="s">
        <v>70</v>
      </c>
      <c r="H561" s="45" t="s">
        <v>2853</v>
      </c>
      <c r="I561" s="83" t="s">
        <v>119</v>
      </c>
      <c r="J561" s="52" t="str">
        <f>VLOOKUP(I561,'CONTACT REFERENCE'!$A$2:$P$399,4,FALSE)</f>
        <v>AL DOBOWI TYRE COMPANY LLC</v>
      </c>
      <c r="K561" s="42" t="s">
        <v>2854</v>
      </c>
      <c r="L561" s="42">
        <v>431142</v>
      </c>
      <c r="M561" s="41" t="s">
        <v>132</v>
      </c>
      <c r="N561" s="41"/>
      <c r="O561" s="47" t="s">
        <v>2856</v>
      </c>
      <c r="P561" s="45" t="s">
        <v>128</v>
      </c>
      <c r="Q561" s="49" t="s">
        <v>120</v>
      </c>
      <c r="R561" s="48">
        <v>800</v>
      </c>
      <c r="S561" s="41" t="s">
        <v>29</v>
      </c>
      <c r="T561" s="107">
        <v>45870</v>
      </c>
      <c r="U561" s="42"/>
      <c r="V561" s="21"/>
      <c r="W561" s="78"/>
      <c r="X561" s="15">
        <v>32</v>
      </c>
      <c r="Z561" s="74" t="str">
        <f>CONCATENATE(Table1[[#This Row],[P.R NUMBER]],"-",Table1[[#This Row],[SR NO]])</f>
        <v>090812252020-1168</v>
      </c>
    </row>
    <row r="562" spans="1:26" x14ac:dyDescent="0.25">
      <c r="A562" s="73"/>
      <c r="B562" s="42">
        <v>1168</v>
      </c>
      <c r="C562" s="43">
        <v>41130</v>
      </c>
      <c r="D562" s="44" t="s">
        <v>118</v>
      </c>
      <c r="E562" s="76" t="s">
        <v>90</v>
      </c>
      <c r="F562" s="42" t="s">
        <v>1</v>
      </c>
      <c r="G562" s="49" t="s">
        <v>70</v>
      </c>
      <c r="H562" s="45" t="s">
        <v>2853</v>
      </c>
      <c r="I562" s="83" t="s">
        <v>119</v>
      </c>
      <c r="J562" s="52" t="str">
        <f>VLOOKUP(I562,'CONTACT REFERENCE'!$A$2:$P$399,4,FALSE)</f>
        <v>AL DOBOWI TYRE COMPANY LLC</v>
      </c>
      <c r="K562" s="42" t="s">
        <v>2854</v>
      </c>
      <c r="L562" s="42">
        <v>431142</v>
      </c>
      <c r="M562" s="41" t="s">
        <v>132</v>
      </c>
      <c r="N562" s="41"/>
      <c r="O562" s="47" t="s">
        <v>2857</v>
      </c>
      <c r="P562" s="45" t="s">
        <v>137</v>
      </c>
      <c r="Q562" s="49" t="s">
        <v>120</v>
      </c>
      <c r="R562" s="48">
        <v>300</v>
      </c>
      <c r="S562" s="41" t="s">
        <v>29</v>
      </c>
      <c r="T562" s="107">
        <v>45870</v>
      </c>
      <c r="U562" s="42"/>
      <c r="V562" s="21"/>
      <c r="W562" s="78"/>
      <c r="X562" s="15">
        <v>32</v>
      </c>
      <c r="Z562" s="74" t="str">
        <f>CONCATENATE(Table1[[#This Row],[P.R NUMBER]],"-",Table1[[#This Row],[SR NO]])</f>
        <v>090812252020-1168</v>
      </c>
    </row>
    <row r="563" spans="1:26" x14ac:dyDescent="0.25">
      <c r="A563" s="73"/>
      <c r="B563" s="42">
        <v>1169</v>
      </c>
      <c r="C563" s="43">
        <v>41133</v>
      </c>
      <c r="D563" s="44" t="s">
        <v>118</v>
      </c>
      <c r="E563" s="76" t="s">
        <v>91</v>
      </c>
      <c r="F563" s="42" t="s">
        <v>88</v>
      </c>
      <c r="G563" s="49" t="s">
        <v>70</v>
      </c>
      <c r="H563" s="45" t="s">
        <v>2858</v>
      </c>
      <c r="I563" s="83" t="s">
        <v>484</v>
      </c>
      <c r="J563" s="52" t="str">
        <f>VLOOKUP(I563,'CONTACT REFERENCE'!$A$2:$P$399,4,FALSE)</f>
        <v>OMAN INKS AND PRINTING MATERIAL TRADING</v>
      </c>
      <c r="K563" s="42"/>
      <c r="L563" s="42">
        <v>11132</v>
      </c>
      <c r="M563" s="41"/>
      <c r="N563" s="42" t="s">
        <v>171</v>
      </c>
      <c r="O563" s="51" t="s">
        <v>149</v>
      </c>
      <c r="P563" s="45" t="s">
        <v>124</v>
      </c>
      <c r="Q563" s="49" t="s">
        <v>135</v>
      </c>
      <c r="R563" s="48">
        <v>580</v>
      </c>
      <c r="S563" s="41" t="s">
        <v>29</v>
      </c>
      <c r="T563" s="84">
        <v>41136</v>
      </c>
      <c r="U563" s="42"/>
      <c r="V563" s="21"/>
      <c r="W563" s="78"/>
      <c r="X563" s="15">
        <v>32</v>
      </c>
      <c r="Z563" s="74" t="str">
        <f>CONCATENATE(Table1[[#This Row],[P.R NUMBER]],"-",Table1[[#This Row],[SR NO]])</f>
        <v>120812253060-1169</v>
      </c>
    </row>
    <row r="564" spans="1:26" x14ac:dyDescent="0.25">
      <c r="A564" s="73"/>
      <c r="B564" s="42">
        <v>1170</v>
      </c>
      <c r="C564" s="43">
        <v>41251</v>
      </c>
      <c r="D564" s="44" t="s">
        <v>122</v>
      </c>
      <c r="E564" s="76" t="s">
        <v>91</v>
      </c>
      <c r="F564" s="42" t="s">
        <v>85</v>
      </c>
      <c r="G564" s="49" t="s">
        <v>70</v>
      </c>
      <c r="H564" s="45" t="s">
        <v>2859</v>
      </c>
      <c r="I564" s="83" t="s">
        <v>276</v>
      </c>
      <c r="J564" s="52" t="str">
        <f>VLOOKUP(I564,'CONTACT REFERENCE'!$A$2:$P$399,4,FALSE)</f>
        <v>BEST CUTTING DIE COMPANY</v>
      </c>
      <c r="K564" s="42"/>
      <c r="L564" s="42">
        <v>44205</v>
      </c>
      <c r="M564" s="41" t="s">
        <v>123</v>
      </c>
      <c r="N564" s="41"/>
      <c r="O564" s="47" t="s">
        <v>2860</v>
      </c>
      <c r="P564" s="45" t="s">
        <v>124</v>
      </c>
      <c r="Q564" s="49" t="s">
        <v>120</v>
      </c>
      <c r="R564" s="48">
        <v>105</v>
      </c>
      <c r="S564" s="41" t="s">
        <v>28</v>
      </c>
      <c r="T564" s="107">
        <v>46235</v>
      </c>
      <c r="U564" s="42" t="s">
        <v>2861</v>
      </c>
      <c r="V564" s="21"/>
      <c r="W564" s="78"/>
      <c r="X564" s="15">
        <v>33</v>
      </c>
      <c r="Z564" s="74" t="str">
        <f>CONCATENATE(Table1[[#This Row],[P.R NUMBER]],"-",Table1[[#This Row],[SR NO]])</f>
        <v>120812253030-1170</v>
      </c>
    </row>
    <row r="565" spans="1:26" x14ac:dyDescent="0.25">
      <c r="A565" s="73"/>
      <c r="B565" s="42">
        <v>1170</v>
      </c>
      <c r="C565" s="43">
        <v>41251</v>
      </c>
      <c r="D565" s="44" t="s">
        <v>122</v>
      </c>
      <c r="E565" s="76" t="s">
        <v>91</v>
      </c>
      <c r="F565" s="42" t="s">
        <v>85</v>
      </c>
      <c r="G565" s="49" t="s">
        <v>70</v>
      </c>
      <c r="H565" s="45" t="s">
        <v>2859</v>
      </c>
      <c r="I565" s="83" t="s">
        <v>276</v>
      </c>
      <c r="J565" s="52" t="str">
        <f>VLOOKUP(I565,'CONTACT REFERENCE'!$A$2:$P$399,4,FALSE)</f>
        <v>BEST CUTTING DIE COMPANY</v>
      </c>
      <c r="K565" s="42"/>
      <c r="L565" s="42">
        <v>44205</v>
      </c>
      <c r="M565" s="41" t="s">
        <v>123</v>
      </c>
      <c r="N565" s="41"/>
      <c r="O565" s="47" t="s">
        <v>2862</v>
      </c>
      <c r="P565" s="45" t="s">
        <v>124</v>
      </c>
      <c r="Q565" s="49" t="s">
        <v>120</v>
      </c>
      <c r="R565" s="48">
        <v>189</v>
      </c>
      <c r="S565" s="41" t="s">
        <v>28</v>
      </c>
      <c r="T565" s="107">
        <v>46235</v>
      </c>
      <c r="U565" s="42" t="s">
        <v>2861</v>
      </c>
      <c r="V565" s="21"/>
      <c r="W565" s="78"/>
      <c r="X565" s="15">
        <v>33</v>
      </c>
      <c r="Z565" s="74" t="str">
        <f>CONCATENATE(Table1[[#This Row],[P.R NUMBER]],"-",Table1[[#This Row],[SR NO]])</f>
        <v>120812253030-1170</v>
      </c>
    </row>
    <row r="566" spans="1:26" x14ac:dyDescent="0.25">
      <c r="A566" s="73"/>
      <c r="B566" s="42">
        <v>1170</v>
      </c>
      <c r="C566" s="43">
        <v>41251</v>
      </c>
      <c r="D566" s="44" t="s">
        <v>122</v>
      </c>
      <c r="E566" s="76" t="s">
        <v>91</v>
      </c>
      <c r="F566" s="42" t="s">
        <v>85</v>
      </c>
      <c r="G566" s="49" t="s">
        <v>70</v>
      </c>
      <c r="H566" s="45" t="s">
        <v>2859</v>
      </c>
      <c r="I566" s="83" t="s">
        <v>276</v>
      </c>
      <c r="J566" s="52" t="str">
        <f>VLOOKUP(I566,'CONTACT REFERENCE'!$A$2:$P$399,4,FALSE)</f>
        <v>BEST CUTTING DIE COMPANY</v>
      </c>
      <c r="K566" s="42"/>
      <c r="L566" s="42">
        <v>44205</v>
      </c>
      <c r="M566" s="41" t="s">
        <v>123</v>
      </c>
      <c r="N566" s="41"/>
      <c r="O566" s="47" t="s">
        <v>2863</v>
      </c>
      <c r="P566" s="45" t="s">
        <v>124</v>
      </c>
      <c r="Q566" s="49" t="s">
        <v>120</v>
      </c>
      <c r="R566" s="48">
        <v>189</v>
      </c>
      <c r="S566" s="41" t="s">
        <v>28</v>
      </c>
      <c r="T566" s="107">
        <v>46235</v>
      </c>
      <c r="U566" s="42" t="s">
        <v>2861</v>
      </c>
      <c r="V566" s="21"/>
      <c r="W566" s="78"/>
      <c r="X566" s="15">
        <v>33</v>
      </c>
      <c r="Z566" s="74" t="str">
        <f>CONCATENATE(Table1[[#This Row],[P.R NUMBER]],"-",Table1[[#This Row],[SR NO]])</f>
        <v>120812253030-1170</v>
      </c>
    </row>
    <row r="567" spans="1:26" x14ac:dyDescent="0.25">
      <c r="A567" s="73"/>
      <c r="B567" s="42">
        <v>1170</v>
      </c>
      <c r="C567" s="43">
        <v>41251</v>
      </c>
      <c r="D567" s="44" t="s">
        <v>122</v>
      </c>
      <c r="E567" s="76" t="s">
        <v>91</v>
      </c>
      <c r="F567" s="42" t="s">
        <v>85</v>
      </c>
      <c r="G567" s="49" t="s">
        <v>70</v>
      </c>
      <c r="H567" s="45" t="s">
        <v>2859</v>
      </c>
      <c r="I567" s="83" t="s">
        <v>276</v>
      </c>
      <c r="J567" s="52" t="str">
        <f>VLOOKUP(I567,'CONTACT REFERENCE'!$A$2:$P$399,4,FALSE)</f>
        <v>BEST CUTTING DIE COMPANY</v>
      </c>
      <c r="K567" s="42"/>
      <c r="L567" s="42">
        <v>44205</v>
      </c>
      <c r="M567" s="41" t="s">
        <v>123</v>
      </c>
      <c r="N567" s="41"/>
      <c r="O567" s="47" t="s">
        <v>2789</v>
      </c>
      <c r="P567" s="45" t="s">
        <v>124</v>
      </c>
      <c r="Q567" s="49" t="s">
        <v>120</v>
      </c>
      <c r="R567" s="48">
        <v>189</v>
      </c>
      <c r="S567" s="41" t="s">
        <v>28</v>
      </c>
      <c r="T567" s="107">
        <v>46235</v>
      </c>
      <c r="U567" s="42" t="s">
        <v>2861</v>
      </c>
      <c r="V567" s="21"/>
      <c r="W567" s="78"/>
      <c r="X567" s="15">
        <v>33</v>
      </c>
      <c r="Z567" s="74" t="str">
        <f>CONCATENATE(Table1[[#This Row],[P.R NUMBER]],"-",Table1[[#This Row],[SR NO]])</f>
        <v>120812253030-1170</v>
      </c>
    </row>
    <row r="568" spans="1:26" x14ac:dyDescent="0.25">
      <c r="A568" s="73"/>
      <c r="B568" s="42">
        <v>1170</v>
      </c>
      <c r="C568" s="43">
        <v>41251</v>
      </c>
      <c r="D568" s="44" t="s">
        <v>122</v>
      </c>
      <c r="E568" s="76" t="s">
        <v>91</v>
      </c>
      <c r="F568" s="42" t="s">
        <v>85</v>
      </c>
      <c r="G568" s="49" t="s">
        <v>70</v>
      </c>
      <c r="H568" s="45" t="s">
        <v>2859</v>
      </c>
      <c r="I568" s="83" t="s">
        <v>276</v>
      </c>
      <c r="J568" s="52" t="str">
        <f>VLOOKUP(I568,'CONTACT REFERENCE'!$A$2:$P$399,4,FALSE)</f>
        <v>BEST CUTTING DIE COMPANY</v>
      </c>
      <c r="K568" s="42"/>
      <c r="L568" s="42">
        <v>44205</v>
      </c>
      <c r="M568" s="41" t="s">
        <v>123</v>
      </c>
      <c r="N568" s="41"/>
      <c r="O568" s="47" t="s">
        <v>2864</v>
      </c>
      <c r="P568" s="45" t="s">
        <v>124</v>
      </c>
      <c r="Q568" s="49" t="s">
        <v>120</v>
      </c>
      <c r="R568" s="48">
        <v>189</v>
      </c>
      <c r="S568" s="41" t="s">
        <v>28</v>
      </c>
      <c r="T568" s="107">
        <v>46235</v>
      </c>
      <c r="U568" s="42" t="s">
        <v>2861</v>
      </c>
      <c r="V568" s="21"/>
      <c r="W568" s="78"/>
      <c r="X568" s="15">
        <v>33</v>
      </c>
      <c r="Z568" s="74" t="str">
        <f>CONCATENATE(Table1[[#This Row],[P.R NUMBER]],"-",Table1[[#This Row],[SR NO]])</f>
        <v>120812253030-1170</v>
      </c>
    </row>
    <row r="569" spans="1:26" x14ac:dyDescent="0.25">
      <c r="A569" s="73"/>
      <c r="B569" s="42">
        <v>1170</v>
      </c>
      <c r="C569" s="43">
        <v>41251</v>
      </c>
      <c r="D569" s="44" t="s">
        <v>122</v>
      </c>
      <c r="E569" s="76" t="s">
        <v>91</v>
      </c>
      <c r="F569" s="42" t="s">
        <v>85</v>
      </c>
      <c r="G569" s="49" t="s">
        <v>70</v>
      </c>
      <c r="H569" s="45" t="s">
        <v>2859</v>
      </c>
      <c r="I569" s="83" t="s">
        <v>276</v>
      </c>
      <c r="J569" s="52" t="str">
        <f>VLOOKUP(I569,'CONTACT REFERENCE'!$A$2:$P$399,4,FALSE)</f>
        <v>BEST CUTTING DIE COMPANY</v>
      </c>
      <c r="K569" s="42"/>
      <c r="L569" s="42">
        <v>44205</v>
      </c>
      <c r="M569" s="41" t="s">
        <v>123</v>
      </c>
      <c r="N569" s="41"/>
      <c r="O569" s="47" t="s">
        <v>2865</v>
      </c>
      <c r="P569" s="45" t="s">
        <v>141</v>
      </c>
      <c r="Q569" s="49" t="s">
        <v>120</v>
      </c>
      <c r="R569" s="48">
        <f>4*44</f>
        <v>176</v>
      </c>
      <c r="S569" s="41" t="s">
        <v>28</v>
      </c>
      <c r="T569" s="107">
        <v>46235</v>
      </c>
      <c r="U569" s="42" t="s">
        <v>2861</v>
      </c>
      <c r="V569" s="21"/>
      <c r="W569" s="78"/>
      <c r="X569" s="15">
        <v>33</v>
      </c>
      <c r="Z569" s="74" t="str">
        <f>CONCATENATE(Table1[[#This Row],[P.R NUMBER]],"-",Table1[[#This Row],[SR NO]])</f>
        <v>120812253030-1170</v>
      </c>
    </row>
    <row r="570" spans="1:26" x14ac:dyDescent="0.25">
      <c r="A570" s="73"/>
      <c r="B570" s="42">
        <v>1171</v>
      </c>
      <c r="C570" s="43">
        <v>41137</v>
      </c>
      <c r="D570" s="44" t="s">
        <v>122</v>
      </c>
      <c r="E570" s="76" t="s">
        <v>90</v>
      </c>
      <c r="F570" s="42" t="s">
        <v>1</v>
      </c>
      <c r="G570" s="49" t="s">
        <v>70</v>
      </c>
      <c r="H570" s="45" t="s">
        <v>2866</v>
      </c>
      <c r="I570" s="83" t="s">
        <v>1720</v>
      </c>
      <c r="J570" s="52" t="str">
        <f>VLOOKUP(I570,'CONTACT REFERENCE'!$A$2:$P$399,4,FALSE)</f>
        <v>AMERICAN HOLT CORP</v>
      </c>
      <c r="K570" s="42" t="s">
        <v>2867</v>
      </c>
      <c r="L570" s="42">
        <v>69686</v>
      </c>
      <c r="M570" s="41"/>
      <c r="N570" s="41"/>
      <c r="O570" s="47" t="s">
        <v>2868</v>
      </c>
      <c r="P570" s="45" t="s">
        <v>1868</v>
      </c>
      <c r="Q570" s="49" t="s">
        <v>120</v>
      </c>
      <c r="R570" s="48">
        <f>2.75*60</f>
        <v>165</v>
      </c>
      <c r="S570" s="41" t="s">
        <v>28</v>
      </c>
      <c r="T570" s="84">
        <v>41143</v>
      </c>
      <c r="U570" s="42" t="s">
        <v>2869</v>
      </c>
      <c r="V570" s="21"/>
      <c r="W570" s="78"/>
      <c r="X570" s="15">
        <v>33</v>
      </c>
      <c r="Z570" s="74" t="str">
        <f>CONCATENATE(Table1[[#This Row],[P.R NUMBER]],"-",Table1[[#This Row],[SR NO]])</f>
        <v>160812252020-1171</v>
      </c>
    </row>
    <row r="571" spans="1:26" x14ac:dyDescent="0.25">
      <c r="A571" s="73"/>
      <c r="B571" s="42">
        <v>1171</v>
      </c>
      <c r="C571" s="43">
        <v>41137</v>
      </c>
      <c r="D571" s="44" t="s">
        <v>122</v>
      </c>
      <c r="E571" s="76" t="s">
        <v>90</v>
      </c>
      <c r="F571" s="42" t="s">
        <v>1</v>
      </c>
      <c r="G571" s="49" t="s">
        <v>70</v>
      </c>
      <c r="H571" s="45" t="s">
        <v>2866</v>
      </c>
      <c r="I571" s="83" t="s">
        <v>1720</v>
      </c>
      <c r="J571" s="52" t="str">
        <f>VLOOKUP(I571,'CONTACT REFERENCE'!$A$2:$P$399,4,FALSE)</f>
        <v>AMERICAN HOLT CORP</v>
      </c>
      <c r="K571" s="42" t="s">
        <v>2867</v>
      </c>
      <c r="L571" s="42">
        <v>69686</v>
      </c>
      <c r="M571" s="41"/>
      <c r="N571" s="41"/>
      <c r="O571" s="47" t="s">
        <v>2870</v>
      </c>
      <c r="P571" s="45" t="s">
        <v>136</v>
      </c>
      <c r="Q571" s="49" t="s">
        <v>120</v>
      </c>
      <c r="R571" s="48">
        <f>2*68</f>
        <v>136</v>
      </c>
      <c r="S571" s="41" t="s">
        <v>28</v>
      </c>
      <c r="T571" s="84">
        <v>41143</v>
      </c>
      <c r="U571" s="42" t="s">
        <v>2869</v>
      </c>
      <c r="V571" s="21"/>
      <c r="W571" s="78"/>
      <c r="X571" s="15">
        <v>33</v>
      </c>
      <c r="Z571" s="74" t="str">
        <f>CONCATENATE(Table1[[#This Row],[P.R NUMBER]],"-",Table1[[#This Row],[SR NO]])</f>
        <v>160812252020-1171</v>
      </c>
    </row>
    <row r="572" spans="1:26" x14ac:dyDescent="0.25">
      <c r="A572" s="73"/>
      <c r="B572" s="42">
        <v>1171</v>
      </c>
      <c r="C572" s="43">
        <v>41137</v>
      </c>
      <c r="D572" s="44" t="s">
        <v>122</v>
      </c>
      <c r="E572" s="76" t="s">
        <v>90</v>
      </c>
      <c r="F572" s="42" t="s">
        <v>1</v>
      </c>
      <c r="G572" s="49" t="s">
        <v>70</v>
      </c>
      <c r="H572" s="45" t="s">
        <v>2866</v>
      </c>
      <c r="I572" s="83" t="s">
        <v>1720</v>
      </c>
      <c r="J572" s="52" t="str">
        <f>VLOOKUP(I572,'CONTACT REFERENCE'!$A$2:$P$399,4,FALSE)</f>
        <v>AMERICAN HOLT CORP</v>
      </c>
      <c r="K572" s="42" t="s">
        <v>2867</v>
      </c>
      <c r="L572" s="42">
        <v>69686</v>
      </c>
      <c r="M572" s="41"/>
      <c r="N572" s="41"/>
      <c r="O572" s="47" t="s">
        <v>2871</v>
      </c>
      <c r="P572" s="45" t="s">
        <v>124</v>
      </c>
      <c r="Q572" s="49" t="s">
        <v>120</v>
      </c>
      <c r="R572" s="48">
        <v>325</v>
      </c>
      <c r="S572" s="41" t="s">
        <v>28</v>
      </c>
      <c r="T572" s="84">
        <v>41143</v>
      </c>
      <c r="U572" s="42" t="s">
        <v>2869</v>
      </c>
      <c r="V572" s="21"/>
      <c r="W572" s="78"/>
      <c r="X572" s="15">
        <v>33</v>
      </c>
      <c r="Z572" s="74" t="str">
        <f>CONCATENATE(Table1[[#This Row],[P.R NUMBER]],"-",Table1[[#This Row],[SR NO]])</f>
        <v>160812252020-1171</v>
      </c>
    </row>
    <row r="573" spans="1:26" x14ac:dyDescent="0.25">
      <c r="A573" s="73"/>
      <c r="B573" s="42">
        <v>1172</v>
      </c>
      <c r="C573" s="43">
        <v>41137</v>
      </c>
      <c r="D573" s="44" t="s">
        <v>118</v>
      </c>
      <c r="E573" s="76" t="s">
        <v>90</v>
      </c>
      <c r="F573" s="42" t="s">
        <v>1</v>
      </c>
      <c r="G573" s="49" t="s">
        <v>69</v>
      </c>
      <c r="H573" s="45" t="s">
        <v>2872</v>
      </c>
      <c r="I573" s="83" t="s">
        <v>538</v>
      </c>
      <c r="J573" s="52" t="str">
        <f>VLOOKUP(I573,'CONTACT REFERENCE'!$A$2:$P$399,4,FALSE)</f>
        <v>BOODAI TRADING COMPANY LLC</v>
      </c>
      <c r="K573" s="42"/>
      <c r="L573" s="42" t="s">
        <v>2873</v>
      </c>
      <c r="M573" s="41"/>
      <c r="N573" s="41"/>
      <c r="O573" s="47" t="s">
        <v>2874</v>
      </c>
      <c r="P573" s="45" t="s">
        <v>124</v>
      </c>
      <c r="Q573" s="49" t="s">
        <v>2476</v>
      </c>
      <c r="R573" s="48">
        <v>1300</v>
      </c>
      <c r="S573" s="41" t="s">
        <v>29</v>
      </c>
      <c r="T573" s="84">
        <v>41136</v>
      </c>
      <c r="U573" s="42"/>
      <c r="V573" s="21"/>
      <c r="W573" s="78"/>
      <c r="X573" s="15">
        <v>33</v>
      </c>
      <c r="Z573" s="74" t="str">
        <f>CONCATENATE(Table1[[#This Row],[P.R NUMBER]],"-",Table1[[#This Row],[SR NO]])</f>
        <v>160812242020-1172</v>
      </c>
    </row>
    <row r="574" spans="1:26" x14ac:dyDescent="0.25">
      <c r="A574" s="73"/>
      <c r="B574" s="42">
        <v>1173</v>
      </c>
      <c r="C574" s="43">
        <v>41137</v>
      </c>
      <c r="D574" s="44" t="s">
        <v>122</v>
      </c>
      <c r="E574" s="76" t="s">
        <v>90</v>
      </c>
      <c r="F574" s="42" t="s">
        <v>1</v>
      </c>
      <c r="G574" s="49" t="s">
        <v>70</v>
      </c>
      <c r="H574" s="45" t="s">
        <v>2866</v>
      </c>
      <c r="I574" s="83" t="s">
        <v>298</v>
      </c>
      <c r="J574" s="52" t="str">
        <f>VLOOKUP(I574,'CONTACT REFERENCE'!$A$2:$P$399,4,FALSE)</f>
        <v>WINKLER+DUNNEBIER AG</v>
      </c>
      <c r="K574" s="42">
        <v>4086396</v>
      </c>
      <c r="L574" s="42">
        <v>20436852</v>
      </c>
      <c r="M574" s="41"/>
      <c r="N574" s="41"/>
      <c r="O574" s="47" t="s">
        <v>2875</v>
      </c>
      <c r="P574" s="45" t="s">
        <v>124</v>
      </c>
      <c r="Q574" s="49" t="s">
        <v>120</v>
      </c>
      <c r="R574" s="48">
        <v>435.42</v>
      </c>
      <c r="S574" s="41" t="s">
        <v>125</v>
      </c>
      <c r="T574" s="84">
        <v>41143</v>
      </c>
      <c r="U574" s="42" t="s">
        <v>2876</v>
      </c>
      <c r="V574" s="21"/>
      <c r="W574" s="78"/>
      <c r="X574" s="15">
        <v>33</v>
      </c>
      <c r="Z574" s="74" t="str">
        <f>CONCATENATE(Table1[[#This Row],[P.R NUMBER]],"-",Table1[[#This Row],[SR NO]])</f>
        <v>160812252020-1173</v>
      </c>
    </row>
    <row r="575" spans="1:26" x14ac:dyDescent="0.25">
      <c r="A575" s="73"/>
      <c r="B575" s="42">
        <v>1173</v>
      </c>
      <c r="C575" s="43">
        <v>41137</v>
      </c>
      <c r="D575" s="44" t="s">
        <v>122</v>
      </c>
      <c r="E575" s="76" t="s">
        <v>90</v>
      </c>
      <c r="F575" s="42" t="s">
        <v>1</v>
      </c>
      <c r="G575" s="49" t="s">
        <v>70</v>
      </c>
      <c r="H575" s="45" t="s">
        <v>2866</v>
      </c>
      <c r="I575" s="83" t="s">
        <v>298</v>
      </c>
      <c r="J575" s="52" t="str">
        <f>VLOOKUP(I575,'CONTACT REFERENCE'!$A$2:$P$399,4,FALSE)</f>
        <v>WINKLER+DUNNEBIER AG</v>
      </c>
      <c r="K575" s="42">
        <v>4086396</v>
      </c>
      <c r="L575" s="42">
        <v>20436852</v>
      </c>
      <c r="M575" s="41"/>
      <c r="N575" s="41"/>
      <c r="O575" s="47" t="s">
        <v>2877</v>
      </c>
      <c r="P575" s="45" t="s">
        <v>144</v>
      </c>
      <c r="Q575" s="49" t="s">
        <v>120</v>
      </c>
      <c r="R575" s="48">
        <f>12*9.44</f>
        <v>113.28</v>
      </c>
      <c r="S575" s="41" t="s">
        <v>125</v>
      </c>
      <c r="T575" s="84">
        <v>41143</v>
      </c>
      <c r="U575" s="42" t="s">
        <v>2876</v>
      </c>
      <c r="V575" s="21"/>
      <c r="W575" s="78"/>
      <c r="X575" s="15">
        <v>33</v>
      </c>
      <c r="Z575" s="74" t="str">
        <f>CONCATENATE(Table1[[#This Row],[P.R NUMBER]],"-",Table1[[#This Row],[SR NO]])</f>
        <v>160812252020-1173</v>
      </c>
    </row>
    <row r="576" spans="1:26" x14ac:dyDescent="0.25">
      <c r="A576" s="73"/>
      <c r="B576" s="42">
        <v>1174</v>
      </c>
      <c r="C576" s="43">
        <v>41138</v>
      </c>
      <c r="D576" s="44" t="s">
        <v>122</v>
      </c>
      <c r="E576" s="76" t="s">
        <v>89</v>
      </c>
      <c r="F576" s="42" t="s">
        <v>2638</v>
      </c>
      <c r="G576" s="49" t="s">
        <v>79</v>
      </c>
      <c r="H576" s="45" t="s">
        <v>2878</v>
      </c>
      <c r="I576" s="83" t="s">
        <v>292</v>
      </c>
      <c r="J576" s="52" t="str">
        <f>VLOOKUP(I576,'CONTACT REFERENCE'!$A$2:$P$399,4,FALSE)</f>
        <v>WINDY CITY CUTTING DIE</v>
      </c>
      <c r="K576" s="42" t="s">
        <v>2674</v>
      </c>
      <c r="L576" s="42"/>
      <c r="M576" s="41"/>
      <c r="N576" s="41"/>
      <c r="O576" s="47" t="s">
        <v>2879</v>
      </c>
      <c r="P576" s="45" t="s">
        <v>124</v>
      </c>
      <c r="Q576" s="49" t="s">
        <v>120</v>
      </c>
      <c r="R576" s="48">
        <v>280</v>
      </c>
      <c r="S576" s="41" t="s">
        <v>28</v>
      </c>
      <c r="T576" s="42"/>
      <c r="U576" s="42"/>
      <c r="V576" s="21"/>
      <c r="W576" s="78"/>
      <c r="X576" s="15">
        <v>33</v>
      </c>
      <c r="Z576" s="74" t="str">
        <f>CONCATENATE(Table1[[#This Row],[P.R NUMBER]],"-",Table1[[#This Row],[SR NO]])</f>
        <v>170812341040-1174</v>
      </c>
    </row>
    <row r="577" spans="1:26" x14ac:dyDescent="0.25">
      <c r="A577" s="73"/>
      <c r="B577" s="42">
        <v>1175</v>
      </c>
      <c r="C577" s="43">
        <v>41146</v>
      </c>
      <c r="D577" s="44" t="s">
        <v>122</v>
      </c>
      <c r="E577" s="76" t="s">
        <v>90</v>
      </c>
      <c r="F577" s="42" t="s">
        <v>1</v>
      </c>
      <c r="G577" s="49" t="s">
        <v>70</v>
      </c>
      <c r="H577" s="45" t="s">
        <v>2880</v>
      </c>
      <c r="I577" s="83" t="s">
        <v>253</v>
      </c>
      <c r="J577" s="52" t="str">
        <f>VLOOKUP(I577,'CONTACT REFERENCE'!$A$2:$P$399,4,FALSE)</f>
        <v>SURE TACK SYSTEMS (DIVISION OF CRIST CO)</v>
      </c>
      <c r="K577" s="42"/>
      <c r="L577" s="42"/>
      <c r="M577" s="41"/>
      <c r="N577" s="41"/>
      <c r="O577" s="47" t="s">
        <v>2256</v>
      </c>
      <c r="P577" s="45" t="s">
        <v>180</v>
      </c>
      <c r="Q577" s="49" t="s">
        <v>120</v>
      </c>
      <c r="R577" s="48">
        <f>24*9.35</f>
        <v>224.39999999999998</v>
      </c>
      <c r="S577" s="41" t="s">
        <v>28</v>
      </c>
      <c r="T577" s="42"/>
      <c r="U577" s="42"/>
      <c r="V577" s="21"/>
      <c r="W577" s="78"/>
      <c r="X577" s="15">
        <v>34</v>
      </c>
      <c r="Z577" s="74" t="str">
        <f>CONCATENATE(Table1[[#This Row],[P.R NUMBER]],"-",Table1[[#This Row],[SR NO]])</f>
        <v>240812252020-1175</v>
      </c>
    </row>
    <row r="578" spans="1:26" x14ac:dyDescent="0.25">
      <c r="A578" s="73"/>
      <c r="B578" s="42">
        <v>1175</v>
      </c>
      <c r="C578" s="43">
        <v>41146</v>
      </c>
      <c r="D578" s="44" t="s">
        <v>122</v>
      </c>
      <c r="E578" s="76" t="s">
        <v>90</v>
      </c>
      <c r="F578" s="42" t="s">
        <v>1</v>
      </c>
      <c r="G578" s="49" t="s">
        <v>70</v>
      </c>
      <c r="H578" s="45" t="s">
        <v>2880</v>
      </c>
      <c r="I578" s="83" t="s">
        <v>253</v>
      </c>
      <c r="J578" s="52" t="str">
        <f>VLOOKUP(I578,'CONTACT REFERENCE'!$A$2:$P$399,4,FALSE)</f>
        <v>SURE TACK SYSTEMS (DIVISION OF CRIST CO)</v>
      </c>
      <c r="K578" s="42"/>
      <c r="L578" s="42"/>
      <c r="M578" s="41"/>
      <c r="N578" s="41"/>
      <c r="O578" s="47" t="s">
        <v>1923</v>
      </c>
      <c r="P578" s="45" t="s">
        <v>137</v>
      </c>
      <c r="Q578" s="49" t="s">
        <v>120</v>
      </c>
      <c r="R578" s="48">
        <f>3*80</f>
        <v>240</v>
      </c>
      <c r="S578" s="41" t="s">
        <v>28</v>
      </c>
      <c r="T578" s="42"/>
      <c r="U578" s="42"/>
      <c r="V578" s="21"/>
      <c r="W578" s="78"/>
      <c r="X578" s="15">
        <v>34</v>
      </c>
      <c r="Z578" s="74" t="str">
        <f>CONCATENATE(Table1[[#This Row],[P.R NUMBER]],"-",Table1[[#This Row],[SR NO]])</f>
        <v>240812252020-1175</v>
      </c>
    </row>
    <row r="579" spans="1:26" x14ac:dyDescent="0.25">
      <c r="A579" s="73"/>
      <c r="B579" s="42">
        <v>1176</v>
      </c>
      <c r="C579" s="43">
        <v>41147</v>
      </c>
      <c r="D579" s="44" t="s">
        <v>118</v>
      </c>
      <c r="E579" s="76" t="s">
        <v>90</v>
      </c>
      <c r="F579" s="42" t="s">
        <v>1</v>
      </c>
      <c r="G579" s="49" t="s">
        <v>62</v>
      </c>
      <c r="H579" s="45" t="s">
        <v>2881</v>
      </c>
      <c r="I579" s="83" t="s">
        <v>417</v>
      </c>
      <c r="J579" s="52" t="str">
        <f>VLOOKUP(I579,'CONTACT REFERENCE'!$A$2:$P$399,4,FALSE)</f>
        <v>AL BONY PRINTING PRESS</v>
      </c>
      <c r="K579" s="42"/>
      <c r="L579" s="42" t="s">
        <v>2882</v>
      </c>
      <c r="M579" s="41"/>
      <c r="N579" s="41"/>
      <c r="O579" s="47" t="s">
        <v>200</v>
      </c>
      <c r="P579" s="45" t="s">
        <v>124</v>
      </c>
      <c r="Q579" s="49" t="s">
        <v>140</v>
      </c>
      <c r="R579" s="48">
        <v>510</v>
      </c>
      <c r="S579" s="41" t="s">
        <v>29</v>
      </c>
      <c r="T579" s="42"/>
      <c r="U579" s="42"/>
      <c r="V579" s="21"/>
      <c r="W579" s="78"/>
      <c r="X579" s="15">
        <v>34</v>
      </c>
      <c r="Z579" s="74" t="str">
        <f>CONCATENATE(Table1[[#This Row],[P.R NUMBER]],"-",Table1[[#This Row],[SR NO]])</f>
        <v>270812162020-1176</v>
      </c>
    </row>
    <row r="580" spans="1:26" x14ac:dyDescent="0.25">
      <c r="A580" s="73"/>
      <c r="B580" s="42">
        <v>1177</v>
      </c>
      <c r="C580" s="43">
        <v>41149</v>
      </c>
      <c r="D580" s="44" t="s">
        <v>118</v>
      </c>
      <c r="E580" s="76" t="s">
        <v>90</v>
      </c>
      <c r="F580" s="42" t="s">
        <v>1</v>
      </c>
      <c r="G580" s="49" t="s">
        <v>51</v>
      </c>
      <c r="H580" s="45" t="s">
        <v>2883</v>
      </c>
      <c r="I580" s="83" t="s">
        <v>460</v>
      </c>
      <c r="J580" s="52" t="str">
        <f>VLOOKUP(I580,'CONTACT REFERENCE'!$A$2:$P$399,4,FALSE)</f>
        <v>A-1 ENGINEERING</v>
      </c>
      <c r="K580" s="42">
        <v>6158</v>
      </c>
      <c r="L580" s="42">
        <v>9183</v>
      </c>
      <c r="M580" s="41"/>
      <c r="N580" s="41"/>
      <c r="O580" s="47" t="s">
        <v>2884</v>
      </c>
      <c r="P580" s="45" t="s">
        <v>141</v>
      </c>
      <c r="Q580" s="49" t="s">
        <v>120</v>
      </c>
      <c r="R580" s="48">
        <v>180</v>
      </c>
      <c r="S580" s="41" t="s">
        <v>29</v>
      </c>
      <c r="T580" s="84">
        <v>41160</v>
      </c>
      <c r="U580" s="42"/>
      <c r="V580" s="21"/>
      <c r="W580" s="78"/>
      <c r="X580" s="15">
        <v>35</v>
      </c>
      <c r="Z580" s="74" t="str">
        <f>CONCATENATE(Table1[[#This Row],[P.R NUMBER]],"-",Table1[[#This Row],[SR NO]])</f>
        <v>280812042020-1177</v>
      </c>
    </row>
    <row r="581" spans="1:26" x14ac:dyDescent="0.25">
      <c r="A581" s="73"/>
      <c r="B581" s="42">
        <v>1177</v>
      </c>
      <c r="C581" s="43">
        <v>41149</v>
      </c>
      <c r="D581" s="44" t="s">
        <v>118</v>
      </c>
      <c r="E581" s="76" t="s">
        <v>90</v>
      </c>
      <c r="F581" s="42" t="s">
        <v>1</v>
      </c>
      <c r="G581" s="49" t="s">
        <v>51</v>
      </c>
      <c r="H581" s="45" t="s">
        <v>2883</v>
      </c>
      <c r="I581" s="83" t="s">
        <v>460</v>
      </c>
      <c r="J581" s="52" t="str">
        <f>VLOOKUP(I581,'CONTACT REFERENCE'!$A$2:$P$399,4,FALSE)</f>
        <v>A-1 ENGINEERING</v>
      </c>
      <c r="K581" s="42">
        <v>6158</v>
      </c>
      <c r="L581" s="42">
        <v>9183</v>
      </c>
      <c r="M581" s="41"/>
      <c r="N581" s="41"/>
      <c r="O581" s="47" t="s">
        <v>2885</v>
      </c>
      <c r="P581" s="45" t="s">
        <v>126</v>
      </c>
      <c r="Q581" s="49" t="s">
        <v>120</v>
      </c>
      <c r="R581" s="48">
        <v>1750</v>
      </c>
      <c r="S581" s="41" t="s">
        <v>29</v>
      </c>
      <c r="T581" s="84">
        <v>41160</v>
      </c>
      <c r="U581" s="42"/>
      <c r="V581" s="21"/>
      <c r="W581" s="78"/>
      <c r="X581" s="15">
        <v>35</v>
      </c>
      <c r="Z581" s="74" t="str">
        <f>CONCATENATE(Table1[[#This Row],[P.R NUMBER]],"-",Table1[[#This Row],[SR NO]])</f>
        <v>280812042020-1177</v>
      </c>
    </row>
    <row r="582" spans="1:26" x14ac:dyDescent="0.25">
      <c r="A582" s="73"/>
      <c r="B582" s="42">
        <v>1178</v>
      </c>
      <c r="C582" s="43">
        <v>41149</v>
      </c>
      <c r="D582" s="44" t="s">
        <v>118</v>
      </c>
      <c r="E582" s="76" t="s">
        <v>90</v>
      </c>
      <c r="F582" s="42" t="s">
        <v>1</v>
      </c>
      <c r="G582" s="49" t="s">
        <v>70</v>
      </c>
      <c r="H582" s="45" t="s">
        <v>2886</v>
      </c>
      <c r="I582" s="83" t="s">
        <v>341</v>
      </c>
      <c r="J582" s="52" t="str">
        <f>VLOOKUP(I582,'CONTACT REFERENCE'!$A$2:$P$399,4,FALSE)</f>
        <v>ADVANCE TECHNOLOGY BELTING TRD EST</v>
      </c>
      <c r="K582" s="42"/>
      <c r="L582" s="42">
        <v>1209040</v>
      </c>
      <c r="M582" s="41"/>
      <c r="N582" s="41"/>
      <c r="O582" s="47" t="s">
        <v>2887</v>
      </c>
      <c r="P582" s="45" t="s">
        <v>136</v>
      </c>
      <c r="Q582" s="49" t="s">
        <v>120</v>
      </c>
      <c r="R582" s="48">
        <f>2*240</f>
        <v>480</v>
      </c>
      <c r="S582" s="41" t="s">
        <v>29</v>
      </c>
      <c r="T582" s="84">
        <v>41160</v>
      </c>
      <c r="U582" s="42"/>
      <c r="V582" s="21" t="s">
        <v>2888</v>
      </c>
      <c r="W582" s="78"/>
      <c r="X582" s="15">
        <v>35</v>
      </c>
      <c r="Z582" s="74" t="str">
        <f>CONCATENATE(Table1[[#This Row],[P.R NUMBER]],"-",Table1[[#This Row],[SR NO]])</f>
        <v>280812252020-1178</v>
      </c>
    </row>
    <row r="583" spans="1:26" x14ac:dyDescent="0.25">
      <c r="A583" s="73"/>
      <c r="B583" s="42">
        <v>1179</v>
      </c>
      <c r="C583" s="43">
        <v>41149</v>
      </c>
      <c r="D583" s="44" t="s">
        <v>122</v>
      </c>
      <c r="E583" s="76" t="s">
        <v>90</v>
      </c>
      <c r="F583" s="42" t="s">
        <v>1</v>
      </c>
      <c r="G583" s="49" t="s">
        <v>70</v>
      </c>
      <c r="H583" s="45" t="s">
        <v>2886</v>
      </c>
      <c r="I583" s="83" t="s">
        <v>292</v>
      </c>
      <c r="J583" s="52" t="str">
        <f>VLOOKUP(I583,'CONTACT REFERENCE'!$A$2:$P$399,4,FALSE)</f>
        <v>WINDY CITY CUTTING DIE</v>
      </c>
      <c r="K583" s="42"/>
      <c r="L583" s="42">
        <v>136147</v>
      </c>
      <c r="M583" s="41"/>
      <c r="N583" s="41"/>
      <c r="O583" s="47" t="s">
        <v>200</v>
      </c>
      <c r="P583" s="45" t="s">
        <v>137</v>
      </c>
      <c r="Q583" s="49" t="s">
        <v>140</v>
      </c>
      <c r="R583" s="48">
        <v>220</v>
      </c>
      <c r="S583" s="41" t="s">
        <v>28</v>
      </c>
      <c r="T583" s="107">
        <v>41149</v>
      </c>
      <c r="U583" s="42" t="s">
        <v>2889</v>
      </c>
      <c r="V583" s="21"/>
      <c r="W583" s="78"/>
      <c r="X583" s="15">
        <v>35</v>
      </c>
      <c r="Z583" s="74" t="str">
        <f>CONCATENATE(Table1[[#This Row],[P.R NUMBER]],"-",Table1[[#This Row],[SR NO]])</f>
        <v>280812252020-1179</v>
      </c>
    </row>
    <row r="584" spans="1:26" x14ac:dyDescent="0.25">
      <c r="A584" s="73"/>
      <c r="B584" s="42">
        <v>1180</v>
      </c>
      <c r="C584" s="43">
        <v>41149</v>
      </c>
      <c r="D584" s="44" t="s">
        <v>122</v>
      </c>
      <c r="E584" s="76" t="s">
        <v>86</v>
      </c>
      <c r="F584" s="42" t="s">
        <v>2638</v>
      </c>
      <c r="G584" s="49" t="s">
        <v>52</v>
      </c>
      <c r="H584" s="45" t="s">
        <v>2890</v>
      </c>
      <c r="I584" s="83" t="s">
        <v>292</v>
      </c>
      <c r="J584" s="52" t="str">
        <f>VLOOKUP(I584,'CONTACT REFERENCE'!$A$2:$P$399,4,FALSE)</f>
        <v>WINDY CITY CUTTING DIE</v>
      </c>
      <c r="K584" s="42" t="s">
        <v>2674</v>
      </c>
      <c r="L584" s="42"/>
      <c r="M584" s="41"/>
      <c r="N584" s="41"/>
      <c r="O584" s="47" t="s">
        <v>2891</v>
      </c>
      <c r="P584" s="45" t="s">
        <v>124</v>
      </c>
      <c r="Q584" s="49" t="s">
        <v>120</v>
      </c>
      <c r="R584" s="48">
        <v>135</v>
      </c>
      <c r="S584" s="41" t="s">
        <v>28</v>
      </c>
      <c r="T584" s="42"/>
      <c r="U584" s="42"/>
      <c r="V584" s="21"/>
      <c r="W584" s="78"/>
      <c r="X584" s="15">
        <v>35</v>
      </c>
      <c r="Z584" s="74" t="str">
        <f>CONCATENATE(Table1[[#This Row],[P.R NUMBER]],"-",Table1[[#This Row],[SR NO]])</f>
        <v>280812054040-1180</v>
      </c>
    </row>
    <row r="585" spans="1:26" x14ac:dyDescent="0.25">
      <c r="A585" s="73"/>
      <c r="B585" s="42">
        <v>1181</v>
      </c>
      <c r="C585" s="43">
        <v>41150</v>
      </c>
      <c r="D585" s="44" t="s">
        <v>118</v>
      </c>
      <c r="E585" s="76" t="s">
        <v>91</v>
      </c>
      <c r="F585" s="42" t="s">
        <v>88</v>
      </c>
      <c r="G585" s="49" t="s">
        <v>72</v>
      </c>
      <c r="H585" s="45" t="s">
        <v>2892</v>
      </c>
      <c r="I585" s="83" t="s">
        <v>1220</v>
      </c>
      <c r="J585" s="52" t="str">
        <f>VLOOKUP(I585,'CONTACT REFERENCE'!$A$2:$P$399,4,FALSE)</f>
        <v>PRINTECH MIDDLE EAST LLC</v>
      </c>
      <c r="K585" s="42"/>
      <c r="L585" s="42" t="s">
        <v>2893</v>
      </c>
      <c r="M585" s="41"/>
      <c r="N585" s="41"/>
      <c r="O585" s="47" t="s">
        <v>178</v>
      </c>
      <c r="P585" s="45" t="s">
        <v>136</v>
      </c>
      <c r="Q585" s="49" t="s">
        <v>2440</v>
      </c>
      <c r="R585" s="48">
        <v>320</v>
      </c>
      <c r="S585" s="41" t="s">
        <v>29</v>
      </c>
      <c r="T585" s="107">
        <v>41151</v>
      </c>
      <c r="U585" s="42"/>
      <c r="V585" s="21"/>
      <c r="W585" s="78"/>
      <c r="X585" s="15">
        <v>35</v>
      </c>
      <c r="Z585" s="74" t="str">
        <f>CONCATENATE(Table1[[#This Row],[P.R NUMBER]],"-",Table1[[#This Row],[SR NO]])</f>
        <v>290812273060-1181</v>
      </c>
    </row>
    <row r="586" spans="1:26" x14ac:dyDescent="0.25">
      <c r="A586" s="73"/>
      <c r="B586" s="42">
        <v>1182</v>
      </c>
      <c r="C586" s="43">
        <v>41150</v>
      </c>
      <c r="D586" s="44" t="s">
        <v>118</v>
      </c>
      <c r="E586" s="76" t="s">
        <v>90</v>
      </c>
      <c r="F586" s="42" t="s">
        <v>1</v>
      </c>
      <c r="G586" s="49" t="s">
        <v>83</v>
      </c>
      <c r="H586" s="45" t="s">
        <v>2894</v>
      </c>
      <c r="I586" s="83" t="s">
        <v>502</v>
      </c>
      <c r="J586" s="52" t="str">
        <f>VLOOKUP(I586,'CONTACT REFERENCE'!$A$2:$P$399,4,FALSE)</f>
        <v>HEIDELBERG GULF EST</v>
      </c>
      <c r="K586" s="42"/>
      <c r="L586" s="42"/>
      <c r="M586" s="41" t="s">
        <v>2895</v>
      </c>
      <c r="N586" s="41"/>
      <c r="O586" s="47" t="s">
        <v>2896</v>
      </c>
      <c r="P586" s="45" t="s">
        <v>124</v>
      </c>
      <c r="Q586" s="49" t="s">
        <v>120</v>
      </c>
      <c r="R586" s="48">
        <v>9800</v>
      </c>
      <c r="S586" s="41" t="s">
        <v>29</v>
      </c>
      <c r="T586" s="84">
        <v>41161</v>
      </c>
      <c r="U586" s="42"/>
      <c r="V586" s="21"/>
      <c r="W586" s="78"/>
      <c r="X586" s="15">
        <v>35</v>
      </c>
      <c r="Z586" s="74" t="str">
        <f>CONCATENATE(Table1[[#This Row],[P.R NUMBER]],"-",Table1[[#This Row],[SR NO]])</f>
        <v>290812382020-1182</v>
      </c>
    </row>
    <row r="587" spans="1:26" x14ac:dyDescent="0.25">
      <c r="A587" s="73"/>
      <c r="B587" s="42">
        <v>1182</v>
      </c>
      <c r="C587" s="43">
        <v>41150</v>
      </c>
      <c r="D587" s="44" t="s">
        <v>118</v>
      </c>
      <c r="E587" s="76" t="s">
        <v>90</v>
      </c>
      <c r="F587" s="42" t="s">
        <v>1</v>
      </c>
      <c r="G587" s="49" t="s">
        <v>83</v>
      </c>
      <c r="H587" s="45" t="s">
        <v>2894</v>
      </c>
      <c r="I587" s="83" t="s">
        <v>502</v>
      </c>
      <c r="J587" s="52" t="str">
        <f>VLOOKUP(I587,'CONTACT REFERENCE'!$A$2:$P$399,4,FALSE)</f>
        <v>HEIDELBERG GULF EST</v>
      </c>
      <c r="K587" s="42"/>
      <c r="L587" s="42"/>
      <c r="M587" s="41" t="s">
        <v>2895</v>
      </c>
      <c r="N587" s="41"/>
      <c r="O587" s="47" t="s">
        <v>2897</v>
      </c>
      <c r="P587" s="45" t="s">
        <v>136</v>
      </c>
      <c r="Q587" s="49" t="s">
        <v>120</v>
      </c>
      <c r="R587" s="48">
        <v>500</v>
      </c>
      <c r="S587" s="41" t="s">
        <v>29</v>
      </c>
      <c r="T587" s="84">
        <v>41161</v>
      </c>
      <c r="U587" s="42"/>
      <c r="V587" s="21"/>
      <c r="W587" s="78"/>
      <c r="X587" s="15">
        <v>35</v>
      </c>
      <c r="Z587" s="74" t="str">
        <f>CONCATENATE(Table1[[#This Row],[P.R NUMBER]],"-",Table1[[#This Row],[SR NO]])</f>
        <v>290812382020-1182</v>
      </c>
    </row>
    <row r="588" spans="1:26" x14ac:dyDescent="0.25">
      <c r="A588" s="73"/>
      <c r="B588" s="42">
        <v>1183</v>
      </c>
      <c r="C588" s="43">
        <v>41151</v>
      </c>
      <c r="D588" s="44" t="s">
        <v>122</v>
      </c>
      <c r="E588" s="76" t="s">
        <v>90</v>
      </c>
      <c r="F588" s="42" t="s">
        <v>1</v>
      </c>
      <c r="G588" s="49" t="s">
        <v>69</v>
      </c>
      <c r="H588" s="45" t="s">
        <v>2898</v>
      </c>
      <c r="I588" s="83" t="s">
        <v>262</v>
      </c>
      <c r="J588" s="52" t="str">
        <f>VLOOKUP(I588,'CONTACT REFERENCE'!$A$2:$P$399,4,FALSE)</f>
        <v>CURTIUS TRADING INC</v>
      </c>
      <c r="K588" s="42" t="s">
        <v>2674</v>
      </c>
      <c r="L588" s="42">
        <v>20120217</v>
      </c>
      <c r="M588" s="41"/>
      <c r="N588" s="41"/>
      <c r="O588" s="47" t="s">
        <v>2899</v>
      </c>
      <c r="P588" s="45" t="s">
        <v>124</v>
      </c>
      <c r="Q588" s="49" t="s">
        <v>120</v>
      </c>
      <c r="R588" s="48">
        <v>205.73</v>
      </c>
      <c r="S588" s="41" t="s">
        <v>28</v>
      </c>
      <c r="T588" s="84">
        <v>41151</v>
      </c>
      <c r="U588" s="42" t="s">
        <v>2900</v>
      </c>
      <c r="V588" s="21"/>
      <c r="W588" s="78"/>
      <c r="X588" s="15">
        <v>35</v>
      </c>
      <c r="Z588" s="74" t="str">
        <f>CONCATENATE(Table1[[#This Row],[P.R NUMBER]],"-",Table1[[#This Row],[SR NO]])</f>
        <v>300812242020-1183</v>
      </c>
    </row>
    <row r="589" spans="1:26" x14ac:dyDescent="0.25">
      <c r="A589" s="73"/>
      <c r="B589" s="42">
        <v>1184</v>
      </c>
      <c r="C589" s="43">
        <v>41154</v>
      </c>
      <c r="D589" s="44" t="s">
        <v>118</v>
      </c>
      <c r="E589" s="76" t="s">
        <v>90</v>
      </c>
      <c r="F589" s="42" t="s">
        <v>1</v>
      </c>
      <c r="G589" s="49" t="s">
        <v>69</v>
      </c>
      <c r="H589" s="45" t="s">
        <v>2901</v>
      </c>
      <c r="I589" s="83" t="s">
        <v>538</v>
      </c>
      <c r="J589" s="52" t="str">
        <f>VLOOKUP(I589,'CONTACT REFERENCE'!$A$2:$P$399,4,FALSE)</f>
        <v>BOODAI TRADING COMPANY LLC</v>
      </c>
      <c r="K589" s="42"/>
      <c r="L589" s="42" t="s">
        <v>2902</v>
      </c>
      <c r="M589" s="41"/>
      <c r="N589" s="41"/>
      <c r="O589" s="47" t="s">
        <v>2254</v>
      </c>
      <c r="P589" s="45" t="s">
        <v>124</v>
      </c>
      <c r="Q589" s="49" t="s">
        <v>2476</v>
      </c>
      <c r="R589" s="48">
        <v>1300</v>
      </c>
      <c r="S589" s="41" t="s">
        <v>29</v>
      </c>
      <c r="T589" s="84">
        <v>41154</v>
      </c>
      <c r="U589" s="42"/>
      <c r="V589" s="21"/>
      <c r="W589" s="78"/>
      <c r="X589" s="15">
        <v>35</v>
      </c>
      <c r="Z589" s="74" t="str">
        <f>CONCATENATE(Table1[[#This Row],[P.R NUMBER]],"-",Table1[[#This Row],[SR NO]])</f>
        <v>020912242020-1184</v>
      </c>
    </row>
    <row r="590" spans="1:26" x14ac:dyDescent="0.25">
      <c r="A590" s="73"/>
      <c r="B590" s="42">
        <v>1185</v>
      </c>
      <c r="C590" s="43">
        <v>41154</v>
      </c>
      <c r="D590" s="44" t="s">
        <v>118</v>
      </c>
      <c r="E590" s="76" t="s">
        <v>90</v>
      </c>
      <c r="F590" s="42" t="s">
        <v>1</v>
      </c>
      <c r="G590" s="49" t="s">
        <v>51</v>
      </c>
      <c r="H590" s="45" t="s">
        <v>2903</v>
      </c>
      <c r="I590" s="83" t="s">
        <v>460</v>
      </c>
      <c r="J590" s="52" t="str">
        <f>VLOOKUP(I590,'CONTACT REFERENCE'!$A$2:$P$399,4,FALSE)</f>
        <v>A-1 ENGINEERING</v>
      </c>
      <c r="K590" s="42">
        <v>6163</v>
      </c>
      <c r="L590" s="42">
        <v>9185</v>
      </c>
      <c r="M590" s="41"/>
      <c r="N590" s="41"/>
      <c r="O590" s="47" t="s">
        <v>2904</v>
      </c>
      <c r="P590" s="45" t="s">
        <v>124</v>
      </c>
      <c r="Q590" s="49" t="s">
        <v>120</v>
      </c>
      <c r="R590" s="48">
        <v>550</v>
      </c>
      <c r="S590" s="41" t="s">
        <v>29</v>
      </c>
      <c r="T590" s="84">
        <v>41160</v>
      </c>
      <c r="U590" s="42"/>
      <c r="V590" s="21"/>
      <c r="W590" s="78"/>
      <c r="X590" s="15">
        <v>35</v>
      </c>
      <c r="Z590" s="74" t="str">
        <f>CONCATENATE(Table1[[#This Row],[P.R NUMBER]],"-",Table1[[#This Row],[SR NO]])</f>
        <v>020912042020-1185</v>
      </c>
    </row>
    <row r="591" spans="1:26" x14ac:dyDescent="0.25">
      <c r="A591" s="73"/>
      <c r="B591" s="42">
        <v>1186</v>
      </c>
      <c r="C591" s="43">
        <v>41154</v>
      </c>
      <c r="D591" s="44" t="s">
        <v>118</v>
      </c>
      <c r="E591" s="76" t="s">
        <v>89</v>
      </c>
      <c r="F591" s="42" t="s">
        <v>1</v>
      </c>
      <c r="G591" s="49" t="s">
        <v>69</v>
      </c>
      <c r="H591" s="45" t="s">
        <v>2905</v>
      </c>
      <c r="I591" s="83" t="s">
        <v>460</v>
      </c>
      <c r="J591" s="52" t="str">
        <f>VLOOKUP(I591,'CONTACT REFERENCE'!$A$2:$P$399,4,FALSE)</f>
        <v>A-1 ENGINEERING</v>
      </c>
      <c r="K591" s="42" t="s">
        <v>2751</v>
      </c>
      <c r="L591" s="42">
        <v>9184</v>
      </c>
      <c r="M591" s="41"/>
      <c r="N591" s="41"/>
      <c r="O591" s="47" t="s">
        <v>2906</v>
      </c>
      <c r="P591" s="45" t="s">
        <v>2907</v>
      </c>
      <c r="Q591" s="49" t="s">
        <v>120</v>
      </c>
      <c r="R591" s="48">
        <f>22*20</f>
        <v>440</v>
      </c>
      <c r="S591" s="41" t="s">
        <v>29</v>
      </c>
      <c r="T591" s="84">
        <v>41160</v>
      </c>
      <c r="U591" s="42"/>
      <c r="V591" s="21"/>
      <c r="W591" s="78"/>
      <c r="X591" s="15">
        <v>35</v>
      </c>
      <c r="Z591" s="74" t="str">
        <f>CONCATENATE(Table1[[#This Row],[P.R NUMBER]],"-",Table1[[#This Row],[SR NO]])</f>
        <v>020912241020-1186</v>
      </c>
    </row>
    <row r="592" spans="1:26" x14ac:dyDescent="0.25">
      <c r="A592" s="73"/>
      <c r="B592" s="42">
        <v>1186</v>
      </c>
      <c r="C592" s="43">
        <v>41154</v>
      </c>
      <c r="D592" s="44" t="s">
        <v>118</v>
      </c>
      <c r="E592" s="76" t="s">
        <v>89</v>
      </c>
      <c r="F592" s="42" t="s">
        <v>1</v>
      </c>
      <c r="G592" s="49" t="s">
        <v>69</v>
      </c>
      <c r="H592" s="45" t="s">
        <v>2905</v>
      </c>
      <c r="I592" s="83" t="s">
        <v>460</v>
      </c>
      <c r="J592" s="52" t="str">
        <f>VLOOKUP(I592,'CONTACT REFERENCE'!$A$2:$P$399,4,FALSE)</f>
        <v>A-1 ENGINEERING</v>
      </c>
      <c r="K592" s="42" t="s">
        <v>2751</v>
      </c>
      <c r="L592" s="42">
        <v>9184</v>
      </c>
      <c r="M592" s="41"/>
      <c r="N592" s="41"/>
      <c r="O592" s="47" t="s">
        <v>2908</v>
      </c>
      <c r="P592" s="45" t="s">
        <v>2909</v>
      </c>
      <c r="Q592" s="49" t="s">
        <v>120</v>
      </c>
      <c r="R592" s="48">
        <f>26*20</f>
        <v>520</v>
      </c>
      <c r="S592" s="41" t="s">
        <v>29</v>
      </c>
      <c r="T592" s="84">
        <v>41160</v>
      </c>
      <c r="U592" s="42"/>
      <c r="V592" s="21"/>
      <c r="W592" s="78"/>
      <c r="X592" s="15">
        <v>35</v>
      </c>
      <c r="Z592" s="74" t="str">
        <f>CONCATENATE(Table1[[#This Row],[P.R NUMBER]],"-",Table1[[#This Row],[SR NO]])</f>
        <v>020912241020-1186</v>
      </c>
    </row>
    <row r="593" spans="1:26" x14ac:dyDescent="0.25">
      <c r="A593" s="73"/>
      <c r="B593" s="42">
        <v>1186</v>
      </c>
      <c r="C593" s="43">
        <v>41154</v>
      </c>
      <c r="D593" s="44" t="s">
        <v>118</v>
      </c>
      <c r="E593" s="76" t="s">
        <v>89</v>
      </c>
      <c r="F593" s="42" t="s">
        <v>1</v>
      </c>
      <c r="G593" s="49" t="s">
        <v>69</v>
      </c>
      <c r="H593" s="45" t="s">
        <v>2905</v>
      </c>
      <c r="I593" s="83" t="s">
        <v>460</v>
      </c>
      <c r="J593" s="52" t="str">
        <f>VLOOKUP(I593,'CONTACT REFERENCE'!$A$2:$P$399,4,FALSE)</f>
        <v>A-1 ENGINEERING</v>
      </c>
      <c r="K593" s="42" t="s">
        <v>2751</v>
      </c>
      <c r="L593" s="42">
        <v>9184</v>
      </c>
      <c r="M593" s="41"/>
      <c r="N593" s="41"/>
      <c r="O593" s="47" t="s">
        <v>2910</v>
      </c>
      <c r="P593" s="45" t="s">
        <v>2911</v>
      </c>
      <c r="Q593" s="49" t="s">
        <v>120</v>
      </c>
      <c r="R593" s="48">
        <f>32*20</f>
        <v>640</v>
      </c>
      <c r="S593" s="41" t="s">
        <v>29</v>
      </c>
      <c r="T593" s="84">
        <v>41160</v>
      </c>
      <c r="U593" s="42"/>
      <c r="V593" s="21"/>
      <c r="W593" s="78"/>
      <c r="X593" s="15">
        <v>35</v>
      </c>
      <c r="Z593" s="74" t="str">
        <f>CONCATENATE(Table1[[#This Row],[P.R NUMBER]],"-",Table1[[#This Row],[SR NO]])</f>
        <v>020912241020-1186</v>
      </c>
    </row>
    <row r="594" spans="1:26" x14ac:dyDescent="0.25">
      <c r="A594" s="73"/>
      <c r="B594" s="42">
        <v>1187</v>
      </c>
      <c r="C594" s="43">
        <v>41155</v>
      </c>
      <c r="D594" s="44" t="s">
        <v>118</v>
      </c>
      <c r="E594" s="76" t="s">
        <v>90</v>
      </c>
      <c r="F594" s="42" t="s">
        <v>88</v>
      </c>
      <c r="G594" s="49" t="s">
        <v>72</v>
      </c>
      <c r="H594" s="45" t="s">
        <v>2912</v>
      </c>
      <c r="I594" s="83" t="s">
        <v>359</v>
      </c>
      <c r="J594" s="52" t="str">
        <f>VLOOKUP(I594,'CONTACT REFERENCE'!$A$2:$P$399,4,FALSE)</f>
        <v>UNISAFE FIRE PROTECTION SPECIALISTS LLC</v>
      </c>
      <c r="K594" s="42" t="s">
        <v>2913</v>
      </c>
      <c r="L594" s="42"/>
      <c r="M594" s="41"/>
      <c r="N594" s="41"/>
      <c r="O594" s="47" t="s">
        <v>2914</v>
      </c>
      <c r="P594" s="45" t="s">
        <v>124</v>
      </c>
      <c r="Q594" s="49" t="s">
        <v>120</v>
      </c>
      <c r="R594" s="48">
        <v>650</v>
      </c>
      <c r="S594" s="41" t="s">
        <v>29</v>
      </c>
      <c r="T594" s="42"/>
      <c r="U594" s="42"/>
      <c r="V594" s="21"/>
      <c r="W594" s="78"/>
      <c r="X594" s="15">
        <v>36</v>
      </c>
      <c r="Z594" s="74" t="str">
        <f>CONCATENATE(Table1[[#This Row],[P.R NUMBER]],"-",Table1[[#This Row],[SR NO]])</f>
        <v>030912272060-1187</v>
      </c>
    </row>
    <row r="595" spans="1:26" x14ac:dyDescent="0.25">
      <c r="A595" s="73"/>
      <c r="B595" s="42">
        <v>1187</v>
      </c>
      <c r="C595" s="43">
        <v>41155</v>
      </c>
      <c r="D595" s="44" t="s">
        <v>118</v>
      </c>
      <c r="E595" s="76" t="s">
        <v>90</v>
      </c>
      <c r="F595" s="42" t="s">
        <v>88</v>
      </c>
      <c r="G595" s="49" t="s">
        <v>72</v>
      </c>
      <c r="H595" s="45" t="s">
        <v>2912</v>
      </c>
      <c r="I595" s="83" t="s">
        <v>359</v>
      </c>
      <c r="J595" s="52" t="str">
        <f>VLOOKUP(I595,'CONTACT REFERENCE'!$A$2:$P$399,4,FALSE)</f>
        <v>UNISAFE FIRE PROTECTION SPECIALISTS LLC</v>
      </c>
      <c r="K595" s="42" t="s">
        <v>2913</v>
      </c>
      <c r="L595" s="42"/>
      <c r="M595" s="41"/>
      <c r="N595" s="41"/>
      <c r="O595" s="47" t="s">
        <v>2915</v>
      </c>
      <c r="P595" s="45" t="s">
        <v>124</v>
      </c>
      <c r="Q595" s="49" t="s">
        <v>120</v>
      </c>
      <c r="R595" s="48">
        <v>250</v>
      </c>
      <c r="S595" s="41" t="s">
        <v>29</v>
      </c>
      <c r="T595" s="42"/>
      <c r="U595" s="42"/>
      <c r="V595" s="21"/>
      <c r="W595" s="78"/>
      <c r="X595" s="15">
        <v>36</v>
      </c>
      <c r="Z595" s="74" t="str">
        <f>CONCATENATE(Table1[[#This Row],[P.R NUMBER]],"-",Table1[[#This Row],[SR NO]])</f>
        <v>030912272060-1187</v>
      </c>
    </row>
    <row r="596" spans="1:26" x14ac:dyDescent="0.25">
      <c r="A596" s="73"/>
      <c r="B596" s="42">
        <v>1187</v>
      </c>
      <c r="C596" s="43">
        <v>41155</v>
      </c>
      <c r="D596" s="44" t="s">
        <v>118</v>
      </c>
      <c r="E596" s="76" t="s">
        <v>90</v>
      </c>
      <c r="F596" s="42" t="s">
        <v>88</v>
      </c>
      <c r="G596" s="49" t="s">
        <v>72</v>
      </c>
      <c r="H596" s="45" t="s">
        <v>2912</v>
      </c>
      <c r="I596" s="83" t="s">
        <v>359</v>
      </c>
      <c r="J596" s="52" t="str">
        <f>VLOOKUP(I596,'CONTACT REFERENCE'!$A$2:$P$399,4,FALSE)</f>
        <v>UNISAFE FIRE PROTECTION SPECIALISTS LLC</v>
      </c>
      <c r="K596" s="42" t="s">
        <v>2913</v>
      </c>
      <c r="L596" s="42"/>
      <c r="M596" s="41"/>
      <c r="N596" s="41"/>
      <c r="O596" s="47" t="s">
        <v>2916</v>
      </c>
      <c r="P596" s="45" t="s">
        <v>124</v>
      </c>
      <c r="Q596" s="49" t="s">
        <v>120</v>
      </c>
      <c r="R596" s="48">
        <v>300</v>
      </c>
      <c r="S596" s="41" t="s">
        <v>29</v>
      </c>
      <c r="T596" s="42"/>
      <c r="U596" s="42"/>
      <c r="V596" s="21"/>
      <c r="W596" s="78"/>
      <c r="X596" s="15">
        <v>36</v>
      </c>
      <c r="Z596" s="74" t="str">
        <f>CONCATENATE(Table1[[#This Row],[P.R NUMBER]],"-",Table1[[#This Row],[SR NO]])</f>
        <v>030912272060-1187</v>
      </c>
    </row>
    <row r="597" spans="1:26" x14ac:dyDescent="0.25">
      <c r="A597" s="73"/>
      <c r="B597" s="42">
        <v>1187</v>
      </c>
      <c r="C597" s="43">
        <v>41155</v>
      </c>
      <c r="D597" s="44" t="s">
        <v>118</v>
      </c>
      <c r="E597" s="76" t="s">
        <v>90</v>
      </c>
      <c r="F597" s="42" t="s">
        <v>88</v>
      </c>
      <c r="G597" s="49" t="s">
        <v>72</v>
      </c>
      <c r="H597" s="45" t="s">
        <v>2912</v>
      </c>
      <c r="I597" s="83" t="s">
        <v>359</v>
      </c>
      <c r="J597" s="52" t="str">
        <f>VLOOKUP(I597,'CONTACT REFERENCE'!$A$2:$P$399,4,FALSE)</f>
        <v>UNISAFE FIRE PROTECTION SPECIALISTS LLC</v>
      </c>
      <c r="K597" s="42" t="s">
        <v>2913</v>
      </c>
      <c r="L597" s="42"/>
      <c r="M597" s="41"/>
      <c r="N597" s="41"/>
      <c r="O597" s="47" t="s">
        <v>193</v>
      </c>
      <c r="P597" s="45" t="s">
        <v>124</v>
      </c>
      <c r="Q597" s="49" t="s">
        <v>120</v>
      </c>
      <c r="R597" s="48">
        <v>75</v>
      </c>
      <c r="S597" s="41" t="s">
        <v>29</v>
      </c>
      <c r="T597" s="42"/>
      <c r="U597" s="42"/>
      <c r="V597" s="21"/>
      <c r="W597" s="78"/>
      <c r="X597" s="15">
        <v>36</v>
      </c>
      <c r="Z597" s="74" t="str">
        <f>CONCATENATE(Table1[[#This Row],[P.R NUMBER]],"-",Table1[[#This Row],[SR NO]])</f>
        <v>030912272060-1187</v>
      </c>
    </row>
    <row r="598" spans="1:26" x14ac:dyDescent="0.25">
      <c r="A598" s="73"/>
      <c r="B598" s="42">
        <v>1187</v>
      </c>
      <c r="C598" s="43">
        <v>41155</v>
      </c>
      <c r="D598" s="44" t="s">
        <v>118</v>
      </c>
      <c r="E598" s="76" t="s">
        <v>90</v>
      </c>
      <c r="F598" s="42" t="s">
        <v>88</v>
      </c>
      <c r="G598" s="49" t="s">
        <v>72</v>
      </c>
      <c r="H598" s="45" t="s">
        <v>2912</v>
      </c>
      <c r="I598" s="83" t="s">
        <v>359</v>
      </c>
      <c r="J598" s="52" t="str">
        <f>VLOOKUP(I598,'CONTACT REFERENCE'!$A$2:$P$399,4,FALSE)</f>
        <v>UNISAFE FIRE PROTECTION SPECIALISTS LLC</v>
      </c>
      <c r="K598" s="42" t="s">
        <v>2913</v>
      </c>
      <c r="L598" s="42"/>
      <c r="M598" s="41"/>
      <c r="N598" s="41"/>
      <c r="O598" s="47" t="s">
        <v>2917</v>
      </c>
      <c r="P598" s="45" t="s">
        <v>124</v>
      </c>
      <c r="Q598" s="49" t="s">
        <v>120</v>
      </c>
      <c r="R598" s="48">
        <v>50</v>
      </c>
      <c r="S598" s="41" t="s">
        <v>29</v>
      </c>
      <c r="T598" s="42"/>
      <c r="U598" s="42"/>
      <c r="V598" s="21"/>
      <c r="W598" s="78"/>
      <c r="X598" s="15">
        <v>36</v>
      </c>
      <c r="Z598" s="74" t="str">
        <f>CONCATENATE(Table1[[#This Row],[P.R NUMBER]],"-",Table1[[#This Row],[SR NO]])</f>
        <v>030912272060-1187</v>
      </c>
    </row>
    <row r="599" spans="1:26" x14ac:dyDescent="0.25">
      <c r="A599" s="73"/>
      <c r="B599" s="42">
        <v>1187</v>
      </c>
      <c r="C599" s="43">
        <v>41155</v>
      </c>
      <c r="D599" s="44" t="s">
        <v>118</v>
      </c>
      <c r="E599" s="76" t="s">
        <v>90</v>
      </c>
      <c r="F599" s="42" t="s">
        <v>88</v>
      </c>
      <c r="G599" s="49" t="s">
        <v>72</v>
      </c>
      <c r="H599" s="45" t="s">
        <v>2912</v>
      </c>
      <c r="I599" s="83" t="s">
        <v>359</v>
      </c>
      <c r="J599" s="52" t="str">
        <f>VLOOKUP(I599,'CONTACT REFERENCE'!$A$2:$P$399,4,FALSE)</f>
        <v>UNISAFE FIRE PROTECTION SPECIALISTS LLC</v>
      </c>
      <c r="K599" s="42" t="s">
        <v>2913</v>
      </c>
      <c r="L599" s="42"/>
      <c r="M599" s="41"/>
      <c r="N599" s="41"/>
      <c r="O599" s="47" t="s">
        <v>2918</v>
      </c>
      <c r="P599" s="45" t="s">
        <v>124</v>
      </c>
      <c r="Q599" s="49" t="s">
        <v>120</v>
      </c>
      <c r="R599" s="48">
        <v>50</v>
      </c>
      <c r="S599" s="41" t="s">
        <v>29</v>
      </c>
      <c r="T599" s="42"/>
      <c r="U599" s="42"/>
      <c r="V599" s="21"/>
      <c r="W599" s="78"/>
      <c r="X599" s="15">
        <v>36</v>
      </c>
      <c r="Z599" s="74" t="str">
        <f>CONCATENATE(Table1[[#This Row],[P.R NUMBER]],"-",Table1[[#This Row],[SR NO]])</f>
        <v>030912272060-1187</v>
      </c>
    </row>
    <row r="600" spans="1:26" x14ac:dyDescent="0.25">
      <c r="A600" s="73"/>
      <c r="B600" s="42">
        <v>1187</v>
      </c>
      <c r="C600" s="43">
        <v>41155</v>
      </c>
      <c r="D600" s="44" t="s">
        <v>118</v>
      </c>
      <c r="E600" s="76" t="s">
        <v>90</v>
      </c>
      <c r="F600" s="42" t="s">
        <v>88</v>
      </c>
      <c r="G600" s="49" t="s">
        <v>72</v>
      </c>
      <c r="H600" s="45" t="s">
        <v>2912</v>
      </c>
      <c r="I600" s="83" t="s">
        <v>359</v>
      </c>
      <c r="J600" s="52" t="str">
        <f>VLOOKUP(I600,'CONTACT REFERENCE'!$A$2:$P$399,4,FALSE)</f>
        <v>UNISAFE FIRE PROTECTION SPECIALISTS LLC</v>
      </c>
      <c r="K600" s="42" t="s">
        <v>2913</v>
      </c>
      <c r="L600" s="42"/>
      <c r="M600" s="41"/>
      <c r="N600" s="41"/>
      <c r="O600" s="47" t="s">
        <v>193</v>
      </c>
      <c r="P600" s="45" t="s">
        <v>124</v>
      </c>
      <c r="Q600" s="49" t="s">
        <v>120</v>
      </c>
      <c r="R600" s="48">
        <v>40</v>
      </c>
      <c r="S600" s="41" t="s">
        <v>29</v>
      </c>
      <c r="T600" s="42"/>
      <c r="U600" s="42"/>
      <c r="V600" s="21"/>
      <c r="W600" s="78"/>
      <c r="X600" s="15">
        <v>36</v>
      </c>
      <c r="Z600" s="74" t="str">
        <f>CONCATENATE(Table1[[#This Row],[P.R NUMBER]],"-",Table1[[#This Row],[SR NO]])</f>
        <v>030912272060-1187</v>
      </c>
    </row>
    <row r="601" spans="1:26" x14ac:dyDescent="0.25">
      <c r="A601" s="73"/>
      <c r="B601" s="42">
        <v>1187</v>
      </c>
      <c r="C601" s="43">
        <v>41155</v>
      </c>
      <c r="D601" s="44" t="s">
        <v>118</v>
      </c>
      <c r="E601" s="76" t="s">
        <v>90</v>
      </c>
      <c r="F601" s="42" t="s">
        <v>88</v>
      </c>
      <c r="G601" s="49" t="s">
        <v>72</v>
      </c>
      <c r="H601" s="45" t="s">
        <v>2912</v>
      </c>
      <c r="I601" s="83" t="s">
        <v>359</v>
      </c>
      <c r="J601" s="52" t="str">
        <f>VLOOKUP(I601,'CONTACT REFERENCE'!$A$2:$P$399,4,FALSE)</f>
        <v>UNISAFE FIRE PROTECTION SPECIALISTS LLC</v>
      </c>
      <c r="K601" s="42" t="s">
        <v>2913</v>
      </c>
      <c r="L601" s="42"/>
      <c r="M601" s="41"/>
      <c r="N601" s="41"/>
      <c r="O601" s="47" t="s">
        <v>2919</v>
      </c>
      <c r="P601" s="45" t="s">
        <v>124</v>
      </c>
      <c r="Q601" s="49" t="s">
        <v>120</v>
      </c>
      <c r="R601" s="48">
        <v>50</v>
      </c>
      <c r="S601" s="41" t="s">
        <v>29</v>
      </c>
      <c r="T601" s="42"/>
      <c r="U601" s="42"/>
      <c r="V601" s="21"/>
      <c r="W601" s="78"/>
      <c r="X601" s="15">
        <v>36</v>
      </c>
      <c r="Z601" s="74" t="str">
        <f>CONCATENATE(Table1[[#This Row],[P.R NUMBER]],"-",Table1[[#This Row],[SR NO]])</f>
        <v>030912272060-1187</v>
      </c>
    </row>
    <row r="602" spans="1:26" x14ac:dyDescent="0.25">
      <c r="A602" s="73"/>
      <c r="B602" s="42">
        <v>1188</v>
      </c>
      <c r="C602" s="43">
        <v>41158</v>
      </c>
      <c r="D602" s="44" t="s">
        <v>118</v>
      </c>
      <c r="E602" s="76" t="s">
        <v>90</v>
      </c>
      <c r="F602" s="42" t="s">
        <v>1</v>
      </c>
      <c r="G602" s="49" t="s">
        <v>69</v>
      </c>
      <c r="H602" s="45" t="s">
        <v>2920</v>
      </c>
      <c r="I602" s="83" t="s">
        <v>538</v>
      </c>
      <c r="J602" s="52" t="str">
        <f>VLOOKUP(I602,'CONTACT REFERENCE'!$A$2:$P$399,4,FALSE)</f>
        <v>BOODAI TRADING COMPANY LLC</v>
      </c>
      <c r="K602" s="42"/>
      <c r="L602" s="42"/>
      <c r="M602" s="41"/>
      <c r="N602" s="41"/>
      <c r="O602" s="47" t="s">
        <v>2254</v>
      </c>
      <c r="P602" s="45" t="s">
        <v>124</v>
      </c>
      <c r="Q602" s="49" t="s">
        <v>2476</v>
      </c>
      <c r="R602" s="48">
        <v>1300</v>
      </c>
      <c r="S602" s="41" t="s">
        <v>29</v>
      </c>
      <c r="T602" s="42"/>
      <c r="U602" s="42"/>
      <c r="V602" s="21"/>
      <c r="W602" s="78"/>
      <c r="X602" s="15">
        <v>36</v>
      </c>
      <c r="Z602" s="74" t="str">
        <f>CONCATENATE(Table1[[#This Row],[P.R NUMBER]],"-",Table1[[#This Row],[SR NO]])</f>
        <v>060912242020-1188</v>
      </c>
    </row>
    <row r="603" spans="1:26" x14ac:dyDescent="0.25">
      <c r="A603" s="73"/>
      <c r="B603" s="42">
        <v>1189</v>
      </c>
      <c r="C603" s="43">
        <v>41158</v>
      </c>
      <c r="D603" s="44" t="s">
        <v>118</v>
      </c>
      <c r="E603" s="76" t="s">
        <v>90</v>
      </c>
      <c r="F603" s="42" t="s">
        <v>1</v>
      </c>
      <c r="G603" s="49" t="s">
        <v>83</v>
      </c>
      <c r="H603" s="45" t="s">
        <v>2921</v>
      </c>
      <c r="I603" s="83" t="s">
        <v>119</v>
      </c>
      <c r="J603" s="52" t="str">
        <f>VLOOKUP(I603,'CONTACT REFERENCE'!$A$2:$P$399,4,FALSE)</f>
        <v>AL DOBOWI TYRE COMPANY LLC</v>
      </c>
      <c r="K603" s="42" t="s">
        <v>2922</v>
      </c>
      <c r="L603" s="42">
        <v>431306</v>
      </c>
      <c r="M603" s="41"/>
      <c r="N603" s="41"/>
      <c r="O603" s="47" t="s">
        <v>2923</v>
      </c>
      <c r="P603" s="45" t="s">
        <v>136</v>
      </c>
      <c r="Q603" s="49" t="s">
        <v>120</v>
      </c>
      <c r="R603" s="48">
        <v>700</v>
      </c>
      <c r="S603" s="41" t="s">
        <v>29</v>
      </c>
      <c r="T603" s="107">
        <v>41160</v>
      </c>
      <c r="U603" s="42"/>
      <c r="V603" s="21"/>
      <c r="W603" s="78"/>
      <c r="X603" s="15">
        <v>36</v>
      </c>
      <c r="Z603" s="74" t="str">
        <f>CONCATENATE(Table1[[#This Row],[P.R NUMBER]],"-",Table1[[#This Row],[SR NO]])</f>
        <v>060912382020-1189</v>
      </c>
    </row>
    <row r="604" spans="1:26" x14ac:dyDescent="0.25">
      <c r="A604" s="73"/>
      <c r="B604" s="42">
        <v>1189</v>
      </c>
      <c r="C604" s="43">
        <v>41158</v>
      </c>
      <c r="D604" s="44" t="s">
        <v>118</v>
      </c>
      <c r="E604" s="76" t="s">
        <v>90</v>
      </c>
      <c r="F604" s="42" t="s">
        <v>1</v>
      </c>
      <c r="G604" s="49" t="s">
        <v>83</v>
      </c>
      <c r="H604" s="45" t="s">
        <v>2921</v>
      </c>
      <c r="I604" s="83" t="s">
        <v>119</v>
      </c>
      <c r="J604" s="52" t="str">
        <f>VLOOKUP(I604,'CONTACT REFERENCE'!$A$2:$P$399,4,FALSE)</f>
        <v>AL DOBOWI TYRE COMPANY LLC</v>
      </c>
      <c r="K604" s="42" t="s">
        <v>2922</v>
      </c>
      <c r="L604" s="42">
        <v>431306</v>
      </c>
      <c r="M604" s="41"/>
      <c r="N604" s="41"/>
      <c r="O604" s="47" t="s">
        <v>2924</v>
      </c>
      <c r="P604" s="45" t="s">
        <v>124</v>
      </c>
      <c r="Q604" s="49" t="s">
        <v>120</v>
      </c>
      <c r="R604" s="48">
        <v>250</v>
      </c>
      <c r="S604" s="41" t="s">
        <v>29</v>
      </c>
      <c r="T604" s="107">
        <v>41160</v>
      </c>
      <c r="U604" s="42"/>
      <c r="V604" s="21"/>
      <c r="W604" s="78"/>
      <c r="X604" s="15">
        <v>36</v>
      </c>
      <c r="Z604" s="74" t="str">
        <f>CONCATENATE(Table1[[#This Row],[P.R NUMBER]],"-",Table1[[#This Row],[SR NO]])</f>
        <v>060912382020-1189</v>
      </c>
    </row>
    <row r="605" spans="1:26" x14ac:dyDescent="0.25">
      <c r="A605" s="85"/>
      <c r="B605" s="39">
        <v>1190</v>
      </c>
      <c r="C605" s="79">
        <v>41161</v>
      </c>
      <c r="D605" s="80" t="s">
        <v>122</v>
      </c>
      <c r="E605" s="86" t="s">
        <v>91</v>
      </c>
      <c r="F605" s="39" t="s">
        <v>85</v>
      </c>
      <c r="G605" s="81" t="s">
        <v>49</v>
      </c>
      <c r="H605" s="82" t="s">
        <v>2925</v>
      </c>
      <c r="I605" s="87" t="s">
        <v>276</v>
      </c>
      <c r="J605" s="52" t="str">
        <f>VLOOKUP(I605,'CONTACT REFERENCE'!$A$2:$P$399,4,FALSE)</f>
        <v>BEST CUTTING DIE COMPANY</v>
      </c>
      <c r="K605" s="39"/>
      <c r="L605" s="39">
        <v>43492</v>
      </c>
      <c r="M605" s="88"/>
      <c r="N605" s="88"/>
      <c r="O605" s="89" t="s">
        <v>2926</v>
      </c>
      <c r="P605" s="82" t="s">
        <v>124</v>
      </c>
      <c r="Q605" s="81" t="s">
        <v>120</v>
      </c>
      <c r="R605" s="90">
        <v>0</v>
      </c>
      <c r="S605" s="88" t="s">
        <v>28</v>
      </c>
      <c r="T605" s="95">
        <v>41129</v>
      </c>
      <c r="U605" s="39" t="s">
        <v>2927</v>
      </c>
      <c r="V605" s="91"/>
      <c r="W605" s="92"/>
      <c r="X605" s="22">
        <v>36</v>
      </c>
      <c r="Y605" s="22"/>
      <c r="Z605" s="77" t="str">
        <f>CONCATENATE(Table1[[#This Row],[P.R NUMBER]],"-",Table1[[#This Row],[SR NO]])</f>
        <v>090912023030-1190</v>
      </c>
    </row>
    <row r="606" spans="1:26" x14ac:dyDescent="0.25">
      <c r="A606" s="73"/>
      <c r="B606" s="42">
        <v>1191</v>
      </c>
      <c r="C606" s="79">
        <v>41161</v>
      </c>
      <c r="D606" s="110" t="s">
        <v>122</v>
      </c>
      <c r="E606" s="111" t="s">
        <v>91</v>
      </c>
      <c r="F606" s="42" t="s">
        <v>88</v>
      </c>
      <c r="G606" s="112" t="s">
        <v>63</v>
      </c>
      <c r="H606" s="113" t="s">
        <v>2928</v>
      </c>
      <c r="I606" s="114"/>
      <c r="J606" s="52" t="e">
        <f>VLOOKUP(I606,'CONTACT REFERENCE'!$A$2:$P$399,4,FALSE)</f>
        <v>#N/A</v>
      </c>
      <c r="K606" s="42"/>
      <c r="L606" s="42"/>
      <c r="M606" s="115"/>
      <c r="N606" s="115"/>
      <c r="O606" s="116" t="s">
        <v>2929</v>
      </c>
      <c r="P606" s="113" t="s">
        <v>141</v>
      </c>
      <c r="Q606" s="112" t="s">
        <v>135</v>
      </c>
      <c r="R606" s="117">
        <v>0</v>
      </c>
      <c r="S606" s="115" t="s">
        <v>28</v>
      </c>
      <c r="T606" s="84">
        <v>40916</v>
      </c>
      <c r="U606" s="42" t="s">
        <v>2930</v>
      </c>
      <c r="V606" s="21"/>
      <c r="W606" s="78"/>
      <c r="X606" s="15">
        <v>36</v>
      </c>
      <c r="Z606" s="74" t="str">
        <f>CONCATENATE(Table1[[#This Row],[P.R NUMBER]],"-",Table1[[#This Row],[SR NO]])</f>
        <v>090912183060-1191</v>
      </c>
    </row>
    <row r="607" spans="1:26" x14ac:dyDescent="0.25">
      <c r="A607" s="73"/>
      <c r="B607" s="42">
        <v>1192</v>
      </c>
      <c r="C607" s="79">
        <v>41161</v>
      </c>
      <c r="D607" s="110" t="s">
        <v>122</v>
      </c>
      <c r="E607" s="111" t="s">
        <v>89</v>
      </c>
      <c r="F607" s="42" t="s">
        <v>1</v>
      </c>
      <c r="G607" s="112" t="s">
        <v>69</v>
      </c>
      <c r="H607" s="113" t="s">
        <v>2931</v>
      </c>
      <c r="I607" s="114" t="s">
        <v>1852</v>
      </c>
      <c r="J607" s="52" t="str">
        <f>VLOOKUP(I607,'CONTACT REFERENCE'!$A$2:$P$399,4,FALSE)</f>
        <v>CMS AIR COMPRESSORS</v>
      </c>
      <c r="K607" s="42"/>
      <c r="L607" s="50" t="s">
        <v>2932</v>
      </c>
      <c r="M607" s="115"/>
      <c r="N607" s="115"/>
      <c r="O607" s="116" t="s">
        <v>2933</v>
      </c>
      <c r="P607" s="113" t="s">
        <v>124</v>
      </c>
      <c r="Q607" s="112" t="s">
        <v>140</v>
      </c>
      <c r="R607" s="117">
        <v>7200</v>
      </c>
      <c r="S607" s="115" t="s">
        <v>28</v>
      </c>
      <c r="T607" s="84">
        <v>41161</v>
      </c>
      <c r="U607" s="42" t="s">
        <v>2934</v>
      </c>
      <c r="V607" s="21"/>
      <c r="W607" s="78"/>
      <c r="X607" s="15">
        <v>36</v>
      </c>
      <c r="Z607" s="74" t="str">
        <f>CONCATENATE(Table1[[#This Row],[P.R NUMBER]],"-",Table1[[#This Row],[SR NO]])</f>
        <v>090912241020-1192</v>
      </c>
    </row>
    <row r="608" spans="1:26" x14ac:dyDescent="0.25">
      <c r="A608" s="73"/>
      <c r="B608" s="42">
        <v>1193</v>
      </c>
      <c r="C608" s="79">
        <v>41161</v>
      </c>
      <c r="D608" s="110" t="s">
        <v>118</v>
      </c>
      <c r="E608" s="111" t="s">
        <v>89</v>
      </c>
      <c r="F608" s="42" t="s">
        <v>88</v>
      </c>
      <c r="G608" s="112" t="s">
        <v>72</v>
      </c>
      <c r="H608" s="113" t="s">
        <v>2935</v>
      </c>
      <c r="I608" s="114" t="s">
        <v>1826</v>
      </c>
      <c r="J608" s="52" t="str">
        <f>VLOOKUP(I608,'CONTACT REFERENCE'!$A$2:$P$399,4,FALSE)</f>
        <v>GEO ELECTRICALS CONTRACTING TRD CO LLC</v>
      </c>
      <c r="K608" s="42" t="s">
        <v>2936</v>
      </c>
      <c r="L608" s="42"/>
      <c r="M608" s="115"/>
      <c r="N608" s="115"/>
      <c r="O608" s="116" t="s">
        <v>2937</v>
      </c>
      <c r="P608" s="113" t="s">
        <v>124</v>
      </c>
      <c r="Q608" s="112" t="s">
        <v>120</v>
      </c>
      <c r="R608" s="117">
        <v>3450</v>
      </c>
      <c r="S608" s="115" t="s">
        <v>29</v>
      </c>
      <c r="T608" s="42"/>
      <c r="U608" s="42"/>
      <c r="V608" s="21"/>
      <c r="W608" s="78"/>
      <c r="X608" s="15">
        <v>36</v>
      </c>
      <c r="Z608" s="74" t="str">
        <f>CONCATENATE(Table1[[#This Row],[P.R NUMBER]],"-",Table1[[#This Row],[SR NO]])</f>
        <v>090912271060-1193</v>
      </c>
    </row>
    <row r="609" spans="1:26" x14ac:dyDescent="0.25">
      <c r="A609" s="73"/>
      <c r="B609" s="42">
        <v>1194</v>
      </c>
      <c r="C609" s="79">
        <v>41161</v>
      </c>
      <c r="D609" s="110" t="s">
        <v>118</v>
      </c>
      <c r="E609" s="111" t="s">
        <v>90</v>
      </c>
      <c r="F609" s="42" t="s">
        <v>1</v>
      </c>
      <c r="G609" s="112" t="s">
        <v>74</v>
      </c>
      <c r="H609" s="113" t="s">
        <v>2938</v>
      </c>
      <c r="I609" s="114" t="s">
        <v>341</v>
      </c>
      <c r="J609" s="52" t="str">
        <f>VLOOKUP(I609,'CONTACT REFERENCE'!$A$2:$P$399,4,FALSE)</f>
        <v>ADVANCE TECHNOLOGY BELTING TRD EST</v>
      </c>
      <c r="K609" s="42" t="s">
        <v>2939</v>
      </c>
      <c r="L609" s="42">
        <v>1209065</v>
      </c>
      <c r="M609" s="115"/>
      <c r="N609" s="115"/>
      <c r="O609" s="116" t="s">
        <v>2940</v>
      </c>
      <c r="P609" s="113" t="s">
        <v>136</v>
      </c>
      <c r="Q609" s="112" t="s">
        <v>120</v>
      </c>
      <c r="R609" s="117">
        <f>2*170</f>
        <v>340</v>
      </c>
      <c r="S609" s="115" t="s">
        <v>29</v>
      </c>
      <c r="T609" s="84">
        <v>41162</v>
      </c>
      <c r="U609" s="42"/>
      <c r="V609" s="21"/>
      <c r="W609" s="78"/>
      <c r="X609" s="15">
        <v>36</v>
      </c>
      <c r="Z609" s="74" t="str">
        <f>CONCATENATE(Table1[[#This Row],[P.R NUMBER]],"-",Table1[[#This Row],[SR NO]])</f>
        <v>090912292020-1194</v>
      </c>
    </row>
    <row r="610" spans="1:26" x14ac:dyDescent="0.25">
      <c r="A610" s="73"/>
      <c r="B610" s="42">
        <v>1195</v>
      </c>
      <c r="C610" s="118">
        <v>41222</v>
      </c>
      <c r="D610" s="110" t="s">
        <v>122</v>
      </c>
      <c r="E610" s="111" t="s">
        <v>90</v>
      </c>
      <c r="F610" s="42" t="s">
        <v>1</v>
      </c>
      <c r="G610" s="112" t="s">
        <v>70</v>
      </c>
      <c r="H610" s="113" t="s">
        <v>2941</v>
      </c>
      <c r="I610" s="114" t="s">
        <v>253</v>
      </c>
      <c r="J610" s="52" t="str">
        <f>VLOOKUP(I610,'CONTACT REFERENCE'!$A$2:$P$399,4,FALSE)</f>
        <v>SURE TACK SYSTEMS (DIVISION OF CRIST CO)</v>
      </c>
      <c r="K610" s="42"/>
      <c r="L610" s="42"/>
      <c r="M610" s="115"/>
      <c r="N610" s="115"/>
      <c r="O610" s="47" t="s">
        <v>1875</v>
      </c>
      <c r="P610" s="113" t="s">
        <v>137</v>
      </c>
      <c r="Q610" s="112" t="s">
        <v>120</v>
      </c>
      <c r="R610" s="117">
        <f>3*275</f>
        <v>825</v>
      </c>
      <c r="S610" s="115" t="s">
        <v>28</v>
      </c>
      <c r="T610" s="42"/>
      <c r="U610" s="42"/>
      <c r="V610" s="21"/>
      <c r="W610" s="78"/>
      <c r="X610" s="15">
        <v>37</v>
      </c>
      <c r="Z610" s="74" t="str">
        <f>CONCATENATE(Table1[[#This Row],[P.R NUMBER]],"-",Table1[[#This Row],[SR NO]])</f>
        <v>110912252020-1195</v>
      </c>
    </row>
    <row r="611" spans="1:26" x14ac:dyDescent="0.25">
      <c r="A611" s="73"/>
      <c r="B611" s="42">
        <v>1195</v>
      </c>
      <c r="C611" s="118">
        <v>41222</v>
      </c>
      <c r="D611" s="110" t="s">
        <v>122</v>
      </c>
      <c r="E611" s="111" t="s">
        <v>90</v>
      </c>
      <c r="F611" s="42" t="s">
        <v>1</v>
      </c>
      <c r="G611" s="112" t="s">
        <v>70</v>
      </c>
      <c r="H611" s="113" t="s">
        <v>2941</v>
      </c>
      <c r="I611" s="114" t="s">
        <v>253</v>
      </c>
      <c r="J611" s="52" t="str">
        <f>VLOOKUP(I611,'CONTACT REFERENCE'!$A$2:$P$399,4,FALSE)</f>
        <v>SURE TACK SYSTEMS (DIVISION OF CRIST CO)</v>
      </c>
      <c r="K611" s="42"/>
      <c r="L611" s="42"/>
      <c r="M611" s="115"/>
      <c r="N611" s="115"/>
      <c r="O611" s="47" t="s">
        <v>1923</v>
      </c>
      <c r="P611" s="113" t="s">
        <v>137</v>
      </c>
      <c r="Q611" s="112" t="s">
        <v>120</v>
      </c>
      <c r="R611" s="117">
        <f>3*80</f>
        <v>240</v>
      </c>
      <c r="S611" s="115" t="s">
        <v>28</v>
      </c>
      <c r="T611" s="42"/>
      <c r="U611" s="42"/>
      <c r="V611" s="21"/>
      <c r="W611" s="78"/>
      <c r="X611" s="15">
        <v>37</v>
      </c>
      <c r="Z611" s="74" t="str">
        <f>CONCATENATE(Table1[[#This Row],[P.R NUMBER]],"-",Table1[[#This Row],[SR NO]])</f>
        <v>110912252020-1195</v>
      </c>
    </row>
    <row r="612" spans="1:26" x14ac:dyDescent="0.25">
      <c r="A612" s="73"/>
      <c r="B612" s="42">
        <v>1195</v>
      </c>
      <c r="C612" s="118">
        <v>41222</v>
      </c>
      <c r="D612" s="110" t="s">
        <v>122</v>
      </c>
      <c r="E612" s="111" t="s">
        <v>90</v>
      </c>
      <c r="F612" s="42" t="s">
        <v>1</v>
      </c>
      <c r="G612" s="112" t="s">
        <v>70</v>
      </c>
      <c r="H612" s="113" t="s">
        <v>2941</v>
      </c>
      <c r="I612" s="114" t="s">
        <v>253</v>
      </c>
      <c r="J612" s="52" t="str">
        <f>VLOOKUP(I612,'CONTACT REFERENCE'!$A$2:$P$399,4,FALSE)</f>
        <v>SURE TACK SYSTEMS (DIVISION OF CRIST CO)</v>
      </c>
      <c r="K612" s="42"/>
      <c r="L612" s="42"/>
      <c r="M612" s="115"/>
      <c r="N612" s="115"/>
      <c r="O612" s="47" t="s">
        <v>2679</v>
      </c>
      <c r="P612" s="45" t="s">
        <v>124</v>
      </c>
      <c r="Q612" s="49" t="s">
        <v>120</v>
      </c>
      <c r="R612" s="48">
        <v>23</v>
      </c>
      <c r="S612" s="41" t="s">
        <v>28</v>
      </c>
      <c r="T612" s="42"/>
      <c r="U612" s="42"/>
      <c r="V612" s="21"/>
      <c r="W612" s="78"/>
      <c r="X612" s="15">
        <v>37</v>
      </c>
      <c r="Z612" s="74" t="str">
        <f>CONCATENATE(Table1[[#This Row],[P.R NUMBER]],"-",Table1[[#This Row],[SR NO]])</f>
        <v>110912252020-1195</v>
      </c>
    </row>
    <row r="613" spans="1:26" x14ac:dyDescent="0.25">
      <c r="A613" s="73"/>
      <c r="B613" s="42">
        <v>1196</v>
      </c>
      <c r="C613" s="118">
        <v>41222</v>
      </c>
      <c r="D613" s="110" t="s">
        <v>118</v>
      </c>
      <c r="E613" s="111" t="s">
        <v>90</v>
      </c>
      <c r="F613" s="42" t="s">
        <v>1</v>
      </c>
      <c r="G613" s="112" t="s">
        <v>72</v>
      </c>
      <c r="H613" s="113" t="s">
        <v>2942</v>
      </c>
      <c r="I613" s="83" t="s">
        <v>1854</v>
      </c>
      <c r="J613" s="52" t="str">
        <f>VLOOKUP(I613,'CONTACT REFERENCE'!$A$2:$P$399,4,FALSE)</f>
        <v>WSM MACHINERY</v>
      </c>
      <c r="K613" s="42" t="s">
        <v>2674</v>
      </c>
      <c r="L613" s="42"/>
      <c r="M613" s="115"/>
      <c r="N613" s="115"/>
      <c r="O613" s="47" t="s">
        <v>2943</v>
      </c>
      <c r="P613" s="45" t="s">
        <v>141</v>
      </c>
      <c r="Q613" s="49" t="s">
        <v>120</v>
      </c>
      <c r="R613" s="117">
        <f>4*85</f>
        <v>340</v>
      </c>
      <c r="S613" s="41" t="s">
        <v>29</v>
      </c>
      <c r="T613" s="42"/>
      <c r="U613" s="42"/>
      <c r="V613" s="21"/>
      <c r="W613" s="78"/>
      <c r="X613" s="15">
        <v>37</v>
      </c>
      <c r="Z613" s="74" t="str">
        <f>CONCATENATE(Table1[[#This Row],[P.R NUMBER]],"-",Table1[[#This Row],[SR NO]])</f>
        <v>110912272020-1196</v>
      </c>
    </row>
    <row r="614" spans="1:26" x14ac:dyDescent="0.25">
      <c r="A614" s="73"/>
      <c r="B614" s="42">
        <v>1197</v>
      </c>
      <c r="C614" s="118">
        <v>41252</v>
      </c>
      <c r="D614" s="110" t="s">
        <v>118</v>
      </c>
      <c r="E614" s="111" t="s">
        <v>90</v>
      </c>
      <c r="F614" s="42" t="s">
        <v>1</v>
      </c>
      <c r="G614" s="112" t="s">
        <v>72</v>
      </c>
      <c r="H614" s="113" t="s">
        <v>2944</v>
      </c>
      <c r="I614" s="114" t="s">
        <v>341</v>
      </c>
      <c r="J614" s="52" t="str">
        <f>VLOOKUP(I614,'CONTACT REFERENCE'!$A$2:$P$399,4,FALSE)</f>
        <v>ADVANCE TECHNOLOGY BELTING TRD EST</v>
      </c>
      <c r="K614" s="42" t="s">
        <v>2945</v>
      </c>
      <c r="L614" s="42"/>
      <c r="M614" s="41" t="s">
        <v>57</v>
      </c>
      <c r="N614" s="41"/>
      <c r="O614" s="47" t="s">
        <v>2946</v>
      </c>
      <c r="P614" s="45" t="s">
        <v>136</v>
      </c>
      <c r="Q614" s="49" t="s">
        <v>120</v>
      </c>
      <c r="R614" s="48">
        <v>180</v>
      </c>
      <c r="S614" s="41" t="s">
        <v>29</v>
      </c>
      <c r="T614" s="42"/>
      <c r="U614" s="42"/>
      <c r="V614" s="21"/>
      <c r="W614" s="78"/>
      <c r="X614" s="15">
        <v>37</v>
      </c>
      <c r="Z614" s="74" t="str">
        <f>CONCATENATE(Table1[[#This Row],[P.R NUMBER]],"-",Table1[[#This Row],[SR NO]])</f>
        <v>120912112020-1197</v>
      </c>
    </row>
    <row r="615" spans="1:26" x14ac:dyDescent="0.25">
      <c r="A615" s="73"/>
      <c r="B615" s="42">
        <v>1306</v>
      </c>
      <c r="C615" s="118">
        <v>41277</v>
      </c>
      <c r="D615" s="110" t="s">
        <v>118</v>
      </c>
      <c r="E615" s="111" t="s">
        <v>90</v>
      </c>
      <c r="F615" s="42" t="s">
        <v>1</v>
      </c>
      <c r="G615" s="112" t="s">
        <v>70</v>
      </c>
      <c r="H615" s="113" t="s">
        <v>8762</v>
      </c>
      <c r="I615" s="114" t="s">
        <v>341</v>
      </c>
      <c r="J615" s="52" t="str">
        <f>VLOOKUP(I615,'CONTACT REFERENCE'!$A$2:$P$399,4,FALSE)</f>
        <v>ADVANCE TECHNOLOGY BELTING TRD EST</v>
      </c>
      <c r="K615" s="42" t="s">
        <v>2981</v>
      </c>
      <c r="L615" s="42"/>
      <c r="M615" s="115"/>
      <c r="N615" s="115"/>
      <c r="O615" s="116" t="s">
        <v>2982</v>
      </c>
      <c r="P615" s="113" t="s">
        <v>136</v>
      </c>
      <c r="Q615" s="112" t="s">
        <v>120</v>
      </c>
      <c r="R615" s="117">
        <v>290</v>
      </c>
      <c r="S615" s="115" t="s">
        <v>29</v>
      </c>
      <c r="T615" s="42"/>
      <c r="U615" s="42"/>
      <c r="V615" s="21"/>
      <c r="W615" s="78"/>
      <c r="X615" s="15">
        <v>1</v>
      </c>
      <c r="Z615" s="74" t="str">
        <f>CONCATENATE(Table1[[#This Row],[P.R NUMBER]],"-",Table1[[#This Row],[SR NO]])</f>
        <v>250819252020-1306</v>
      </c>
    </row>
    <row r="616" spans="1:26" x14ac:dyDescent="0.25">
      <c r="A616" s="73">
        <v>1</v>
      </c>
      <c r="B616" s="42">
        <v>2000</v>
      </c>
      <c r="C616" s="118">
        <v>43702</v>
      </c>
      <c r="D616" s="110" t="s">
        <v>118</v>
      </c>
      <c r="E616" s="111" t="s">
        <v>90</v>
      </c>
      <c r="F616" s="42" t="s">
        <v>0</v>
      </c>
      <c r="G616" s="112" t="s">
        <v>51</v>
      </c>
      <c r="H616" s="113" t="s">
        <v>8763</v>
      </c>
      <c r="I616" s="114" t="s">
        <v>341</v>
      </c>
      <c r="J616" s="52" t="str">
        <f>VLOOKUP(I616,'CONTACT REFERENCE'!$A$2:$P$399,4,FALSE)</f>
        <v>ADVANCE TECHNOLOGY BELTING TRD EST</v>
      </c>
      <c r="K616" s="42"/>
      <c r="L616" s="42"/>
      <c r="M616" s="115"/>
      <c r="N616" s="115"/>
      <c r="O616" s="47" t="str">
        <f>VLOOKUP(Table1[[#This Row],[PROD CODE]],Parts_List!$A$2:$U$1384,5,FALSE)</f>
        <v>BALL BEARING 6002-2Z (15 x 32 x 9 mm)</v>
      </c>
      <c r="P616" s="45" t="s">
        <v>124</v>
      </c>
      <c r="Q616" s="112" t="s">
        <v>120</v>
      </c>
      <c r="R616" s="117">
        <v>100</v>
      </c>
      <c r="S616" s="115" t="s">
        <v>29</v>
      </c>
      <c r="T616" s="42"/>
      <c r="U616" s="42"/>
      <c r="V616" s="21"/>
      <c r="W616" s="78"/>
      <c r="Y616" s="15" t="s">
        <v>6445</v>
      </c>
      <c r="Z616" s="74" t="str">
        <f>CONCATENATE(Table1[[#This Row],[P.R NUMBER]],"-",Table1[[#This Row],[SR NO]])</f>
        <v>250819042010-2000</v>
      </c>
    </row>
    <row r="617" spans="1:26" x14ac:dyDescent="0.25">
      <c r="A617" s="73">
        <v>2</v>
      </c>
      <c r="B617" s="42">
        <v>2000</v>
      </c>
      <c r="C617" s="118">
        <v>43702</v>
      </c>
      <c r="D617" s="110" t="s">
        <v>118</v>
      </c>
      <c r="E617" s="111" t="s">
        <v>90</v>
      </c>
      <c r="F617" s="42" t="s">
        <v>0</v>
      </c>
      <c r="G617" s="112" t="s">
        <v>51</v>
      </c>
      <c r="H617" s="113" t="s">
        <v>8763</v>
      </c>
      <c r="I617" s="114" t="s">
        <v>341</v>
      </c>
      <c r="J617" s="52" t="str">
        <f>VLOOKUP(I617,'CONTACT REFERENCE'!$A$2:$P$399,4,FALSE)</f>
        <v>ADVANCE TECHNOLOGY BELTING TRD EST</v>
      </c>
      <c r="K617" s="42"/>
      <c r="L617" s="42"/>
      <c r="M617" s="115"/>
      <c r="N617" s="115"/>
      <c r="O617" s="47" t="s">
        <v>8767</v>
      </c>
      <c r="P617" s="113"/>
      <c r="Q617" s="112"/>
      <c r="R617" s="117"/>
      <c r="S617" s="115"/>
      <c r="T617" s="42"/>
      <c r="U617" s="42"/>
      <c r="V617" s="21"/>
      <c r="W617" s="78"/>
      <c r="Z617" s="74" t="str">
        <f>CONCATENATE(Table1[[#This Row],[P.R NUMBER]],"-",Table1[[#This Row],[SR NO]])</f>
        <v>250819042010-2000</v>
      </c>
    </row>
    <row r="618" spans="1:26" x14ac:dyDescent="0.25">
      <c r="A618" s="73">
        <v>3</v>
      </c>
      <c r="B618" s="42">
        <v>2000</v>
      </c>
      <c r="C618" s="118">
        <v>43702</v>
      </c>
      <c r="D618" s="110" t="s">
        <v>118</v>
      </c>
      <c r="E618" s="111" t="s">
        <v>90</v>
      </c>
      <c r="F618" s="42" t="s">
        <v>0</v>
      </c>
      <c r="G618" s="112" t="s">
        <v>51</v>
      </c>
      <c r="H618" s="113" t="s">
        <v>8763</v>
      </c>
      <c r="I618" s="114" t="s">
        <v>341</v>
      </c>
      <c r="J618" s="52" t="str">
        <f>VLOOKUP(I618,'CONTACT REFERENCE'!$A$2:$P$399,4,FALSE)</f>
        <v>ADVANCE TECHNOLOGY BELTING TRD EST</v>
      </c>
      <c r="K618" s="42"/>
      <c r="L618" s="42"/>
      <c r="M618" s="115"/>
      <c r="N618" s="115"/>
      <c r="O618" s="47" t="str">
        <f>IFERROR(VLOOKUP(Table1[[#This Row],[PROD CODE]],Parts_List!$A$2:$U$1384,5,FALSE),"")</f>
        <v>BALL BEARING 6000-2Z (10 x 26 x 8 mm)</v>
      </c>
      <c r="P618" s="113"/>
      <c r="Q618" s="112"/>
      <c r="R618" s="117"/>
      <c r="S618" s="115"/>
      <c r="T618" s="42"/>
      <c r="U618" s="42"/>
      <c r="V618" s="21"/>
      <c r="W618" s="78"/>
      <c r="Y618" s="15" t="s">
        <v>6443</v>
      </c>
      <c r="Z618" s="74" t="str">
        <f>CONCATENATE(Table1[[#This Row],[P.R NUMBER]],"-",Table1[[#This Row],[SR NO]])</f>
        <v>250819042010-2000</v>
      </c>
    </row>
    <row r="619" spans="1:26" x14ac:dyDescent="0.25">
      <c r="A619" s="73">
        <v>4</v>
      </c>
      <c r="B619" s="42">
        <v>2000</v>
      </c>
      <c r="C619" s="118">
        <v>43702</v>
      </c>
      <c r="D619" s="110" t="s">
        <v>118</v>
      </c>
      <c r="E619" s="111" t="s">
        <v>90</v>
      </c>
      <c r="F619" s="42" t="s">
        <v>0</v>
      </c>
      <c r="G619" s="112" t="s">
        <v>51</v>
      </c>
      <c r="H619" s="113" t="s">
        <v>8763</v>
      </c>
      <c r="I619" s="114" t="s">
        <v>341</v>
      </c>
      <c r="J619" s="52" t="str">
        <f>VLOOKUP(I619,'CONTACT REFERENCE'!$A$2:$P$399,4,FALSE)</f>
        <v>ADVANCE TECHNOLOGY BELTING TRD EST</v>
      </c>
      <c r="K619" s="42"/>
      <c r="L619" s="42"/>
      <c r="M619" s="115"/>
      <c r="N619" s="115"/>
      <c r="O619" s="47" t="s">
        <v>8768</v>
      </c>
      <c r="P619" s="113"/>
      <c r="Q619" s="112"/>
      <c r="R619" s="117"/>
      <c r="S619" s="115"/>
      <c r="T619" s="42"/>
      <c r="U619" s="42"/>
      <c r="V619" s="21"/>
      <c r="W619" s="78"/>
      <c r="Z619" s="74" t="str">
        <f>CONCATENATE(Table1[[#This Row],[P.R NUMBER]],"-",Table1[[#This Row],[SR NO]])</f>
        <v>250819042010-2000</v>
      </c>
    </row>
    <row r="620" spans="1:26" x14ac:dyDescent="0.25">
      <c r="A620" s="73">
        <v>5</v>
      </c>
      <c r="B620" s="42">
        <v>2000</v>
      </c>
      <c r="C620" s="118">
        <v>43702</v>
      </c>
      <c r="D620" s="110" t="s">
        <v>118</v>
      </c>
      <c r="E620" s="111" t="s">
        <v>90</v>
      </c>
      <c r="F620" s="42" t="s">
        <v>0</v>
      </c>
      <c r="G620" s="112" t="s">
        <v>51</v>
      </c>
      <c r="H620" s="113" t="s">
        <v>8763</v>
      </c>
      <c r="I620" s="114" t="s">
        <v>341</v>
      </c>
      <c r="J620" s="52" t="str">
        <f>VLOOKUP(I620,'CONTACT REFERENCE'!$A$2:$P$399,4,FALSE)</f>
        <v>ADVANCE TECHNOLOGY BELTING TRD EST</v>
      </c>
      <c r="K620" s="42"/>
      <c r="L620" s="42"/>
      <c r="M620" s="115"/>
      <c r="N620" s="115"/>
      <c r="O620" s="47" t="str">
        <f>IFERROR(VLOOKUP(Table1[[#This Row],[PROD CODE]],Parts_List!$A$2:$U$1384,5,FALSE),"")</f>
        <v>BALL BEARING 6010-2Z (50 x 80 x 16 mm)</v>
      </c>
      <c r="P620" s="113"/>
      <c r="Q620" s="112"/>
      <c r="R620" s="117"/>
      <c r="S620" s="115"/>
      <c r="T620" s="42"/>
      <c r="U620" s="42"/>
      <c r="V620" s="21"/>
      <c r="W620" s="78"/>
      <c r="Y620" s="15" t="s">
        <v>6463</v>
      </c>
      <c r="Z620" s="74" t="str">
        <f>CONCATENATE(Table1[[#This Row],[P.R NUMBER]],"-",Table1[[#This Row],[SR NO]])</f>
        <v>250819042010-2000</v>
      </c>
    </row>
    <row r="621" spans="1:26" x14ac:dyDescent="0.25">
      <c r="A621" s="73"/>
      <c r="B621" s="42"/>
      <c r="C621" s="118"/>
      <c r="D621" s="110"/>
      <c r="E621" s="111"/>
      <c r="F621" s="42"/>
      <c r="G621" s="112"/>
      <c r="H621" s="113"/>
      <c r="I621" s="114"/>
      <c r="J621" s="52" t="e">
        <f>VLOOKUP(I621,'CONTACT REFERENCE'!$A$2:$P$399,4,FALSE)</f>
        <v>#N/A</v>
      </c>
      <c r="K621" s="42"/>
      <c r="L621" s="42"/>
      <c r="M621" s="115"/>
      <c r="N621" s="115"/>
      <c r="O621" s="116"/>
      <c r="P621" s="113"/>
      <c r="Q621" s="112"/>
      <c r="R621" s="117"/>
      <c r="S621" s="115"/>
      <c r="T621" s="42"/>
      <c r="U621" s="42"/>
      <c r="V621" s="21"/>
      <c r="W621" s="78"/>
      <c r="Z621" s="74" t="str">
        <f>CONCATENATE(Table1[[#This Row],[P.R NUMBER]],"-",Table1[[#This Row],[SR NO]])</f>
        <v>-</v>
      </c>
    </row>
    <row r="622" spans="1:26" x14ac:dyDescent="0.25">
      <c r="A622" s="73"/>
      <c r="B622" s="42"/>
      <c r="C622" s="118"/>
      <c r="D622" s="110"/>
      <c r="E622" s="111"/>
      <c r="F622" s="42"/>
      <c r="G622" s="112"/>
      <c r="H622" s="113"/>
      <c r="I622" s="114"/>
      <c r="J622" s="52" t="e">
        <f>VLOOKUP(I622,'CONTACT REFERENCE'!$A$2:$P$399,4,FALSE)</f>
        <v>#N/A</v>
      </c>
      <c r="K622" s="42"/>
      <c r="L622" s="42"/>
      <c r="M622" s="115"/>
      <c r="N622" s="115"/>
      <c r="O622" s="116"/>
      <c r="P622" s="113"/>
      <c r="Q622" s="112"/>
      <c r="R622" s="117"/>
      <c r="S622" s="115"/>
      <c r="T622" s="42"/>
      <c r="U622" s="42"/>
      <c r="V622" s="21"/>
      <c r="W622" s="78"/>
      <c r="Z622" s="74" t="str">
        <f>CONCATENATE(Table1[[#This Row],[P.R NUMBER]],"-",Table1[[#This Row],[SR NO]])</f>
        <v>-</v>
      </c>
    </row>
    <row r="623" spans="1:26" x14ac:dyDescent="0.25">
      <c r="A623" s="73"/>
      <c r="B623" s="42"/>
      <c r="C623" s="118"/>
      <c r="D623" s="110"/>
      <c r="E623" s="111"/>
      <c r="F623" s="42"/>
      <c r="G623" s="112"/>
      <c r="H623" s="113"/>
      <c r="I623" s="114"/>
      <c r="J623" s="52" t="e">
        <f>VLOOKUP(I623,'CONTACT REFERENCE'!$A$2:$P$399,4,FALSE)</f>
        <v>#N/A</v>
      </c>
      <c r="K623" s="42"/>
      <c r="L623" s="42"/>
      <c r="M623" s="115"/>
      <c r="N623" s="115"/>
      <c r="O623" s="116"/>
      <c r="P623" s="113"/>
      <c r="Q623" s="112"/>
      <c r="R623" s="117"/>
      <c r="S623" s="115"/>
      <c r="T623" s="42"/>
      <c r="U623" s="42"/>
      <c r="V623" s="21"/>
      <c r="W623" s="78"/>
      <c r="Z623" s="74" t="str">
        <f>CONCATENATE(Table1[[#This Row],[P.R NUMBER]],"-",Table1[[#This Row],[SR NO]])</f>
        <v>-</v>
      </c>
    </row>
    <row r="624" spans="1:26" x14ac:dyDescent="0.25">
      <c r="A624" s="73"/>
      <c r="B624" s="42"/>
      <c r="C624" s="118"/>
      <c r="D624" s="110"/>
      <c r="E624" s="111"/>
      <c r="F624" s="42"/>
      <c r="G624" s="112"/>
      <c r="H624" s="113"/>
      <c r="I624" s="114"/>
      <c r="J624" s="52" t="e">
        <f>VLOOKUP(I624,'CONTACT REFERENCE'!$A$2:$P$399,4,FALSE)</f>
        <v>#N/A</v>
      </c>
      <c r="K624" s="42"/>
      <c r="L624" s="42"/>
      <c r="M624" s="115"/>
      <c r="N624" s="115"/>
      <c r="O624" s="116"/>
      <c r="P624" s="113"/>
      <c r="Q624" s="112"/>
      <c r="R624" s="117"/>
      <c r="S624" s="115"/>
      <c r="T624" s="42"/>
      <c r="U624" s="42"/>
      <c r="V624" s="21"/>
      <c r="W624" s="78"/>
      <c r="Z624" s="74" t="str">
        <f>CONCATENATE(Table1[[#This Row],[P.R NUMBER]],"-",Table1[[#This Row],[SR NO]])</f>
        <v>-</v>
      </c>
    </row>
    <row r="625" spans="1:26" x14ac:dyDescent="0.25">
      <c r="A625" s="73"/>
      <c r="B625" s="42"/>
      <c r="C625" s="118"/>
      <c r="D625" s="110"/>
      <c r="E625" s="111"/>
      <c r="F625" s="42"/>
      <c r="G625" s="112"/>
      <c r="H625" s="113"/>
      <c r="I625" s="114"/>
      <c r="J625" s="52" t="e">
        <f>VLOOKUP(I625,'CONTACT REFERENCE'!$A$2:$P$399,4,FALSE)</f>
        <v>#N/A</v>
      </c>
      <c r="K625" s="42"/>
      <c r="L625" s="42"/>
      <c r="M625" s="115"/>
      <c r="N625" s="115"/>
      <c r="O625" s="116"/>
      <c r="P625" s="113"/>
      <c r="Q625" s="112"/>
      <c r="R625" s="117"/>
      <c r="S625" s="115"/>
      <c r="T625" s="42"/>
      <c r="U625" s="42"/>
      <c r="V625" s="21"/>
      <c r="W625" s="78"/>
      <c r="Z625" s="74" t="str">
        <f>CONCATENATE(Table1[[#This Row],[P.R NUMBER]],"-",Table1[[#This Row],[SR NO]])</f>
        <v>-</v>
      </c>
    </row>
    <row r="626" spans="1:26" x14ac:dyDescent="0.25">
      <c r="A626" s="73"/>
      <c r="B626" s="42"/>
      <c r="C626" s="118"/>
      <c r="D626" s="110"/>
      <c r="E626" s="111"/>
      <c r="F626" s="42"/>
      <c r="G626" s="112"/>
      <c r="H626" s="113"/>
      <c r="I626" s="114"/>
      <c r="J626" s="52" t="e">
        <f>VLOOKUP(I626,'CONTACT REFERENCE'!$A$2:$P$399,4,FALSE)</f>
        <v>#N/A</v>
      </c>
      <c r="K626" s="42"/>
      <c r="L626" s="42"/>
      <c r="M626" s="115"/>
      <c r="N626" s="115"/>
      <c r="O626" s="116"/>
      <c r="P626" s="113"/>
      <c r="Q626" s="112"/>
      <c r="R626" s="117"/>
      <c r="S626" s="115"/>
      <c r="T626" s="42"/>
      <c r="U626" s="42"/>
      <c r="V626" s="21"/>
      <c r="W626" s="78"/>
      <c r="Z626" s="74" t="str">
        <f>CONCATENATE(Table1[[#This Row],[P.R NUMBER]],"-",Table1[[#This Row],[SR NO]])</f>
        <v>-</v>
      </c>
    </row>
    <row r="627" spans="1:26" x14ac:dyDescent="0.25">
      <c r="A627" s="73"/>
      <c r="B627" s="42"/>
      <c r="C627" s="118"/>
      <c r="D627" s="110"/>
      <c r="E627" s="111"/>
      <c r="F627" s="42"/>
      <c r="G627" s="112"/>
      <c r="H627" s="113"/>
      <c r="I627" s="114"/>
      <c r="J627" s="52" t="e">
        <f>VLOOKUP(I627,'CONTACT REFERENCE'!$A$2:$P$399,4,FALSE)</f>
        <v>#N/A</v>
      </c>
      <c r="K627" s="42"/>
      <c r="L627" s="42"/>
      <c r="M627" s="115"/>
      <c r="N627" s="115"/>
      <c r="O627" s="116"/>
      <c r="P627" s="113"/>
      <c r="Q627" s="112"/>
      <c r="R627" s="117"/>
      <c r="S627" s="115"/>
      <c r="T627" s="42"/>
      <c r="U627" s="42"/>
      <c r="V627" s="21"/>
      <c r="W627" s="78"/>
      <c r="Z627" s="74" t="str">
        <f>CONCATENATE(Table1[[#This Row],[P.R NUMBER]],"-",Table1[[#This Row],[SR NO]])</f>
        <v>-</v>
      </c>
    </row>
    <row r="628" spans="1:26" x14ac:dyDescent="0.25">
      <c r="A628" s="73"/>
      <c r="B628" s="42"/>
      <c r="C628" s="118"/>
      <c r="D628" s="110"/>
      <c r="E628" s="111"/>
      <c r="F628" s="42"/>
      <c r="G628" s="112"/>
      <c r="H628" s="113"/>
      <c r="I628" s="114"/>
      <c r="J628" s="52" t="e">
        <f>VLOOKUP(I628,'CONTACT REFERENCE'!$A$2:$P$399,4,FALSE)</f>
        <v>#N/A</v>
      </c>
      <c r="K628" s="42"/>
      <c r="L628" s="42"/>
      <c r="M628" s="115"/>
      <c r="N628" s="115"/>
      <c r="O628" s="116"/>
      <c r="P628" s="113"/>
      <c r="Q628" s="112"/>
      <c r="R628" s="117"/>
      <c r="S628" s="115"/>
      <c r="T628" s="42"/>
      <c r="U628" s="42"/>
      <c r="V628" s="21"/>
      <c r="W628" s="78"/>
      <c r="Z628" s="74" t="str">
        <f>CONCATENATE(Table1[[#This Row],[P.R NUMBER]],"-",Table1[[#This Row],[SR NO]])</f>
        <v>-</v>
      </c>
    </row>
    <row r="629" spans="1:26" x14ac:dyDescent="0.25">
      <c r="A629" s="73"/>
      <c r="B629" s="42"/>
      <c r="C629" s="118"/>
      <c r="D629" s="110"/>
      <c r="E629" s="111"/>
      <c r="F629" s="42"/>
      <c r="G629" s="112"/>
      <c r="H629" s="113"/>
      <c r="I629" s="114"/>
      <c r="J629" s="52" t="e">
        <f>VLOOKUP(I629,'CONTACT REFERENCE'!$A$2:$P$399,4,FALSE)</f>
        <v>#N/A</v>
      </c>
      <c r="K629" s="42"/>
      <c r="L629" s="42"/>
      <c r="M629" s="115"/>
      <c r="N629" s="115"/>
      <c r="O629" s="116"/>
      <c r="P629" s="113"/>
      <c r="Q629" s="112"/>
      <c r="R629" s="117"/>
      <c r="S629" s="115"/>
      <c r="T629" s="42"/>
      <c r="U629" s="42"/>
      <c r="V629" s="21"/>
      <c r="W629" s="78"/>
      <c r="Z629" s="74" t="str">
        <f>CONCATENATE(Table1[[#This Row],[P.R NUMBER]],"-",Table1[[#This Row],[SR NO]])</f>
        <v>-</v>
      </c>
    </row>
    <row r="630" spans="1:26" x14ac:dyDescent="0.25">
      <c r="A630" s="73"/>
      <c r="B630" s="42"/>
      <c r="C630" s="118"/>
      <c r="D630" s="110"/>
      <c r="E630" s="111"/>
      <c r="F630" s="42"/>
      <c r="G630" s="112"/>
      <c r="H630" s="113"/>
      <c r="I630" s="114"/>
      <c r="J630" s="52" t="e">
        <f>VLOOKUP(I630,'CONTACT REFERENCE'!$A$2:$P$399,4,FALSE)</f>
        <v>#N/A</v>
      </c>
      <c r="K630" s="42"/>
      <c r="L630" s="42"/>
      <c r="M630" s="115"/>
      <c r="N630" s="115"/>
      <c r="O630" s="116"/>
      <c r="P630" s="113"/>
      <c r="Q630" s="112"/>
      <c r="R630" s="117"/>
      <c r="S630" s="115"/>
      <c r="T630" s="42"/>
      <c r="U630" s="42"/>
      <c r="V630" s="21"/>
      <c r="W630" s="78"/>
      <c r="Z630" s="74" t="str">
        <f>CONCATENATE(Table1[[#This Row],[P.R NUMBER]],"-",Table1[[#This Row],[SR NO]])</f>
        <v>-</v>
      </c>
    </row>
    <row r="631" spans="1:26" x14ac:dyDescent="0.25">
      <c r="A631" s="73"/>
      <c r="B631" s="42"/>
      <c r="C631" s="118"/>
      <c r="D631" s="110"/>
      <c r="E631" s="111"/>
      <c r="F631" s="42"/>
      <c r="G631" s="112"/>
      <c r="H631" s="113"/>
      <c r="I631" s="114"/>
      <c r="J631" s="52" t="e">
        <f>VLOOKUP(I631,'CONTACT REFERENCE'!$A$2:$P$399,4,FALSE)</f>
        <v>#N/A</v>
      </c>
      <c r="K631" s="42"/>
      <c r="L631" s="42"/>
      <c r="M631" s="115"/>
      <c r="N631" s="115"/>
      <c r="O631" s="116"/>
      <c r="P631" s="113"/>
      <c r="Q631" s="112"/>
      <c r="R631" s="117"/>
      <c r="S631" s="115"/>
      <c r="T631" s="42"/>
      <c r="U631" s="42"/>
      <c r="V631" s="21"/>
      <c r="W631" s="78"/>
      <c r="Z631" s="74" t="str">
        <f>CONCATENATE(Table1[[#This Row],[P.R NUMBER]],"-",Table1[[#This Row],[SR NO]])</f>
        <v>-</v>
      </c>
    </row>
    <row r="632" spans="1:26" x14ac:dyDescent="0.25">
      <c r="A632" s="73"/>
      <c r="B632" s="42"/>
      <c r="C632" s="118"/>
      <c r="D632" s="110"/>
      <c r="E632" s="111"/>
      <c r="F632" s="42"/>
      <c r="G632" s="112"/>
      <c r="H632" s="113"/>
      <c r="I632" s="114"/>
      <c r="J632" s="52" t="e">
        <f>VLOOKUP(I632,'CONTACT REFERENCE'!$A$2:$P$399,4,FALSE)</f>
        <v>#N/A</v>
      </c>
      <c r="K632" s="42"/>
      <c r="L632" s="42"/>
      <c r="M632" s="115"/>
      <c r="N632" s="115"/>
      <c r="O632" s="116"/>
      <c r="P632" s="113"/>
      <c r="Q632" s="112"/>
      <c r="R632" s="117"/>
      <c r="S632" s="115"/>
      <c r="T632" s="42"/>
      <c r="U632" s="42"/>
      <c r="V632" s="21"/>
      <c r="W632" s="78"/>
      <c r="Z632" s="74" t="str">
        <f>CONCATENATE(Table1[[#This Row],[P.R NUMBER]],"-",Table1[[#This Row],[SR NO]])</f>
        <v>-</v>
      </c>
    </row>
    <row r="633" spans="1:26" x14ac:dyDescent="0.25">
      <c r="A633" s="73"/>
      <c r="B633" s="42"/>
      <c r="C633" s="118"/>
      <c r="D633" s="110"/>
      <c r="E633" s="111"/>
      <c r="F633" s="42"/>
      <c r="G633" s="112"/>
      <c r="H633" s="113"/>
      <c r="I633" s="114"/>
      <c r="J633" s="52" t="e">
        <f>VLOOKUP(I633,'CONTACT REFERENCE'!$A$2:$P$399,4,FALSE)</f>
        <v>#N/A</v>
      </c>
      <c r="K633" s="42"/>
      <c r="L633" s="42"/>
      <c r="M633" s="115"/>
      <c r="N633" s="115"/>
      <c r="O633" s="116"/>
      <c r="P633" s="113"/>
      <c r="Q633" s="112"/>
      <c r="R633" s="117"/>
      <c r="S633" s="115"/>
      <c r="T633" s="42"/>
      <c r="U633" s="42"/>
      <c r="V633" s="21"/>
      <c r="W633" s="78"/>
      <c r="Z633" s="74" t="str">
        <f>CONCATENATE(Table1[[#This Row],[P.R NUMBER]],"-",Table1[[#This Row],[SR NO]])</f>
        <v>-</v>
      </c>
    </row>
    <row r="634" spans="1:26" x14ac:dyDescent="0.25">
      <c r="A634" s="73"/>
      <c r="B634" s="42"/>
      <c r="C634" s="118"/>
      <c r="D634" s="110"/>
      <c r="E634" s="111"/>
      <c r="F634" s="42"/>
      <c r="G634" s="112"/>
      <c r="H634" s="113"/>
      <c r="I634" s="114"/>
      <c r="J634" s="52" t="e">
        <f>VLOOKUP(I634,'CONTACT REFERENCE'!$A$2:$P$399,4,FALSE)</f>
        <v>#N/A</v>
      </c>
      <c r="K634" s="42"/>
      <c r="L634" s="42"/>
      <c r="M634" s="115"/>
      <c r="N634" s="115"/>
      <c r="O634" s="116"/>
      <c r="P634" s="113"/>
      <c r="Q634" s="112"/>
      <c r="R634" s="117"/>
      <c r="S634" s="115"/>
      <c r="T634" s="42"/>
      <c r="U634" s="42"/>
      <c r="V634" s="21"/>
      <c r="W634" s="78"/>
      <c r="Z634" s="74" t="str">
        <f>CONCATENATE(Table1[[#This Row],[P.R NUMBER]],"-",Table1[[#This Row],[SR NO]])</f>
        <v>-</v>
      </c>
    </row>
    <row r="635" spans="1:26" x14ac:dyDescent="0.25">
      <c r="A635" s="73"/>
      <c r="B635" s="42"/>
      <c r="C635" s="118"/>
      <c r="D635" s="110"/>
      <c r="E635" s="111"/>
      <c r="F635" s="42"/>
      <c r="G635" s="112"/>
      <c r="H635" s="113"/>
      <c r="I635" s="114"/>
      <c r="J635" s="52" t="e">
        <f>VLOOKUP(I635,'CONTACT REFERENCE'!$A$2:$P$399,4,FALSE)</f>
        <v>#N/A</v>
      </c>
      <c r="K635" s="42"/>
      <c r="L635" s="42"/>
      <c r="M635" s="115"/>
      <c r="N635" s="115"/>
      <c r="O635" s="116"/>
      <c r="P635" s="113"/>
      <c r="Q635" s="112"/>
      <c r="R635" s="117"/>
      <c r="S635" s="115"/>
      <c r="T635" s="42"/>
      <c r="U635" s="42"/>
      <c r="V635" s="21"/>
      <c r="W635" s="78"/>
      <c r="Z635" s="74" t="str">
        <f>CONCATENATE(Table1[[#This Row],[P.R NUMBER]],"-",Table1[[#This Row],[SR NO]])</f>
        <v>-</v>
      </c>
    </row>
    <row r="636" spans="1:26" x14ac:dyDescent="0.25">
      <c r="A636" s="73"/>
      <c r="B636" s="42"/>
      <c r="C636" s="118"/>
      <c r="D636" s="110"/>
      <c r="E636" s="111"/>
      <c r="F636" s="42"/>
      <c r="G636" s="112"/>
      <c r="H636" s="113"/>
      <c r="I636" s="114"/>
      <c r="J636" s="52" t="e">
        <f>VLOOKUP(I636,'CONTACT REFERENCE'!$A$2:$P$399,4,FALSE)</f>
        <v>#N/A</v>
      </c>
      <c r="K636" s="42"/>
      <c r="L636" s="42"/>
      <c r="M636" s="115"/>
      <c r="N636" s="115"/>
      <c r="O636" s="116"/>
      <c r="P636" s="113"/>
      <c r="Q636" s="112"/>
      <c r="R636" s="117"/>
      <c r="S636" s="115"/>
      <c r="T636" s="42"/>
      <c r="U636" s="42"/>
      <c r="V636" s="21"/>
      <c r="W636" s="78"/>
      <c r="Z636" s="74" t="str">
        <f>CONCATENATE(Table1[[#This Row],[P.R NUMBER]],"-",Table1[[#This Row],[SR NO]])</f>
        <v>-</v>
      </c>
    </row>
    <row r="637" spans="1:26" x14ac:dyDescent="0.25">
      <c r="A637" s="73"/>
      <c r="B637" s="42"/>
      <c r="C637" s="118"/>
      <c r="D637" s="110"/>
      <c r="E637" s="111"/>
      <c r="F637" s="42"/>
      <c r="G637" s="112"/>
      <c r="H637" s="113"/>
      <c r="I637" s="114"/>
      <c r="J637" s="52" t="e">
        <f>VLOOKUP(I637,'CONTACT REFERENCE'!$A$2:$P$399,4,FALSE)</f>
        <v>#N/A</v>
      </c>
      <c r="K637" s="42"/>
      <c r="L637" s="42"/>
      <c r="M637" s="115"/>
      <c r="N637" s="115"/>
      <c r="O637" s="116"/>
      <c r="P637" s="113"/>
      <c r="Q637" s="112"/>
      <c r="R637" s="117"/>
      <c r="S637" s="115"/>
      <c r="T637" s="42"/>
      <c r="U637" s="42"/>
      <c r="V637" s="21"/>
      <c r="W637" s="78"/>
      <c r="Z637" s="74" t="str">
        <f>CONCATENATE(Table1[[#This Row],[P.R NUMBER]],"-",Table1[[#This Row],[SR NO]])</f>
        <v>-</v>
      </c>
    </row>
    <row r="638" spans="1:26" x14ac:dyDescent="0.25">
      <c r="A638" s="73"/>
      <c r="B638" s="42"/>
      <c r="C638" s="118"/>
      <c r="D638" s="110"/>
      <c r="E638" s="111"/>
      <c r="F638" s="42"/>
      <c r="G638" s="112"/>
      <c r="H638" s="113"/>
      <c r="I638" s="114"/>
      <c r="J638" s="52" t="e">
        <f>VLOOKUP(I638,'CONTACT REFERENCE'!$A$2:$P$399,4,FALSE)</f>
        <v>#N/A</v>
      </c>
      <c r="K638" s="42"/>
      <c r="L638" s="42"/>
      <c r="M638" s="115"/>
      <c r="N638" s="115"/>
      <c r="O638" s="116"/>
      <c r="P638" s="113"/>
      <c r="Q638" s="112"/>
      <c r="R638" s="117"/>
      <c r="S638" s="115"/>
      <c r="T638" s="42"/>
      <c r="U638" s="42"/>
      <c r="V638" s="21"/>
      <c r="W638" s="78"/>
      <c r="Z638" s="74" t="str">
        <f>CONCATENATE(Table1[[#This Row],[P.R NUMBER]],"-",Table1[[#This Row],[SR NO]])</f>
        <v>-</v>
      </c>
    </row>
    <row r="639" spans="1:26" x14ac:dyDescent="0.25">
      <c r="A639" s="73"/>
      <c r="B639" s="42"/>
      <c r="C639" s="118"/>
      <c r="D639" s="110"/>
      <c r="E639" s="111"/>
      <c r="F639" s="42"/>
      <c r="G639" s="112"/>
      <c r="H639" s="113"/>
      <c r="I639" s="114"/>
      <c r="J639" s="52" t="e">
        <f>VLOOKUP(I639,'CONTACT REFERENCE'!$A$2:$P$399,4,FALSE)</f>
        <v>#N/A</v>
      </c>
      <c r="K639" s="42"/>
      <c r="L639" s="42"/>
      <c r="M639" s="115"/>
      <c r="N639" s="115"/>
      <c r="O639" s="116"/>
      <c r="P639" s="113"/>
      <c r="Q639" s="112"/>
      <c r="R639" s="117"/>
      <c r="S639" s="115"/>
      <c r="T639" s="42"/>
      <c r="U639" s="42"/>
      <c r="V639" s="21"/>
      <c r="W639" s="78"/>
      <c r="Z639" s="74" t="str">
        <f>CONCATENATE(Table1[[#This Row],[P.R NUMBER]],"-",Table1[[#This Row],[SR NO]])</f>
        <v>-</v>
      </c>
    </row>
    <row r="640" spans="1:26" x14ac:dyDescent="0.25">
      <c r="A640" s="73"/>
      <c r="B640" s="42"/>
      <c r="C640" s="118"/>
      <c r="D640" s="110"/>
      <c r="E640" s="111"/>
      <c r="F640" s="42"/>
      <c r="G640" s="112"/>
      <c r="H640" s="113"/>
      <c r="I640" s="114"/>
      <c r="J640" s="52" t="e">
        <f>VLOOKUP(I640,'CONTACT REFERENCE'!$A$2:$P$399,4,FALSE)</f>
        <v>#N/A</v>
      </c>
      <c r="K640" s="42"/>
      <c r="L640" s="42"/>
      <c r="M640" s="115"/>
      <c r="N640" s="115"/>
      <c r="O640" s="116"/>
      <c r="P640" s="113"/>
      <c r="Q640" s="112"/>
      <c r="R640" s="117"/>
      <c r="S640" s="115"/>
      <c r="T640" s="42"/>
      <c r="U640" s="42"/>
      <c r="V640" s="21"/>
      <c r="W640" s="78"/>
      <c r="Z640" s="74" t="str">
        <f>CONCATENATE(Table1[[#This Row],[P.R NUMBER]],"-",Table1[[#This Row],[SR NO]])</f>
        <v>-</v>
      </c>
    </row>
    <row r="641" spans="1:26" x14ac:dyDescent="0.25">
      <c r="A641" s="73"/>
      <c r="B641" s="42"/>
      <c r="C641" s="118"/>
      <c r="D641" s="110"/>
      <c r="E641" s="111"/>
      <c r="F641" s="42"/>
      <c r="G641" s="112"/>
      <c r="H641" s="113"/>
      <c r="I641" s="114"/>
      <c r="J641" s="52" t="e">
        <f>VLOOKUP(I641,'CONTACT REFERENCE'!$A$2:$P$399,4,FALSE)</f>
        <v>#N/A</v>
      </c>
      <c r="K641" s="42"/>
      <c r="L641" s="42"/>
      <c r="M641" s="115"/>
      <c r="N641" s="115"/>
      <c r="O641" s="116"/>
      <c r="P641" s="113"/>
      <c r="Q641" s="112"/>
      <c r="R641" s="117"/>
      <c r="S641" s="115"/>
      <c r="T641" s="42"/>
      <c r="U641" s="42"/>
      <c r="V641" s="21"/>
      <c r="W641" s="78"/>
      <c r="Z641" s="74" t="str">
        <f>CONCATENATE(Table1[[#This Row],[P.R NUMBER]],"-",Table1[[#This Row],[SR NO]])</f>
        <v>-</v>
      </c>
    </row>
    <row r="642" spans="1:26" x14ac:dyDescent="0.25">
      <c r="A642" s="73"/>
      <c r="B642" s="42"/>
      <c r="C642" s="118"/>
      <c r="D642" s="110"/>
      <c r="E642" s="111"/>
      <c r="F642" s="42"/>
      <c r="G642" s="112"/>
      <c r="H642" s="113"/>
      <c r="I642" s="114"/>
      <c r="J642" s="52" t="e">
        <f>VLOOKUP(I642,'CONTACT REFERENCE'!$A$2:$P$399,4,FALSE)</f>
        <v>#N/A</v>
      </c>
      <c r="K642" s="42"/>
      <c r="L642" s="42"/>
      <c r="M642" s="115"/>
      <c r="N642" s="115"/>
      <c r="O642" s="116"/>
      <c r="P642" s="113"/>
      <c r="Q642" s="112"/>
      <c r="R642" s="117"/>
      <c r="S642" s="115"/>
      <c r="T642" s="42"/>
      <c r="U642" s="42"/>
      <c r="V642" s="21"/>
      <c r="W642" s="78"/>
      <c r="Z642" s="74" t="str">
        <f>CONCATENATE(Table1[[#This Row],[P.R NUMBER]],"-",Table1[[#This Row],[SR NO]])</f>
        <v>-</v>
      </c>
    </row>
    <row r="643" spans="1:26" x14ac:dyDescent="0.25">
      <c r="A643" s="73"/>
      <c r="B643" s="42"/>
      <c r="C643" s="118"/>
      <c r="D643" s="110"/>
      <c r="E643" s="111"/>
      <c r="F643" s="42"/>
      <c r="G643" s="112"/>
      <c r="H643" s="113"/>
      <c r="I643" s="114"/>
      <c r="J643" s="52" t="e">
        <f>VLOOKUP(I643,'CONTACT REFERENCE'!$A$2:$P$399,4,FALSE)</f>
        <v>#N/A</v>
      </c>
      <c r="K643" s="42"/>
      <c r="L643" s="42"/>
      <c r="M643" s="115"/>
      <c r="N643" s="115"/>
      <c r="O643" s="116"/>
      <c r="P643" s="113"/>
      <c r="Q643" s="112"/>
      <c r="R643" s="117"/>
      <c r="S643" s="115"/>
      <c r="T643" s="42"/>
      <c r="U643" s="42"/>
      <c r="V643" s="21"/>
      <c r="W643" s="78"/>
      <c r="Z643" s="74" t="str">
        <f>CONCATENATE(Table1[[#This Row],[P.R NUMBER]],"-",Table1[[#This Row],[SR NO]])</f>
        <v>-</v>
      </c>
    </row>
    <row r="644" spans="1:26" x14ac:dyDescent="0.25">
      <c r="A644" s="73"/>
      <c r="B644" s="42"/>
      <c r="C644" s="118"/>
      <c r="D644" s="110"/>
      <c r="E644" s="111"/>
      <c r="F644" s="42"/>
      <c r="G644" s="112"/>
      <c r="H644" s="113"/>
      <c r="I644" s="114"/>
      <c r="J644" s="52" t="e">
        <f>VLOOKUP(I644,'CONTACT REFERENCE'!$A$2:$P$399,4,FALSE)</f>
        <v>#N/A</v>
      </c>
      <c r="K644" s="42"/>
      <c r="L644" s="42"/>
      <c r="M644" s="115"/>
      <c r="N644" s="115"/>
      <c r="O644" s="116"/>
      <c r="P644" s="113"/>
      <c r="Q644" s="112"/>
      <c r="R644" s="117"/>
      <c r="S644" s="115"/>
      <c r="T644" s="42"/>
      <c r="U644" s="42"/>
      <c r="V644" s="21"/>
      <c r="W644" s="78"/>
      <c r="Z644" s="74" t="str">
        <f>CONCATENATE(Table1[[#This Row],[P.R NUMBER]],"-",Table1[[#This Row],[SR NO]])</f>
        <v>-</v>
      </c>
    </row>
    <row r="645" spans="1:26" x14ac:dyDescent="0.25">
      <c r="A645" s="73"/>
      <c r="B645" s="42"/>
      <c r="C645" s="118"/>
      <c r="D645" s="110"/>
      <c r="E645" s="111"/>
      <c r="F645" s="42"/>
      <c r="G645" s="112"/>
      <c r="H645" s="113"/>
      <c r="I645" s="114"/>
      <c r="J645" s="52" t="e">
        <f>VLOOKUP(I645,'CONTACT REFERENCE'!$A$2:$P$399,4,FALSE)</f>
        <v>#N/A</v>
      </c>
      <c r="K645" s="42"/>
      <c r="L645" s="42"/>
      <c r="M645" s="115"/>
      <c r="N645" s="115"/>
      <c r="O645" s="116"/>
      <c r="P645" s="113"/>
      <c r="Q645" s="112"/>
      <c r="R645" s="117"/>
      <c r="S645" s="115"/>
      <c r="T645" s="42"/>
      <c r="U645" s="42"/>
      <c r="V645" s="21"/>
      <c r="W645" s="78"/>
      <c r="Z645" s="74" t="str">
        <f>CONCATENATE(Table1[[#This Row],[P.R NUMBER]],"-",Table1[[#This Row],[SR NO]])</f>
        <v>-</v>
      </c>
    </row>
    <row r="646" spans="1:26" x14ac:dyDescent="0.25">
      <c r="A646" s="73"/>
      <c r="B646" s="42"/>
      <c r="C646" s="118"/>
      <c r="D646" s="110"/>
      <c r="E646" s="111"/>
      <c r="F646" s="42"/>
      <c r="G646" s="112"/>
      <c r="H646" s="113"/>
      <c r="I646" s="114"/>
      <c r="J646" s="52" t="e">
        <f>VLOOKUP(I646,'CONTACT REFERENCE'!$A$2:$P$399,4,FALSE)</f>
        <v>#N/A</v>
      </c>
      <c r="K646" s="42"/>
      <c r="L646" s="42"/>
      <c r="M646" s="115"/>
      <c r="N646" s="115"/>
      <c r="O646" s="116"/>
      <c r="P646" s="113"/>
      <c r="Q646" s="112"/>
      <c r="R646" s="117"/>
      <c r="S646" s="115"/>
      <c r="T646" s="42"/>
      <c r="U646" s="42"/>
      <c r="V646" s="21"/>
      <c r="W646" s="78"/>
      <c r="Z646" s="74" t="str">
        <f>CONCATENATE(Table1[[#This Row],[P.R NUMBER]],"-",Table1[[#This Row],[SR NO]])</f>
        <v>-</v>
      </c>
    </row>
    <row r="647" spans="1:26" x14ac:dyDescent="0.25">
      <c r="A647" s="73"/>
      <c r="B647" s="42"/>
      <c r="C647" s="118"/>
      <c r="D647" s="110"/>
      <c r="E647" s="111"/>
      <c r="F647" s="42"/>
      <c r="G647" s="112"/>
      <c r="H647" s="113"/>
      <c r="I647" s="114"/>
      <c r="J647" s="52" t="e">
        <f>VLOOKUP(I647,'CONTACT REFERENCE'!$A$2:$P$399,4,FALSE)</f>
        <v>#N/A</v>
      </c>
      <c r="K647" s="42"/>
      <c r="L647" s="42"/>
      <c r="M647" s="115"/>
      <c r="N647" s="115"/>
      <c r="O647" s="116"/>
      <c r="P647" s="113"/>
      <c r="Q647" s="112"/>
      <c r="R647" s="117"/>
      <c r="S647" s="115"/>
      <c r="T647" s="42"/>
      <c r="U647" s="42"/>
      <c r="V647" s="21"/>
      <c r="W647" s="78"/>
      <c r="Z647" s="74" t="str">
        <f>CONCATENATE(Table1[[#This Row],[P.R NUMBER]],"-",Table1[[#This Row],[SR NO]])</f>
        <v>-</v>
      </c>
    </row>
    <row r="648" spans="1:26" x14ac:dyDescent="0.25">
      <c r="A648" s="73"/>
      <c r="B648" s="42"/>
      <c r="C648" s="118"/>
      <c r="D648" s="110"/>
      <c r="E648" s="111"/>
      <c r="F648" s="42"/>
      <c r="G648" s="112"/>
      <c r="H648" s="113"/>
      <c r="I648" s="114"/>
      <c r="J648" s="52" t="e">
        <f>VLOOKUP(I648,'CONTACT REFERENCE'!$A$2:$P$399,4,FALSE)</f>
        <v>#N/A</v>
      </c>
      <c r="K648" s="42"/>
      <c r="L648" s="42"/>
      <c r="M648" s="115"/>
      <c r="N648" s="115"/>
      <c r="O648" s="116"/>
      <c r="P648" s="113"/>
      <c r="Q648" s="112"/>
      <c r="R648" s="117"/>
      <c r="S648" s="115"/>
      <c r="T648" s="42"/>
      <c r="U648" s="42"/>
      <c r="V648" s="21"/>
      <c r="W648" s="78"/>
      <c r="Z648" s="74" t="str">
        <f>CONCATENATE(Table1[[#This Row],[P.R NUMBER]],"-",Table1[[#This Row],[SR NO]])</f>
        <v>-</v>
      </c>
    </row>
    <row r="649" spans="1:26" x14ac:dyDescent="0.25">
      <c r="A649" s="73"/>
      <c r="B649" s="42"/>
      <c r="C649" s="118"/>
      <c r="D649" s="110"/>
      <c r="E649" s="111"/>
      <c r="F649" s="42"/>
      <c r="G649" s="112"/>
      <c r="H649" s="113"/>
      <c r="I649" s="114"/>
      <c r="J649" s="52" t="e">
        <f>VLOOKUP(I649,'CONTACT REFERENCE'!$A$2:$P$399,4,FALSE)</f>
        <v>#N/A</v>
      </c>
      <c r="K649" s="42"/>
      <c r="L649" s="42"/>
      <c r="M649" s="115"/>
      <c r="N649" s="115"/>
      <c r="O649" s="116"/>
      <c r="P649" s="113"/>
      <c r="Q649" s="112"/>
      <c r="R649" s="117"/>
      <c r="S649" s="115"/>
      <c r="T649" s="42"/>
      <c r="U649" s="42"/>
      <c r="V649" s="21"/>
      <c r="W649" s="78"/>
      <c r="Z649" s="74" t="str">
        <f>CONCATENATE(Table1[[#This Row],[P.R NUMBER]],"-",Table1[[#This Row],[SR NO]])</f>
        <v>-</v>
      </c>
    </row>
    <row r="650" spans="1:26" x14ac:dyDescent="0.25">
      <c r="A650" s="73"/>
      <c r="B650" s="42"/>
      <c r="C650" s="118"/>
      <c r="D650" s="110"/>
      <c r="E650" s="111"/>
      <c r="F650" s="42"/>
      <c r="G650" s="112"/>
      <c r="H650" s="113"/>
      <c r="I650" s="114"/>
      <c r="J650" s="52" t="e">
        <f>VLOOKUP(I650,'CONTACT REFERENCE'!$A$2:$P$399,4,FALSE)</f>
        <v>#N/A</v>
      </c>
      <c r="K650" s="42"/>
      <c r="L650" s="42"/>
      <c r="M650" s="115"/>
      <c r="N650" s="115"/>
      <c r="O650" s="116"/>
      <c r="P650" s="113"/>
      <c r="Q650" s="112"/>
      <c r="R650" s="117"/>
      <c r="S650" s="115"/>
      <c r="T650" s="42"/>
      <c r="U650" s="42"/>
      <c r="V650" s="21"/>
      <c r="W650" s="78"/>
      <c r="Z650" s="74" t="str">
        <f>CONCATENATE(Table1[[#This Row],[P.R NUMBER]],"-",Table1[[#This Row],[SR NO]])</f>
        <v>-</v>
      </c>
    </row>
    <row r="651" spans="1:26" x14ac:dyDescent="0.25">
      <c r="A651" s="73"/>
      <c r="B651" s="42"/>
      <c r="C651" s="118"/>
      <c r="D651" s="110"/>
      <c r="E651" s="111"/>
      <c r="F651" s="42"/>
      <c r="G651" s="112"/>
      <c r="H651" s="113"/>
      <c r="I651" s="114"/>
      <c r="J651" s="52" t="e">
        <f>VLOOKUP(I651,'CONTACT REFERENCE'!$A$2:$P$399,4,FALSE)</f>
        <v>#N/A</v>
      </c>
      <c r="K651" s="42"/>
      <c r="L651" s="42"/>
      <c r="M651" s="115"/>
      <c r="N651" s="115"/>
      <c r="O651" s="116"/>
      <c r="P651" s="113"/>
      <c r="Q651" s="112"/>
      <c r="R651" s="117"/>
      <c r="S651" s="115"/>
      <c r="T651" s="42"/>
      <c r="U651" s="42"/>
      <c r="V651" s="21"/>
      <c r="W651" s="78"/>
      <c r="Z651" s="74" t="str">
        <f>CONCATENATE(Table1[[#This Row],[P.R NUMBER]],"-",Table1[[#This Row],[SR NO]])</f>
        <v>-</v>
      </c>
    </row>
    <row r="652" spans="1:26" x14ac:dyDescent="0.25">
      <c r="A652" s="73"/>
      <c r="B652" s="42"/>
      <c r="C652" s="118"/>
      <c r="D652" s="110"/>
      <c r="E652" s="111"/>
      <c r="F652" s="42"/>
      <c r="G652" s="112"/>
      <c r="H652" s="113"/>
      <c r="I652" s="114"/>
      <c r="J652" s="52" t="e">
        <f>VLOOKUP(I652,'CONTACT REFERENCE'!$A$2:$P$399,4,FALSE)</f>
        <v>#N/A</v>
      </c>
      <c r="K652" s="42"/>
      <c r="L652" s="42"/>
      <c r="M652" s="115"/>
      <c r="N652" s="115"/>
      <c r="O652" s="116"/>
      <c r="P652" s="113"/>
      <c r="Q652" s="112"/>
      <c r="R652" s="117"/>
      <c r="S652" s="115"/>
      <c r="T652" s="42"/>
      <c r="U652" s="42"/>
      <c r="V652" s="21"/>
      <c r="W652" s="78"/>
      <c r="Z652" s="74" t="str">
        <f>CONCATENATE(Table1[[#This Row],[P.R NUMBER]],"-",Table1[[#This Row],[SR NO]])</f>
        <v>-</v>
      </c>
    </row>
    <row r="653" spans="1:26" x14ac:dyDescent="0.25">
      <c r="A653" s="73"/>
      <c r="B653" s="42"/>
      <c r="C653" s="118"/>
      <c r="D653" s="110"/>
      <c r="E653" s="111"/>
      <c r="F653" s="42"/>
      <c r="G653" s="112"/>
      <c r="H653" s="113"/>
      <c r="I653" s="114"/>
      <c r="J653" s="52" t="e">
        <f>VLOOKUP(I653,'CONTACT REFERENCE'!$A$2:$P$399,4,FALSE)</f>
        <v>#N/A</v>
      </c>
      <c r="K653" s="42"/>
      <c r="L653" s="42"/>
      <c r="M653" s="115"/>
      <c r="N653" s="115"/>
      <c r="O653" s="116"/>
      <c r="P653" s="113"/>
      <c r="Q653" s="112"/>
      <c r="R653" s="117"/>
      <c r="S653" s="115"/>
      <c r="T653" s="42"/>
      <c r="U653" s="42"/>
      <c r="V653" s="21"/>
      <c r="W653" s="78"/>
      <c r="Z653" s="74" t="str">
        <f>CONCATENATE(Table1[[#This Row],[P.R NUMBER]],"-",Table1[[#This Row],[SR NO]])</f>
        <v>-</v>
      </c>
    </row>
    <row r="654" spans="1:26" x14ac:dyDescent="0.25">
      <c r="A654" s="73"/>
      <c r="B654" s="42"/>
      <c r="C654" s="118"/>
      <c r="D654" s="110"/>
      <c r="E654" s="111"/>
      <c r="F654" s="42"/>
      <c r="G654" s="112"/>
      <c r="H654" s="113"/>
      <c r="I654" s="114"/>
      <c r="J654" s="52" t="e">
        <f>VLOOKUP(I654,'CONTACT REFERENCE'!$A$2:$P$399,4,FALSE)</f>
        <v>#N/A</v>
      </c>
      <c r="K654" s="42"/>
      <c r="L654" s="42"/>
      <c r="M654" s="115"/>
      <c r="N654" s="115"/>
      <c r="O654" s="116"/>
      <c r="P654" s="113"/>
      <c r="Q654" s="112"/>
      <c r="R654" s="117"/>
      <c r="S654" s="115"/>
      <c r="T654" s="42"/>
      <c r="U654" s="42"/>
      <c r="V654" s="21"/>
      <c r="W654" s="78"/>
      <c r="Z654" s="74" t="str">
        <f>CONCATENATE(Table1[[#This Row],[P.R NUMBER]],"-",Table1[[#This Row],[SR NO]])</f>
        <v>-</v>
      </c>
    </row>
    <row r="655" spans="1:26" x14ac:dyDescent="0.25">
      <c r="A655" s="73"/>
      <c r="B655" s="42"/>
      <c r="C655" s="118"/>
      <c r="D655" s="110"/>
      <c r="E655" s="111"/>
      <c r="F655" s="42"/>
      <c r="G655" s="112"/>
      <c r="H655" s="113"/>
      <c r="I655" s="114"/>
      <c r="J655" s="52" t="e">
        <f>VLOOKUP(I655,'CONTACT REFERENCE'!$A$2:$P$399,4,FALSE)</f>
        <v>#N/A</v>
      </c>
      <c r="K655" s="42"/>
      <c r="L655" s="42"/>
      <c r="M655" s="115"/>
      <c r="N655" s="115"/>
      <c r="O655" s="116"/>
      <c r="P655" s="113"/>
      <c r="Q655" s="112"/>
      <c r="R655" s="117"/>
      <c r="S655" s="115"/>
      <c r="T655" s="42"/>
      <c r="U655" s="42"/>
      <c r="V655" s="21"/>
      <c r="W655" s="78"/>
      <c r="Z655" s="74" t="str">
        <f>CONCATENATE(Table1[[#This Row],[P.R NUMBER]],"-",Table1[[#This Row],[SR NO]])</f>
        <v>-</v>
      </c>
    </row>
    <row r="656" spans="1:26" x14ac:dyDescent="0.25">
      <c r="A656" s="73"/>
      <c r="B656" s="42"/>
      <c r="C656" s="118"/>
      <c r="D656" s="110"/>
      <c r="E656" s="111"/>
      <c r="F656" s="42"/>
      <c r="G656" s="112"/>
      <c r="H656" s="113"/>
      <c r="I656" s="114"/>
      <c r="J656" s="52" t="e">
        <f>VLOOKUP(I656,'CONTACT REFERENCE'!$A$2:$P$399,4,FALSE)</f>
        <v>#N/A</v>
      </c>
      <c r="K656" s="42"/>
      <c r="L656" s="42"/>
      <c r="M656" s="115"/>
      <c r="N656" s="115"/>
      <c r="O656" s="116"/>
      <c r="P656" s="113"/>
      <c r="Q656" s="112"/>
      <c r="R656" s="117"/>
      <c r="S656" s="115"/>
      <c r="T656" s="42"/>
      <c r="U656" s="42"/>
      <c r="V656" s="21"/>
      <c r="W656" s="78"/>
      <c r="Z656" s="74" t="str">
        <f>CONCATENATE(Table1[[#This Row],[P.R NUMBER]],"-",Table1[[#This Row],[SR NO]])</f>
        <v>-</v>
      </c>
    </row>
    <row r="657" spans="1:26" x14ac:dyDescent="0.25">
      <c r="A657" s="73"/>
      <c r="B657" s="42"/>
      <c r="C657" s="118"/>
      <c r="D657" s="110"/>
      <c r="E657" s="111"/>
      <c r="F657" s="42"/>
      <c r="G657" s="112"/>
      <c r="H657" s="113"/>
      <c r="I657" s="114"/>
      <c r="J657" s="52" t="e">
        <f>VLOOKUP(I657,'CONTACT REFERENCE'!$A$2:$P$399,4,FALSE)</f>
        <v>#N/A</v>
      </c>
      <c r="K657" s="42"/>
      <c r="L657" s="42"/>
      <c r="M657" s="115"/>
      <c r="N657" s="115"/>
      <c r="O657" s="116"/>
      <c r="P657" s="113"/>
      <c r="Q657" s="112"/>
      <c r="R657" s="117"/>
      <c r="S657" s="115"/>
      <c r="T657" s="42"/>
      <c r="U657" s="42"/>
      <c r="V657" s="21"/>
      <c r="W657" s="78"/>
      <c r="Z657" s="74" t="str">
        <f>CONCATENATE(Table1[[#This Row],[P.R NUMBER]],"-",Table1[[#This Row],[SR NO]])</f>
        <v>-</v>
      </c>
    </row>
    <row r="658" spans="1:26" x14ac:dyDescent="0.25">
      <c r="A658" s="73"/>
      <c r="B658" s="42"/>
      <c r="C658" s="118"/>
      <c r="D658" s="110"/>
      <c r="E658" s="111"/>
      <c r="F658" s="42"/>
      <c r="G658" s="112"/>
      <c r="H658" s="113"/>
      <c r="I658" s="114"/>
      <c r="J658" s="52" t="e">
        <f>VLOOKUP(I658,'CONTACT REFERENCE'!$A$2:$P$399,4,FALSE)</f>
        <v>#N/A</v>
      </c>
      <c r="K658" s="42"/>
      <c r="L658" s="42"/>
      <c r="M658" s="115"/>
      <c r="N658" s="115"/>
      <c r="O658" s="116"/>
      <c r="P658" s="113"/>
      <c r="Q658" s="112"/>
      <c r="R658" s="117"/>
      <c r="S658" s="115"/>
      <c r="T658" s="42"/>
      <c r="U658" s="42"/>
      <c r="V658" s="21"/>
      <c r="W658" s="78"/>
      <c r="Z658" s="74" t="str">
        <f>CONCATENATE(Table1[[#This Row],[P.R NUMBER]],"-",Table1[[#This Row],[SR NO]])</f>
        <v>-</v>
      </c>
    </row>
    <row r="659" spans="1:26" x14ac:dyDescent="0.25">
      <c r="A659" s="73"/>
      <c r="B659" s="42"/>
      <c r="C659" s="118"/>
      <c r="D659" s="110"/>
      <c r="E659" s="111"/>
      <c r="F659" s="42"/>
      <c r="G659" s="112"/>
      <c r="H659" s="113"/>
      <c r="I659" s="114"/>
      <c r="J659" s="52" t="e">
        <f>VLOOKUP(I659,'CONTACT REFERENCE'!$A$2:$P$399,4,FALSE)</f>
        <v>#N/A</v>
      </c>
      <c r="K659" s="42"/>
      <c r="L659" s="42"/>
      <c r="M659" s="115"/>
      <c r="N659" s="115"/>
      <c r="O659" s="116"/>
      <c r="P659" s="113"/>
      <c r="Q659" s="112"/>
      <c r="R659" s="117"/>
      <c r="S659" s="115"/>
      <c r="T659" s="42"/>
      <c r="U659" s="42"/>
      <c r="V659" s="21"/>
      <c r="W659" s="78"/>
      <c r="Z659" s="74" t="str">
        <f>CONCATENATE(Table1[[#This Row],[P.R NUMBER]],"-",Table1[[#This Row],[SR NO]])</f>
        <v>-</v>
      </c>
    </row>
    <row r="660" spans="1:26" x14ac:dyDescent="0.25">
      <c r="A660" s="73"/>
      <c r="B660" s="42"/>
      <c r="C660" s="118"/>
      <c r="D660" s="110"/>
      <c r="E660" s="111"/>
      <c r="F660" s="42"/>
      <c r="G660" s="112"/>
      <c r="H660" s="113"/>
      <c r="I660" s="114"/>
      <c r="J660" s="52" t="e">
        <f>VLOOKUP(I660,'CONTACT REFERENCE'!$A$2:$P$399,4,FALSE)</f>
        <v>#N/A</v>
      </c>
      <c r="K660" s="42"/>
      <c r="L660" s="42"/>
      <c r="M660" s="115"/>
      <c r="N660" s="115"/>
      <c r="O660" s="116"/>
      <c r="P660" s="113"/>
      <c r="Q660" s="112"/>
      <c r="R660" s="117"/>
      <c r="S660" s="115"/>
      <c r="T660" s="42"/>
      <c r="U660" s="42"/>
      <c r="V660" s="21"/>
      <c r="W660" s="78"/>
      <c r="Z660" s="74" t="str">
        <f>CONCATENATE(Table1[[#This Row],[P.R NUMBER]],"-",Table1[[#This Row],[SR NO]])</f>
        <v>-</v>
      </c>
    </row>
    <row r="661" spans="1:26" x14ac:dyDescent="0.25">
      <c r="A661" s="73"/>
      <c r="B661" s="42"/>
      <c r="C661" s="118"/>
      <c r="D661" s="110"/>
      <c r="E661" s="111"/>
      <c r="F661" s="42"/>
      <c r="G661" s="112"/>
      <c r="H661" s="113"/>
      <c r="I661" s="114"/>
      <c r="J661" s="52" t="e">
        <f>VLOOKUP(I661,'CONTACT REFERENCE'!$A$2:$P$399,4,FALSE)</f>
        <v>#N/A</v>
      </c>
      <c r="K661" s="42"/>
      <c r="L661" s="42"/>
      <c r="M661" s="115"/>
      <c r="N661" s="115"/>
      <c r="O661" s="116"/>
      <c r="P661" s="113"/>
      <c r="Q661" s="112"/>
      <c r="R661" s="117"/>
      <c r="S661" s="115"/>
      <c r="T661" s="42"/>
      <c r="U661" s="42"/>
      <c r="V661" s="21"/>
      <c r="W661" s="78"/>
      <c r="Z661" s="74" t="str">
        <f>CONCATENATE(Table1[[#This Row],[P.R NUMBER]],"-",Table1[[#This Row],[SR NO]])</f>
        <v>-</v>
      </c>
    </row>
    <row r="662" spans="1:26" x14ac:dyDescent="0.25">
      <c r="A662" s="73"/>
      <c r="B662" s="42"/>
      <c r="C662" s="118"/>
      <c r="D662" s="110"/>
      <c r="E662" s="111"/>
      <c r="F662" s="42"/>
      <c r="G662" s="112"/>
      <c r="H662" s="113"/>
      <c r="I662" s="114"/>
      <c r="J662" s="52" t="e">
        <f>VLOOKUP(I662,'CONTACT REFERENCE'!$A$2:$P$399,4,FALSE)</f>
        <v>#N/A</v>
      </c>
      <c r="K662" s="42"/>
      <c r="L662" s="42"/>
      <c r="M662" s="115"/>
      <c r="N662" s="115"/>
      <c r="O662" s="116"/>
      <c r="P662" s="113"/>
      <c r="Q662" s="112"/>
      <c r="R662" s="117"/>
      <c r="S662" s="115"/>
      <c r="T662" s="42"/>
      <c r="U662" s="42"/>
      <c r="V662" s="21"/>
      <c r="W662" s="78"/>
      <c r="Z662" s="74" t="str">
        <f>CONCATENATE(Table1[[#This Row],[P.R NUMBER]],"-",Table1[[#This Row],[SR NO]])</f>
        <v>-</v>
      </c>
    </row>
    <row r="663" spans="1:26" x14ac:dyDescent="0.25">
      <c r="A663" s="73"/>
      <c r="B663" s="42"/>
      <c r="C663" s="118"/>
      <c r="D663" s="110"/>
      <c r="E663" s="111"/>
      <c r="F663" s="42"/>
      <c r="G663" s="112"/>
      <c r="H663" s="113"/>
      <c r="I663" s="114"/>
      <c r="J663" s="52" t="e">
        <f>VLOOKUP(I663,'CONTACT REFERENCE'!$A$2:$P$399,4,FALSE)</f>
        <v>#N/A</v>
      </c>
      <c r="K663" s="42"/>
      <c r="L663" s="42"/>
      <c r="M663" s="115"/>
      <c r="N663" s="115"/>
      <c r="O663" s="116"/>
      <c r="P663" s="113"/>
      <c r="Q663" s="112"/>
      <c r="R663" s="117"/>
      <c r="S663" s="115"/>
      <c r="T663" s="42"/>
      <c r="U663" s="42"/>
      <c r="V663" s="21"/>
      <c r="W663" s="78"/>
      <c r="Z663" s="74" t="str">
        <f>CONCATENATE(Table1[[#This Row],[P.R NUMBER]],"-",Table1[[#This Row],[SR NO]])</f>
        <v>-</v>
      </c>
    </row>
    <row r="664" spans="1:26" x14ac:dyDescent="0.25">
      <c r="A664" s="73"/>
      <c r="B664" s="42"/>
      <c r="C664" s="118"/>
      <c r="D664" s="110"/>
      <c r="E664" s="111"/>
      <c r="F664" s="42"/>
      <c r="G664" s="112"/>
      <c r="H664" s="113"/>
      <c r="I664" s="114"/>
      <c r="J664" s="52" t="e">
        <f>VLOOKUP(I664,'CONTACT REFERENCE'!$A$2:$P$399,4,FALSE)</f>
        <v>#N/A</v>
      </c>
      <c r="K664" s="42"/>
      <c r="L664" s="42"/>
      <c r="M664" s="115"/>
      <c r="N664" s="115"/>
      <c r="O664" s="116"/>
      <c r="P664" s="113"/>
      <c r="Q664" s="112"/>
      <c r="R664" s="117"/>
      <c r="S664" s="115"/>
      <c r="T664" s="42"/>
      <c r="U664" s="42"/>
      <c r="V664" s="21"/>
      <c r="W664" s="78"/>
      <c r="Z664" s="74" t="str">
        <f>CONCATENATE(Table1[[#This Row],[P.R NUMBER]],"-",Table1[[#This Row],[SR NO]])</f>
        <v>-</v>
      </c>
    </row>
    <row r="665" spans="1:26" x14ac:dyDescent="0.25">
      <c r="A665" s="73"/>
      <c r="B665" s="42"/>
      <c r="C665" s="118"/>
      <c r="D665" s="110"/>
      <c r="E665" s="111"/>
      <c r="F665" s="42"/>
      <c r="G665" s="112"/>
      <c r="H665" s="113"/>
      <c r="I665" s="114"/>
      <c r="J665" s="52" t="e">
        <f>VLOOKUP(I665,'CONTACT REFERENCE'!$A$2:$P$399,4,FALSE)</f>
        <v>#N/A</v>
      </c>
      <c r="K665" s="42"/>
      <c r="L665" s="42"/>
      <c r="M665" s="115"/>
      <c r="N665" s="115"/>
      <c r="O665" s="116"/>
      <c r="P665" s="113"/>
      <c r="Q665" s="112"/>
      <c r="R665" s="117"/>
      <c r="S665" s="115"/>
      <c r="T665" s="42"/>
      <c r="U665" s="42"/>
      <c r="V665" s="21"/>
      <c r="W665" s="78"/>
      <c r="Z665" s="74" t="str">
        <f>CONCATENATE(Table1[[#This Row],[P.R NUMBER]],"-",Table1[[#This Row],[SR NO]])</f>
        <v>-</v>
      </c>
    </row>
    <row r="666" spans="1:26" x14ac:dyDescent="0.25">
      <c r="A666" s="73"/>
      <c r="B666" s="42"/>
      <c r="C666" s="118"/>
      <c r="D666" s="110"/>
      <c r="E666" s="111"/>
      <c r="F666" s="42"/>
      <c r="G666" s="112"/>
      <c r="H666" s="113"/>
      <c r="I666" s="114"/>
      <c r="J666" s="52" t="e">
        <f>VLOOKUP(I666,'CONTACT REFERENCE'!$A$2:$P$399,4,FALSE)</f>
        <v>#N/A</v>
      </c>
      <c r="K666" s="42"/>
      <c r="L666" s="42"/>
      <c r="M666" s="115"/>
      <c r="N666" s="115"/>
      <c r="O666" s="116"/>
      <c r="P666" s="113"/>
      <c r="Q666" s="112"/>
      <c r="R666" s="117"/>
      <c r="S666" s="115"/>
      <c r="T666" s="42"/>
      <c r="U666" s="42"/>
      <c r="V666" s="21"/>
      <c r="W666" s="78"/>
      <c r="Z666" s="74" t="str">
        <f>CONCATENATE(Table1[[#This Row],[P.R NUMBER]],"-",Table1[[#This Row],[SR NO]])</f>
        <v>-</v>
      </c>
    </row>
    <row r="667" spans="1:26" x14ac:dyDescent="0.25">
      <c r="A667" s="73"/>
      <c r="B667" s="42"/>
      <c r="C667" s="118"/>
      <c r="D667" s="110"/>
      <c r="E667" s="111"/>
      <c r="F667" s="42"/>
      <c r="G667" s="112"/>
      <c r="H667" s="113"/>
      <c r="I667" s="114"/>
      <c r="J667" s="52" t="e">
        <f>VLOOKUP(I667,'CONTACT REFERENCE'!$A$2:$P$399,4,FALSE)</f>
        <v>#N/A</v>
      </c>
      <c r="K667" s="42"/>
      <c r="L667" s="42"/>
      <c r="M667" s="115"/>
      <c r="N667" s="115"/>
      <c r="O667" s="116"/>
      <c r="P667" s="113"/>
      <c r="Q667" s="112"/>
      <c r="R667" s="117"/>
      <c r="S667" s="115"/>
      <c r="T667" s="42"/>
      <c r="U667" s="42"/>
      <c r="V667" s="21"/>
      <c r="W667" s="78"/>
      <c r="Z667" s="74" t="str">
        <f>CONCATENATE(Table1[[#This Row],[P.R NUMBER]],"-",Table1[[#This Row],[SR NO]])</f>
        <v>-</v>
      </c>
    </row>
    <row r="668" spans="1:26" x14ac:dyDescent="0.25">
      <c r="A668" s="73"/>
      <c r="B668" s="42"/>
      <c r="C668" s="118"/>
      <c r="D668" s="110"/>
      <c r="E668" s="111"/>
      <c r="F668" s="42"/>
      <c r="G668" s="112"/>
      <c r="H668" s="113"/>
      <c r="I668" s="114"/>
      <c r="J668" s="52" t="e">
        <f>VLOOKUP(I668,'CONTACT REFERENCE'!$A$2:$P$399,4,FALSE)</f>
        <v>#N/A</v>
      </c>
      <c r="K668" s="42"/>
      <c r="L668" s="42"/>
      <c r="M668" s="115"/>
      <c r="N668" s="115"/>
      <c r="O668" s="116"/>
      <c r="P668" s="113"/>
      <c r="Q668" s="112"/>
      <c r="R668" s="117"/>
      <c r="S668" s="115"/>
      <c r="T668" s="42"/>
      <c r="U668" s="42"/>
      <c r="V668" s="21"/>
      <c r="W668" s="78"/>
      <c r="Z668" s="74" t="str">
        <f>CONCATENATE(Table1[[#This Row],[P.R NUMBER]],"-",Table1[[#This Row],[SR NO]])</f>
        <v>-</v>
      </c>
    </row>
    <row r="669" spans="1:26" x14ac:dyDescent="0.25">
      <c r="A669" s="73"/>
      <c r="B669" s="42"/>
      <c r="C669" s="118"/>
      <c r="D669" s="110"/>
      <c r="E669" s="111"/>
      <c r="F669" s="42"/>
      <c r="G669" s="112"/>
      <c r="H669" s="113"/>
      <c r="I669" s="114"/>
      <c r="J669" s="52" t="e">
        <f>VLOOKUP(I669,'CONTACT REFERENCE'!$A$2:$P$399,4,FALSE)</f>
        <v>#N/A</v>
      </c>
      <c r="K669" s="42"/>
      <c r="L669" s="42"/>
      <c r="M669" s="115"/>
      <c r="N669" s="115"/>
      <c r="O669" s="116"/>
      <c r="P669" s="113"/>
      <c r="Q669" s="112"/>
      <c r="R669" s="117"/>
      <c r="S669" s="115"/>
      <c r="T669" s="42"/>
      <c r="U669" s="42"/>
      <c r="V669" s="21"/>
      <c r="W669" s="78"/>
      <c r="Z669" s="74" t="str">
        <f>CONCATENATE(Table1[[#This Row],[P.R NUMBER]],"-",Table1[[#This Row],[SR NO]])</f>
        <v>-</v>
      </c>
    </row>
    <row r="670" spans="1:26" x14ac:dyDescent="0.25">
      <c r="A670" s="73"/>
      <c r="B670" s="42"/>
      <c r="C670" s="118"/>
      <c r="D670" s="110"/>
      <c r="E670" s="111"/>
      <c r="F670" s="42"/>
      <c r="G670" s="112"/>
      <c r="H670" s="113"/>
      <c r="I670" s="114"/>
      <c r="J670" s="52" t="e">
        <f>VLOOKUP(I670,'CONTACT REFERENCE'!$A$2:$P$399,4,FALSE)</f>
        <v>#N/A</v>
      </c>
      <c r="K670" s="42"/>
      <c r="L670" s="42"/>
      <c r="M670" s="115"/>
      <c r="N670" s="115"/>
      <c r="O670" s="116"/>
      <c r="P670" s="113"/>
      <c r="Q670" s="112"/>
      <c r="R670" s="117"/>
      <c r="S670" s="115"/>
      <c r="T670" s="42"/>
      <c r="U670" s="42"/>
      <c r="V670" s="21"/>
      <c r="W670" s="78"/>
      <c r="Z670" s="74" t="str">
        <f>CONCATENATE(Table1[[#This Row],[P.R NUMBER]],"-",Table1[[#This Row],[SR NO]])</f>
        <v>-</v>
      </c>
    </row>
    <row r="671" spans="1:26" x14ac:dyDescent="0.25">
      <c r="A671" s="73"/>
      <c r="B671" s="42"/>
      <c r="C671" s="118"/>
      <c r="D671" s="110"/>
      <c r="E671" s="111"/>
      <c r="F671" s="42"/>
      <c r="G671" s="112"/>
      <c r="H671" s="113"/>
      <c r="I671" s="114"/>
      <c r="J671" s="52" t="e">
        <f>VLOOKUP(I671,'CONTACT REFERENCE'!$A$2:$P$399,4,FALSE)</f>
        <v>#N/A</v>
      </c>
      <c r="K671" s="42"/>
      <c r="L671" s="42"/>
      <c r="M671" s="115"/>
      <c r="N671" s="115"/>
      <c r="O671" s="116"/>
      <c r="P671" s="113"/>
      <c r="Q671" s="112"/>
      <c r="R671" s="117"/>
      <c r="S671" s="115"/>
      <c r="T671" s="42"/>
      <c r="U671" s="42"/>
      <c r="V671" s="21"/>
      <c r="W671" s="78"/>
      <c r="Z671" s="74" t="str">
        <f>CONCATENATE(Table1[[#This Row],[P.R NUMBER]],"-",Table1[[#This Row],[SR NO]])</f>
        <v>-</v>
      </c>
    </row>
    <row r="672" spans="1:26" x14ac:dyDescent="0.25">
      <c r="A672" s="73"/>
      <c r="B672" s="42"/>
      <c r="C672" s="118"/>
      <c r="D672" s="110"/>
      <c r="E672" s="111"/>
      <c r="F672" s="42"/>
      <c r="G672" s="112"/>
      <c r="H672" s="113"/>
      <c r="I672" s="114"/>
      <c r="J672" s="52" t="e">
        <f>VLOOKUP(I672,'CONTACT REFERENCE'!$A$2:$P$399,4,FALSE)</f>
        <v>#N/A</v>
      </c>
      <c r="K672" s="42"/>
      <c r="L672" s="42"/>
      <c r="M672" s="115"/>
      <c r="N672" s="115"/>
      <c r="O672" s="116"/>
      <c r="P672" s="113"/>
      <c r="Q672" s="112"/>
      <c r="R672" s="117"/>
      <c r="S672" s="115"/>
      <c r="T672" s="42"/>
      <c r="U672" s="42"/>
      <c r="V672" s="21"/>
      <c r="W672" s="78"/>
      <c r="Z672" s="74" t="str">
        <f>CONCATENATE(Table1[[#This Row],[P.R NUMBER]],"-",Table1[[#This Row],[SR NO]])</f>
        <v>-</v>
      </c>
    </row>
    <row r="673" spans="1:26" x14ac:dyDescent="0.25">
      <c r="A673" s="73"/>
      <c r="B673" s="42"/>
      <c r="C673" s="118"/>
      <c r="D673" s="110"/>
      <c r="E673" s="111"/>
      <c r="F673" s="42"/>
      <c r="G673" s="112"/>
      <c r="H673" s="113"/>
      <c r="I673" s="114"/>
      <c r="J673" s="52" t="e">
        <f>VLOOKUP(I673,'CONTACT REFERENCE'!$A$2:$P$399,4,FALSE)</f>
        <v>#N/A</v>
      </c>
      <c r="K673" s="42"/>
      <c r="L673" s="42"/>
      <c r="M673" s="115"/>
      <c r="N673" s="115"/>
      <c r="O673" s="116"/>
      <c r="P673" s="113"/>
      <c r="Q673" s="112"/>
      <c r="R673" s="117"/>
      <c r="S673" s="115"/>
      <c r="T673" s="42"/>
      <c r="U673" s="42"/>
      <c r="V673" s="21"/>
      <c r="W673" s="78"/>
      <c r="Z673" s="74" t="str">
        <f>CONCATENATE(Table1[[#This Row],[P.R NUMBER]],"-",Table1[[#This Row],[SR NO]])</f>
        <v>-</v>
      </c>
    </row>
    <row r="674" spans="1:26" x14ac:dyDescent="0.25">
      <c r="A674" s="73"/>
      <c r="B674" s="42"/>
      <c r="C674" s="118"/>
      <c r="D674" s="110"/>
      <c r="E674" s="111"/>
      <c r="F674" s="42"/>
      <c r="G674" s="112"/>
      <c r="H674" s="113"/>
      <c r="I674" s="114"/>
      <c r="J674" s="52" t="e">
        <f>VLOOKUP(I674,'CONTACT REFERENCE'!$A$2:$P$399,4,FALSE)</f>
        <v>#N/A</v>
      </c>
      <c r="K674" s="42"/>
      <c r="L674" s="42"/>
      <c r="M674" s="115"/>
      <c r="N674" s="115"/>
      <c r="O674" s="116"/>
      <c r="P674" s="113"/>
      <c r="Q674" s="112"/>
      <c r="R674" s="117"/>
      <c r="S674" s="115"/>
      <c r="T674" s="42"/>
      <c r="U674" s="42"/>
      <c r="V674" s="21"/>
      <c r="W674" s="78"/>
      <c r="Z674" s="74" t="str">
        <f>CONCATENATE(Table1[[#This Row],[P.R NUMBER]],"-",Table1[[#This Row],[SR NO]])</f>
        <v>-</v>
      </c>
    </row>
    <row r="675" spans="1:26" x14ac:dyDescent="0.25">
      <c r="A675" s="73"/>
      <c r="B675" s="42"/>
      <c r="C675" s="118"/>
      <c r="D675" s="110"/>
      <c r="E675" s="111"/>
      <c r="F675" s="42"/>
      <c r="G675" s="112"/>
      <c r="H675" s="113"/>
      <c r="I675" s="114"/>
      <c r="J675" s="52" t="e">
        <f>VLOOKUP(I675,'CONTACT REFERENCE'!$A$2:$P$399,4,FALSE)</f>
        <v>#N/A</v>
      </c>
      <c r="K675" s="42"/>
      <c r="L675" s="42"/>
      <c r="M675" s="115"/>
      <c r="N675" s="115"/>
      <c r="O675" s="116"/>
      <c r="P675" s="113"/>
      <c r="Q675" s="112"/>
      <c r="R675" s="117"/>
      <c r="S675" s="115"/>
      <c r="T675" s="42"/>
      <c r="U675" s="42"/>
      <c r="V675" s="21"/>
      <c r="W675" s="78"/>
      <c r="Z675" s="74" t="str">
        <f>CONCATENATE(Table1[[#This Row],[P.R NUMBER]],"-",Table1[[#This Row],[SR NO]])</f>
        <v>-</v>
      </c>
    </row>
    <row r="676" spans="1:26" x14ac:dyDescent="0.25">
      <c r="A676" s="73"/>
      <c r="B676" s="42"/>
      <c r="C676" s="118"/>
      <c r="D676" s="110"/>
      <c r="E676" s="111"/>
      <c r="F676" s="42"/>
      <c r="G676" s="112"/>
      <c r="H676" s="113"/>
      <c r="I676" s="114"/>
      <c r="J676" s="52" t="e">
        <f>VLOOKUP(I676,'CONTACT REFERENCE'!$A$2:$P$399,4,FALSE)</f>
        <v>#N/A</v>
      </c>
      <c r="K676" s="42"/>
      <c r="L676" s="42"/>
      <c r="M676" s="115"/>
      <c r="N676" s="115"/>
      <c r="O676" s="116"/>
      <c r="P676" s="113"/>
      <c r="Q676" s="112"/>
      <c r="R676" s="117"/>
      <c r="S676" s="115"/>
      <c r="T676" s="42"/>
      <c r="U676" s="42"/>
      <c r="V676" s="21"/>
      <c r="W676" s="78"/>
      <c r="Z676" s="74" t="str">
        <f>CONCATENATE(Table1[[#This Row],[P.R NUMBER]],"-",Table1[[#This Row],[SR NO]])</f>
        <v>-</v>
      </c>
    </row>
    <row r="677" spans="1:26" x14ac:dyDescent="0.25">
      <c r="A677" s="73"/>
      <c r="B677" s="42"/>
      <c r="C677" s="118"/>
      <c r="D677" s="110"/>
      <c r="E677" s="111"/>
      <c r="F677" s="42"/>
      <c r="G677" s="112"/>
      <c r="H677" s="113"/>
      <c r="I677" s="114"/>
      <c r="J677" s="52" t="e">
        <f>VLOOKUP(I677,'CONTACT REFERENCE'!$A$2:$P$399,4,FALSE)</f>
        <v>#N/A</v>
      </c>
      <c r="K677" s="42"/>
      <c r="L677" s="42"/>
      <c r="M677" s="115"/>
      <c r="N677" s="115"/>
      <c r="O677" s="116"/>
      <c r="P677" s="113"/>
      <c r="Q677" s="112"/>
      <c r="R677" s="117"/>
      <c r="S677" s="115"/>
      <c r="T677" s="42"/>
      <c r="U677" s="42"/>
      <c r="V677" s="21"/>
      <c r="W677" s="78"/>
      <c r="Z677" s="74" t="str">
        <f>CONCATENATE(Table1[[#This Row],[P.R NUMBER]],"-",Table1[[#This Row],[SR NO]])</f>
        <v>-</v>
      </c>
    </row>
    <row r="678" spans="1:26" x14ac:dyDescent="0.25">
      <c r="A678" s="73"/>
      <c r="B678" s="42"/>
      <c r="C678" s="118"/>
      <c r="D678" s="110"/>
      <c r="E678" s="111"/>
      <c r="F678" s="42"/>
      <c r="G678" s="112"/>
      <c r="H678" s="113"/>
      <c r="I678" s="114"/>
      <c r="J678" s="52" t="e">
        <f>VLOOKUP(I678,'CONTACT REFERENCE'!$A$2:$P$399,4,FALSE)</f>
        <v>#N/A</v>
      </c>
      <c r="K678" s="42"/>
      <c r="L678" s="42"/>
      <c r="M678" s="115"/>
      <c r="N678" s="115"/>
      <c r="O678" s="116"/>
      <c r="P678" s="113"/>
      <c r="Q678" s="112"/>
      <c r="R678" s="117"/>
      <c r="S678" s="115"/>
      <c r="T678" s="42"/>
      <c r="U678" s="42"/>
      <c r="V678" s="21"/>
      <c r="W678" s="78"/>
      <c r="Z678" s="74" t="str">
        <f>CONCATENATE(Table1[[#This Row],[P.R NUMBER]],"-",Table1[[#This Row],[SR NO]])</f>
        <v>-</v>
      </c>
    </row>
    <row r="679" spans="1:26" x14ac:dyDescent="0.25">
      <c r="A679" s="73"/>
      <c r="B679" s="42"/>
      <c r="C679" s="118"/>
      <c r="D679" s="110"/>
      <c r="E679" s="111"/>
      <c r="F679" s="42"/>
      <c r="G679" s="112"/>
      <c r="H679" s="113"/>
      <c r="I679" s="114"/>
      <c r="J679" s="52" t="e">
        <f>VLOOKUP(I679,'CONTACT REFERENCE'!$A$2:$P$399,4,FALSE)</f>
        <v>#N/A</v>
      </c>
      <c r="K679" s="42"/>
      <c r="L679" s="42"/>
      <c r="M679" s="115"/>
      <c r="N679" s="115"/>
      <c r="O679" s="116"/>
      <c r="P679" s="113"/>
      <c r="Q679" s="112"/>
      <c r="R679" s="117"/>
      <c r="S679" s="115"/>
      <c r="T679" s="42"/>
      <c r="U679" s="42"/>
      <c r="V679" s="21"/>
      <c r="W679" s="78"/>
      <c r="Z679" s="74" t="str">
        <f>CONCATENATE(Table1[[#This Row],[P.R NUMBER]],"-",Table1[[#This Row],[SR NO]])</f>
        <v>-</v>
      </c>
    </row>
    <row r="680" spans="1:26" x14ac:dyDescent="0.25">
      <c r="A680" s="73"/>
      <c r="B680" s="42"/>
      <c r="C680" s="118"/>
      <c r="D680" s="110"/>
      <c r="E680" s="111"/>
      <c r="F680" s="42"/>
      <c r="G680" s="112"/>
      <c r="H680" s="113"/>
      <c r="I680" s="114"/>
      <c r="J680" s="52" t="e">
        <f>VLOOKUP(I680,'CONTACT REFERENCE'!$A$2:$P$399,4,FALSE)</f>
        <v>#N/A</v>
      </c>
      <c r="K680" s="42"/>
      <c r="L680" s="42"/>
      <c r="M680" s="115"/>
      <c r="N680" s="115"/>
      <c r="O680" s="116"/>
      <c r="P680" s="113"/>
      <c r="Q680" s="112"/>
      <c r="R680" s="117"/>
      <c r="S680" s="115"/>
      <c r="T680" s="42"/>
      <c r="U680" s="42"/>
      <c r="V680" s="21"/>
      <c r="W680" s="78"/>
      <c r="Z680" s="74" t="str">
        <f>CONCATENATE(Table1[[#This Row],[P.R NUMBER]],"-",Table1[[#This Row],[SR NO]])</f>
        <v>-</v>
      </c>
    </row>
    <row r="681" spans="1:26" x14ac:dyDescent="0.25">
      <c r="A681" s="73"/>
      <c r="B681" s="42"/>
      <c r="C681" s="118"/>
      <c r="D681" s="110"/>
      <c r="E681" s="111"/>
      <c r="F681" s="42"/>
      <c r="G681" s="112"/>
      <c r="H681" s="113"/>
      <c r="I681" s="114"/>
      <c r="J681" s="52" t="e">
        <f>VLOOKUP(I681,'CONTACT REFERENCE'!$A$2:$P$399,4,FALSE)</f>
        <v>#N/A</v>
      </c>
      <c r="K681" s="42"/>
      <c r="L681" s="42"/>
      <c r="M681" s="115"/>
      <c r="N681" s="115"/>
      <c r="O681" s="116"/>
      <c r="P681" s="113"/>
      <c r="Q681" s="112"/>
      <c r="R681" s="117"/>
      <c r="S681" s="115"/>
      <c r="T681" s="42"/>
      <c r="U681" s="42"/>
      <c r="V681" s="21"/>
      <c r="W681" s="78"/>
      <c r="Z681" s="74" t="str">
        <f>CONCATENATE(Table1[[#This Row],[P.R NUMBER]],"-",Table1[[#This Row],[SR NO]])</f>
        <v>-</v>
      </c>
    </row>
    <row r="682" spans="1:26" x14ac:dyDescent="0.25">
      <c r="A682" s="73"/>
      <c r="B682" s="42"/>
      <c r="C682" s="118"/>
      <c r="D682" s="110"/>
      <c r="E682" s="111"/>
      <c r="F682" s="42"/>
      <c r="G682" s="112"/>
      <c r="H682" s="113"/>
      <c r="I682" s="114"/>
      <c r="J682" s="52" t="e">
        <f>VLOOKUP(I682,'CONTACT REFERENCE'!$A$2:$P$399,4,FALSE)</f>
        <v>#N/A</v>
      </c>
      <c r="K682" s="42"/>
      <c r="L682" s="42"/>
      <c r="M682" s="115"/>
      <c r="N682" s="115"/>
      <c r="O682" s="116"/>
      <c r="P682" s="113"/>
      <c r="Q682" s="112"/>
      <c r="R682" s="117"/>
      <c r="S682" s="115"/>
      <c r="T682" s="42"/>
      <c r="U682" s="42"/>
      <c r="V682" s="21"/>
      <c r="W682" s="78"/>
      <c r="Z682" s="74" t="str">
        <f>CONCATENATE(Table1[[#This Row],[P.R NUMBER]],"-",Table1[[#This Row],[SR NO]])</f>
        <v>-</v>
      </c>
    </row>
    <row r="683" spans="1:26" x14ac:dyDescent="0.25">
      <c r="A683" s="73"/>
      <c r="B683" s="42"/>
      <c r="C683" s="118"/>
      <c r="D683" s="110"/>
      <c r="E683" s="111"/>
      <c r="F683" s="42"/>
      <c r="G683" s="112"/>
      <c r="H683" s="113"/>
      <c r="I683" s="114"/>
      <c r="J683" s="52" t="e">
        <f>VLOOKUP(I683,'CONTACT REFERENCE'!$A$2:$P$399,4,FALSE)</f>
        <v>#N/A</v>
      </c>
      <c r="K683" s="42"/>
      <c r="L683" s="42"/>
      <c r="M683" s="115"/>
      <c r="N683" s="115"/>
      <c r="O683" s="116"/>
      <c r="P683" s="113"/>
      <c r="Q683" s="112"/>
      <c r="R683" s="117"/>
      <c r="S683" s="115"/>
      <c r="T683" s="42"/>
      <c r="U683" s="42"/>
      <c r="V683" s="21"/>
      <c r="W683" s="78"/>
      <c r="Z683" s="74" t="str">
        <f>CONCATENATE(Table1[[#This Row],[P.R NUMBER]],"-",Table1[[#This Row],[SR NO]])</f>
        <v>-</v>
      </c>
    </row>
    <row r="684" spans="1:26" x14ac:dyDescent="0.25">
      <c r="A684" s="73"/>
      <c r="B684" s="42"/>
      <c r="C684" s="118"/>
      <c r="D684" s="110"/>
      <c r="E684" s="111"/>
      <c r="F684" s="42"/>
      <c r="G684" s="112"/>
      <c r="H684" s="113"/>
      <c r="I684" s="114"/>
      <c r="J684" s="52" t="e">
        <f>VLOOKUP(I684,'CONTACT REFERENCE'!$A$2:$P$399,4,FALSE)</f>
        <v>#N/A</v>
      </c>
      <c r="K684" s="42"/>
      <c r="L684" s="42"/>
      <c r="M684" s="115"/>
      <c r="N684" s="115"/>
      <c r="O684" s="116"/>
      <c r="P684" s="113"/>
      <c r="Q684" s="112"/>
      <c r="R684" s="117"/>
      <c r="S684" s="115"/>
      <c r="T684" s="42"/>
      <c r="U684" s="42"/>
      <c r="V684" s="21"/>
      <c r="W684" s="78"/>
      <c r="Z684" s="74" t="str">
        <f>CONCATENATE(Table1[[#This Row],[P.R NUMBER]],"-",Table1[[#This Row],[SR NO]])</f>
        <v>-</v>
      </c>
    </row>
    <row r="685" spans="1:26" x14ac:dyDescent="0.25">
      <c r="A685" s="73"/>
      <c r="B685" s="42"/>
      <c r="C685" s="118"/>
      <c r="D685" s="110"/>
      <c r="E685" s="111"/>
      <c r="F685" s="42"/>
      <c r="G685" s="112"/>
      <c r="H685" s="113"/>
      <c r="I685" s="114"/>
      <c r="J685" s="52" t="e">
        <f>VLOOKUP(I685,'CONTACT REFERENCE'!$A$2:$P$399,4,FALSE)</f>
        <v>#N/A</v>
      </c>
      <c r="K685" s="42"/>
      <c r="L685" s="42"/>
      <c r="M685" s="115"/>
      <c r="N685" s="115"/>
      <c r="O685" s="116"/>
      <c r="P685" s="113"/>
      <c r="Q685" s="112"/>
      <c r="R685" s="117"/>
      <c r="S685" s="115"/>
      <c r="T685" s="42"/>
      <c r="U685" s="42"/>
      <c r="V685" s="21"/>
      <c r="W685" s="78"/>
      <c r="Z685" s="74" t="str">
        <f>CONCATENATE(Table1[[#This Row],[P.R NUMBER]],"-",Table1[[#This Row],[SR NO]])</f>
        <v>-</v>
      </c>
    </row>
    <row r="686" spans="1:26" x14ac:dyDescent="0.25">
      <c r="A686" s="73"/>
      <c r="B686" s="42"/>
      <c r="C686" s="118"/>
      <c r="D686" s="110"/>
      <c r="E686" s="111"/>
      <c r="F686" s="42"/>
      <c r="G686" s="112"/>
      <c r="H686" s="113"/>
      <c r="I686" s="114"/>
      <c r="J686" s="52" t="e">
        <f>VLOOKUP(I686,'CONTACT REFERENCE'!$A$2:$P$399,4,FALSE)</f>
        <v>#N/A</v>
      </c>
      <c r="K686" s="42"/>
      <c r="L686" s="42"/>
      <c r="M686" s="115"/>
      <c r="N686" s="115"/>
      <c r="O686" s="116"/>
      <c r="P686" s="113"/>
      <c r="Q686" s="112"/>
      <c r="R686" s="117"/>
      <c r="S686" s="115"/>
      <c r="T686" s="42"/>
      <c r="U686" s="42"/>
      <c r="V686" s="21"/>
      <c r="W686" s="78"/>
      <c r="Z686" s="74" t="str">
        <f>CONCATENATE(Table1[[#This Row],[P.R NUMBER]],"-",Table1[[#This Row],[SR NO]])</f>
        <v>-</v>
      </c>
    </row>
    <row r="687" spans="1:26" x14ac:dyDescent="0.25">
      <c r="A687" s="73"/>
      <c r="B687" s="42"/>
      <c r="C687" s="118"/>
      <c r="D687" s="110"/>
      <c r="E687" s="111"/>
      <c r="F687" s="42"/>
      <c r="G687" s="112"/>
      <c r="H687" s="113"/>
      <c r="I687" s="114"/>
      <c r="J687" s="52" t="e">
        <f>VLOOKUP(I687,'CONTACT REFERENCE'!$A$2:$P$399,4,FALSE)</f>
        <v>#N/A</v>
      </c>
      <c r="K687" s="42"/>
      <c r="L687" s="42"/>
      <c r="M687" s="115"/>
      <c r="N687" s="115"/>
      <c r="O687" s="116"/>
      <c r="P687" s="113"/>
      <c r="Q687" s="112"/>
      <c r="R687" s="117"/>
      <c r="S687" s="115"/>
      <c r="T687" s="42"/>
      <c r="U687" s="42"/>
      <c r="V687" s="21"/>
      <c r="W687" s="78"/>
      <c r="Z687" s="74" t="str">
        <f>CONCATENATE(Table1[[#This Row],[P.R NUMBER]],"-",Table1[[#This Row],[SR NO]])</f>
        <v>-</v>
      </c>
    </row>
    <row r="688" spans="1:26" x14ac:dyDescent="0.25">
      <c r="A688" s="73"/>
      <c r="B688" s="42"/>
      <c r="C688" s="118"/>
      <c r="D688" s="110"/>
      <c r="E688" s="111"/>
      <c r="F688" s="42"/>
      <c r="G688" s="112"/>
      <c r="H688" s="113"/>
      <c r="I688" s="114"/>
      <c r="J688" s="52" t="e">
        <f>VLOOKUP(I688,'CONTACT REFERENCE'!$A$2:$P$399,4,FALSE)</f>
        <v>#N/A</v>
      </c>
      <c r="K688" s="42"/>
      <c r="L688" s="42"/>
      <c r="M688" s="115"/>
      <c r="N688" s="115"/>
      <c r="O688" s="116"/>
      <c r="P688" s="113"/>
      <c r="Q688" s="112"/>
      <c r="R688" s="117"/>
      <c r="S688" s="115"/>
      <c r="T688" s="42"/>
      <c r="U688" s="42"/>
      <c r="V688" s="21"/>
      <c r="W688" s="78"/>
      <c r="Z688" s="74" t="str">
        <f>CONCATENATE(Table1[[#This Row],[P.R NUMBER]],"-",Table1[[#This Row],[SR NO]])</f>
        <v>-</v>
      </c>
    </row>
    <row r="689" spans="1:26" x14ac:dyDescent="0.25">
      <c r="A689" s="73"/>
      <c r="B689" s="42"/>
      <c r="C689" s="118"/>
      <c r="D689" s="110"/>
      <c r="E689" s="111"/>
      <c r="F689" s="42"/>
      <c r="G689" s="112"/>
      <c r="H689" s="113"/>
      <c r="I689" s="114"/>
      <c r="J689" s="52" t="e">
        <f>VLOOKUP(I689,'CONTACT REFERENCE'!$A$2:$P$399,4,FALSE)</f>
        <v>#N/A</v>
      </c>
      <c r="K689" s="42"/>
      <c r="L689" s="42"/>
      <c r="M689" s="115"/>
      <c r="N689" s="115"/>
      <c r="O689" s="116"/>
      <c r="P689" s="113"/>
      <c r="Q689" s="112"/>
      <c r="R689" s="117"/>
      <c r="S689" s="115"/>
      <c r="T689" s="42"/>
      <c r="U689" s="42"/>
      <c r="V689" s="21"/>
      <c r="W689" s="78"/>
      <c r="Z689" s="74" t="str">
        <f>CONCATENATE(Table1[[#This Row],[P.R NUMBER]],"-",Table1[[#This Row],[SR NO]])</f>
        <v>-</v>
      </c>
    </row>
    <row r="690" spans="1:26" x14ac:dyDescent="0.25">
      <c r="A690" s="73"/>
      <c r="B690" s="42"/>
      <c r="C690" s="118"/>
      <c r="D690" s="110"/>
      <c r="E690" s="111"/>
      <c r="F690" s="42"/>
      <c r="G690" s="112"/>
      <c r="H690" s="113"/>
      <c r="I690" s="114"/>
      <c r="J690" s="52" t="e">
        <f>VLOOKUP(I690,'CONTACT REFERENCE'!$A$2:$P$399,4,FALSE)</f>
        <v>#N/A</v>
      </c>
      <c r="K690" s="42"/>
      <c r="L690" s="42"/>
      <c r="M690" s="115"/>
      <c r="N690" s="115"/>
      <c r="O690" s="116"/>
      <c r="P690" s="113"/>
      <c r="Q690" s="112"/>
      <c r="R690" s="117"/>
      <c r="S690" s="115"/>
      <c r="T690" s="42"/>
      <c r="U690" s="42"/>
      <c r="V690" s="21"/>
      <c r="W690" s="78"/>
      <c r="Z690" s="74" t="str">
        <f>CONCATENATE(Table1[[#This Row],[P.R NUMBER]],"-",Table1[[#This Row],[SR NO]])</f>
        <v>-</v>
      </c>
    </row>
    <row r="691" spans="1:26" x14ac:dyDescent="0.25">
      <c r="A691" s="73"/>
      <c r="B691" s="42"/>
      <c r="C691" s="118"/>
      <c r="D691" s="110"/>
      <c r="E691" s="111"/>
      <c r="F691" s="42"/>
      <c r="G691" s="112"/>
      <c r="H691" s="113"/>
      <c r="I691" s="114"/>
      <c r="J691" s="52" t="e">
        <f>VLOOKUP(I691,'CONTACT REFERENCE'!$A$2:$P$399,4,FALSE)</f>
        <v>#N/A</v>
      </c>
      <c r="K691" s="42"/>
      <c r="L691" s="42"/>
      <c r="M691" s="115"/>
      <c r="N691" s="115"/>
      <c r="O691" s="116"/>
      <c r="P691" s="113"/>
      <c r="Q691" s="112"/>
      <c r="R691" s="117"/>
      <c r="S691" s="115"/>
      <c r="T691" s="42"/>
      <c r="U691" s="42"/>
      <c r="V691" s="21"/>
      <c r="W691" s="78"/>
      <c r="Z691" s="74" t="str">
        <f>CONCATENATE(Table1[[#This Row],[P.R NUMBER]],"-",Table1[[#This Row],[SR NO]])</f>
        <v>-</v>
      </c>
    </row>
    <row r="692" spans="1:26" x14ac:dyDescent="0.25">
      <c r="A692" s="73"/>
      <c r="B692" s="42"/>
      <c r="C692" s="118"/>
      <c r="D692" s="110"/>
      <c r="E692" s="111"/>
      <c r="F692" s="42"/>
      <c r="G692" s="112"/>
      <c r="H692" s="113"/>
      <c r="I692" s="114"/>
      <c r="J692" s="52" t="e">
        <f>VLOOKUP(I692,'CONTACT REFERENCE'!$A$2:$P$399,4,FALSE)</f>
        <v>#N/A</v>
      </c>
      <c r="K692" s="42"/>
      <c r="L692" s="42"/>
      <c r="M692" s="115"/>
      <c r="N692" s="115"/>
      <c r="O692" s="116"/>
      <c r="P692" s="113"/>
      <c r="Q692" s="112"/>
      <c r="R692" s="117"/>
      <c r="S692" s="115"/>
      <c r="T692" s="42"/>
      <c r="U692" s="42"/>
      <c r="V692" s="21"/>
      <c r="W692" s="78"/>
      <c r="Z692" s="74" t="str">
        <f>CONCATENATE(Table1[[#This Row],[P.R NUMBER]],"-",Table1[[#This Row],[SR NO]])</f>
        <v>-</v>
      </c>
    </row>
    <row r="693" spans="1:26" x14ac:dyDescent="0.25">
      <c r="A693" s="73"/>
      <c r="B693" s="42"/>
      <c r="C693" s="118"/>
      <c r="D693" s="110"/>
      <c r="E693" s="111"/>
      <c r="F693" s="42"/>
      <c r="G693" s="112"/>
      <c r="H693" s="113"/>
      <c r="I693" s="114"/>
      <c r="J693" s="52" t="e">
        <f>VLOOKUP(I693,'CONTACT REFERENCE'!$A$2:$P$399,4,FALSE)</f>
        <v>#N/A</v>
      </c>
      <c r="K693" s="42"/>
      <c r="L693" s="42"/>
      <c r="M693" s="115"/>
      <c r="N693" s="115"/>
      <c r="O693" s="116"/>
      <c r="P693" s="113"/>
      <c r="Q693" s="112"/>
      <c r="R693" s="117"/>
      <c r="S693" s="115"/>
      <c r="T693" s="42"/>
      <c r="U693" s="42"/>
      <c r="V693" s="21"/>
      <c r="W693" s="78"/>
      <c r="Z693" s="74" t="str">
        <f>CONCATENATE(Table1[[#This Row],[P.R NUMBER]],"-",Table1[[#This Row],[SR NO]])</f>
        <v>-</v>
      </c>
    </row>
    <row r="694" spans="1:26" x14ac:dyDescent="0.25">
      <c r="A694" s="73"/>
      <c r="B694" s="42"/>
      <c r="C694" s="118"/>
      <c r="D694" s="110"/>
      <c r="E694" s="111"/>
      <c r="F694" s="42"/>
      <c r="G694" s="112"/>
      <c r="H694" s="113"/>
      <c r="I694" s="114"/>
      <c r="J694" s="52" t="e">
        <f>VLOOKUP(I694,'CONTACT REFERENCE'!$A$2:$P$399,4,FALSE)</f>
        <v>#N/A</v>
      </c>
      <c r="K694" s="42"/>
      <c r="L694" s="42"/>
      <c r="M694" s="115"/>
      <c r="N694" s="115"/>
      <c r="O694" s="116"/>
      <c r="P694" s="113"/>
      <c r="Q694" s="112"/>
      <c r="R694" s="117"/>
      <c r="S694" s="115"/>
      <c r="T694" s="42"/>
      <c r="U694" s="42"/>
      <c r="V694" s="21"/>
      <c r="W694" s="78"/>
      <c r="Z694" s="74" t="str">
        <f>CONCATENATE(Table1[[#This Row],[P.R NUMBER]],"-",Table1[[#This Row],[SR NO]])</f>
        <v>-</v>
      </c>
    </row>
    <row r="695" spans="1:26" x14ac:dyDescent="0.25">
      <c r="A695" s="73"/>
      <c r="B695" s="42"/>
      <c r="C695" s="118"/>
      <c r="D695" s="110"/>
      <c r="E695" s="111"/>
      <c r="F695" s="42"/>
      <c r="G695" s="112"/>
      <c r="H695" s="113"/>
      <c r="I695" s="114"/>
      <c r="J695" s="52" t="e">
        <f>VLOOKUP(I695,'CONTACT REFERENCE'!$A$2:$P$399,4,FALSE)</f>
        <v>#N/A</v>
      </c>
      <c r="K695" s="42"/>
      <c r="L695" s="42"/>
      <c r="M695" s="115"/>
      <c r="N695" s="115"/>
      <c r="O695" s="116"/>
      <c r="P695" s="113"/>
      <c r="Q695" s="112"/>
      <c r="R695" s="117"/>
      <c r="S695" s="115"/>
      <c r="T695" s="42"/>
      <c r="U695" s="42"/>
      <c r="V695" s="21"/>
      <c r="W695" s="78"/>
      <c r="Z695" s="74" t="str">
        <f>CONCATENATE(Table1[[#This Row],[P.R NUMBER]],"-",Table1[[#This Row],[SR NO]])</f>
        <v>-</v>
      </c>
    </row>
    <row r="696" spans="1:26" x14ac:dyDescent="0.25">
      <c r="A696" s="73"/>
      <c r="B696" s="42"/>
      <c r="C696" s="118"/>
      <c r="D696" s="110"/>
      <c r="E696" s="111"/>
      <c r="F696" s="42"/>
      <c r="G696" s="112"/>
      <c r="H696" s="113"/>
      <c r="I696" s="114"/>
      <c r="J696" s="52" t="e">
        <f>VLOOKUP(I696,'CONTACT REFERENCE'!$A$2:$P$399,4,FALSE)</f>
        <v>#N/A</v>
      </c>
      <c r="K696" s="42"/>
      <c r="L696" s="42"/>
      <c r="M696" s="115"/>
      <c r="N696" s="115"/>
      <c r="O696" s="116"/>
      <c r="P696" s="113"/>
      <c r="Q696" s="112"/>
      <c r="R696" s="117"/>
      <c r="S696" s="115"/>
      <c r="T696" s="42"/>
      <c r="U696" s="42"/>
      <c r="V696" s="21"/>
      <c r="W696" s="78"/>
      <c r="Z696" s="74" t="str">
        <f>CONCATENATE(Table1[[#This Row],[P.R NUMBER]],"-",Table1[[#This Row],[SR NO]])</f>
        <v>-</v>
      </c>
    </row>
    <row r="697" spans="1:26" x14ac:dyDescent="0.25">
      <c r="A697" s="73"/>
      <c r="B697" s="42"/>
      <c r="C697" s="118"/>
      <c r="D697" s="110"/>
      <c r="E697" s="111"/>
      <c r="F697" s="42"/>
      <c r="G697" s="112"/>
      <c r="H697" s="113"/>
      <c r="I697" s="114"/>
      <c r="J697" s="52" t="e">
        <f>VLOOKUP(I697,'CONTACT REFERENCE'!$A$2:$P$399,4,FALSE)</f>
        <v>#N/A</v>
      </c>
      <c r="K697" s="42"/>
      <c r="L697" s="42"/>
      <c r="M697" s="115"/>
      <c r="N697" s="115"/>
      <c r="O697" s="116"/>
      <c r="P697" s="113"/>
      <c r="Q697" s="112"/>
      <c r="R697" s="117"/>
      <c r="S697" s="115"/>
      <c r="T697" s="42"/>
      <c r="U697" s="42"/>
      <c r="V697" s="21"/>
      <c r="W697" s="78"/>
      <c r="Z697" s="74" t="str">
        <f>CONCATENATE(Table1[[#This Row],[P.R NUMBER]],"-",Table1[[#This Row],[SR NO]])</f>
        <v>-</v>
      </c>
    </row>
    <row r="698" spans="1:26" x14ac:dyDescent="0.25">
      <c r="A698" s="73"/>
      <c r="B698" s="42"/>
      <c r="C698" s="118"/>
      <c r="D698" s="110"/>
      <c r="E698" s="111"/>
      <c r="F698" s="42"/>
      <c r="G698" s="112"/>
      <c r="H698" s="113"/>
      <c r="I698" s="114"/>
      <c r="J698" s="52" t="e">
        <f>VLOOKUP(I698,'CONTACT REFERENCE'!$A$2:$P$399,4,FALSE)</f>
        <v>#N/A</v>
      </c>
      <c r="K698" s="42"/>
      <c r="L698" s="42"/>
      <c r="M698" s="115"/>
      <c r="N698" s="115"/>
      <c r="O698" s="116"/>
      <c r="P698" s="113"/>
      <c r="Q698" s="112"/>
      <c r="R698" s="117"/>
      <c r="S698" s="115"/>
      <c r="T698" s="42"/>
      <c r="U698" s="42"/>
      <c r="V698" s="21"/>
      <c r="W698" s="78"/>
      <c r="Z698" s="74" t="str">
        <f>CONCATENATE(Table1[[#This Row],[P.R NUMBER]],"-",Table1[[#This Row],[SR NO]])</f>
        <v>-</v>
      </c>
    </row>
    <row r="699" spans="1:26" x14ac:dyDescent="0.25">
      <c r="A699" s="73"/>
      <c r="B699" s="42"/>
      <c r="C699" s="118"/>
      <c r="D699" s="110"/>
      <c r="E699" s="111"/>
      <c r="F699" s="42"/>
      <c r="G699" s="112"/>
      <c r="H699" s="113"/>
      <c r="I699" s="114"/>
      <c r="J699" s="52" t="e">
        <f>VLOOKUP(I699,'CONTACT REFERENCE'!$A$2:$P$399,4,FALSE)</f>
        <v>#N/A</v>
      </c>
      <c r="K699" s="42"/>
      <c r="L699" s="42"/>
      <c r="M699" s="115"/>
      <c r="N699" s="115"/>
      <c r="O699" s="116"/>
      <c r="P699" s="113"/>
      <c r="Q699" s="112"/>
      <c r="R699" s="117"/>
      <c r="S699" s="115"/>
      <c r="T699" s="42"/>
      <c r="U699" s="42"/>
      <c r="V699" s="21"/>
      <c r="W699" s="78"/>
      <c r="Z699" s="74" t="str">
        <f>CONCATENATE(Table1[[#This Row],[P.R NUMBER]],"-",Table1[[#This Row],[SR NO]])</f>
        <v>-</v>
      </c>
    </row>
    <row r="700" spans="1:26" x14ac:dyDescent="0.25">
      <c r="A700" s="73"/>
      <c r="B700" s="42"/>
      <c r="C700" s="118"/>
      <c r="D700" s="110"/>
      <c r="E700" s="111"/>
      <c r="F700" s="42"/>
      <c r="G700" s="112"/>
      <c r="H700" s="113"/>
      <c r="I700" s="114"/>
      <c r="J700" s="52" t="e">
        <f>VLOOKUP(I700,'CONTACT REFERENCE'!$A$2:$P$399,4,FALSE)</f>
        <v>#N/A</v>
      </c>
      <c r="K700" s="42"/>
      <c r="L700" s="42"/>
      <c r="M700" s="115"/>
      <c r="N700" s="115"/>
      <c r="O700" s="116"/>
      <c r="P700" s="113"/>
      <c r="Q700" s="112"/>
      <c r="R700" s="117"/>
      <c r="S700" s="115"/>
      <c r="T700" s="42"/>
      <c r="U700" s="42"/>
      <c r="V700" s="21"/>
      <c r="W700" s="78"/>
      <c r="Z700" s="74" t="str">
        <f>CONCATENATE(Table1[[#This Row],[P.R NUMBER]],"-",Table1[[#This Row],[SR NO]])</f>
        <v>-</v>
      </c>
    </row>
    <row r="701" spans="1:26" x14ac:dyDescent="0.25">
      <c r="A701" s="73"/>
      <c r="B701" s="42"/>
      <c r="C701" s="118"/>
      <c r="D701" s="110"/>
      <c r="E701" s="111"/>
      <c r="F701" s="42"/>
      <c r="G701" s="112"/>
      <c r="H701" s="113"/>
      <c r="I701" s="114"/>
      <c r="J701" s="52" t="e">
        <f>VLOOKUP(I701,'CONTACT REFERENCE'!$A$2:$P$399,4,FALSE)</f>
        <v>#N/A</v>
      </c>
      <c r="K701" s="42"/>
      <c r="L701" s="42"/>
      <c r="M701" s="115"/>
      <c r="N701" s="115"/>
      <c r="O701" s="116"/>
      <c r="P701" s="113"/>
      <c r="Q701" s="112"/>
      <c r="R701" s="117"/>
      <c r="S701" s="115"/>
      <c r="T701" s="42"/>
      <c r="U701" s="42"/>
      <c r="V701" s="21"/>
      <c r="W701" s="78"/>
      <c r="Z701" s="74" t="str">
        <f>CONCATENATE(Table1[[#This Row],[P.R NUMBER]],"-",Table1[[#This Row],[SR NO]])</f>
        <v>-</v>
      </c>
    </row>
    <row r="702" spans="1:26" x14ac:dyDescent="0.25">
      <c r="A702" s="73"/>
      <c r="B702" s="42"/>
      <c r="C702" s="118"/>
      <c r="D702" s="110"/>
      <c r="E702" s="111"/>
      <c r="F702" s="42"/>
      <c r="G702" s="112"/>
      <c r="H702" s="113"/>
      <c r="I702" s="114"/>
      <c r="J702" s="52" t="e">
        <f>VLOOKUP(I702,'CONTACT REFERENCE'!$A$2:$P$399,4,FALSE)</f>
        <v>#N/A</v>
      </c>
      <c r="K702" s="42"/>
      <c r="L702" s="42"/>
      <c r="M702" s="115"/>
      <c r="N702" s="115"/>
      <c r="O702" s="116"/>
      <c r="P702" s="113"/>
      <c r="Q702" s="112"/>
      <c r="R702" s="117"/>
      <c r="S702" s="115"/>
      <c r="T702" s="42"/>
      <c r="U702" s="42"/>
      <c r="V702" s="21"/>
      <c r="W702" s="78"/>
      <c r="Z702" s="74" t="str">
        <f>CONCATENATE(Table1[[#This Row],[P.R NUMBER]],"-",Table1[[#This Row],[SR NO]])</f>
        <v>-</v>
      </c>
    </row>
    <row r="703" spans="1:26" x14ac:dyDescent="0.25">
      <c r="A703" s="73"/>
      <c r="B703" s="42"/>
      <c r="C703" s="118"/>
      <c r="D703" s="110"/>
      <c r="E703" s="111"/>
      <c r="F703" s="42"/>
      <c r="G703" s="112"/>
      <c r="H703" s="113"/>
      <c r="I703" s="114"/>
      <c r="J703" s="52" t="e">
        <f>VLOOKUP(I703,'CONTACT REFERENCE'!$A$2:$P$399,4,FALSE)</f>
        <v>#N/A</v>
      </c>
      <c r="K703" s="42"/>
      <c r="L703" s="42"/>
      <c r="M703" s="115"/>
      <c r="N703" s="115"/>
      <c r="O703" s="116"/>
      <c r="P703" s="113"/>
      <c r="Q703" s="112"/>
      <c r="R703" s="117"/>
      <c r="S703" s="115"/>
      <c r="T703" s="42"/>
      <c r="U703" s="42"/>
      <c r="V703" s="21"/>
      <c r="W703" s="78"/>
      <c r="Z703" s="74" t="str">
        <f>CONCATENATE(Table1[[#This Row],[P.R NUMBER]],"-",Table1[[#This Row],[SR NO]])</f>
        <v>-</v>
      </c>
    </row>
    <row r="704" spans="1:26" x14ac:dyDescent="0.25">
      <c r="A704" s="73"/>
      <c r="B704" s="42"/>
      <c r="C704" s="118"/>
      <c r="D704" s="110"/>
      <c r="E704" s="111"/>
      <c r="F704" s="42"/>
      <c r="G704" s="112"/>
      <c r="H704" s="113"/>
      <c r="I704" s="114"/>
      <c r="J704" s="52" t="e">
        <f>VLOOKUP(I704,'CONTACT REFERENCE'!$A$2:$P$399,4,FALSE)</f>
        <v>#N/A</v>
      </c>
      <c r="K704" s="42"/>
      <c r="L704" s="42"/>
      <c r="M704" s="115"/>
      <c r="N704" s="115"/>
      <c r="O704" s="116"/>
      <c r="P704" s="113"/>
      <c r="Q704" s="112"/>
      <c r="R704" s="117"/>
      <c r="S704" s="115"/>
      <c r="T704" s="42"/>
      <c r="U704" s="42"/>
      <c r="V704" s="21"/>
      <c r="W704" s="78"/>
      <c r="Z704" s="74" t="str">
        <f>CONCATENATE(Table1[[#This Row],[P.R NUMBER]],"-",Table1[[#This Row],[SR NO]])</f>
        <v>-</v>
      </c>
    </row>
    <row r="705" spans="1:26" x14ac:dyDescent="0.25">
      <c r="A705" s="73"/>
      <c r="B705" s="42"/>
      <c r="C705" s="118"/>
      <c r="D705" s="110"/>
      <c r="E705" s="111"/>
      <c r="F705" s="42"/>
      <c r="G705" s="112"/>
      <c r="H705" s="113"/>
      <c r="I705" s="114"/>
      <c r="J705" s="52" t="e">
        <f>VLOOKUP(I705,'CONTACT REFERENCE'!$A$2:$P$399,4,FALSE)</f>
        <v>#N/A</v>
      </c>
      <c r="K705" s="42"/>
      <c r="L705" s="42"/>
      <c r="M705" s="115"/>
      <c r="N705" s="115"/>
      <c r="O705" s="116"/>
      <c r="P705" s="113"/>
      <c r="Q705" s="112"/>
      <c r="R705" s="117"/>
      <c r="S705" s="115"/>
      <c r="T705" s="42"/>
      <c r="U705" s="42"/>
      <c r="V705" s="21"/>
      <c r="W705" s="78"/>
      <c r="Z705" s="74" t="str">
        <f>CONCATENATE(Table1[[#This Row],[P.R NUMBER]],"-",Table1[[#This Row],[SR NO]])</f>
        <v>-</v>
      </c>
    </row>
    <row r="706" spans="1:26" x14ac:dyDescent="0.25">
      <c r="A706" s="73"/>
      <c r="B706" s="42"/>
      <c r="C706" s="118"/>
      <c r="D706" s="110"/>
      <c r="E706" s="111"/>
      <c r="F706" s="42"/>
      <c r="G706" s="112"/>
      <c r="H706" s="113"/>
      <c r="I706" s="114"/>
      <c r="J706" s="52" t="e">
        <f>VLOOKUP(I706,'CONTACT REFERENCE'!$A$2:$P$399,4,FALSE)</f>
        <v>#N/A</v>
      </c>
      <c r="K706" s="42"/>
      <c r="L706" s="42"/>
      <c r="M706" s="115"/>
      <c r="N706" s="115"/>
      <c r="O706" s="116"/>
      <c r="P706" s="113"/>
      <c r="Q706" s="112"/>
      <c r="R706" s="117"/>
      <c r="S706" s="115"/>
      <c r="T706" s="42"/>
      <c r="U706" s="42"/>
      <c r="V706" s="21"/>
      <c r="W706" s="78"/>
      <c r="Z706" s="74" t="str">
        <f>CONCATENATE(Table1[[#This Row],[P.R NUMBER]],"-",Table1[[#This Row],[SR NO]])</f>
        <v>-</v>
      </c>
    </row>
    <row r="707" spans="1:26" x14ac:dyDescent="0.25">
      <c r="A707" s="73"/>
      <c r="B707" s="42"/>
      <c r="C707" s="118"/>
      <c r="D707" s="110"/>
      <c r="E707" s="111"/>
      <c r="F707" s="42"/>
      <c r="G707" s="112"/>
      <c r="H707" s="113"/>
      <c r="I707" s="114"/>
      <c r="J707" s="52" t="e">
        <f>VLOOKUP(I707,'CONTACT REFERENCE'!$A$2:$P$399,4,FALSE)</f>
        <v>#N/A</v>
      </c>
      <c r="K707" s="42"/>
      <c r="L707" s="42"/>
      <c r="M707" s="115"/>
      <c r="N707" s="115"/>
      <c r="O707" s="116"/>
      <c r="P707" s="113"/>
      <c r="Q707" s="112"/>
      <c r="R707" s="117"/>
      <c r="S707" s="115"/>
      <c r="T707" s="42"/>
      <c r="U707" s="42"/>
      <c r="V707" s="21"/>
      <c r="W707" s="78"/>
      <c r="Z707" s="74" t="str">
        <f>CONCATENATE(Table1[[#This Row],[P.R NUMBER]],"-",Table1[[#This Row],[SR NO]])</f>
        <v>-</v>
      </c>
    </row>
    <row r="708" spans="1:26" x14ac:dyDescent="0.25">
      <c r="A708" s="73"/>
      <c r="B708" s="42"/>
      <c r="C708" s="118"/>
      <c r="D708" s="110"/>
      <c r="E708" s="111"/>
      <c r="F708" s="42"/>
      <c r="G708" s="112"/>
      <c r="H708" s="113"/>
      <c r="I708" s="114"/>
      <c r="J708" s="52" t="e">
        <f>VLOOKUP(I708,'CONTACT REFERENCE'!$A$2:$P$399,4,FALSE)</f>
        <v>#N/A</v>
      </c>
      <c r="K708" s="42"/>
      <c r="L708" s="42"/>
      <c r="M708" s="115"/>
      <c r="N708" s="115"/>
      <c r="O708" s="116"/>
      <c r="P708" s="113"/>
      <c r="Q708" s="112"/>
      <c r="R708" s="117"/>
      <c r="S708" s="115"/>
      <c r="T708" s="42"/>
      <c r="U708" s="42"/>
      <c r="V708" s="21"/>
      <c r="W708" s="78"/>
      <c r="Z708" s="74" t="str">
        <f>CONCATENATE(Table1[[#This Row],[P.R NUMBER]],"-",Table1[[#This Row],[SR NO]])</f>
        <v>-</v>
      </c>
    </row>
    <row r="709" spans="1:26" x14ac:dyDescent="0.25">
      <c r="A709" s="73"/>
      <c r="B709" s="42"/>
      <c r="C709" s="118"/>
      <c r="D709" s="110"/>
      <c r="E709" s="111"/>
      <c r="F709" s="42"/>
      <c r="G709" s="112"/>
      <c r="H709" s="113"/>
      <c r="I709" s="114"/>
      <c r="J709" s="52" t="e">
        <f>VLOOKUP(I709,'CONTACT REFERENCE'!$A$2:$P$399,4,FALSE)</f>
        <v>#N/A</v>
      </c>
      <c r="K709" s="42"/>
      <c r="L709" s="42"/>
      <c r="M709" s="115"/>
      <c r="N709" s="115"/>
      <c r="O709" s="116"/>
      <c r="P709" s="113"/>
      <c r="Q709" s="112"/>
      <c r="R709" s="117"/>
      <c r="S709" s="115"/>
      <c r="T709" s="42"/>
      <c r="U709" s="42"/>
      <c r="V709" s="21"/>
      <c r="W709" s="78"/>
      <c r="Z709" s="74" t="str">
        <f>CONCATENATE(Table1[[#This Row],[P.R NUMBER]],"-",Table1[[#This Row],[SR NO]])</f>
        <v>-</v>
      </c>
    </row>
    <row r="710" spans="1:26" x14ac:dyDescent="0.25">
      <c r="A710" s="73"/>
      <c r="B710" s="42"/>
      <c r="C710" s="118"/>
      <c r="D710" s="110"/>
      <c r="E710" s="111"/>
      <c r="F710" s="42"/>
      <c r="G710" s="112"/>
      <c r="H710" s="113"/>
      <c r="I710" s="114"/>
      <c r="J710" s="52" t="e">
        <f>VLOOKUP(I710,'CONTACT REFERENCE'!$A$2:$P$399,4,FALSE)</f>
        <v>#N/A</v>
      </c>
      <c r="K710" s="42"/>
      <c r="L710" s="42"/>
      <c r="M710" s="115"/>
      <c r="N710" s="115"/>
      <c r="O710" s="116"/>
      <c r="P710" s="113"/>
      <c r="Q710" s="112"/>
      <c r="R710" s="117"/>
      <c r="S710" s="115"/>
      <c r="T710" s="42"/>
      <c r="U710" s="42"/>
      <c r="V710" s="21"/>
      <c r="W710" s="78"/>
      <c r="Z710" s="74" t="str">
        <f>CONCATENATE(Table1[[#This Row],[P.R NUMBER]],"-",Table1[[#This Row],[SR NO]])</f>
        <v>-</v>
      </c>
    </row>
    <row r="711" spans="1:26" x14ac:dyDescent="0.25">
      <c r="A711" s="73"/>
      <c r="B711" s="42"/>
      <c r="C711" s="118"/>
      <c r="D711" s="110"/>
      <c r="E711" s="111"/>
      <c r="F711" s="42"/>
      <c r="G711" s="112"/>
      <c r="H711" s="113"/>
      <c r="I711" s="114"/>
      <c r="J711" s="52" t="e">
        <f>VLOOKUP(I711,'CONTACT REFERENCE'!$A$2:$P$399,4,FALSE)</f>
        <v>#N/A</v>
      </c>
      <c r="K711" s="42"/>
      <c r="L711" s="42"/>
      <c r="M711" s="115"/>
      <c r="N711" s="115"/>
      <c r="O711" s="116"/>
      <c r="P711" s="113"/>
      <c r="Q711" s="112"/>
      <c r="R711" s="117"/>
      <c r="S711" s="115"/>
      <c r="T711" s="42"/>
      <c r="U711" s="42"/>
      <c r="V711" s="21"/>
      <c r="W711" s="78"/>
      <c r="Z711" s="74" t="str">
        <f>CONCATENATE(Table1[[#This Row],[P.R NUMBER]],"-",Table1[[#This Row],[SR NO]])</f>
        <v>-</v>
      </c>
    </row>
    <row r="712" spans="1:26" x14ac:dyDescent="0.25">
      <c r="A712" s="73"/>
      <c r="B712" s="42"/>
      <c r="C712" s="118"/>
      <c r="D712" s="110"/>
      <c r="E712" s="111"/>
      <c r="F712" s="42"/>
      <c r="G712" s="112"/>
      <c r="H712" s="113"/>
      <c r="I712" s="114"/>
      <c r="J712" s="52" t="e">
        <f>VLOOKUP(I712,'CONTACT REFERENCE'!$A$2:$P$399,4,FALSE)</f>
        <v>#N/A</v>
      </c>
      <c r="K712" s="42"/>
      <c r="L712" s="42"/>
      <c r="M712" s="115"/>
      <c r="N712" s="115"/>
      <c r="O712" s="116"/>
      <c r="P712" s="113"/>
      <c r="Q712" s="112"/>
      <c r="R712" s="117"/>
      <c r="S712" s="115"/>
      <c r="T712" s="42"/>
      <c r="U712" s="42"/>
      <c r="V712" s="21"/>
      <c r="W712" s="78"/>
      <c r="Z712" s="74" t="str">
        <f>CONCATENATE(Table1[[#This Row],[P.R NUMBER]],"-",Table1[[#This Row],[SR NO]])</f>
        <v>-</v>
      </c>
    </row>
    <row r="713" spans="1:26" x14ac:dyDescent="0.25">
      <c r="A713" s="73"/>
      <c r="B713" s="42"/>
      <c r="C713" s="118"/>
      <c r="D713" s="110"/>
      <c r="E713" s="111"/>
      <c r="F713" s="42"/>
      <c r="G713" s="112"/>
      <c r="H713" s="113"/>
      <c r="I713" s="114"/>
      <c r="J713" s="52" t="e">
        <f>VLOOKUP(I713,'CONTACT REFERENCE'!$A$2:$P$399,4,FALSE)</f>
        <v>#N/A</v>
      </c>
      <c r="K713" s="42"/>
      <c r="L713" s="42"/>
      <c r="M713" s="115"/>
      <c r="N713" s="115"/>
      <c r="O713" s="116"/>
      <c r="P713" s="113"/>
      <c r="Q713" s="112"/>
      <c r="R713" s="117"/>
      <c r="S713" s="115"/>
      <c r="T713" s="42"/>
      <c r="U713" s="42"/>
      <c r="V713" s="21"/>
      <c r="W713" s="78"/>
      <c r="Z713" s="74" t="str">
        <f>CONCATENATE(Table1[[#This Row],[P.R NUMBER]],"-",Table1[[#This Row],[SR NO]])</f>
        <v>-</v>
      </c>
    </row>
    <row r="714" spans="1:26" x14ac:dyDescent="0.25">
      <c r="A714" s="73"/>
      <c r="B714" s="42"/>
      <c r="C714" s="118"/>
      <c r="D714" s="110"/>
      <c r="E714" s="111"/>
      <c r="F714" s="42"/>
      <c r="G714" s="112"/>
      <c r="H714" s="113"/>
      <c r="I714" s="114"/>
      <c r="J714" s="52" t="e">
        <f>VLOOKUP(I714,'CONTACT REFERENCE'!$A$2:$P$399,4,FALSE)</f>
        <v>#N/A</v>
      </c>
      <c r="K714" s="42"/>
      <c r="L714" s="42"/>
      <c r="M714" s="115"/>
      <c r="N714" s="115"/>
      <c r="O714" s="116"/>
      <c r="P714" s="113"/>
      <c r="Q714" s="112"/>
      <c r="R714" s="117"/>
      <c r="S714" s="115"/>
      <c r="T714" s="42"/>
      <c r="U714" s="42"/>
      <c r="V714" s="21"/>
      <c r="W714" s="78"/>
      <c r="Z714" s="74" t="str">
        <f>CONCATENATE(Table1[[#This Row],[P.R NUMBER]],"-",Table1[[#This Row],[SR NO]])</f>
        <v>-</v>
      </c>
    </row>
    <row r="715" spans="1:26" x14ac:dyDescent="0.25">
      <c r="A715" s="73"/>
      <c r="B715" s="42"/>
      <c r="C715" s="118"/>
      <c r="D715" s="110"/>
      <c r="E715" s="111"/>
      <c r="F715" s="42"/>
      <c r="G715" s="112"/>
      <c r="H715" s="113"/>
      <c r="I715" s="114"/>
      <c r="J715" s="52" t="e">
        <f>VLOOKUP(I715,'CONTACT REFERENCE'!$A$2:$P$399,4,FALSE)</f>
        <v>#N/A</v>
      </c>
      <c r="K715" s="42"/>
      <c r="L715" s="42"/>
      <c r="M715" s="115"/>
      <c r="N715" s="115"/>
      <c r="O715" s="116"/>
      <c r="P715" s="113"/>
      <c r="Q715" s="112"/>
      <c r="R715" s="117"/>
      <c r="S715" s="115"/>
      <c r="T715" s="42"/>
      <c r="U715" s="42"/>
      <c r="V715" s="21"/>
      <c r="W715" s="78"/>
      <c r="Z715" s="74" t="str">
        <f>CONCATENATE(Table1[[#This Row],[P.R NUMBER]],"-",Table1[[#This Row],[SR NO]])</f>
        <v>-</v>
      </c>
    </row>
    <row r="716" spans="1:26" x14ac:dyDescent="0.25">
      <c r="A716" s="73"/>
      <c r="B716" s="42"/>
      <c r="C716" s="118"/>
      <c r="D716" s="110"/>
      <c r="E716" s="111"/>
      <c r="F716" s="42"/>
      <c r="G716" s="112"/>
      <c r="H716" s="113"/>
      <c r="I716" s="114"/>
      <c r="J716" s="52" t="e">
        <f>VLOOKUP(I716,'CONTACT REFERENCE'!$A$2:$P$399,4,FALSE)</f>
        <v>#N/A</v>
      </c>
      <c r="K716" s="42"/>
      <c r="L716" s="42"/>
      <c r="M716" s="115"/>
      <c r="N716" s="115"/>
      <c r="O716" s="116"/>
      <c r="P716" s="113"/>
      <c r="Q716" s="112"/>
      <c r="R716" s="117"/>
      <c r="S716" s="115"/>
      <c r="T716" s="42"/>
      <c r="U716" s="42"/>
      <c r="V716" s="21"/>
      <c r="W716" s="78"/>
      <c r="Z716" s="74" t="str">
        <f>CONCATENATE(Table1[[#This Row],[P.R NUMBER]],"-",Table1[[#This Row],[SR NO]])</f>
        <v>-</v>
      </c>
    </row>
    <row r="717" spans="1:26" x14ac:dyDescent="0.25">
      <c r="A717" s="73"/>
      <c r="B717" s="42"/>
      <c r="C717" s="118"/>
      <c r="D717" s="110"/>
      <c r="E717" s="111"/>
      <c r="F717" s="42"/>
      <c r="G717" s="112"/>
      <c r="H717" s="113"/>
      <c r="I717" s="114"/>
      <c r="J717" s="52" t="e">
        <f>VLOOKUP(I717,'CONTACT REFERENCE'!$A$2:$P$399,4,FALSE)</f>
        <v>#N/A</v>
      </c>
      <c r="K717" s="42"/>
      <c r="L717" s="42"/>
      <c r="M717" s="115"/>
      <c r="N717" s="115"/>
      <c r="O717" s="116"/>
      <c r="P717" s="113"/>
      <c r="Q717" s="112"/>
      <c r="R717" s="117"/>
      <c r="S717" s="115"/>
      <c r="T717" s="42"/>
      <c r="U717" s="42"/>
      <c r="V717" s="21"/>
      <c r="W717" s="78"/>
      <c r="Z717" s="74" t="str">
        <f>CONCATENATE(Table1[[#This Row],[P.R NUMBER]],"-",Table1[[#This Row],[SR NO]])</f>
        <v>-</v>
      </c>
    </row>
    <row r="718" spans="1:26" x14ac:dyDescent="0.25">
      <c r="A718" s="73"/>
      <c r="B718" s="42"/>
      <c r="C718" s="118"/>
      <c r="D718" s="110"/>
      <c r="E718" s="111"/>
      <c r="F718" s="42"/>
      <c r="G718" s="112"/>
      <c r="H718" s="113"/>
      <c r="I718" s="114"/>
      <c r="J718" s="52" t="e">
        <f>VLOOKUP(I718,'CONTACT REFERENCE'!$A$2:$P$399,4,FALSE)</f>
        <v>#N/A</v>
      </c>
      <c r="K718" s="42"/>
      <c r="L718" s="42"/>
      <c r="M718" s="115"/>
      <c r="N718" s="115"/>
      <c r="O718" s="116"/>
      <c r="P718" s="113"/>
      <c r="Q718" s="112"/>
      <c r="R718" s="117"/>
      <c r="S718" s="115"/>
      <c r="T718" s="42"/>
      <c r="U718" s="42"/>
      <c r="V718" s="21"/>
      <c r="W718" s="78"/>
      <c r="Z718" s="74" t="str">
        <f>CONCATENATE(Table1[[#This Row],[P.R NUMBER]],"-",Table1[[#This Row],[SR NO]])</f>
        <v>-</v>
      </c>
    </row>
    <row r="719" spans="1:26" x14ac:dyDescent="0.25">
      <c r="A719" s="73"/>
      <c r="B719" s="42"/>
      <c r="C719" s="118"/>
      <c r="D719" s="110"/>
      <c r="E719" s="111"/>
      <c r="F719" s="42"/>
      <c r="G719" s="112"/>
      <c r="H719" s="113"/>
      <c r="I719" s="114"/>
      <c r="J719" s="52" t="e">
        <f>VLOOKUP(I719,'CONTACT REFERENCE'!$A$2:$P$399,4,FALSE)</f>
        <v>#N/A</v>
      </c>
      <c r="K719" s="42"/>
      <c r="L719" s="42"/>
      <c r="M719" s="115"/>
      <c r="N719" s="115"/>
      <c r="O719" s="116"/>
      <c r="P719" s="113"/>
      <c r="Q719" s="112"/>
      <c r="R719" s="117"/>
      <c r="S719" s="115"/>
      <c r="T719" s="42"/>
      <c r="U719" s="42"/>
      <c r="V719" s="21"/>
      <c r="W719" s="78"/>
      <c r="Z719" s="74" t="str">
        <f>CONCATENATE(Table1[[#This Row],[P.R NUMBER]],"-",Table1[[#This Row],[SR NO]])</f>
        <v>-</v>
      </c>
    </row>
    <row r="720" spans="1:26" x14ac:dyDescent="0.25">
      <c r="A720" s="73"/>
      <c r="B720" s="42"/>
      <c r="C720" s="118"/>
      <c r="D720" s="110"/>
      <c r="E720" s="111"/>
      <c r="F720" s="42"/>
      <c r="G720" s="112"/>
      <c r="H720" s="113"/>
      <c r="I720" s="114"/>
      <c r="J720" s="52" t="e">
        <f>VLOOKUP(I720,'CONTACT REFERENCE'!$A$2:$P$399,4,FALSE)</f>
        <v>#N/A</v>
      </c>
      <c r="K720" s="42"/>
      <c r="L720" s="42"/>
      <c r="M720" s="115"/>
      <c r="N720" s="115"/>
      <c r="O720" s="116"/>
      <c r="P720" s="113"/>
      <c r="Q720" s="112"/>
      <c r="R720" s="117"/>
      <c r="S720" s="115"/>
      <c r="T720" s="42"/>
      <c r="U720" s="42"/>
      <c r="V720" s="21"/>
      <c r="W720" s="78"/>
      <c r="Z720" s="74" t="str">
        <f>CONCATENATE(Table1[[#This Row],[P.R NUMBER]],"-",Table1[[#This Row],[SR NO]])</f>
        <v>-</v>
      </c>
    </row>
    <row r="721" spans="1:26" x14ac:dyDescent="0.25">
      <c r="A721" s="73"/>
      <c r="B721" s="42"/>
      <c r="C721" s="118"/>
      <c r="D721" s="110"/>
      <c r="E721" s="111"/>
      <c r="F721" s="42"/>
      <c r="G721" s="112"/>
      <c r="H721" s="113"/>
      <c r="I721" s="114"/>
      <c r="J721" s="52" t="e">
        <f>VLOOKUP(I721,'CONTACT REFERENCE'!$A$2:$P$399,4,FALSE)</f>
        <v>#N/A</v>
      </c>
      <c r="K721" s="42"/>
      <c r="L721" s="42"/>
      <c r="M721" s="115"/>
      <c r="N721" s="115"/>
      <c r="O721" s="116"/>
      <c r="P721" s="113"/>
      <c r="Q721" s="112"/>
      <c r="R721" s="117"/>
      <c r="S721" s="115"/>
      <c r="T721" s="42"/>
      <c r="U721" s="42"/>
      <c r="V721" s="21"/>
      <c r="W721" s="78"/>
      <c r="Z721" s="74" t="str">
        <f>CONCATENATE(Table1[[#This Row],[P.R NUMBER]],"-",Table1[[#This Row],[SR NO]])</f>
        <v>-</v>
      </c>
    </row>
    <row r="722" spans="1:26" x14ac:dyDescent="0.25">
      <c r="A722" s="73"/>
      <c r="B722" s="42"/>
      <c r="C722" s="118"/>
      <c r="D722" s="110"/>
      <c r="E722" s="111"/>
      <c r="F722" s="42"/>
      <c r="G722" s="112"/>
      <c r="H722" s="113"/>
      <c r="I722" s="114"/>
      <c r="J722" s="52" t="e">
        <f>VLOOKUP(I722,'CONTACT REFERENCE'!$A$2:$P$399,4,FALSE)</f>
        <v>#N/A</v>
      </c>
      <c r="K722" s="42"/>
      <c r="L722" s="42"/>
      <c r="M722" s="115"/>
      <c r="N722" s="115"/>
      <c r="O722" s="116"/>
      <c r="P722" s="113"/>
      <c r="Q722" s="112"/>
      <c r="R722" s="117"/>
      <c r="S722" s="115"/>
      <c r="T722" s="42"/>
      <c r="U722" s="42"/>
      <c r="V722" s="21"/>
      <c r="W722" s="78"/>
      <c r="Z722" s="74" t="str">
        <f>CONCATENATE(Table1[[#This Row],[P.R NUMBER]],"-",Table1[[#This Row],[SR NO]])</f>
        <v>-</v>
      </c>
    </row>
    <row r="723" spans="1:26" x14ac:dyDescent="0.25">
      <c r="A723" s="73"/>
      <c r="B723" s="42"/>
      <c r="C723" s="118"/>
      <c r="D723" s="110"/>
      <c r="E723" s="111"/>
      <c r="F723" s="42"/>
      <c r="G723" s="112"/>
      <c r="H723" s="113"/>
      <c r="I723" s="114"/>
      <c r="J723" s="52" t="e">
        <f>VLOOKUP(I723,'CONTACT REFERENCE'!$A$2:$P$399,4,FALSE)</f>
        <v>#N/A</v>
      </c>
      <c r="K723" s="42"/>
      <c r="L723" s="42"/>
      <c r="M723" s="115"/>
      <c r="N723" s="115"/>
      <c r="O723" s="116"/>
      <c r="P723" s="113"/>
      <c r="Q723" s="112"/>
      <c r="R723" s="117"/>
      <c r="S723" s="115"/>
      <c r="T723" s="42"/>
      <c r="U723" s="42"/>
      <c r="V723" s="21"/>
      <c r="W723" s="78"/>
      <c r="Z723" s="74" t="str">
        <f>CONCATENATE(Table1[[#This Row],[P.R NUMBER]],"-",Table1[[#This Row],[SR NO]])</f>
        <v>-</v>
      </c>
    </row>
    <row r="724" spans="1:26" x14ac:dyDescent="0.25">
      <c r="A724" s="73"/>
      <c r="B724" s="42"/>
      <c r="C724" s="118"/>
      <c r="D724" s="110"/>
      <c r="E724" s="111"/>
      <c r="F724" s="42"/>
      <c r="G724" s="112"/>
      <c r="H724" s="113"/>
      <c r="I724" s="114"/>
      <c r="J724" s="52" t="e">
        <f>VLOOKUP(I724,'CONTACT REFERENCE'!$A$2:$P$399,4,FALSE)</f>
        <v>#N/A</v>
      </c>
      <c r="K724" s="42"/>
      <c r="L724" s="42"/>
      <c r="M724" s="115"/>
      <c r="N724" s="115"/>
      <c r="O724" s="116"/>
      <c r="P724" s="113"/>
      <c r="Q724" s="112"/>
      <c r="R724" s="117"/>
      <c r="S724" s="115"/>
      <c r="T724" s="42"/>
      <c r="U724" s="42"/>
      <c r="V724" s="21"/>
      <c r="W724" s="78"/>
      <c r="Z724" s="74" t="str">
        <f>CONCATENATE(Table1[[#This Row],[P.R NUMBER]],"-",Table1[[#This Row],[SR NO]])</f>
        <v>-</v>
      </c>
    </row>
    <row r="725" spans="1:26" x14ac:dyDescent="0.25">
      <c r="A725" s="73"/>
      <c r="B725" s="42"/>
      <c r="C725" s="118"/>
      <c r="D725" s="110"/>
      <c r="E725" s="111"/>
      <c r="F725" s="42"/>
      <c r="G725" s="112"/>
      <c r="H725" s="113"/>
      <c r="I725" s="114"/>
      <c r="J725" s="52" t="e">
        <f>VLOOKUP(I725,'CONTACT REFERENCE'!$A$2:$P$399,4,FALSE)</f>
        <v>#N/A</v>
      </c>
      <c r="K725" s="42"/>
      <c r="L725" s="42"/>
      <c r="M725" s="115"/>
      <c r="N725" s="115"/>
      <c r="O725" s="116"/>
      <c r="P725" s="113"/>
      <c r="Q725" s="112"/>
      <c r="R725" s="117"/>
      <c r="S725" s="115"/>
      <c r="T725" s="42"/>
      <c r="U725" s="42"/>
      <c r="V725" s="21"/>
      <c r="W725" s="78"/>
      <c r="Z725" s="74" t="str">
        <f>CONCATENATE(Table1[[#This Row],[P.R NUMBER]],"-",Table1[[#This Row],[SR NO]])</f>
        <v>-</v>
      </c>
    </row>
    <row r="726" spans="1:26" x14ac:dyDescent="0.25">
      <c r="A726" s="73"/>
      <c r="B726" s="42"/>
      <c r="C726" s="118"/>
      <c r="D726" s="110"/>
      <c r="E726" s="111"/>
      <c r="F726" s="42"/>
      <c r="G726" s="112"/>
      <c r="H726" s="113"/>
      <c r="I726" s="114"/>
      <c r="J726" s="52" t="e">
        <f>VLOOKUP(I726,'CONTACT REFERENCE'!$A$2:$P$399,4,FALSE)</f>
        <v>#N/A</v>
      </c>
      <c r="K726" s="42"/>
      <c r="L726" s="42"/>
      <c r="M726" s="115"/>
      <c r="N726" s="115"/>
      <c r="O726" s="116"/>
      <c r="P726" s="113"/>
      <c r="Q726" s="112"/>
      <c r="R726" s="117"/>
      <c r="S726" s="115"/>
      <c r="T726" s="42"/>
      <c r="U726" s="42"/>
      <c r="V726" s="21"/>
      <c r="W726" s="78"/>
      <c r="Z726" s="74" t="str">
        <f>CONCATENATE(Table1[[#This Row],[P.R NUMBER]],"-",Table1[[#This Row],[SR NO]])</f>
        <v>-</v>
      </c>
    </row>
    <row r="727" spans="1:26" x14ac:dyDescent="0.25">
      <c r="A727" s="73"/>
      <c r="B727" s="42"/>
      <c r="C727" s="118"/>
      <c r="D727" s="110"/>
      <c r="E727" s="111"/>
      <c r="F727" s="42"/>
      <c r="G727" s="112"/>
      <c r="H727" s="113"/>
      <c r="I727" s="114"/>
      <c r="J727" s="52" t="e">
        <f>VLOOKUP(I727,'CONTACT REFERENCE'!$A$2:$P$399,4,FALSE)</f>
        <v>#N/A</v>
      </c>
      <c r="K727" s="42"/>
      <c r="L727" s="42"/>
      <c r="M727" s="115"/>
      <c r="N727" s="115"/>
      <c r="O727" s="116"/>
      <c r="P727" s="113"/>
      <c r="Q727" s="112"/>
      <c r="R727" s="117"/>
      <c r="S727" s="115"/>
      <c r="T727" s="42"/>
      <c r="U727" s="42"/>
      <c r="V727" s="21"/>
      <c r="W727" s="78"/>
      <c r="Z727" s="74" t="str">
        <f>CONCATENATE(Table1[[#This Row],[P.R NUMBER]],"-",Table1[[#This Row],[SR NO]])</f>
        <v>-</v>
      </c>
    </row>
    <row r="728" spans="1:26" x14ac:dyDescent="0.25">
      <c r="A728" s="73"/>
      <c r="B728" s="42"/>
      <c r="C728" s="118"/>
      <c r="D728" s="110"/>
      <c r="E728" s="111"/>
      <c r="F728" s="42"/>
      <c r="G728" s="112"/>
      <c r="H728" s="113"/>
      <c r="I728" s="114"/>
      <c r="J728" s="52" t="e">
        <f>VLOOKUP(I728,'CONTACT REFERENCE'!$A$2:$P$399,4,FALSE)</f>
        <v>#N/A</v>
      </c>
      <c r="K728" s="42"/>
      <c r="L728" s="42"/>
      <c r="M728" s="115"/>
      <c r="N728" s="115"/>
      <c r="O728" s="116"/>
      <c r="P728" s="113"/>
      <c r="Q728" s="112"/>
      <c r="R728" s="117"/>
      <c r="S728" s="115"/>
      <c r="T728" s="42"/>
      <c r="U728" s="42"/>
      <c r="V728" s="21"/>
      <c r="W728" s="78"/>
      <c r="Z728" s="74" t="str">
        <f>CONCATENATE(Table1[[#This Row],[P.R NUMBER]],"-",Table1[[#This Row],[SR NO]])</f>
        <v>-</v>
      </c>
    </row>
    <row r="729" spans="1:26" x14ac:dyDescent="0.25">
      <c r="A729" s="73"/>
      <c r="B729" s="42"/>
      <c r="C729" s="118"/>
      <c r="D729" s="110"/>
      <c r="E729" s="111"/>
      <c r="F729" s="42"/>
      <c r="G729" s="112"/>
      <c r="H729" s="113"/>
      <c r="I729" s="114"/>
      <c r="J729" s="52" t="e">
        <f>VLOOKUP(I729,'CONTACT REFERENCE'!$A$2:$P$399,4,FALSE)</f>
        <v>#N/A</v>
      </c>
      <c r="K729" s="42"/>
      <c r="L729" s="42"/>
      <c r="M729" s="115"/>
      <c r="N729" s="115"/>
      <c r="O729" s="116"/>
      <c r="P729" s="113"/>
      <c r="Q729" s="112"/>
      <c r="R729" s="117"/>
      <c r="S729" s="115"/>
      <c r="T729" s="42"/>
      <c r="U729" s="42"/>
      <c r="V729" s="21"/>
      <c r="W729" s="78"/>
      <c r="Z729" s="74" t="str">
        <f>CONCATENATE(Table1[[#This Row],[P.R NUMBER]],"-",Table1[[#This Row],[SR NO]])</f>
        <v>-</v>
      </c>
    </row>
    <row r="730" spans="1:26" x14ac:dyDescent="0.25">
      <c r="A730" s="73"/>
      <c r="B730" s="42"/>
      <c r="C730" s="118"/>
      <c r="D730" s="110"/>
      <c r="E730" s="111"/>
      <c r="F730" s="42"/>
      <c r="G730" s="112"/>
      <c r="H730" s="113"/>
      <c r="I730" s="114"/>
      <c r="J730" s="52" t="e">
        <f>VLOOKUP(I730,'CONTACT REFERENCE'!$A$2:$P$399,4,FALSE)</f>
        <v>#N/A</v>
      </c>
      <c r="K730" s="42"/>
      <c r="L730" s="42"/>
      <c r="M730" s="115"/>
      <c r="N730" s="115"/>
      <c r="O730" s="116"/>
      <c r="P730" s="113"/>
      <c r="Q730" s="112"/>
      <c r="R730" s="117"/>
      <c r="S730" s="115"/>
      <c r="T730" s="42"/>
      <c r="U730" s="42"/>
      <c r="V730" s="21"/>
      <c r="W730" s="78"/>
      <c r="Z730" s="74" t="str">
        <f>CONCATENATE(Table1[[#This Row],[P.R NUMBER]],"-",Table1[[#This Row],[SR NO]])</f>
        <v>-</v>
      </c>
    </row>
    <row r="731" spans="1:26" x14ac:dyDescent="0.25">
      <c r="A731" s="73"/>
      <c r="B731" s="42"/>
      <c r="C731" s="118"/>
      <c r="D731" s="110"/>
      <c r="E731" s="111"/>
      <c r="F731" s="42"/>
      <c r="G731" s="112"/>
      <c r="H731" s="113"/>
      <c r="I731" s="114"/>
      <c r="J731" s="52" t="e">
        <f>VLOOKUP(I731,'CONTACT REFERENCE'!$A$2:$P$399,4,FALSE)</f>
        <v>#N/A</v>
      </c>
      <c r="K731" s="42"/>
      <c r="L731" s="42"/>
      <c r="M731" s="115"/>
      <c r="N731" s="115"/>
      <c r="O731" s="116"/>
      <c r="P731" s="113"/>
      <c r="Q731" s="112"/>
      <c r="R731" s="117"/>
      <c r="S731" s="115"/>
      <c r="T731" s="42"/>
      <c r="U731" s="42"/>
      <c r="V731" s="21"/>
      <c r="W731" s="78"/>
      <c r="Z731" s="74" t="str">
        <f>CONCATENATE(Table1[[#This Row],[P.R NUMBER]],"-",Table1[[#This Row],[SR NO]])</f>
        <v>-</v>
      </c>
    </row>
    <row r="732" spans="1:26" x14ac:dyDescent="0.25">
      <c r="A732" s="73"/>
      <c r="B732" s="42"/>
      <c r="C732" s="118"/>
      <c r="D732" s="110"/>
      <c r="E732" s="111"/>
      <c r="F732" s="42"/>
      <c r="G732" s="112"/>
      <c r="H732" s="113"/>
      <c r="I732" s="114"/>
      <c r="J732" s="52" t="e">
        <f>VLOOKUP(I732,'CONTACT REFERENCE'!$A$2:$P$399,4,FALSE)</f>
        <v>#N/A</v>
      </c>
      <c r="K732" s="42"/>
      <c r="L732" s="42"/>
      <c r="M732" s="115"/>
      <c r="N732" s="115"/>
      <c r="O732" s="116"/>
      <c r="P732" s="113"/>
      <c r="Q732" s="112"/>
      <c r="R732" s="117"/>
      <c r="S732" s="115"/>
      <c r="T732" s="42"/>
      <c r="U732" s="42"/>
      <c r="V732" s="21"/>
      <c r="W732" s="78"/>
      <c r="Z732" s="74" t="str">
        <f>CONCATENATE(Table1[[#This Row],[P.R NUMBER]],"-",Table1[[#This Row],[SR NO]])</f>
        <v>-</v>
      </c>
    </row>
    <row r="733" spans="1:26" x14ac:dyDescent="0.25">
      <c r="A733" s="73"/>
      <c r="B733" s="42"/>
      <c r="C733" s="118"/>
      <c r="D733" s="110"/>
      <c r="E733" s="111"/>
      <c r="F733" s="42"/>
      <c r="G733" s="112"/>
      <c r="H733" s="113"/>
      <c r="I733" s="114"/>
      <c r="J733" s="52" t="e">
        <f>VLOOKUP(I733,'CONTACT REFERENCE'!$A$2:$P$399,4,FALSE)</f>
        <v>#N/A</v>
      </c>
      <c r="K733" s="42"/>
      <c r="L733" s="42"/>
      <c r="M733" s="115"/>
      <c r="N733" s="115"/>
      <c r="O733" s="116"/>
      <c r="P733" s="113"/>
      <c r="Q733" s="112"/>
      <c r="R733" s="117"/>
      <c r="S733" s="115"/>
      <c r="T733" s="42"/>
      <c r="U733" s="42"/>
      <c r="V733" s="21"/>
      <c r="W733" s="78"/>
      <c r="Z733" s="74" t="str">
        <f>CONCATENATE(Table1[[#This Row],[P.R NUMBER]],"-",Table1[[#This Row],[SR NO]])</f>
        <v>-</v>
      </c>
    </row>
    <row r="734" spans="1:26" x14ac:dyDescent="0.25">
      <c r="A734" s="73"/>
      <c r="B734" s="42"/>
      <c r="C734" s="118"/>
      <c r="D734" s="110"/>
      <c r="E734" s="111"/>
      <c r="F734" s="42"/>
      <c r="G734" s="112"/>
      <c r="H734" s="113"/>
      <c r="I734" s="114"/>
      <c r="J734" s="52" t="e">
        <f>VLOOKUP(I734,'CONTACT REFERENCE'!$A$2:$P$399,4,FALSE)</f>
        <v>#N/A</v>
      </c>
      <c r="K734" s="42"/>
      <c r="L734" s="42"/>
      <c r="M734" s="115"/>
      <c r="N734" s="115"/>
      <c r="O734" s="116"/>
      <c r="P734" s="113"/>
      <c r="Q734" s="112"/>
      <c r="R734" s="117"/>
      <c r="S734" s="115"/>
      <c r="T734" s="42"/>
      <c r="U734" s="42"/>
      <c r="V734" s="21"/>
      <c r="W734" s="78"/>
      <c r="Z734" s="74" t="str">
        <f>CONCATENATE(Table1[[#This Row],[P.R NUMBER]],"-",Table1[[#This Row],[SR NO]])</f>
        <v>-</v>
      </c>
    </row>
    <row r="735" spans="1:26" x14ac:dyDescent="0.25">
      <c r="A735" s="73"/>
      <c r="B735" s="42"/>
      <c r="C735" s="118"/>
      <c r="D735" s="110"/>
      <c r="E735" s="111"/>
      <c r="F735" s="42"/>
      <c r="G735" s="112"/>
      <c r="H735" s="113"/>
      <c r="I735" s="114"/>
      <c r="J735" s="52" t="e">
        <f>VLOOKUP(I735,'CONTACT REFERENCE'!$A$2:$P$399,4,FALSE)</f>
        <v>#N/A</v>
      </c>
      <c r="K735" s="42"/>
      <c r="L735" s="42"/>
      <c r="M735" s="115"/>
      <c r="N735" s="115"/>
      <c r="O735" s="116"/>
      <c r="P735" s="113"/>
      <c r="Q735" s="112"/>
      <c r="R735" s="117"/>
      <c r="S735" s="115"/>
      <c r="T735" s="42"/>
      <c r="U735" s="42"/>
      <c r="V735" s="21"/>
      <c r="W735" s="78"/>
      <c r="Z735" s="74" t="str">
        <f>CONCATENATE(Table1[[#This Row],[P.R NUMBER]],"-",Table1[[#This Row],[SR NO]])</f>
        <v>-</v>
      </c>
    </row>
    <row r="736" spans="1:26" x14ac:dyDescent="0.25">
      <c r="A736" s="73"/>
      <c r="B736" s="42"/>
      <c r="C736" s="118"/>
      <c r="D736" s="110"/>
      <c r="E736" s="111"/>
      <c r="F736" s="42"/>
      <c r="G736" s="112"/>
      <c r="H736" s="113"/>
      <c r="I736" s="114"/>
      <c r="J736" s="52" t="e">
        <f>VLOOKUP(I736,'CONTACT REFERENCE'!$A$2:$P$399,4,FALSE)</f>
        <v>#N/A</v>
      </c>
      <c r="K736" s="42"/>
      <c r="L736" s="42"/>
      <c r="M736" s="115"/>
      <c r="N736" s="115"/>
      <c r="O736" s="116"/>
      <c r="P736" s="113"/>
      <c r="Q736" s="112"/>
      <c r="R736" s="117"/>
      <c r="S736" s="115"/>
      <c r="T736" s="42"/>
      <c r="U736" s="42"/>
      <c r="V736" s="21"/>
      <c r="W736" s="78"/>
      <c r="Z736" s="74" t="str">
        <f>CONCATENATE(Table1[[#This Row],[P.R NUMBER]],"-",Table1[[#This Row],[SR NO]])</f>
        <v>-</v>
      </c>
    </row>
    <row r="737" spans="1:26" x14ac:dyDescent="0.25">
      <c r="A737" s="73"/>
      <c r="B737" s="42"/>
      <c r="C737" s="118"/>
      <c r="D737" s="110"/>
      <c r="E737" s="111"/>
      <c r="F737" s="42"/>
      <c r="G737" s="112"/>
      <c r="H737" s="113"/>
      <c r="I737" s="114"/>
      <c r="J737" s="52" t="e">
        <f>VLOOKUP(I737,'CONTACT REFERENCE'!$A$2:$P$399,4,FALSE)</f>
        <v>#N/A</v>
      </c>
      <c r="K737" s="42"/>
      <c r="L737" s="42"/>
      <c r="M737" s="115"/>
      <c r="N737" s="115"/>
      <c r="O737" s="116"/>
      <c r="P737" s="113"/>
      <c r="Q737" s="112"/>
      <c r="R737" s="117"/>
      <c r="S737" s="115"/>
      <c r="T737" s="42"/>
      <c r="U737" s="42"/>
      <c r="V737" s="21"/>
      <c r="W737" s="78"/>
      <c r="Z737" s="74" t="str">
        <f>CONCATENATE(Table1[[#This Row],[P.R NUMBER]],"-",Table1[[#This Row],[SR NO]])</f>
        <v>-</v>
      </c>
    </row>
    <row r="738" spans="1:26" x14ac:dyDescent="0.25">
      <c r="A738" s="73"/>
      <c r="B738" s="42"/>
      <c r="C738" s="118"/>
      <c r="D738" s="110"/>
      <c r="E738" s="111"/>
      <c r="F738" s="42"/>
      <c r="G738" s="112"/>
      <c r="H738" s="113"/>
      <c r="I738" s="114"/>
      <c r="J738" s="52" t="e">
        <f>VLOOKUP(I738,'CONTACT REFERENCE'!$A$2:$P$399,4,FALSE)</f>
        <v>#N/A</v>
      </c>
      <c r="K738" s="42"/>
      <c r="L738" s="42"/>
      <c r="M738" s="115"/>
      <c r="N738" s="115"/>
      <c r="O738" s="116"/>
      <c r="P738" s="113"/>
      <c r="Q738" s="112"/>
      <c r="R738" s="117"/>
      <c r="S738" s="115"/>
      <c r="T738" s="42"/>
      <c r="U738" s="42"/>
      <c r="V738" s="21"/>
      <c r="W738" s="78"/>
      <c r="Z738" s="74" t="str">
        <f>CONCATENATE(Table1[[#This Row],[P.R NUMBER]],"-",Table1[[#This Row],[SR NO]])</f>
        <v>-</v>
      </c>
    </row>
    <row r="739" spans="1:26" x14ac:dyDescent="0.25">
      <c r="A739" s="73"/>
      <c r="B739" s="42"/>
      <c r="C739" s="118"/>
      <c r="D739" s="110"/>
      <c r="E739" s="111"/>
      <c r="F739" s="42"/>
      <c r="G739" s="112"/>
      <c r="H739" s="113"/>
      <c r="I739" s="114"/>
      <c r="J739" s="52" t="e">
        <f>VLOOKUP(I739,'CONTACT REFERENCE'!$A$2:$P$399,4,FALSE)</f>
        <v>#N/A</v>
      </c>
      <c r="K739" s="42"/>
      <c r="L739" s="42"/>
      <c r="M739" s="115"/>
      <c r="N739" s="115"/>
      <c r="O739" s="116"/>
      <c r="P739" s="113"/>
      <c r="Q739" s="112"/>
      <c r="R739" s="117"/>
      <c r="S739" s="115"/>
      <c r="T739" s="42"/>
      <c r="U739" s="42"/>
      <c r="V739" s="21"/>
      <c r="W739" s="78"/>
      <c r="Z739" s="74" t="str">
        <f>CONCATENATE(Table1[[#This Row],[P.R NUMBER]],"-",Table1[[#This Row],[SR NO]])</f>
        <v>-</v>
      </c>
    </row>
    <row r="740" spans="1:26" x14ac:dyDescent="0.25">
      <c r="A740" s="73"/>
      <c r="B740" s="42"/>
      <c r="C740" s="118"/>
      <c r="D740" s="110"/>
      <c r="E740" s="111"/>
      <c r="F740" s="42"/>
      <c r="G740" s="112"/>
      <c r="H740" s="113"/>
      <c r="I740" s="114"/>
      <c r="J740" s="52" t="e">
        <f>VLOOKUP(I740,'CONTACT REFERENCE'!$A$2:$P$399,4,FALSE)</f>
        <v>#N/A</v>
      </c>
      <c r="K740" s="42"/>
      <c r="L740" s="42"/>
      <c r="M740" s="115"/>
      <c r="N740" s="115"/>
      <c r="O740" s="116"/>
      <c r="P740" s="113"/>
      <c r="Q740" s="112"/>
      <c r="R740" s="117"/>
      <c r="S740" s="115"/>
      <c r="T740" s="42"/>
      <c r="U740" s="42"/>
      <c r="V740" s="21"/>
      <c r="W740" s="78"/>
      <c r="Z740" s="74" t="str">
        <f>CONCATENATE(Table1[[#This Row],[P.R NUMBER]],"-",Table1[[#This Row],[SR NO]])</f>
        <v>-</v>
      </c>
    </row>
    <row r="741" spans="1:26" x14ac:dyDescent="0.25">
      <c r="A741" s="73"/>
      <c r="B741" s="42"/>
      <c r="C741" s="118"/>
      <c r="D741" s="110"/>
      <c r="E741" s="111"/>
      <c r="F741" s="42"/>
      <c r="G741" s="112"/>
      <c r="H741" s="113"/>
      <c r="I741" s="114"/>
      <c r="J741" s="52" t="e">
        <f>VLOOKUP(I741,'CONTACT REFERENCE'!$A$2:$P$399,4,FALSE)</f>
        <v>#N/A</v>
      </c>
      <c r="K741" s="42"/>
      <c r="L741" s="42"/>
      <c r="M741" s="115"/>
      <c r="N741" s="115"/>
      <c r="O741" s="116"/>
      <c r="P741" s="113"/>
      <c r="Q741" s="112"/>
      <c r="R741" s="117"/>
      <c r="S741" s="115"/>
      <c r="T741" s="42"/>
      <c r="U741" s="42"/>
      <c r="V741" s="21"/>
      <c r="W741" s="78"/>
      <c r="Z741" s="74" t="str">
        <f>CONCATENATE(Table1[[#This Row],[P.R NUMBER]],"-",Table1[[#This Row],[SR NO]])</f>
        <v>-</v>
      </c>
    </row>
    <row r="742" spans="1:26" x14ac:dyDescent="0.25">
      <c r="A742" s="73"/>
      <c r="B742" s="42"/>
      <c r="C742" s="118"/>
      <c r="D742" s="110"/>
      <c r="E742" s="111"/>
      <c r="F742" s="42"/>
      <c r="G742" s="112"/>
      <c r="H742" s="113"/>
      <c r="I742" s="114"/>
      <c r="J742" s="52" t="e">
        <f>VLOOKUP(I742,'CONTACT REFERENCE'!$A$2:$P$399,4,FALSE)</f>
        <v>#N/A</v>
      </c>
      <c r="K742" s="42"/>
      <c r="L742" s="42"/>
      <c r="M742" s="115"/>
      <c r="N742" s="115"/>
      <c r="O742" s="116"/>
      <c r="P742" s="113"/>
      <c r="Q742" s="112"/>
      <c r="R742" s="117"/>
      <c r="S742" s="115"/>
      <c r="T742" s="42"/>
      <c r="U742" s="42"/>
      <c r="V742" s="21"/>
      <c r="W742" s="78"/>
      <c r="Z742" s="74" t="str">
        <f>CONCATENATE(Table1[[#This Row],[P.R NUMBER]],"-",Table1[[#This Row],[SR NO]])</f>
        <v>-</v>
      </c>
    </row>
    <row r="743" spans="1:26" x14ac:dyDescent="0.25">
      <c r="A743" s="73"/>
      <c r="B743" s="42"/>
      <c r="C743" s="118"/>
      <c r="D743" s="110"/>
      <c r="E743" s="111"/>
      <c r="F743" s="42"/>
      <c r="G743" s="112"/>
      <c r="H743" s="113"/>
      <c r="I743" s="114"/>
      <c r="J743" s="52" t="e">
        <f>VLOOKUP(I743,'CONTACT REFERENCE'!$A$2:$P$399,4,FALSE)</f>
        <v>#N/A</v>
      </c>
      <c r="K743" s="42"/>
      <c r="L743" s="42"/>
      <c r="M743" s="115"/>
      <c r="N743" s="115"/>
      <c r="O743" s="116"/>
      <c r="P743" s="113"/>
      <c r="Q743" s="112"/>
      <c r="R743" s="117"/>
      <c r="S743" s="115"/>
      <c r="T743" s="42"/>
      <c r="U743" s="42"/>
      <c r="V743" s="21"/>
      <c r="W743" s="78"/>
      <c r="Z743" s="74" t="str">
        <f>CONCATENATE(Table1[[#This Row],[P.R NUMBER]],"-",Table1[[#This Row],[SR NO]])</f>
        <v>-</v>
      </c>
    </row>
    <row r="744" spans="1:26" x14ac:dyDescent="0.25">
      <c r="A744" s="73"/>
      <c r="B744" s="42"/>
      <c r="C744" s="118"/>
      <c r="D744" s="110"/>
      <c r="E744" s="111"/>
      <c r="F744" s="42"/>
      <c r="G744" s="112"/>
      <c r="H744" s="113"/>
      <c r="I744" s="114"/>
      <c r="J744" s="52" t="e">
        <f>VLOOKUP(I744,'CONTACT REFERENCE'!$A$2:$P$399,4,FALSE)</f>
        <v>#N/A</v>
      </c>
      <c r="K744" s="42"/>
      <c r="L744" s="42"/>
      <c r="M744" s="115"/>
      <c r="N744" s="115"/>
      <c r="O744" s="116"/>
      <c r="P744" s="113"/>
      <c r="Q744" s="112"/>
      <c r="R744" s="117"/>
      <c r="S744" s="115"/>
      <c r="T744" s="42"/>
      <c r="U744" s="42"/>
      <c r="V744" s="21"/>
      <c r="W744" s="78"/>
      <c r="Z744" s="74" t="str">
        <f>CONCATENATE(Table1[[#This Row],[P.R NUMBER]],"-",Table1[[#This Row],[SR NO]])</f>
        <v>-</v>
      </c>
    </row>
    <row r="745" spans="1:26" x14ac:dyDescent="0.25">
      <c r="A745" s="73"/>
      <c r="B745" s="42"/>
      <c r="C745" s="118"/>
      <c r="D745" s="110"/>
      <c r="E745" s="111"/>
      <c r="F745" s="42"/>
      <c r="G745" s="112"/>
      <c r="H745" s="113"/>
      <c r="I745" s="114"/>
      <c r="J745" s="52" t="e">
        <f>VLOOKUP(I745,'CONTACT REFERENCE'!$A$2:$P$399,4,FALSE)</f>
        <v>#N/A</v>
      </c>
      <c r="K745" s="42"/>
      <c r="L745" s="42"/>
      <c r="M745" s="115"/>
      <c r="N745" s="115"/>
      <c r="O745" s="116"/>
      <c r="P745" s="113"/>
      <c r="Q745" s="112"/>
      <c r="R745" s="117"/>
      <c r="S745" s="115"/>
      <c r="T745" s="42"/>
      <c r="U745" s="42"/>
      <c r="V745" s="21"/>
      <c r="W745" s="78"/>
      <c r="Z745" s="74" t="str">
        <f>CONCATENATE(Table1[[#This Row],[P.R NUMBER]],"-",Table1[[#This Row],[SR NO]])</f>
        <v>-</v>
      </c>
    </row>
    <row r="746" spans="1:26" x14ac:dyDescent="0.25">
      <c r="A746" s="73"/>
      <c r="B746" s="42"/>
      <c r="C746" s="118"/>
      <c r="D746" s="110"/>
      <c r="E746" s="111"/>
      <c r="F746" s="42"/>
      <c r="G746" s="112"/>
      <c r="H746" s="113"/>
      <c r="I746" s="114"/>
      <c r="J746" s="52" t="e">
        <f>VLOOKUP(I746,'CONTACT REFERENCE'!$A$2:$P$399,4,FALSE)</f>
        <v>#N/A</v>
      </c>
      <c r="K746" s="42"/>
      <c r="L746" s="42"/>
      <c r="M746" s="115"/>
      <c r="N746" s="115"/>
      <c r="O746" s="116"/>
      <c r="P746" s="113"/>
      <c r="Q746" s="112"/>
      <c r="R746" s="117"/>
      <c r="S746" s="115"/>
      <c r="T746" s="42"/>
      <c r="U746" s="42"/>
      <c r="V746" s="21"/>
      <c r="W746" s="78"/>
      <c r="Z746" s="74" t="str">
        <f>CONCATENATE(Table1[[#This Row],[P.R NUMBER]],"-",Table1[[#This Row],[SR NO]])</f>
        <v>-</v>
      </c>
    </row>
    <row r="747" spans="1:26" x14ac:dyDescent="0.25">
      <c r="A747" s="73"/>
      <c r="B747" s="42"/>
      <c r="C747" s="118"/>
      <c r="D747" s="110"/>
      <c r="E747" s="111"/>
      <c r="F747" s="42"/>
      <c r="G747" s="112"/>
      <c r="H747" s="113"/>
      <c r="I747" s="114"/>
      <c r="J747" s="52" t="e">
        <f>VLOOKUP(I747,'CONTACT REFERENCE'!$A$2:$P$399,4,FALSE)</f>
        <v>#N/A</v>
      </c>
      <c r="K747" s="42"/>
      <c r="L747" s="42"/>
      <c r="M747" s="115"/>
      <c r="N747" s="115"/>
      <c r="O747" s="116"/>
      <c r="P747" s="113"/>
      <c r="Q747" s="112"/>
      <c r="R747" s="117"/>
      <c r="S747" s="115"/>
      <c r="T747" s="42"/>
      <c r="U747" s="42"/>
      <c r="V747" s="21"/>
      <c r="W747" s="78"/>
      <c r="Z747" s="74" t="str">
        <f>CONCATENATE(Table1[[#This Row],[P.R NUMBER]],"-",Table1[[#This Row],[SR NO]])</f>
        <v>-</v>
      </c>
    </row>
    <row r="748" spans="1:26" x14ac:dyDescent="0.25">
      <c r="A748" s="73"/>
      <c r="B748" s="42"/>
      <c r="C748" s="118"/>
      <c r="D748" s="110"/>
      <c r="E748" s="111"/>
      <c r="F748" s="42"/>
      <c r="G748" s="112"/>
      <c r="H748" s="113"/>
      <c r="I748" s="114"/>
      <c r="J748" s="52" t="e">
        <f>VLOOKUP(I748,'CONTACT REFERENCE'!$A$2:$P$399,4,FALSE)</f>
        <v>#N/A</v>
      </c>
      <c r="K748" s="42"/>
      <c r="L748" s="42"/>
      <c r="M748" s="115"/>
      <c r="N748" s="115"/>
      <c r="O748" s="116"/>
      <c r="P748" s="113"/>
      <c r="Q748" s="112"/>
      <c r="R748" s="117"/>
      <c r="S748" s="115"/>
      <c r="T748" s="42"/>
      <c r="U748" s="42"/>
      <c r="V748" s="21"/>
      <c r="W748" s="78"/>
      <c r="Z748" s="74" t="str">
        <f>CONCATENATE(Table1[[#This Row],[P.R NUMBER]],"-",Table1[[#This Row],[SR NO]])</f>
        <v>-</v>
      </c>
    </row>
    <row r="749" spans="1:26" x14ac:dyDescent="0.25">
      <c r="A749" s="73"/>
      <c r="B749" s="42"/>
      <c r="C749" s="118"/>
      <c r="D749" s="110"/>
      <c r="E749" s="111"/>
      <c r="F749" s="42"/>
      <c r="G749" s="112"/>
      <c r="H749" s="113"/>
      <c r="I749" s="114"/>
      <c r="J749" s="52" t="e">
        <f>VLOOKUP(I749,'CONTACT REFERENCE'!$A$2:$P$399,4,FALSE)</f>
        <v>#N/A</v>
      </c>
      <c r="K749" s="42"/>
      <c r="L749" s="42"/>
      <c r="M749" s="115"/>
      <c r="N749" s="115"/>
      <c r="O749" s="116"/>
      <c r="P749" s="113"/>
      <c r="Q749" s="112"/>
      <c r="R749" s="117"/>
      <c r="S749" s="115"/>
      <c r="T749" s="42"/>
      <c r="U749" s="42"/>
      <c r="V749" s="21"/>
      <c r="W749" s="78"/>
      <c r="Z749" s="74" t="str">
        <f>CONCATENATE(Table1[[#This Row],[P.R NUMBER]],"-",Table1[[#This Row],[SR NO]])</f>
        <v>-</v>
      </c>
    </row>
    <row r="750" spans="1:26" x14ac:dyDescent="0.25">
      <c r="A750" s="73"/>
      <c r="B750" s="42"/>
      <c r="C750" s="118"/>
      <c r="D750" s="110"/>
      <c r="E750" s="111"/>
      <c r="F750" s="42"/>
      <c r="G750" s="112"/>
      <c r="H750" s="113"/>
      <c r="I750" s="114"/>
      <c r="J750" s="52" t="e">
        <f>VLOOKUP(I750,'CONTACT REFERENCE'!$A$2:$P$399,4,FALSE)</f>
        <v>#N/A</v>
      </c>
      <c r="K750" s="42"/>
      <c r="L750" s="42"/>
      <c r="M750" s="115"/>
      <c r="N750" s="115"/>
      <c r="O750" s="116"/>
      <c r="P750" s="113"/>
      <c r="Q750" s="112"/>
      <c r="R750" s="117"/>
      <c r="S750" s="115"/>
      <c r="T750" s="42"/>
      <c r="U750" s="42"/>
      <c r="V750" s="21"/>
      <c r="W750" s="78"/>
      <c r="Z750" s="74" t="str">
        <f>CONCATENATE(Table1[[#This Row],[P.R NUMBER]],"-",Table1[[#This Row],[SR NO]])</f>
        <v>-</v>
      </c>
    </row>
    <row r="751" spans="1:26" x14ac:dyDescent="0.25">
      <c r="A751" s="73"/>
      <c r="B751" s="42"/>
      <c r="C751" s="118"/>
      <c r="D751" s="110"/>
      <c r="E751" s="111"/>
      <c r="F751" s="42"/>
      <c r="G751" s="112"/>
      <c r="H751" s="113"/>
      <c r="I751" s="114"/>
      <c r="J751" s="52" t="e">
        <f>VLOOKUP(I751,'CONTACT REFERENCE'!$A$2:$P$399,4,FALSE)</f>
        <v>#N/A</v>
      </c>
      <c r="K751" s="42"/>
      <c r="L751" s="42"/>
      <c r="M751" s="115"/>
      <c r="N751" s="115"/>
      <c r="O751" s="116"/>
      <c r="P751" s="113"/>
      <c r="Q751" s="112"/>
      <c r="R751" s="117"/>
      <c r="S751" s="115"/>
      <c r="T751" s="42"/>
      <c r="U751" s="42"/>
      <c r="V751" s="21"/>
      <c r="W751" s="78"/>
      <c r="Z751" s="74" t="str">
        <f>CONCATENATE(Table1[[#This Row],[P.R NUMBER]],"-",Table1[[#This Row],[SR NO]])</f>
        <v>-</v>
      </c>
    </row>
    <row r="752" spans="1:26" x14ac:dyDescent="0.25">
      <c r="A752" s="73"/>
      <c r="B752" s="42"/>
      <c r="C752" s="118"/>
      <c r="D752" s="110"/>
      <c r="E752" s="111"/>
      <c r="F752" s="42"/>
      <c r="G752" s="112"/>
      <c r="H752" s="113"/>
      <c r="I752" s="114"/>
      <c r="J752" s="52" t="e">
        <f>VLOOKUP(I752,'CONTACT REFERENCE'!$A$2:$P$399,4,FALSE)</f>
        <v>#N/A</v>
      </c>
      <c r="K752" s="42"/>
      <c r="L752" s="42"/>
      <c r="M752" s="115"/>
      <c r="N752" s="115"/>
      <c r="O752" s="116"/>
      <c r="P752" s="113"/>
      <c r="Q752" s="112"/>
      <c r="R752" s="117"/>
      <c r="S752" s="115"/>
      <c r="T752" s="42"/>
      <c r="U752" s="42"/>
      <c r="V752" s="21"/>
      <c r="W752" s="78"/>
      <c r="Z752" s="74" t="str">
        <f>CONCATENATE(Table1[[#This Row],[P.R NUMBER]],"-",Table1[[#This Row],[SR NO]])</f>
        <v>-</v>
      </c>
    </row>
    <row r="753" spans="1:26" x14ac:dyDescent="0.25">
      <c r="A753" s="73"/>
      <c r="B753" s="42"/>
      <c r="C753" s="118"/>
      <c r="D753" s="110"/>
      <c r="E753" s="111"/>
      <c r="F753" s="42"/>
      <c r="G753" s="112"/>
      <c r="H753" s="113"/>
      <c r="I753" s="114"/>
      <c r="J753" s="52" t="e">
        <f>VLOOKUP(I753,'CONTACT REFERENCE'!$A$2:$P$399,4,FALSE)</f>
        <v>#N/A</v>
      </c>
      <c r="K753" s="42"/>
      <c r="L753" s="42"/>
      <c r="M753" s="115"/>
      <c r="N753" s="115"/>
      <c r="O753" s="116"/>
      <c r="P753" s="113"/>
      <c r="Q753" s="112"/>
      <c r="R753" s="117"/>
      <c r="S753" s="115"/>
      <c r="T753" s="42"/>
      <c r="U753" s="42"/>
      <c r="V753" s="21"/>
      <c r="W753" s="78"/>
      <c r="Z753" s="74" t="str">
        <f>CONCATENATE(Table1[[#This Row],[P.R NUMBER]],"-",Table1[[#This Row],[SR NO]])</f>
        <v>-</v>
      </c>
    </row>
    <row r="754" spans="1:26" x14ac:dyDescent="0.25">
      <c r="A754" s="73"/>
      <c r="B754" s="42"/>
      <c r="C754" s="118"/>
      <c r="D754" s="110"/>
      <c r="E754" s="111"/>
      <c r="F754" s="42"/>
      <c r="G754" s="112"/>
      <c r="H754" s="113"/>
      <c r="I754" s="114"/>
      <c r="J754" s="52" t="e">
        <f>VLOOKUP(I754,'CONTACT REFERENCE'!$A$2:$P$399,4,FALSE)</f>
        <v>#N/A</v>
      </c>
      <c r="K754" s="42"/>
      <c r="L754" s="42"/>
      <c r="M754" s="115"/>
      <c r="N754" s="115"/>
      <c r="O754" s="116"/>
      <c r="P754" s="113"/>
      <c r="Q754" s="112"/>
      <c r="R754" s="117"/>
      <c r="S754" s="115"/>
      <c r="T754" s="42"/>
      <c r="U754" s="42"/>
      <c r="V754" s="21"/>
      <c r="W754" s="78"/>
      <c r="Z754" s="74" t="str">
        <f>CONCATENATE(Table1[[#This Row],[P.R NUMBER]],"-",Table1[[#This Row],[SR NO]])</f>
        <v>-</v>
      </c>
    </row>
    <row r="755" spans="1:26" x14ac:dyDescent="0.25">
      <c r="A755" s="73"/>
      <c r="B755" s="42"/>
      <c r="C755" s="118"/>
      <c r="D755" s="110"/>
      <c r="E755" s="111"/>
      <c r="F755" s="42"/>
      <c r="G755" s="112"/>
      <c r="H755" s="113"/>
      <c r="I755" s="114"/>
      <c r="J755" s="52" t="e">
        <f>VLOOKUP(I755,'CONTACT REFERENCE'!$A$2:$P$399,4,FALSE)</f>
        <v>#N/A</v>
      </c>
      <c r="K755" s="42"/>
      <c r="L755" s="42"/>
      <c r="M755" s="115"/>
      <c r="N755" s="115"/>
      <c r="O755" s="116"/>
      <c r="P755" s="113"/>
      <c r="Q755" s="112"/>
      <c r="R755" s="117"/>
      <c r="S755" s="115"/>
      <c r="T755" s="42"/>
      <c r="U755" s="42"/>
      <c r="V755" s="21"/>
      <c r="W755" s="78"/>
      <c r="Z755" s="74" t="str">
        <f>CONCATENATE(Table1[[#This Row],[P.R NUMBER]],"-",Table1[[#This Row],[SR NO]])</f>
        <v>-</v>
      </c>
    </row>
    <row r="756" spans="1:26" x14ac:dyDescent="0.25">
      <c r="A756" s="73"/>
      <c r="B756" s="42"/>
      <c r="C756" s="118"/>
      <c r="D756" s="110"/>
      <c r="E756" s="111"/>
      <c r="F756" s="42"/>
      <c r="G756" s="112"/>
      <c r="H756" s="113"/>
      <c r="I756" s="114"/>
      <c r="J756" s="52" t="e">
        <f>VLOOKUP(I756,'CONTACT REFERENCE'!$A$2:$P$399,4,FALSE)</f>
        <v>#N/A</v>
      </c>
      <c r="K756" s="42"/>
      <c r="L756" s="42"/>
      <c r="M756" s="115"/>
      <c r="N756" s="115"/>
      <c r="O756" s="116"/>
      <c r="P756" s="113"/>
      <c r="Q756" s="112"/>
      <c r="R756" s="117"/>
      <c r="S756" s="115"/>
      <c r="T756" s="42"/>
      <c r="U756" s="42"/>
      <c r="V756" s="21"/>
      <c r="W756" s="78"/>
      <c r="Z756" s="74" t="str">
        <f>CONCATENATE(Table1[[#This Row],[P.R NUMBER]],"-",Table1[[#This Row],[SR NO]])</f>
        <v>-</v>
      </c>
    </row>
    <row r="757" spans="1:26" x14ac:dyDescent="0.25">
      <c r="A757" s="73"/>
      <c r="B757" s="42"/>
      <c r="C757" s="118"/>
      <c r="D757" s="110"/>
      <c r="E757" s="111"/>
      <c r="F757" s="42"/>
      <c r="G757" s="112"/>
      <c r="H757" s="113"/>
      <c r="I757" s="114"/>
      <c r="J757" s="52" t="e">
        <f>VLOOKUP(I757,'CONTACT REFERENCE'!$A$2:$P$399,4,FALSE)</f>
        <v>#N/A</v>
      </c>
      <c r="K757" s="42"/>
      <c r="L757" s="42"/>
      <c r="M757" s="115"/>
      <c r="N757" s="115"/>
      <c r="O757" s="116"/>
      <c r="P757" s="113"/>
      <c r="Q757" s="112"/>
      <c r="R757" s="117"/>
      <c r="S757" s="115"/>
      <c r="T757" s="42"/>
      <c r="U757" s="42"/>
      <c r="V757" s="21"/>
      <c r="W757" s="78"/>
      <c r="Z757" s="74" t="str">
        <f>CONCATENATE(Table1[[#This Row],[P.R NUMBER]],"-",Table1[[#This Row],[SR NO]])</f>
        <v>-</v>
      </c>
    </row>
    <row r="758" spans="1:26" x14ac:dyDescent="0.25">
      <c r="A758" s="73"/>
      <c r="B758" s="42"/>
      <c r="C758" s="118"/>
      <c r="D758" s="110"/>
      <c r="E758" s="111"/>
      <c r="F758" s="42"/>
      <c r="G758" s="112"/>
      <c r="H758" s="113"/>
      <c r="I758" s="114"/>
      <c r="J758" s="52" t="e">
        <f>VLOOKUP(I758,'CONTACT REFERENCE'!$A$2:$P$399,4,FALSE)</f>
        <v>#N/A</v>
      </c>
      <c r="K758" s="42"/>
      <c r="L758" s="42"/>
      <c r="M758" s="115"/>
      <c r="N758" s="115"/>
      <c r="O758" s="116"/>
      <c r="P758" s="113"/>
      <c r="Q758" s="112"/>
      <c r="R758" s="117"/>
      <c r="S758" s="115"/>
      <c r="T758" s="42"/>
      <c r="U758" s="42"/>
      <c r="V758" s="21"/>
      <c r="W758" s="78"/>
      <c r="Z758" s="74" t="str">
        <f>CONCATENATE(Table1[[#This Row],[P.R NUMBER]],"-",Table1[[#This Row],[SR NO]])</f>
        <v>-</v>
      </c>
    </row>
    <row r="759" spans="1:26" x14ac:dyDescent="0.25">
      <c r="A759" s="73"/>
      <c r="B759" s="42"/>
      <c r="C759" s="118"/>
      <c r="D759" s="110"/>
      <c r="E759" s="111"/>
      <c r="F759" s="42"/>
      <c r="G759" s="112"/>
      <c r="H759" s="113"/>
      <c r="I759" s="114"/>
      <c r="J759" s="52" t="e">
        <f>VLOOKUP(I759,'CONTACT REFERENCE'!$A$2:$P$399,4,FALSE)</f>
        <v>#N/A</v>
      </c>
      <c r="K759" s="42"/>
      <c r="L759" s="42"/>
      <c r="M759" s="115"/>
      <c r="N759" s="115"/>
      <c r="O759" s="116"/>
      <c r="P759" s="113"/>
      <c r="Q759" s="112"/>
      <c r="R759" s="117"/>
      <c r="S759" s="115"/>
      <c r="T759" s="42"/>
      <c r="U759" s="42"/>
      <c r="V759" s="21"/>
      <c r="W759" s="78"/>
      <c r="Z759" s="74" t="str">
        <f>CONCATENATE(Table1[[#This Row],[P.R NUMBER]],"-",Table1[[#This Row],[SR NO]])</f>
        <v>-</v>
      </c>
    </row>
    <row r="760" spans="1:26" x14ac:dyDescent="0.25">
      <c r="A760" s="73"/>
      <c r="B760" s="42"/>
      <c r="C760" s="118"/>
      <c r="D760" s="110"/>
      <c r="E760" s="111"/>
      <c r="F760" s="42"/>
      <c r="G760" s="112"/>
      <c r="H760" s="113"/>
      <c r="I760" s="114"/>
      <c r="J760" s="52" t="e">
        <f>VLOOKUP(I760,'CONTACT REFERENCE'!$A$2:$P$399,4,FALSE)</f>
        <v>#N/A</v>
      </c>
      <c r="K760" s="42"/>
      <c r="L760" s="42"/>
      <c r="M760" s="115"/>
      <c r="N760" s="115"/>
      <c r="O760" s="116"/>
      <c r="P760" s="113"/>
      <c r="Q760" s="112"/>
      <c r="R760" s="117"/>
      <c r="S760" s="115"/>
      <c r="T760" s="42"/>
      <c r="U760" s="42"/>
      <c r="V760" s="21"/>
      <c r="W760" s="78"/>
      <c r="Z760" s="74" t="str">
        <f>CONCATENATE(Table1[[#This Row],[P.R NUMBER]],"-",Table1[[#This Row],[SR NO]])</f>
        <v>-</v>
      </c>
    </row>
    <row r="761" spans="1:26" x14ac:dyDescent="0.25">
      <c r="A761" s="73"/>
      <c r="B761" s="42"/>
      <c r="C761" s="118"/>
      <c r="D761" s="110"/>
      <c r="E761" s="111"/>
      <c r="F761" s="42"/>
      <c r="G761" s="112"/>
      <c r="H761" s="113"/>
      <c r="I761" s="114"/>
      <c r="J761" s="52" t="e">
        <f>VLOOKUP(I761,'CONTACT REFERENCE'!$A$2:$P$399,4,FALSE)</f>
        <v>#N/A</v>
      </c>
      <c r="K761" s="42"/>
      <c r="L761" s="42"/>
      <c r="M761" s="115"/>
      <c r="N761" s="115"/>
      <c r="O761" s="116"/>
      <c r="P761" s="113"/>
      <c r="Q761" s="112"/>
      <c r="R761" s="117"/>
      <c r="S761" s="115"/>
      <c r="T761" s="42"/>
      <c r="U761" s="42"/>
      <c r="V761" s="21"/>
      <c r="W761" s="78"/>
      <c r="Z761" s="74" t="str">
        <f>CONCATENATE(Table1[[#This Row],[P.R NUMBER]],"-",Table1[[#This Row],[SR NO]])</f>
        <v>-</v>
      </c>
    </row>
    <row r="762" spans="1:26" x14ac:dyDescent="0.25">
      <c r="A762" s="73"/>
      <c r="B762" s="42"/>
      <c r="C762" s="118"/>
      <c r="D762" s="110"/>
      <c r="E762" s="111"/>
      <c r="F762" s="42"/>
      <c r="G762" s="112"/>
      <c r="H762" s="113"/>
      <c r="I762" s="114"/>
      <c r="J762" s="52" t="e">
        <f>VLOOKUP(I762,'CONTACT REFERENCE'!$A$2:$P$399,4,FALSE)</f>
        <v>#N/A</v>
      </c>
      <c r="K762" s="42"/>
      <c r="L762" s="42"/>
      <c r="M762" s="115"/>
      <c r="N762" s="115"/>
      <c r="O762" s="116"/>
      <c r="P762" s="113"/>
      <c r="Q762" s="112"/>
      <c r="R762" s="117"/>
      <c r="S762" s="115"/>
      <c r="T762" s="42"/>
      <c r="U762" s="42"/>
      <c r="V762" s="21"/>
      <c r="W762" s="78"/>
      <c r="Z762" s="74" t="str">
        <f>CONCATENATE(Table1[[#This Row],[P.R NUMBER]],"-",Table1[[#This Row],[SR NO]])</f>
        <v>-</v>
      </c>
    </row>
    <row r="763" spans="1:26" x14ac:dyDescent="0.25">
      <c r="A763" s="73"/>
      <c r="B763" s="42"/>
      <c r="C763" s="118"/>
      <c r="D763" s="110"/>
      <c r="E763" s="111"/>
      <c r="F763" s="42"/>
      <c r="G763" s="112"/>
      <c r="H763" s="113"/>
      <c r="I763" s="114"/>
      <c r="J763" s="52" t="e">
        <f>VLOOKUP(I763,'CONTACT REFERENCE'!$A$2:$P$399,4,FALSE)</f>
        <v>#N/A</v>
      </c>
      <c r="K763" s="42"/>
      <c r="L763" s="42"/>
      <c r="M763" s="115"/>
      <c r="N763" s="115"/>
      <c r="O763" s="116"/>
      <c r="P763" s="113"/>
      <c r="Q763" s="112"/>
      <c r="R763" s="117"/>
      <c r="S763" s="115"/>
      <c r="T763" s="42"/>
      <c r="U763" s="42"/>
      <c r="V763" s="21"/>
      <c r="W763" s="78"/>
      <c r="Z763" s="74" t="str">
        <f>CONCATENATE(Table1[[#This Row],[P.R NUMBER]],"-",Table1[[#This Row],[SR NO]])</f>
        <v>-</v>
      </c>
    </row>
    <row r="764" spans="1:26" x14ac:dyDescent="0.25">
      <c r="A764" s="73"/>
      <c r="B764" s="42"/>
      <c r="C764" s="118"/>
      <c r="D764" s="110"/>
      <c r="E764" s="111"/>
      <c r="F764" s="42"/>
      <c r="G764" s="112"/>
      <c r="H764" s="113"/>
      <c r="I764" s="114"/>
      <c r="J764" s="52" t="e">
        <f>VLOOKUP(I764,'CONTACT REFERENCE'!$A$2:$P$399,4,FALSE)</f>
        <v>#N/A</v>
      </c>
      <c r="K764" s="42"/>
      <c r="L764" s="42"/>
      <c r="M764" s="115"/>
      <c r="N764" s="115"/>
      <c r="O764" s="116"/>
      <c r="P764" s="113"/>
      <c r="Q764" s="112"/>
      <c r="R764" s="117"/>
      <c r="S764" s="115"/>
      <c r="T764" s="42"/>
      <c r="U764" s="42"/>
      <c r="V764" s="21"/>
      <c r="W764" s="78"/>
      <c r="Z764" s="74" t="str">
        <f>CONCATENATE(Table1[[#This Row],[P.R NUMBER]],"-",Table1[[#This Row],[SR NO]])</f>
        <v>-</v>
      </c>
    </row>
    <row r="765" spans="1:26" x14ac:dyDescent="0.25">
      <c r="A765" s="73"/>
      <c r="B765" s="42"/>
      <c r="C765" s="118"/>
      <c r="D765" s="110"/>
      <c r="E765" s="111"/>
      <c r="F765" s="42"/>
      <c r="G765" s="112"/>
      <c r="H765" s="113"/>
      <c r="I765" s="114"/>
      <c r="J765" s="52" t="e">
        <f>VLOOKUP(I765,'CONTACT REFERENCE'!$A$2:$P$399,4,FALSE)</f>
        <v>#N/A</v>
      </c>
      <c r="K765" s="42"/>
      <c r="L765" s="42"/>
      <c r="M765" s="115"/>
      <c r="N765" s="115"/>
      <c r="O765" s="116"/>
      <c r="P765" s="113"/>
      <c r="Q765" s="112"/>
      <c r="R765" s="117"/>
      <c r="S765" s="115"/>
      <c r="T765" s="42"/>
      <c r="U765" s="42"/>
      <c r="V765" s="21"/>
      <c r="W765" s="78"/>
      <c r="Z765" s="74" t="str">
        <f>CONCATENATE(Table1[[#This Row],[P.R NUMBER]],"-",Table1[[#This Row],[SR NO]])</f>
        <v>-</v>
      </c>
    </row>
    <row r="766" spans="1:26" x14ac:dyDescent="0.25">
      <c r="A766" s="73"/>
      <c r="B766" s="42"/>
      <c r="C766" s="118"/>
      <c r="D766" s="110"/>
      <c r="E766" s="111"/>
      <c r="F766" s="42"/>
      <c r="G766" s="112"/>
      <c r="H766" s="113"/>
      <c r="I766" s="114"/>
      <c r="J766" s="52" t="e">
        <f>VLOOKUP(I766,'CONTACT REFERENCE'!$A$2:$P$399,4,FALSE)</f>
        <v>#N/A</v>
      </c>
      <c r="K766" s="42"/>
      <c r="L766" s="42"/>
      <c r="M766" s="115"/>
      <c r="N766" s="115"/>
      <c r="O766" s="116"/>
      <c r="P766" s="113"/>
      <c r="Q766" s="112"/>
      <c r="R766" s="117"/>
      <c r="S766" s="115"/>
      <c r="T766" s="42"/>
      <c r="U766" s="42"/>
      <c r="V766" s="21"/>
      <c r="W766" s="78"/>
      <c r="Z766" s="74" t="str">
        <f>CONCATENATE(Table1[[#This Row],[P.R NUMBER]],"-",Table1[[#This Row],[SR NO]])</f>
        <v>-</v>
      </c>
    </row>
    <row r="767" spans="1:26" x14ac:dyDescent="0.25">
      <c r="A767" s="85"/>
      <c r="B767" s="39"/>
      <c r="C767" s="119"/>
      <c r="D767" s="120"/>
      <c r="E767" s="121"/>
      <c r="F767" s="39"/>
      <c r="G767" s="122"/>
      <c r="H767" s="123"/>
      <c r="I767" s="124"/>
      <c r="J767" s="52" t="e">
        <f>VLOOKUP(I767,'CONTACT REFERENCE'!$A$2:$P$399,4,FALSE)</f>
        <v>#N/A</v>
      </c>
      <c r="K767" s="39"/>
      <c r="L767" s="39"/>
      <c r="M767" s="125"/>
      <c r="N767" s="125"/>
      <c r="O767" s="126"/>
      <c r="P767" s="123"/>
      <c r="Q767" s="122"/>
      <c r="R767" s="127"/>
      <c r="S767" s="125"/>
      <c r="T767" s="39"/>
      <c r="U767" s="39"/>
      <c r="V767" s="91"/>
      <c r="W767" s="92"/>
      <c r="X767" s="22"/>
      <c r="Y767" s="22"/>
      <c r="Z767" s="77" t="str">
        <f>CONCATENATE(Table1[[#This Row],[P.R NUMBER]],"-",Table1[[#This Row],[SR NO]])</f>
        <v>-</v>
      </c>
    </row>
  </sheetData>
  <mergeCells count="1">
    <mergeCell ref="A1:W1"/>
  </mergeCells>
  <dataValidations count="4">
    <dataValidation type="list" allowBlank="1" showInputMessage="1" showErrorMessage="1" sqref="H47 M233 M230 G4:G4254">
      <formula1>Dropdown_Equipment</formula1>
    </dataValidation>
    <dataValidation type="list" allowBlank="1" showInputMessage="1" showErrorMessage="1" sqref="F4:F4254">
      <formula1>Dropdown_SubExpense</formula1>
    </dataValidation>
    <dataValidation type="list" allowBlank="1" showInputMessage="1" showErrorMessage="1" sqref="E4:E4273">
      <formula1>Dropdown_Expense</formula1>
    </dataValidation>
    <dataValidation type="list" allowBlank="1" showInputMessage="1" showErrorMessage="1" sqref="W4:Y4254">
      <formula1>Dropdown_Status</formula1>
    </dataValidation>
  </dataValidations>
  <pageMargins left="0.7" right="0.7" top="0.75" bottom="0.75" header="0.3" footer="0.3"/>
  <pageSetup orientation="portrait" verticalDpi="20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23"/>
  <sheetViews>
    <sheetView zoomScale="85" zoomScaleNormal="85" workbookViewId="0">
      <pane ySplit="1" topLeftCell="A14" activePane="bottomLeft" state="frozen"/>
      <selection activeCell="E1" sqref="E1"/>
      <selection pane="bottomLeft" activeCell="C8" sqref="C8"/>
    </sheetView>
  </sheetViews>
  <sheetFormatPr defaultRowHeight="15" x14ac:dyDescent="0.25"/>
  <cols>
    <col min="1" max="1" width="12.7109375" style="34" customWidth="1"/>
    <col min="2" max="2" width="17.42578125" style="60" customWidth="1"/>
    <col min="3" max="3" width="26.85546875" style="34" bestFit="1" customWidth="1"/>
    <col min="4" max="4" width="50" style="34" bestFit="1" customWidth="1"/>
    <col min="5" max="5" width="32.140625" style="34" customWidth="1"/>
    <col min="6" max="6" width="46.5703125" style="34" customWidth="1"/>
    <col min="7" max="7" width="23" style="34" bestFit="1" customWidth="1"/>
    <col min="8" max="10" width="20.7109375" style="60" customWidth="1"/>
    <col min="11" max="11" width="32" style="60" customWidth="1"/>
    <col min="12" max="12" width="40" style="34" bestFit="1" customWidth="1"/>
    <col min="13" max="13" width="31.42578125" style="34" bestFit="1" customWidth="1"/>
    <col min="14" max="14" width="9" style="60" bestFit="1" customWidth="1"/>
    <col min="15" max="15" width="11.42578125" style="60" customWidth="1"/>
    <col min="16" max="16" width="12.28515625" style="60" customWidth="1"/>
    <col min="17" max="16384" width="9.140625" style="34"/>
  </cols>
  <sheetData>
    <row r="1" spans="1:16" s="55" customFormat="1" x14ac:dyDescent="0.25">
      <c r="A1" s="32" t="s">
        <v>215</v>
      </c>
      <c r="B1" s="32" t="s">
        <v>216</v>
      </c>
      <c r="C1" s="32" t="s">
        <v>217</v>
      </c>
      <c r="D1" s="32" t="s">
        <v>218</v>
      </c>
      <c r="E1" s="33" t="s">
        <v>219</v>
      </c>
      <c r="F1" s="32" t="s">
        <v>220</v>
      </c>
      <c r="G1" s="32" t="s">
        <v>221</v>
      </c>
      <c r="H1" s="32" t="s">
        <v>222</v>
      </c>
      <c r="I1" s="32" t="s">
        <v>223</v>
      </c>
      <c r="J1" s="32" t="s">
        <v>224</v>
      </c>
      <c r="K1" s="32" t="s">
        <v>225</v>
      </c>
      <c r="L1" s="32" t="s">
        <v>226</v>
      </c>
      <c r="M1" s="32" t="s">
        <v>227</v>
      </c>
      <c r="N1" s="32" t="s">
        <v>228</v>
      </c>
      <c r="O1" s="32" t="s">
        <v>229</v>
      </c>
      <c r="P1" s="32" t="s">
        <v>113</v>
      </c>
    </row>
    <row r="2" spans="1:16" ht="50.1" customHeight="1" x14ac:dyDescent="0.25">
      <c r="A2" s="46" t="s">
        <v>230</v>
      </c>
      <c r="B2" s="42" t="s">
        <v>118</v>
      </c>
      <c r="C2" s="35" t="s">
        <v>231</v>
      </c>
      <c r="D2" s="46" t="s">
        <v>232</v>
      </c>
      <c r="E2" s="35" t="s">
        <v>233</v>
      </c>
      <c r="F2" s="35" t="s">
        <v>234</v>
      </c>
      <c r="G2" s="35" t="s">
        <v>1636</v>
      </c>
      <c r="H2" s="50" t="s">
        <v>235</v>
      </c>
      <c r="I2" s="36" t="s">
        <v>236</v>
      </c>
      <c r="J2" s="50" t="s">
        <v>237</v>
      </c>
      <c r="K2" s="46" t="s">
        <v>238</v>
      </c>
      <c r="L2" s="37" t="s">
        <v>239</v>
      </c>
      <c r="M2" s="37" t="s">
        <v>240</v>
      </c>
      <c r="N2" s="42" t="s">
        <v>241</v>
      </c>
      <c r="O2" s="42" t="s">
        <v>242</v>
      </c>
      <c r="P2" s="42" t="s">
        <v>29</v>
      </c>
    </row>
    <row r="3" spans="1:16" ht="50.1" customHeight="1" x14ac:dyDescent="0.25">
      <c r="A3" s="46" t="s">
        <v>243</v>
      </c>
      <c r="B3" s="42" t="s">
        <v>118</v>
      </c>
      <c r="C3" s="35" t="s">
        <v>244</v>
      </c>
      <c r="D3" s="46" t="s">
        <v>245</v>
      </c>
      <c r="E3" s="46"/>
      <c r="F3" s="35" t="s">
        <v>246</v>
      </c>
      <c r="G3" s="35" t="s">
        <v>1637</v>
      </c>
      <c r="H3" s="50" t="s">
        <v>247</v>
      </c>
      <c r="I3" s="36" t="s">
        <v>248</v>
      </c>
      <c r="J3" s="50" t="s">
        <v>249</v>
      </c>
      <c r="K3" s="46" t="s">
        <v>250</v>
      </c>
      <c r="L3" s="37" t="s">
        <v>251</v>
      </c>
      <c r="M3" s="37" t="s">
        <v>252</v>
      </c>
      <c r="N3" s="42" t="s">
        <v>241</v>
      </c>
      <c r="O3" s="42" t="s">
        <v>242</v>
      </c>
      <c r="P3" s="42" t="s">
        <v>29</v>
      </c>
    </row>
    <row r="4" spans="1:16" ht="50.1" customHeight="1" x14ac:dyDescent="0.25">
      <c r="A4" s="46" t="s">
        <v>253</v>
      </c>
      <c r="B4" s="42" t="s">
        <v>122</v>
      </c>
      <c r="C4" s="46"/>
      <c r="D4" s="46" t="s">
        <v>254</v>
      </c>
      <c r="E4" s="46"/>
      <c r="F4" s="46" t="s">
        <v>255</v>
      </c>
      <c r="G4" s="46" t="s">
        <v>1638</v>
      </c>
      <c r="H4" s="50" t="s">
        <v>256</v>
      </c>
      <c r="I4" s="42"/>
      <c r="J4" s="50" t="s">
        <v>257</v>
      </c>
      <c r="K4" s="35" t="s">
        <v>258</v>
      </c>
      <c r="L4" s="37" t="s">
        <v>259</v>
      </c>
      <c r="M4" s="37" t="s">
        <v>260</v>
      </c>
      <c r="N4" s="42"/>
      <c r="O4" s="42" t="s">
        <v>261</v>
      </c>
      <c r="P4" s="42" t="s">
        <v>28</v>
      </c>
    </row>
    <row r="5" spans="1:16" ht="50.1" customHeight="1" x14ac:dyDescent="0.25">
      <c r="A5" s="46" t="s">
        <v>262</v>
      </c>
      <c r="B5" s="42" t="s">
        <v>122</v>
      </c>
      <c r="C5" s="46"/>
      <c r="D5" s="46" t="s">
        <v>129</v>
      </c>
      <c r="E5" s="46"/>
      <c r="F5" s="46" t="s">
        <v>263</v>
      </c>
      <c r="G5" s="46" t="s">
        <v>264</v>
      </c>
      <c r="H5" s="50" t="s">
        <v>265</v>
      </c>
      <c r="I5" s="50"/>
      <c r="J5" s="50" t="s">
        <v>266</v>
      </c>
      <c r="K5" s="35" t="s">
        <v>267</v>
      </c>
      <c r="L5" s="37" t="s">
        <v>268</v>
      </c>
      <c r="M5" s="37"/>
      <c r="N5" s="42"/>
      <c r="O5" s="42" t="s">
        <v>261</v>
      </c>
      <c r="P5" s="42" t="s">
        <v>28</v>
      </c>
    </row>
    <row r="6" spans="1:16" ht="50.1" customHeight="1" x14ac:dyDescent="0.25">
      <c r="A6" s="46" t="s">
        <v>269</v>
      </c>
      <c r="B6" s="42" t="s">
        <v>122</v>
      </c>
      <c r="C6" s="46" t="s">
        <v>270</v>
      </c>
      <c r="D6" s="46" t="s">
        <v>271</v>
      </c>
      <c r="E6" s="46"/>
      <c r="F6" s="46"/>
      <c r="G6" s="46"/>
      <c r="H6" s="50" t="s">
        <v>272</v>
      </c>
      <c r="I6" s="42"/>
      <c r="J6" s="50" t="s">
        <v>273</v>
      </c>
      <c r="K6" s="35" t="s">
        <v>274</v>
      </c>
      <c r="L6" s="37"/>
      <c r="M6" s="37" t="s">
        <v>275</v>
      </c>
      <c r="N6" s="42"/>
      <c r="O6" s="42" t="s">
        <v>261</v>
      </c>
      <c r="P6" s="42" t="s">
        <v>28</v>
      </c>
    </row>
    <row r="7" spans="1:16" ht="50.1" customHeight="1" x14ac:dyDescent="0.25">
      <c r="A7" s="46" t="s">
        <v>276</v>
      </c>
      <c r="B7" s="42" t="s">
        <v>122</v>
      </c>
      <c r="C7" s="46"/>
      <c r="D7" s="46" t="s">
        <v>277</v>
      </c>
      <c r="E7" s="46"/>
      <c r="F7" s="35" t="s">
        <v>278</v>
      </c>
      <c r="G7" s="46" t="s">
        <v>279</v>
      </c>
      <c r="H7" s="50" t="s">
        <v>280</v>
      </c>
      <c r="I7" s="42"/>
      <c r="J7" s="50" t="s">
        <v>281</v>
      </c>
      <c r="K7" s="35" t="s">
        <v>282</v>
      </c>
      <c r="L7" s="37" t="s">
        <v>283</v>
      </c>
      <c r="M7" s="46"/>
      <c r="N7" s="42"/>
      <c r="O7" s="42" t="s">
        <v>261</v>
      </c>
      <c r="P7" s="42" t="s">
        <v>28</v>
      </c>
    </row>
    <row r="8" spans="1:16" ht="50.1" customHeight="1" x14ac:dyDescent="0.25">
      <c r="A8" s="46" t="s">
        <v>284</v>
      </c>
      <c r="B8" s="42" t="s">
        <v>122</v>
      </c>
      <c r="C8" s="46"/>
      <c r="D8" s="46" t="s">
        <v>152</v>
      </c>
      <c r="E8" s="46"/>
      <c r="F8" s="46" t="s">
        <v>285</v>
      </c>
      <c r="G8" s="46"/>
      <c r="H8" s="50" t="s">
        <v>286</v>
      </c>
      <c r="I8" s="42"/>
      <c r="J8" s="50" t="s">
        <v>287</v>
      </c>
      <c r="K8" s="35" t="s">
        <v>288</v>
      </c>
      <c r="L8" s="37" t="s">
        <v>289</v>
      </c>
      <c r="M8" s="37" t="s">
        <v>290</v>
      </c>
      <c r="N8" s="42"/>
      <c r="O8" s="42" t="s">
        <v>291</v>
      </c>
      <c r="P8" s="42" t="s">
        <v>154</v>
      </c>
    </row>
    <row r="9" spans="1:16" ht="50.1" customHeight="1" x14ac:dyDescent="0.25">
      <c r="A9" s="46" t="s">
        <v>292</v>
      </c>
      <c r="B9" s="42" t="s">
        <v>122</v>
      </c>
      <c r="C9" s="46"/>
      <c r="D9" s="46" t="s">
        <v>293</v>
      </c>
      <c r="E9" s="46"/>
      <c r="F9" s="46"/>
      <c r="G9" s="46" t="s">
        <v>294</v>
      </c>
      <c r="H9" s="42" t="s">
        <v>295</v>
      </c>
      <c r="I9" s="42"/>
      <c r="J9" s="42" t="s">
        <v>296</v>
      </c>
      <c r="K9" s="35" t="s">
        <v>297</v>
      </c>
      <c r="L9" s="37" t="s">
        <v>1639</v>
      </c>
      <c r="M9" s="46"/>
      <c r="N9" s="42"/>
      <c r="O9" s="42" t="s">
        <v>261</v>
      </c>
      <c r="P9" s="42" t="s">
        <v>28</v>
      </c>
    </row>
    <row r="10" spans="1:16" ht="50.1" customHeight="1" x14ac:dyDescent="0.25">
      <c r="A10" s="46" t="s">
        <v>298</v>
      </c>
      <c r="B10" s="42" t="s">
        <v>122</v>
      </c>
      <c r="C10" s="46"/>
      <c r="D10" s="46" t="s">
        <v>299</v>
      </c>
      <c r="E10" s="46"/>
      <c r="F10" s="35" t="s">
        <v>300</v>
      </c>
      <c r="G10" s="46" t="s">
        <v>1640</v>
      </c>
      <c r="H10" s="42"/>
      <c r="I10" s="42"/>
      <c r="J10" s="42" t="s">
        <v>301</v>
      </c>
      <c r="K10" s="35" t="s">
        <v>302</v>
      </c>
      <c r="L10" s="37" t="s">
        <v>303</v>
      </c>
      <c r="M10" s="37" t="s">
        <v>304</v>
      </c>
      <c r="N10" s="42"/>
      <c r="O10" s="42" t="s">
        <v>305</v>
      </c>
      <c r="P10" s="42" t="s">
        <v>125</v>
      </c>
    </row>
    <row r="11" spans="1:16" ht="50.1" customHeight="1" x14ac:dyDescent="0.25">
      <c r="A11" s="46" t="s">
        <v>306</v>
      </c>
      <c r="B11" s="42" t="s">
        <v>122</v>
      </c>
      <c r="C11" s="46"/>
      <c r="D11" s="46" t="s">
        <v>148</v>
      </c>
      <c r="E11" s="46"/>
      <c r="F11" s="46"/>
      <c r="G11" s="46"/>
      <c r="H11" s="42" t="s">
        <v>307</v>
      </c>
      <c r="I11" s="42"/>
      <c r="J11" s="42" t="s">
        <v>308</v>
      </c>
      <c r="K11" s="35" t="s">
        <v>309</v>
      </c>
      <c r="L11" s="46"/>
      <c r="M11" s="37" t="s">
        <v>310</v>
      </c>
      <c r="N11" s="42"/>
      <c r="O11" s="42" t="s">
        <v>261</v>
      </c>
      <c r="P11" s="42" t="s">
        <v>28</v>
      </c>
    </row>
    <row r="12" spans="1:16" ht="50.1" customHeight="1" x14ac:dyDescent="0.25">
      <c r="A12" s="46" t="s">
        <v>311</v>
      </c>
      <c r="B12" s="42" t="s">
        <v>122</v>
      </c>
      <c r="C12" s="46"/>
      <c r="D12" s="46" t="s">
        <v>312</v>
      </c>
      <c r="E12" s="46"/>
      <c r="F12" s="35" t="s">
        <v>313</v>
      </c>
      <c r="G12" s="46" t="s">
        <v>1641</v>
      </c>
      <c r="H12" s="42" t="s">
        <v>314</v>
      </c>
      <c r="I12" s="42"/>
      <c r="J12" s="42" t="s">
        <v>315</v>
      </c>
      <c r="K12" s="35" t="s">
        <v>316</v>
      </c>
      <c r="L12" s="37" t="s">
        <v>1642</v>
      </c>
      <c r="M12" s="37" t="s">
        <v>1643</v>
      </c>
      <c r="N12" s="42"/>
      <c r="O12" s="42" t="s">
        <v>261</v>
      </c>
      <c r="P12" s="42" t="s">
        <v>28</v>
      </c>
    </row>
    <row r="13" spans="1:16" ht="50.1" customHeight="1" x14ac:dyDescent="0.25">
      <c r="A13" s="46" t="s">
        <v>317</v>
      </c>
      <c r="B13" s="42" t="s">
        <v>122</v>
      </c>
      <c r="C13" s="46"/>
      <c r="D13" s="46" t="s">
        <v>318</v>
      </c>
      <c r="E13" s="46"/>
      <c r="F13" s="46"/>
      <c r="G13" s="46"/>
      <c r="H13" s="42" t="s">
        <v>319</v>
      </c>
      <c r="I13" s="42"/>
      <c r="J13" s="42" t="s">
        <v>320</v>
      </c>
      <c r="K13" s="35" t="s">
        <v>321</v>
      </c>
      <c r="L13" s="37" t="s">
        <v>322</v>
      </c>
      <c r="M13" s="37" t="s">
        <v>323</v>
      </c>
      <c r="N13" s="42"/>
      <c r="O13" s="42" t="s">
        <v>261</v>
      </c>
      <c r="P13" s="42" t="s">
        <v>28</v>
      </c>
    </row>
    <row r="14" spans="1:16" ht="50.1" customHeight="1" x14ac:dyDescent="0.25">
      <c r="A14" s="46" t="s">
        <v>324</v>
      </c>
      <c r="B14" s="42" t="s">
        <v>122</v>
      </c>
      <c r="C14" s="46"/>
      <c r="D14" s="46" t="s">
        <v>325</v>
      </c>
      <c r="E14" s="46"/>
      <c r="F14" s="46" t="s">
        <v>263</v>
      </c>
      <c r="G14" s="46"/>
      <c r="H14" s="42" t="s">
        <v>326</v>
      </c>
      <c r="I14" s="42"/>
      <c r="J14" s="42" t="s">
        <v>327</v>
      </c>
      <c r="K14" s="35" t="s">
        <v>328</v>
      </c>
      <c r="L14" s="37" t="s">
        <v>329</v>
      </c>
      <c r="M14" s="37" t="s">
        <v>330</v>
      </c>
      <c r="N14" s="42"/>
      <c r="O14" s="42" t="s">
        <v>261</v>
      </c>
      <c r="P14" s="42" t="s">
        <v>28</v>
      </c>
    </row>
    <row r="15" spans="1:16" ht="50.1" customHeight="1" x14ac:dyDescent="0.25">
      <c r="A15" s="46" t="s">
        <v>331</v>
      </c>
      <c r="B15" s="42" t="s">
        <v>122</v>
      </c>
      <c r="C15" s="46"/>
      <c r="D15" s="46" t="s">
        <v>204</v>
      </c>
      <c r="E15" s="46"/>
      <c r="F15" s="46"/>
      <c r="G15" s="46"/>
      <c r="H15" s="42"/>
      <c r="I15" s="42"/>
      <c r="J15" s="42"/>
      <c r="K15" s="42"/>
      <c r="L15" s="37" t="s">
        <v>332</v>
      </c>
      <c r="M15" s="46"/>
      <c r="N15" s="42"/>
      <c r="O15" s="42" t="s">
        <v>261</v>
      </c>
      <c r="P15" s="42" t="s">
        <v>28</v>
      </c>
    </row>
    <row r="16" spans="1:16" ht="50.1" customHeight="1" x14ac:dyDescent="0.25">
      <c r="A16" s="46" t="s">
        <v>333</v>
      </c>
      <c r="B16" s="42" t="s">
        <v>122</v>
      </c>
      <c r="C16" s="46"/>
      <c r="D16" s="46" t="s">
        <v>334</v>
      </c>
      <c r="E16" s="46"/>
      <c r="F16" s="46" t="s">
        <v>335</v>
      </c>
      <c r="G16" s="46"/>
      <c r="H16" s="42" t="s">
        <v>336</v>
      </c>
      <c r="I16" s="42"/>
      <c r="J16" s="42" t="s">
        <v>337</v>
      </c>
      <c r="K16" s="35" t="s">
        <v>338</v>
      </c>
      <c r="L16" s="37" t="s">
        <v>339</v>
      </c>
      <c r="M16" s="37" t="s">
        <v>340</v>
      </c>
      <c r="N16" s="42"/>
      <c r="O16" s="42" t="s">
        <v>291</v>
      </c>
      <c r="P16" s="42" t="s">
        <v>154</v>
      </c>
    </row>
    <row r="17" spans="1:16" ht="50.1" customHeight="1" x14ac:dyDescent="0.25">
      <c r="A17" s="46" t="s">
        <v>341</v>
      </c>
      <c r="B17" s="42" t="s">
        <v>118</v>
      </c>
      <c r="C17" s="46"/>
      <c r="D17" s="46" t="s">
        <v>1644</v>
      </c>
      <c r="E17" s="46" t="s">
        <v>342</v>
      </c>
      <c r="F17" s="46" t="s">
        <v>343</v>
      </c>
      <c r="G17" s="46" t="s">
        <v>344</v>
      </c>
      <c r="H17" s="42" t="s">
        <v>345</v>
      </c>
      <c r="I17" s="38" t="s">
        <v>346</v>
      </c>
      <c r="J17" s="42" t="s">
        <v>347</v>
      </c>
      <c r="K17" s="35" t="s">
        <v>348</v>
      </c>
      <c r="L17" s="56" t="s">
        <v>1645</v>
      </c>
      <c r="M17" s="35" t="s">
        <v>349</v>
      </c>
      <c r="N17" s="42" t="s">
        <v>350</v>
      </c>
      <c r="O17" s="42" t="s">
        <v>242</v>
      </c>
      <c r="P17" s="42" t="s">
        <v>29</v>
      </c>
    </row>
    <row r="18" spans="1:16" ht="50.1" customHeight="1" x14ac:dyDescent="0.25">
      <c r="A18" s="46" t="s">
        <v>351</v>
      </c>
      <c r="B18" s="42" t="s">
        <v>118</v>
      </c>
      <c r="C18" s="46"/>
      <c r="D18" s="46" t="s">
        <v>139</v>
      </c>
      <c r="E18" s="46"/>
      <c r="F18" s="46" t="s">
        <v>352</v>
      </c>
      <c r="G18" s="46" t="s">
        <v>353</v>
      </c>
      <c r="H18" s="42" t="s">
        <v>354</v>
      </c>
      <c r="I18" s="42" t="s">
        <v>355</v>
      </c>
      <c r="J18" s="42" t="s">
        <v>356</v>
      </c>
      <c r="K18" s="46" t="s">
        <v>357</v>
      </c>
      <c r="L18" s="37" t="s">
        <v>358</v>
      </c>
      <c r="M18" s="46"/>
      <c r="N18" s="42" t="s">
        <v>241</v>
      </c>
      <c r="O18" s="42" t="s">
        <v>242</v>
      </c>
      <c r="P18" s="42" t="s">
        <v>29</v>
      </c>
    </row>
    <row r="19" spans="1:16" ht="50.1" customHeight="1" x14ac:dyDescent="0.25">
      <c r="A19" s="46" t="s">
        <v>359</v>
      </c>
      <c r="B19" s="42" t="s">
        <v>118</v>
      </c>
      <c r="C19" s="46"/>
      <c r="D19" s="46" t="s">
        <v>360</v>
      </c>
      <c r="E19" s="46"/>
      <c r="F19" s="46" t="s">
        <v>361</v>
      </c>
      <c r="G19" s="46" t="s">
        <v>362</v>
      </c>
      <c r="H19" s="42" t="s">
        <v>363</v>
      </c>
      <c r="I19" s="38" t="s">
        <v>364</v>
      </c>
      <c r="J19" s="42" t="s">
        <v>365</v>
      </c>
      <c r="K19" s="46" t="s">
        <v>366</v>
      </c>
      <c r="L19" s="37" t="s">
        <v>367</v>
      </c>
      <c r="M19" s="37" t="s">
        <v>368</v>
      </c>
      <c r="N19" s="42" t="s">
        <v>241</v>
      </c>
      <c r="O19" s="42" t="s">
        <v>242</v>
      </c>
      <c r="P19" s="42" t="s">
        <v>29</v>
      </c>
    </row>
    <row r="20" spans="1:16" ht="50.1" customHeight="1" x14ac:dyDescent="0.25">
      <c r="A20" s="46" t="s">
        <v>369</v>
      </c>
      <c r="B20" s="42" t="s">
        <v>118</v>
      </c>
      <c r="C20" s="46"/>
      <c r="D20" s="46" t="s">
        <v>147</v>
      </c>
      <c r="E20" s="46"/>
      <c r="F20" s="46" t="s">
        <v>370</v>
      </c>
      <c r="G20" s="46" t="s">
        <v>371</v>
      </c>
      <c r="H20" s="42" t="s">
        <v>372</v>
      </c>
      <c r="I20" s="42"/>
      <c r="J20" s="42" t="s">
        <v>373</v>
      </c>
      <c r="K20" s="46" t="s">
        <v>374</v>
      </c>
      <c r="L20" s="37" t="s">
        <v>375</v>
      </c>
      <c r="M20" s="37" t="s">
        <v>376</v>
      </c>
      <c r="N20" s="42" t="s">
        <v>241</v>
      </c>
      <c r="O20" s="42" t="s">
        <v>242</v>
      </c>
      <c r="P20" s="42" t="s">
        <v>29</v>
      </c>
    </row>
    <row r="21" spans="1:16" ht="50.1" customHeight="1" x14ac:dyDescent="0.25">
      <c r="A21" s="46" t="s">
        <v>377</v>
      </c>
      <c r="B21" s="42" t="s">
        <v>118</v>
      </c>
      <c r="C21" s="46"/>
      <c r="D21" s="46" t="s">
        <v>378</v>
      </c>
      <c r="E21" s="46" t="s">
        <v>379</v>
      </c>
      <c r="F21" s="35" t="s">
        <v>380</v>
      </c>
      <c r="G21" s="46" t="s">
        <v>381</v>
      </c>
      <c r="H21" s="42" t="s">
        <v>382</v>
      </c>
      <c r="I21" s="42" t="s">
        <v>383</v>
      </c>
      <c r="J21" s="42" t="s">
        <v>384</v>
      </c>
      <c r="K21" s="46" t="s">
        <v>385</v>
      </c>
      <c r="L21" s="37" t="s">
        <v>386</v>
      </c>
      <c r="M21" s="37" t="s">
        <v>387</v>
      </c>
      <c r="N21" s="42" t="s">
        <v>241</v>
      </c>
      <c r="O21" s="42" t="s">
        <v>242</v>
      </c>
      <c r="P21" s="42" t="s">
        <v>29</v>
      </c>
    </row>
    <row r="22" spans="1:16" ht="180.75" customHeight="1" x14ac:dyDescent="0.25">
      <c r="A22" s="46" t="s">
        <v>388</v>
      </c>
      <c r="B22" s="42" t="s">
        <v>118</v>
      </c>
      <c r="C22" s="35" t="s">
        <v>389</v>
      </c>
      <c r="D22" s="46" t="s">
        <v>390</v>
      </c>
      <c r="E22" s="35" t="s">
        <v>391</v>
      </c>
      <c r="F22" s="35" t="s">
        <v>392</v>
      </c>
      <c r="G22" s="46" t="s">
        <v>393</v>
      </c>
      <c r="H22" s="42" t="s">
        <v>394</v>
      </c>
      <c r="I22" s="38" t="s">
        <v>395</v>
      </c>
      <c r="J22" s="42" t="s">
        <v>396</v>
      </c>
      <c r="K22" s="46" t="s">
        <v>397</v>
      </c>
      <c r="L22" s="37" t="s">
        <v>1646</v>
      </c>
      <c r="M22" s="37"/>
      <c r="N22" s="42" t="s">
        <v>241</v>
      </c>
      <c r="O22" s="42" t="s">
        <v>242</v>
      </c>
      <c r="P22" s="42" t="s">
        <v>29</v>
      </c>
    </row>
    <row r="23" spans="1:16" ht="50.1" customHeight="1" x14ac:dyDescent="0.25">
      <c r="A23" s="46" t="s">
        <v>398</v>
      </c>
      <c r="B23" s="42" t="s">
        <v>118</v>
      </c>
      <c r="C23" s="35" t="s">
        <v>399</v>
      </c>
      <c r="D23" s="46" t="s">
        <v>400</v>
      </c>
      <c r="E23" s="46"/>
      <c r="F23" s="46" t="s">
        <v>401</v>
      </c>
      <c r="G23" s="46" t="s">
        <v>402</v>
      </c>
      <c r="H23" s="42" t="s">
        <v>403</v>
      </c>
      <c r="I23" s="42" t="s">
        <v>404</v>
      </c>
      <c r="J23" s="42" t="s">
        <v>405</v>
      </c>
      <c r="K23" s="46" t="s">
        <v>406</v>
      </c>
      <c r="L23" s="37" t="s">
        <v>407</v>
      </c>
      <c r="M23" s="37" t="s">
        <v>408</v>
      </c>
      <c r="N23" s="42" t="s">
        <v>350</v>
      </c>
      <c r="O23" s="42" t="s">
        <v>242</v>
      </c>
      <c r="P23" s="42" t="s">
        <v>29</v>
      </c>
    </row>
    <row r="24" spans="1:16" ht="50.1" customHeight="1" x14ac:dyDescent="0.25">
      <c r="A24" s="46" t="s">
        <v>409</v>
      </c>
      <c r="B24" s="42" t="s">
        <v>118</v>
      </c>
      <c r="C24" s="46"/>
      <c r="D24" s="46" t="s">
        <v>410</v>
      </c>
      <c r="E24" s="46"/>
      <c r="F24" s="46" t="s">
        <v>411</v>
      </c>
      <c r="G24" s="46" t="s">
        <v>412</v>
      </c>
      <c r="H24" s="42" t="s">
        <v>413</v>
      </c>
      <c r="I24" s="42" t="s">
        <v>414</v>
      </c>
      <c r="J24" s="42" t="s">
        <v>415</v>
      </c>
      <c r="K24" s="46" t="s">
        <v>416</v>
      </c>
      <c r="L24" s="37"/>
      <c r="M24" s="37"/>
      <c r="N24" s="42" t="s">
        <v>241</v>
      </c>
      <c r="O24" s="42" t="s">
        <v>242</v>
      </c>
      <c r="P24" s="42" t="s">
        <v>29</v>
      </c>
    </row>
    <row r="25" spans="1:16" ht="50.1" customHeight="1" x14ac:dyDescent="0.25">
      <c r="A25" s="46" t="s">
        <v>417</v>
      </c>
      <c r="B25" s="42" t="s">
        <v>118</v>
      </c>
      <c r="C25" s="46"/>
      <c r="D25" s="46" t="s">
        <v>121</v>
      </c>
      <c r="E25" s="46"/>
      <c r="F25" s="46" t="s">
        <v>418</v>
      </c>
      <c r="G25" s="46" t="s">
        <v>419</v>
      </c>
      <c r="H25" s="42" t="s">
        <v>420</v>
      </c>
      <c r="I25" s="42" t="s">
        <v>421</v>
      </c>
      <c r="J25" s="42" t="s">
        <v>422</v>
      </c>
      <c r="K25" s="46" t="s">
        <v>423</v>
      </c>
      <c r="L25" s="37" t="s">
        <v>424</v>
      </c>
      <c r="M25" s="37"/>
      <c r="N25" s="42" t="s">
        <v>350</v>
      </c>
      <c r="O25" s="42" t="s">
        <v>242</v>
      </c>
      <c r="P25" s="42" t="s">
        <v>29</v>
      </c>
    </row>
    <row r="26" spans="1:16" ht="50.1" customHeight="1" x14ac:dyDescent="0.25">
      <c r="A26" s="46" t="s">
        <v>425</v>
      </c>
      <c r="B26" s="42" t="s">
        <v>118</v>
      </c>
      <c r="C26" s="46"/>
      <c r="D26" s="46" t="s">
        <v>426</v>
      </c>
      <c r="E26" s="46"/>
      <c r="F26" s="46" t="s">
        <v>427</v>
      </c>
      <c r="G26" s="46" t="s">
        <v>428</v>
      </c>
      <c r="H26" s="42" t="s">
        <v>429</v>
      </c>
      <c r="I26" s="42"/>
      <c r="J26" s="42" t="s">
        <v>430</v>
      </c>
      <c r="K26" s="46" t="s">
        <v>431</v>
      </c>
      <c r="L26" s="37"/>
      <c r="M26" s="37"/>
      <c r="N26" s="42" t="s">
        <v>241</v>
      </c>
      <c r="O26" s="42" t="s">
        <v>242</v>
      </c>
      <c r="P26" s="42" t="s">
        <v>29</v>
      </c>
    </row>
    <row r="27" spans="1:16" ht="50.1" customHeight="1" x14ac:dyDescent="0.25">
      <c r="A27" s="46" t="s">
        <v>119</v>
      </c>
      <c r="B27" s="42" t="s">
        <v>118</v>
      </c>
      <c r="C27" s="46"/>
      <c r="D27" s="46" t="s">
        <v>432</v>
      </c>
      <c r="E27" s="46"/>
      <c r="F27" s="46" t="s">
        <v>433</v>
      </c>
      <c r="G27" s="46" t="s">
        <v>434</v>
      </c>
      <c r="H27" s="42" t="s">
        <v>435</v>
      </c>
      <c r="I27" s="42" t="s">
        <v>436</v>
      </c>
      <c r="J27" s="42" t="s">
        <v>437</v>
      </c>
      <c r="K27" s="46" t="s">
        <v>438</v>
      </c>
      <c r="L27" s="37" t="s">
        <v>439</v>
      </c>
      <c r="M27" s="37" t="s">
        <v>440</v>
      </c>
      <c r="N27" s="42" t="s">
        <v>241</v>
      </c>
      <c r="O27" s="42" t="s">
        <v>242</v>
      </c>
      <c r="P27" s="42" t="s">
        <v>29</v>
      </c>
    </row>
    <row r="28" spans="1:16" ht="50.1" customHeight="1" x14ac:dyDescent="0.25">
      <c r="A28" s="46" t="s">
        <v>441</v>
      </c>
      <c r="B28" s="42" t="s">
        <v>118</v>
      </c>
      <c r="C28" s="46"/>
      <c r="D28" s="46" t="s">
        <v>184</v>
      </c>
      <c r="E28" s="46"/>
      <c r="F28" s="46" t="s">
        <v>185</v>
      </c>
      <c r="G28" s="46" t="s">
        <v>442</v>
      </c>
      <c r="H28" s="42" t="s">
        <v>443</v>
      </c>
      <c r="I28" s="42" t="s">
        <v>444</v>
      </c>
      <c r="J28" s="42" t="s">
        <v>445</v>
      </c>
      <c r="K28" s="46" t="s">
        <v>446</v>
      </c>
      <c r="L28" s="37" t="s">
        <v>447</v>
      </c>
      <c r="M28" s="37"/>
      <c r="N28" s="42" t="s">
        <v>241</v>
      </c>
      <c r="O28" s="42" t="s">
        <v>242</v>
      </c>
      <c r="P28" s="42" t="s">
        <v>29</v>
      </c>
    </row>
    <row r="29" spans="1:16" ht="50.1" customHeight="1" x14ac:dyDescent="0.25">
      <c r="A29" s="46" t="s">
        <v>448</v>
      </c>
      <c r="B29" s="42" t="s">
        <v>118</v>
      </c>
      <c r="C29" s="46"/>
      <c r="D29" s="46" t="s">
        <v>145</v>
      </c>
      <c r="E29" s="46"/>
      <c r="F29" s="35" t="s">
        <v>392</v>
      </c>
      <c r="G29" s="46" t="s">
        <v>1647</v>
      </c>
      <c r="H29" s="42" t="s">
        <v>449</v>
      </c>
      <c r="I29" s="42" t="s">
        <v>450</v>
      </c>
      <c r="J29" s="42" t="s">
        <v>451</v>
      </c>
      <c r="K29" s="46" t="s">
        <v>452</v>
      </c>
      <c r="L29" s="37" t="s">
        <v>453</v>
      </c>
      <c r="M29" s="37"/>
      <c r="N29" s="42" t="s">
        <v>241</v>
      </c>
      <c r="O29" s="42" t="s">
        <v>242</v>
      </c>
      <c r="P29" s="42" t="s">
        <v>29</v>
      </c>
    </row>
    <row r="30" spans="1:16" ht="50.1" customHeight="1" x14ac:dyDescent="0.25">
      <c r="A30" s="46" t="s">
        <v>454</v>
      </c>
      <c r="B30" s="42" t="s">
        <v>118</v>
      </c>
      <c r="C30" s="46"/>
      <c r="D30" s="46" t="s">
        <v>151</v>
      </c>
      <c r="E30" s="46"/>
      <c r="F30" s="46" t="s">
        <v>455</v>
      </c>
      <c r="G30" s="46" t="s">
        <v>456</v>
      </c>
      <c r="H30" s="42"/>
      <c r="I30" s="42" t="s">
        <v>457</v>
      </c>
      <c r="J30" s="42"/>
      <c r="K30" s="46" t="s">
        <v>458</v>
      </c>
      <c r="L30" s="37" t="s">
        <v>459</v>
      </c>
      <c r="M30" s="37"/>
      <c r="N30" s="42" t="s">
        <v>241</v>
      </c>
      <c r="O30" s="42" t="s">
        <v>242</v>
      </c>
      <c r="P30" s="42" t="s">
        <v>29</v>
      </c>
    </row>
    <row r="31" spans="1:16" ht="50.1" customHeight="1" x14ac:dyDescent="0.25">
      <c r="A31" s="46" t="s">
        <v>460</v>
      </c>
      <c r="B31" s="42" t="s">
        <v>118</v>
      </c>
      <c r="C31" s="35" t="s">
        <v>399</v>
      </c>
      <c r="D31" s="46" t="s">
        <v>142</v>
      </c>
      <c r="E31" s="46"/>
      <c r="F31" s="46" t="s">
        <v>401</v>
      </c>
      <c r="G31" s="46" t="s">
        <v>461</v>
      </c>
      <c r="H31" s="42" t="s">
        <v>462</v>
      </c>
      <c r="I31" s="42" t="s">
        <v>463</v>
      </c>
      <c r="J31" s="42" t="s">
        <v>464</v>
      </c>
      <c r="K31" s="46" t="s">
        <v>465</v>
      </c>
      <c r="L31" s="37" t="s">
        <v>466</v>
      </c>
      <c r="M31" s="37"/>
      <c r="N31" s="42" t="s">
        <v>241</v>
      </c>
      <c r="O31" s="42" t="s">
        <v>242</v>
      </c>
      <c r="P31" s="42" t="s">
        <v>29</v>
      </c>
    </row>
    <row r="32" spans="1:16" ht="50.1" customHeight="1" x14ac:dyDescent="0.25">
      <c r="A32" s="46" t="s">
        <v>467</v>
      </c>
      <c r="B32" s="42" t="s">
        <v>118</v>
      </c>
      <c r="C32" s="46"/>
      <c r="D32" s="46" t="s">
        <v>468</v>
      </c>
      <c r="E32" s="46"/>
      <c r="F32" s="46" t="s">
        <v>469</v>
      </c>
      <c r="G32" s="46" t="s">
        <v>1648</v>
      </c>
      <c r="H32" s="42" t="s">
        <v>1649</v>
      </c>
      <c r="I32" s="42"/>
      <c r="J32" s="42" t="s">
        <v>470</v>
      </c>
      <c r="K32" s="46" t="s">
        <v>471</v>
      </c>
      <c r="L32" s="37" t="s">
        <v>472</v>
      </c>
      <c r="M32" s="37" t="s">
        <v>473</v>
      </c>
      <c r="N32" s="42" t="s">
        <v>241</v>
      </c>
      <c r="O32" s="42" t="s">
        <v>242</v>
      </c>
      <c r="P32" s="42" t="s">
        <v>29</v>
      </c>
    </row>
    <row r="33" spans="1:16" ht="50.1" customHeight="1" x14ac:dyDescent="0.25">
      <c r="A33" s="46" t="s">
        <v>474</v>
      </c>
      <c r="B33" s="42" t="s">
        <v>118</v>
      </c>
      <c r="C33" s="46"/>
      <c r="D33" s="46" t="s">
        <v>138</v>
      </c>
      <c r="E33" s="46"/>
      <c r="F33" s="46" t="s">
        <v>411</v>
      </c>
      <c r="G33" s="46" t="s">
        <v>393</v>
      </c>
      <c r="H33" s="42"/>
      <c r="I33" s="38" t="s">
        <v>475</v>
      </c>
      <c r="J33" s="42"/>
      <c r="K33" s="46"/>
      <c r="L33" s="37"/>
      <c r="M33" s="37"/>
      <c r="N33" s="42" t="s">
        <v>476</v>
      </c>
      <c r="O33" s="42" t="s">
        <v>242</v>
      </c>
      <c r="P33" s="42" t="s">
        <v>29</v>
      </c>
    </row>
    <row r="34" spans="1:16" ht="50.1" customHeight="1" x14ac:dyDescent="0.25">
      <c r="A34" s="46" t="s">
        <v>477</v>
      </c>
      <c r="B34" s="42" t="s">
        <v>118</v>
      </c>
      <c r="C34" s="46"/>
      <c r="D34" s="46" t="s">
        <v>478</v>
      </c>
      <c r="E34" s="46"/>
      <c r="F34" s="46" t="s">
        <v>479</v>
      </c>
      <c r="G34" s="46"/>
      <c r="H34" s="42" t="s">
        <v>480</v>
      </c>
      <c r="I34" s="42"/>
      <c r="J34" s="42" t="s">
        <v>481</v>
      </c>
      <c r="K34" s="46" t="s">
        <v>482</v>
      </c>
      <c r="L34" s="37"/>
      <c r="M34" s="37" t="s">
        <v>483</v>
      </c>
      <c r="N34" s="42" t="s">
        <v>241</v>
      </c>
      <c r="O34" s="42" t="s">
        <v>242</v>
      </c>
      <c r="P34" s="42" t="s">
        <v>29</v>
      </c>
    </row>
    <row r="35" spans="1:16" ht="50.1" customHeight="1" x14ac:dyDescent="0.25">
      <c r="A35" s="46" t="s">
        <v>484</v>
      </c>
      <c r="B35" s="42" t="s">
        <v>118</v>
      </c>
      <c r="C35" s="46"/>
      <c r="D35" s="46" t="s">
        <v>485</v>
      </c>
      <c r="E35" s="46" t="s">
        <v>486</v>
      </c>
      <c r="F35" s="35" t="s">
        <v>487</v>
      </c>
      <c r="G35" s="46" t="s">
        <v>1650</v>
      </c>
      <c r="H35" s="42" t="s">
        <v>488</v>
      </c>
      <c r="I35" s="42"/>
      <c r="J35" s="42" t="s">
        <v>489</v>
      </c>
      <c r="K35" s="46" t="s">
        <v>490</v>
      </c>
      <c r="L35" s="37" t="s">
        <v>491</v>
      </c>
      <c r="M35" s="37"/>
      <c r="N35" s="42" t="s">
        <v>350</v>
      </c>
      <c r="O35" s="42" t="s">
        <v>242</v>
      </c>
      <c r="P35" s="42" t="s">
        <v>29</v>
      </c>
    </row>
    <row r="36" spans="1:16" ht="50.1" customHeight="1" x14ac:dyDescent="0.25">
      <c r="A36" s="46" t="s">
        <v>492</v>
      </c>
      <c r="B36" s="42" t="s">
        <v>118</v>
      </c>
      <c r="C36" s="46"/>
      <c r="D36" s="46" t="s">
        <v>493</v>
      </c>
      <c r="E36" s="46" t="s">
        <v>494</v>
      </c>
      <c r="F36" s="46" t="s">
        <v>495</v>
      </c>
      <c r="G36" s="46" t="s">
        <v>496</v>
      </c>
      <c r="H36" s="42" t="s">
        <v>497</v>
      </c>
      <c r="I36" s="42" t="s">
        <v>498</v>
      </c>
      <c r="J36" s="42" t="s">
        <v>499</v>
      </c>
      <c r="K36" s="46" t="s">
        <v>500</v>
      </c>
      <c r="L36" s="37" t="s">
        <v>501</v>
      </c>
      <c r="M36" s="37"/>
      <c r="N36" s="42" t="s">
        <v>241</v>
      </c>
      <c r="O36" s="42" t="s">
        <v>242</v>
      </c>
      <c r="P36" s="42" t="s">
        <v>29</v>
      </c>
    </row>
    <row r="37" spans="1:16" ht="50.1" customHeight="1" x14ac:dyDescent="0.25">
      <c r="A37" s="46" t="s">
        <v>502</v>
      </c>
      <c r="B37" s="42" t="s">
        <v>118</v>
      </c>
      <c r="C37" s="46"/>
      <c r="D37" s="46" t="s">
        <v>127</v>
      </c>
      <c r="E37" s="46"/>
      <c r="F37" s="46" t="s">
        <v>503</v>
      </c>
      <c r="G37" s="46" t="s">
        <v>504</v>
      </c>
      <c r="H37" s="42" t="s">
        <v>505</v>
      </c>
      <c r="I37" s="42" t="s">
        <v>506</v>
      </c>
      <c r="J37" s="42" t="s">
        <v>507</v>
      </c>
      <c r="K37" s="46" t="s">
        <v>508</v>
      </c>
      <c r="L37" s="37" t="s">
        <v>509</v>
      </c>
      <c r="M37" s="37"/>
      <c r="N37" s="42" t="s">
        <v>241</v>
      </c>
      <c r="O37" s="42" t="s">
        <v>242</v>
      </c>
      <c r="P37" s="42" t="s">
        <v>29</v>
      </c>
    </row>
    <row r="38" spans="1:16" ht="50.1" customHeight="1" x14ac:dyDescent="0.25">
      <c r="A38" s="46" t="s">
        <v>510</v>
      </c>
      <c r="B38" s="42" t="s">
        <v>118</v>
      </c>
      <c r="C38" s="46"/>
      <c r="D38" s="46" t="s">
        <v>511</v>
      </c>
      <c r="E38" s="46"/>
      <c r="F38" s="35" t="s">
        <v>512</v>
      </c>
      <c r="G38" s="46" t="s">
        <v>513</v>
      </c>
      <c r="H38" s="42" t="s">
        <v>514</v>
      </c>
      <c r="I38" s="38" t="s">
        <v>515</v>
      </c>
      <c r="J38" s="42" t="s">
        <v>516</v>
      </c>
      <c r="K38" s="46" t="s">
        <v>517</v>
      </c>
      <c r="L38" s="37" t="s">
        <v>518</v>
      </c>
      <c r="M38" s="37" t="s">
        <v>519</v>
      </c>
      <c r="N38" s="42" t="s">
        <v>476</v>
      </c>
      <c r="O38" s="42" t="s">
        <v>242</v>
      </c>
      <c r="P38" s="42" t="s">
        <v>29</v>
      </c>
    </row>
    <row r="39" spans="1:16" ht="50.1" customHeight="1" x14ac:dyDescent="0.25">
      <c r="A39" s="46" t="s">
        <v>520</v>
      </c>
      <c r="B39" s="42" t="s">
        <v>118</v>
      </c>
      <c r="C39" s="46"/>
      <c r="D39" s="46" t="s">
        <v>521</v>
      </c>
      <c r="E39" s="46"/>
      <c r="F39" s="46" t="s">
        <v>522</v>
      </c>
      <c r="G39" s="35" t="s">
        <v>1651</v>
      </c>
      <c r="H39" s="42" t="s">
        <v>523</v>
      </c>
      <c r="I39" s="38" t="s">
        <v>524</v>
      </c>
      <c r="J39" s="38" t="s">
        <v>525</v>
      </c>
      <c r="K39" s="46" t="s">
        <v>526</v>
      </c>
      <c r="L39" s="37" t="s">
        <v>527</v>
      </c>
      <c r="M39" s="37"/>
      <c r="N39" s="42" t="s">
        <v>241</v>
      </c>
      <c r="O39" s="42" t="s">
        <v>242</v>
      </c>
      <c r="P39" s="42" t="s">
        <v>29</v>
      </c>
    </row>
    <row r="40" spans="1:16" ht="50.1" customHeight="1" x14ac:dyDescent="0.25">
      <c r="A40" s="46" t="s">
        <v>528</v>
      </c>
      <c r="B40" s="42" t="s">
        <v>118</v>
      </c>
      <c r="C40" s="46"/>
      <c r="D40" s="46" t="s">
        <v>529</v>
      </c>
      <c r="E40" s="46"/>
      <c r="F40" s="46" t="s">
        <v>530</v>
      </c>
      <c r="G40" s="46" t="s">
        <v>531</v>
      </c>
      <c r="H40" s="42" t="s">
        <v>532</v>
      </c>
      <c r="I40" s="42" t="s">
        <v>533</v>
      </c>
      <c r="J40" s="42" t="s">
        <v>534</v>
      </c>
      <c r="K40" s="46" t="s">
        <v>535</v>
      </c>
      <c r="L40" s="37" t="s">
        <v>536</v>
      </c>
      <c r="M40" s="37" t="s">
        <v>537</v>
      </c>
      <c r="N40" s="42" t="s">
        <v>350</v>
      </c>
      <c r="O40" s="42" t="s">
        <v>242</v>
      </c>
      <c r="P40" s="42" t="s">
        <v>29</v>
      </c>
    </row>
    <row r="41" spans="1:16" ht="50.1" customHeight="1" x14ac:dyDescent="0.25">
      <c r="A41" s="46" t="s">
        <v>538</v>
      </c>
      <c r="B41" s="42" t="s">
        <v>118</v>
      </c>
      <c r="C41" s="46"/>
      <c r="D41" s="46" t="s">
        <v>159</v>
      </c>
      <c r="E41" s="46"/>
      <c r="F41" s="35" t="s">
        <v>539</v>
      </c>
      <c r="G41" s="46" t="s">
        <v>540</v>
      </c>
      <c r="H41" s="42" t="s">
        <v>541</v>
      </c>
      <c r="I41" s="42" t="s">
        <v>542</v>
      </c>
      <c r="J41" s="42" t="s">
        <v>543</v>
      </c>
      <c r="K41" s="46" t="s">
        <v>544</v>
      </c>
      <c r="L41" s="37" t="s">
        <v>545</v>
      </c>
      <c r="M41" s="37"/>
      <c r="N41" s="42" t="s">
        <v>241</v>
      </c>
      <c r="O41" s="42" t="s">
        <v>242</v>
      </c>
      <c r="P41" s="42" t="s">
        <v>29</v>
      </c>
    </row>
    <row r="42" spans="1:16" ht="50.1" customHeight="1" x14ac:dyDescent="0.25">
      <c r="A42" s="46" t="s">
        <v>546</v>
      </c>
      <c r="B42" s="42" t="s">
        <v>118</v>
      </c>
      <c r="C42" s="46"/>
      <c r="D42" s="46" t="s">
        <v>547</v>
      </c>
      <c r="E42" s="35" t="s">
        <v>548</v>
      </c>
      <c r="F42" s="46" t="s">
        <v>549</v>
      </c>
      <c r="G42" s="46" t="s">
        <v>550</v>
      </c>
      <c r="H42" s="42" t="s">
        <v>551</v>
      </c>
      <c r="I42" s="42"/>
      <c r="J42" s="42" t="s">
        <v>552</v>
      </c>
      <c r="K42" s="46" t="s">
        <v>553</v>
      </c>
      <c r="L42" s="37" t="s">
        <v>554</v>
      </c>
      <c r="M42" s="37" t="s">
        <v>555</v>
      </c>
      <c r="N42" s="42" t="s">
        <v>241</v>
      </c>
      <c r="O42" s="42" t="s">
        <v>242</v>
      </c>
      <c r="P42" s="42" t="s">
        <v>29</v>
      </c>
    </row>
    <row r="43" spans="1:16" ht="50.1" customHeight="1" x14ac:dyDescent="0.25">
      <c r="A43" s="46" t="s">
        <v>556</v>
      </c>
      <c r="B43" s="42" t="s">
        <v>118</v>
      </c>
      <c r="C43" s="46"/>
      <c r="D43" s="46" t="s">
        <v>557</v>
      </c>
      <c r="E43" s="46"/>
      <c r="F43" s="46" t="s">
        <v>558</v>
      </c>
      <c r="G43" s="46" t="s">
        <v>1652</v>
      </c>
      <c r="H43" s="42" t="s">
        <v>559</v>
      </c>
      <c r="I43" s="42"/>
      <c r="J43" s="42"/>
      <c r="K43" s="46"/>
      <c r="L43" s="37" t="s">
        <v>560</v>
      </c>
      <c r="M43" s="37"/>
      <c r="N43" s="42" t="s">
        <v>241</v>
      </c>
      <c r="O43" s="42" t="s">
        <v>242</v>
      </c>
      <c r="P43" s="42" t="s">
        <v>29</v>
      </c>
    </row>
    <row r="44" spans="1:16" ht="50.1" customHeight="1" x14ac:dyDescent="0.25">
      <c r="A44" s="46" t="s">
        <v>561</v>
      </c>
      <c r="B44" s="42" t="s">
        <v>118</v>
      </c>
      <c r="C44" s="46"/>
      <c r="D44" s="46" t="s">
        <v>562</v>
      </c>
      <c r="E44" s="46"/>
      <c r="F44" s="46" t="s">
        <v>558</v>
      </c>
      <c r="G44" s="46" t="s">
        <v>563</v>
      </c>
      <c r="H44" s="42" t="s">
        <v>564</v>
      </c>
      <c r="I44" s="42" t="s">
        <v>565</v>
      </c>
      <c r="J44" s="42" t="s">
        <v>566</v>
      </c>
      <c r="K44" s="46" t="s">
        <v>567</v>
      </c>
      <c r="L44" s="37" t="s">
        <v>568</v>
      </c>
      <c r="M44" s="37" t="s">
        <v>569</v>
      </c>
      <c r="N44" s="42" t="s">
        <v>241</v>
      </c>
      <c r="O44" s="42" t="s">
        <v>242</v>
      </c>
      <c r="P44" s="42" t="s">
        <v>29</v>
      </c>
    </row>
    <row r="45" spans="1:16" ht="50.1" customHeight="1" x14ac:dyDescent="0.25">
      <c r="A45" s="46" t="s">
        <v>570</v>
      </c>
      <c r="B45" s="42" t="s">
        <v>118</v>
      </c>
      <c r="C45" s="46"/>
      <c r="D45" s="46" t="s">
        <v>571</v>
      </c>
      <c r="E45" s="46"/>
      <c r="F45" s="35" t="s">
        <v>572</v>
      </c>
      <c r="G45" s="46" t="s">
        <v>1653</v>
      </c>
      <c r="H45" s="42" t="s">
        <v>573</v>
      </c>
      <c r="I45" s="42" t="s">
        <v>574</v>
      </c>
      <c r="J45" s="42" t="s">
        <v>575</v>
      </c>
      <c r="K45" s="46" t="s">
        <v>576</v>
      </c>
      <c r="L45" s="37" t="s">
        <v>577</v>
      </c>
      <c r="M45" s="37" t="s">
        <v>578</v>
      </c>
      <c r="N45" s="42" t="s">
        <v>241</v>
      </c>
      <c r="O45" s="42" t="s">
        <v>242</v>
      </c>
      <c r="P45" s="42" t="s">
        <v>29</v>
      </c>
    </row>
    <row r="46" spans="1:16" ht="50.1" customHeight="1" x14ac:dyDescent="0.25">
      <c r="A46" s="46" t="s">
        <v>579</v>
      </c>
      <c r="B46" s="42" t="s">
        <v>118</v>
      </c>
      <c r="C46" s="46"/>
      <c r="D46" s="46" t="s">
        <v>580</v>
      </c>
      <c r="E46" s="46"/>
      <c r="F46" s="35" t="s">
        <v>581</v>
      </c>
      <c r="G46" s="46" t="s">
        <v>1654</v>
      </c>
      <c r="H46" s="42" t="s">
        <v>582</v>
      </c>
      <c r="I46" s="42"/>
      <c r="J46" s="42" t="s">
        <v>583</v>
      </c>
      <c r="K46" s="46" t="s">
        <v>584</v>
      </c>
      <c r="L46" s="37" t="s">
        <v>585</v>
      </c>
      <c r="M46" s="37" t="s">
        <v>586</v>
      </c>
      <c r="N46" s="42" t="s">
        <v>241</v>
      </c>
      <c r="O46" s="42" t="s">
        <v>242</v>
      </c>
      <c r="P46" s="42" t="s">
        <v>29</v>
      </c>
    </row>
    <row r="47" spans="1:16" ht="50.1" customHeight="1" x14ac:dyDescent="0.25">
      <c r="A47" s="46" t="s">
        <v>587</v>
      </c>
      <c r="B47" s="42" t="s">
        <v>118</v>
      </c>
      <c r="C47" s="46"/>
      <c r="D47" s="46" t="s">
        <v>588</v>
      </c>
      <c r="E47" s="46"/>
      <c r="F47" s="46" t="s">
        <v>558</v>
      </c>
      <c r="G47" s="46" t="s">
        <v>1655</v>
      </c>
      <c r="H47" s="42" t="s">
        <v>589</v>
      </c>
      <c r="I47" s="42" t="s">
        <v>590</v>
      </c>
      <c r="J47" s="42" t="s">
        <v>591</v>
      </c>
      <c r="K47" s="46" t="s">
        <v>592</v>
      </c>
      <c r="L47" s="37" t="s">
        <v>593</v>
      </c>
      <c r="M47" s="37"/>
      <c r="N47" s="42" t="s">
        <v>241</v>
      </c>
      <c r="O47" s="42" t="s">
        <v>242</v>
      </c>
      <c r="P47" s="42" t="s">
        <v>29</v>
      </c>
    </row>
    <row r="48" spans="1:16" ht="50.1" customHeight="1" x14ac:dyDescent="0.25">
      <c r="A48" s="46" t="s">
        <v>594</v>
      </c>
      <c r="B48" s="42" t="s">
        <v>118</v>
      </c>
      <c r="C48" s="46"/>
      <c r="D48" s="46" t="s">
        <v>595</v>
      </c>
      <c r="E48" s="46"/>
      <c r="F48" s="35" t="s">
        <v>596</v>
      </c>
      <c r="G48" s="46"/>
      <c r="H48" s="42" t="s">
        <v>597</v>
      </c>
      <c r="I48" s="42" t="s">
        <v>598</v>
      </c>
      <c r="J48" s="42" t="s">
        <v>599</v>
      </c>
      <c r="K48" s="46" t="s">
        <v>600</v>
      </c>
      <c r="L48" s="37" t="s">
        <v>601</v>
      </c>
      <c r="M48" s="37"/>
      <c r="N48" s="42" t="s">
        <v>241</v>
      </c>
      <c r="O48" s="42" t="s">
        <v>242</v>
      </c>
      <c r="P48" s="42" t="s">
        <v>29</v>
      </c>
    </row>
    <row r="49" spans="1:16" ht="50.1" customHeight="1" x14ac:dyDescent="0.25">
      <c r="A49" s="46" t="s">
        <v>602</v>
      </c>
      <c r="B49" s="42" t="s">
        <v>118</v>
      </c>
      <c r="C49" s="46"/>
      <c r="D49" s="46" t="s">
        <v>603</v>
      </c>
      <c r="E49" s="46"/>
      <c r="F49" s="46" t="s">
        <v>604</v>
      </c>
      <c r="G49" s="46" t="s">
        <v>1656</v>
      </c>
      <c r="H49" s="42" t="s">
        <v>605</v>
      </c>
      <c r="I49" s="42" t="s">
        <v>606</v>
      </c>
      <c r="J49" s="42" t="s">
        <v>607</v>
      </c>
      <c r="K49" s="46" t="s">
        <v>608</v>
      </c>
      <c r="L49" s="37" t="s">
        <v>609</v>
      </c>
      <c r="M49" s="37" t="s">
        <v>610</v>
      </c>
      <c r="N49" s="42" t="s">
        <v>241</v>
      </c>
      <c r="O49" s="42" t="s">
        <v>242</v>
      </c>
      <c r="P49" s="42" t="s">
        <v>29</v>
      </c>
    </row>
    <row r="50" spans="1:16" ht="50.1" customHeight="1" x14ac:dyDescent="0.25">
      <c r="A50" s="46" t="s">
        <v>611</v>
      </c>
      <c r="B50" s="42" t="s">
        <v>118</v>
      </c>
      <c r="C50" s="46"/>
      <c r="D50" s="46" t="s">
        <v>198</v>
      </c>
      <c r="E50" s="35" t="s">
        <v>612</v>
      </c>
      <c r="F50" s="35" t="s">
        <v>613</v>
      </c>
      <c r="G50" s="46" t="s">
        <v>1657</v>
      </c>
      <c r="H50" s="42" t="s">
        <v>614</v>
      </c>
      <c r="I50" s="42"/>
      <c r="J50" s="42" t="s">
        <v>615</v>
      </c>
      <c r="K50" s="46"/>
      <c r="L50" s="37" t="s">
        <v>616</v>
      </c>
      <c r="M50" s="37"/>
      <c r="N50" s="42" t="s">
        <v>241</v>
      </c>
      <c r="O50" s="42" t="s">
        <v>242</v>
      </c>
      <c r="P50" s="42" t="s">
        <v>29</v>
      </c>
    </row>
    <row r="51" spans="1:16" ht="50.1" customHeight="1" x14ac:dyDescent="0.25">
      <c r="A51" s="46" t="s">
        <v>617</v>
      </c>
      <c r="B51" s="42" t="s">
        <v>118</v>
      </c>
      <c r="C51" s="46"/>
      <c r="D51" s="46" t="s">
        <v>618</v>
      </c>
      <c r="E51" s="46"/>
      <c r="F51" s="35" t="s">
        <v>619</v>
      </c>
      <c r="G51" s="46" t="s">
        <v>1658</v>
      </c>
      <c r="H51" s="42" t="s">
        <v>620</v>
      </c>
      <c r="I51" s="42" t="s">
        <v>621</v>
      </c>
      <c r="J51" s="42" t="s">
        <v>622</v>
      </c>
      <c r="K51" s="46" t="s">
        <v>623</v>
      </c>
      <c r="L51" s="37" t="s">
        <v>624</v>
      </c>
      <c r="M51" s="37"/>
      <c r="N51" s="42" t="s">
        <v>241</v>
      </c>
      <c r="O51" s="42" t="s">
        <v>242</v>
      </c>
      <c r="P51" s="42" t="s">
        <v>29</v>
      </c>
    </row>
    <row r="52" spans="1:16" ht="50.1" customHeight="1" x14ac:dyDescent="0.25">
      <c r="A52" s="46" t="s">
        <v>625</v>
      </c>
      <c r="B52" s="42" t="s">
        <v>118</v>
      </c>
      <c r="C52" s="46"/>
      <c r="D52" s="46" t="s">
        <v>1659</v>
      </c>
      <c r="E52" s="46" t="s">
        <v>626</v>
      </c>
      <c r="F52" s="35" t="s">
        <v>627</v>
      </c>
      <c r="G52" s="46" t="s">
        <v>1660</v>
      </c>
      <c r="H52" s="42" t="s">
        <v>628</v>
      </c>
      <c r="I52" s="42" t="s">
        <v>629</v>
      </c>
      <c r="J52" s="42" t="s">
        <v>630</v>
      </c>
      <c r="K52" s="46" t="s">
        <v>631</v>
      </c>
      <c r="L52" s="37" t="s">
        <v>632</v>
      </c>
      <c r="M52" s="37"/>
      <c r="N52" s="42" t="s">
        <v>350</v>
      </c>
      <c r="O52" s="42" t="s">
        <v>242</v>
      </c>
      <c r="P52" s="42" t="s">
        <v>29</v>
      </c>
    </row>
    <row r="53" spans="1:16" ht="50.1" customHeight="1" x14ac:dyDescent="0.25">
      <c r="A53" s="46" t="s">
        <v>633</v>
      </c>
      <c r="B53" s="42" t="s">
        <v>118</v>
      </c>
      <c r="C53" s="46"/>
      <c r="D53" s="46" t="s">
        <v>634</v>
      </c>
      <c r="E53" s="46"/>
      <c r="F53" s="46" t="s">
        <v>635</v>
      </c>
      <c r="G53" s="46" t="s">
        <v>1661</v>
      </c>
      <c r="H53" s="42" t="s">
        <v>636</v>
      </c>
      <c r="I53" s="42" t="s">
        <v>637</v>
      </c>
      <c r="J53" s="42" t="s">
        <v>638</v>
      </c>
      <c r="K53" s="46" t="s">
        <v>639</v>
      </c>
      <c r="L53" s="37" t="s">
        <v>640</v>
      </c>
      <c r="M53" s="37"/>
      <c r="N53" s="42" t="s">
        <v>241</v>
      </c>
      <c r="O53" s="42" t="s">
        <v>242</v>
      </c>
      <c r="P53" s="42" t="s">
        <v>29</v>
      </c>
    </row>
    <row r="54" spans="1:16" ht="50.1" customHeight="1" x14ac:dyDescent="0.25">
      <c r="A54" s="46" t="s">
        <v>641</v>
      </c>
      <c r="B54" s="42" t="s">
        <v>118</v>
      </c>
      <c r="C54" s="46"/>
      <c r="D54" s="46" t="s">
        <v>642</v>
      </c>
      <c r="E54" s="46"/>
      <c r="F54" s="35" t="s">
        <v>619</v>
      </c>
      <c r="G54" s="46" t="s">
        <v>1662</v>
      </c>
      <c r="H54" s="42" t="s">
        <v>643</v>
      </c>
      <c r="I54" s="42" t="s">
        <v>644</v>
      </c>
      <c r="J54" s="42" t="s">
        <v>645</v>
      </c>
      <c r="K54" s="46" t="s">
        <v>646</v>
      </c>
      <c r="L54" s="37" t="s">
        <v>647</v>
      </c>
      <c r="M54" s="37"/>
      <c r="N54" s="42" t="s">
        <v>241</v>
      </c>
      <c r="O54" s="42" t="s">
        <v>242</v>
      </c>
      <c r="P54" s="42" t="s">
        <v>29</v>
      </c>
    </row>
    <row r="55" spans="1:16" ht="50.1" customHeight="1" x14ac:dyDescent="0.25">
      <c r="A55" s="46" t="s">
        <v>648</v>
      </c>
      <c r="B55" s="42" t="s">
        <v>118</v>
      </c>
      <c r="C55" s="46"/>
      <c r="D55" s="46" t="s">
        <v>649</v>
      </c>
      <c r="E55" s="35" t="s">
        <v>650</v>
      </c>
      <c r="F55" s="46" t="s">
        <v>651</v>
      </c>
      <c r="G55" s="46"/>
      <c r="H55" s="42" t="s">
        <v>652</v>
      </c>
      <c r="I55" s="42"/>
      <c r="J55" s="42" t="s">
        <v>653</v>
      </c>
      <c r="K55" s="46" t="s">
        <v>654</v>
      </c>
      <c r="L55" s="37" t="s">
        <v>655</v>
      </c>
      <c r="M55" s="37" t="s">
        <v>656</v>
      </c>
      <c r="N55" s="42" t="s">
        <v>241</v>
      </c>
      <c r="O55" s="42" t="s">
        <v>242</v>
      </c>
      <c r="P55" s="42" t="s">
        <v>29</v>
      </c>
    </row>
    <row r="56" spans="1:16" ht="50.1" customHeight="1" x14ac:dyDescent="0.25">
      <c r="A56" s="46" t="s">
        <v>657</v>
      </c>
      <c r="B56" s="42" t="s">
        <v>118</v>
      </c>
      <c r="C56" s="46"/>
      <c r="D56" s="46" t="s">
        <v>658</v>
      </c>
      <c r="E56" s="46"/>
      <c r="F56" s="46" t="s">
        <v>659</v>
      </c>
      <c r="G56" s="46" t="s">
        <v>1663</v>
      </c>
      <c r="H56" s="42" t="s">
        <v>660</v>
      </c>
      <c r="I56" s="42" t="s">
        <v>661</v>
      </c>
      <c r="J56" s="42" t="s">
        <v>660</v>
      </c>
      <c r="K56" s="46" t="s">
        <v>662</v>
      </c>
      <c r="L56" s="37" t="s">
        <v>663</v>
      </c>
      <c r="M56" s="37"/>
      <c r="N56" s="42" t="s">
        <v>241</v>
      </c>
      <c r="O56" s="42" t="s">
        <v>242</v>
      </c>
      <c r="P56" s="42" t="s">
        <v>29</v>
      </c>
    </row>
    <row r="57" spans="1:16" ht="50.1" customHeight="1" x14ac:dyDescent="0.25">
      <c r="A57" s="46" t="s">
        <v>664</v>
      </c>
      <c r="B57" s="42" t="s">
        <v>118</v>
      </c>
      <c r="C57" s="46"/>
      <c r="D57" s="46" t="s">
        <v>665</v>
      </c>
      <c r="E57" s="46"/>
      <c r="F57" s="46" t="s">
        <v>666</v>
      </c>
      <c r="G57" s="46" t="s">
        <v>1664</v>
      </c>
      <c r="H57" s="42" t="s">
        <v>667</v>
      </c>
      <c r="I57" s="42" t="s">
        <v>668</v>
      </c>
      <c r="J57" s="42" t="s">
        <v>669</v>
      </c>
      <c r="K57" s="46" t="s">
        <v>670</v>
      </c>
      <c r="L57" s="37" t="s">
        <v>671</v>
      </c>
      <c r="M57" s="37"/>
      <c r="N57" s="42" t="s">
        <v>241</v>
      </c>
      <c r="O57" s="42" t="s">
        <v>242</v>
      </c>
      <c r="P57" s="42" t="s">
        <v>29</v>
      </c>
    </row>
    <row r="58" spans="1:16" ht="50.1" customHeight="1" x14ac:dyDescent="0.25">
      <c r="A58" s="46" t="s">
        <v>672</v>
      </c>
      <c r="B58" s="42" t="s">
        <v>118</v>
      </c>
      <c r="C58" s="46"/>
      <c r="D58" s="46" t="s">
        <v>673</v>
      </c>
      <c r="E58" s="46"/>
      <c r="F58" s="46" t="s">
        <v>674</v>
      </c>
      <c r="G58" s="46" t="s">
        <v>1665</v>
      </c>
      <c r="H58" s="42" t="s">
        <v>675</v>
      </c>
      <c r="I58" s="42" t="s">
        <v>676</v>
      </c>
      <c r="J58" s="42" t="s">
        <v>677</v>
      </c>
      <c r="K58" s="46" t="s">
        <v>678</v>
      </c>
      <c r="L58" s="37" t="s">
        <v>679</v>
      </c>
      <c r="M58" s="37" t="s">
        <v>680</v>
      </c>
      <c r="N58" s="42" t="s">
        <v>241</v>
      </c>
      <c r="O58" s="42" t="s">
        <v>242</v>
      </c>
      <c r="P58" s="42" t="s">
        <v>29</v>
      </c>
    </row>
    <row r="59" spans="1:16" ht="50.1" customHeight="1" x14ac:dyDescent="0.25">
      <c r="A59" s="46" t="s">
        <v>681</v>
      </c>
      <c r="B59" s="42" t="s">
        <v>118</v>
      </c>
      <c r="C59" s="46"/>
      <c r="D59" s="46" t="s">
        <v>682</v>
      </c>
      <c r="E59" s="46"/>
      <c r="F59" s="46" t="s">
        <v>683</v>
      </c>
      <c r="G59" s="46" t="s">
        <v>402</v>
      </c>
      <c r="H59" s="42" t="s">
        <v>684</v>
      </c>
      <c r="I59" s="42" t="s">
        <v>685</v>
      </c>
      <c r="J59" s="42" t="s">
        <v>686</v>
      </c>
      <c r="K59" s="46" t="s">
        <v>687</v>
      </c>
      <c r="L59" s="37" t="s">
        <v>688</v>
      </c>
      <c r="M59" s="37" t="s">
        <v>689</v>
      </c>
      <c r="N59" s="42" t="s">
        <v>350</v>
      </c>
      <c r="O59" s="42" t="s">
        <v>242</v>
      </c>
      <c r="P59" s="42" t="s">
        <v>29</v>
      </c>
    </row>
    <row r="60" spans="1:16" ht="50.1" customHeight="1" x14ac:dyDescent="0.25">
      <c r="A60" s="46" t="s">
        <v>690</v>
      </c>
      <c r="B60" s="42" t="s">
        <v>118</v>
      </c>
      <c r="C60" s="46"/>
      <c r="D60" s="46" t="s">
        <v>691</v>
      </c>
      <c r="E60" s="46"/>
      <c r="F60" s="46" t="s">
        <v>692</v>
      </c>
      <c r="G60" s="46" t="s">
        <v>1666</v>
      </c>
      <c r="H60" s="42" t="s">
        <v>693</v>
      </c>
      <c r="I60" s="42" t="s">
        <v>694</v>
      </c>
      <c r="J60" s="42" t="s">
        <v>695</v>
      </c>
      <c r="K60" s="46" t="s">
        <v>696</v>
      </c>
      <c r="L60" s="57" t="s">
        <v>697</v>
      </c>
      <c r="M60" s="37"/>
      <c r="N60" s="42" t="s">
        <v>241</v>
      </c>
      <c r="O60" s="42" t="s">
        <v>242</v>
      </c>
      <c r="P60" s="42" t="s">
        <v>29</v>
      </c>
    </row>
    <row r="61" spans="1:16" ht="50.1" customHeight="1" x14ac:dyDescent="0.25">
      <c r="A61" s="46" t="s">
        <v>698</v>
      </c>
      <c r="B61" s="42" t="s">
        <v>118</v>
      </c>
      <c r="C61" s="46"/>
      <c r="D61" s="46" t="s">
        <v>699</v>
      </c>
      <c r="E61" s="46"/>
      <c r="F61" s="35" t="s">
        <v>700</v>
      </c>
      <c r="G61" s="46" t="s">
        <v>1667</v>
      </c>
      <c r="H61" s="42" t="s">
        <v>701</v>
      </c>
      <c r="I61" s="42" t="s">
        <v>1668</v>
      </c>
      <c r="J61" s="42" t="s">
        <v>702</v>
      </c>
      <c r="K61" s="46" t="s">
        <v>703</v>
      </c>
      <c r="L61" s="37" t="s">
        <v>1669</v>
      </c>
      <c r="M61" s="37" t="s">
        <v>704</v>
      </c>
      <c r="N61" s="42" t="s">
        <v>241</v>
      </c>
      <c r="O61" s="42" t="s">
        <v>242</v>
      </c>
      <c r="P61" s="42" t="s">
        <v>29</v>
      </c>
    </row>
    <row r="62" spans="1:16" ht="50.1" customHeight="1" x14ac:dyDescent="0.25">
      <c r="A62" s="46" t="s">
        <v>705</v>
      </c>
      <c r="B62" s="42" t="s">
        <v>118</v>
      </c>
      <c r="C62" s="46"/>
      <c r="D62" s="46" t="s">
        <v>706</v>
      </c>
      <c r="E62" s="46"/>
      <c r="F62" s="46" t="s">
        <v>707</v>
      </c>
      <c r="G62" s="46" t="s">
        <v>1670</v>
      </c>
      <c r="H62" s="42" t="s">
        <v>708</v>
      </c>
      <c r="I62" s="42" t="s">
        <v>1671</v>
      </c>
      <c r="J62" s="42" t="s">
        <v>709</v>
      </c>
      <c r="K62" s="46" t="s">
        <v>710</v>
      </c>
      <c r="L62" s="58" t="s">
        <v>1672</v>
      </c>
      <c r="M62" s="37" t="s">
        <v>711</v>
      </c>
      <c r="N62" s="42" t="s">
        <v>350</v>
      </c>
      <c r="O62" s="42" t="s">
        <v>242</v>
      </c>
      <c r="P62" s="42" t="s">
        <v>29</v>
      </c>
    </row>
    <row r="63" spans="1:16" ht="50.1" customHeight="1" x14ac:dyDescent="0.25">
      <c r="A63" s="46" t="s">
        <v>712</v>
      </c>
      <c r="B63" s="42" t="s">
        <v>118</v>
      </c>
      <c r="C63" s="46"/>
      <c r="D63" s="46" t="s">
        <v>713</v>
      </c>
      <c r="E63" s="46"/>
      <c r="F63" s="46" t="s">
        <v>707</v>
      </c>
      <c r="G63" s="46" t="s">
        <v>1673</v>
      </c>
      <c r="H63" s="42" t="s">
        <v>714</v>
      </c>
      <c r="I63" s="42" t="s">
        <v>715</v>
      </c>
      <c r="J63" s="42" t="s">
        <v>716</v>
      </c>
      <c r="K63" s="46" t="s">
        <v>717</v>
      </c>
      <c r="L63" s="37" t="s">
        <v>718</v>
      </c>
      <c r="M63" s="37" t="s">
        <v>719</v>
      </c>
      <c r="N63" s="42" t="s">
        <v>241</v>
      </c>
      <c r="O63" s="42" t="s">
        <v>242</v>
      </c>
      <c r="P63" s="42" t="s">
        <v>29</v>
      </c>
    </row>
    <row r="64" spans="1:16" ht="50.1" customHeight="1" x14ac:dyDescent="0.25">
      <c r="A64" s="46" t="s">
        <v>720</v>
      </c>
      <c r="B64" s="42" t="s">
        <v>118</v>
      </c>
      <c r="C64" s="46"/>
      <c r="D64" s="46" t="s">
        <v>721</v>
      </c>
      <c r="E64" s="35" t="s">
        <v>722</v>
      </c>
      <c r="F64" s="46" t="s">
        <v>723</v>
      </c>
      <c r="G64" s="46" t="s">
        <v>1674</v>
      </c>
      <c r="H64" s="42" t="s">
        <v>724</v>
      </c>
      <c r="I64" s="42" t="s">
        <v>725</v>
      </c>
      <c r="J64" s="42" t="s">
        <v>726</v>
      </c>
      <c r="K64" s="46" t="s">
        <v>727</v>
      </c>
      <c r="L64" s="37" t="s">
        <v>728</v>
      </c>
      <c r="M64" s="37" t="s">
        <v>729</v>
      </c>
      <c r="N64" s="42" t="s">
        <v>241</v>
      </c>
      <c r="O64" s="42" t="s">
        <v>242</v>
      </c>
      <c r="P64" s="42" t="s">
        <v>29</v>
      </c>
    </row>
    <row r="65" spans="1:16" ht="50.1" customHeight="1" x14ac:dyDescent="0.25">
      <c r="A65" s="46" t="s">
        <v>730</v>
      </c>
      <c r="B65" s="42" t="s">
        <v>118</v>
      </c>
      <c r="C65" s="46"/>
      <c r="D65" s="46" t="s">
        <v>731</v>
      </c>
      <c r="E65" s="35"/>
      <c r="F65" s="35" t="s">
        <v>732</v>
      </c>
      <c r="G65" s="46" t="s">
        <v>733</v>
      </c>
      <c r="H65" s="42" t="s">
        <v>734</v>
      </c>
      <c r="I65" s="42" t="s">
        <v>735</v>
      </c>
      <c r="J65" s="42" t="s">
        <v>736</v>
      </c>
      <c r="K65" s="46" t="s">
        <v>737</v>
      </c>
      <c r="L65" s="57" t="s">
        <v>738</v>
      </c>
      <c r="M65" s="37"/>
      <c r="N65" s="42" t="s">
        <v>241</v>
      </c>
      <c r="O65" s="42" t="s">
        <v>242</v>
      </c>
      <c r="P65" s="42" t="s">
        <v>29</v>
      </c>
    </row>
    <row r="66" spans="1:16" ht="50.1" customHeight="1" x14ac:dyDescent="0.25">
      <c r="A66" s="46" t="s">
        <v>739</v>
      </c>
      <c r="B66" s="42" t="s">
        <v>118</v>
      </c>
      <c r="C66" s="46"/>
      <c r="D66" s="46" t="s">
        <v>740</v>
      </c>
      <c r="E66" s="46"/>
      <c r="F66" s="46" t="s">
        <v>741</v>
      </c>
      <c r="G66" s="46" t="s">
        <v>742</v>
      </c>
      <c r="H66" s="42" t="s">
        <v>743</v>
      </c>
      <c r="I66" s="42" t="s">
        <v>744</v>
      </c>
      <c r="J66" s="42" t="s">
        <v>745</v>
      </c>
      <c r="K66" s="46" t="s">
        <v>746</v>
      </c>
      <c r="L66" s="37" t="s">
        <v>747</v>
      </c>
      <c r="M66" s="37" t="s">
        <v>748</v>
      </c>
      <c r="N66" s="42" t="s">
        <v>350</v>
      </c>
      <c r="O66" s="42" t="s">
        <v>242</v>
      </c>
      <c r="P66" s="42" t="s">
        <v>29</v>
      </c>
    </row>
    <row r="67" spans="1:16" ht="50.1" customHeight="1" x14ac:dyDescent="0.25">
      <c r="A67" s="46" t="s">
        <v>749</v>
      </c>
      <c r="B67" s="42" t="s">
        <v>118</v>
      </c>
      <c r="C67" s="46"/>
      <c r="D67" s="46" t="s">
        <v>750</v>
      </c>
      <c r="E67" s="46"/>
      <c r="F67" s="46" t="s">
        <v>751</v>
      </c>
      <c r="G67" s="35" t="s">
        <v>1675</v>
      </c>
      <c r="H67" s="42" t="s">
        <v>752</v>
      </c>
      <c r="I67" s="42" t="s">
        <v>753</v>
      </c>
      <c r="J67" s="42" t="s">
        <v>754</v>
      </c>
      <c r="K67" s="46" t="s">
        <v>755</v>
      </c>
      <c r="L67" s="37" t="s">
        <v>756</v>
      </c>
      <c r="M67" s="37"/>
      <c r="N67" s="42" t="s">
        <v>241</v>
      </c>
      <c r="O67" s="42" t="s">
        <v>242</v>
      </c>
      <c r="P67" s="42" t="s">
        <v>29</v>
      </c>
    </row>
    <row r="68" spans="1:16" ht="50.1" customHeight="1" x14ac:dyDescent="0.25">
      <c r="A68" s="46" t="s">
        <v>757</v>
      </c>
      <c r="B68" s="42" t="s">
        <v>118</v>
      </c>
      <c r="C68" s="46"/>
      <c r="D68" s="46" t="s">
        <v>758</v>
      </c>
      <c r="E68" s="46"/>
      <c r="F68" s="46" t="s">
        <v>751</v>
      </c>
      <c r="G68" s="46" t="s">
        <v>759</v>
      </c>
      <c r="H68" s="42" t="s">
        <v>760</v>
      </c>
      <c r="I68" s="42" t="s">
        <v>761</v>
      </c>
      <c r="J68" s="42" t="s">
        <v>762</v>
      </c>
      <c r="K68" s="46" t="s">
        <v>763</v>
      </c>
      <c r="L68" s="37"/>
      <c r="M68" s="37"/>
      <c r="N68" s="42"/>
      <c r="O68" s="42" t="s">
        <v>242</v>
      </c>
      <c r="P68" s="42" t="s">
        <v>29</v>
      </c>
    </row>
    <row r="69" spans="1:16" ht="50.1" customHeight="1" x14ac:dyDescent="0.25">
      <c r="A69" s="46" t="s">
        <v>764</v>
      </c>
      <c r="B69" s="42" t="s">
        <v>118</v>
      </c>
      <c r="C69" s="46"/>
      <c r="D69" s="46" t="s">
        <v>765</v>
      </c>
      <c r="E69" s="46"/>
      <c r="F69" s="46" t="s">
        <v>766</v>
      </c>
      <c r="G69" s="46" t="s">
        <v>767</v>
      </c>
      <c r="H69" s="42" t="s">
        <v>768</v>
      </c>
      <c r="I69" s="42" t="s">
        <v>769</v>
      </c>
      <c r="J69" s="42" t="s">
        <v>770</v>
      </c>
      <c r="K69" s="46" t="s">
        <v>771</v>
      </c>
      <c r="L69" s="37" t="s">
        <v>772</v>
      </c>
      <c r="M69" s="37"/>
      <c r="N69" s="42" t="s">
        <v>476</v>
      </c>
      <c r="O69" s="42" t="s">
        <v>242</v>
      </c>
      <c r="P69" s="42" t="s">
        <v>29</v>
      </c>
    </row>
    <row r="70" spans="1:16" ht="63.75" customHeight="1" x14ac:dyDescent="0.25">
      <c r="A70" s="46" t="s">
        <v>773</v>
      </c>
      <c r="B70" s="42" t="s">
        <v>118</v>
      </c>
      <c r="C70" s="46"/>
      <c r="D70" s="46" t="s">
        <v>774</v>
      </c>
      <c r="E70" s="35" t="s">
        <v>775</v>
      </c>
      <c r="F70" s="35" t="s">
        <v>776</v>
      </c>
      <c r="G70" s="46" t="s">
        <v>777</v>
      </c>
      <c r="H70" s="42" t="s">
        <v>778</v>
      </c>
      <c r="I70" s="42" t="s">
        <v>779</v>
      </c>
      <c r="J70" s="42" t="s">
        <v>780</v>
      </c>
      <c r="K70" s="35" t="s">
        <v>781</v>
      </c>
      <c r="L70" s="37" t="s">
        <v>782</v>
      </c>
      <c r="M70" s="37"/>
      <c r="N70" s="42" t="s">
        <v>241</v>
      </c>
      <c r="O70" s="42" t="s">
        <v>242</v>
      </c>
      <c r="P70" s="42" t="s">
        <v>29</v>
      </c>
    </row>
    <row r="71" spans="1:16" ht="50.1" customHeight="1" x14ac:dyDescent="0.25">
      <c r="A71" s="46" t="s">
        <v>783</v>
      </c>
      <c r="B71" s="42" t="s">
        <v>118</v>
      </c>
      <c r="C71" s="46"/>
      <c r="D71" s="46" t="s">
        <v>784</v>
      </c>
      <c r="E71" s="46"/>
      <c r="F71" s="35" t="s">
        <v>785</v>
      </c>
      <c r="G71" s="46" t="s">
        <v>786</v>
      </c>
      <c r="H71" s="42" t="s">
        <v>787</v>
      </c>
      <c r="I71" s="42" t="s">
        <v>788</v>
      </c>
      <c r="J71" s="42" t="s">
        <v>789</v>
      </c>
      <c r="K71" s="46" t="s">
        <v>790</v>
      </c>
      <c r="L71" s="37" t="s">
        <v>791</v>
      </c>
      <c r="M71" s="37"/>
      <c r="N71" s="42" t="s">
        <v>350</v>
      </c>
      <c r="O71" s="42" t="s">
        <v>242</v>
      </c>
      <c r="P71" s="42" t="s">
        <v>29</v>
      </c>
    </row>
    <row r="72" spans="1:16" ht="50.1" customHeight="1" x14ac:dyDescent="0.25">
      <c r="A72" s="46" t="s">
        <v>792</v>
      </c>
      <c r="B72" s="42" t="s">
        <v>118</v>
      </c>
      <c r="C72" s="46"/>
      <c r="D72" s="46" t="s">
        <v>793</v>
      </c>
      <c r="E72" s="35" t="s">
        <v>794</v>
      </c>
      <c r="F72" s="35" t="s">
        <v>795</v>
      </c>
      <c r="G72" s="46" t="s">
        <v>796</v>
      </c>
      <c r="H72" s="42" t="s">
        <v>797</v>
      </c>
      <c r="I72" s="42" t="s">
        <v>798</v>
      </c>
      <c r="J72" s="42" t="s">
        <v>799</v>
      </c>
      <c r="K72" s="46" t="s">
        <v>800</v>
      </c>
      <c r="L72" s="37" t="s">
        <v>801</v>
      </c>
      <c r="M72" s="37" t="s">
        <v>802</v>
      </c>
      <c r="N72" s="42" t="s">
        <v>241</v>
      </c>
      <c r="O72" s="42" t="s">
        <v>242</v>
      </c>
      <c r="P72" s="42" t="s">
        <v>29</v>
      </c>
    </row>
    <row r="73" spans="1:16" ht="50.1" customHeight="1" x14ac:dyDescent="0.25">
      <c r="A73" s="46" t="s">
        <v>803</v>
      </c>
      <c r="B73" s="42" t="s">
        <v>118</v>
      </c>
      <c r="C73" s="46"/>
      <c r="D73" s="46" t="s">
        <v>804</v>
      </c>
      <c r="E73" s="46"/>
      <c r="F73" s="35" t="s">
        <v>805</v>
      </c>
      <c r="G73" s="46" t="s">
        <v>806</v>
      </c>
      <c r="H73" s="42" t="s">
        <v>807</v>
      </c>
      <c r="I73" s="42"/>
      <c r="J73" s="42" t="s">
        <v>808</v>
      </c>
      <c r="K73" s="35" t="s">
        <v>809</v>
      </c>
      <c r="L73" s="37"/>
      <c r="M73" s="37"/>
      <c r="N73" s="42" t="s">
        <v>350</v>
      </c>
      <c r="O73" s="42" t="s">
        <v>242</v>
      </c>
      <c r="P73" s="42" t="s">
        <v>29</v>
      </c>
    </row>
    <row r="74" spans="1:16" ht="77.25" customHeight="1" x14ac:dyDescent="0.25">
      <c r="A74" s="46" t="s">
        <v>810</v>
      </c>
      <c r="B74" s="42" t="s">
        <v>118</v>
      </c>
      <c r="C74" s="46"/>
      <c r="D74" s="46" t="s">
        <v>811</v>
      </c>
      <c r="E74" s="46"/>
      <c r="F74" s="35" t="s">
        <v>812</v>
      </c>
      <c r="G74" s="46" t="s">
        <v>813</v>
      </c>
      <c r="H74" s="42" t="s">
        <v>814</v>
      </c>
      <c r="I74" s="42" t="s">
        <v>815</v>
      </c>
      <c r="J74" s="42" t="s">
        <v>816</v>
      </c>
      <c r="K74" s="35" t="s">
        <v>817</v>
      </c>
      <c r="L74" s="37" t="s">
        <v>818</v>
      </c>
      <c r="M74" s="37"/>
      <c r="N74" s="42" t="s">
        <v>350</v>
      </c>
      <c r="O74" s="42" t="s">
        <v>242</v>
      </c>
      <c r="P74" s="42" t="s">
        <v>29</v>
      </c>
    </row>
    <row r="75" spans="1:16" ht="50.1" customHeight="1" x14ac:dyDescent="0.25">
      <c r="A75" s="46" t="s">
        <v>819</v>
      </c>
      <c r="B75" s="42" t="s">
        <v>118</v>
      </c>
      <c r="C75" s="46"/>
      <c r="D75" s="46" t="s">
        <v>820</v>
      </c>
      <c r="E75" s="46"/>
      <c r="F75" s="46" t="s">
        <v>821</v>
      </c>
      <c r="G75" s="46" t="s">
        <v>822</v>
      </c>
      <c r="H75" s="42" t="s">
        <v>823</v>
      </c>
      <c r="I75" s="42" t="s">
        <v>824</v>
      </c>
      <c r="J75" s="42" t="s">
        <v>825</v>
      </c>
      <c r="K75" s="46" t="s">
        <v>826</v>
      </c>
      <c r="L75" s="37" t="s">
        <v>827</v>
      </c>
      <c r="M75" s="37" t="s">
        <v>828</v>
      </c>
      <c r="N75" s="42" t="s">
        <v>241</v>
      </c>
      <c r="O75" s="42" t="s">
        <v>242</v>
      </c>
      <c r="P75" s="42" t="s">
        <v>29</v>
      </c>
    </row>
    <row r="76" spans="1:16" ht="50.1" customHeight="1" x14ac:dyDescent="0.25">
      <c r="A76" s="46" t="s">
        <v>829</v>
      </c>
      <c r="B76" s="42" t="s">
        <v>118</v>
      </c>
      <c r="C76" s="46"/>
      <c r="D76" s="46" t="s">
        <v>830</v>
      </c>
      <c r="E76" s="46"/>
      <c r="F76" s="35" t="s">
        <v>831</v>
      </c>
      <c r="G76" s="46" t="s">
        <v>832</v>
      </c>
      <c r="H76" s="42" t="s">
        <v>833</v>
      </c>
      <c r="I76" s="42" t="s">
        <v>834</v>
      </c>
      <c r="J76" s="42" t="s">
        <v>835</v>
      </c>
      <c r="K76" s="46" t="s">
        <v>836</v>
      </c>
      <c r="L76" s="37" t="s">
        <v>837</v>
      </c>
      <c r="M76" s="37"/>
      <c r="N76" s="42" t="s">
        <v>241</v>
      </c>
      <c r="O76" s="42" t="s">
        <v>242</v>
      </c>
      <c r="P76" s="42" t="s">
        <v>29</v>
      </c>
    </row>
    <row r="77" spans="1:16" ht="50.1" customHeight="1" x14ac:dyDescent="0.25">
      <c r="A77" s="46" t="s">
        <v>838</v>
      </c>
      <c r="B77" s="42" t="s">
        <v>118</v>
      </c>
      <c r="C77" s="46"/>
      <c r="D77" s="46" t="s">
        <v>839</v>
      </c>
      <c r="E77" s="46" t="s">
        <v>840</v>
      </c>
      <c r="F77" s="35" t="s">
        <v>841</v>
      </c>
      <c r="G77" s="46" t="s">
        <v>371</v>
      </c>
      <c r="H77" s="42" t="s">
        <v>842</v>
      </c>
      <c r="I77" s="42"/>
      <c r="J77" s="42" t="s">
        <v>843</v>
      </c>
      <c r="K77" s="46" t="s">
        <v>844</v>
      </c>
      <c r="L77" s="37" t="s">
        <v>845</v>
      </c>
      <c r="M77" s="37"/>
      <c r="N77" s="42" t="s">
        <v>241</v>
      </c>
      <c r="O77" s="42" t="s">
        <v>242</v>
      </c>
      <c r="P77" s="42" t="s">
        <v>29</v>
      </c>
    </row>
    <row r="78" spans="1:16" ht="75.75" customHeight="1" x14ac:dyDescent="0.25">
      <c r="A78" s="46" t="s">
        <v>846</v>
      </c>
      <c r="B78" s="42" t="s">
        <v>118</v>
      </c>
      <c r="C78" s="46"/>
      <c r="D78" s="46" t="s">
        <v>847</v>
      </c>
      <c r="E78" s="35" t="s">
        <v>848</v>
      </c>
      <c r="F78" s="46" t="s">
        <v>849</v>
      </c>
      <c r="G78" s="46" t="s">
        <v>850</v>
      </c>
      <c r="H78" s="42" t="s">
        <v>851</v>
      </c>
      <c r="I78" s="42" t="s">
        <v>852</v>
      </c>
      <c r="J78" s="42" t="s">
        <v>853</v>
      </c>
      <c r="K78" s="46" t="s">
        <v>854</v>
      </c>
      <c r="L78" s="37" t="s">
        <v>855</v>
      </c>
      <c r="M78" s="37" t="s">
        <v>856</v>
      </c>
      <c r="N78" s="42" t="s">
        <v>241</v>
      </c>
      <c r="O78" s="42" t="s">
        <v>242</v>
      </c>
      <c r="P78" s="42" t="s">
        <v>29</v>
      </c>
    </row>
    <row r="79" spans="1:16" ht="50.1" customHeight="1" x14ac:dyDescent="0.25">
      <c r="A79" s="46" t="s">
        <v>857</v>
      </c>
      <c r="B79" s="42" t="s">
        <v>118</v>
      </c>
      <c r="C79" s="46"/>
      <c r="D79" s="46" t="s">
        <v>858</v>
      </c>
      <c r="E79" s="46"/>
      <c r="F79" s="35" t="s">
        <v>859</v>
      </c>
      <c r="G79" s="46" t="s">
        <v>860</v>
      </c>
      <c r="H79" s="42" t="s">
        <v>861</v>
      </c>
      <c r="I79" s="42"/>
      <c r="J79" s="42" t="s">
        <v>862</v>
      </c>
      <c r="K79" s="46" t="s">
        <v>863</v>
      </c>
      <c r="L79" s="37" t="s">
        <v>864</v>
      </c>
      <c r="M79" s="37" t="s">
        <v>865</v>
      </c>
      <c r="N79" s="42" t="s">
        <v>241</v>
      </c>
      <c r="O79" s="42" t="s">
        <v>242</v>
      </c>
      <c r="P79" s="42" t="s">
        <v>29</v>
      </c>
    </row>
    <row r="80" spans="1:16" ht="50.1" customHeight="1" x14ac:dyDescent="0.25">
      <c r="A80" s="46" t="s">
        <v>866</v>
      </c>
      <c r="B80" s="42" t="s">
        <v>118</v>
      </c>
      <c r="C80" s="46"/>
      <c r="D80" s="46" t="s">
        <v>867</v>
      </c>
      <c r="E80" s="46"/>
      <c r="F80" s="35" t="s">
        <v>859</v>
      </c>
      <c r="G80" s="46" t="s">
        <v>868</v>
      </c>
      <c r="H80" s="42" t="s">
        <v>869</v>
      </c>
      <c r="I80" s="42" t="s">
        <v>870</v>
      </c>
      <c r="J80" s="42" t="s">
        <v>871</v>
      </c>
      <c r="K80" s="46" t="s">
        <v>872</v>
      </c>
      <c r="L80" s="37" t="s">
        <v>864</v>
      </c>
      <c r="M80" s="37" t="s">
        <v>865</v>
      </c>
      <c r="N80" s="42" t="s">
        <v>241</v>
      </c>
      <c r="O80" s="42" t="s">
        <v>242</v>
      </c>
      <c r="P80" s="42" t="s">
        <v>29</v>
      </c>
    </row>
    <row r="81" spans="1:16" ht="50.1" customHeight="1" x14ac:dyDescent="0.25">
      <c r="A81" s="46" t="s">
        <v>873</v>
      </c>
      <c r="B81" s="42" t="s">
        <v>118</v>
      </c>
      <c r="C81" s="46"/>
      <c r="D81" s="46" t="s">
        <v>874</v>
      </c>
      <c r="E81" s="46"/>
      <c r="F81" s="46" t="s">
        <v>875</v>
      </c>
      <c r="G81" s="46" t="s">
        <v>876</v>
      </c>
      <c r="H81" s="42" t="s">
        <v>877</v>
      </c>
      <c r="I81" s="42" t="s">
        <v>878</v>
      </c>
      <c r="J81" s="42" t="s">
        <v>879</v>
      </c>
      <c r="K81" s="46" t="s">
        <v>880</v>
      </c>
      <c r="L81" s="37" t="s">
        <v>881</v>
      </c>
      <c r="M81" s="46"/>
      <c r="N81" s="42" t="s">
        <v>241</v>
      </c>
      <c r="O81" s="42" t="s">
        <v>242</v>
      </c>
      <c r="P81" s="42" t="s">
        <v>29</v>
      </c>
    </row>
    <row r="82" spans="1:16" ht="50.1" customHeight="1" x14ac:dyDescent="0.25">
      <c r="A82" s="46" t="s">
        <v>882</v>
      </c>
      <c r="B82" s="42" t="s">
        <v>118</v>
      </c>
      <c r="C82" s="46"/>
      <c r="D82" s="46" t="s">
        <v>883</v>
      </c>
      <c r="E82" s="46"/>
      <c r="F82" s="46" t="s">
        <v>884</v>
      </c>
      <c r="G82" s="46" t="s">
        <v>885</v>
      </c>
      <c r="H82" s="42" t="s">
        <v>886</v>
      </c>
      <c r="I82" s="42" t="s">
        <v>887</v>
      </c>
      <c r="J82" s="42" t="s">
        <v>888</v>
      </c>
      <c r="K82" s="46" t="s">
        <v>889</v>
      </c>
      <c r="L82" s="37" t="s">
        <v>890</v>
      </c>
      <c r="M82" s="46"/>
      <c r="N82" s="42" t="s">
        <v>241</v>
      </c>
      <c r="O82" s="42" t="s">
        <v>242</v>
      </c>
      <c r="P82" s="42" t="s">
        <v>29</v>
      </c>
    </row>
    <row r="83" spans="1:16" ht="111.75" customHeight="1" x14ac:dyDescent="0.25">
      <c r="A83" s="46" t="s">
        <v>891</v>
      </c>
      <c r="B83" s="42" t="s">
        <v>118</v>
      </c>
      <c r="C83" s="46"/>
      <c r="D83" s="46" t="s">
        <v>892</v>
      </c>
      <c r="E83" s="35" t="s">
        <v>893</v>
      </c>
      <c r="F83" s="35" t="s">
        <v>894</v>
      </c>
      <c r="G83" s="46"/>
      <c r="H83" s="42" t="s">
        <v>895</v>
      </c>
      <c r="I83" s="42" t="s">
        <v>896</v>
      </c>
      <c r="J83" s="42" t="s">
        <v>897</v>
      </c>
      <c r="K83" s="35" t="s">
        <v>898</v>
      </c>
      <c r="L83" s="37" t="s">
        <v>899</v>
      </c>
      <c r="M83" s="46"/>
      <c r="N83" s="42" t="s">
        <v>241</v>
      </c>
      <c r="O83" s="42" t="s">
        <v>242</v>
      </c>
      <c r="P83" s="42" t="s">
        <v>29</v>
      </c>
    </row>
    <row r="84" spans="1:16" ht="50.1" customHeight="1" x14ac:dyDescent="0.25">
      <c r="A84" s="46" t="s">
        <v>900</v>
      </c>
      <c r="B84" s="42" t="s">
        <v>118</v>
      </c>
      <c r="C84" s="46"/>
      <c r="D84" s="46" t="s">
        <v>901</v>
      </c>
      <c r="E84" s="46"/>
      <c r="F84" s="46"/>
      <c r="G84" s="46" t="s">
        <v>902</v>
      </c>
      <c r="H84" s="42" t="s">
        <v>903</v>
      </c>
      <c r="I84" s="42" t="s">
        <v>904</v>
      </c>
      <c r="J84" s="42" t="s">
        <v>905</v>
      </c>
      <c r="K84" s="46" t="s">
        <v>906</v>
      </c>
      <c r="L84" s="37" t="s">
        <v>907</v>
      </c>
      <c r="M84" s="37" t="s">
        <v>908</v>
      </c>
      <c r="N84" s="42" t="s">
        <v>241</v>
      </c>
      <c r="O84" s="42" t="s">
        <v>242</v>
      </c>
      <c r="P84" s="42" t="s">
        <v>29</v>
      </c>
    </row>
    <row r="85" spans="1:16" ht="50.1" customHeight="1" x14ac:dyDescent="0.25">
      <c r="A85" s="46" t="s">
        <v>909</v>
      </c>
      <c r="B85" s="42" t="s">
        <v>118</v>
      </c>
      <c r="C85" s="46"/>
      <c r="D85" s="46" t="s">
        <v>910</v>
      </c>
      <c r="E85" s="46" t="s">
        <v>911</v>
      </c>
      <c r="F85" s="46" t="s">
        <v>912</v>
      </c>
      <c r="G85" s="46" t="s">
        <v>913</v>
      </c>
      <c r="H85" s="42" t="s">
        <v>914</v>
      </c>
      <c r="I85" s="42"/>
      <c r="J85" s="42" t="s">
        <v>915</v>
      </c>
      <c r="K85" s="46" t="s">
        <v>916</v>
      </c>
      <c r="L85" s="46"/>
      <c r="M85" s="46"/>
      <c r="N85" s="42" t="s">
        <v>241</v>
      </c>
      <c r="O85" s="42" t="s">
        <v>242</v>
      </c>
      <c r="P85" s="42" t="s">
        <v>29</v>
      </c>
    </row>
    <row r="86" spans="1:16" ht="50.1" customHeight="1" x14ac:dyDescent="0.25">
      <c r="A86" s="46" t="s">
        <v>917</v>
      </c>
      <c r="B86" s="42" t="s">
        <v>118</v>
      </c>
      <c r="C86" s="46"/>
      <c r="D86" s="46" t="s">
        <v>918</v>
      </c>
      <c r="E86" s="46"/>
      <c r="F86" s="35" t="s">
        <v>919</v>
      </c>
      <c r="G86" s="46" t="s">
        <v>920</v>
      </c>
      <c r="H86" s="42" t="s">
        <v>921</v>
      </c>
      <c r="I86" s="42" t="s">
        <v>922</v>
      </c>
      <c r="J86" s="42" t="s">
        <v>923</v>
      </c>
      <c r="K86" s="46" t="s">
        <v>924</v>
      </c>
      <c r="L86" s="37" t="s">
        <v>925</v>
      </c>
      <c r="M86" s="46"/>
      <c r="N86" s="42" t="s">
        <v>241</v>
      </c>
      <c r="O86" s="42" t="s">
        <v>242</v>
      </c>
      <c r="P86" s="42" t="s">
        <v>29</v>
      </c>
    </row>
    <row r="87" spans="1:16" ht="50.1" customHeight="1" x14ac:dyDescent="0.25">
      <c r="A87" s="46" t="s">
        <v>926</v>
      </c>
      <c r="B87" s="42" t="s">
        <v>118</v>
      </c>
      <c r="C87" s="46"/>
      <c r="D87" s="46" t="s">
        <v>927</v>
      </c>
      <c r="E87" s="46" t="s">
        <v>928</v>
      </c>
      <c r="F87" s="35" t="s">
        <v>929</v>
      </c>
      <c r="G87" s="46"/>
      <c r="H87" s="42" t="s">
        <v>930</v>
      </c>
      <c r="I87" s="42"/>
      <c r="J87" s="42" t="s">
        <v>931</v>
      </c>
      <c r="K87" s="46" t="s">
        <v>932</v>
      </c>
      <c r="L87" s="37" t="s">
        <v>933</v>
      </c>
      <c r="M87" s="46"/>
      <c r="N87" s="42" t="s">
        <v>241</v>
      </c>
      <c r="O87" s="42" t="s">
        <v>242</v>
      </c>
      <c r="P87" s="42" t="s">
        <v>29</v>
      </c>
    </row>
    <row r="88" spans="1:16" ht="50.1" customHeight="1" x14ac:dyDescent="0.25">
      <c r="A88" s="46" t="s">
        <v>934</v>
      </c>
      <c r="B88" s="42" t="s">
        <v>118</v>
      </c>
      <c r="C88" s="46"/>
      <c r="D88" s="46" t="s">
        <v>935</v>
      </c>
      <c r="E88" s="35" t="s">
        <v>936</v>
      </c>
      <c r="F88" s="35" t="s">
        <v>433</v>
      </c>
      <c r="G88" s="46" t="s">
        <v>937</v>
      </c>
      <c r="H88" s="42" t="s">
        <v>938</v>
      </c>
      <c r="I88" s="42" t="s">
        <v>939</v>
      </c>
      <c r="J88" s="42" t="s">
        <v>940</v>
      </c>
      <c r="K88" s="46" t="s">
        <v>941</v>
      </c>
      <c r="L88" s="37" t="s">
        <v>942</v>
      </c>
      <c r="M88" s="37" t="s">
        <v>943</v>
      </c>
      <c r="N88" s="42" t="s">
        <v>350</v>
      </c>
      <c r="O88" s="42" t="s">
        <v>242</v>
      </c>
      <c r="P88" s="42" t="s">
        <v>29</v>
      </c>
    </row>
    <row r="89" spans="1:16" ht="50.1" customHeight="1" x14ac:dyDescent="0.25">
      <c r="A89" s="46" t="s">
        <v>944</v>
      </c>
      <c r="B89" s="42" t="s">
        <v>118</v>
      </c>
      <c r="C89" s="46"/>
      <c r="D89" s="46" t="s">
        <v>945</v>
      </c>
      <c r="E89" s="46"/>
      <c r="F89" s="35"/>
      <c r="G89" s="46" t="s">
        <v>946</v>
      </c>
      <c r="H89" s="42" t="s">
        <v>947</v>
      </c>
      <c r="I89" s="42" t="s">
        <v>948</v>
      </c>
      <c r="J89" s="42" t="s">
        <v>949</v>
      </c>
      <c r="K89" s="46" t="s">
        <v>950</v>
      </c>
      <c r="L89" s="37" t="s">
        <v>951</v>
      </c>
      <c r="M89" s="37" t="s">
        <v>952</v>
      </c>
      <c r="N89" s="42" t="s">
        <v>241</v>
      </c>
      <c r="O89" s="42" t="s">
        <v>242</v>
      </c>
      <c r="P89" s="42" t="s">
        <v>29</v>
      </c>
    </row>
    <row r="90" spans="1:16" ht="50.1" customHeight="1" x14ac:dyDescent="0.25">
      <c r="A90" s="46" t="s">
        <v>953</v>
      </c>
      <c r="B90" s="42" t="s">
        <v>118</v>
      </c>
      <c r="C90" s="46"/>
      <c r="D90" s="46" t="s">
        <v>954</v>
      </c>
      <c r="E90" s="46" t="s">
        <v>955</v>
      </c>
      <c r="F90" s="35" t="s">
        <v>956</v>
      </c>
      <c r="G90" s="46" t="s">
        <v>957</v>
      </c>
      <c r="H90" s="42" t="s">
        <v>958</v>
      </c>
      <c r="I90" s="42" t="s">
        <v>959</v>
      </c>
      <c r="J90" s="42" t="s">
        <v>960</v>
      </c>
      <c r="K90" s="46" t="s">
        <v>961</v>
      </c>
      <c r="L90" s="37" t="s">
        <v>962</v>
      </c>
      <c r="M90" s="37" t="s">
        <v>963</v>
      </c>
      <c r="N90" s="42" t="s">
        <v>241</v>
      </c>
      <c r="O90" s="42" t="s">
        <v>242</v>
      </c>
      <c r="P90" s="42" t="s">
        <v>29</v>
      </c>
    </row>
    <row r="91" spans="1:16" ht="50.1" customHeight="1" x14ac:dyDescent="0.25">
      <c r="A91" s="46" t="s">
        <v>964</v>
      </c>
      <c r="B91" s="42" t="s">
        <v>118</v>
      </c>
      <c r="C91" s="46"/>
      <c r="D91" s="46" t="s">
        <v>965</v>
      </c>
      <c r="E91" s="46"/>
      <c r="F91" s="35" t="s">
        <v>966</v>
      </c>
      <c r="G91" s="46" t="s">
        <v>967</v>
      </c>
      <c r="H91" s="42" t="s">
        <v>968</v>
      </c>
      <c r="I91" s="42"/>
      <c r="J91" s="42" t="s">
        <v>969</v>
      </c>
      <c r="K91" s="46" t="s">
        <v>970</v>
      </c>
      <c r="L91" s="37" t="s">
        <v>971</v>
      </c>
      <c r="M91" s="46"/>
      <c r="N91" s="42" t="s">
        <v>241</v>
      </c>
      <c r="O91" s="42" t="s">
        <v>242</v>
      </c>
      <c r="P91" s="42" t="s">
        <v>29</v>
      </c>
    </row>
    <row r="92" spans="1:16" ht="50.1" customHeight="1" x14ac:dyDescent="0.25">
      <c r="A92" s="46" t="s">
        <v>972</v>
      </c>
      <c r="B92" s="42" t="s">
        <v>118</v>
      </c>
      <c r="C92" s="46"/>
      <c r="D92" s="46" t="s">
        <v>973</v>
      </c>
      <c r="E92" s="46"/>
      <c r="F92" s="35" t="s">
        <v>974</v>
      </c>
      <c r="G92" s="46" t="s">
        <v>550</v>
      </c>
      <c r="H92" s="42" t="s">
        <v>975</v>
      </c>
      <c r="I92" s="42" t="s">
        <v>976</v>
      </c>
      <c r="J92" s="42" t="s">
        <v>977</v>
      </c>
      <c r="K92" s="46" t="s">
        <v>978</v>
      </c>
      <c r="L92" s="37" t="s">
        <v>979</v>
      </c>
      <c r="M92" s="46"/>
      <c r="N92" s="42" t="s">
        <v>241</v>
      </c>
      <c r="O92" s="42" t="s">
        <v>242</v>
      </c>
      <c r="P92" s="42" t="s">
        <v>29</v>
      </c>
    </row>
    <row r="93" spans="1:16" ht="50.1" customHeight="1" x14ac:dyDescent="0.25">
      <c r="A93" s="46" t="s">
        <v>980</v>
      </c>
      <c r="B93" s="42" t="s">
        <v>118</v>
      </c>
      <c r="C93" s="46"/>
      <c r="D93" s="46" t="s">
        <v>981</v>
      </c>
      <c r="E93" s="46"/>
      <c r="F93" s="35" t="s">
        <v>982</v>
      </c>
      <c r="G93" s="46" t="s">
        <v>983</v>
      </c>
      <c r="H93" s="42" t="s">
        <v>984</v>
      </c>
      <c r="I93" s="42" t="s">
        <v>985</v>
      </c>
      <c r="J93" s="42" t="s">
        <v>986</v>
      </c>
      <c r="K93" s="46" t="s">
        <v>987</v>
      </c>
      <c r="L93" s="37" t="s">
        <v>988</v>
      </c>
      <c r="M93" s="37" t="s">
        <v>989</v>
      </c>
      <c r="N93" s="42" t="s">
        <v>350</v>
      </c>
      <c r="O93" s="42" t="s">
        <v>242</v>
      </c>
      <c r="P93" s="42" t="s">
        <v>29</v>
      </c>
    </row>
    <row r="94" spans="1:16" ht="50.1" customHeight="1" x14ac:dyDescent="0.25">
      <c r="A94" s="46" t="s">
        <v>990</v>
      </c>
      <c r="B94" s="42" t="s">
        <v>118</v>
      </c>
      <c r="C94" s="46"/>
      <c r="D94" s="46" t="s">
        <v>991</v>
      </c>
      <c r="E94" s="46"/>
      <c r="F94" s="35" t="s">
        <v>992</v>
      </c>
      <c r="G94" s="46" t="s">
        <v>993</v>
      </c>
      <c r="H94" s="42" t="s">
        <v>994</v>
      </c>
      <c r="I94" s="42" t="s">
        <v>995</v>
      </c>
      <c r="J94" s="42" t="s">
        <v>996</v>
      </c>
      <c r="K94" s="46" t="s">
        <v>997</v>
      </c>
      <c r="L94" s="37" t="s">
        <v>998</v>
      </c>
      <c r="M94" s="46"/>
      <c r="N94" s="42" t="s">
        <v>476</v>
      </c>
      <c r="O94" s="42" t="s">
        <v>242</v>
      </c>
      <c r="P94" s="42" t="s">
        <v>29</v>
      </c>
    </row>
    <row r="95" spans="1:16" ht="50.1" customHeight="1" x14ac:dyDescent="0.25">
      <c r="A95" s="46" t="s">
        <v>999</v>
      </c>
      <c r="B95" s="42" t="s">
        <v>118</v>
      </c>
      <c r="C95" s="46"/>
      <c r="D95" s="46" t="s">
        <v>1000</v>
      </c>
      <c r="E95" s="46"/>
      <c r="F95" s="35" t="s">
        <v>1001</v>
      </c>
      <c r="G95" s="46" t="s">
        <v>1002</v>
      </c>
      <c r="H95" s="42" t="s">
        <v>1003</v>
      </c>
      <c r="I95" s="42"/>
      <c r="J95" s="42" t="s">
        <v>1004</v>
      </c>
      <c r="K95" s="46" t="s">
        <v>1005</v>
      </c>
      <c r="L95" s="46"/>
      <c r="M95" s="46"/>
      <c r="N95" s="42" t="s">
        <v>241</v>
      </c>
      <c r="O95" s="42" t="s">
        <v>242</v>
      </c>
      <c r="P95" s="42" t="s">
        <v>29</v>
      </c>
    </row>
    <row r="96" spans="1:16" ht="50.1" customHeight="1" x14ac:dyDescent="0.25">
      <c r="A96" s="46" t="s">
        <v>1006</v>
      </c>
      <c r="B96" s="42" t="s">
        <v>118</v>
      </c>
      <c r="C96" s="46"/>
      <c r="D96" s="46" t="s">
        <v>1007</v>
      </c>
      <c r="E96" s="46"/>
      <c r="F96" s="35" t="s">
        <v>1008</v>
      </c>
      <c r="G96" s="46" t="s">
        <v>1009</v>
      </c>
      <c r="H96" s="42" t="s">
        <v>1010</v>
      </c>
      <c r="I96" s="42" t="s">
        <v>1011</v>
      </c>
      <c r="J96" s="42" t="s">
        <v>1012</v>
      </c>
      <c r="K96" s="46" t="s">
        <v>1013</v>
      </c>
      <c r="L96" s="37" t="s">
        <v>1014</v>
      </c>
      <c r="M96" s="37" t="s">
        <v>1015</v>
      </c>
      <c r="N96" s="42" t="s">
        <v>241</v>
      </c>
      <c r="O96" s="42" t="s">
        <v>242</v>
      </c>
      <c r="P96" s="42" t="s">
        <v>29</v>
      </c>
    </row>
    <row r="97" spans="1:16" ht="50.1" customHeight="1" x14ac:dyDescent="0.25">
      <c r="A97" s="46" t="s">
        <v>1016</v>
      </c>
      <c r="B97" s="42" t="s">
        <v>118</v>
      </c>
      <c r="C97" s="46"/>
      <c r="D97" s="46" t="s">
        <v>1017</v>
      </c>
      <c r="E97" s="46"/>
      <c r="F97" s="35" t="s">
        <v>1018</v>
      </c>
      <c r="G97" s="46" t="s">
        <v>1019</v>
      </c>
      <c r="H97" s="42" t="s">
        <v>1020</v>
      </c>
      <c r="I97" s="42" t="s">
        <v>1021</v>
      </c>
      <c r="J97" s="42" t="s">
        <v>1022</v>
      </c>
      <c r="K97" s="46" t="s">
        <v>1023</v>
      </c>
      <c r="L97" s="37" t="s">
        <v>1024</v>
      </c>
      <c r="M97" s="46"/>
      <c r="N97" s="42" t="s">
        <v>350</v>
      </c>
      <c r="O97" s="42" t="s">
        <v>242</v>
      </c>
      <c r="P97" s="42" t="s">
        <v>29</v>
      </c>
    </row>
    <row r="98" spans="1:16" ht="50.1" customHeight="1" x14ac:dyDescent="0.25">
      <c r="A98" s="46" t="s">
        <v>1025</v>
      </c>
      <c r="B98" s="42" t="s">
        <v>118</v>
      </c>
      <c r="C98" s="46"/>
      <c r="D98" s="46" t="s">
        <v>1026</v>
      </c>
      <c r="E98" s="46"/>
      <c r="F98" s="35" t="s">
        <v>1027</v>
      </c>
      <c r="G98" s="46" t="s">
        <v>1028</v>
      </c>
      <c r="H98" s="42" t="s">
        <v>1029</v>
      </c>
      <c r="I98" s="42" t="s">
        <v>1030</v>
      </c>
      <c r="J98" s="42" t="s">
        <v>1031</v>
      </c>
      <c r="K98" s="46" t="s">
        <v>1032</v>
      </c>
      <c r="L98" s="37" t="s">
        <v>1033</v>
      </c>
      <c r="M98" s="37" t="s">
        <v>1034</v>
      </c>
      <c r="N98" s="42" t="s">
        <v>350</v>
      </c>
      <c r="O98" s="42" t="s">
        <v>242</v>
      </c>
      <c r="P98" s="42" t="s">
        <v>29</v>
      </c>
    </row>
    <row r="99" spans="1:16" ht="50.1" customHeight="1" x14ac:dyDescent="0.25">
      <c r="A99" s="46" t="s">
        <v>1035</v>
      </c>
      <c r="B99" s="42" t="s">
        <v>118</v>
      </c>
      <c r="C99" s="46"/>
      <c r="D99" s="46" t="s">
        <v>1036</v>
      </c>
      <c r="E99" s="46"/>
      <c r="F99" s="35" t="s">
        <v>1037</v>
      </c>
      <c r="G99" s="46" t="s">
        <v>1038</v>
      </c>
      <c r="H99" s="42" t="s">
        <v>1039</v>
      </c>
      <c r="I99" s="42" t="s">
        <v>1040</v>
      </c>
      <c r="J99" s="42" t="s">
        <v>1041</v>
      </c>
      <c r="K99" s="46" t="s">
        <v>1042</v>
      </c>
      <c r="L99" s="37" t="s">
        <v>1043</v>
      </c>
      <c r="M99" s="37" t="s">
        <v>1044</v>
      </c>
      <c r="N99" s="42" t="s">
        <v>350</v>
      </c>
      <c r="O99" s="42" t="s">
        <v>242</v>
      </c>
      <c r="P99" s="42" t="s">
        <v>29</v>
      </c>
    </row>
    <row r="100" spans="1:16" ht="50.1" customHeight="1" x14ac:dyDescent="0.25">
      <c r="A100" s="46" t="s">
        <v>1045</v>
      </c>
      <c r="B100" s="42" t="s">
        <v>118</v>
      </c>
      <c r="C100" s="35"/>
      <c r="D100" s="35" t="s">
        <v>1046</v>
      </c>
      <c r="E100" s="35" t="s">
        <v>1047</v>
      </c>
      <c r="F100" s="35" t="s">
        <v>956</v>
      </c>
      <c r="G100" s="46" t="s">
        <v>1048</v>
      </c>
      <c r="H100" s="42" t="s">
        <v>1049</v>
      </c>
      <c r="I100" s="42" t="s">
        <v>1050</v>
      </c>
      <c r="J100" s="42" t="s">
        <v>1051</v>
      </c>
      <c r="K100" s="46" t="s">
        <v>1052</v>
      </c>
      <c r="L100" s="37" t="s">
        <v>1053</v>
      </c>
      <c r="M100" s="37" t="s">
        <v>1054</v>
      </c>
      <c r="N100" s="42" t="s">
        <v>241</v>
      </c>
      <c r="O100" s="42" t="s">
        <v>242</v>
      </c>
      <c r="P100" s="42" t="s">
        <v>29</v>
      </c>
    </row>
    <row r="101" spans="1:16" ht="50.1" customHeight="1" x14ac:dyDescent="0.25">
      <c r="A101" s="46" t="s">
        <v>1055</v>
      </c>
      <c r="B101" s="42" t="s">
        <v>118</v>
      </c>
      <c r="C101" s="35"/>
      <c r="D101" s="35" t="s">
        <v>1056</v>
      </c>
      <c r="E101" s="35" t="s">
        <v>1057</v>
      </c>
      <c r="F101" s="35" t="s">
        <v>1058</v>
      </c>
      <c r="G101" s="46" t="s">
        <v>1059</v>
      </c>
      <c r="H101" s="42" t="s">
        <v>1060</v>
      </c>
      <c r="I101" s="42" t="s">
        <v>1061</v>
      </c>
      <c r="J101" s="42" t="s">
        <v>1062</v>
      </c>
      <c r="K101" s="46" t="s">
        <v>1063</v>
      </c>
      <c r="L101" s="37" t="s">
        <v>1064</v>
      </c>
      <c r="M101" s="37" t="s">
        <v>1065</v>
      </c>
      <c r="N101" s="42" t="s">
        <v>241</v>
      </c>
      <c r="O101" s="42" t="s">
        <v>242</v>
      </c>
      <c r="P101" s="42" t="s">
        <v>29</v>
      </c>
    </row>
    <row r="102" spans="1:16" ht="79.5" customHeight="1" x14ac:dyDescent="0.25">
      <c r="A102" s="46" t="s">
        <v>1066</v>
      </c>
      <c r="B102" s="42" t="s">
        <v>118</v>
      </c>
      <c r="C102" s="35"/>
      <c r="D102" s="35" t="s">
        <v>1067</v>
      </c>
      <c r="E102" s="35" t="s">
        <v>1068</v>
      </c>
      <c r="F102" s="35" t="s">
        <v>1069</v>
      </c>
      <c r="G102" s="46"/>
      <c r="H102" s="42" t="s">
        <v>1070</v>
      </c>
      <c r="I102" s="42"/>
      <c r="J102" s="42" t="s">
        <v>1071</v>
      </c>
      <c r="K102" s="46" t="s">
        <v>1072</v>
      </c>
      <c r="L102" s="37" t="s">
        <v>1073</v>
      </c>
      <c r="M102" s="37" t="s">
        <v>1074</v>
      </c>
      <c r="N102" s="42" t="s">
        <v>241</v>
      </c>
      <c r="O102" s="42" t="s">
        <v>242</v>
      </c>
      <c r="P102" s="42" t="s">
        <v>29</v>
      </c>
    </row>
    <row r="103" spans="1:16" ht="50.1" customHeight="1" x14ac:dyDescent="0.25">
      <c r="A103" s="46" t="s">
        <v>1075</v>
      </c>
      <c r="B103" s="42" t="s">
        <v>118</v>
      </c>
      <c r="C103" s="35"/>
      <c r="D103" s="35" t="s">
        <v>1076</v>
      </c>
      <c r="E103" s="35"/>
      <c r="F103" s="35" t="s">
        <v>1077</v>
      </c>
      <c r="G103" s="46" t="s">
        <v>1078</v>
      </c>
      <c r="H103" s="42" t="s">
        <v>1079</v>
      </c>
      <c r="I103" s="42" t="s">
        <v>1080</v>
      </c>
      <c r="J103" s="42"/>
      <c r="K103" s="46" t="s">
        <v>1081</v>
      </c>
      <c r="L103" s="37" t="s">
        <v>1082</v>
      </c>
      <c r="M103" s="46"/>
      <c r="N103" s="42" t="s">
        <v>241</v>
      </c>
      <c r="O103" s="42" t="s">
        <v>242</v>
      </c>
      <c r="P103" s="42" t="s">
        <v>29</v>
      </c>
    </row>
    <row r="104" spans="1:16" ht="75" x14ac:dyDescent="0.25">
      <c r="A104" s="46" t="s">
        <v>1083</v>
      </c>
      <c r="B104" s="42" t="s">
        <v>118</v>
      </c>
      <c r="C104" s="35"/>
      <c r="D104" s="35" t="s">
        <v>1084</v>
      </c>
      <c r="E104" s="35"/>
      <c r="F104" s="35" t="s">
        <v>1085</v>
      </c>
      <c r="G104" s="46" t="s">
        <v>1086</v>
      </c>
      <c r="H104" s="42" t="s">
        <v>1087</v>
      </c>
      <c r="I104" s="42" t="s">
        <v>1088</v>
      </c>
      <c r="J104" s="42" t="s">
        <v>1089</v>
      </c>
      <c r="K104" s="46" t="s">
        <v>1090</v>
      </c>
      <c r="L104" s="37" t="s">
        <v>1091</v>
      </c>
      <c r="M104" s="46"/>
      <c r="N104" s="42" t="s">
        <v>241</v>
      </c>
      <c r="O104" s="42" t="s">
        <v>242</v>
      </c>
      <c r="P104" s="42" t="s">
        <v>29</v>
      </c>
    </row>
    <row r="105" spans="1:16" ht="90" x14ac:dyDescent="0.25">
      <c r="A105" s="46" t="s">
        <v>1092</v>
      </c>
      <c r="B105" s="42" t="s">
        <v>118</v>
      </c>
      <c r="C105" s="35"/>
      <c r="D105" s="35" t="s">
        <v>1093</v>
      </c>
      <c r="E105" s="35" t="s">
        <v>1094</v>
      </c>
      <c r="F105" s="35" t="s">
        <v>1095</v>
      </c>
      <c r="G105" s="46" t="s">
        <v>1096</v>
      </c>
      <c r="H105" s="42" t="s">
        <v>1097</v>
      </c>
      <c r="I105" s="42" t="s">
        <v>1098</v>
      </c>
      <c r="J105" s="42" t="s">
        <v>1099</v>
      </c>
      <c r="K105" s="46" t="s">
        <v>1100</v>
      </c>
      <c r="L105" s="37" t="s">
        <v>1101</v>
      </c>
      <c r="M105" s="37" t="s">
        <v>1102</v>
      </c>
      <c r="N105" s="42" t="s">
        <v>241</v>
      </c>
      <c r="O105" s="42" t="s">
        <v>242</v>
      </c>
      <c r="P105" s="42" t="s">
        <v>29</v>
      </c>
    </row>
    <row r="106" spans="1:16" ht="50.1" customHeight="1" x14ac:dyDescent="0.25">
      <c r="A106" s="46" t="s">
        <v>1103</v>
      </c>
      <c r="B106" s="42" t="s">
        <v>118</v>
      </c>
      <c r="C106" s="35"/>
      <c r="D106" s="35" t="s">
        <v>1104</v>
      </c>
      <c r="E106" s="35" t="s">
        <v>1105</v>
      </c>
      <c r="F106" s="35"/>
      <c r="G106" s="46" t="s">
        <v>1106</v>
      </c>
      <c r="H106" s="42" t="s">
        <v>1107</v>
      </c>
      <c r="I106" s="42" t="s">
        <v>1108</v>
      </c>
      <c r="J106" s="42" t="s">
        <v>1109</v>
      </c>
      <c r="K106" s="46" t="s">
        <v>1110</v>
      </c>
      <c r="L106" s="37" t="s">
        <v>1111</v>
      </c>
      <c r="M106" s="46"/>
      <c r="N106" s="42" t="s">
        <v>241</v>
      </c>
      <c r="O106" s="42" t="s">
        <v>242</v>
      </c>
      <c r="P106" s="42" t="s">
        <v>29</v>
      </c>
    </row>
    <row r="107" spans="1:16" ht="50.1" customHeight="1" x14ac:dyDescent="0.25">
      <c r="A107" s="46" t="s">
        <v>1112</v>
      </c>
      <c r="B107" s="42" t="s">
        <v>118</v>
      </c>
      <c r="C107" s="35"/>
      <c r="D107" s="35" t="s">
        <v>1113</v>
      </c>
      <c r="E107" s="35" t="s">
        <v>1114</v>
      </c>
      <c r="F107" s="35" t="s">
        <v>1115</v>
      </c>
      <c r="G107" s="46" t="s">
        <v>1116</v>
      </c>
      <c r="H107" s="42" t="s">
        <v>1117</v>
      </c>
      <c r="I107" s="42" t="s">
        <v>1118</v>
      </c>
      <c r="J107" s="42" t="s">
        <v>1119</v>
      </c>
      <c r="K107" s="46" t="s">
        <v>1120</v>
      </c>
      <c r="L107" s="46"/>
      <c r="M107" s="37" t="s">
        <v>1121</v>
      </c>
      <c r="N107" s="42" t="s">
        <v>241</v>
      </c>
      <c r="O107" s="42" t="s">
        <v>242</v>
      </c>
      <c r="P107" s="42" t="s">
        <v>29</v>
      </c>
    </row>
    <row r="108" spans="1:16" ht="50.1" customHeight="1" x14ac:dyDescent="0.25">
      <c r="A108" s="46" t="s">
        <v>1122</v>
      </c>
      <c r="B108" s="42" t="s">
        <v>118</v>
      </c>
      <c r="C108" s="35"/>
      <c r="D108" s="35" t="s">
        <v>1123</v>
      </c>
      <c r="E108" s="35"/>
      <c r="F108" s="35" t="s">
        <v>1124</v>
      </c>
      <c r="G108" s="46" t="s">
        <v>1125</v>
      </c>
      <c r="H108" s="42" t="s">
        <v>1126</v>
      </c>
      <c r="I108" s="42" t="s">
        <v>1127</v>
      </c>
      <c r="J108" s="42" t="s">
        <v>1128</v>
      </c>
      <c r="K108" s="46" t="s">
        <v>1129</v>
      </c>
      <c r="L108" s="37" t="s">
        <v>1130</v>
      </c>
      <c r="M108" s="46"/>
      <c r="N108" s="42" t="s">
        <v>241</v>
      </c>
      <c r="O108" s="42" t="s">
        <v>242</v>
      </c>
      <c r="P108" s="42" t="s">
        <v>29</v>
      </c>
    </row>
    <row r="109" spans="1:16" ht="75" x14ac:dyDescent="0.25">
      <c r="A109" s="46" t="s">
        <v>1131</v>
      </c>
      <c r="B109" s="42" t="s">
        <v>118</v>
      </c>
      <c r="C109" s="35"/>
      <c r="D109" s="35" t="s">
        <v>1132</v>
      </c>
      <c r="E109" s="35" t="s">
        <v>1133</v>
      </c>
      <c r="F109" s="35" t="s">
        <v>1134</v>
      </c>
      <c r="G109" s="46"/>
      <c r="H109" s="42" t="s">
        <v>1135</v>
      </c>
      <c r="I109" s="42" t="s">
        <v>1136</v>
      </c>
      <c r="J109" s="42" t="s">
        <v>1137</v>
      </c>
      <c r="K109" s="46" t="s">
        <v>1138</v>
      </c>
      <c r="L109" s="37" t="s">
        <v>1139</v>
      </c>
      <c r="M109" s="46"/>
      <c r="N109" s="42" t="s">
        <v>241</v>
      </c>
      <c r="O109" s="42" t="s">
        <v>242</v>
      </c>
      <c r="P109" s="42" t="s">
        <v>29</v>
      </c>
    </row>
    <row r="110" spans="1:16" ht="50.1" customHeight="1" x14ac:dyDescent="0.25">
      <c r="A110" s="46" t="s">
        <v>1140</v>
      </c>
      <c r="B110" s="42" t="s">
        <v>118</v>
      </c>
      <c r="C110" s="35"/>
      <c r="D110" s="35" t="s">
        <v>1141</v>
      </c>
      <c r="E110" s="35"/>
      <c r="F110" s="35" t="s">
        <v>912</v>
      </c>
      <c r="G110" s="46" t="s">
        <v>1142</v>
      </c>
      <c r="H110" s="42" t="s">
        <v>1143</v>
      </c>
      <c r="I110" s="42" t="s">
        <v>1144</v>
      </c>
      <c r="J110" s="42" t="s">
        <v>1145</v>
      </c>
      <c r="K110" s="46" t="s">
        <v>1146</v>
      </c>
      <c r="L110" s="37" t="s">
        <v>1147</v>
      </c>
      <c r="M110" s="37" t="s">
        <v>1148</v>
      </c>
      <c r="N110" s="42" t="s">
        <v>241</v>
      </c>
      <c r="O110" s="42" t="s">
        <v>242</v>
      </c>
      <c r="P110" s="42" t="s">
        <v>29</v>
      </c>
    </row>
    <row r="111" spans="1:16" ht="50.1" customHeight="1" x14ac:dyDescent="0.25">
      <c r="A111" s="46" t="s">
        <v>1149</v>
      </c>
      <c r="B111" s="42" t="s">
        <v>118</v>
      </c>
      <c r="C111" s="35"/>
      <c r="D111" s="35" t="s">
        <v>1150</v>
      </c>
      <c r="E111" s="35"/>
      <c r="F111" s="35"/>
      <c r="G111" s="46" t="s">
        <v>1151</v>
      </c>
      <c r="H111" s="42" t="s">
        <v>1152</v>
      </c>
      <c r="I111" s="42" t="s">
        <v>1153</v>
      </c>
      <c r="J111" s="42" t="s">
        <v>1154</v>
      </c>
      <c r="K111" s="46" t="s">
        <v>1155</v>
      </c>
      <c r="L111" s="37" t="s">
        <v>1156</v>
      </c>
      <c r="M111" s="37" t="s">
        <v>1157</v>
      </c>
      <c r="N111" s="42" t="s">
        <v>241</v>
      </c>
      <c r="O111" s="42" t="s">
        <v>242</v>
      </c>
      <c r="P111" s="42" t="s">
        <v>29</v>
      </c>
    </row>
    <row r="112" spans="1:16" ht="50.1" customHeight="1" x14ac:dyDescent="0.25">
      <c r="A112" s="46" t="s">
        <v>1158</v>
      </c>
      <c r="B112" s="42" t="s">
        <v>118</v>
      </c>
      <c r="C112" s="35"/>
      <c r="D112" s="35" t="s">
        <v>1159</v>
      </c>
      <c r="E112" s="35" t="s">
        <v>1160</v>
      </c>
      <c r="F112" s="35" t="s">
        <v>1161</v>
      </c>
      <c r="G112" s="46" t="s">
        <v>1162</v>
      </c>
      <c r="H112" s="42" t="s">
        <v>1163</v>
      </c>
      <c r="I112" s="42" t="s">
        <v>1164</v>
      </c>
      <c r="J112" s="42" t="s">
        <v>1165</v>
      </c>
      <c r="K112" s="46" t="s">
        <v>1166</v>
      </c>
      <c r="L112" s="37" t="s">
        <v>1167</v>
      </c>
      <c r="M112" s="37" t="s">
        <v>1168</v>
      </c>
      <c r="N112" s="42" t="s">
        <v>241</v>
      </c>
      <c r="O112" s="42" t="s">
        <v>242</v>
      </c>
      <c r="P112" s="42" t="s">
        <v>29</v>
      </c>
    </row>
    <row r="113" spans="1:16" ht="50.1" customHeight="1" x14ac:dyDescent="0.25">
      <c r="A113" s="46" t="s">
        <v>1169</v>
      </c>
      <c r="B113" s="42" t="s">
        <v>118</v>
      </c>
      <c r="C113" s="35"/>
      <c r="D113" s="35" t="s">
        <v>1170</v>
      </c>
      <c r="E113" s="35"/>
      <c r="F113" s="35"/>
      <c r="G113" s="46" t="s">
        <v>1171</v>
      </c>
      <c r="H113" s="42" t="s">
        <v>1172</v>
      </c>
      <c r="I113" s="42" t="s">
        <v>1173</v>
      </c>
      <c r="J113" s="42" t="s">
        <v>1174</v>
      </c>
      <c r="K113" s="46" t="s">
        <v>1175</v>
      </c>
      <c r="L113" s="37" t="s">
        <v>1176</v>
      </c>
      <c r="M113" s="37" t="s">
        <v>1177</v>
      </c>
      <c r="N113" s="42" t="s">
        <v>241</v>
      </c>
      <c r="O113" s="42" t="s">
        <v>242</v>
      </c>
      <c r="P113" s="42" t="s">
        <v>29</v>
      </c>
    </row>
    <row r="114" spans="1:16" ht="50.1" customHeight="1" x14ac:dyDescent="0.25">
      <c r="A114" s="46" t="s">
        <v>1178</v>
      </c>
      <c r="B114" s="42" t="s">
        <v>118</v>
      </c>
      <c r="C114" s="35"/>
      <c r="D114" s="35" t="s">
        <v>1179</v>
      </c>
      <c r="E114" s="35"/>
      <c r="F114" s="35" t="s">
        <v>1180</v>
      </c>
      <c r="G114" s="46" t="s">
        <v>1181</v>
      </c>
      <c r="H114" s="42" t="s">
        <v>1182</v>
      </c>
      <c r="I114" s="42" t="s">
        <v>1183</v>
      </c>
      <c r="J114" s="42" t="s">
        <v>1184</v>
      </c>
      <c r="K114" s="46" t="s">
        <v>1185</v>
      </c>
      <c r="L114" s="37" t="s">
        <v>1186</v>
      </c>
      <c r="M114" s="37" t="s">
        <v>1187</v>
      </c>
      <c r="N114" s="42" t="s">
        <v>350</v>
      </c>
      <c r="O114" s="42" t="s">
        <v>242</v>
      </c>
      <c r="P114" s="42" t="s">
        <v>29</v>
      </c>
    </row>
    <row r="115" spans="1:16" ht="105" x14ac:dyDescent="0.25">
      <c r="A115" s="46" t="s">
        <v>1188</v>
      </c>
      <c r="B115" s="42" t="s">
        <v>118</v>
      </c>
      <c r="C115" s="35"/>
      <c r="D115" s="35" t="s">
        <v>1189</v>
      </c>
      <c r="E115" s="35" t="s">
        <v>1190</v>
      </c>
      <c r="F115" s="35" t="s">
        <v>1191</v>
      </c>
      <c r="G115" s="46" t="s">
        <v>1192</v>
      </c>
      <c r="H115" s="42" t="s">
        <v>1193</v>
      </c>
      <c r="I115" s="42" t="s">
        <v>1194</v>
      </c>
      <c r="J115" s="42" t="s">
        <v>1195</v>
      </c>
      <c r="K115" s="46" t="s">
        <v>1196</v>
      </c>
      <c r="L115" s="37" t="s">
        <v>1197</v>
      </c>
      <c r="M115" s="37" t="s">
        <v>1198</v>
      </c>
      <c r="N115" s="42" t="s">
        <v>241</v>
      </c>
      <c r="O115" s="42" t="s">
        <v>242</v>
      </c>
      <c r="P115" s="42" t="s">
        <v>29</v>
      </c>
    </row>
    <row r="116" spans="1:16" ht="75" x14ac:dyDescent="0.25">
      <c r="A116" s="46" t="s">
        <v>1199</v>
      </c>
      <c r="B116" s="42" t="s">
        <v>118</v>
      </c>
      <c r="C116" s="35"/>
      <c r="D116" s="35" t="s">
        <v>1200</v>
      </c>
      <c r="E116" s="35" t="s">
        <v>1201</v>
      </c>
      <c r="F116" s="35" t="s">
        <v>1202</v>
      </c>
      <c r="G116" s="46" t="s">
        <v>1203</v>
      </c>
      <c r="H116" s="42" t="s">
        <v>1204</v>
      </c>
      <c r="I116" s="42" t="s">
        <v>1205</v>
      </c>
      <c r="J116" s="42" t="s">
        <v>1206</v>
      </c>
      <c r="K116" s="46" t="s">
        <v>1207</v>
      </c>
      <c r="L116" s="37" t="s">
        <v>1208</v>
      </c>
      <c r="M116" s="37" t="s">
        <v>1209</v>
      </c>
      <c r="N116" s="42" t="s">
        <v>241</v>
      </c>
      <c r="O116" s="42" t="s">
        <v>242</v>
      </c>
      <c r="P116" s="42" t="s">
        <v>29</v>
      </c>
    </row>
    <row r="117" spans="1:16" ht="89.25" customHeight="1" x14ac:dyDescent="0.25">
      <c r="A117" s="46" t="s">
        <v>1210</v>
      </c>
      <c r="B117" s="42" t="s">
        <v>118</v>
      </c>
      <c r="C117" s="35"/>
      <c r="D117" s="35" t="s">
        <v>1211</v>
      </c>
      <c r="E117" s="35" t="s">
        <v>1212</v>
      </c>
      <c r="F117" s="35" t="s">
        <v>1213</v>
      </c>
      <c r="G117" s="46" t="s">
        <v>1214</v>
      </c>
      <c r="H117" s="42" t="s">
        <v>1215</v>
      </c>
      <c r="I117" s="42" t="s">
        <v>1216</v>
      </c>
      <c r="J117" s="42" t="s">
        <v>1217</v>
      </c>
      <c r="K117" s="46" t="s">
        <v>1218</v>
      </c>
      <c r="L117" s="37" t="s">
        <v>1219</v>
      </c>
      <c r="M117" s="46"/>
      <c r="N117" s="42" t="s">
        <v>241</v>
      </c>
      <c r="O117" s="42" t="s">
        <v>242</v>
      </c>
      <c r="P117" s="42" t="s">
        <v>29</v>
      </c>
    </row>
    <row r="118" spans="1:16" ht="50.1" customHeight="1" x14ac:dyDescent="0.25">
      <c r="A118" s="46" t="s">
        <v>1220</v>
      </c>
      <c r="B118" s="42" t="s">
        <v>118</v>
      </c>
      <c r="C118" s="35"/>
      <c r="D118" s="35" t="s">
        <v>177</v>
      </c>
      <c r="E118" s="35"/>
      <c r="F118" s="35" t="s">
        <v>1221</v>
      </c>
      <c r="G118" s="46" t="s">
        <v>1222</v>
      </c>
      <c r="H118" s="42" t="s">
        <v>1223</v>
      </c>
      <c r="I118" s="42" t="s">
        <v>1224</v>
      </c>
      <c r="J118" s="42" t="s">
        <v>1225</v>
      </c>
      <c r="K118" s="46" t="s">
        <v>1226</v>
      </c>
      <c r="L118" s="37" t="s">
        <v>1227</v>
      </c>
      <c r="M118" s="37" t="s">
        <v>1228</v>
      </c>
      <c r="N118" s="42" t="s">
        <v>241</v>
      </c>
      <c r="O118" s="42" t="s">
        <v>242</v>
      </c>
      <c r="P118" s="42" t="s">
        <v>29</v>
      </c>
    </row>
    <row r="119" spans="1:16" ht="50.1" customHeight="1" x14ac:dyDescent="0.25">
      <c r="A119" s="46" t="s">
        <v>1229</v>
      </c>
      <c r="B119" s="42" t="s">
        <v>118</v>
      </c>
      <c r="C119" s="35" t="s">
        <v>1230</v>
      </c>
      <c r="D119" s="35" t="s">
        <v>1231</v>
      </c>
      <c r="E119" s="35" t="s">
        <v>1232</v>
      </c>
      <c r="F119" s="35" t="s">
        <v>1233</v>
      </c>
      <c r="G119" s="46" t="s">
        <v>1234</v>
      </c>
      <c r="H119" s="42" t="s">
        <v>1235</v>
      </c>
      <c r="I119" s="42" t="s">
        <v>1236</v>
      </c>
      <c r="J119" s="42" t="s">
        <v>1237</v>
      </c>
      <c r="K119" s="46" t="s">
        <v>1238</v>
      </c>
      <c r="L119" s="37" t="s">
        <v>1239</v>
      </c>
      <c r="M119" s="37" t="s">
        <v>1240</v>
      </c>
      <c r="N119" s="42" t="s">
        <v>241</v>
      </c>
      <c r="O119" s="42" t="s">
        <v>242</v>
      </c>
      <c r="P119" s="42" t="s">
        <v>29</v>
      </c>
    </row>
    <row r="120" spans="1:16" ht="50.1" customHeight="1" x14ac:dyDescent="0.25">
      <c r="A120" s="46" t="s">
        <v>1241</v>
      </c>
      <c r="B120" s="42" t="s">
        <v>118</v>
      </c>
      <c r="C120" s="35"/>
      <c r="D120" s="35" t="s">
        <v>1242</v>
      </c>
      <c r="E120" s="35" t="s">
        <v>1243</v>
      </c>
      <c r="F120" s="35" t="s">
        <v>1244</v>
      </c>
      <c r="G120" s="46" t="s">
        <v>1245</v>
      </c>
      <c r="H120" s="42" t="s">
        <v>1246</v>
      </c>
      <c r="I120" s="42" t="s">
        <v>1247</v>
      </c>
      <c r="J120" s="42" t="s">
        <v>1248</v>
      </c>
      <c r="K120" s="46" t="s">
        <v>1249</v>
      </c>
      <c r="L120" s="37" t="s">
        <v>1250</v>
      </c>
      <c r="M120" s="37" t="s">
        <v>1251</v>
      </c>
      <c r="N120" s="42" t="s">
        <v>241</v>
      </c>
      <c r="O120" s="42" t="s">
        <v>242</v>
      </c>
      <c r="P120" s="42" t="s">
        <v>29</v>
      </c>
    </row>
    <row r="121" spans="1:16" ht="50.1" customHeight="1" x14ac:dyDescent="0.25">
      <c r="A121" s="46" t="s">
        <v>1252</v>
      </c>
      <c r="B121" s="42" t="s">
        <v>118</v>
      </c>
      <c r="C121" s="35"/>
      <c r="D121" s="35" t="s">
        <v>1253</v>
      </c>
      <c r="E121" s="35"/>
      <c r="F121" s="35" t="s">
        <v>1254</v>
      </c>
      <c r="G121" s="46" t="s">
        <v>1255</v>
      </c>
      <c r="H121" s="42" t="s">
        <v>1256</v>
      </c>
      <c r="I121" s="42" t="s">
        <v>1257</v>
      </c>
      <c r="J121" s="42" t="s">
        <v>1258</v>
      </c>
      <c r="K121" s="46" t="s">
        <v>1259</v>
      </c>
      <c r="L121" s="37" t="s">
        <v>1260</v>
      </c>
      <c r="M121" s="37" t="s">
        <v>1261</v>
      </c>
      <c r="N121" s="42" t="s">
        <v>241</v>
      </c>
      <c r="O121" s="42" t="s">
        <v>242</v>
      </c>
      <c r="P121" s="42" t="s">
        <v>29</v>
      </c>
    </row>
    <row r="122" spans="1:16" ht="50.1" customHeight="1" x14ac:dyDescent="0.25">
      <c r="A122" s="46" t="s">
        <v>1262</v>
      </c>
      <c r="B122" s="42" t="s">
        <v>118</v>
      </c>
      <c r="C122" s="35"/>
      <c r="D122" s="35" t="s">
        <v>1263</v>
      </c>
      <c r="E122" s="35"/>
      <c r="F122" s="35" t="s">
        <v>1264</v>
      </c>
      <c r="G122" s="46" t="s">
        <v>1265</v>
      </c>
      <c r="H122" s="42" t="s">
        <v>1266</v>
      </c>
      <c r="I122" s="42" t="s">
        <v>1267</v>
      </c>
      <c r="J122" s="42" t="s">
        <v>1268</v>
      </c>
      <c r="K122" s="46" t="s">
        <v>1269</v>
      </c>
      <c r="L122" s="37" t="s">
        <v>1270</v>
      </c>
      <c r="M122" s="46"/>
      <c r="N122" s="42" t="s">
        <v>241</v>
      </c>
      <c r="O122" s="42" t="s">
        <v>242</v>
      </c>
      <c r="P122" s="42" t="s">
        <v>29</v>
      </c>
    </row>
    <row r="123" spans="1:16" ht="50.1" customHeight="1" x14ac:dyDescent="0.25">
      <c r="A123" s="46" t="s">
        <v>1271</v>
      </c>
      <c r="B123" s="42" t="s">
        <v>118</v>
      </c>
      <c r="C123" s="35"/>
      <c r="D123" s="35" t="s">
        <v>1272</v>
      </c>
      <c r="E123" s="35"/>
      <c r="F123" s="35" t="s">
        <v>707</v>
      </c>
      <c r="G123" s="46" t="s">
        <v>1273</v>
      </c>
      <c r="H123" s="42" t="s">
        <v>1274</v>
      </c>
      <c r="I123" s="42" t="s">
        <v>1275</v>
      </c>
      <c r="J123" s="42" t="s">
        <v>1276</v>
      </c>
      <c r="K123" s="46" t="s">
        <v>1277</v>
      </c>
      <c r="L123" s="37" t="s">
        <v>1278</v>
      </c>
      <c r="M123" s="46"/>
      <c r="N123" s="42" t="s">
        <v>350</v>
      </c>
      <c r="O123" s="42" t="s">
        <v>242</v>
      </c>
      <c r="P123" s="42" t="s">
        <v>29</v>
      </c>
    </row>
    <row r="124" spans="1:16" ht="50.1" customHeight="1" x14ac:dyDescent="0.25">
      <c r="A124" s="46" t="s">
        <v>1279</v>
      </c>
      <c r="B124" s="42" t="s">
        <v>118</v>
      </c>
      <c r="C124" s="35"/>
      <c r="D124" s="35" t="s">
        <v>1280</v>
      </c>
      <c r="E124" s="35"/>
      <c r="F124" s="35" t="s">
        <v>1281</v>
      </c>
      <c r="G124" s="46" t="s">
        <v>1282</v>
      </c>
      <c r="H124" s="42" t="s">
        <v>1283</v>
      </c>
      <c r="I124" s="42" t="s">
        <v>1284</v>
      </c>
      <c r="J124" s="42" t="s">
        <v>1285</v>
      </c>
      <c r="K124" s="46" t="s">
        <v>1286</v>
      </c>
      <c r="L124" s="37" t="s">
        <v>1287</v>
      </c>
      <c r="M124" s="46"/>
      <c r="N124" s="42" t="s">
        <v>241</v>
      </c>
      <c r="O124" s="42" t="s">
        <v>242</v>
      </c>
      <c r="P124" s="42" t="s">
        <v>29</v>
      </c>
    </row>
    <row r="125" spans="1:16" ht="50.1" customHeight="1" x14ac:dyDescent="0.25">
      <c r="A125" s="46" t="s">
        <v>1288</v>
      </c>
      <c r="B125" s="42" t="s">
        <v>118</v>
      </c>
      <c r="C125" s="35"/>
      <c r="D125" s="35" t="s">
        <v>1289</v>
      </c>
      <c r="E125" s="35"/>
      <c r="F125" s="35"/>
      <c r="G125" s="46" t="s">
        <v>1290</v>
      </c>
      <c r="H125" s="42" t="s">
        <v>1291</v>
      </c>
      <c r="I125" s="42" t="s">
        <v>1292</v>
      </c>
      <c r="J125" s="42" t="s">
        <v>1293</v>
      </c>
      <c r="K125" s="46" t="s">
        <v>1294</v>
      </c>
      <c r="L125" s="37" t="s">
        <v>1295</v>
      </c>
      <c r="M125" s="37" t="s">
        <v>1296</v>
      </c>
      <c r="N125" s="42" t="s">
        <v>241</v>
      </c>
      <c r="O125" s="42" t="s">
        <v>242</v>
      </c>
      <c r="P125" s="42" t="s">
        <v>29</v>
      </c>
    </row>
    <row r="126" spans="1:16" ht="50.1" customHeight="1" x14ac:dyDescent="0.25">
      <c r="A126" s="46" t="s">
        <v>1297</v>
      </c>
      <c r="B126" s="42" t="s">
        <v>118</v>
      </c>
      <c r="C126" s="35"/>
      <c r="D126" s="35" t="s">
        <v>1298</v>
      </c>
      <c r="E126" s="35" t="s">
        <v>1299</v>
      </c>
      <c r="F126" s="35" t="s">
        <v>1300</v>
      </c>
      <c r="G126" s="46" t="s">
        <v>1301</v>
      </c>
      <c r="H126" s="42" t="s">
        <v>1302</v>
      </c>
      <c r="I126" s="42" t="s">
        <v>1303</v>
      </c>
      <c r="J126" s="42" t="s">
        <v>1304</v>
      </c>
      <c r="K126" s="46" t="s">
        <v>1305</v>
      </c>
      <c r="L126" s="37" t="s">
        <v>1306</v>
      </c>
      <c r="M126" s="46"/>
      <c r="N126" s="42" t="s">
        <v>241</v>
      </c>
      <c r="O126" s="42" t="s">
        <v>242</v>
      </c>
      <c r="P126" s="42" t="s">
        <v>29</v>
      </c>
    </row>
    <row r="127" spans="1:16" ht="50.1" customHeight="1" x14ac:dyDescent="0.25">
      <c r="A127" s="46" t="s">
        <v>1307</v>
      </c>
      <c r="B127" s="42" t="s">
        <v>118</v>
      </c>
      <c r="C127" s="35"/>
      <c r="D127" s="35" t="s">
        <v>1308</v>
      </c>
      <c r="E127" s="35"/>
      <c r="F127" s="35" t="s">
        <v>1309</v>
      </c>
      <c r="G127" s="46" t="s">
        <v>1310</v>
      </c>
      <c r="H127" s="42" t="s">
        <v>1311</v>
      </c>
      <c r="I127" s="42" t="s">
        <v>1312</v>
      </c>
      <c r="J127" s="42" t="s">
        <v>1313</v>
      </c>
      <c r="K127" s="46" t="s">
        <v>1314</v>
      </c>
      <c r="L127" s="37" t="s">
        <v>1315</v>
      </c>
      <c r="M127" s="37" t="s">
        <v>1316</v>
      </c>
      <c r="N127" s="42" t="s">
        <v>241</v>
      </c>
      <c r="O127" s="42" t="s">
        <v>242</v>
      </c>
      <c r="P127" s="42" t="s">
        <v>29</v>
      </c>
    </row>
    <row r="128" spans="1:16" ht="50.1" customHeight="1" x14ac:dyDescent="0.25">
      <c r="A128" s="46" t="s">
        <v>1317</v>
      </c>
      <c r="B128" s="42" t="s">
        <v>118</v>
      </c>
      <c r="C128" s="35"/>
      <c r="D128" s="35" t="s">
        <v>1318</v>
      </c>
      <c r="E128" s="35" t="s">
        <v>1319</v>
      </c>
      <c r="F128" s="35" t="s">
        <v>1320</v>
      </c>
      <c r="G128" s="46" t="s">
        <v>1321</v>
      </c>
      <c r="H128" s="42" t="s">
        <v>1322</v>
      </c>
      <c r="I128" s="42" t="s">
        <v>1676</v>
      </c>
      <c r="J128" s="42" t="s">
        <v>1323</v>
      </c>
      <c r="K128" s="46" t="s">
        <v>1324</v>
      </c>
      <c r="L128" s="37" t="s">
        <v>1325</v>
      </c>
      <c r="M128" s="37" t="s">
        <v>1326</v>
      </c>
      <c r="N128" s="42" t="s">
        <v>241</v>
      </c>
      <c r="O128" s="42" t="s">
        <v>242</v>
      </c>
      <c r="P128" s="42" t="s">
        <v>29</v>
      </c>
    </row>
    <row r="129" spans="1:16" ht="50.1" customHeight="1" x14ac:dyDescent="0.25">
      <c r="A129" s="46" t="s">
        <v>1327</v>
      </c>
      <c r="B129" s="42" t="s">
        <v>118</v>
      </c>
      <c r="C129" s="35"/>
      <c r="D129" s="35" t="s">
        <v>1328</v>
      </c>
      <c r="E129" s="35"/>
      <c r="F129" s="35" t="s">
        <v>1329</v>
      </c>
      <c r="G129" s="46" t="s">
        <v>1330</v>
      </c>
      <c r="H129" s="42" t="s">
        <v>1331</v>
      </c>
      <c r="I129" s="42" t="s">
        <v>1332</v>
      </c>
      <c r="J129" s="42" t="s">
        <v>1333</v>
      </c>
      <c r="K129" s="46" t="s">
        <v>1334</v>
      </c>
      <c r="L129" s="37" t="s">
        <v>1335</v>
      </c>
      <c r="M129" s="46"/>
      <c r="N129" s="42" t="s">
        <v>350</v>
      </c>
      <c r="O129" s="42" t="s">
        <v>242</v>
      </c>
      <c r="P129" s="42" t="s">
        <v>29</v>
      </c>
    </row>
    <row r="130" spans="1:16" ht="50.1" customHeight="1" x14ac:dyDescent="0.25">
      <c r="A130" s="46" t="s">
        <v>1336</v>
      </c>
      <c r="B130" s="42" t="s">
        <v>118</v>
      </c>
      <c r="C130" s="46"/>
      <c r="D130" s="46" t="s">
        <v>1337</v>
      </c>
      <c r="E130" s="46"/>
      <c r="F130" s="35" t="s">
        <v>1338</v>
      </c>
      <c r="G130" s="46" t="s">
        <v>1339</v>
      </c>
      <c r="H130" s="42" t="s">
        <v>1340</v>
      </c>
      <c r="I130" s="42" t="s">
        <v>1341</v>
      </c>
      <c r="J130" s="42" t="s">
        <v>1342</v>
      </c>
      <c r="K130" s="46" t="s">
        <v>1343</v>
      </c>
      <c r="L130" s="37" t="s">
        <v>1344</v>
      </c>
      <c r="M130" s="37" t="s">
        <v>1345</v>
      </c>
      <c r="N130" s="42" t="s">
        <v>241</v>
      </c>
      <c r="O130" s="42" t="s">
        <v>242</v>
      </c>
      <c r="P130" s="42" t="s">
        <v>29</v>
      </c>
    </row>
    <row r="131" spans="1:16" ht="50.1" customHeight="1" x14ac:dyDescent="0.25">
      <c r="A131" s="46" t="s">
        <v>1346</v>
      </c>
      <c r="B131" s="42" t="s">
        <v>118</v>
      </c>
      <c r="C131" s="46"/>
      <c r="D131" s="46" t="s">
        <v>1347</v>
      </c>
      <c r="E131" s="46"/>
      <c r="F131" s="35" t="s">
        <v>1348</v>
      </c>
      <c r="G131" s="46" t="s">
        <v>1349</v>
      </c>
      <c r="H131" s="42" t="s">
        <v>1350</v>
      </c>
      <c r="I131" s="42" t="s">
        <v>1351</v>
      </c>
      <c r="J131" s="42" t="s">
        <v>1352</v>
      </c>
      <c r="K131" s="46" t="s">
        <v>1353</v>
      </c>
      <c r="L131" s="46"/>
      <c r="M131" s="46"/>
      <c r="N131" s="42" t="s">
        <v>241</v>
      </c>
      <c r="O131" s="42" t="s">
        <v>242</v>
      </c>
      <c r="P131" s="42" t="s">
        <v>29</v>
      </c>
    </row>
    <row r="132" spans="1:16" ht="50.1" customHeight="1" x14ac:dyDescent="0.25">
      <c r="A132" s="46" t="s">
        <v>1354</v>
      </c>
      <c r="B132" s="42" t="s">
        <v>118</v>
      </c>
      <c r="C132" s="46"/>
      <c r="D132" s="46" t="s">
        <v>1355</v>
      </c>
      <c r="E132" s="46"/>
      <c r="F132" s="35" t="s">
        <v>1356</v>
      </c>
      <c r="G132" s="46" t="s">
        <v>1357</v>
      </c>
      <c r="H132" s="42" t="s">
        <v>1358</v>
      </c>
      <c r="I132" s="42" t="s">
        <v>1359</v>
      </c>
      <c r="J132" s="42" t="s">
        <v>1360</v>
      </c>
      <c r="K132" s="46" t="s">
        <v>1361</v>
      </c>
      <c r="L132" s="37" t="s">
        <v>1362</v>
      </c>
      <c r="M132" s="46"/>
      <c r="N132" s="42" t="s">
        <v>241</v>
      </c>
      <c r="O132" s="42" t="s">
        <v>242</v>
      </c>
      <c r="P132" s="42" t="s">
        <v>29</v>
      </c>
    </row>
    <row r="133" spans="1:16" ht="50.1" customHeight="1" x14ac:dyDescent="0.25">
      <c r="A133" s="46" t="s">
        <v>1363</v>
      </c>
      <c r="B133" s="42" t="s">
        <v>118</v>
      </c>
      <c r="C133" s="46"/>
      <c r="D133" s="46" t="s">
        <v>1364</v>
      </c>
      <c r="E133" s="46"/>
      <c r="F133" s="35" t="s">
        <v>1365</v>
      </c>
      <c r="G133" s="46" t="s">
        <v>1366</v>
      </c>
      <c r="H133" s="42" t="s">
        <v>1367</v>
      </c>
      <c r="I133" s="42" t="s">
        <v>1368</v>
      </c>
      <c r="J133" s="42" t="s">
        <v>1369</v>
      </c>
      <c r="K133" s="46" t="s">
        <v>1370</v>
      </c>
      <c r="L133" s="37" t="s">
        <v>1371</v>
      </c>
      <c r="M133" s="37" t="s">
        <v>1372</v>
      </c>
      <c r="N133" s="42" t="s">
        <v>241</v>
      </c>
      <c r="O133" s="42" t="s">
        <v>242</v>
      </c>
      <c r="P133" s="42" t="s">
        <v>29</v>
      </c>
    </row>
    <row r="134" spans="1:16" ht="50.1" customHeight="1" x14ac:dyDescent="0.25">
      <c r="A134" s="46" t="s">
        <v>1373</v>
      </c>
      <c r="B134" s="42" t="s">
        <v>118</v>
      </c>
      <c r="C134" s="46"/>
      <c r="D134" s="46" t="s">
        <v>1374</v>
      </c>
      <c r="E134" s="46"/>
      <c r="F134" s="35" t="s">
        <v>1375</v>
      </c>
      <c r="G134" s="46" t="s">
        <v>1376</v>
      </c>
      <c r="H134" s="42" t="s">
        <v>1377</v>
      </c>
      <c r="I134" s="42" t="s">
        <v>1378</v>
      </c>
      <c r="J134" s="42" t="s">
        <v>1379</v>
      </c>
      <c r="K134" s="46" t="s">
        <v>1380</v>
      </c>
      <c r="L134" s="37" t="s">
        <v>1381</v>
      </c>
      <c r="M134" s="46"/>
      <c r="N134" s="42" t="s">
        <v>241</v>
      </c>
      <c r="O134" s="42" t="s">
        <v>242</v>
      </c>
      <c r="P134" s="42" t="s">
        <v>29</v>
      </c>
    </row>
    <row r="135" spans="1:16" ht="75" x14ac:dyDescent="0.25">
      <c r="A135" s="46" t="s">
        <v>1382</v>
      </c>
      <c r="B135" s="42" t="s">
        <v>118</v>
      </c>
      <c r="C135" s="46"/>
      <c r="D135" s="46" t="s">
        <v>1383</v>
      </c>
      <c r="E135" s="35" t="s">
        <v>1384</v>
      </c>
      <c r="F135" s="35" t="s">
        <v>1385</v>
      </c>
      <c r="G135" s="46" t="s">
        <v>1301</v>
      </c>
      <c r="H135" s="42" t="s">
        <v>1386</v>
      </c>
      <c r="I135" s="42" t="s">
        <v>1387</v>
      </c>
      <c r="J135" s="42" t="s">
        <v>1388</v>
      </c>
      <c r="K135" s="46" t="s">
        <v>1389</v>
      </c>
      <c r="L135" s="37" t="s">
        <v>1390</v>
      </c>
      <c r="M135" s="46"/>
      <c r="N135" s="42" t="s">
        <v>241</v>
      </c>
      <c r="O135" s="42" t="s">
        <v>242</v>
      </c>
      <c r="P135" s="42" t="s">
        <v>29</v>
      </c>
    </row>
    <row r="136" spans="1:16" ht="50.1" customHeight="1" x14ac:dyDescent="0.25">
      <c r="A136" s="46" t="s">
        <v>1391</v>
      </c>
      <c r="B136" s="42" t="s">
        <v>118</v>
      </c>
      <c r="C136" s="46"/>
      <c r="D136" s="46" t="s">
        <v>1392</v>
      </c>
      <c r="E136" s="46"/>
      <c r="F136" s="35" t="s">
        <v>1393</v>
      </c>
      <c r="G136" s="46" t="s">
        <v>1394</v>
      </c>
      <c r="H136" s="42" t="s">
        <v>1395</v>
      </c>
      <c r="I136" s="42" t="s">
        <v>1396</v>
      </c>
      <c r="J136" s="42" t="s">
        <v>1397</v>
      </c>
      <c r="K136" s="46" t="s">
        <v>1398</v>
      </c>
      <c r="L136" s="37" t="s">
        <v>1399</v>
      </c>
      <c r="M136" s="37" t="s">
        <v>1400</v>
      </c>
      <c r="N136" s="42" t="s">
        <v>241</v>
      </c>
      <c r="O136" s="42" t="s">
        <v>242</v>
      </c>
      <c r="P136" s="42" t="s">
        <v>29</v>
      </c>
    </row>
    <row r="137" spans="1:16" ht="50.1" customHeight="1" x14ac:dyDescent="0.25">
      <c r="A137" s="46" t="s">
        <v>1401</v>
      </c>
      <c r="B137" s="42" t="s">
        <v>118</v>
      </c>
      <c r="C137" s="46"/>
      <c r="D137" s="46" t="s">
        <v>1402</v>
      </c>
      <c r="E137" s="35" t="s">
        <v>1403</v>
      </c>
      <c r="F137" s="35" t="s">
        <v>1320</v>
      </c>
      <c r="G137" s="46" t="s">
        <v>1404</v>
      </c>
      <c r="H137" s="42" t="s">
        <v>1405</v>
      </c>
      <c r="I137" s="42" t="s">
        <v>1406</v>
      </c>
      <c r="J137" s="42" t="s">
        <v>1407</v>
      </c>
      <c r="K137" s="46" t="s">
        <v>1408</v>
      </c>
      <c r="L137" s="37" t="s">
        <v>1409</v>
      </c>
      <c r="M137" s="46"/>
      <c r="N137" s="42" t="s">
        <v>241</v>
      </c>
      <c r="O137" s="42" t="s">
        <v>242</v>
      </c>
      <c r="P137" s="42" t="s">
        <v>29</v>
      </c>
    </row>
    <row r="138" spans="1:16" ht="50.1" customHeight="1" x14ac:dyDescent="0.25">
      <c r="A138" s="46" t="s">
        <v>1410</v>
      </c>
      <c r="B138" s="42" t="s">
        <v>118</v>
      </c>
      <c r="C138" s="46"/>
      <c r="D138" s="46" t="s">
        <v>173</v>
      </c>
      <c r="E138" s="35" t="s">
        <v>1411</v>
      </c>
      <c r="F138" s="35" t="s">
        <v>1412</v>
      </c>
      <c r="G138" s="46" t="s">
        <v>1413</v>
      </c>
      <c r="H138" s="42" t="s">
        <v>1414</v>
      </c>
      <c r="I138" s="42" t="s">
        <v>1415</v>
      </c>
      <c r="J138" s="42" t="s">
        <v>1416</v>
      </c>
      <c r="K138" s="46" t="s">
        <v>1417</v>
      </c>
      <c r="L138" s="37" t="s">
        <v>1418</v>
      </c>
      <c r="M138" s="37" t="s">
        <v>1419</v>
      </c>
      <c r="N138" s="42" t="s">
        <v>241</v>
      </c>
      <c r="O138" s="42" t="s">
        <v>242</v>
      </c>
      <c r="P138" s="42" t="s">
        <v>29</v>
      </c>
    </row>
    <row r="139" spans="1:16" ht="50.1" customHeight="1" x14ac:dyDescent="0.25">
      <c r="A139" s="46" t="s">
        <v>1420</v>
      </c>
      <c r="B139" s="42" t="s">
        <v>118</v>
      </c>
      <c r="C139" s="46"/>
      <c r="D139" s="46" t="s">
        <v>1421</v>
      </c>
      <c r="E139" s="46"/>
      <c r="F139" s="35" t="s">
        <v>1422</v>
      </c>
      <c r="G139" s="46" t="s">
        <v>1423</v>
      </c>
      <c r="H139" s="42" t="s">
        <v>1424</v>
      </c>
      <c r="I139" s="42" t="s">
        <v>1425</v>
      </c>
      <c r="J139" s="42" t="s">
        <v>1426</v>
      </c>
      <c r="K139" s="46" t="s">
        <v>1427</v>
      </c>
      <c r="L139" s="37" t="s">
        <v>1428</v>
      </c>
      <c r="M139" s="46"/>
      <c r="N139" s="42" t="s">
        <v>241</v>
      </c>
      <c r="O139" s="42" t="s">
        <v>242</v>
      </c>
      <c r="P139" s="42" t="s">
        <v>29</v>
      </c>
    </row>
    <row r="140" spans="1:16" ht="50.1" customHeight="1" x14ac:dyDescent="0.25">
      <c r="A140" s="46" t="s">
        <v>1429</v>
      </c>
      <c r="B140" s="42" t="s">
        <v>118</v>
      </c>
      <c r="C140" s="46"/>
      <c r="D140" s="46" t="s">
        <v>1430</v>
      </c>
      <c r="E140" s="46" t="s">
        <v>1431</v>
      </c>
      <c r="F140" s="35" t="s">
        <v>1432</v>
      </c>
      <c r="G140" s="46" t="s">
        <v>1433</v>
      </c>
      <c r="H140" s="42" t="s">
        <v>1434</v>
      </c>
      <c r="I140" s="42"/>
      <c r="J140" s="42" t="s">
        <v>1435</v>
      </c>
      <c r="K140" s="46" t="s">
        <v>872</v>
      </c>
      <c r="L140" s="37" t="s">
        <v>864</v>
      </c>
      <c r="M140" s="37" t="s">
        <v>865</v>
      </c>
      <c r="N140" s="42" t="s">
        <v>241</v>
      </c>
      <c r="O140" s="42" t="s">
        <v>242</v>
      </c>
      <c r="P140" s="42" t="s">
        <v>29</v>
      </c>
    </row>
    <row r="141" spans="1:16" ht="50.1" customHeight="1" x14ac:dyDescent="0.25">
      <c r="A141" s="46" t="s">
        <v>1436</v>
      </c>
      <c r="B141" s="42" t="s">
        <v>118</v>
      </c>
      <c r="C141" s="46"/>
      <c r="D141" s="46" t="s">
        <v>1437</v>
      </c>
      <c r="E141" s="35" t="s">
        <v>1438</v>
      </c>
      <c r="F141" s="35" t="s">
        <v>392</v>
      </c>
      <c r="G141" s="46" t="s">
        <v>1439</v>
      </c>
      <c r="H141" s="42" t="s">
        <v>1440</v>
      </c>
      <c r="I141" s="42" t="s">
        <v>1441</v>
      </c>
      <c r="J141" s="42" t="s">
        <v>1442</v>
      </c>
      <c r="K141" s="46" t="s">
        <v>1443</v>
      </c>
      <c r="L141" s="37" t="s">
        <v>1444</v>
      </c>
      <c r="M141" s="46"/>
      <c r="N141" s="42" t="s">
        <v>241</v>
      </c>
      <c r="O141" s="42" t="s">
        <v>242</v>
      </c>
      <c r="P141" s="42" t="s">
        <v>29</v>
      </c>
    </row>
    <row r="142" spans="1:16" ht="50.1" customHeight="1" x14ac:dyDescent="0.25">
      <c r="A142" s="46" t="s">
        <v>1445</v>
      </c>
      <c r="B142" s="42" t="s">
        <v>118</v>
      </c>
      <c r="C142" s="46"/>
      <c r="D142" s="46" t="s">
        <v>1446</v>
      </c>
      <c r="E142" s="46"/>
      <c r="F142" s="35"/>
      <c r="G142" s="46" t="s">
        <v>1002</v>
      </c>
      <c r="H142" s="42" t="s">
        <v>1447</v>
      </c>
      <c r="I142" s="42" t="s">
        <v>1448</v>
      </c>
      <c r="J142" s="42" t="s">
        <v>1449</v>
      </c>
      <c r="K142" s="46" t="s">
        <v>1450</v>
      </c>
      <c r="L142" s="37" t="s">
        <v>1451</v>
      </c>
      <c r="M142" s="37" t="s">
        <v>1452</v>
      </c>
      <c r="N142" s="42" t="s">
        <v>241</v>
      </c>
      <c r="O142" s="42" t="s">
        <v>242</v>
      </c>
      <c r="P142" s="42" t="s">
        <v>29</v>
      </c>
    </row>
    <row r="143" spans="1:16" ht="50.1" customHeight="1" x14ac:dyDescent="0.25">
      <c r="A143" s="46" t="s">
        <v>1453</v>
      </c>
      <c r="B143" s="42" t="s">
        <v>118</v>
      </c>
      <c r="C143" s="46"/>
      <c r="D143" s="46" t="s">
        <v>1454</v>
      </c>
      <c r="E143" s="46" t="s">
        <v>1455</v>
      </c>
      <c r="F143" s="35" t="s">
        <v>1320</v>
      </c>
      <c r="G143" s="46" t="s">
        <v>1456</v>
      </c>
      <c r="H143" s="42" t="s">
        <v>1457</v>
      </c>
      <c r="I143" s="42" t="s">
        <v>1458</v>
      </c>
      <c r="J143" s="42" t="s">
        <v>1459</v>
      </c>
      <c r="K143" s="46" t="s">
        <v>1460</v>
      </c>
      <c r="L143" s="37" t="s">
        <v>1461</v>
      </c>
      <c r="M143" s="46"/>
      <c r="N143" s="42" t="s">
        <v>241</v>
      </c>
      <c r="O143" s="42" t="s">
        <v>242</v>
      </c>
      <c r="P143" s="42" t="s">
        <v>29</v>
      </c>
    </row>
    <row r="144" spans="1:16" ht="50.1" customHeight="1" x14ac:dyDescent="0.25">
      <c r="A144" s="46" t="s">
        <v>1462</v>
      </c>
      <c r="B144" s="42" t="s">
        <v>118</v>
      </c>
      <c r="C144" s="46"/>
      <c r="D144" s="46" t="s">
        <v>1463</v>
      </c>
      <c r="E144" s="46" t="s">
        <v>1464</v>
      </c>
      <c r="F144" s="35" t="s">
        <v>1320</v>
      </c>
      <c r="G144" s="46"/>
      <c r="H144" s="42" t="s">
        <v>1465</v>
      </c>
      <c r="I144" s="42"/>
      <c r="J144" s="42" t="s">
        <v>1466</v>
      </c>
      <c r="K144" s="46" t="s">
        <v>1467</v>
      </c>
      <c r="L144" s="37" t="s">
        <v>1468</v>
      </c>
      <c r="M144" s="37" t="s">
        <v>1469</v>
      </c>
      <c r="N144" s="42" t="s">
        <v>241</v>
      </c>
      <c r="O144" s="42" t="s">
        <v>242</v>
      </c>
      <c r="P144" s="42" t="s">
        <v>29</v>
      </c>
    </row>
    <row r="145" spans="1:16" ht="50.1" customHeight="1" x14ac:dyDescent="0.25">
      <c r="A145" s="46" t="s">
        <v>1470</v>
      </c>
      <c r="B145" s="42" t="s">
        <v>118</v>
      </c>
      <c r="C145" s="46"/>
      <c r="D145" s="46" t="s">
        <v>1471</v>
      </c>
      <c r="E145" s="46"/>
      <c r="F145" s="35" t="s">
        <v>1472</v>
      </c>
      <c r="G145" s="46"/>
      <c r="H145" s="42" t="s">
        <v>1473</v>
      </c>
      <c r="I145" s="42" t="s">
        <v>1474</v>
      </c>
      <c r="J145" s="42" t="s">
        <v>1475</v>
      </c>
      <c r="K145" s="46" t="s">
        <v>1476</v>
      </c>
      <c r="L145" s="37" t="s">
        <v>1477</v>
      </c>
      <c r="M145" s="46"/>
      <c r="N145" s="42" t="s">
        <v>241</v>
      </c>
      <c r="O145" s="42" t="s">
        <v>242</v>
      </c>
      <c r="P145" s="42" t="s">
        <v>29</v>
      </c>
    </row>
    <row r="146" spans="1:16" ht="50.1" customHeight="1" x14ac:dyDescent="0.25">
      <c r="A146" s="46" t="s">
        <v>1478</v>
      </c>
      <c r="B146" s="42" t="s">
        <v>118</v>
      </c>
      <c r="C146" s="46"/>
      <c r="D146" s="46" t="s">
        <v>1479</v>
      </c>
      <c r="E146" s="46"/>
      <c r="F146" s="35" t="s">
        <v>1480</v>
      </c>
      <c r="G146" s="46" t="s">
        <v>1481</v>
      </c>
      <c r="H146" s="42"/>
      <c r="I146" s="42" t="s">
        <v>1482</v>
      </c>
      <c r="J146" s="42"/>
      <c r="K146" s="46"/>
      <c r="L146" s="46"/>
      <c r="M146" s="46"/>
      <c r="N146" s="42" t="s">
        <v>241</v>
      </c>
      <c r="O146" s="42" t="s">
        <v>242</v>
      </c>
      <c r="P146" s="42" t="s">
        <v>29</v>
      </c>
    </row>
    <row r="147" spans="1:16" ht="50.1" customHeight="1" x14ac:dyDescent="0.25">
      <c r="A147" s="46" t="s">
        <v>1483</v>
      </c>
      <c r="B147" s="42" t="s">
        <v>118</v>
      </c>
      <c r="C147" s="46"/>
      <c r="D147" s="46" t="s">
        <v>1484</v>
      </c>
      <c r="E147" s="35" t="s">
        <v>1485</v>
      </c>
      <c r="F147" s="35" t="s">
        <v>1486</v>
      </c>
      <c r="G147" s="46" t="s">
        <v>1487</v>
      </c>
      <c r="H147" s="42" t="s">
        <v>1488</v>
      </c>
      <c r="I147" s="42" t="s">
        <v>1489</v>
      </c>
      <c r="J147" s="42" t="s">
        <v>1490</v>
      </c>
      <c r="K147" s="46" t="s">
        <v>1491</v>
      </c>
      <c r="L147" s="46"/>
      <c r="M147" s="37" t="s">
        <v>1492</v>
      </c>
      <c r="N147" s="42" t="s">
        <v>350</v>
      </c>
      <c r="O147" s="42" t="s">
        <v>242</v>
      </c>
      <c r="P147" s="42" t="s">
        <v>29</v>
      </c>
    </row>
    <row r="148" spans="1:16" ht="50.1" customHeight="1" x14ac:dyDescent="0.25">
      <c r="A148" s="46" t="s">
        <v>1493</v>
      </c>
      <c r="B148" s="42" t="s">
        <v>118</v>
      </c>
      <c r="C148" s="46"/>
      <c r="D148" s="46" t="s">
        <v>1494</v>
      </c>
      <c r="E148" s="46"/>
      <c r="F148" s="35" t="s">
        <v>1495</v>
      </c>
      <c r="G148" s="46" t="s">
        <v>1496</v>
      </c>
      <c r="H148" s="42" t="s">
        <v>1497</v>
      </c>
      <c r="I148" s="42" t="s">
        <v>1498</v>
      </c>
      <c r="J148" s="42" t="s">
        <v>1499</v>
      </c>
      <c r="K148" s="46" t="s">
        <v>1500</v>
      </c>
      <c r="L148" s="37" t="s">
        <v>1501</v>
      </c>
      <c r="M148" s="46"/>
      <c r="N148" s="42" t="s">
        <v>241</v>
      </c>
      <c r="O148" s="42" t="s">
        <v>242</v>
      </c>
      <c r="P148" s="42" t="s">
        <v>29</v>
      </c>
    </row>
    <row r="149" spans="1:16" ht="60" x14ac:dyDescent="0.25">
      <c r="A149" s="46" t="s">
        <v>1502</v>
      </c>
      <c r="B149" s="42" t="s">
        <v>118</v>
      </c>
      <c r="C149" s="46"/>
      <c r="D149" s="46" t="s">
        <v>1503</v>
      </c>
      <c r="E149" s="46"/>
      <c r="F149" s="35" t="s">
        <v>1504</v>
      </c>
      <c r="G149" s="46" t="s">
        <v>1505</v>
      </c>
      <c r="H149" s="42" t="s">
        <v>1506</v>
      </c>
      <c r="I149" s="38" t="s">
        <v>1507</v>
      </c>
      <c r="J149" s="42" t="s">
        <v>1508</v>
      </c>
      <c r="K149" s="46" t="s">
        <v>1509</v>
      </c>
      <c r="L149" s="37" t="s">
        <v>1510</v>
      </c>
      <c r="M149" s="37" t="s">
        <v>1511</v>
      </c>
      <c r="N149" s="42" t="s">
        <v>241</v>
      </c>
      <c r="O149" s="42" t="s">
        <v>242</v>
      </c>
      <c r="P149" s="42" t="s">
        <v>29</v>
      </c>
    </row>
    <row r="150" spans="1:16" ht="50.1" customHeight="1" x14ac:dyDescent="0.25">
      <c r="A150" s="46" t="s">
        <v>1512</v>
      </c>
      <c r="B150" s="42" t="s">
        <v>118</v>
      </c>
      <c r="C150" s="46"/>
      <c r="D150" s="46" t="s">
        <v>1513</v>
      </c>
      <c r="E150" s="35" t="s">
        <v>1514</v>
      </c>
      <c r="F150" s="35" t="s">
        <v>1515</v>
      </c>
      <c r="G150" s="46"/>
      <c r="H150" s="42" t="s">
        <v>1516</v>
      </c>
      <c r="I150" s="42"/>
      <c r="J150" s="42" t="s">
        <v>1517</v>
      </c>
      <c r="K150" s="46" t="s">
        <v>1509</v>
      </c>
      <c r="L150" s="37" t="s">
        <v>1518</v>
      </c>
      <c r="M150" s="37" t="s">
        <v>1511</v>
      </c>
      <c r="N150" s="42" t="s">
        <v>241</v>
      </c>
      <c r="O150" s="42" t="s">
        <v>242</v>
      </c>
      <c r="P150" s="42" t="s">
        <v>29</v>
      </c>
    </row>
    <row r="151" spans="1:16" ht="50.1" customHeight="1" x14ac:dyDescent="0.25">
      <c r="A151" s="46" t="s">
        <v>1519</v>
      </c>
      <c r="B151" s="42" t="s">
        <v>118</v>
      </c>
      <c r="C151" s="46"/>
      <c r="D151" s="46" t="s">
        <v>1520</v>
      </c>
      <c r="E151" s="35" t="s">
        <v>1514</v>
      </c>
      <c r="F151" s="35" t="s">
        <v>1521</v>
      </c>
      <c r="G151" s="46"/>
      <c r="H151" s="42" t="s">
        <v>1522</v>
      </c>
      <c r="I151" s="42"/>
      <c r="J151" s="42" t="s">
        <v>1523</v>
      </c>
      <c r="K151" s="46" t="s">
        <v>1509</v>
      </c>
      <c r="L151" s="37" t="s">
        <v>1518</v>
      </c>
      <c r="M151" s="37" t="s">
        <v>1511</v>
      </c>
      <c r="N151" s="42" t="s">
        <v>241</v>
      </c>
      <c r="O151" s="42" t="s">
        <v>242</v>
      </c>
      <c r="P151" s="42" t="s">
        <v>29</v>
      </c>
    </row>
    <row r="152" spans="1:16" ht="60" x14ac:dyDescent="0.25">
      <c r="A152" s="46" t="s">
        <v>1524</v>
      </c>
      <c r="B152" s="42" t="s">
        <v>118</v>
      </c>
      <c r="C152" s="46"/>
      <c r="D152" s="46" t="s">
        <v>1525</v>
      </c>
      <c r="E152" s="35" t="s">
        <v>1514</v>
      </c>
      <c r="F152" s="35" t="s">
        <v>1526</v>
      </c>
      <c r="G152" s="46"/>
      <c r="H152" s="42" t="s">
        <v>1527</v>
      </c>
      <c r="I152" s="42"/>
      <c r="J152" s="42" t="s">
        <v>1528</v>
      </c>
      <c r="K152" s="46" t="s">
        <v>1529</v>
      </c>
      <c r="L152" s="37" t="s">
        <v>1530</v>
      </c>
      <c r="M152" s="37" t="s">
        <v>1511</v>
      </c>
      <c r="N152" s="42" t="s">
        <v>241</v>
      </c>
      <c r="O152" s="42" t="s">
        <v>242</v>
      </c>
      <c r="P152" s="42" t="s">
        <v>29</v>
      </c>
    </row>
    <row r="153" spans="1:16" ht="60" x14ac:dyDescent="0.25">
      <c r="A153" s="46" t="s">
        <v>1531</v>
      </c>
      <c r="B153" s="42" t="s">
        <v>118</v>
      </c>
      <c r="C153" s="46"/>
      <c r="D153" s="46" t="s">
        <v>1532</v>
      </c>
      <c r="E153" s="35" t="s">
        <v>1533</v>
      </c>
      <c r="F153" s="35" t="s">
        <v>1534</v>
      </c>
      <c r="G153" s="46"/>
      <c r="H153" s="42" t="s">
        <v>1535</v>
      </c>
      <c r="I153" s="42"/>
      <c r="J153" s="42" t="s">
        <v>1536</v>
      </c>
      <c r="K153" s="46" t="s">
        <v>1537</v>
      </c>
      <c r="L153" s="37" t="s">
        <v>1538</v>
      </c>
      <c r="M153" s="46"/>
      <c r="N153" s="42" t="s">
        <v>350</v>
      </c>
      <c r="O153" s="42" t="s">
        <v>242</v>
      </c>
      <c r="P153" s="42" t="s">
        <v>29</v>
      </c>
    </row>
    <row r="154" spans="1:16" ht="50.1" customHeight="1" x14ac:dyDescent="0.25">
      <c r="A154" s="46" t="s">
        <v>1539</v>
      </c>
      <c r="B154" s="42" t="s">
        <v>118</v>
      </c>
      <c r="C154" s="46"/>
      <c r="D154" s="46" t="s">
        <v>1540</v>
      </c>
      <c r="E154" s="35"/>
      <c r="F154" s="35" t="s">
        <v>1320</v>
      </c>
      <c r="G154" s="46" t="s">
        <v>1541</v>
      </c>
      <c r="H154" s="42" t="s">
        <v>1542</v>
      </c>
      <c r="I154" s="42" t="s">
        <v>1543</v>
      </c>
      <c r="J154" s="42" t="s">
        <v>1544</v>
      </c>
      <c r="K154" s="46" t="s">
        <v>1545</v>
      </c>
      <c r="L154" s="37" t="s">
        <v>1546</v>
      </c>
      <c r="M154" s="46"/>
      <c r="N154" s="42" t="s">
        <v>241</v>
      </c>
      <c r="O154" s="42" t="s">
        <v>242</v>
      </c>
      <c r="P154" s="42" t="s">
        <v>29</v>
      </c>
    </row>
    <row r="155" spans="1:16" ht="50.1" customHeight="1" x14ac:dyDescent="0.25">
      <c r="A155" s="46" t="s">
        <v>1547</v>
      </c>
      <c r="B155" s="42" t="s">
        <v>118</v>
      </c>
      <c r="C155" s="46"/>
      <c r="D155" s="46" t="s">
        <v>1548</v>
      </c>
      <c r="E155" s="35"/>
      <c r="F155" s="35" t="s">
        <v>1320</v>
      </c>
      <c r="G155" s="46"/>
      <c r="H155" s="42" t="s">
        <v>1549</v>
      </c>
      <c r="I155" s="42"/>
      <c r="J155" s="42" t="s">
        <v>1550</v>
      </c>
      <c r="K155" s="46" t="s">
        <v>1551</v>
      </c>
      <c r="L155" s="37" t="s">
        <v>1552</v>
      </c>
      <c r="M155" s="46"/>
      <c r="N155" s="42" t="s">
        <v>241</v>
      </c>
      <c r="O155" s="42" t="s">
        <v>242</v>
      </c>
      <c r="P155" s="42" t="s">
        <v>29</v>
      </c>
    </row>
    <row r="156" spans="1:16" ht="50.1" customHeight="1" x14ac:dyDescent="0.25">
      <c r="A156" s="46" t="s">
        <v>1553</v>
      </c>
      <c r="B156" s="42" t="s">
        <v>118</v>
      </c>
      <c r="C156" s="46"/>
      <c r="D156" s="46" t="s">
        <v>1554</v>
      </c>
      <c r="E156" s="35"/>
      <c r="F156" s="35" t="s">
        <v>1320</v>
      </c>
      <c r="G156" s="46"/>
      <c r="H156" s="42" t="s">
        <v>1555</v>
      </c>
      <c r="I156" s="42"/>
      <c r="J156" s="42" t="s">
        <v>1556</v>
      </c>
      <c r="K156" s="46" t="s">
        <v>1557</v>
      </c>
      <c r="L156" s="37" t="s">
        <v>1558</v>
      </c>
      <c r="M156" s="46"/>
      <c r="N156" s="42" t="s">
        <v>241</v>
      </c>
      <c r="O156" s="42" t="s">
        <v>242</v>
      </c>
      <c r="P156" s="42" t="s">
        <v>29</v>
      </c>
    </row>
    <row r="157" spans="1:16" ht="50.1" customHeight="1" x14ac:dyDescent="0.25">
      <c r="A157" s="46" t="s">
        <v>1559</v>
      </c>
      <c r="B157" s="42" t="s">
        <v>118</v>
      </c>
      <c r="C157" s="46"/>
      <c r="D157" s="46" t="s">
        <v>1560</v>
      </c>
      <c r="E157" s="35" t="s">
        <v>1561</v>
      </c>
      <c r="F157" s="35" t="s">
        <v>1562</v>
      </c>
      <c r="G157" s="46" t="s">
        <v>1563</v>
      </c>
      <c r="H157" s="42" t="s">
        <v>1564</v>
      </c>
      <c r="I157" s="42" t="s">
        <v>1565</v>
      </c>
      <c r="J157" s="42" t="s">
        <v>1566</v>
      </c>
      <c r="K157" s="46" t="s">
        <v>1567</v>
      </c>
      <c r="L157" s="37" t="s">
        <v>1568</v>
      </c>
      <c r="M157" s="46"/>
      <c r="N157" s="42" t="s">
        <v>241</v>
      </c>
      <c r="O157" s="42" t="s">
        <v>242</v>
      </c>
      <c r="P157" s="42" t="s">
        <v>29</v>
      </c>
    </row>
    <row r="158" spans="1:16" ht="50.1" customHeight="1" x14ac:dyDescent="0.25">
      <c r="A158" s="46" t="s">
        <v>1569</v>
      </c>
      <c r="B158" s="42" t="s">
        <v>118</v>
      </c>
      <c r="C158" s="46"/>
      <c r="D158" s="46" t="s">
        <v>1570</v>
      </c>
      <c r="E158" s="35"/>
      <c r="F158" s="35" t="s">
        <v>1571</v>
      </c>
      <c r="G158" s="46" t="s">
        <v>1572</v>
      </c>
      <c r="H158" s="42" t="s">
        <v>1573</v>
      </c>
      <c r="I158" s="42" t="s">
        <v>1574</v>
      </c>
      <c r="J158" s="42" t="s">
        <v>1575</v>
      </c>
      <c r="K158" s="46" t="s">
        <v>1576</v>
      </c>
      <c r="L158" s="37" t="s">
        <v>1577</v>
      </c>
      <c r="M158" s="37" t="s">
        <v>1578</v>
      </c>
      <c r="N158" s="42" t="s">
        <v>241</v>
      </c>
      <c r="O158" s="42" t="s">
        <v>242</v>
      </c>
      <c r="P158" s="42" t="s">
        <v>29</v>
      </c>
    </row>
    <row r="159" spans="1:16" ht="50.1" customHeight="1" x14ac:dyDescent="0.25">
      <c r="A159" s="46" t="s">
        <v>1579</v>
      </c>
      <c r="B159" s="42" t="s">
        <v>122</v>
      </c>
      <c r="C159" s="46"/>
      <c r="D159" s="46" t="s">
        <v>1580</v>
      </c>
      <c r="E159" s="35" t="s">
        <v>1581</v>
      </c>
      <c r="F159" s="35" t="s">
        <v>1582</v>
      </c>
      <c r="G159" s="46"/>
      <c r="H159" s="42"/>
      <c r="I159" s="42"/>
      <c r="J159" s="42"/>
      <c r="K159" s="46"/>
      <c r="L159" s="46"/>
      <c r="M159" s="37" t="s">
        <v>1583</v>
      </c>
      <c r="N159" s="42"/>
      <c r="O159" s="42" t="s">
        <v>261</v>
      </c>
      <c r="P159" s="42" t="s">
        <v>28</v>
      </c>
    </row>
    <row r="160" spans="1:16" ht="50.1" customHeight="1" x14ac:dyDescent="0.25">
      <c r="A160" s="46" t="s">
        <v>1584</v>
      </c>
      <c r="B160" s="42" t="s">
        <v>118</v>
      </c>
      <c r="C160" s="46"/>
      <c r="D160" s="46" t="s">
        <v>187</v>
      </c>
      <c r="E160" s="46"/>
      <c r="F160" s="35" t="s">
        <v>1585</v>
      </c>
      <c r="G160" s="46" t="s">
        <v>1586</v>
      </c>
      <c r="H160" s="42" t="s">
        <v>1587</v>
      </c>
      <c r="I160" s="38" t="s">
        <v>1588</v>
      </c>
      <c r="J160" s="38" t="s">
        <v>1589</v>
      </c>
      <c r="K160" s="46" t="s">
        <v>1590</v>
      </c>
      <c r="L160" s="46"/>
      <c r="M160" s="46"/>
      <c r="N160" s="42" t="s">
        <v>241</v>
      </c>
      <c r="O160" s="42" t="s">
        <v>242</v>
      </c>
      <c r="P160" s="42" t="s">
        <v>29</v>
      </c>
    </row>
    <row r="161" spans="1:16" ht="50.1" customHeight="1" x14ac:dyDescent="0.25">
      <c r="A161" s="46" t="s">
        <v>1591</v>
      </c>
      <c r="B161" s="42" t="s">
        <v>118</v>
      </c>
      <c r="C161" s="46"/>
      <c r="D161" s="46" t="s">
        <v>1592</v>
      </c>
      <c r="E161" s="46"/>
      <c r="F161" s="35" t="s">
        <v>1593</v>
      </c>
      <c r="G161" s="46" t="s">
        <v>1594</v>
      </c>
      <c r="H161" s="42" t="s">
        <v>1595</v>
      </c>
      <c r="I161" s="42" t="s">
        <v>1596</v>
      </c>
      <c r="J161" s="42" t="s">
        <v>1597</v>
      </c>
      <c r="K161" s="46" t="s">
        <v>1598</v>
      </c>
      <c r="L161" s="37" t="s">
        <v>1599</v>
      </c>
      <c r="M161" s="46"/>
      <c r="N161" s="42" t="s">
        <v>241</v>
      </c>
      <c r="O161" s="42" t="s">
        <v>242</v>
      </c>
      <c r="P161" s="42" t="s">
        <v>29</v>
      </c>
    </row>
    <row r="162" spans="1:16" ht="50.1" customHeight="1" x14ac:dyDescent="0.25">
      <c r="A162" s="46" t="s">
        <v>1600</v>
      </c>
      <c r="B162" s="42" t="s">
        <v>118</v>
      </c>
      <c r="C162" s="46"/>
      <c r="D162" s="46" t="s">
        <v>1601</v>
      </c>
      <c r="E162" s="46"/>
      <c r="F162" s="35" t="s">
        <v>1602</v>
      </c>
      <c r="G162" s="35" t="s">
        <v>1677</v>
      </c>
      <c r="H162" s="42" t="s">
        <v>1603</v>
      </c>
      <c r="I162" s="42"/>
      <c r="J162" s="42" t="s">
        <v>1604</v>
      </c>
      <c r="K162" s="46" t="s">
        <v>1605</v>
      </c>
      <c r="L162" s="37" t="s">
        <v>1606</v>
      </c>
      <c r="M162" s="46"/>
      <c r="N162" s="42" t="s">
        <v>241</v>
      </c>
      <c r="O162" s="42" t="s">
        <v>242</v>
      </c>
      <c r="P162" s="42" t="s">
        <v>29</v>
      </c>
    </row>
    <row r="163" spans="1:16" ht="61.5" customHeight="1" x14ac:dyDescent="0.25">
      <c r="A163" s="46" t="s">
        <v>1607</v>
      </c>
      <c r="B163" s="42" t="s">
        <v>118</v>
      </c>
      <c r="C163" s="46"/>
      <c r="D163" s="46" t="s">
        <v>1608</v>
      </c>
      <c r="E163" s="46"/>
      <c r="F163" s="35" t="s">
        <v>1609</v>
      </c>
      <c r="G163" s="46" t="s">
        <v>1678</v>
      </c>
      <c r="H163" s="42" t="s">
        <v>1610</v>
      </c>
      <c r="I163" s="42" t="s">
        <v>1611</v>
      </c>
      <c r="J163" s="42" t="s">
        <v>1612</v>
      </c>
      <c r="K163" s="46" t="s">
        <v>1613</v>
      </c>
      <c r="L163" s="37" t="s">
        <v>1614</v>
      </c>
      <c r="M163" s="46"/>
      <c r="N163" s="42" t="s">
        <v>350</v>
      </c>
      <c r="O163" s="42" t="s">
        <v>242</v>
      </c>
      <c r="P163" s="42" t="s">
        <v>29</v>
      </c>
    </row>
    <row r="164" spans="1:16" ht="258.75" customHeight="1" x14ac:dyDescent="0.25">
      <c r="A164" s="46" t="s">
        <v>1615</v>
      </c>
      <c r="B164" s="42" t="s">
        <v>118</v>
      </c>
      <c r="C164" s="46"/>
      <c r="D164" s="46" t="s">
        <v>1616</v>
      </c>
      <c r="E164" s="46"/>
      <c r="F164" s="35" t="s">
        <v>1617</v>
      </c>
      <c r="G164" s="46" t="s">
        <v>1618</v>
      </c>
      <c r="H164" s="42" t="s">
        <v>1619</v>
      </c>
      <c r="I164" s="42" t="s">
        <v>1620</v>
      </c>
      <c r="J164" s="42" t="s">
        <v>1621</v>
      </c>
      <c r="K164" s="46" t="s">
        <v>1622</v>
      </c>
      <c r="L164" s="37" t="s">
        <v>1679</v>
      </c>
      <c r="M164" s="37" t="s">
        <v>1623</v>
      </c>
      <c r="N164" s="42" t="s">
        <v>350</v>
      </c>
      <c r="O164" s="42" t="s">
        <v>242</v>
      </c>
      <c r="P164" s="42" t="s">
        <v>29</v>
      </c>
    </row>
    <row r="165" spans="1:16" ht="50.1" customHeight="1" x14ac:dyDescent="0.25">
      <c r="A165" s="46" t="s">
        <v>1624</v>
      </c>
      <c r="B165" s="42" t="s">
        <v>118</v>
      </c>
      <c r="C165" s="46"/>
      <c r="D165" s="46" t="s">
        <v>1625</v>
      </c>
      <c r="E165" s="46"/>
      <c r="F165" s="46"/>
      <c r="G165" s="46" t="s">
        <v>393</v>
      </c>
      <c r="H165" s="42"/>
      <c r="I165" s="42" t="s">
        <v>1626</v>
      </c>
      <c r="J165" s="42"/>
      <c r="K165" s="46"/>
      <c r="L165" s="46"/>
      <c r="M165" s="46"/>
      <c r="N165" s="42" t="s">
        <v>241</v>
      </c>
      <c r="O165" s="42" t="s">
        <v>242</v>
      </c>
      <c r="P165" s="42" t="s">
        <v>29</v>
      </c>
    </row>
    <row r="166" spans="1:16" ht="50.1" customHeight="1" x14ac:dyDescent="0.25">
      <c r="A166" s="46" t="s">
        <v>1680</v>
      </c>
      <c r="B166" s="42" t="s">
        <v>122</v>
      </c>
      <c r="C166" s="46" t="s">
        <v>270</v>
      </c>
      <c r="D166" s="46" t="s">
        <v>1681</v>
      </c>
      <c r="E166" s="46"/>
      <c r="F166" s="46" t="s">
        <v>1682</v>
      </c>
      <c r="G166" s="46" t="s">
        <v>1683</v>
      </c>
      <c r="H166" s="42" t="s">
        <v>1684</v>
      </c>
      <c r="I166" s="42"/>
      <c r="J166" s="42" t="s">
        <v>1685</v>
      </c>
      <c r="K166" s="46" t="s">
        <v>1686</v>
      </c>
      <c r="L166" s="56" t="s">
        <v>1687</v>
      </c>
      <c r="M166" s="56" t="s">
        <v>1688</v>
      </c>
      <c r="N166" s="42" t="s">
        <v>261</v>
      </c>
      <c r="O166" s="42" t="s">
        <v>261</v>
      </c>
      <c r="P166" s="42" t="s">
        <v>28</v>
      </c>
    </row>
    <row r="167" spans="1:16" ht="63.75" customHeight="1" x14ac:dyDescent="0.25">
      <c r="A167" s="46" t="s">
        <v>1689</v>
      </c>
      <c r="B167" s="42" t="s">
        <v>122</v>
      </c>
      <c r="C167" s="46"/>
      <c r="D167" s="46" t="s">
        <v>1690</v>
      </c>
      <c r="E167" s="46"/>
      <c r="F167" s="46" t="s">
        <v>1691</v>
      </c>
      <c r="G167" s="46" t="s">
        <v>1692</v>
      </c>
      <c r="H167" s="42" t="s">
        <v>1693</v>
      </c>
      <c r="I167" s="42"/>
      <c r="J167" s="42" t="s">
        <v>1694</v>
      </c>
      <c r="K167" s="35" t="s">
        <v>1695</v>
      </c>
      <c r="L167" s="57" t="s">
        <v>1696</v>
      </c>
      <c r="M167" s="37" t="s">
        <v>1697</v>
      </c>
      <c r="N167" s="42" t="s">
        <v>1698</v>
      </c>
      <c r="O167" s="42" t="s">
        <v>1699</v>
      </c>
      <c r="P167" s="42" t="s">
        <v>28</v>
      </c>
    </row>
    <row r="168" spans="1:16" ht="50.1" customHeight="1" x14ac:dyDescent="0.25">
      <c r="A168" s="46" t="s">
        <v>1700</v>
      </c>
      <c r="B168" s="42" t="s">
        <v>118</v>
      </c>
      <c r="C168" s="46"/>
      <c r="D168" s="46" t="s">
        <v>731</v>
      </c>
      <c r="E168" s="46"/>
      <c r="F168" s="46" t="s">
        <v>1701</v>
      </c>
      <c r="G168" s="46"/>
      <c r="H168" s="42" t="s">
        <v>1702</v>
      </c>
      <c r="I168" s="42"/>
      <c r="J168" s="42" t="s">
        <v>1703</v>
      </c>
      <c r="K168" s="46" t="s">
        <v>1704</v>
      </c>
      <c r="L168" s="37" t="s">
        <v>1705</v>
      </c>
      <c r="M168" s="46"/>
      <c r="N168" s="42" t="s">
        <v>350</v>
      </c>
      <c r="O168" s="42" t="s">
        <v>242</v>
      </c>
      <c r="P168" s="42" t="s">
        <v>29</v>
      </c>
    </row>
    <row r="169" spans="1:16" ht="50.1" customHeight="1" x14ac:dyDescent="0.25">
      <c r="A169" s="46" t="s">
        <v>1706</v>
      </c>
      <c r="B169" s="42" t="s">
        <v>118</v>
      </c>
      <c r="C169" s="46"/>
      <c r="D169" s="46" t="s">
        <v>1707</v>
      </c>
      <c r="E169" s="46"/>
      <c r="F169" s="46" t="s">
        <v>1708</v>
      </c>
      <c r="G169" s="46" t="s">
        <v>1709</v>
      </c>
      <c r="H169" s="42" t="s">
        <v>1710</v>
      </c>
      <c r="I169" s="42"/>
      <c r="J169" s="42" t="s">
        <v>1711</v>
      </c>
      <c r="K169" s="46" t="s">
        <v>1712</v>
      </c>
      <c r="L169" s="37" t="s">
        <v>1713</v>
      </c>
      <c r="M169" s="37" t="s">
        <v>1714</v>
      </c>
      <c r="N169" s="42" t="s">
        <v>350</v>
      </c>
      <c r="O169" s="42" t="s">
        <v>242</v>
      </c>
      <c r="P169" s="42" t="s">
        <v>29</v>
      </c>
    </row>
    <row r="170" spans="1:16" ht="50.1" customHeight="1" x14ac:dyDescent="0.25">
      <c r="A170" s="46" t="s">
        <v>1715</v>
      </c>
      <c r="B170" s="42" t="s">
        <v>122</v>
      </c>
      <c r="C170" s="46"/>
      <c r="D170" s="46" t="s">
        <v>190</v>
      </c>
      <c r="E170" s="46"/>
      <c r="F170" s="46" t="s">
        <v>263</v>
      </c>
      <c r="G170" s="46"/>
      <c r="H170" s="46" t="s">
        <v>1716</v>
      </c>
      <c r="I170" s="42"/>
      <c r="J170" s="42" t="s">
        <v>1717</v>
      </c>
      <c r="K170" s="35" t="s">
        <v>1718</v>
      </c>
      <c r="L170" s="46"/>
      <c r="M170" s="37" t="s">
        <v>1719</v>
      </c>
      <c r="N170" s="42"/>
      <c r="O170" s="42" t="s">
        <v>261</v>
      </c>
      <c r="P170" s="42" t="s">
        <v>28</v>
      </c>
    </row>
    <row r="171" spans="1:16" ht="50.1" customHeight="1" x14ac:dyDescent="0.25">
      <c r="A171" s="46" t="s">
        <v>1720</v>
      </c>
      <c r="B171" s="42" t="s">
        <v>122</v>
      </c>
      <c r="C171" s="46"/>
      <c r="D171" s="46" t="s">
        <v>189</v>
      </c>
      <c r="E171" s="46"/>
      <c r="F171" s="46" t="s">
        <v>1721</v>
      </c>
      <c r="G171" s="46" t="s">
        <v>1722</v>
      </c>
      <c r="H171" s="42" t="s">
        <v>1723</v>
      </c>
      <c r="I171" s="42"/>
      <c r="J171" s="42" t="s">
        <v>1724</v>
      </c>
      <c r="K171" s="35" t="s">
        <v>1725</v>
      </c>
      <c r="L171" s="46" t="s">
        <v>1726</v>
      </c>
      <c r="M171" s="37" t="s">
        <v>1727</v>
      </c>
      <c r="N171" s="42"/>
      <c r="O171" s="42" t="s">
        <v>261</v>
      </c>
      <c r="P171" s="42" t="s">
        <v>28</v>
      </c>
    </row>
    <row r="172" spans="1:16" ht="50.1" customHeight="1" x14ac:dyDescent="0.25">
      <c r="A172" s="46" t="s">
        <v>1728</v>
      </c>
      <c r="B172" s="42" t="s">
        <v>118</v>
      </c>
      <c r="C172" s="46"/>
      <c r="D172" s="46" t="s">
        <v>1729</v>
      </c>
      <c r="E172" s="46"/>
      <c r="F172" s="46"/>
      <c r="G172" s="46" t="s">
        <v>1730</v>
      </c>
      <c r="H172" s="42" t="s">
        <v>1731</v>
      </c>
      <c r="I172" s="42" t="s">
        <v>1732</v>
      </c>
      <c r="J172" s="42" t="s">
        <v>1733</v>
      </c>
      <c r="K172" s="46" t="s">
        <v>1734</v>
      </c>
      <c r="L172" s="37" t="s">
        <v>1735</v>
      </c>
      <c r="M172" s="37" t="s">
        <v>1736</v>
      </c>
      <c r="N172" s="42" t="s">
        <v>241</v>
      </c>
      <c r="O172" s="42" t="s">
        <v>242</v>
      </c>
      <c r="P172" s="42" t="s">
        <v>29</v>
      </c>
    </row>
    <row r="173" spans="1:16" ht="50.1" customHeight="1" x14ac:dyDescent="0.25">
      <c r="A173" s="46" t="s">
        <v>1737</v>
      </c>
      <c r="B173" s="42" t="s">
        <v>118</v>
      </c>
      <c r="C173" s="46"/>
      <c r="D173" s="46" t="s">
        <v>1738</v>
      </c>
      <c r="E173" s="46"/>
      <c r="F173" s="46" t="s">
        <v>1739</v>
      </c>
      <c r="G173" s="46" t="s">
        <v>1740</v>
      </c>
      <c r="H173" s="42" t="s">
        <v>1741</v>
      </c>
      <c r="I173" s="42" t="s">
        <v>1742</v>
      </c>
      <c r="J173" s="42" t="s">
        <v>1743</v>
      </c>
      <c r="K173" s="46" t="s">
        <v>1744</v>
      </c>
      <c r="L173" s="37" t="s">
        <v>1745</v>
      </c>
      <c r="M173" s="46"/>
      <c r="N173" s="42" t="s">
        <v>476</v>
      </c>
      <c r="O173" s="42" t="s">
        <v>242</v>
      </c>
      <c r="P173" s="42" t="s">
        <v>29</v>
      </c>
    </row>
    <row r="174" spans="1:16" ht="50.1" customHeight="1" x14ac:dyDescent="0.25">
      <c r="A174" s="46" t="s">
        <v>1746</v>
      </c>
      <c r="B174" s="42" t="s">
        <v>118</v>
      </c>
      <c r="C174" s="46"/>
      <c r="D174" s="46" t="s">
        <v>1747</v>
      </c>
      <c r="E174" s="46"/>
      <c r="F174" s="46"/>
      <c r="G174" s="46"/>
      <c r="H174" s="42" t="s">
        <v>1748</v>
      </c>
      <c r="I174" s="42"/>
      <c r="J174" s="42" t="s">
        <v>1749</v>
      </c>
      <c r="K174" s="46" t="s">
        <v>1750</v>
      </c>
      <c r="L174" s="46"/>
      <c r="M174" s="46"/>
      <c r="N174" s="42" t="s">
        <v>350</v>
      </c>
      <c r="O174" s="42" t="s">
        <v>242</v>
      </c>
      <c r="P174" s="42" t="s">
        <v>29</v>
      </c>
    </row>
    <row r="175" spans="1:16" ht="50.1" customHeight="1" x14ac:dyDescent="0.25">
      <c r="A175" s="46" t="s">
        <v>1751</v>
      </c>
      <c r="B175" s="42" t="s">
        <v>122</v>
      </c>
      <c r="C175" s="46"/>
      <c r="D175" s="46" t="s">
        <v>1752</v>
      </c>
      <c r="E175" s="46"/>
      <c r="F175" s="46" t="s">
        <v>1753</v>
      </c>
      <c r="G175" s="46" t="s">
        <v>1754</v>
      </c>
      <c r="H175" s="42" t="s">
        <v>1755</v>
      </c>
      <c r="I175" s="42"/>
      <c r="J175" s="42" t="s">
        <v>1756</v>
      </c>
      <c r="K175" s="35" t="s">
        <v>1757</v>
      </c>
      <c r="L175" s="37" t="s">
        <v>1758</v>
      </c>
      <c r="M175" s="37" t="s">
        <v>1759</v>
      </c>
      <c r="N175" s="42"/>
      <c r="O175" s="42" t="s">
        <v>261</v>
      </c>
      <c r="P175" s="42" t="s">
        <v>28</v>
      </c>
    </row>
    <row r="176" spans="1:16" ht="50.1" customHeight="1" x14ac:dyDescent="0.25">
      <c r="A176" s="46" t="s">
        <v>1760</v>
      </c>
      <c r="B176" s="42" t="s">
        <v>118</v>
      </c>
      <c r="C176" s="46"/>
      <c r="D176" s="46" t="s">
        <v>1761</v>
      </c>
      <c r="E176" s="46"/>
      <c r="F176" s="46"/>
      <c r="G176" s="46" t="s">
        <v>1762</v>
      </c>
      <c r="H176" s="50" t="s">
        <v>1763</v>
      </c>
      <c r="I176" s="42"/>
      <c r="J176" s="42"/>
      <c r="K176" s="46" t="s">
        <v>1764</v>
      </c>
      <c r="L176" s="37" t="s">
        <v>1765</v>
      </c>
      <c r="M176" s="37" t="s">
        <v>1766</v>
      </c>
      <c r="N176" s="42"/>
      <c r="O176" s="42" t="s">
        <v>242</v>
      </c>
      <c r="P176" s="42" t="s">
        <v>29</v>
      </c>
    </row>
    <row r="177" spans="1:16" ht="50.1" customHeight="1" x14ac:dyDescent="0.25">
      <c r="A177" s="46" t="s">
        <v>1767</v>
      </c>
      <c r="B177" s="42" t="s">
        <v>118</v>
      </c>
      <c r="C177" s="46"/>
      <c r="D177" s="46" t="s">
        <v>1768</v>
      </c>
      <c r="E177" s="46"/>
      <c r="F177" s="46" t="s">
        <v>1769</v>
      </c>
      <c r="G177" s="46" t="s">
        <v>1770</v>
      </c>
      <c r="H177" s="42" t="s">
        <v>1771</v>
      </c>
      <c r="I177" s="42"/>
      <c r="J177" s="42" t="s">
        <v>1772</v>
      </c>
      <c r="K177" s="46" t="s">
        <v>1773</v>
      </c>
      <c r="L177" s="37" t="s">
        <v>1774</v>
      </c>
      <c r="M177" s="46"/>
      <c r="N177" s="42" t="s">
        <v>241</v>
      </c>
      <c r="O177" s="42" t="s">
        <v>242</v>
      </c>
      <c r="P177" s="42" t="s">
        <v>29</v>
      </c>
    </row>
    <row r="178" spans="1:16" ht="50.1" customHeight="1" x14ac:dyDescent="0.25">
      <c r="A178" s="46" t="s">
        <v>1775</v>
      </c>
      <c r="B178" s="42" t="s">
        <v>118</v>
      </c>
      <c r="C178" s="46"/>
      <c r="D178" s="46" t="s">
        <v>206</v>
      </c>
      <c r="E178" s="46"/>
      <c r="F178" s="46"/>
      <c r="G178" s="46" t="s">
        <v>1776</v>
      </c>
      <c r="H178" s="42" t="s">
        <v>1777</v>
      </c>
      <c r="I178" s="42" t="s">
        <v>1778</v>
      </c>
      <c r="J178" s="42" t="s">
        <v>1779</v>
      </c>
      <c r="K178" s="46" t="s">
        <v>1780</v>
      </c>
      <c r="L178" s="37" t="s">
        <v>1781</v>
      </c>
      <c r="M178" s="37" t="s">
        <v>1782</v>
      </c>
      <c r="N178" s="42" t="s">
        <v>241</v>
      </c>
      <c r="O178" s="42" t="s">
        <v>242</v>
      </c>
      <c r="P178" s="42" t="s">
        <v>29</v>
      </c>
    </row>
    <row r="179" spans="1:16" ht="50.1" customHeight="1" x14ac:dyDescent="0.25">
      <c r="A179" s="46" t="s">
        <v>1783</v>
      </c>
      <c r="B179" s="42" t="s">
        <v>118</v>
      </c>
      <c r="C179" s="46"/>
      <c r="D179" s="46" t="s">
        <v>188</v>
      </c>
      <c r="E179" s="46"/>
      <c r="F179" s="46" t="s">
        <v>1784</v>
      </c>
      <c r="G179" s="46" t="s">
        <v>1785</v>
      </c>
      <c r="H179" s="42" t="s">
        <v>1786</v>
      </c>
      <c r="I179" s="42" t="s">
        <v>1787</v>
      </c>
      <c r="J179" s="42" t="s">
        <v>1788</v>
      </c>
      <c r="K179" s="46" t="s">
        <v>1789</v>
      </c>
      <c r="L179" s="37" t="s">
        <v>1790</v>
      </c>
      <c r="M179" s="46"/>
      <c r="N179" s="42" t="s">
        <v>241</v>
      </c>
      <c r="O179" s="42" t="s">
        <v>242</v>
      </c>
      <c r="P179" s="42" t="s">
        <v>29</v>
      </c>
    </row>
    <row r="180" spans="1:16" ht="50.1" customHeight="1" x14ac:dyDescent="0.25">
      <c r="A180" s="46" t="s">
        <v>1791</v>
      </c>
      <c r="B180" s="42" t="s">
        <v>122</v>
      </c>
      <c r="C180" s="46"/>
      <c r="D180" s="46" t="s">
        <v>1792</v>
      </c>
      <c r="E180" s="46"/>
      <c r="F180" s="46"/>
      <c r="G180" s="46"/>
      <c r="H180" s="42"/>
      <c r="I180" s="42"/>
      <c r="J180" s="42"/>
      <c r="K180" s="42"/>
      <c r="L180" s="46"/>
      <c r="M180" s="46"/>
      <c r="N180" s="42" t="s">
        <v>261</v>
      </c>
      <c r="O180" s="42" t="s">
        <v>261</v>
      </c>
      <c r="P180" s="42" t="s">
        <v>28</v>
      </c>
    </row>
    <row r="181" spans="1:16" ht="50.1" customHeight="1" x14ac:dyDescent="0.25">
      <c r="A181" s="46" t="s">
        <v>1793</v>
      </c>
      <c r="B181" s="42" t="s">
        <v>118</v>
      </c>
      <c r="C181" s="46"/>
      <c r="D181" s="46" t="s">
        <v>1794</v>
      </c>
      <c r="E181" s="46"/>
      <c r="F181" s="46" t="s">
        <v>1795</v>
      </c>
      <c r="G181" s="46" t="s">
        <v>1796</v>
      </c>
      <c r="H181" s="42" t="s">
        <v>1797</v>
      </c>
      <c r="I181" s="42" t="s">
        <v>1798</v>
      </c>
      <c r="J181" s="42" t="s">
        <v>1799</v>
      </c>
      <c r="K181" s="46" t="s">
        <v>1800</v>
      </c>
      <c r="L181" s="37" t="s">
        <v>1801</v>
      </c>
      <c r="M181" s="37" t="s">
        <v>1802</v>
      </c>
      <c r="N181" s="42" t="s">
        <v>241</v>
      </c>
      <c r="O181" s="42" t="s">
        <v>242</v>
      </c>
      <c r="P181" s="42" t="s">
        <v>29</v>
      </c>
    </row>
    <row r="182" spans="1:16" ht="50.1" customHeight="1" x14ac:dyDescent="0.25">
      <c r="A182" s="46" t="s">
        <v>1803</v>
      </c>
      <c r="B182" s="42" t="s">
        <v>118</v>
      </c>
      <c r="C182" s="46"/>
      <c r="D182" s="46" t="s">
        <v>1804</v>
      </c>
      <c r="E182" s="46"/>
      <c r="F182" s="46" t="s">
        <v>1805</v>
      </c>
      <c r="G182" s="46"/>
      <c r="H182" s="42"/>
      <c r="I182" s="42" t="s">
        <v>1806</v>
      </c>
      <c r="J182" s="42" t="s">
        <v>1807</v>
      </c>
      <c r="K182" s="42"/>
      <c r="L182" s="46"/>
      <c r="M182" s="46"/>
      <c r="N182" s="42" t="s">
        <v>241</v>
      </c>
      <c r="O182" s="42" t="s">
        <v>242</v>
      </c>
      <c r="P182" s="42" t="s">
        <v>29</v>
      </c>
    </row>
    <row r="183" spans="1:16" ht="50.1" customHeight="1" x14ac:dyDescent="0.25">
      <c r="A183" s="46" t="s">
        <v>1808</v>
      </c>
      <c r="B183" s="42" t="s">
        <v>118</v>
      </c>
      <c r="C183" s="46"/>
      <c r="D183" s="46" t="s">
        <v>1809</v>
      </c>
      <c r="E183" s="46"/>
      <c r="F183" s="46" t="s">
        <v>1810</v>
      </c>
      <c r="G183" s="46" t="s">
        <v>1811</v>
      </c>
      <c r="H183" s="46" t="s">
        <v>1812</v>
      </c>
      <c r="I183" s="42" t="s">
        <v>1813</v>
      </c>
      <c r="J183" s="42" t="s">
        <v>1814</v>
      </c>
      <c r="K183" s="42" t="s">
        <v>1815</v>
      </c>
      <c r="L183" s="37" t="s">
        <v>1816</v>
      </c>
      <c r="M183" s="37" t="s">
        <v>1817</v>
      </c>
      <c r="N183" s="42" t="s">
        <v>241</v>
      </c>
      <c r="O183" s="42" t="s">
        <v>242</v>
      </c>
      <c r="P183" s="42" t="s">
        <v>29</v>
      </c>
    </row>
    <row r="184" spans="1:16" ht="50.1" customHeight="1" x14ac:dyDescent="0.25">
      <c r="A184" s="46" t="s">
        <v>1818</v>
      </c>
      <c r="B184" s="42" t="s">
        <v>118</v>
      </c>
      <c r="C184" s="46"/>
      <c r="D184" s="46" t="s">
        <v>1819</v>
      </c>
      <c r="E184" s="46"/>
      <c r="F184" s="46" t="s">
        <v>1820</v>
      </c>
      <c r="G184" s="46" t="s">
        <v>1821</v>
      </c>
      <c r="H184" s="42" t="s">
        <v>1822</v>
      </c>
      <c r="I184" s="42" t="s">
        <v>1823</v>
      </c>
      <c r="J184" s="42" t="s">
        <v>1824</v>
      </c>
      <c r="K184" s="42"/>
      <c r="L184" s="37" t="s">
        <v>1825</v>
      </c>
      <c r="M184" s="46"/>
      <c r="N184" s="42" t="s">
        <v>241</v>
      </c>
      <c r="O184" s="42" t="s">
        <v>242</v>
      </c>
      <c r="P184" s="42" t="s">
        <v>29</v>
      </c>
    </row>
    <row r="185" spans="1:16" ht="50.1" customHeight="1" x14ac:dyDescent="0.25">
      <c r="A185" s="46" t="s">
        <v>1826</v>
      </c>
      <c r="B185" s="42" t="s">
        <v>118</v>
      </c>
      <c r="C185" s="46"/>
      <c r="D185" s="46" t="s">
        <v>1827</v>
      </c>
      <c r="E185" s="46"/>
      <c r="F185" s="46" t="s">
        <v>1828</v>
      </c>
      <c r="G185" s="46" t="s">
        <v>1829</v>
      </c>
      <c r="H185" s="42" t="s">
        <v>1830</v>
      </c>
      <c r="I185" s="42" t="s">
        <v>1831</v>
      </c>
      <c r="J185" s="42" t="s">
        <v>1832</v>
      </c>
      <c r="K185" s="42"/>
      <c r="L185" s="37" t="s">
        <v>1833</v>
      </c>
      <c r="M185" s="46"/>
      <c r="N185" s="42" t="s">
        <v>350</v>
      </c>
      <c r="O185" s="42" t="s">
        <v>242</v>
      </c>
      <c r="P185" s="42" t="s">
        <v>29</v>
      </c>
    </row>
    <row r="186" spans="1:16" ht="50.1" customHeight="1" x14ac:dyDescent="0.25">
      <c r="A186" s="46" t="s">
        <v>1834</v>
      </c>
      <c r="B186" s="42" t="s">
        <v>122</v>
      </c>
      <c r="C186" s="46"/>
      <c r="D186" s="46" t="s">
        <v>1835</v>
      </c>
      <c r="E186" s="46"/>
      <c r="F186" s="46" t="s">
        <v>1836</v>
      </c>
      <c r="G186" s="46" t="s">
        <v>1837</v>
      </c>
      <c r="H186" s="42" t="s">
        <v>1838</v>
      </c>
      <c r="I186" s="42"/>
      <c r="J186" s="42" t="s">
        <v>1839</v>
      </c>
      <c r="K186" s="35" t="s">
        <v>1840</v>
      </c>
      <c r="L186" s="37" t="s">
        <v>1841</v>
      </c>
      <c r="M186" s="37" t="s">
        <v>1842</v>
      </c>
      <c r="N186" s="42"/>
      <c r="O186" s="42" t="s">
        <v>261</v>
      </c>
      <c r="P186" s="42" t="s">
        <v>28</v>
      </c>
    </row>
    <row r="187" spans="1:16" ht="50.1" customHeight="1" x14ac:dyDescent="0.25">
      <c r="A187" s="46" t="s">
        <v>1843</v>
      </c>
      <c r="B187" s="42" t="s">
        <v>118</v>
      </c>
      <c r="C187" s="46"/>
      <c r="D187" s="46" t="s">
        <v>1844</v>
      </c>
      <c r="E187" s="46"/>
      <c r="F187" s="46" t="s">
        <v>401</v>
      </c>
      <c r="G187" s="46" t="s">
        <v>1845</v>
      </c>
      <c r="H187" s="42" t="s">
        <v>1846</v>
      </c>
      <c r="I187" s="42" t="s">
        <v>1847</v>
      </c>
      <c r="J187" s="42" t="s">
        <v>1848</v>
      </c>
      <c r="K187" s="46" t="s">
        <v>1849</v>
      </c>
      <c r="L187" s="37" t="s">
        <v>1850</v>
      </c>
      <c r="M187" s="37" t="s">
        <v>1851</v>
      </c>
      <c r="N187" s="42" t="s">
        <v>241</v>
      </c>
      <c r="O187" s="42" t="s">
        <v>242</v>
      </c>
      <c r="P187" s="42" t="s">
        <v>29</v>
      </c>
    </row>
    <row r="188" spans="1:16" ht="50.1" customHeight="1" x14ac:dyDescent="0.25">
      <c r="A188" s="46" t="s">
        <v>1852</v>
      </c>
      <c r="B188" s="42" t="s">
        <v>122</v>
      </c>
      <c r="C188" s="46"/>
      <c r="D188" s="46" t="s">
        <v>1853</v>
      </c>
      <c r="E188" s="46"/>
      <c r="F188" s="46"/>
      <c r="G188" s="46"/>
      <c r="H188" s="42"/>
      <c r="I188" s="42"/>
      <c r="J188" s="42"/>
      <c r="K188" s="42"/>
      <c r="L188" s="46"/>
      <c r="M188" s="46"/>
      <c r="N188" s="42"/>
      <c r="O188" s="42" t="s">
        <v>261</v>
      </c>
      <c r="P188" s="42" t="s">
        <v>28</v>
      </c>
    </row>
    <row r="189" spans="1:16" ht="50.1" customHeight="1" x14ac:dyDescent="0.25">
      <c r="A189" s="46" t="s">
        <v>1854</v>
      </c>
      <c r="B189" s="42" t="s">
        <v>118</v>
      </c>
      <c r="C189" s="46"/>
      <c r="D189" s="46" t="s">
        <v>1855</v>
      </c>
      <c r="E189" s="46"/>
      <c r="F189" s="46" t="s">
        <v>1856</v>
      </c>
      <c r="G189" s="46" t="s">
        <v>1857</v>
      </c>
      <c r="H189" s="42" t="s">
        <v>1858</v>
      </c>
      <c r="I189" s="42" t="s">
        <v>1859</v>
      </c>
      <c r="J189" s="42" t="s">
        <v>1860</v>
      </c>
      <c r="K189" s="46" t="s">
        <v>1861</v>
      </c>
      <c r="L189" s="59" t="s">
        <v>1862</v>
      </c>
      <c r="M189" s="37" t="s">
        <v>578</v>
      </c>
      <c r="N189" s="42" t="s">
        <v>241</v>
      </c>
      <c r="O189" s="42" t="s">
        <v>242</v>
      </c>
      <c r="P189" s="42" t="s">
        <v>29</v>
      </c>
    </row>
    <row r="190" spans="1:16" ht="50.1" customHeight="1" x14ac:dyDescent="0.25">
      <c r="A190" s="46"/>
      <c r="B190" s="42"/>
      <c r="C190" s="46"/>
      <c r="D190" s="46"/>
      <c r="E190" s="46"/>
      <c r="F190" s="46"/>
      <c r="G190" s="46"/>
      <c r="H190" s="42"/>
      <c r="I190" s="42"/>
      <c r="J190" s="42"/>
      <c r="K190" s="42"/>
      <c r="L190" s="46"/>
      <c r="M190" s="46"/>
      <c r="N190" s="42"/>
      <c r="O190" s="42"/>
      <c r="P190" s="42"/>
    </row>
    <row r="191" spans="1:16" ht="50.1" customHeight="1" x14ac:dyDescent="0.25">
      <c r="A191" s="46"/>
      <c r="B191" s="42"/>
      <c r="C191" s="46"/>
      <c r="D191" s="46"/>
      <c r="E191" s="46"/>
      <c r="F191" s="46"/>
      <c r="G191" s="46"/>
      <c r="H191" s="42"/>
      <c r="I191" s="42"/>
      <c r="J191" s="42"/>
      <c r="K191" s="42"/>
      <c r="L191" s="46"/>
      <c r="M191" s="46"/>
      <c r="N191" s="42"/>
      <c r="O191" s="42"/>
      <c r="P191" s="42"/>
    </row>
    <row r="192" spans="1:16" ht="50.1" customHeight="1" x14ac:dyDescent="0.25">
      <c r="A192" s="46"/>
      <c r="B192" s="42"/>
      <c r="C192" s="46"/>
      <c r="D192" s="46"/>
      <c r="E192" s="46"/>
      <c r="F192" s="46"/>
      <c r="G192" s="46"/>
      <c r="H192" s="42"/>
      <c r="I192" s="42"/>
      <c r="J192" s="42"/>
      <c r="K192" s="42"/>
      <c r="L192" s="46"/>
      <c r="M192" s="46"/>
      <c r="N192" s="42"/>
      <c r="O192" s="42"/>
      <c r="P192" s="42"/>
    </row>
    <row r="193" spans="1:16" ht="50.1" customHeight="1" x14ac:dyDescent="0.25">
      <c r="A193" s="46"/>
      <c r="B193" s="42"/>
      <c r="C193" s="46"/>
      <c r="D193" s="46"/>
      <c r="E193" s="46"/>
      <c r="F193" s="46"/>
      <c r="G193" s="46"/>
      <c r="H193" s="42"/>
      <c r="I193" s="42"/>
      <c r="J193" s="42"/>
      <c r="K193" s="42"/>
      <c r="L193" s="46"/>
      <c r="M193" s="46"/>
      <c r="N193" s="42"/>
      <c r="O193" s="42"/>
      <c r="P193" s="42"/>
    </row>
    <row r="194" spans="1:16" ht="50.1" customHeight="1" x14ac:dyDescent="0.25"/>
    <row r="195" spans="1:16" ht="50.1" customHeight="1" x14ac:dyDescent="0.25"/>
    <row r="196" spans="1:16" ht="50.1" customHeight="1" x14ac:dyDescent="0.25"/>
    <row r="197" spans="1:16" ht="50.1" customHeight="1" x14ac:dyDescent="0.25"/>
    <row r="198" spans="1:16" ht="50.1" customHeight="1" x14ac:dyDescent="0.25"/>
    <row r="199" spans="1:16" ht="50.1" customHeight="1" x14ac:dyDescent="0.25"/>
    <row r="200" spans="1:16" ht="50.1" customHeight="1" x14ac:dyDescent="0.25"/>
    <row r="201" spans="1:16" ht="50.1" customHeight="1" x14ac:dyDescent="0.25"/>
    <row r="202" spans="1:16" ht="50.1" customHeight="1" x14ac:dyDescent="0.25"/>
    <row r="203" spans="1:16" ht="50.1" customHeight="1" x14ac:dyDescent="0.25"/>
    <row r="204" spans="1:16" ht="50.1" customHeight="1" x14ac:dyDescent="0.25"/>
    <row r="205" spans="1:16" ht="50.1" customHeight="1" x14ac:dyDescent="0.25"/>
    <row r="206" spans="1:16" ht="50.1" customHeight="1" x14ac:dyDescent="0.25"/>
    <row r="207" spans="1:16" ht="50.1" customHeight="1" x14ac:dyDescent="0.25"/>
    <row r="208" spans="1:16" ht="50.1" customHeight="1" x14ac:dyDescent="0.25"/>
    <row r="209" ht="50.1" customHeight="1" x14ac:dyDescent="0.25"/>
    <row r="210" ht="50.1" customHeight="1" x14ac:dyDescent="0.25"/>
    <row r="211" ht="50.1" customHeight="1" x14ac:dyDescent="0.25"/>
    <row r="212" ht="50.1" customHeight="1" x14ac:dyDescent="0.25"/>
    <row r="213" ht="50.1" customHeight="1" x14ac:dyDescent="0.25"/>
    <row r="214" ht="50.1" customHeight="1" x14ac:dyDescent="0.25"/>
    <row r="215" ht="50.1" customHeight="1" x14ac:dyDescent="0.25"/>
    <row r="216" ht="50.1" customHeight="1" x14ac:dyDescent="0.25"/>
    <row r="217" ht="50.1" customHeight="1" x14ac:dyDescent="0.25"/>
    <row r="218" ht="50.1" customHeight="1" x14ac:dyDescent="0.25"/>
    <row r="219" ht="50.1" customHeight="1" x14ac:dyDescent="0.25"/>
    <row r="220" ht="50.1" customHeight="1" x14ac:dyDescent="0.25"/>
    <row r="221" ht="50.1" customHeight="1" x14ac:dyDescent="0.25"/>
    <row r="222" ht="50.1" customHeight="1" x14ac:dyDescent="0.25"/>
    <row r="223" ht="50.1" customHeight="1" x14ac:dyDescent="0.25"/>
  </sheetData>
  <hyperlinks>
    <hyperlink ref="L2" r:id="rId1"/>
    <hyperlink ref="M2" r:id="rId2"/>
    <hyperlink ref="L3" r:id="rId3"/>
    <hyperlink ref="M3" r:id="rId4"/>
    <hyperlink ref="L4" r:id="rId5"/>
    <hyperlink ref="M4" r:id="rId6"/>
    <hyperlink ref="L7" r:id="rId7"/>
    <hyperlink ref="L8" r:id="rId8"/>
    <hyperlink ref="L5" r:id="rId9"/>
    <hyperlink ref="M6" r:id="rId10"/>
    <hyperlink ref="M8" r:id="rId11"/>
    <hyperlink ref="L10" r:id="rId12"/>
    <hyperlink ref="M10" r:id="rId13"/>
    <hyperlink ref="M11" r:id="rId14"/>
    <hyperlink ref="L12" r:id="rId15"/>
    <hyperlink ref="L13" r:id="rId16"/>
    <hyperlink ref="M13" r:id="rId17"/>
    <hyperlink ref="M14" r:id="rId18"/>
    <hyperlink ref="L14" r:id="rId19"/>
    <hyperlink ref="L15" r:id="rId20"/>
    <hyperlink ref="L16" r:id="rId21"/>
    <hyperlink ref="M16" r:id="rId22"/>
    <hyperlink ref="L18" r:id="rId23"/>
    <hyperlink ref="L19" r:id="rId24"/>
    <hyperlink ref="M19" r:id="rId25"/>
    <hyperlink ref="L20" r:id="rId26"/>
    <hyperlink ref="M20" r:id="rId27"/>
    <hyperlink ref="L21" r:id="rId28"/>
    <hyperlink ref="M21" r:id="rId29"/>
    <hyperlink ref="L22" r:id="rId30"/>
    <hyperlink ref="L23" r:id="rId31"/>
    <hyperlink ref="M23" r:id="rId32"/>
    <hyperlink ref="L25" r:id="rId33"/>
    <hyperlink ref="L27" r:id="rId34"/>
    <hyperlink ref="M27" r:id="rId35"/>
    <hyperlink ref="L28" r:id="rId36"/>
    <hyperlink ref="L29" r:id="rId37"/>
    <hyperlink ref="L30" r:id="rId38"/>
    <hyperlink ref="L31" r:id="rId39"/>
    <hyperlink ref="L32" r:id="rId40"/>
    <hyperlink ref="M32" r:id="rId41"/>
    <hyperlink ref="M34" r:id="rId42"/>
    <hyperlink ref="L35" r:id="rId43"/>
    <hyperlink ref="L36" r:id="rId44"/>
    <hyperlink ref="L37" r:id="rId45"/>
    <hyperlink ref="L38" r:id="rId46"/>
    <hyperlink ref="M38" r:id="rId47"/>
    <hyperlink ref="L39" r:id="rId48"/>
    <hyperlink ref="L40" r:id="rId49"/>
    <hyperlink ref="M40" r:id="rId50"/>
    <hyperlink ref="L41" r:id="rId51"/>
    <hyperlink ref="L42" r:id="rId52"/>
    <hyperlink ref="M42" r:id="rId53"/>
    <hyperlink ref="L43" r:id="rId54"/>
    <hyperlink ref="L44" r:id="rId55"/>
    <hyperlink ref="M44" r:id="rId56"/>
    <hyperlink ref="L45" r:id="rId57"/>
    <hyperlink ref="L46" r:id="rId58"/>
    <hyperlink ref="M46" r:id="rId59"/>
    <hyperlink ref="L47" r:id="rId60"/>
    <hyperlink ref="L48" r:id="rId61"/>
    <hyperlink ref="L49" r:id="rId62"/>
    <hyperlink ref="M49" r:id="rId63"/>
    <hyperlink ref="L50" r:id="rId64"/>
    <hyperlink ref="L51" r:id="rId65"/>
    <hyperlink ref="L52" r:id="rId66"/>
    <hyperlink ref="L53" r:id="rId67"/>
    <hyperlink ref="L54" r:id="rId68"/>
    <hyperlink ref="L55" r:id="rId69"/>
    <hyperlink ref="M55" r:id="rId70"/>
    <hyperlink ref="L56" r:id="rId71"/>
    <hyperlink ref="L57" r:id="rId72"/>
    <hyperlink ref="L58" r:id="rId73"/>
    <hyperlink ref="M58" r:id="rId74"/>
    <hyperlink ref="L59" r:id="rId75"/>
    <hyperlink ref="M59" r:id="rId76"/>
    <hyperlink ref="L61" r:id="rId77"/>
    <hyperlink ref="M61" r:id="rId78"/>
    <hyperlink ref="M62" r:id="rId79"/>
    <hyperlink ref="L62" r:id="rId80"/>
    <hyperlink ref="L63" r:id="rId81"/>
    <hyperlink ref="M63" r:id="rId82"/>
    <hyperlink ref="L64" r:id="rId83"/>
    <hyperlink ref="M64" r:id="rId84"/>
    <hyperlink ref="L66" r:id="rId85"/>
    <hyperlink ref="M66" r:id="rId86"/>
    <hyperlink ref="L67" r:id="rId87"/>
    <hyperlink ref="L69" r:id="rId88"/>
    <hyperlink ref="L70" r:id="rId89"/>
    <hyperlink ref="L71" r:id="rId90"/>
    <hyperlink ref="L72" r:id="rId91"/>
    <hyperlink ref="M72" r:id="rId92"/>
    <hyperlink ref="L74" r:id="rId93"/>
    <hyperlink ref="L75" r:id="rId94"/>
    <hyperlink ref="M75" r:id="rId95"/>
    <hyperlink ref="L76" r:id="rId96"/>
    <hyperlink ref="L77" r:id="rId97"/>
    <hyperlink ref="L78" r:id="rId98"/>
    <hyperlink ref="M78" r:id="rId99"/>
    <hyperlink ref="L79" r:id="rId100"/>
    <hyperlink ref="M79" r:id="rId101"/>
    <hyperlink ref="L80" r:id="rId102"/>
    <hyperlink ref="M80" r:id="rId103"/>
    <hyperlink ref="L81" r:id="rId104"/>
    <hyperlink ref="L82" r:id="rId105"/>
    <hyperlink ref="L83" r:id="rId106"/>
    <hyperlink ref="L84" r:id="rId107"/>
    <hyperlink ref="M84" r:id="rId108"/>
    <hyperlink ref="L86" r:id="rId109"/>
    <hyperlink ref="L87" r:id="rId110"/>
    <hyperlink ref="L88" r:id="rId111"/>
    <hyperlink ref="M88" r:id="rId112"/>
    <hyperlink ref="L89" r:id="rId113"/>
    <hyperlink ref="M89" r:id="rId114"/>
    <hyperlink ref="L90" r:id="rId115"/>
    <hyperlink ref="M90" r:id="rId116"/>
    <hyperlink ref="L91" r:id="rId117"/>
    <hyperlink ref="L92" r:id="rId118"/>
    <hyperlink ref="L93" r:id="rId119"/>
    <hyperlink ref="M93" r:id="rId120"/>
    <hyperlink ref="L94" r:id="rId121"/>
    <hyperlink ref="L96" r:id="rId122"/>
    <hyperlink ref="M96" r:id="rId123"/>
    <hyperlink ref="M45" r:id="rId124"/>
    <hyperlink ref="L97" r:id="rId125"/>
    <hyperlink ref="L98" r:id="rId126"/>
    <hyperlink ref="M98" r:id="rId127"/>
    <hyperlink ref="L99" r:id="rId128"/>
    <hyperlink ref="M99" r:id="rId129"/>
    <hyperlink ref="L100" r:id="rId130"/>
    <hyperlink ref="M100" r:id="rId131"/>
    <hyperlink ref="L101" r:id="rId132"/>
    <hyperlink ref="M101" r:id="rId133"/>
    <hyperlink ref="L102" r:id="rId134"/>
    <hyperlink ref="M102" r:id="rId135"/>
    <hyperlink ref="L103" r:id="rId136"/>
    <hyperlink ref="L104" r:id="rId137"/>
    <hyperlink ref="L105" r:id="rId138"/>
    <hyperlink ref="M105" r:id="rId139"/>
    <hyperlink ref="L106" r:id="rId140"/>
    <hyperlink ref="M107" r:id="rId141"/>
    <hyperlink ref="L108" r:id="rId142"/>
    <hyperlink ref="L109" r:id="rId143"/>
    <hyperlink ref="L110" r:id="rId144"/>
    <hyperlink ref="M110" r:id="rId145"/>
    <hyperlink ref="L111" r:id="rId146"/>
    <hyperlink ref="M111" r:id="rId147"/>
    <hyperlink ref="L112" r:id="rId148"/>
    <hyperlink ref="M112" r:id="rId149"/>
    <hyperlink ref="L113" r:id="rId150"/>
    <hyperlink ref="M113" r:id="rId151"/>
    <hyperlink ref="L114" r:id="rId152"/>
    <hyperlink ref="M114" r:id="rId153"/>
    <hyperlink ref="L115" r:id="rId154"/>
    <hyperlink ref="M115" r:id="rId155"/>
    <hyperlink ref="L116" r:id="rId156"/>
    <hyperlink ref="M116" r:id="rId157"/>
    <hyperlink ref="L117" r:id="rId158"/>
    <hyperlink ref="L118" r:id="rId159"/>
    <hyperlink ref="M118" r:id="rId160"/>
    <hyperlink ref="L119" r:id="rId161"/>
    <hyperlink ref="M119" r:id="rId162"/>
    <hyperlink ref="L120" r:id="rId163"/>
    <hyperlink ref="M120" r:id="rId164"/>
    <hyperlink ref="L121" r:id="rId165"/>
    <hyperlink ref="M121" r:id="rId166"/>
    <hyperlink ref="L122" r:id="rId167"/>
    <hyperlink ref="L123" r:id="rId168"/>
    <hyperlink ref="L124" r:id="rId169"/>
    <hyperlink ref="L125" r:id="rId170"/>
    <hyperlink ref="M125" r:id="rId171"/>
    <hyperlink ref="L126" r:id="rId172"/>
    <hyperlink ref="L127" r:id="rId173"/>
    <hyperlink ref="M127" r:id="rId174"/>
    <hyperlink ref="L128" r:id="rId175"/>
    <hyperlink ref="M128" r:id="rId176"/>
    <hyperlink ref="L129" r:id="rId177"/>
    <hyperlink ref="L130" r:id="rId178"/>
    <hyperlink ref="M130" r:id="rId179"/>
    <hyperlink ref="L132" r:id="rId180"/>
    <hyperlink ref="L133" r:id="rId181"/>
    <hyperlink ref="M133" r:id="rId182"/>
    <hyperlink ref="L134" r:id="rId183"/>
    <hyperlink ref="L135" r:id="rId184"/>
    <hyperlink ref="L136" r:id="rId185"/>
    <hyperlink ref="M136" r:id="rId186"/>
    <hyperlink ref="L137" r:id="rId187"/>
    <hyperlink ref="L138" r:id="rId188"/>
    <hyperlink ref="M138" r:id="rId189"/>
    <hyperlink ref="L139" r:id="rId190"/>
    <hyperlink ref="L140" r:id="rId191"/>
    <hyperlink ref="M140" r:id="rId192"/>
    <hyperlink ref="L141" r:id="rId193"/>
    <hyperlink ref="L142" r:id="rId194"/>
    <hyperlink ref="M142" r:id="rId195"/>
    <hyperlink ref="L143" r:id="rId196"/>
    <hyperlink ref="L144" r:id="rId197"/>
    <hyperlink ref="M144" r:id="rId198"/>
    <hyperlink ref="L145" r:id="rId199"/>
    <hyperlink ref="M147" r:id="rId200"/>
    <hyperlink ref="L148" r:id="rId201"/>
    <hyperlink ref="L149" r:id="rId202"/>
    <hyperlink ref="M149" r:id="rId203"/>
    <hyperlink ref="L150" r:id="rId204"/>
    <hyperlink ref="M150" r:id="rId205"/>
    <hyperlink ref="L151" r:id="rId206"/>
    <hyperlink ref="M151" r:id="rId207"/>
    <hyperlink ref="L152" r:id="rId208"/>
    <hyperlink ref="M152" r:id="rId209"/>
    <hyperlink ref="L153" r:id="rId210"/>
    <hyperlink ref="L154" r:id="rId211"/>
    <hyperlink ref="L155" r:id="rId212"/>
    <hyperlink ref="L156" r:id="rId213"/>
    <hyperlink ref="L157" r:id="rId214"/>
    <hyperlink ref="L158" r:id="rId215"/>
    <hyperlink ref="M158" r:id="rId216"/>
    <hyperlink ref="M159" r:id="rId217"/>
    <hyperlink ref="L161" r:id="rId218"/>
    <hyperlink ref="L162" r:id="rId219"/>
    <hyperlink ref="L163" r:id="rId220"/>
    <hyperlink ref="M164" r:id="rId221"/>
    <hyperlink ref="L166" r:id="rId222" display="mailto:jav@accuweb.com"/>
    <hyperlink ref="M166" r:id="rId223" display="http://www.accuweb.com/"/>
    <hyperlink ref="L167" r:id="rId224"/>
    <hyperlink ref="M167" r:id="rId225"/>
    <hyperlink ref="L168" r:id="rId226"/>
    <hyperlink ref="L169" r:id="rId227"/>
    <hyperlink ref="M169" r:id="rId228"/>
    <hyperlink ref="M170" r:id="rId229"/>
    <hyperlink ref="M171" r:id="rId230"/>
    <hyperlink ref="L172" r:id="rId231"/>
    <hyperlink ref="M172" r:id="rId232"/>
    <hyperlink ref="L173" r:id="rId233"/>
    <hyperlink ref="L9" r:id="rId234"/>
    <hyperlink ref="L175" r:id="rId235"/>
    <hyperlink ref="M175" r:id="rId236"/>
    <hyperlink ref="L176" r:id="rId237"/>
    <hyperlink ref="M176" r:id="rId238"/>
    <hyperlink ref="M12" r:id="rId239"/>
    <hyperlink ref="L177" r:id="rId240"/>
    <hyperlink ref="L178" r:id="rId241"/>
    <hyperlink ref="M178" r:id="rId242"/>
    <hyperlink ref="L179" r:id="rId243"/>
    <hyperlink ref="L164" r:id="rId244"/>
    <hyperlink ref="L17" r:id="rId245" display="mailto:info@adtech-trading.com"/>
    <hyperlink ref="M181" r:id="rId246"/>
    <hyperlink ref="L181" r:id="rId247"/>
    <hyperlink ref="L183" r:id="rId248"/>
    <hyperlink ref="M183" r:id="rId249"/>
    <hyperlink ref="L184" r:id="rId250"/>
    <hyperlink ref="L185" r:id="rId251"/>
    <hyperlink ref="L186" r:id="rId252"/>
    <hyperlink ref="M186" r:id="rId253"/>
    <hyperlink ref="M187" r:id="rId254"/>
    <hyperlink ref="L187" r:id="rId255"/>
    <hyperlink ref="L189" r:id="rId256"/>
    <hyperlink ref="M189" r:id="rId257"/>
  </hyperlinks>
  <pageMargins left="0.7" right="0.7" top="0.75" bottom="0.75" header="0.3" footer="0.3"/>
  <pageSetup orientation="portrait" r:id="rId258"/>
  <tableParts count="1">
    <tablePart r:id="rId25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D113"/>
  <sheetViews>
    <sheetView topLeftCell="A55" workbookViewId="0">
      <selection activeCell="B12" sqref="B12"/>
    </sheetView>
  </sheetViews>
  <sheetFormatPr defaultRowHeight="15" x14ac:dyDescent="0.25"/>
  <cols>
    <col min="1" max="1" width="18.85546875" bestFit="1" customWidth="1"/>
    <col min="2" max="2" width="55.140625" bestFit="1" customWidth="1"/>
    <col min="3" max="3" width="65.85546875" bestFit="1" customWidth="1"/>
    <col min="4" max="4" width="18.28515625" bestFit="1" customWidth="1"/>
    <col min="5" max="6" width="18.28515625" customWidth="1"/>
    <col min="7" max="7" width="20.42578125" bestFit="1" customWidth="1"/>
  </cols>
  <sheetData>
    <row r="2" spans="1:4" x14ac:dyDescent="0.25">
      <c r="A2" s="183" t="s">
        <v>34</v>
      </c>
      <c r="B2" t="s">
        <v>3199</v>
      </c>
    </row>
    <row r="3" spans="1:4" x14ac:dyDescent="0.25">
      <c r="A3" s="183" t="s">
        <v>9</v>
      </c>
      <c r="B3" t="s">
        <v>3199</v>
      </c>
    </row>
    <row r="4" spans="1:4" x14ac:dyDescent="0.25">
      <c r="A4" s="183" t="s">
        <v>4</v>
      </c>
      <c r="B4" t="s">
        <v>3349</v>
      </c>
    </row>
    <row r="6" spans="1:4" x14ac:dyDescent="0.25">
      <c r="A6" s="183" t="s">
        <v>2</v>
      </c>
      <c r="B6" s="183" t="s">
        <v>2983</v>
      </c>
      <c r="C6" s="183" t="s">
        <v>5</v>
      </c>
      <c r="D6" s="183" t="s">
        <v>3010</v>
      </c>
    </row>
    <row r="7" spans="1:4" x14ac:dyDescent="0.25">
      <c r="A7" t="s">
        <v>6443</v>
      </c>
      <c r="B7" t="s">
        <v>6821</v>
      </c>
      <c r="C7" t="s">
        <v>4710</v>
      </c>
      <c r="D7" t="s">
        <v>3015</v>
      </c>
    </row>
    <row r="8" spans="1:4" x14ac:dyDescent="0.25">
      <c r="A8" t="s">
        <v>6444</v>
      </c>
      <c r="B8" t="s">
        <v>6821</v>
      </c>
      <c r="C8" t="s">
        <v>4711</v>
      </c>
      <c r="D8" t="s">
        <v>3016</v>
      </c>
    </row>
    <row r="9" spans="1:4" x14ac:dyDescent="0.25">
      <c r="A9" t="s">
        <v>6445</v>
      </c>
      <c r="B9" t="s">
        <v>6821</v>
      </c>
      <c r="C9" t="s">
        <v>4712</v>
      </c>
      <c r="D9" t="s">
        <v>3017</v>
      </c>
    </row>
    <row r="10" spans="1:4" x14ac:dyDescent="0.25">
      <c r="A10" t="s">
        <v>6446</v>
      </c>
      <c r="B10" t="s">
        <v>6821</v>
      </c>
      <c r="C10" t="s">
        <v>4713</v>
      </c>
      <c r="D10" t="s">
        <v>3018</v>
      </c>
    </row>
    <row r="11" spans="1:4" x14ac:dyDescent="0.25">
      <c r="A11" t="s">
        <v>6447</v>
      </c>
      <c r="B11" t="s">
        <v>6821</v>
      </c>
      <c r="C11" t="s">
        <v>4714</v>
      </c>
      <c r="D11" t="s">
        <v>3019</v>
      </c>
    </row>
    <row r="12" spans="1:4" x14ac:dyDescent="0.25">
      <c r="A12" t="s">
        <v>6448</v>
      </c>
      <c r="B12" t="s">
        <v>6821</v>
      </c>
      <c r="C12" t="s">
        <v>4715</v>
      </c>
      <c r="D12" t="s">
        <v>3020</v>
      </c>
    </row>
    <row r="13" spans="1:4" x14ac:dyDescent="0.25">
      <c r="A13" t="s">
        <v>6449</v>
      </c>
      <c r="B13" t="s">
        <v>6821</v>
      </c>
      <c r="C13" t="s">
        <v>4716</v>
      </c>
      <c r="D13" t="s">
        <v>3021</v>
      </c>
    </row>
    <row r="14" spans="1:4" x14ac:dyDescent="0.25">
      <c r="A14" t="s">
        <v>6450</v>
      </c>
      <c r="B14" t="s">
        <v>6821</v>
      </c>
      <c r="C14" t="s">
        <v>4717</v>
      </c>
      <c r="D14" t="s">
        <v>3022</v>
      </c>
    </row>
    <row r="15" spans="1:4" x14ac:dyDescent="0.25">
      <c r="A15" t="s">
        <v>6451</v>
      </c>
      <c r="B15" t="s">
        <v>6821</v>
      </c>
      <c r="C15" t="s">
        <v>4718</v>
      </c>
      <c r="D15" t="s">
        <v>3023</v>
      </c>
    </row>
    <row r="16" spans="1:4" x14ac:dyDescent="0.25">
      <c r="A16" t="s">
        <v>6463</v>
      </c>
      <c r="B16" t="s">
        <v>6821</v>
      </c>
      <c r="C16" t="s">
        <v>4719</v>
      </c>
      <c r="D16" t="s">
        <v>3024</v>
      </c>
    </row>
    <row r="17" spans="1:4" x14ac:dyDescent="0.25">
      <c r="A17" t="s">
        <v>6465</v>
      </c>
      <c r="B17" t="s">
        <v>6821</v>
      </c>
      <c r="C17" t="s">
        <v>4721</v>
      </c>
      <c r="D17" t="s">
        <v>3026</v>
      </c>
    </row>
    <row r="18" spans="1:4" x14ac:dyDescent="0.25">
      <c r="A18" t="s">
        <v>6466</v>
      </c>
      <c r="B18" t="s">
        <v>6821</v>
      </c>
      <c r="C18" t="s">
        <v>4722</v>
      </c>
      <c r="D18" t="s">
        <v>3027</v>
      </c>
    </row>
    <row r="19" spans="1:4" x14ac:dyDescent="0.25">
      <c r="A19" t="s">
        <v>6467</v>
      </c>
      <c r="B19" t="s">
        <v>6821</v>
      </c>
      <c r="C19" t="s">
        <v>4723</v>
      </c>
      <c r="D19" t="s">
        <v>3028</v>
      </c>
    </row>
    <row r="20" spans="1:4" x14ac:dyDescent="0.25">
      <c r="A20" t="s">
        <v>6468</v>
      </c>
      <c r="B20" t="s">
        <v>6821</v>
      </c>
      <c r="C20" t="s">
        <v>4724</v>
      </c>
      <c r="D20" t="s">
        <v>3029</v>
      </c>
    </row>
    <row r="21" spans="1:4" x14ac:dyDescent="0.25">
      <c r="A21" t="s">
        <v>6469</v>
      </c>
      <c r="B21" t="s">
        <v>6821</v>
      </c>
      <c r="C21" t="s">
        <v>4725</v>
      </c>
      <c r="D21" t="s">
        <v>3030</v>
      </c>
    </row>
    <row r="22" spans="1:4" x14ac:dyDescent="0.25">
      <c r="A22" t="s">
        <v>6470</v>
      </c>
      <c r="B22" t="s">
        <v>6821</v>
      </c>
      <c r="C22" t="s">
        <v>4726</v>
      </c>
      <c r="D22" t="s">
        <v>3031</v>
      </c>
    </row>
    <row r="23" spans="1:4" x14ac:dyDescent="0.25">
      <c r="A23" t="s">
        <v>6471</v>
      </c>
      <c r="B23" t="s">
        <v>6821</v>
      </c>
      <c r="C23" t="s">
        <v>4727</v>
      </c>
      <c r="D23" t="s">
        <v>3032</v>
      </c>
    </row>
    <row r="24" spans="1:4" x14ac:dyDescent="0.25">
      <c r="A24" t="s">
        <v>6472</v>
      </c>
      <c r="B24" t="s">
        <v>6821</v>
      </c>
      <c r="C24" t="s">
        <v>4728</v>
      </c>
      <c r="D24" t="s">
        <v>3033</v>
      </c>
    </row>
    <row r="25" spans="1:4" x14ac:dyDescent="0.25">
      <c r="A25" t="s">
        <v>6473</v>
      </c>
      <c r="B25" t="s">
        <v>6821</v>
      </c>
      <c r="C25" t="s">
        <v>4729</v>
      </c>
      <c r="D25" t="s">
        <v>3035</v>
      </c>
    </row>
    <row r="26" spans="1:4" x14ac:dyDescent="0.25">
      <c r="A26" t="s">
        <v>6474</v>
      </c>
      <c r="B26" t="s">
        <v>6821</v>
      </c>
      <c r="C26" t="s">
        <v>4730</v>
      </c>
      <c r="D26" t="s">
        <v>3036</v>
      </c>
    </row>
    <row r="27" spans="1:4" x14ac:dyDescent="0.25">
      <c r="A27" t="s">
        <v>6475</v>
      </c>
      <c r="B27" t="s">
        <v>6821</v>
      </c>
      <c r="C27" t="s">
        <v>4731</v>
      </c>
      <c r="D27" t="s">
        <v>3039</v>
      </c>
    </row>
    <row r="28" spans="1:4" x14ac:dyDescent="0.25">
      <c r="A28" t="s">
        <v>6476</v>
      </c>
      <c r="B28" t="s">
        <v>6821</v>
      </c>
      <c r="C28" t="s">
        <v>4732</v>
      </c>
      <c r="D28" t="s">
        <v>3040</v>
      </c>
    </row>
    <row r="29" spans="1:4" x14ac:dyDescent="0.25">
      <c r="A29" t="s">
        <v>6477</v>
      </c>
      <c r="B29" t="s">
        <v>6821</v>
      </c>
      <c r="C29" t="s">
        <v>4733</v>
      </c>
      <c r="D29" t="s">
        <v>3041</v>
      </c>
    </row>
    <row r="30" spans="1:4" x14ac:dyDescent="0.25">
      <c r="A30" t="s">
        <v>6478</v>
      </c>
      <c r="B30" t="s">
        <v>6821</v>
      </c>
      <c r="C30" t="s">
        <v>4734</v>
      </c>
      <c r="D30" t="s">
        <v>3042</v>
      </c>
    </row>
    <row r="31" spans="1:4" x14ac:dyDescent="0.25">
      <c r="A31" t="s">
        <v>6479</v>
      </c>
      <c r="B31" t="s">
        <v>6821</v>
      </c>
      <c r="C31" t="s">
        <v>4735</v>
      </c>
      <c r="D31" t="s">
        <v>3043</v>
      </c>
    </row>
    <row r="32" spans="1:4" x14ac:dyDescent="0.25">
      <c r="A32" t="s">
        <v>6480</v>
      </c>
      <c r="B32" t="s">
        <v>6821</v>
      </c>
      <c r="C32" t="s">
        <v>4736</v>
      </c>
      <c r="D32" t="s">
        <v>3044</v>
      </c>
    </row>
    <row r="33" spans="1:4" x14ac:dyDescent="0.25">
      <c r="A33" t="s">
        <v>6481</v>
      </c>
      <c r="B33" t="s">
        <v>6821</v>
      </c>
      <c r="C33" t="s">
        <v>4737</v>
      </c>
      <c r="D33" t="s">
        <v>3037</v>
      </c>
    </row>
    <row r="34" spans="1:4" x14ac:dyDescent="0.25">
      <c r="A34" t="s">
        <v>6482</v>
      </c>
      <c r="B34" t="s">
        <v>6821</v>
      </c>
      <c r="C34" t="s">
        <v>4738</v>
      </c>
      <c r="D34" t="s">
        <v>3038</v>
      </c>
    </row>
    <row r="35" spans="1:4" x14ac:dyDescent="0.25">
      <c r="A35" t="s">
        <v>6490</v>
      </c>
      <c r="B35" t="s">
        <v>6821</v>
      </c>
      <c r="C35" t="s">
        <v>4745</v>
      </c>
      <c r="D35" t="s">
        <v>3045</v>
      </c>
    </row>
    <row r="36" spans="1:4" x14ac:dyDescent="0.25">
      <c r="A36" t="s">
        <v>6491</v>
      </c>
      <c r="B36" t="s">
        <v>6821</v>
      </c>
      <c r="C36" t="s">
        <v>4746</v>
      </c>
      <c r="D36" t="s">
        <v>3025</v>
      </c>
    </row>
    <row r="37" spans="1:4" x14ac:dyDescent="0.25">
      <c r="A37" t="s">
        <v>6492</v>
      </c>
      <c r="B37" t="s">
        <v>6821</v>
      </c>
      <c r="C37" t="s">
        <v>4747</v>
      </c>
      <c r="D37" t="s">
        <v>3073</v>
      </c>
    </row>
    <row r="38" spans="1:4" x14ac:dyDescent="0.25">
      <c r="A38" t="s">
        <v>6493</v>
      </c>
      <c r="B38" t="s">
        <v>6821</v>
      </c>
      <c r="C38" t="s">
        <v>4748</v>
      </c>
      <c r="D38" t="s">
        <v>3074</v>
      </c>
    </row>
    <row r="39" spans="1:4" x14ac:dyDescent="0.25">
      <c r="A39" t="s">
        <v>6494</v>
      </c>
      <c r="B39" t="s">
        <v>6821</v>
      </c>
      <c r="C39" t="s">
        <v>4749</v>
      </c>
      <c r="D39" t="s">
        <v>3075</v>
      </c>
    </row>
    <row r="40" spans="1:4" x14ac:dyDescent="0.25">
      <c r="A40" t="s">
        <v>6495</v>
      </c>
      <c r="B40" t="s">
        <v>6821</v>
      </c>
      <c r="C40" t="s">
        <v>4750</v>
      </c>
      <c r="D40" t="s">
        <v>3076</v>
      </c>
    </row>
    <row r="41" spans="1:4" x14ac:dyDescent="0.25">
      <c r="A41" t="s">
        <v>6496</v>
      </c>
      <c r="B41" t="s">
        <v>6821</v>
      </c>
      <c r="C41" t="s">
        <v>4751</v>
      </c>
      <c r="D41" t="s">
        <v>3077</v>
      </c>
    </row>
    <row r="42" spans="1:4" x14ac:dyDescent="0.25">
      <c r="A42" t="s">
        <v>6497</v>
      </c>
      <c r="B42" t="s">
        <v>6821</v>
      </c>
      <c r="C42" t="s">
        <v>4752</v>
      </c>
      <c r="D42" t="s">
        <v>3078</v>
      </c>
    </row>
    <row r="43" spans="1:4" x14ac:dyDescent="0.25">
      <c r="A43" t="s">
        <v>6498</v>
      </c>
      <c r="B43" t="s">
        <v>6821</v>
      </c>
      <c r="C43" t="s">
        <v>4753</v>
      </c>
      <c r="D43" t="s">
        <v>3079</v>
      </c>
    </row>
    <row r="44" spans="1:4" x14ac:dyDescent="0.25">
      <c r="A44" t="s">
        <v>6499</v>
      </c>
      <c r="B44" t="s">
        <v>6821</v>
      </c>
      <c r="C44" t="s">
        <v>4754</v>
      </c>
      <c r="D44" t="s">
        <v>3080</v>
      </c>
    </row>
    <row r="45" spans="1:4" x14ac:dyDescent="0.25">
      <c r="A45" t="s">
        <v>6507</v>
      </c>
      <c r="B45" t="s">
        <v>6821</v>
      </c>
      <c r="C45" t="s">
        <v>4762</v>
      </c>
      <c r="D45" t="s">
        <v>3089</v>
      </c>
    </row>
    <row r="46" spans="1:4" x14ac:dyDescent="0.25">
      <c r="A46" t="s">
        <v>6511</v>
      </c>
      <c r="B46" t="s">
        <v>6821</v>
      </c>
      <c r="C46" t="s">
        <v>4766</v>
      </c>
      <c r="D46" t="s">
        <v>3093</v>
      </c>
    </row>
    <row r="47" spans="1:4" x14ac:dyDescent="0.25">
      <c r="A47" t="s">
        <v>6512</v>
      </c>
      <c r="B47" t="s">
        <v>6821</v>
      </c>
      <c r="C47" t="s">
        <v>4767</v>
      </c>
      <c r="D47" t="s">
        <v>3094</v>
      </c>
    </row>
    <row r="48" spans="1:4" x14ac:dyDescent="0.25">
      <c r="A48" t="s">
        <v>6513</v>
      </c>
      <c r="B48" t="s">
        <v>6821</v>
      </c>
      <c r="C48" t="s">
        <v>4768</v>
      </c>
      <c r="D48" t="s">
        <v>3095</v>
      </c>
    </row>
    <row r="49" spans="1:4" x14ac:dyDescent="0.25">
      <c r="A49" t="s">
        <v>6514</v>
      </c>
      <c r="B49" t="s">
        <v>6821</v>
      </c>
      <c r="C49" t="s">
        <v>4769</v>
      </c>
      <c r="D49" t="s">
        <v>3086</v>
      </c>
    </row>
    <row r="50" spans="1:4" x14ac:dyDescent="0.25">
      <c r="A50" t="s">
        <v>6515</v>
      </c>
      <c r="B50" t="s">
        <v>6821</v>
      </c>
      <c r="C50" t="s">
        <v>4770</v>
      </c>
      <c r="D50" t="s">
        <v>3096</v>
      </c>
    </row>
    <row r="51" spans="1:4" x14ac:dyDescent="0.25">
      <c r="A51" t="s">
        <v>6516</v>
      </c>
      <c r="B51" t="s">
        <v>6821</v>
      </c>
      <c r="C51" t="s">
        <v>4771</v>
      </c>
      <c r="D51" t="s">
        <v>3097</v>
      </c>
    </row>
    <row r="52" spans="1:4" x14ac:dyDescent="0.25">
      <c r="A52" t="s">
        <v>6522</v>
      </c>
      <c r="B52" t="s">
        <v>6821</v>
      </c>
      <c r="C52" t="s">
        <v>4777</v>
      </c>
      <c r="D52" t="s">
        <v>5944</v>
      </c>
    </row>
    <row r="53" spans="1:4" x14ac:dyDescent="0.25">
      <c r="A53" t="s">
        <v>6526</v>
      </c>
      <c r="B53" t="s">
        <v>6821</v>
      </c>
      <c r="C53" t="s">
        <v>4781</v>
      </c>
      <c r="D53" t="s">
        <v>3105</v>
      </c>
    </row>
    <row r="54" spans="1:4" x14ac:dyDescent="0.25">
      <c r="A54" t="s">
        <v>6527</v>
      </c>
      <c r="B54" t="s">
        <v>6821</v>
      </c>
      <c r="C54" t="s">
        <v>4782</v>
      </c>
      <c r="D54" t="s">
        <v>3106</v>
      </c>
    </row>
    <row r="55" spans="1:4" x14ac:dyDescent="0.25">
      <c r="A55" t="s">
        <v>6534</v>
      </c>
      <c r="B55" t="s">
        <v>6821</v>
      </c>
      <c r="C55" t="s">
        <v>4789</v>
      </c>
      <c r="D55" t="s">
        <v>3113</v>
      </c>
    </row>
    <row r="56" spans="1:4" x14ac:dyDescent="0.25">
      <c r="A56" t="s">
        <v>6535</v>
      </c>
      <c r="B56" t="s">
        <v>6821</v>
      </c>
      <c r="C56" t="s">
        <v>4790</v>
      </c>
      <c r="D56" t="s">
        <v>3114</v>
      </c>
    </row>
    <row r="57" spans="1:4" x14ac:dyDescent="0.25">
      <c r="A57" t="s">
        <v>6537</v>
      </c>
      <c r="B57" t="s">
        <v>6821</v>
      </c>
      <c r="C57" t="s">
        <v>4792</v>
      </c>
      <c r="D57" t="s">
        <v>3116</v>
      </c>
    </row>
    <row r="58" spans="1:4" x14ac:dyDescent="0.25">
      <c r="A58" t="s">
        <v>6538</v>
      </c>
      <c r="B58" t="s">
        <v>6821</v>
      </c>
      <c r="C58" t="s">
        <v>4793</v>
      </c>
      <c r="D58" t="s">
        <v>3117</v>
      </c>
    </row>
    <row r="59" spans="1:4" x14ac:dyDescent="0.25">
      <c r="A59" t="s">
        <v>6539</v>
      </c>
      <c r="B59" t="s">
        <v>6821</v>
      </c>
      <c r="C59" t="s">
        <v>4794</v>
      </c>
      <c r="D59" t="s">
        <v>3118</v>
      </c>
    </row>
    <row r="60" spans="1:4" x14ac:dyDescent="0.25">
      <c r="A60" t="s">
        <v>6540</v>
      </c>
      <c r="B60" t="s">
        <v>6821</v>
      </c>
      <c r="C60" t="s">
        <v>4795</v>
      </c>
      <c r="D60" t="s">
        <v>3119</v>
      </c>
    </row>
    <row r="61" spans="1:4" x14ac:dyDescent="0.25">
      <c r="A61" t="s">
        <v>6541</v>
      </c>
      <c r="B61" t="s">
        <v>6821</v>
      </c>
      <c r="C61" t="s">
        <v>4796</v>
      </c>
      <c r="D61" t="s">
        <v>3120</v>
      </c>
    </row>
    <row r="62" spans="1:4" x14ac:dyDescent="0.25">
      <c r="A62" t="s">
        <v>6542</v>
      </c>
      <c r="B62" t="s">
        <v>6821</v>
      </c>
      <c r="C62" t="s">
        <v>4797</v>
      </c>
      <c r="D62" t="s">
        <v>3121</v>
      </c>
    </row>
    <row r="63" spans="1:4" x14ac:dyDescent="0.25">
      <c r="A63" t="s">
        <v>6544</v>
      </c>
      <c r="B63" t="s">
        <v>6821</v>
      </c>
      <c r="C63" t="s">
        <v>4799</v>
      </c>
      <c r="D63" t="s">
        <v>3123</v>
      </c>
    </row>
    <row r="64" spans="1:4" x14ac:dyDescent="0.25">
      <c r="A64" t="s">
        <v>6549</v>
      </c>
      <c r="B64" t="s">
        <v>6821</v>
      </c>
      <c r="C64" t="s">
        <v>4804</v>
      </c>
      <c r="D64" t="s">
        <v>4692</v>
      </c>
    </row>
    <row r="65" spans="1:4" x14ac:dyDescent="0.25">
      <c r="A65" t="s">
        <v>6550</v>
      </c>
      <c r="B65" t="s">
        <v>6821</v>
      </c>
      <c r="C65" t="s">
        <v>4805</v>
      </c>
      <c r="D65" t="s">
        <v>3127</v>
      </c>
    </row>
    <row r="66" spans="1:4" x14ac:dyDescent="0.25">
      <c r="A66" t="s">
        <v>6551</v>
      </c>
      <c r="B66" t="s">
        <v>6821</v>
      </c>
      <c r="C66" t="s">
        <v>4806</v>
      </c>
      <c r="D66" t="s">
        <v>3128</v>
      </c>
    </row>
    <row r="67" spans="1:4" x14ac:dyDescent="0.25">
      <c r="A67" t="s">
        <v>6552</v>
      </c>
      <c r="B67" t="s">
        <v>6821</v>
      </c>
      <c r="C67" t="s">
        <v>4807</v>
      </c>
      <c r="D67" t="s">
        <v>3129</v>
      </c>
    </row>
    <row r="68" spans="1:4" x14ac:dyDescent="0.25">
      <c r="A68" t="s">
        <v>6554</v>
      </c>
      <c r="B68" t="s">
        <v>6821</v>
      </c>
      <c r="C68" t="s">
        <v>4809</v>
      </c>
      <c r="D68" t="s">
        <v>3131</v>
      </c>
    </row>
    <row r="69" spans="1:4" x14ac:dyDescent="0.25">
      <c r="A69" t="s">
        <v>6555</v>
      </c>
      <c r="B69" t="s">
        <v>6821</v>
      </c>
      <c r="C69" t="s">
        <v>4810</v>
      </c>
      <c r="D69" t="s">
        <v>3132</v>
      </c>
    </row>
    <row r="70" spans="1:4" x14ac:dyDescent="0.25">
      <c r="A70" t="s">
        <v>6556</v>
      </c>
      <c r="B70" t="s">
        <v>6821</v>
      </c>
      <c r="C70" t="s">
        <v>4811</v>
      </c>
      <c r="D70" t="s">
        <v>3133</v>
      </c>
    </row>
    <row r="71" spans="1:4" x14ac:dyDescent="0.25">
      <c r="A71" t="s">
        <v>6557</v>
      </c>
      <c r="B71" t="s">
        <v>6821</v>
      </c>
      <c r="C71" t="s">
        <v>4812</v>
      </c>
      <c r="D71" t="s">
        <v>3134</v>
      </c>
    </row>
    <row r="72" spans="1:4" x14ac:dyDescent="0.25">
      <c r="A72" t="s">
        <v>6558</v>
      </c>
      <c r="B72" t="s">
        <v>6821</v>
      </c>
      <c r="C72" t="s">
        <v>4813</v>
      </c>
      <c r="D72" t="s">
        <v>3135</v>
      </c>
    </row>
    <row r="73" spans="1:4" x14ac:dyDescent="0.25">
      <c r="A73" t="s">
        <v>6559</v>
      </c>
      <c r="B73" t="s">
        <v>6821</v>
      </c>
      <c r="C73" t="s">
        <v>4814</v>
      </c>
      <c r="D73" t="s">
        <v>3137</v>
      </c>
    </row>
    <row r="74" spans="1:4" x14ac:dyDescent="0.25">
      <c r="A74" t="s">
        <v>6560</v>
      </c>
      <c r="B74" t="s">
        <v>6821</v>
      </c>
      <c r="C74" t="s">
        <v>4815</v>
      </c>
      <c r="D74" t="s">
        <v>3136</v>
      </c>
    </row>
    <row r="75" spans="1:4" x14ac:dyDescent="0.25">
      <c r="A75" t="s">
        <v>6561</v>
      </c>
      <c r="B75" t="s">
        <v>6821</v>
      </c>
      <c r="C75" t="s">
        <v>4816</v>
      </c>
      <c r="D75" t="s">
        <v>3138</v>
      </c>
    </row>
    <row r="76" spans="1:4" x14ac:dyDescent="0.25">
      <c r="A76" t="s">
        <v>6564</v>
      </c>
      <c r="B76" t="s">
        <v>6821</v>
      </c>
      <c r="C76" t="s">
        <v>4819</v>
      </c>
      <c r="D76" t="s">
        <v>3141</v>
      </c>
    </row>
    <row r="77" spans="1:4" x14ac:dyDescent="0.25">
      <c r="A77" t="s">
        <v>6565</v>
      </c>
      <c r="B77" t="s">
        <v>6821</v>
      </c>
      <c r="C77" t="s">
        <v>4820</v>
      </c>
      <c r="D77" t="s">
        <v>5945</v>
      </c>
    </row>
    <row r="78" spans="1:4" x14ac:dyDescent="0.25">
      <c r="A78" t="s">
        <v>6567</v>
      </c>
      <c r="B78" t="s">
        <v>6821</v>
      </c>
      <c r="C78" t="s">
        <v>4822</v>
      </c>
      <c r="D78" t="s">
        <v>5947</v>
      </c>
    </row>
    <row r="79" spans="1:4" x14ac:dyDescent="0.25">
      <c r="A79" t="s">
        <v>6568</v>
      </c>
      <c r="B79" t="s">
        <v>6821</v>
      </c>
      <c r="C79" t="s">
        <v>4823</v>
      </c>
      <c r="D79" t="s">
        <v>5948</v>
      </c>
    </row>
    <row r="80" spans="1:4" x14ac:dyDescent="0.25">
      <c r="A80" t="s">
        <v>6569</v>
      </c>
      <c r="B80" t="s">
        <v>6821</v>
      </c>
      <c r="C80" t="s">
        <v>4824</v>
      </c>
      <c r="D80" t="s">
        <v>5949</v>
      </c>
    </row>
    <row r="81" spans="1:4" x14ac:dyDescent="0.25">
      <c r="A81" t="s">
        <v>6570</v>
      </c>
      <c r="B81" t="s">
        <v>6821</v>
      </c>
      <c r="C81" t="s">
        <v>4825</v>
      </c>
      <c r="D81" t="s">
        <v>3142</v>
      </c>
    </row>
    <row r="82" spans="1:4" x14ac:dyDescent="0.25">
      <c r="A82" t="s">
        <v>6571</v>
      </c>
      <c r="B82" t="s">
        <v>6821</v>
      </c>
      <c r="C82" t="s">
        <v>4826</v>
      </c>
      <c r="D82" t="s">
        <v>3143</v>
      </c>
    </row>
    <row r="83" spans="1:4" x14ac:dyDescent="0.25">
      <c r="A83" t="s">
        <v>6572</v>
      </c>
      <c r="B83" t="s">
        <v>6821</v>
      </c>
      <c r="C83" t="s">
        <v>4827</v>
      </c>
      <c r="D83" t="s">
        <v>3144</v>
      </c>
    </row>
    <row r="84" spans="1:4" x14ac:dyDescent="0.25">
      <c r="A84" t="s">
        <v>6575</v>
      </c>
      <c r="B84" t="s">
        <v>6821</v>
      </c>
      <c r="C84" t="s">
        <v>4830</v>
      </c>
      <c r="D84" t="s">
        <v>3146</v>
      </c>
    </row>
    <row r="85" spans="1:4" x14ac:dyDescent="0.25">
      <c r="A85" t="s">
        <v>6578</v>
      </c>
      <c r="B85" t="s">
        <v>6821</v>
      </c>
      <c r="C85" t="s">
        <v>4833</v>
      </c>
      <c r="D85" t="s">
        <v>3148</v>
      </c>
    </row>
    <row r="86" spans="1:4" x14ac:dyDescent="0.25">
      <c r="A86" t="s">
        <v>6579</v>
      </c>
      <c r="B86" t="s">
        <v>6821</v>
      </c>
      <c r="C86" t="s">
        <v>4834</v>
      </c>
      <c r="D86" t="s">
        <v>3149</v>
      </c>
    </row>
    <row r="87" spans="1:4" x14ac:dyDescent="0.25">
      <c r="A87" t="s">
        <v>6581</v>
      </c>
      <c r="B87" t="s">
        <v>6821</v>
      </c>
      <c r="C87" t="s">
        <v>4836</v>
      </c>
      <c r="D87" t="s">
        <v>3151</v>
      </c>
    </row>
    <row r="88" spans="1:4" x14ac:dyDescent="0.25">
      <c r="A88" t="s">
        <v>6582</v>
      </c>
      <c r="B88" t="s">
        <v>6821</v>
      </c>
      <c r="C88" t="s">
        <v>4837</v>
      </c>
      <c r="D88" t="s">
        <v>3152</v>
      </c>
    </row>
    <row r="89" spans="1:4" x14ac:dyDescent="0.25">
      <c r="A89" t="s">
        <v>6583</v>
      </c>
      <c r="B89" t="s">
        <v>6821</v>
      </c>
      <c r="C89" t="s">
        <v>4838</v>
      </c>
      <c r="D89" t="s">
        <v>3153</v>
      </c>
    </row>
    <row r="90" spans="1:4" x14ac:dyDescent="0.25">
      <c r="A90" t="s">
        <v>6584</v>
      </c>
      <c r="B90" t="s">
        <v>6821</v>
      </c>
      <c r="C90" t="s">
        <v>4112</v>
      </c>
      <c r="D90" t="s">
        <v>3154</v>
      </c>
    </row>
    <row r="91" spans="1:4" x14ac:dyDescent="0.25">
      <c r="A91" t="s">
        <v>6586</v>
      </c>
      <c r="B91" t="s">
        <v>6821</v>
      </c>
      <c r="C91" t="s">
        <v>4840</v>
      </c>
      <c r="D91" t="s">
        <v>3156</v>
      </c>
    </row>
    <row r="92" spans="1:4" x14ac:dyDescent="0.25">
      <c r="A92" t="s">
        <v>6587</v>
      </c>
      <c r="B92" t="s">
        <v>6821</v>
      </c>
      <c r="C92" t="s">
        <v>4841</v>
      </c>
      <c r="D92" t="s">
        <v>3157</v>
      </c>
    </row>
    <row r="93" spans="1:4" x14ac:dyDescent="0.25">
      <c r="A93" t="s">
        <v>6588</v>
      </c>
      <c r="B93" t="s">
        <v>6821</v>
      </c>
      <c r="C93" t="s">
        <v>4842</v>
      </c>
      <c r="D93" t="s">
        <v>3158</v>
      </c>
    </row>
    <row r="94" spans="1:4" x14ac:dyDescent="0.25">
      <c r="A94" t="s">
        <v>6590</v>
      </c>
      <c r="B94" t="s">
        <v>6821</v>
      </c>
      <c r="C94" t="s">
        <v>4844</v>
      </c>
      <c r="D94" t="s">
        <v>3160</v>
      </c>
    </row>
    <row r="95" spans="1:4" x14ac:dyDescent="0.25">
      <c r="A95" t="s">
        <v>6591</v>
      </c>
      <c r="B95" t="s">
        <v>6821</v>
      </c>
      <c r="C95" t="s">
        <v>4845</v>
      </c>
      <c r="D95" t="s">
        <v>3161</v>
      </c>
    </row>
    <row r="96" spans="1:4" x14ac:dyDescent="0.25">
      <c r="A96" t="s">
        <v>6592</v>
      </c>
      <c r="B96" t="s">
        <v>6821</v>
      </c>
      <c r="C96" t="s">
        <v>4846</v>
      </c>
      <c r="D96" t="s">
        <v>3162</v>
      </c>
    </row>
    <row r="97" spans="1:4" x14ac:dyDescent="0.25">
      <c r="A97" t="s">
        <v>6593</v>
      </c>
      <c r="B97" t="s">
        <v>6821</v>
      </c>
      <c r="C97" t="s">
        <v>4813</v>
      </c>
      <c r="D97" t="s">
        <v>3163</v>
      </c>
    </row>
    <row r="98" spans="1:4" x14ac:dyDescent="0.25">
      <c r="A98" t="s">
        <v>6594</v>
      </c>
      <c r="B98" t="s">
        <v>6821</v>
      </c>
      <c r="C98" t="s">
        <v>4847</v>
      </c>
      <c r="D98" t="s">
        <v>3164</v>
      </c>
    </row>
    <row r="99" spans="1:4" x14ac:dyDescent="0.25">
      <c r="A99" t="s">
        <v>6595</v>
      </c>
      <c r="B99" t="s">
        <v>6821</v>
      </c>
      <c r="C99" t="s">
        <v>4848</v>
      </c>
      <c r="D99" t="s">
        <v>3165</v>
      </c>
    </row>
    <row r="100" spans="1:4" x14ac:dyDescent="0.25">
      <c r="A100" t="s">
        <v>6596</v>
      </c>
      <c r="B100" t="s">
        <v>6821</v>
      </c>
      <c r="C100" t="s">
        <v>4849</v>
      </c>
      <c r="D100" t="s">
        <v>3166</v>
      </c>
    </row>
    <row r="101" spans="1:4" x14ac:dyDescent="0.25">
      <c r="A101" t="s">
        <v>6598</v>
      </c>
      <c r="B101" t="s">
        <v>6821</v>
      </c>
      <c r="C101" t="s">
        <v>4851</v>
      </c>
      <c r="D101" t="s">
        <v>3168</v>
      </c>
    </row>
    <row r="102" spans="1:4" x14ac:dyDescent="0.25">
      <c r="A102" t="s">
        <v>6599</v>
      </c>
      <c r="B102" t="s">
        <v>6821</v>
      </c>
      <c r="C102" t="s">
        <v>4852</v>
      </c>
      <c r="D102" t="s">
        <v>3169</v>
      </c>
    </row>
    <row r="103" spans="1:4" x14ac:dyDescent="0.25">
      <c r="A103" t="s">
        <v>6600</v>
      </c>
      <c r="B103" t="s">
        <v>6821</v>
      </c>
      <c r="C103" t="s">
        <v>4853</v>
      </c>
      <c r="D103" t="s">
        <v>3170</v>
      </c>
    </row>
    <row r="104" spans="1:4" x14ac:dyDescent="0.25">
      <c r="A104" t="s">
        <v>6601</v>
      </c>
      <c r="B104" t="s">
        <v>6821</v>
      </c>
      <c r="C104" t="s">
        <v>4854</v>
      </c>
      <c r="D104" t="s">
        <v>3171</v>
      </c>
    </row>
    <row r="105" spans="1:4" x14ac:dyDescent="0.25">
      <c r="A105" t="s">
        <v>6602</v>
      </c>
      <c r="B105" t="s">
        <v>6821</v>
      </c>
      <c r="C105" t="s">
        <v>4855</v>
      </c>
      <c r="D105" t="s">
        <v>3172</v>
      </c>
    </row>
    <row r="106" spans="1:4" x14ac:dyDescent="0.25">
      <c r="A106" t="s">
        <v>6603</v>
      </c>
      <c r="B106" t="s">
        <v>6821</v>
      </c>
      <c r="C106" t="s">
        <v>4856</v>
      </c>
      <c r="D106" t="s">
        <v>3173</v>
      </c>
    </row>
    <row r="107" spans="1:4" x14ac:dyDescent="0.25">
      <c r="A107" t="s">
        <v>6604</v>
      </c>
      <c r="B107" t="s">
        <v>6821</v>
      </c>
      <c r="C107" t="s">
        <v>4857</v>
      </c>
      <c r="D107" t="s">
        <v>3174</v>
      </c>
    </row>
    <row r="108" spans="1:4" x14ac:dyDescent="0.25">
      <c r="A108" t="s">
        <v>7429</v>
      </c>
      <c r="B108" t="s">
        <v>6821</v>
      </c>
      <c r="C108" t="s">
        <v>4131</v>
      </c>
      <c r="D108" t="s">
        <v>4070</v>
      </c>
    </row>
    <row r="109" spans="1:4" x14ac:dyDescent="0.25">
      <c r="A109" t="s">
        <v>7460</v>
      </c>
      <c r="B109" t="s">
        <v>6821</v>
      </c>
      <c r="C109" t="s">
        <v>5370</v>
      </c>
      <c r="D109" t="s">
        <v>6037</v>
      </c>
    </row>
    <row r="110" spans="1:4" x14ac:dyDescent="0.25">
      <c r="A110" t="s">
        <v>7462</v>
      </c>
      <c r="B110" t="s">
        <v>6821</v>
      </c>
      <c r="C110" t="s">
        <v>4101</v>
      </c>
      <c r="D110" t="s">
        <v>4102</v>
      </c>
    </row>
    <row r="111" spans="1:4" x14ac:dyDescent="0.25">
      <c r="A111" t="s">
        <v>7466</v>
      </c>
      <c r="B111" t="s">
        <v>6821</v>
      </c>
      <c r="C111" t="s">
        <v>5374</v>
      </c>
      <c r="D111" t="s">
        <v>4107</v>
      </c>
    </row>
    <row r="112" spans="1:4" x14ac:dyDescent="0.25">
      <c r="A112" t="s">
        <v>7472</v>
      </c>
      <c r="B112" t="s">
        <v>6821</v>
      </c>
      <c r="C112" t="s">
        <v>4112</v>
      </c>
      <c r="D112" t="s">
        <v>4113</v>
      </c>
    </row>
    <row r="113" spans="1:1" x14ac:dyDescent="0.25">
      <c r="A113" t="s">
        <v>3198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U1814"/>
  <sheetViews>
    <sheetView tabSelected="1" topLeftCell="H1" zoomScale="85" zoomScaleNormal="85" workbookViewId="0">
      <selection activeCell="P2" sqref="P2"/>
    </sheetView>
  </sheetViews>
  <sheetFormatPr defaultRowHeight="15" x14ac:dyDescent="0.25"/>
  <cols>
    <col min="1" max="1" width="14.42578125" style="188" customWidth="1"/>
    <col min="2" max="2" width="25.28515625" style="203" customWidth="1"/>
    <col min="3" max="3" width="29.28515625" style="188" bestFit="1" customWidth="1"/>
    <col min="4" max="4" width="22.42578125" style="188" bestFit="1" customWidth="1"/>
    <col min="5" max="5" width="96.5703125" style="188" customWidth="1"/>
    <col min="6" max="6" width="22.140625" style="188" customWidth="1"/>
    <col min="7" max="7" width="17.85546875" style="188" bestFit="1" customWidth="1"/>
    <col min="8" max="8" width="28" style="189" bestFit="1" customWidth="1"/>
    <col min="9" max="9" width="21" style="188" bestFit="1" customWidth="1"/>
    <col min="10" max="11" width="22.5703125" style="188" bestFit="1" customWidth="1"/>
    <col min="12" max="12" width="16.7109375" style="188" bestFit="1" customWidth="1"/>
    <col min="13" max="13" width="17.5703125" style="188" customWidth="1"/>
    <col min="14" max="14" width="20.140625" style="189" bestFit="1" customWidth="1"/>
    <col min="15" max="15" width="18.85546875" style="188" bestFit="1" customWidth="1"/>
    <col min="16" max="16" width="18.85546875" style="188" customWidth="1"/>
    <col min="17" max="17" width="19.28515625" style="188" bestFit="1" customWidth="1"/>
    <col min="18" max="18" width="16.42578125" style="188" bestFit="1" customWidth="1"/>
    <col min="19" max="19" width="17.42578125" style="188" bestFit="1" customWidth="1"/>
    <col min="20" max="20" width="46" style="188" bestFit="1" customWidth="1"/>
    <col min="21" max="21" width="15.7109375" style="188" bestFit="1" customWidth="1"/>
    <col min="22" max="16384" width="9.140625" style="188"/>
  </cols>
  <sheetData>
    <row r="1" spans="1:21" s="189" customFormat="1" x14ac:dyDescent="0.25">
      <c r="A1" s="189" t="s">
        <v>2</v>
      </c>
      <c r="B1" s="189" t="s">
        <v>4588</v>
      </c>
      <c r="C1" s="189" t="s">
        <v>4</v>
      </c>
      <c r="D1" s="189" t="s">
        <v>8634</v>
      </c>
      <c r="E1" s="189" t="s">
        <v>5</v>
      </c>
      <c r="F1" s="189" t="s">
        <v>3010</v>
      </c>
      <c r="G1" s="189" t="s">
        <v>10</v>
      </c>
      <c r="H1" s="189" t="s">
        <v>34</v>
      </c>
      <c r="I1" s="189" t="s">
        <v>8633</v>
      </c>
      <c r="J1" s="189" t="s">
        <v>6</v>
      </c>
      <c r="K1" s="189" t="s">
        <v>7</v>
      </c>
      <c r="L1" s="189" t="s">
        <v>8</v>
      </c>
      <c r="M1" s="189" t="s">
        <v>9</v>
      </c>
      <c r="N1" s="189" t="s">
        <v>26</v>
      </c>
      <c r="O1" s="189" t="s">
        <v>1634</v>
      </c>
      <c r="P1" s="189" t="s">
        <v>8770</v>
      </c>
      <c r="Q1" s="189" t="s">
        <v>1633</v>
      </c>
      <c r="R1" s="189" t="s">
        <v>33</v>
      </c>
      <c r="S1" s="189" t="s">
        <v>8673</v>
      </c>
      <c r="T1" s="189" t="s">
        <v>8672</v>
      </c>
      <c r="U1" s="189" t="s">
        <v>8674</v>
      </c>
    </row>
    <row r="2" spans="1:21" s="199" customFormat="1" x14ac:dyDescent="0.25">
      <c r="A2" s="199" t="s">
        <v>6443</v>
      </c>
      <c r="B2" s="199" t="s">
        <v>3333</v>
      </c>
      <c r="C2" s="199" t="s">
        <v>3349</v>
      </c>
      <c r="D2" s="199" t="s">
        <v>8732</v>
      </c>
      <c r="E2" s="188" t="s">
        <v>4710</v>
      </c>
      <c r="F2" s="189" t="s">
        <v>3015</v>
      </c>
      <c r="G2" s="188" t="s">
        <v>3197</v>
      </c>
      <c r="H2" s="199" t="s">
        <v>72</v>
      </c>
      <c r="I2" s="199">
        <v>1</v>
      </c>
      <c r="J2" s="199">
        <v>1</v>
      </c>
      <c r="K2" s="199">
        <v>1</v>
      </c>
      <c r="L2" s="199">
        <v>50</v>
      </c>
      <c r="M2" s="199">
        <f>TB_Parts_Lists[[#This Row],[Quantity Initial]]+ SUMIF(TB_Transactions[Part number],TB_Parts_Lists[[#This Row],[Part Number]],TB_Transactions[Quantity])</f>
        <v>47</v>
      </c>
      <c r="N2" s="200" t="s">
        <v>4593</v>
      </c>
      <c r="O2"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 s="199">
        <v>250</v>
      </c>
      <c r="Q2" s="199">
        <f>TB_Parts_Lists[[#This Row],[Quantity Total]]*TB_Parts_Lists[[#This Row],[Unit Price AED]]</f>
        <v>235</v>
      </c>
      <c r="S2" s="199" t="s">
        <v>118</v>
      </c>
      <c r="T2" s="199" t="s">
        <v>839</v>
      </c>
      <c r="U2" s="199" t="s">
        <v>838</v>
      </c>
    </row>
    <row r="3" spans="1:21" s="199" customFormat="1" x14ac:dyDescent="0.25">
      <c r="A3" s="199" t="s">
        <v>6444</v>
      </c>
      <c r="B3" s="199" t="s">
        <v>3333</v>
      </c>
      <c r="C3" s="199" t="s">
        <v>3349</v>
      </c>
      <c r="D3" s="199" t="s">
        <v>8732</v>
      </c>
      <c r="E3" s="188" t="s">
        <v>4711</v>
      </c>
      <c r="F3" s="189" t="s">
        <v>3016</v>
      </c>
      <c r="G3" s="188" t="s">
        <v>3197</v>
      </c>
      <c r="H3" s="199" t="s">
        <v>72</v>
      </c>
      <c r="I3" s="199">
        <v>1</v>
      </c>
      <c r="J3" s="199">
        <v>1</v>
      </c>
      <c r="K3" s="199">
        <v>1</v>
      </c>
      <c r="L3" s="199">
        <v>50</v>
      </c>
      <c r="M3" s="199">
        <f>TB_Parts_Lists[[#This Row],[Quantity Initial]]+ SUMIF(TB_Transactions[Part number],TB_Parts_Lists[[#This Row],[Part Number]],TB_Transactions[Quantity])</f>
        <v>50</v>
      </c>
      <c r="N3" s="200" t="s">
        <v>4593</v>
      </c>
      <c r="O3"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3" s="199">
        <v>250</v>
      </c>
      <c r="Q3" s="199">
        <f>TB_Parts_Lists[[#This Row],[Quantity Total]]*TB_Parts_Lists[[#This Row],[Unit Price AED]]</f>
        <v>250</v>
      </c>
      <c r="S3" s="213" t="s">
        <v>118</v>
      </c>
      <c r="T3" s="213" t="s">
        <v>839</v>
      </c>
      <c r="U3" s="213" t="s">
        <v>838</v>
      </c>
    </row>
    <row r="4" spans="1:21" s="199" customFormat="1" x14ac:dyDescent="0.25">
      <c r="A4" s="199" t="s">
        <v>6445</v>
      </c>
      <c r="B4" s="199" t="s">
        <v>3333</v>
      </c>
      <c r="C4" s="199" t="s">
        <v>3349</v>
      </c>
      <c r="D4" s="199" t="s">
        <v>8732</v>
      </c>
      <c r="E4" s="188" t="s">
        <v>4712</v>
      </c>
      <c r="F4" s="189" t="s">
        <v>3017</v>
      </c>
      <c r="G4" s="188" t="s">
        <v>3197</v>
      </c>
      <c r="H4" s="199" t="s">
        <v>72</v>
      </c>
      <c r="I4" s="199">
        <v>1</v>
      </c>
      <c r="J4" s="199">
        <v>1</v>
      </c>
      <c r="K4" s="199">
        <v>1</v>
      </c>
      <c r="L4" s="199">
        <v>50</v>
      </c>
      <c r="M4" s="199">
        <f>TB_Parts_Lists[[#This Row],[Quantity Initial]]+ SUMIF(TB_Transactions[Part number],TB_Parts_Lists[[#This Row],[Part Number]],TB_Transactions[Quantity])</f>
        <v>50</v>
      </c>
      <c r="N4" s="200" t="s">
        <v>4593</v>
      </c>
      <c r="O4"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4" s="199">
        <v>250</v>
      </c>
      <c r="Q4" s="199">
        <f>TB_Parts_Lists[[#This Row],[Quantity Total]]*TB_Parts_Lists[[#This Row],[Unit Price AED]]</f>
        <v>250</v>
      </c>
      <c r="S4" s="213" t="s">
        <v>118</v>
      </c>
      <c r="T4" s="213" t="s">
        <v>839</v>
      </c>
      <c r="U4" s="213" t="s">
        <v>838</v>
      </c>
    </row>
    <row r="5" spans="1:21" s="199" customFormat="1" x14ac:dyDescent="0.25">
      <c r="A5" s="199" t="s">
        <v>6446</v>
      </c>
      <c r="B5" s="199" t="s">
        <v>3333</v>
      </c>
      <c r="C5" s="199" t="s">
        <v>3349</v>
      </c>
      <c r="D5" s="199" t="s">
        <v>8732</v>
      </c>
      <c r="E5" s="188" t="s">
        <v>4713</v>
      </c>
      <c r="F5" s="189" t="s">
        <v>3018</v>
      </c>
      <c r="G5" s="188" t="s">
        <v>3197</v>
      </c>
      <c r="H5" s="199" t="s">
        <v>72</v>
      </c>
      <c r="I5" s="199">
        <v>1</v>
      </c>
      <c r="J5" s="199">
        <v>1</v>
      </c>
      <c r="K5" s="199">
        <v>1</v>
      </c>
      <c r="L5" s="199">
        <v>50</v>
      </c>
      <c r="M5" s="199">
        <f>TB_Parts_Lists[[#This Row],[Quantity Initial]]+ SUMIF(TB_Transactions[Part number],TB_Parts_Lists[[#This Row],[Part Number]],TB_Transactions[Quantity])</f>
        <v>50</v>
      </c>
      <c r="N5" s="200" t="s">
        <v>4593</v>
      </c>
      <c r="O5"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5" s="199">
        <v>250</v>
      </c>
      <c r="Q5" s="199">
        <f>TB_Parts_Lists[[#This Row],[Quantity Total]]*TB_Parts_Lists[[#This Row],[Unit Price AED]]</f>
        <v>250</v>
      </c>
      <c r="S5" s="213" t="s">
        <v>118</v>
      </c>
      <c r="T5" s="213" t="s">
        <v>839</v>
      </c>
      <c r="U5" s="213" t="s">
        <v>838</v>
      </c>
    </row>
    <row r="6" spans="1:21" s="199" customFormat="1" x14ac:dyDescent="0.25">
      <c r="A6" s="199" t="s">
        <v>6447</v>
      </c>
      <c r="B6" s="199" t="s">
        <v>3333</v>
      </c>
      <c r="C6" s="199" t="s">
        <v>3349</v>
      </c>
      <c r="D6" s="199" t="s">
        <v>8732</v>
      </c>
      <c r="E6" s="188" t="s">
        <v>4714</v>
      </c>
      <c r="F6" s="189" t="s">
        <v>3019</v>
      </c>
      <c r="G6" s="188" t="s">
        <v>3197</v>
      </c>
      <c r="H6" s="199" t="s">
        <v>72</v>
      </c>
      <c r="I6" s="199">
        <v>1</v>
      </c>
      <c r="J6" s="199">
        <v>1</v>
      </c>
      <c r="K6" s="199">
        <v>1</v>
      </c>
      <c r="L6" s="199">
        <v>50</v>
      </c>
      <c r="M6" s="199">
        <f>TB_Parts_Lists[[#This Row],[Quantity Initial]]+ SUMIF(TB_Transactions[Part number],TB_Parts_Lists[[#This Row],[Part Number]],TB_Transactions[Quantity])</f>
        <v>50</v>
      </c>
      <c r="N6" s="200" t="s">
        <v>4593</v>
      </c>
      <c r="O6"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6" s="199">
        <v>250</v>
      </c>
      <c r="Q6" s="199">
        <f>TB_Parts_Lists[[#This Row],[Quantity Total]]*TB_Parts_Lists[[#This Row],[Unit Price AED]]</f>
        <v>250</v>
      </c>
      <c r="S6" s="213" t="s">
        <v>118</v>
      </c>
      <c r="T6" s="213" t="s">
        <v>839</v>
      </c>
      <c r="U6" s="213" t="s">
        <v>838</v>
      </c>
    </row>
    <row r="7" spans="1:21" s="199" customFormat="1" x14ac:dyDescent="0.25">
      <c r="A7" s="199" t="s">
        <v>6448</v>
      </c>
      <c r="B7" s="199" t="s">
        <v>3333</v>
      </c>
      <c r="C7" s="199" t="s">
        <v>3349</v>
      </c>
      <c r="D7" s="199" t="s">
        <v>8732</v>
      </c>
      <c r="E7" s="188" t="s">
        <v>4715</v>
      </c>
      <c r="F7" s="189" t="s">
        <v>3020</v>
      </c>
      <c r="G7" s="188" t="s">
        <v>3197</v>
      </c>
      <c r="H7" s="199" t="s">
        <v>72</v>
      </c>
      <c r="I7" s="199">
        <v>1</v>
      </c>
      <c r="J7" s="199">
        <v>1</v>
      </c>
      <c r="K7" s="199">
        <v>1</v>
      </c>
      <c r="L7" s="199">
        <v>50</v>
      </c>
      <c r="M7" s="199">
        <f>TB_Parts_Lists[[#This Row],[Quantity Initial]]+ SUMIF(TB_Transactions[Part number],TB_Parts_Lists[[#This Row],[Part Number]],TB_Transactions[Quantity])</f>
        <v>50</v>
      </c>
      <c r="N7" s="200" t="s">
        <v>4593</v>
      </c>
      <c r="O7"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7" s="199">
        <v>250</v>
      </c>
      <c r="Q7" s="199">
        <f>TB_Parts_Lists[[#This Row],[Quantity Total]]*TB_Parts_Lists[[#This Row],[Unit Price AED]]</f>
        <v>250</v>
      </c>
      <c r="S7" s="213" t="s">
        <v>118</v>
      </c>
      <c r="T7" s="213" t="s">
        <v>839</v>
      </c>
      <c r="U7" s="213" t="s">
        <v>838</v>
      </c>
    </row>
    <row r="8" spans="1:21" s="199" customFormat="1" x14ac:dyDescent="0.25">
      <c r="A8" s="199" t="s">
        <v>6449</v>
      </c>
      <c r="B8" s="199" t="s">
        <v>3333</v>
      </c>
      <c r="C8" s="199" t="s">
        <v>3349</v>
      </c>
      <c r="D8" s="199" t="s">
        <v>8732</v>
      </c>
      <c r="E8" s="188" t="s">
        <v>4716</v>
      </c>
      <c r="F8" s="189" t="s">
        <v>3021</v>
      </c>
      <c r="G8" s="188" t="s">
        <v>3197</v>
      </c>
      <c r="H8" s="199" t="s">
        <v>72</v>
      </c>
      <c r="I8" s="199">
        <v>1</v>
      </c>
      <c r="J8" s="199">
        <v>1</v>
      </c>
      <c r="K8" s="199">
        <v>1</v>
      </c>
      <c r="L8" s="199">
        <v>50</v>
      </c>
      <c r="M8" s="199">
        <f>TB_Parts_Lists[[#This Row],[Quantity Initial]]+ SUMIF(TB_Transactions[Part number],TB_Parts_Lists[[#This Row],[Part Number]],TB_Transactions[Quantity])</f>
        <v>50</v>
      </c>
      <c r="N8" s="200" t="s">
        <v>4593</v>
      </c>
      <c r="O8"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8" s="199">
        <v>250</v>
      </c>
      <c r="Q8" s="199">
        <f>TB_Parts_Lists[[#This Row],[Quantity Total]]*TB_Parts_Lists[[#This Row],[Unit Price AED]]</f>
        <v>250</v>
      </c>
      <c r="S8" s="213" t="s">
        <v>118</v>
      </c>
      <c r="T8" s="213" t="s">
        <v>839</v>
      </c>
      <c r="U8" s="213" t="s">
        <v>838</v>
      </c>
    </row>
    <row r="9" spans="1:21" s="199" customFormat="1" x14ac:dyDescent="0.25">
      <c r="A9" s="199" t="s">
        <v>6450</v>
      </c>
      <c r="B9" s="199" t="s">
        <v>3333</v>
      </c>
      <c r="C9" s="199" t="s">
        <v>3349</v>
      </c>
      <c r="D9" s="199" t="s">
        <v>8732</v>
      </c>
      <c r="E9" s="188" t="s">
        <v>4717</v>
      </c>
      <c r="F9" s="189" t="s">
        <v>3022</v>
      </c>
      <c r="G9" s="188" t="s">
        <v>3197</v>
      </c>
      <c r="H9" s="199" t="s">
        <v>72</v>
      </c>
      <c r="I9" s="199">
        <v>1</v>
      </c>
      <c r="J9" s="199">
        <v>1</v>
      </c>
      <c r="K9" s="199">
        <v>1</v>
      </c>
      <c r="L9" s="199">
        <v>50</v>
      </c>
      <c r="M9" s="199">
        <f>TB_Parts_Lists[[#This Row],[Quantity Initial]]+ SUMIF(TB_Transactions[Part number],TB_Parts_Lists[[#This Row],[Part Number]],TB_Transactions[Quantity])</f>
        <v>50</v>
      </c>
      <c r="N9" s="200" t="s">
        <v>4593</v>
      </c>
      <c r="O9"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9" s="199">
        <v>250</v>
      </c>
      <c r="Q9" s="199">
        <f>TB_Parts_Lists[[#This Row],[Quantity Total]]*TB_Parts_Lists[[#This Row],[Unit Price AED]]</f>
        <v>250</v>
      </c>
      <c r="S9" s="213" t="s">
        <v>118</v>
      </c>
      <c r="T9" s="213" t="s">
        <v>839</v>
      </c>
      <c r="U9" s="213" t="s">
        <v>838</v>
      </c>
    </row>
    <row r="10" spans="1:21" s="199" customFormat="1" x14ac:dyDescent="0.25">
      <c r="A10" s="199" t="s">
        <v>6451</v>
      </c>
      <c r="B10" s="199" t="s">
        <v>3333</v>
      </c>
      <c r="C10" s="199" t="s">
        <v>3349</v>
      </c>
      <c r="D10" s="199" t="s">
        <v>8732</v>
      </c>
      <c r="E10" s="188" t="s">
        <v>4718</v>
      </c>
      <c r="F10" s="189" t="s">
        <v>3023</v>
      </c>
      <c r="G10" s="188" t="s">
        <v>3197</v>
      </c>
      <c r="H10" s="199" t="s">
        <v>72</v>
      </c>
      <c r="I10" s="199">
        <v>1</v>
      </c>
      <c r="J10" s="199">
        <v>1</v>
      </c>
      <c r="K10" s="199">
        <v>1</v>
      </c>
      <c r="L10" s="199">
        <v>50</v>
      </c>
      <c r="M10" s="199">
        <f>TB_Parts_Lists[[#This Row],[Quantity Initial]]+ SUMIF(TB_Transactions[Part number],TB_Parts_Lists[[#This Row],[Part Number]],TB_Transactions[Quantity])</f>
        <v>50</v>
      </c>
      <c r="N10" s="200" t="s">
        <v>4593</v>
      </c>
      <c r="O10"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0" s="199">
        <v>250</v>
      </c>
      <c r="Q10" s="199">
        <f>TB_Parts_Lists[[#This Row],[Quantity Total]]*TB_Parts_Lists[[#This Row],[Unit Price AED]]</f>
        <v>250</v>
      </c>
      <c r="S10" s="213" t="s">
        <v>118</v>
      </c>
      <c r="T10" s="213" t="s">
        <v>839</v>
      </c>
      <c r="U10" s="213" t="s">
        <v>838</v>
      </c>
    </row>
    <row r="11" spans="1:21" s="199" customFormat="1" x14ac:dyDescent="0.25">
      <c r="A11" s="199" t="s">
        <v>6463</v>
      </c>
      <c r="B11" s="199" t="s">
        <v>3333</v>
      </c>
      <c r="C11" s="199" t="s">
        <v>3349</v>
      </c>
      <c r="D11" s="199" t="s">
        <v>8724</v>
      </c>
      <c r="E11" s="188" t="s">
        <v>4719</v>
      </c>
      <c r="F11" s="189" t="s">
        <v>3024</v>
      </c>
      <c r="G11" s="188" t="s">
        <v>3197</v>
      </c>
      <c r="H11" s="199" t="s">
        <v>72</v>
      </c>
      <c r="I11" s="199">
        <v>1</v>
      </c>
      <c r="J11" s="199">
        <v>1</v>
      </c>
      <c r="K11" s="199">
        <v>1</v>
      </c>
      <c r="L11" s="199">
        <v>50</v>
      </c>
      <c r="M11" s="199">
        <f>TB_Parts_Lists[[#This Row],[Quantity Initial]]+ SUMIF(TB_Transactions[Part number],TB_Parts_Lists[[#This Row],[Part Number]],TB_Transactions[Quantity])</f>
        <v>50</v>
      </c>
      <c r="N11" s="200" t="s">
        <v>4593</v>
      </c>
      <c r="O11"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1" s="199">
        <v>250</v>
      </c>
      <c r="Q11" s="199">
        <f>TB_Parts_Lists[[#This Row],[Quantity Total]]*TB_Parts_Lists[[#This Row],[Unit Price AED]]</f>
        <v>250</v>
      </c>
      <c r="S11" s="213" t="s">
        <v>118</v>
      </c>
      <c r="T11" s="213" t="s">
        <v>839</v>
      </c>
      <c r="U11" s="213" t="s">
        <v>838</v>
      </c>
    </row>
    <row r="12" spans="1:21" s="199" customFormat="1" x14ac:dyDescent="0.25">
      <c r="A12" s="199" t="s">
        <v>6464</v>
      </c>
      <c r="B12" s="199" t="s">
        <v>3333</v>
      </c>
      <c r="C12" s="199" t="s">
        <v>3004</v>
      </c>
      <c r="D12" s="199" t="s">
        <v>8732</v>
      </c>
      <c r="E12" s="188" t="s">
        <v>4720</v>
      </c>
      <c r="F12" s="189" t="s">
        <v>3012</v>
      </c>
      <c r="G12" s="188" t="s">
        <v>3197</v>
      </c>
      <c r="H12" s="199" t="s">
        <v>72</v>
      </c>
      <c r="I12" s="199">
        <v>1</v>
      </c>
      <c r="J12" s="199">
        <v>1</v>
      </c>
      <c r="K12" s="199">
        <v>1</v>
      </c>
      <c r="L12" s="199">
        <v>50</v>
      </c>
      <c r="M12" s="199">
        <f>TB_Parts_Lists[[#This Row],[Quantity Initial]]+ SUMIF(TB_Transactions[Part number],TB_Parts_Lists[[#This Row],[Part Number]],TB_Transactions[Quantity])</f>
        <v>50</v>
      </c>
      <c r="N12" s="200" t="s">
        <v>4593</v>
      </c>
      <c r="O12"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2" s="199">
        <v>250</v>
      </c>
      <c r="Q12" s="199">
        <f>TB_Parts_Lists[[#This Row],[Quantity Total]]*TB_Parts_Lists[[#This Row],[Unit Price AED]]</f>
        <v>250</v>
      </c>
      <c r="S12" s="213" t="s">
        <v>118</v>
      </c>
      <c r="T12" s="213" t="s">
        <v>839</v>
      </c>
      <c r="U12" s="213" t="s">
        <v>838</v>
      </c>
    </row>
    <row r="13" spans="1:21" s="199" customFormat="1" x14ac:dyDescent="0.25">
      <c r="A13" s="199" t="s">
        <v>6465</v>
      </c>
      <c r="B13" s="199" t="s">
        <v>3333</v>
      </c>
      <c r="C13" s="199" t="s">
        <v>3349</v>
      </c>
      <c r="D13" s="199" t="s">
        <v>8732</v>
      </c>
      <c r="E13" s="188" t="s">
        <v>4721</v>
      </c>
      <c r="F13" s="189" t="s">
        <v>3026</v>
      </c>
      <c r="G13" s="188" t="s">
        <v>3197</v>
      </c>
      <c r="H13" s="199" t="s">
        <v>72</v>
      </c>
      <c r="I13" s="199">
        <v>1</v>
      </c>
      <c r="J13" s="199">
        <v>1</v>
      </c>
      <c r="K13" s="199">
        <v>1</v>
      </c>
      <c r="L13" s="199">
        <v>50</v>
      </c>
      <c r="M13" s="199">
        <f>TB_Parts_Lists[[#This Row],[Quantity Initial]]+ SUMIF(TB_Transactions[Part number],TB_Parts_Lists[[#This Row],[Part Number]],TB_Transactions[Quantity])</f>
        <v>50</v>
      </c>
      <c r="N13" s="200" t="s">
        <v>4593</v>
      </c>
      <c r="O13"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3" s="199">
        <v>250</v>
      </c>
      <c r="Q13" s="199">
        <f>TB_Parts_Lists[[#This Row],[Quantity Total]]*TB_Parts_Lists[[#This Row],[Unit Price AED]]</f>
        <v>250</v>
      </c>
      <c r="S13" s="213" t="s">
        <v>118</v>
      </c>
      <c r="T13" s="213" t="s">
        <v>839</v>
      </c>
      <c r="U13" s="213" t="s">
        <v>838</v>
      </c>
    </row>
    <row r="14" spans="1:21" s="199" customFormat="1" x14ac:dyDescent="0.25">
      <c r="A14" s="199" t="s">
        <v>6466</v>
      </c>
      <c r="B14" s="199" t="s">
        <v>3333</v>
      </c>
      <c r="C14" s="199" t="s">
        <v>3349</v>
      </c>
      <c r="D14" s="199" t="s">
        <v>8732</v>
      </c>
      <c r="E14" s="188" t="s">
        <v>4722</v>
      </c>
      <c r="F14" s="189" t="s">
        <v>3027</v>
      </c>
      <c r="G14" s="188" t="s">
        <v>3197</v>
      </c>
      <c r="H14" s="199" t="s">
        <v>72</v>
      </c>
      <c r="I14" s="199">
        <v>1</v>
      </c>
      <c r="J14" s="199">
        <v>1</v>
      </c>
      <c r="K14" s="199">
        <v>1</v>
      </c>
      <c r="L14" s="199">
        <v>50</v>
      </c>
      <c r="M14" s="199">
        <f>TB_Parts_Lists[[#This Row],[Quantity Initial]]+ SUMIF(TB_Transactions[Part number],TB_Parts_Lists[[#This Row],[Part Number]],TB_Transactions[Quantity])</f>
        <v>50</v>
      </c>
      <c r="N14" s="200" t="s">
        <v>4593</v>
      </c>
      <c r="O14"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4" s="199">
        <v>250</v>
      </c>
      <c r="Q14" s="199">
        <f>TB_Parts_Lists[[#This Row],[Quantity Total]]*TB_Parts_Lists[[#This Row],[Unit Price AED]]</f>
        <v>250</v>
      </c>
      <c r="S14" s="213" t="s">
        <v>118</v>
      </c>
      <c r="T14" s="213" t="s">
        <v>839</v>
      </c>
      <c r="U14" s="213" t="s">
        <v>838</v>
      </c>
    </row>
    <row r="15" spans="1:21" s="199" customFormat="1" x14ac:dyDescent="0.25">
      <c r="A15" s="199" t="s">
        <v>6467</v>
      </c>
      <c r="B15" s="199" t="s">
        <v>3333</v>
      </c>
      <c r="C15" s="199" t="s">
        <v>3349</v>
      </c>
      <c r="D15" s="199" t="s">
        <v>8732</v>
      </c>
      <c r="E15" s="188" t="s">
        <v>4723</v>
      </c>
      <c r="F15" s="189" t="s">
        <v>3028</v>
      </c>
      <c r="G15" s="188" t="s">
        <v>3197</v>
      </c>
      <c r="H15" s="199" t="s">
        <v>72</v>
      </c>
      <c r="I15" s="199">
        <v>1</v>
      </c>
      <c r="J15" s="199">
        <v>1</v>
      </c>
      <c r="K15" s="199">
        <v>1</v>
      </c>
      <c r="L15" s="199">
        <v>50</v>
      </c>
      <c r="M15" s="199">
        <f>TB_Parts_Lists[[#This Row],[Quantity Initial]]+ SUMIF(TB_Transactions[Part number],TB_Parts_Lists[[#This Row],[Part Number]],TB_Transactions[Quantity])</f>
        <v>50</v>
      </c>
      <c r="N15" s="200" t="s">
        <v>4593</v>
      </c>
      <c r="O15"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5" s="199">
        <v>250</v>
      </c>
      <c r="Q15" s="199">
        <f>TB_Parts_Lists[[#This Row],[Quantity Total]]*TB_Parts_Lists[[#This Row],[Unit Price AED]]</f>
        <v>250</v>
      </c>
      <c r="S15" s="213" t="s">
        <v>118</v>
      </c>
      <c r="T15" s="213" t="s">
        <v>839</v>
      </c>
      <c r="U15" s="213" t="s">
        <v>838</v>
      </c>
    </row>
    <row r="16" spans="1:21" s="199" customFormat="1" x14ac:dyDescent="0.25">
      <c r="A16" s="199" t="s">
        <v>6468</v>
      </c>
      <c r="B16" s="199" t="s">
        <v>3333</v>
      </c>
      <c r="C16" s="199" t="s">
        <v>3349</v>
      </c>
      <c r="D16" s="199" t="s">
        <v>8732</v>
      </c>
      <c r="E16" s="188" t="s">
        <v>4724</v>
      </c>
      <c r="F16" s="189" t="s">
        <v>3029</v>
      </c>
      <c r="G16" s="188" t="s">
        <v>3197</v>
      </c>
      <c r="H16" s="199" t="s">
        <v>72</v>
      </c>
      <c r="I16" s="199">
        <v>1</v>
      </c>
      <c r="J16" s="199">
        <v>1</v>
      </c>
      <c r="K16" s="199">
        <v>1</v>
      </c>
      <c r="L16" s="199">
        <v>50</v>
      </c>
      <c r="M16" s="199">
        <f>TB_Parts_Lists[[#This Row],[Quantity Initial]]+ SUMIF(TB_Transactions[Part number],TB_Parts_Lists[[#This Row],[Part Number]],TB_Transactions[Quantity])</f>
        <v>50</v>
      </c>
      <c r="N16" s="200" t="s">
        <v>4593</v>
      </c>
      <c r="O16"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6" s="199">
        <v>250</v>
      </c>
      <c r="Q16" s="199">
        <f>TB_Parts_Lists[[#This Row],[Quantity Total]]*TB_Parts_Lists[[#This Row],[Unit Price AED]]</f>
        <v>250</v>
      </c>
      <c r="S16" s="213" t="s">
        <v>118</v>
      </c>
      <c r="T16" s="213" t="s">
        <v>839</v>
      </c>
      <c r="U16" s="213" t="s">
        <v>838</v>
      </c>
    </row>
    <row r="17" spans="1:21" s="199" customFormat="1" x14ac:dyDescent="0.25">
      <c r="A17" s="199" t="s">
        <v>6469</v>
      </c>
      <c r="B17" s="199" t="s">
        <v>3333</v>
      </c>
      <c r="C17" s="199" t="s">
        <v>3349</v>
      </c>
      <c r="D17" s="199" t="s">
        <v>8732</v>
      </c>
      <c r="E17" s="188" t="s">
        <v>4725</v>
      </c>
      <c r="F17" s="189" t="s">
        <v>3030</v>
      </c>
      <c r="G17" s="188" t="s">
        <v>3197</v>
      </c>
      <c r="H17" s="199" t="s">
        <v>72</v>
      </c>
      <c r="I17" s="199">
        <v>1</v>
      </c>
      <c r="J17" s="199">
        <v>1</v>
      </c>
      <c r="K17" s="199">
        <v>1</v>
      </c>
      <c r="L17" s="199">
        <v>50</v>
      </c>
      <c r="M17" s="199">
        <f>TB_Parts_Lists[[#This Row],[Quantity Initial]]+ SUMIF(TB_Transactions[Part number],TB_Parts_Lists[[#This Row],[Part Number]],TB_Transactions[Quantity])</f>
        <v>50</v>
      </c>
      <c r="N17" s="200" t="s">
        <v>4593</v>
      </c>
      <c r="O17"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7" s="199">
        <v>250</v>
      </c>
      <c r="Q17" s="199">
        <f>TB_Parts_Lists[[#This Row],[Quantity Total]]*TB_Parts_Lists[[#This Row],[Unit Price AED]]</f>
        <v>250</v>
      </c>
      <c r="S17" s="213" t="s">
        <v>118</v>
      </c>
      <c r="T17" s="213" t="s">
        <v>839</v>
      </c>
      <c r="U17" s="213" t="s">
        <v>838</v>
      </c>
    </row>
    <row r="18" spans="1:21" s="199" customFormat="1" x14ac:dyDescent="0.25">
      <c r="A18" s="199" t="s">
        <v>6470</v>
      </c>
      <c r="B18" s="199" t="s">
        <v>3333</v>
      </c>
      <c r="C18" s="199" t="s">
        <v>3349</v>
      </c>
      <c r="D18" s="199" t="s">
        <v>8732</v>
      </c>
      <c r="E18" s="188" t="s">
        <v>4726</v>
      </c>
      <c r="F18" s="189" t="s">
        <v>3031</v>
      </c>
      <c r="G18" s="188" t="s">
        <v>3197</v>
      </c>
      <c r="H18" s="199" t="s">
        <v>72</v>
      </c>
      <c r="I18" s="199">
        <v>1</v>
      </c>
      <c r="J18" s="199">
        <v>1</v>
      </c>
      <c r="K18" s="199">
        <v>1</v>
      </c>
      <c r="L18" s="199">
        <v>50</v>
      </c>
      <c r="M18" s="199">
        <f>TB_Parts_Lists[[#This Row],[Quantity Initial]]+ SUMIF(TB_Transactions[Part number],TB_Parts_Lists[[#This Row],[Part Number]],TB_Transactions[Quantity])</f>
        <v>50</v>
      </c>
      <c r="N18" s="200" t="s">
        <v>4593</v>
      </c>
      <c r="O18"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8" s="199">
        <v>250</v>
      </c>
      <c r="Q18" s="199">
        <f>TB_Parts_Lists[[#This Row],[Quantity Total]]*TB_Parts_Lists[[#This Row],[Unit Price AED]]</f>
        <v>250</v>
      </c>
      <c r="S18" s="213" t="s">
        <v>118</v>
      </c>
      <c r="T18" s="213" t="s">
        <v>839</v>
      </c>
      <c r="U18" s="213" t="s">
        <v>838</v>
      </c>
    </row>
    <row r="19" spans="1:21" s="199" customFormat="1" x14ac:dyDescent="0.25">
      <c r="A19" s="199" t="s">
        <v>6471</v>
      </c>
      <c r="B19" s="199" t="s">
        <v>3333</v>
      </c>
      <c r="C19" s="199" t="s">
        <v>3349</v>
      </c>
      <c r="D19" s="199" t="s">
        <v>8732</v>
      </c>
      <c r="E19" s="188" t="s">
        <v>4727</v>
      </c>
      <c r="F19" s="189" t="s">
        <v>3032</v>
      </c>
      <c r="G19" s="188" t="s">
        <v>3197</v>
      </c>
      <c r="H19" s="199" t="s">
        <v>72</v>
      </c>
      <c r="I19" s="199">
        <v>1</v>
      </c>
      <c r="J19" s="199">
        <v>1</v>
      </c>
      <c r="K19" s="199">
        <v>1</v>
      </c>
      <c r="L19" s="199">
        <v>50</v>
      </c>
      <c r="M19" s="199">
        <f>TB_Parts_Lists[[#This Row],[Quantity Initial]]+ SUMIF(TB_Transactions[Part number],TB_Parts_Lists[[#This Row],[Part Number]],TB_Transactions[Quantity])</f>
        <v>50</v>
      </c>
      <c r="N19" s="200" t="s">
        <v>4593</v>
      </c>
      <c r="O19"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9" s="199">
        <v>250</v>
      </c>
      <c r="Q19" s="199">
        <f>TB_Parts_Lists[[#This Row],[Quantity Total]]*TB_Parts_Lists[[#This Row],[Unit Price AED]]</f>
        <v>250</v>
      </c>
      <c r="S19" s="213" t="s">
        <v>118</v>
      </c>
      <c r="T19" s="213" t="s">
        <v>839</v>
      </c>
      <c r="U19" s="213" t="s">
        <v>838</v>
      </c>
    </row>
    <row r="20" spans="1:21" s="199" customFormat="1" x14ac:dyDescent="0.25">
      <c r="A20" s="199" t="s">
        <v>6472</v>
      </c>
      <c r="B20" s="199" t="s">
        <v>3333</v>
      </c>
      <c r="C20" s="199" t="s">
        <v>3349</v>
      </c>
      <c r="D20" s="199" t="s">
        <v>8732</v>
      </c>
      <c r="E20" s="188" t="s">
        <v>4728</v>
      </c>
      <c r="F20" s="189" t="s">
        <v>3033</v>
      </c>
      <c r="G20" s="188" t="s">
        <v>3197</v>
      </c>
      <c r="H20" s="199" t="s">
        <v>72</v>
      </c>
      <c r="I20" s="199">
        <v>1</v>
      </c>
      <c r="J20" s="199">
        <v>1</v>
      </c>
      <c r="K20" s="199">
        <v>1</v>
      </c>
      <c r="L20" s="199">
        <v>50</v>
      </c>
      <c r="M20" s="199">
        <f>TB_Parts_Lists[[#This Row],[Quantity Initial]]+ SUMIF(TB_Transactions[Part number],TB_Parts_Lists[[#This Row],[Part Number]],TB_Transactions[Quantity])</f>
        <v>50</v>
      </c>
      <c r="N20" s="200" t="s">
        <v>4593</v>
      </c>
      <c r="O20"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0" s="199">
        <v>250</v>
      </c>
      <c r="Q20" s="199">
        <f>TB_Parts_Lists[[#This Row],[Quantity Total]]*TB_Parts_Lists[[#This Row],[Unit Price AED]]</f>
        <v>250</v>
      </c>
      <c r="S20" s="213" t="s">
        <v>118</v>
      </c>
      <c r="T20" s="213" t="s">
        <v>839</v>
      </c>
      <c r="U20" s="213" t="s">
        <v>838</v>
      </c>
    </row>
    <row r="21" spans="1:21" s="199" customFormat="1" x14ac:dyDescent="0.25">
      <c r="A21" s="199" t="s">
        <v>6473</v>
      </c>
      <c r="B21" s="199" t="s">
        <v>3333</v>
      </c>
      <c r="C21" s="199" t="s">
        <v>3349</v>
      </c>
      <c r="D21" s="199" t="s">
        <v>8724</v>
      </c>
      <c r="E21" s="188" t="s">
        <v>4729</v>
      </c>
      <c r="F21" s="189" t="s">
        <v>3035</v>
      </c>
      <c r="G21" s="188" t="s">
        <v>3197</v>
      </c>
      <c r="H21" s="199" t="s">
        <v>72</v>
      </c>
      <c r="I21" s="199">
        <v>1</v>
      </c>
      <c r="J21" s="199">
        <v>1</v>
      </c>
      <c r="K21" s="199">
        <v>1</v>
      </c>
      <c r="L21" s="199">
        <v>50</v>
      </c>
      <c r="M21" s="199">
        <f>TB_Parts_Lists[[#This Row],[Quantity Initial]]+ SUMIF(TB_Transactions[Part number],TB_Parts_Lists[[#This Row],[Part Number]],TB_Transactions[Quantity])</f>
        <v>50</v>
      </c>
      <c r="N21" s="200" t="s">
        <v>4593</v>
      </c>
      <c r="O21"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1" s="199">
        <v>250</v>
      </c>
      <c r="Q21" s="199">
        <f>TB_Parts_Lists[[#This Row],[Quantity Total]]*TB_Parts_Lists[[#This Row],[Unit Price AED]]</f>
        <v>250</v>
      </c>
      <c r="S21" s="213" t="s">
        <v>118</v>
      </c>
      <c r="T21" s="213" t="s">
        <v>839</v>
      </c>
      <c r="U21" s="213" t="s">
        <v>838</v>
      </c>
    </row>
    <row r="22" spans="1:21" s="199" customFormat="1" x14ac:dyDescent="0.25">
      <c r="A22" s="199" t="s">
        <v>6474</v>
      </c>
      <c r="B22" s="199" t="s">
        <v>3333</v>
      </c>
      <c r="C22" s="199" t="s">
        <v>3349</v>
      </c>
      <c r="D22" s="199" t="s">
        <v>8723</v>
      </c>
      <c r="E22" s="188" t="s">
        <v>4730</v>
      </c>
      <c r="F22" s="189" t="s">
        <v>3036</v>
      </c>
      <c r="G22" s="188" t="s">
        <v>3197</v>
      </c>
      <c r="H22" s="199" t="s">
        <v>72</v>
      </c>
      <c r="I22" s="199">
        <v>1</v>
      </c>
      <c r="J22" s="199">
        <v>1</v>
      </c>
      <c r="K22" s="199">
        <v>1</v>
      </c>
      <c r="L22" s="199">
        <v>50</v>
      </c>
      <c r="M22" s="199">
        <f>TB_Parts_Lists[[#This Row],[Quantity Initial]]+ SUMIF(TB_Transactions[Part number],TB_Parts_Lists[[#This Row],[Part Number]],TB_Transactions[Quantity])</f>
        <v>50</v>
      </c>
      <c r="N22" s="200" t="s">
        <v>4593</v>
      </c>
      <c r="O22"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2" s="199">
        <v>250</v>
      </c>
      <c r="Q22" s="199">
        <f>TB_Parts_Lists[[#This Row],[Quantity Total]]*TB_Parts_Lists[[#This Row],[Unit Price AED]]</f>
        <v>250</v>
      </c>
      <c r="S22" s="213" t="s">
        <v>118</v>
      </c>
      <c r="T22" s="213" t="s">
        <v>839</v>
      </c>
      <c r="U22" s="213" t="s">
        <v>838</v>
      </c>
    </row>
    <row r="23" spans="1:21" s="199" customFormat="1" x14ac:dyDescent="0.25">
      <c r="A23" s="199" t="s">
        <v>6475</v>
      </c>
      <c r="B23" s="199" t="s">
        <v>3333</v>
      </c>
      <c r="C23" s="199" t="s">
        <v>3349</v>
      </c>
      <c r="D23" s="199" t="s">
        <v>8724</v>
      </c>
      <c r="E23" s="188" t="s">
        <v>4731</v>
      </c>
      <c r="F23" s="189" t="s">
        <v>3039</v>
      </c>
      <c r="G23" s="188" t="s">
        <v>3197</v>
      </c>
      <c r="H23" s="199" t="s">
        <v>72</v>
      </c>
      <c r="I23" s="199">
        <v>1</v>
      </c>
      <c r="J23" s="199">
        <v>1</v>
      </c>
      <c r="K23" s="199">
        <v>1</v>
      </c>
      <c r="L23" s="199">
        <v>50</v>
      </c>
      <c r="M23" s="199">
        <f>TB_Parts_Lists[[#This Row],[Quantity Initial]]+ SUMIF(TB_Transactions[Part number],TB_Parts_Lists[[#This Row],[Part Number]],TB_Transactions[Quantity])</f>
        <v>54</v>
      </c>
      <c r="N23" s="200" t="s">
        <v>4593</v>
      </c>
      <c r="O23"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3" s="199">
        <v>250</v>
      </c>
      <c r="Q23" s="199">
        <f>TB_Parts_Lists[[#This Row],[Quantity Total]]*TB_Parts_Lists[[#This Row],[Unit Price AED]]</f>
        <v>270</v>
      </c>
      <c r="S23" s="213" t="s">
        <v>118</v>
      </c>
      <c r="T23" s="213" t="s">
        <v>839</v>
      </c>
      <c r="U23" s="213" t="s">
        <v>838</v>
      </c>
    </row>
    <row r="24" spans="1:21" s="199" customFormat="1" x14ac:dyDescent="0.25">
      <c r="A24" s="199" t="s">
        <v>6476</v>
      </c>
      <c r="B24" s="199" t="s">
        <v>3333</v>
      </c>
      <c r="C24" s="199" t="s">
        <v>3349</v>
      </c>
      <c r="D24" s="199" t="s">
        <v>8732</v>
      </c>
      <c r="E24" s="188" t="s">
        <v>4732</v>
      </c>
      <c r="F24" s="189" t="s">
        <v>3040</v>
      </c>
      <c r="G24" s="188" t="s">
        <v>3197</v>
      </c>
      <c r="H24" s="199" t="s">
        <v>72</v>
      </c>
      <c r="I24" s="199">
        <v>1</v>
      </c>
      <c r="J24" s="199">
        <v>1</v>
      </c>
      <c r="K24" s="199">
        <v>1</v>
      </c>
      <c r="L24" s="199">
        <v>50</v>
      </c>
      <c r="M24" s="199">
        <f>TB_Parts_Lists[[#This Row],[Quantity Initial]]+ SUMIF(TB_Transactions[Part number],TB_Parts_Lists[[#This Row],[Part Number]],TB_Transactions[Quantity])</f>
        <v>50</v>
      </c>
      <c r="N24" s="200" t="s">
        <v>4593</v>
      </c>
      <c r="O24"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4" s="199">
        <v>250</v>
      </c>
      <c r="Q24" s="199">
        <f>TB_Parts_Lists[[#This Row],[Quantity Total]]*TB_Parts_Lists[[#This Row],[Unit Price AED]]</f>
        <v>250</v>
      </c>
      <c r="S24" s="213" t="s">
        <v>118</v>
      </c>
      <c r="T24" s="213" t="s">
        <v>839</v>
      </c>
      <c r="U24" s="213" t="s">
        <v>838</v>
      </c>
    </row>
    <row r="25" spans="1:21" s="199" customFormat="1" x14ac:dyDescent="0.25">
      <c r="A25" s="210" t="s">
        <v>6477</v>
      </c>
      <c r="B25" s="210" t="s">
        <v>3333</v>
      </c>
      <c r="C25" s="210" t="s">
        <v>3349</v>
      </c>
      <c r="D25" s="210" t="s">
        <v>8723</v>
      </c>
      <c r="E25" s="209" t="s">
        <v>4733</v>
      </c>
      <c r="F25" s="211" t="s">
        <v>3041</v>
      </c>
      <c r="G25" s="209" t="s">
        <v>3197</v>
      </c>
      <c r="H25" s="210" t="s">
        <v>72</v>
      </c>
      <c r="I25" s="210">
        <v>1</v>
      </c>
      <c r="J25" s="210">
        <v>1</v>
      </c>
      <c r="K25" s="210">
        <v>1</v>
      </c>
      <c r="L25" s="210">
        <v>50</v>
      </c>
      <c r="M25" s="210">
        <f>TB_Parts_Lists[[#This Row],[Quantity Initial]]+ SUMIF(TB_Transactions[Part number],TB_Parts_Lists[[#This Row],[Part Number]],TB_Transactions[Quantity])</f>
        <v>52</v>
      </c>
      <c r="N25" s="232" t="s">
        <v>4593</v>
      </c>
      <c r="O25" s="235">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4.8076923076923075</v>
      </c>
      <c r="P25" s="210">
        <v>250</v>
      </c>
      <c r="Q25" s="210">
        <f>TB_Parts_Lists[[#This Row],[Quantity Total]]*TB_Parts_Lists[[#This Row],[Unit Price AED]]</f>
        <v>250</v>
      </c>
      <c r="R25" s="210"/>
      <c r="S25" s="233" t="s">
        <v>118</v>
      </c>
      <c r="T25" s="233" t="s">
        <v>839</v>
      </c>
      <c r="U25" s="233" t="s">
        <v>838</v>
      </c>
    </row>
    <row r="26" spans="1:21" s="199" customFormat="1" x14ac:dyDescent="0.25">
      <c r="A26" s="199" t="s">
        <v>6478</v>
      </c>
      <c r="B26" s="199" t="s">
        <v>3333</v>
      </c>
      <c r="C26" s="199" t="s">
        <v>3349</v>
      </c>
      <c r="D26" s="199" t="s">
        <v>8732</v>
      </c>
      <c r="E26" s="188" t="s">
        <v>4734</v>
      </c>
      <c r="F26" s="189" t="s">
        <v>3042</v>
      </c>
      <c r="G26" s="188" t="s">
        <v>3197</v>
      </c>
      <c r="H26" s="199" t="s">
        <v>72</v>
      </c>
      <c r="I26" s="199">
        <v>1</v>
      </c>
      <c r="J26" s="199">
        <v>1</v>
      </c>
      <c r="K26" s="199">
        <v>1</v>
      </c>
      <c r="L26" s="199">
        <v>50</v>
      </c>
      <c r="M26" s="199">
        <f>TB_Parts_Lists[[#This Row],[Quantity Initial]]+ SUMIF(TB_Transactions[Part number],TB_Parts_Lists[[#This Row],[Part Number]],TB_Transactions[Quantity])</f>
        <v>50</v>
      </c>
      <c r="N26" s="200" t="s">
        <v>4593</v>
      </c>
      <c r="O26" s="234">
        <v>5</v>
      </c>
      <c r="P26" s="199">
        <f>TB_Parts_Lists[[#This Row],[Quantity Initial]]*TB_Parts_Lists[[#This Row],[Unit Price AED]]</f>
        <v>250</v>
      </c>
      <c r="Q26" s="199">
        <f>TB_Parts_Lists[[#This Row],[Quantity Total]]*TB_Parts_Lists[[#This Row],[Unit Price AED]]</f>
        <v>250</v>
      </c>
      <c r="S26" s="213" t="s">
        <v>118</v>
      </c>
      <c r="T26" s="213" t="s">
        <v>839</v>
      </c>
      <c r="U26" s="213" t="s">
        <v>838</v>
      </c>
    </row>
    <row r="27" spans="1:21" s="199" customFormat="1" x14ac:dyDescent="0.25">
      <c r="A27" s="199" t="s">
        <v>6479</v>
      </c>
      <c r="B27" s="199" t="s">
        <v>3333</v>
      </c>
      <c r="C27" s="199" t="s">
        <v>3349</v>
      </c>
      <c r="D27" s="199" t="s">
        <v>8723</v>
      </c>
      <c r="E27" s="188" t="s">
        <v>4735</v>
      </c>
      <c r="F27" s="189" t="s">
        <v>3043</v>
      </c>
      <c r="G27" s="188" t="s">
        <v>3197</v>
      </c>
      <c r="H27" s="199" t="s">
        <v>72</v>
      </c>
      <c r="I27" s="199">
        <v>1</v>
      </c>
      <c r="J27" s="199">
        <v>1</v>
      </c>
      <c r="K27" s="199">
        <v>1</v>
      </c>
      <c r="L27" s="199">
        <v>50</v>
      </c>
      <c r="M27" s="199">
        <f>TB_Parts_Lists[[#This Row],[Quantity Initial]]+ SUMIF(TB_Transactions[Part number],TB_Parts_Lists[[#This Row],[Part Number]],TB_Transactions[Quantity])</f>
        <v>50</v>
      </c>
      <c r="N27" s="200" t="s">
        <v>4593</v>
      </c>
      <c r="O27" s="234">
        <v>5</v>
      </c>
      <c r="P27" s="199">
        <f>TB_Parts_Lists[[#This Row],[Quantity Initial]]*TB_Parts_Lists[[#This Row],[Unit Price AED]]</f>
        <v>250</v>
      </c>
      <c r="Q27" s="199">
        <f>TB_Parts_Lists[[#This Row],[Quantity Total]]*TB_Parts_Lists[[#This Row],[Unit Price AED]]</f>
        <v>250</v>
      </c>
      <c r="S27" s="213" t="s">
        <v>118</v>
      </c>
      <c r="T27" s="213" t="s">
        <v>839</v>
      </c>
      <c r="U27" s="213" t="s">
        <v>838</v>
      </c>
    </row>
    <row r="28" spans="1:21" s="199" customFormat="1" x14ac:dyDescent="0.25">
      <c r="A28" s="199" t="s">
        <v>6480</v>
      </c>
      <c r="B28" s="199" t="s">
        <v>3333</v>
      </c>
      <c r="C28" s="199" t="s">
        <v>3349</v>
      </c>
      <c r="D28" s="199" t="s">
        <v>8723</v>
      </c>
      <c r="E28" s="188" t="s">
        <v>4736</v>
      </c>
      <c r="F28" s="189" t="s">
        <v>3044</v>
      </c>
      <c r="G28" s="188" t="s">
        <v>3197</v>
      </c>
      <c r="H28" s="199" t="s">
        <v>72</v>
      </c>
      <c r="I28" s="199">
        <v>1</v>
      </c>
      <c r="J28" s="199">
        <v>1</v>
      </c>
      <c r="K28" s="199">
        <v>1</v>
      </c>
      <c r="L28" s="199">
        <v>50</v>
      </c>
      <c r="M28" s="199">
        <f>TB_Parts_Lists[[#This Row],[Quantity Initial]]+ SUMIF(TB_Transactions[Part number],TB_Parts_Lists[[#This Row],[Part Number]],TB_Transactions[Quantity])</f>
        <v>50</v>
      </c>
      <c r="N28" s="200" t="s">
        <v>4593</v>
      </c>
      <c r="O28" s="234">
        <v>5</v>
      </c>
      <c r="P28" s="199">
        <f>TB_Parts_Lists[[#This Row],[Quantity Initial]]*TB_Parts_Lists[[#This Row],[Unit Price AED]]</f>
        <v>250</v>
      </c>
      <c r="Q28" s="199">
        <f>TB_Parts_Lists[[#This Row],[Quantity Total]]*TB_Parts_Lists[[#This Row],[Unit Price AED]]</f>
        <v>250</v>
      </c>
      <c r="S28" s="213" t="s">
        <v>118</v>
      </c>
      <c r="T28" s="213" t="s">
        <v>839</v>
      </c>
      <c r="U28" s="213" t="s">
        <v>838</v>
      </c>
    </row>
    <row r="29" spans="1:21" s="199" customFormat="1" x14ac:dyDescent="0.25">
      <c r="A29" s="199" t="s">
        <v>6481</v>
      </c>
      <c r="B29" s="199" t="s">
        <v>3333</v>
      </c>
      <c r="C29" s="199" t="s">
        <v>3349</v>
      </c>
      <c r="D29" s="199" t="s">
        <v>8723</v>
      </c>
      <c r="E29" s="188" t="s">
        <v>4737</v>
      </c>
      <c r="F29" s="189" t="s">
        <v>3037</v>
      </c>
      <c r="G29" s="188" t="s">
        <v>3197</v>
      </c>
      <c r="H29" s="199" t="s">
        <v>72</v>
      </c>
      <c r="I29" s="199">
        <v>1</v>
      </c>
      <c r="J29" s="199">
        <v>1</v>
      </c>
      <c r="K29" s="199">
        <v>1</v>
      </c>
      <c r="L29" s="199">
        <v>50</v>
      </c>
      <c r="M29" s="199">
        <f>TB_Parts_Lists[[#This Row],[Quantity Initial]]+ SUMIF(TB_Transactions[Part number],TB_Parts_Lists[[#This Row],[Part Number]],TB_Transactions[Quantity])</f>
        <v>50</v>
      </c>
      <c r="N29" s="200" t="s">
        <v>4593</v>
      </c>
      <c r="O29" s="234">
        <v>5</v>
      </c>
      <c r="P29" s="199">
        <f>TB_Parts_Lists[[#This Row],[Quantity Initial]]*TB_Parts_Lists[[#This Row],[Unit Price AED]]</f>
        <v>250</v>
      </c>
      <c r="Q29" s="199">
        <f>TB_Parts_Lists[[#This Row],[Quantity Total]]*TB_Parts_Lists[[#This Row],[Unit Price AED]]</f>
        <v>250</v>
      </c>
      <c r="S29" s="213" t="s">
        <v>118</v>
      </c>
      <c r="T29" s="213" t="s">
        <v>839</v>
      </c>
      <c r="U29" s="213" t="s">
        <v>838</v>
      </c>
    </row>
    <row r="30" spans="1:21" s="199" customFormat="1" x14ac:dyDescent="0.25">
      <c r="A30" s="199" t="s">
        <v>6482</v>
      </c>
      <c r="B30" s="199" t="s">
        <v>3333</v>
      </c>
      <c r="C30" s="199" t="s">
        <v>3349</v>
      </c>
      <c r="D30" s="199" t="s">
        <v>8723</v>
      </c>
      <c r="E30" s="188" t="s">
        <v>4738</v>
      </c>
      <c r="F30" s="189" t="s">
        <v>3038</v>
      </c>
      <c r="G30" s="188" t="s">
        <v>3197</v>
      </c>
      <c r="H30" s="199" t="s">
        <v>72</v>
      </c>
      <c r="I30" s="199">
        <v>1</v>
      </c>
      <c r="J30" s="199">
        <v>1</v>
      </c>
      <c r="K30" s="199">
        <v>1</v>
      </c>
      <c r="L30" s="199">
        <v>50</v>
      </c>
      <c r="M30" s="199">
        <f>TB_Parts_Lists[[#This Row],[Quantity Initial]]+ SUMIF(TB_Transactions[Part number],TB_Parts_Lists[[#This Row],[Part Number]],TB_Transactions[Quantity])</f>
        <v>50</v>
      </c>
      <c r="N30" s="200" t="s">
        <v>4593</v>
      </c>
      <c r="O30" s="234">
        <v>5</v>
      </c>
      <c r="P30" s="199">
        <f>TB_Parts_Lists[[#This Row],[Quantity Initial]]*TB_Parts_Lists[[#This Row],[Unit Price AED]]</f>
        <v>250</v>
      </c>
      <c r="Q30" s="199">
        <f>TB_Parts_Lists[[#This Row],[Quantity Total]]*TB_Parts_Lists[[#This Row],[Unit Price AED]]</f>
        <v>250</v>
      </c>
      <c r="S30" s="213" t="s">
        <v>118</v>
      </c>
      <c r="T30" s="213" t="s">
        <v>839</v>
      </c>
      <c r="U30" s="213" t="s">
        <v>838</v>
      </c>
    </row>
    <row r="31" spans="1:21" s="199" customFormat="1" x14ac:dyDescent="0.25">
      <c r="A31" s="199" t="s">
        <v>6483</v>
      </c>
      <c r="B31" s="199" t="s">
        <v>3333</v>
      </c>
      <c r="C31" s="199" t="s">
        <v>3004</v>
      </c>
      <c r="D31" s="199" t="s">
        <v>8723</v>
      </c>
      <c r="E31" s="188" t="s">
        <v>4739</v>
      </c>
      <c r="F31" s="189" t="s">
        <v>3011</v>
      </c>
      <c r="G31" s="188" t="s">
        <v>3197</v>
      </c>
      <c r="H31" s="199" t="s">
        <v>72</v>
      </c>
      <c r="I31" s="199">
        <v>1</v>
      </c>
      <c r="J31" s="199">
        <v>1</v>
      </c>
      <c r="K31" s="199">
        <v>1</v>
      </c>
      <c r="L31" s="199">
        <v>50</v>
      </c>
      <c r="M31" s="199">
        <f>TB_Parts_Lists[[#This Row],[Quantity Initial]]+ SUMIF(TB_Transactions[Part number],TB_Parts_Lists[[#This Row],[Part Number]],TB_Transactions[Quantity])</f>
        <v>50</v>
      </c>
      <c r="N31" s="200" t="s">
        <v>4593</v>
      </c>
      <c r="O31" s="234">
        <v>5</v>
      </c>
      <c r="P31" s="199">
        <f>TB_Parts_Lists[[#This Row],[Quantity Initial]]*TB_Parts_Lists[[#This Row],[Unit Price AED]]</f>
        <v>250</v>
      </c>
      <c r="Q31" s="199">
        <f>TB_Parts_Lists[[#This Row],[Quantity Total]]*TB_Parts_Lists[[#This Row],[Unit Price AED]]</f>
        <v>250</v>
      </c>
      <c r="S31" s="213" t="s">
        <v>118</v>
      </c>
      <c r="T31" s="213" t="s">
        <v>839</v>
      </c>
      <c r="U31" s="213" t="s">
        <v>838</v>
      </c>
    </row>
    <row r="32" spans="1:21" s="199" customFormat="1" x14ac:dyDescent="0.25">
      <c r="A32" s="199" t="s">
        <v>6484</v>
      </c>
      <c r="B32" s="199" t="s">
        <v>3333</v>
      </c>
      <c r="C32" s="199" t="s">
        <v>2985</v>
      </c>
      <c r="D32" s="199" t="s">
        <v>8723</v>
      </c>
      <c r="E32" s="188" t="s">
        <v>4740</v>
      </c>
      <c r="F32" s="189" t="s">
        <v>3047</v>
      </c>
      <c r="G32" s="188" t="s">
        <v>3197</v>
      </c>
      <c r="H32" s="199" t="s">
        <v>72</v>
      </c>
      <c r="I32" s="199">
        <v>1</v>
      </c>
      <c r="J32" s="199">
        <v>1</v>
      </c>
      <c r="K32" s="199">
        <v>1</v>
      </c>
      <c r="L32" s="199">
        <v>50</v>
      </c>
      <c r="M32" s="199">
        <f>TB_Parts_Lists[[#This Row],[Quantity Initial]]+ SUMIF(TB_Transactions[Part number],TB_Parts_Lists[[#This Row],[Part Number]],TB_Transactions[Quantity])</f>
        <v>50</v>
      </c>
      <c r="N32" s="200" t="s">
        <v>4593</v>
      </c>
      <c r="O32" s="234">
        <v>5</v>
      </c>
      <c r="P32" s="199">
        <f>TB_Parts_Lists[[#This Row],[Quantity Initial]]*TB_Parts_Lists[[#This Row],[Unit Price AED]]</f>
        <v>250</v>
      </c>
      <c r="Q32" s="199">
        <f>TB_Parts_Lists[[#This Row],[Quantity Total]]*TB_Parts_Lists[[#This Row],[Unit Price AED]]</f>
        <v>250</v>
      </c>
      <c r="S32" s="213" t="s">
        <v>118</v>
      </c>
      <c r="T32" s="213" t="s">
        <v>839</v>
      </c>
      <c r="U32" s="213" t="s">
        <v>838</v>
      </c>
    </row>
    <row r="33" spans="1:21" s="199" customFormat="1" x14ac:dyDescent="0.25">
      <c r="A33" s="199" t="s">
        <v>6485</v>
      </c>
      <c r="B33" s="199" t="s">
        <v>3333</v>
      </c>
      <c r="C33" s="199" t="s">
        <v>2984</v>
      </c>
      <c r="D33" s="199" t="s">
        <v>8723</v>
      </c>
      <c r="E33" s="188" t="s">
        <v>4741</v>
      </c>
      <c r="F33" s="189" t="s">
        <v>3014</v>
      </c>
      <c r="G33" s="188" t="s">
        <v>3197</v>
      </c>
      <c r="H33" s="199" t="s">
        <v>72</v>
      </c>
      <c r="I33" s="199">
        <v>1</v>
      </c>
      <c r="J33" s="199">
        <v>1</v>
      </c>
      <c r="K33" s="199">
        <v>1</v>
      </c>
      <c r="L33" s="199">
        <v>50</v>
      </c>
      <c r="M33" s="199">
        <f>TB_Parts_Lists[[#This Row],[Quantity Initial]]+ SUMIF(TB_Transactions[Part number],TB_Parts_Lists[[#This Row],[Part Number]],TB_Transactions[Quantity])</f>
        <v>50</v>
      </c>
      <c r="N33" s="200" t="s">
        <v>4593</v>
      </c>
      <c r="O33" s="234">
        <v>5</v>
      </c>
      <c r="P33" s="199">
        <f>TB_Parts_Lists[[#This Row],[Quantity Initial]]*TB_Parts_Lists[[#This Row],[Unit Price AED]]</f>
        <v>250</v>
      </c>
      <c r="Q33" s="199">
        <f>TB_Parts_Lists[[#This Row],[Quantity Total]]*TB_Parts_Lists[[#This Row],[Unit Price AED]]</f>
        <v>250</v>
      </c>
      <c r="S33" s="213" t="s">
        <v>118</v>
      </c>
      <c r="T33" s="213" t="s">
        <v>839</v>
      </c>
      <c r="U33" s="213" t="s">
        <v>838</v>
      </c>
    </row>
    <row r="34" spans="1:21" s="199" customFormat="1" x14ac:dyDescent="0.25">
      <c r="A34" s="199" t="s">
        <v>6486</v>
      </c>
      <c r="B34" s="199" t="s">
        <v>3333</v>
      </c>
      <c r="C34" s="199" t="s">
        <v>2984</v>
      </c>
      <c r="D34" s="199" t="s">
        <v>8723</v>
      </c>
      <c r="E34" s="188" t="s">
        <v>4742</v>
      </c>
      <c r="F34" s="189" t="s">
        <v>3013</v>
      </c>
      <c r="G34" s="188" t="s">
        <v>3197</v>
      </c>
      <c r="H34" s="199" t="s">
        <v>72</v>
      </c>
      <c r="I34" s="199">
        <v>1</v>
      </c>
      <c r="J34" s="199">
        <v>1</v>
      </c>
      <c r="K34" s="199">
        <v>1</v>
      </c>
      <c r="L34" s="199">
        <v>50</v>
      </c>
      <c r="M34" s="199">
        <f>TB_Parts_Lists[[#This Row],[Quantity Initial]]+ SUMIF(TB_Transactions[Part number],TB_Parts_Lists[[#This Row],[Part Number]],TB_Transactions[Quantity])</f>
        <v>50</v>
      </c>
      <c r="N34" s="200" t="s">
        <v>4593</v>
      </c>
      <c r="O34" s="234">
        <v>5</v>
      </c>
      <c r="P34" s="199">
        <f>TB_Parts_Lists[[#This Row],[Quantity Initial]]*TB_Parts_Lists[[#This Row],[Unit Price AED]]</f>
        <v>250</v>
      </c>
      <c r="Q34" s="199">
        <f>TB_Parts_Lists[[#This Row],[Quantity Total]]*TB_Parts_Lists[[#This Row],[Unit Price AED]]</f>
        <v>250</v>
      </c>
      <c r="S34" s="213" t="s">
        <v>118</v>
      </c>
      <c r="T34" s="213" t="s">
        <v>839</v>
      </c>
      <c r="U34" s="213" t="s">
        <v>838</v>
      </c>
    </row>
    <row r="35" spans="1:21" s="199" customFormat="1" x14ac:dyDescent="0.25">
      <c r="A35" s="199" t="s">
        <v>6487</v>
      </c>
      <c r="B35" s="199" t="s">
        <v>3333</v>
      </c>
      <c r="C35" s="199" t="s">
        <v>2985</v>
      </c>
      <c r="D35" s="199" t="s">
        <v>8723</v>
      </c>
      <c r="E35" s="188" t="s">
        <v>2985</v>
      </c>
      <c r="F35" s="189" t="s">
        <v>3049</v>
      </c>
      <c r="G35" s="188" t="s">
        <v>3197</v>
      </c>
      <c r="H35" s="199" t="s">
        <v>72</v>
      </c>
      <c r="I35" s="199">
        <v>1</v>
      </c>
      <c r="J35" s="199">
        <v>1</v>
      </c>
      <c r="K35" s="199">
        <v>1</v>
      </c>
      <c r="L35" s="199">
        <v>50</v>
      </c>
      <c r="M35" s="199">
        <f>TB_Parts_Lists[[#This Row],[Quantity Initial]]+ SUMIF(TB_Transactions[Part number],TB_Parts_Lists[[#This Row],[Part Number]],TB_Transactions[Quantity])</f>
        <v>50</v>
      </c>
      <c r="N35" s="200" t="s">
        <v>4593</v>
      </c>
      <c r="O35" s="234">
        <v>5</v>
      </c>
      <c r="P35" s="199">
        <f>TB_Parts_Lists[[#This Row],[Quantity Initial]]*TB_Parts_Lists[[#This Row],[Unit Price AED]]</f>
        <v>250</v>
      </c>
      <c r="Q35" s="199">
        <f>TB_Parts_Lists[[#This Row],[Quantity Total]]*TB_Parts_Lists[[#This Row],[Unit Price AED]]</f>
        <v>250</v>
      </c>
      <c r="S35" s="213" t="s">
        <v>118</v>
      </c>
      <c r="T35" s="213" t="s">
        <v>839</v>
      </c>
      <c r="U35" s="213" t="s">
        <v>838</v>
      </c>
    </row>
    <row r="36" spans="1:21" s="199" customFormat="1" x14ac:dyDescent="0.25">
      <c r="A36" s="199" t="s">
        <v>6488</v>
      </c>
      <c r="B36" s="199" t="s">
        <v>3333</v>
      </c>
      <c r="C36" s="199" t="s">
        <v>2985</v>
      </c>
      <c r="D36" s="199" t="s">
        <v>8723</v>
      </c>
      <c r="E36" s="188" t="s">
        <v>4743</v>
      </c>
      <c r="F36" s="189" t="s">
        <v>3046</v>
      </c>
      <c r="G36" s="188" t="s">
        <v>3197</v>
      </c>
      <c r="H36" s="199" t="s">
        <v>72</v>
      </c>
      <c r="I36" s="199">
        <v>1</v>
      </c>
      <c r="J36" s="199">
        <v>1</v>
      </c>
      <c r="K36" s="199">
        <v>1</v>
      </c>
      <c r="L36" s="199">
        <v>50</v>
      </c>
      <c r="M36" s="199">
        <f>TB_Parts_Lists[[#This Row],[Quantity Initial]]+ SUMIF(TB_Transactions[Part number],TB_Parts_Lists[[#This Row],[Part Number]],TB_Transactions[Quantity])</f>
        <v>50</v>
      </c>
      <c r="N36" s="200" t="s">
        <v>4593</v>
      </c>
      <c r="O36" s="234">
        <v>5</v>
      </c>
      <c r="P36" s="199">
        <f>TB_Parts_Lists[[#This Row],[Quantity Initial]]*TB_Parts_Lists[[#This Row],[Unit Price AED]]</f>
        <v>250</v>
      </c>
      <c r="Q36" s="199">
        <f>TB_Parts_Lists[[#This Row],[Quantity Total]]*TB_Parts_Lists[[#This Row],[Unit Price AED]]</f>
        <v>250</v>
      </c>
      <c r="S36" s="213" t="s">
        <v>118</v>
      </c>
      <c r="T36" s="213" t="s">
        <v>839</v>
      </c>
      <c r="U36" s="213" t="s">
        <v>838</v>
      </c>
    </row>
    <row r="37" spans="1:21" s="199" customFormat="1" x14ac:dyDescent="0.25">
      <c r="A37" s="199" t="s">
        <v>6489</v>
      </c>
      <c r="B37" s="199" t="s">
        <v>3333</v>
      </c>
      <c r="C37" s="199" t="s">
        <v>2985</v>
      </c>
      <c r="D37" s="199" t="s">
        <v>8723</v>
      </c>
      <c r="E37" s="188" t="s">
        <v>4744</v>
      </c>
      <c r="F37" s="189" t="s">
        <v>3048</v>
      </c>
      <c r="G37" s="188" t="s">
        <v>3197</v>
      </c>
      <c r="H37" s="199" t="s">
        <v>72</v>
      </c>
      <c r="I37" s="199">
        <v>1</v>
      </c>
      <c r="J37" s="199">
        <v>1</v>
      </c>
      <c r="K37" s="199">
        <v>1</v>
      </c>
      <c r="L37" s="199">
        <v>50</v>
      </c>
      <c r="M37" s="199">
        <f>TB_Parts_Lists[[#This Row],[Quantity Initial]]+ SUMIF(TB_Transactions[Part number],TB_Parts_Lists[[#This Row],[Part Number]],TB_Transactions[Quantity])</f>
        <v>50</v>
      </c>
      <c r="N37" s="200" t="s">
        <v>4593</v>
      </c>
      <c r="O37" s="234">
        <v>5</v>
      </c>
      <c r="P37" s="199">
        <f>TB_Parts_Lists[[#This Row],[Quantity Initial]]*TB_Parts_Lists[[#This Row],[Unit Price AED]]</f>
        <v>250</v>
      </c>
      <c r="Q37" s="199">
        <f>TB_Parts_Lists[[#This Row],[Quantity Total]]*TB_Parts_Lists[[#This Row],[Unit Price AED]]</f>
        <v>250</v>
      </c>
      <c r="S37" s="213" t="s">
        <v>118</v>
      </c>
      <c r="T37" s="213" t="s">
        <v>839</v>
      </c>
      <c r="U37" s="213" t="s">
        <v>838</v>
      </c>
    </row>
    <row r="38" spans="1:21" s="199" customFormat="1" x14ac:dyDescent="0.25">
      <c r="A38" s="199" t="s">
        <v>6490</v>
      </c>
      <c r="B38" s="199" t="s">
        <v>3333</v>
      </c>
      <c r="C38" s="199" t="s">
        <v>3349</v>
      </c>
      <c r="D38" s="199" t="s">
        <v>8723</v>
      </c>
      <c r="E38" s="188" t="s">
        <v>4745</v>
      </c>
      <c r="F38" s="189" t="s">
        <v>3045</v>
      </c>
      <c r="G38" s="188" t="s">
        <v>3197</v>
      </c>
      <c r="H38" s="199" t="s">
        <v>72</v>
      </c>
      <c r="I38" s="199">
        <v>1</v>
      </c>
      <c r="J38" s="199">
        <v>1</v>
      </c>
      <c r="K38" s="199">
        <v>1</v>
      </c>
      <c r="L38" s="199">
        <v>50</v>
      </c>
      <c r="M38" s="199">
        <f>TB_Parts_Lists[[#This Row],[Quantity Initial]]+ SUMIF(TB_Transactions[Part number],TB_Parts_Lists[[#This Row],[Part Number]],TB_Transactions[Quantity])</f>
        <v>50</v>
      </c>
      <c r="N38" s="200" t="s">
        <v>4593</v>
      </c>
      <c r="O38" s="234">
        <v>5</v>
      </c>
      <c r="P38" s="199">
        <f>TB_Parts_Lists[[#This Row],[Quantity Initial]]*TB_Parts_Lists[[#This Row],[Unit Price AED]]</f>
        <v>250</v>
      </c>
      <c r="Q38" s="199">
        <f>TB_Parts_Lists[[#This Row],[Quantity Total]]*TB_Parts_Lists[[#This Row],[Unit Price AED]]</f>
        <v>250</v>
      </c>
      <c r="S38" s="213" t="s">
        <v>118</v>
      </c>
      <c r="T38" s="213" t="s">
        <v>839</v>
      </c>
      <c r="U38" s="213" t="s">
        <v>838</v>
      </c>
    </row>
    <row r="39" spans="1:21" s="199" customFormat="1" x14ac:dyDescent="0.25">
      <c r="A39" s="199" t="s">
        <v>6491</v>
      </c>
      <c r="B39" s="199" t="s">
        <v>3333</v>
      </c>
      <c r="C39" s="199" t="s">
        <v>3349</v>
      </c>
      <c r="D39" s="199" t="s">
        <v>8723</v>
      </c>
      <c r="E39" s="188" t="s">
        <v>4746</v>
      </c>
      <c r="F39" s="189" t="s">
        <v>3025</v>
      </c>
      <c r="G39" s="188" t="s">
        <v>3197</v>
      </c>
      <c r="H39" s="199" t="s">
        <v>72</v>
      </c>
      <c r="I39" s="199">
        <v>1</v>
      </c>
      <c r="J39" s="199">
        <v>1</v>
      </c>
      <c r="K39" s="199">
        <v>1</v>
      </c>
      <c r="L39" s="199">
        <v>50</v>
      </c>
      <c r="M39" s="199">
        <f>TB_Parts_Lists[[#This Row],[Quantity Initial]]+ SUMIF(TB_Transactions[Part number],TB_Parts_Lists[[#This Row],[Part Number]],TB_Transactions[Quantity])</f>
        <v>50</v>
      </c>
      <c r="N39" s="200" t="s">
        <v>4593</v>
      </c>
      <c r="O39" s="234">
        <v>5</v>
      </c>
      <c r="P39" s="199">
        <f>TB_Parts_Lists[[#This Row],[Quantity Initial]]*TB_Parts_Lists[[#This Row],[Unit Price AED]]</f>
        <v>250</v>
      </c>
      <c r="Q39" s="199">
        <f>TB_Parts_Lists[[#This Row],[Quantity Total]]*TB_Parts_Lists[[#This Row],[Unit Price AED]]</f>
        <v>250</v>
      </c>
      <c r="S39" s="213" t="s">
        <v>118</v>
      </c>
      <c r="T39" s="213" t="s">
        <v>839</v>
      </c>
      <c r="U39" s="213" t="s">
        <v>838</v>
      </c>
    </row>
    <row r="40" spans="1:21" s="199" customFormat="1" x14ac:dyDescent="0.25">
      <c r="A40" s="199" t="s">
        <v>6492</v>
      </c>
      <c r="B40" s="199" t="s">
        <v>3333</v>
      </c>
      <c r="C40" s="199" t="s">
        <v>3349</v>
      </c>
      <c r="D40" s="199" t="s">
        <v>8723</v>
      </c>
      <c r="E40" s="188" t="s">
        <v>4747</v>
      </c>
      <c r="F40" s="189" t="s">
        <v>3073</v>
      </c>
      <c r="G40" s="188" t="s">
        <v>6429</v>
      </c>
      <c r="H40" s="199" t="s">
        <v>72</v>
      </c>
      <c r="I40" s="199">
        <v>1</v>
      </c>
      <c r="J40" s="199">
        <v>1</v>
      </c>
      <c r="K40" s="199">
        <v>1</v>
      </c>
      <c r="L40" s="199">
        <v>50</v>
      </c>
      <c r="M40" s="199">
        <f>TB_Parts_Lists[[#This Row],[Quantity Initial]]+ SUMIF(TB_Transactions[Part number],TB_Parts_Lists[[#This Row],[Part Number]],TB_Transactions[Quantity])</f>
        <v>50</v>
      </c>
      <c r="N40" s="200" t="s">
        <v>4593</v>
      </c>
      <c r="O40" s="234">
        <v>5</v>
      </c>
      <c r="P40" s="199">
        <f>TB_Parts_Lists[[#This Row],[Quantity Initial]]*TB_Parts_Lists[[#This Row],[Unit Price AED]]</f>
        <v>250</v>
      </c>
      <c r="Q40" s="199">
        <f>TB_Parts_Lists[[#This Row],[Quantity Total]]*TB_Parts_Lists[[#This Row],[Unit Price AED]]</f>
        <v>250</v>
      </c>
      <c r="S40" s="213" t="s">
        <v>118</v>
      </c>
      <c r="T40" s="213" t="s">
        <v>839</v>
      </c>
      <c r="U40" s="213" t="s">
        <v>838</v>
      </c>
    </row>
    <row r="41" spans="1:21" s="199" customFormat="1" x14ac:dyDescent="0.25">
      <c r="A41" s="199" t="s">
        <v>6493</v>
      </c>
      <c r="B41" s="199" t="s">
        <v>3333</v>
      </c>
      <c r="C41" s="199" t="s">
        <v>3349</v>
      </c>
      <c r="D41" s="199" t="s">
        <v>8732</v>
      </c>
      <c r="E41" s="188" t="s">
        <v>4748</v>
      </c>
      <c r="F41" s="189" t="s">
        <v>3074</v>
      </c>
      <c r="G41" s="188" t="s">
        <v>6429</v>
      </c>
      <c r="H41" s="199" t="s">
        <v>72</v>
      </c>
      <c r="I41" s="199">
        <v>1</v>
      </c>
      <c r="J41" s="199">
        <v>1</v>
      </c>
      <c r="K41" s="199">
        <v>1</v>
      </c>
      <c r="L41" s="199">
        <v>50</v>
      </c>
      <c r="M41" s="199">
        <f>TB_Parts_Lists[[#This Row],[Quantity Initial]]+ SUMIF(TB_Transactions[Part number],TB_Parts_Lists[[#This Row],[Part Number]],TB_Transactions[Quantity])</f>
        <v>50</v>
      </c>
      <c r="N41" s="200" t="s">
        <v>4593</v>
      </c>
      <c r="O41" s="234">
        <v>5</v>
      </c>
      <c r="P41" s="199">
        <f>TB_Parts_Lists[[#This Row],[Quantity Initial]]*TB_Parts_Lists[[#This Row],[Unit Price AED]]</f>
        <v>250</v>
      </c>
      <c r="Q41" s="199">
        <f>TB_Parts_Lists[[#This Row],[Quantity Total]]*TB_Parts_Lists[[#This Row],[Unit Price AED]]</f>
        <v>250</v>
      </c>
      <c r="S41" s="213" t="s">
        <v>118</v>
      </c>
      <c r="T41" s="213" t="s">
        <v>839</v>
      </c>
      <c r="U41" s="213" t="s">
        <v>838</v>
      </c>
    </row>
    <row r="42" spans="1:21" s="199" customFormat="1" x14ac:dyDescent="0.25">
      <c r="A42" s="199" t="s">
        <v>6494</v>
      </c>
      <c r="B42" s="199" t="s">
        <v>3333</v>
      </c>
      <c r="C42" s="199" t="s">
        <v>3349</v>
      </c>
      <c r="D42" s="199" t="s">
        <v>8732</v>
      </c>
      <c r="E42" s="188" t="s">
        <v>4749</v>
      </c>
      <c r="F42" s="189" t="s">
        <v>3075</v>
      </c>
      <c r="G42" s="188" t="s">
        <v>6429</v>
      </c>
      <c r="H42" s="199" t="s">
        <v>72</v>
      </c>
      <c r="I42" s="199">
        <v>1</v>
      </c>
      <c r="J42" s="199">
        <v>1</v>
      </c>
      <c r="K42" s="199">
        <v>1</v>
      </c>
      <c r="L42" s="199">
        <v>50</v>
      </c>
      <c r="M42" s="199">
        <f>TB_Parts_Lists[[#This Row],[Quantity Initial]]+ SUMIF(TB_Transactions[Part number],TB_Parts_Lists[[#This Row],[Part Number]],TB_Transactions[Quantity])</f>
        <v>50</v>
      </c>
      <c r="N42" s="200" t="s">
        <v>4593</v>
      </c>
      <c r="O42" s="234">
        <v>5</v>
      </c>
      <c r="P42" s="199">
        <f>TB_Parts_Lists[[#This Row],[Quantity Initial]]*TB_Parts_Lists[[#This Row],[Unit Price AED]]</f>
        <v>250</v>
      </c>
      <c r="Q42" s="199">
        <f>TB_Parts_Lists[[#This Row],[Quantity Total]]*TB_Parts_Lists[[#This Row],[Unit Price AED]]</f>
        <v>250</v>
      </c>
      <c r="S42" s="213" t="s">
        <v>118</v>
      </c>
      <c r="T42" s="213" t="s">
        <v>839</v>
      </c>
      <c r="U42" s="213" t="s">
        <v>838</v>
      </c>
    </row>
    <row r="43" spans="1:21" s="199" customFormat="1" x14ac:dyDescent="0.25">
      <c r="A43" s="199" t="s">
        <v>6495</v>
      </c>
      <c r="B43" s="199" t="s">
        <v>3333</v>
      </c>
      <c r="C43" s="199" t="s">
        <v>3349</v>
      </c>
      <c r="D43" s="199" t="s">
        <v>8723</v>
      </c>
      <c r="E43" s="188" t="s">
        <v>4750</v>
      </c>
      <c r="F43" s="189" t="s">
        <v>3076</v>
      </c>
      <c r="G43" s="188" t="s">
        <v>6429</v>
      </c>
      <c r="H43" s="199" t="s">
        <v>72</v>
      </c>
      <c r="I43" s="199">
        <v>1</v>
      </c>
      <c r="J43" s="199">
        <v>1</v>
      </c>
      <c r="K43" s="199">
        <v>1</v>
      </c>
      <c r="L43" s="199">
        <v>50</v>
      </c>
      <c r="M43" s="199">
        <f>TB_Parts_Lists[[#This Row],[Quantity Initial]]+ SUMIF(TB_Transactions[Part number],TB_Parts_Lists[[#This Row],[Part Number]],TB_Transactions[Quantity])</f>
        <v>50</v>
      </c>
      <c r="N43" s="200" t="s">
        <v>4593</v>
      </c>
      <c r="O43" s="234">
        <v>5</v>
      </c>
      <c r="P43" s="199">
        <f>TB_Parts_Lists[[#This Row],[Quantity Initial]]*TB_Parts_Lists[[#This Row],[Unit Price AED]]</f>
        <v>250</v>
      </c>
      <c r="Q43" s="199">
        <f>TB_Parts_Lists[[#This Row],[Quantity Total]]*TB_Parts_Lists[[#This Row],[Unit Price AED]]</f>
        <v>250</v>
      </c>
      <c r="S43" s="213" t="s">
        <v>118</v>
      </c>
      <c r="T43" s="213" t="s">
        <v>839</v>
      </c>
      <c r="U43" s="213" t="s">
        <v>838</v>
      </c>
    </row>
    <row r="44" spans="1:21" s="199" customFormat="1" x14ac:dyDescent="0.25">
      <c r="A44" s="199" t="s">
        <v>6496</v>
      </c>
      <c r="B44" s="199" t="s">
        <v>3333</v>
      </c>
      <c r="C44" s="199" t="s">
        <v>3349</v>
      </c>
      <c r="D44" s="199" t="s">
        <v>8723</v>
      </c>
      <c r="E44" s="188" t="s">
        <v>4751</v>
      </c>
      <c r="F44" s="189" t="s">
        <v>3077</v>
      </c>
      <c r="G44" s="188" t="s">
        <v>6429</v>
      </c>
      <c r="H44" s="199" t="s">
        <v>72</v>
      </c>
      <c r="I44" s="199">
        <v>1</v>
      </c>
      <c r="J44" s="199">
        <v>1</v>
      </c>
      <c r="K44" s="199">
        <v>1</v>
      </c>
      <c r="L44" s="199">
        <v>50</v>
      </c>
      <c r="M44" s="199">
        <f>TB_Parts_Lists[[#This Row],[Quantity Initial]]+ SUMIF(TB_Transactions[Part number],TB_Parts_Lists[[#This Row],[Part Number]],TB_Transactions[Quantity])</f>
        <v>50</v>
      </c>
      <c r="N44" s="200" t="s">
        <v>4593</v>
      </c>
      <c r="O44" s="234">
        <v>5</v>
      </c>
      <c r="P44" s="199">
        <f>TB_Parts_Lists[[#This Row],[Quantity Initial]]*TB_Parts_Lists[[#This Row],[Unit Price AED]]</f>
        <v>250</v>
      </c>
      <c r="Q44" s="199">
        <f>TB_Parts_Lists[[#This Row],[Quantity Total]]*TB_Parts_Lists[[#This Row],[Unit Price AED]]</f>
        <v>250</v>
      </c>
      <c r="S44" s="213" t="s">
        <v>118</v>
      </c>
      <c r="T44" s="213" t="s">
        <v>839</v>
      </c>
      <c r="U44" s="213" t="s">
        <v>838</v>
      </c>
    </row>
    <row r="45" spans="1:21" s="199" customFormat="1" x14ac:dyDescent="0.25">
      <c r="A45" s="199" t="s">
        <v>6497</v>
      </c>
      <c r="B45" s="199" t="s">
        <v>3333</v>
      </c>
      <c r="C45" s="199" t="s">
        <v>3349</v>
      </c>
      <c r="D45" s="199" t="s">
        <v>8723</v>
      </c>
      <c r="E45" s="188" t="s">
        <v>4752</v>
      </c>
      <c r="F45" s="189" t="s">
        <v>3078</v>
      </c>
      <c r="G45" s="188" t="s">
        <v>6429</v>
      </c>
      <c r="H45" s="199" t="s">
        <v>72</v>
      </c>
      <c r="I45" s="199">
        <v>1</v>
      </c>
      <c r="J45" s="199">
        <v>1</v>
      </c>
      <c r="K45" s="199">
        <v>1</v>
      </c>
      <c r="L45" s="199">
        <v>50</v>
      </c>
      <c r="M45" s="199">
        <f>TB_Parts_Lists[[#This Row],[Quantity Initial]]+ SUMIF(TB_Transactions[Part number],TB_Parts_Lists[[#This Row],[Part Number]],TB_Transactions[Quantity])</f>
        <v>50</v>
      </c>
      <c r="N45" s="200" t="s">
        <v>4593</v>
      </c>
      <c r="O45" s="234">
        <v>5</v>
      </c>
      <c r="P45" s="199">
        <f>TB_Parts_Lists[[#This Row],[Quantity Initial]]*TB_Parts_Lists[[#This Row],[Unit Price AED]]</f>
        <v>250</v>
      </c>
      <c r="Q45" s="199">
        <f>TB_Parts_Lists[[#This Row],[Quantity Total]]*TB_Parts_Lists[[#This Row],[Unit Price AED]]</f>
        <v>250</v>
      </c>
      <c r="S45" s="213" t="s">
        <v>118</v>
      </c>
      <c r="T45" s="213" t="s">
        <v>839</v>
      </c>
      <c r="U45" s="213" t="s">
        <v>838</v>
      </c>
    </row>
    <row r="46" spans="1:21" s="199" customFormat="1" x14ac:dyDescent="0.25">
      <c r="A46" s="199" t="s">
        <v>6498</v>
      </c>
      <c r="B46" s="199" t="s">
        <v>3333</v>
      </c>
      <c r="C46" s="199" t="s">
        <v>3349</v>
      </c>
      <c r="D46" s="199" t="s">
        <v>8732</v>
      </c>
      <c r="E46" s="188" t="s">
        <v>4753</v>
      </c>
      <c r="F46" s="189" t="s">
        <v>3079</v>
      </c>
      <c r="G46" s="188" t="s">
        <v>6429</v>
      </c>
      <c r="H46" s="199" t="s">
        <v>72</v>
      </c>
      <c r="I46" s="199">
        <v>1</v>
      </c>
      <c r="J46" s="199">
        <v>1</v>
      </c>
      <c r="K46" s="199">
        <v>1</v>
      </c>
      <c r="L46" s="199">
        <v>50</v>
      </c>
      <c r="M46" s="199">
        <f>TB_Parts_Lists[[#This Row],[Quantity Initial]]+ SUMIF(TB_Transactions[Part number],TB_Parts_Lists[[#This Row],[Part Number]],TB_Transactions[Quantity])</f>
        <v>50</v>
      </c>
      <c r="N46" s="200" t="s">
        <v>4593</v>
      </c>
      <c r="O46" s="234">
        <v>5</v>
      </c>
      <c r="P46" s="199">
        <f>TB_Parts_Lists[[#This Row],[Quantity Initial]]*TB_Parts_Lists[[#This Row],[Unit Price AED]]</f>
        <v>250</v>
      </c>
      <c r="Q46" s="199">
        <f>TB_Parts_Lists[[#This Row],[Quantity Total]]*TB_Parts_Lists[[#This Row],[Unit Price AED]]</f>
        <v>250</v>
      </c>
      <c r="S46" s="213" t="s">
        <v>118</v>
      </c>
      <c r="T46" s="213" t="s">
        <v>839</v>
      </c>
      <c r="U46" s="213" t="s">
        <v>838</v>
      </c>
    </row>
    <row r="47" spans="1:21" s="199" customFormat="1" x14ac:dyDescent="0.25">
      <c r="A47" s="199" t="s">
        <v>6499</v>
      </c>
      <c r="B47" s="199" t="s">
        <v>3333</v>
      </c>
      <c r="C47" s="199" t="s">
        <v>3349</v>
      </c>
      <c r="D47" s="188" t="s">
        <v>8724</v>
      </c>
      <c r="E47" s="188" t="s">
        <v>4754</v>
      </c>
      <c r="F47" s="189" t="s">
        <v>3080</v>
      </c>
      <c r="G47" s="188" t="s">
        <v>6429</v>
      </c>
      <c r="H47" s="199" t="s">
        <v>72</v>
      </c>
      <c r="I47" s="199">
        <v>1</v>
      </c>
      <c r="J47" s="199">
        <v>1</v>
      </c>
      <c r="K47" s="199">
        <v>1</v>
      </c>
      <c r="L47" s="199">
        <v>50</v>
      </c>
      <c r="M47" s="199">
        <f>TB_Parts_Lists[[#This Row],[Quantity Initial]]+ SUMIF(TB_Transactions[Part number],TB_Parts_Lists[[#This Row],[Part Number]],TB_Transactions[Quantity])</f>
        <v>50</v>
      </c>
      <c r="N47" s="200" t="s">
        <v>4593</v>
      </c>
      <c r="O47" s="234">
        <v>5</v>
      </c>
      <c r="P47" s="199">
        <f>TB_Parts_Lists[[#This Row],[Quantity Initial]]*TB_Parts_Lists[[#This Row],[Unit Price AED]]</f>
        <v>250</v>
      </c>
      <c r="Q47" s="199">
        <f>TB_Parts_Lists[[#This Row],[Quantity Total]]*TB_Parts_Lists[[#This Row],[Unit Price AED]]</f>
        <v>250</v>
      </c>
      <c r="S47" s="213" t="s">
        <v>118</v>
      </c>
      <c r="T47" s="213" t="s">
        <v>839</v>
      </c>
      <c r="U47" s="213" t="s">
        <v>838</v>
      </c>
    </row>
    <row r="48" spans="1:21" s="199" customFormat="1" x14ac:dyDescent="0.25">
      <c r="A48" s="199" t="s">
        <v>6500</v>
      </c>
      <c r="B48" s="199" t="s">
        <v>3333</v>
      </c>
      <c r="C48" s="199" t="s">
        <v>3004</v>
      </c>
      <c r="D48" s="199" t="s">
        <v>8723</v>
      </c>
      <c r="E48" s="188" t="s">
        <v>4755</v>
      </c>
      <c r="F48" s="189" t="s">
        <v>3081</v>
      </c>
      <c r="G48" s="188" t="s">
        <v>6429</v>
      </c>
      <c r="H48" s="199" t="s">
        <v>72</v>
      </c>
      <c r="I48" s="199">
        <v>1</v>
      </c>
      <c r="J48" s="199">
        <v>1</v>
      </c>
      <c r="K48" s="199">
        <v>1</v>
      </c>
      <c r="L48" s="199">
        <v>50</v>
      </c>
      <c r="M48" s="199">
        <f>TB_Parts_Lists[[#This Row],[Quantity Initial]]+ SUMIF(TB_Transactions[Part number],TB_Parts_Lists[[#This Row],[Part Number]],TB_Transactions[Quantity])</f>
        <v>50</v>
      </c>
      <c r="N48" s="200" t="s">
        <v>4593</v>
      </c>
      <c r="O48" s="234">
        <v>5</v>
      </c>
      <c r="P48" s="199">
        <f>TB_Parts_Lists[[#This Row],[Quantity Initial]]*TB_Parts_Lists[[#This Row],[Unit Price AED]]</f>
        <v>250</v>
      </c>
      <c r="Q48" s="199">
        <f>TB_Parts_Lists[[#This Row],[Quantity Total]]*TB_Parts_Lists[[#This Row],[Unit Price AED]]</f>
        <v>250</v>
      </c>
      <c r="S48" s="213" t="s">
        <v>118</v>
      </c>
      <c r="T48" s="213" t="s">
        <v>839</v>
      </c>
      <c r="U48" s="213" t="s">
        <v>838</v>
      </c>
    </row>
    <row r="49" spans="1:21" s="199" customFormat="1" x14ac:dyDescent="0.25">
      <c r="A49" s="199" t="s">
        <v>6501</v>
      </c>
      <c r="B49" s="199" t="s">
        <v>3333</v>
      </c>
      <c r="C49" s="199" t="s">
        <v>3004</v>
      </c>
      <c r="D49" s="199" t="s">
        <v>8732</v>
      </c>
      <c r="E49" s="188" t="s">
        <v>4756</v>
      </c>
      <c r="F49" s="189" t="s">
        <v>3082</v>
      </c>
      <c r="G49" s="188" t="s">
        <v>6429</v>
      </c>
      <c r="H49" s="199" t="s">
        <v>72</v>
      </c>
      <c r="I49" s="199">
        <v>1</v>
      </c>
      <c r="J49" s="199">
        <v>1</v>
      </c>
      <c r="K49" s="199">
        <v>1</v>
      </c>
      <c r="L49" s="199">
        <v>50</v>
      </c>
      <c r="M49" s="199">
        <f>TB_Parts_Lists[[#This Row],[Quantity Initial]]+ SUMIF(TB_Transactions[Part number],TB_Parts_Lists[[#This Row],[Part Number]],TB_Transactions[Quantity])</f>
        <v>50</v>
      </c>
      <c r="N49" s="200" t="s">
        <v>4593</v>
      </c>
      <c r="O49" s="234">
        <v>5</v>
      </c>
      <c r="P49" s="199">
        <f>TB_Parts_Lists[[#This Row],[Quantity Initial]]*TB_Parts_Lists[[#This Row],[Unit Price AED]]</f>
        <v>250</v>
      </c>
      <c r="Q49" s="199">
        <f>TB_Parts_Lists[[#This Row],[Quantity Total]]*TB_Parts_Lists[[#This Row],[Unit Price AED]]</f>
        <v>250</v>
      </c>
      <c r="S49" s="213" t="s">
        <v>118</v>
      </c>
      <c r="T49" s="213" t="s">
        <v>839</v>
      </c>
      <c r="U49" s="213" t="s">
        <v>838</v>
      </c>
    </row>
    <row r="50" spans="1:21" s="199" customFormat="1" x14ac:dyDescent="0.25">
      <c r="A50" s="199" t="s">
        <v>6502</v>
      </c>
      <c r="B50" s="199" t="s">
        <v>3333</v>
      </c>
      <c r="C50" s="199" t="s">
        <v>3004</v>
      </c>
      <c r="D50" s="199" t="s">
        <v>8732</v>
      </c>
      <c r="E50" s="188" t="s">
        <v>4757</v>
      </c>
      <c r="F50" s="189" t="s">
        <v>3083</v>
      </c>
      <c r="G50" s="188" t="s">
        <v>6429</v>
      </c>
      <c r="H50" s="199" t="s">
        <v>72</v>
      </c>
      <c r="I50" s="199">
        <v>1</v>
      </c>
      <c r="J50" s="199">
        <v>1</v>
      </c>
      <c r="K50" s="199">
        <v>1</v>
      </c>
      <c r="L50" s="199">
        <v>50</v>
      </c>
      <c r="M50" s="199">
        <f>TB_Parts_Lists[[#This Row],[Quantity Initial]]+ SUMIF(TB_Transactions[Part number],TB_Parts_Lists[[#This Row],[Part Number]],TB_Transactions[Quantity])</f>
        <v>50</v>
      </c>
      <c r="N50" s="200" t="s">
        <v>4593</v>
      </c>
      <c r="O50" s="234">
        <v>5</v>
      </c>
      <c r="P50" s="199">
        <f>TB_Parts_Lists[[#This Row],[Quantity Initial]]*TB_Parts_Lists[[#This Row],[Unit Price AED]]</f>
        <v>250</v>
      </c>
      <c r="Q50" s="199">
        <f>TB_Parts_Lists[[#This Row],[Quantity Total]]*TB_Parts_Lists[[#This Row],[Unit Price AED]]</f>
        <v>250</v>
      </c>
      <c r="S50" s="213" t="s">
        <v>118</v>
      </c>
      <c r="T50" s="213" t="s">
        <v>839</v>
      </c>
      <c r="U50" s="213" t="s">
        <v>838</v>
      </c>
    </row>
    <row r="51" spans="1:21" s="199" customFormat="1" x14ac:dyDescent="0.25">
      <c r="A51" s="199" t="s">
        <v>6503</v>
      </c>
      <c r="B51" s="199" t="s">
        <v>3333</v>
      </c>
      <c r="C51" s="199" t="s">
        <v>3004</v>
      </c>
      <c r="D51" s="199" t="s">
        <v>8723</v>
      </c>
      <c r="E51" s="188" t="s">
        <v>4758</v>
      </c>
      <c r="F51" s="189" t="s">
        <v>3084</v>
      </c>
      <c r="G51" s="188" t="s">
        <v>6429</v>
      </c>
      <c r="H51" s="199" t="s">
        <v>72</v>
      </c>
      <c r="I51" s="199">
        <v>1</v>
      </c>
      <c r="J51" s="199">
        <v>1</v>
      </c>
      <c r="K51" s="199">
        <v>1</v>
      </c>
      <c r="L51" s="199">
        <v>50</v>
      </c>
      <c r="M51" s="199">
        <f>TB_Parts_Lists[[#This Row],[Quantity Initial]]+ SUMIF(TB_Transactions[Part number],TB_Parts_Lists[[#This Row],[Part Number]],TB_Transactions[Quantity])</f>
        <v>50</v>
      </c>
      <c r="N51" s="200" t="s">
        <v>4593</v>
      </c>
      <c r="O51" s="234">
        <v>5</v>
      </c>
      <c r="P51" s="199">
        <f>TB_Parts_Lists[[#This Row],[Quantity Initial]]*TB_Parts_Lists[[#This Row],[Unit Price AED]]</f>
        <v>250</v>
      </c>
      <c r="Q51" s="199">
        <f>TB_Parts_Lists[[#This Row],[Quantity Total]]*TB_Parts_Lists[[#This Row],[Unit Price AED]]</f>
        <v>250</v>
      </c>
      <c r="S51" s="213" t="s">
        <v>118</v>
      </c>
      <c r="T51" s="213" t="s">
        <v>839</v>
      </c>
      <c r="U51" s="213" t="s">
        <v>838</v>
      </c>
    </row>
    <row r="52" spans="1:21" s="199" customFormat="1" x14ac:dyDescent="0.25">
      <c r="A52" s="199" t="s">
        <v>6504</v>
      </c>
      <c r="B52" s="199" t="s">
        <v>3333</v>
      </c>
      <c r="C52" s="199" t="s">
        <v>3004</v>
      </c>
      <c r="D52" s="199" t="s">
        <v>8723</v>
      </c>
      <c r="E52" s="188" t="s">
        <v>4759</v>
      </c>
      <c r="F52" s="189" t="s">
        <v>3085</v>
      </c>
      <c r="G52" s="188" t="s">
        <v>6429</v>
      </c>
      <c r="H52" s="199" t="s">
        <v>72</v>
      </c>
      <c r="I52" s="199">
        <v>1</v>
      </c>
      <c r="J52" s="199">
        <v>1</v>
      </c>
      <c r="K52" s="199">
        <v>1</v>
      </c>
      <c r="L52" s="199">
        <v>50</v>
      </c>
      <c r="M52" s="199">
        <f>TB_Parts_Lists[[#This Row],[Quantity Initial]]+ SUMIF(TB_Transactions[Part number],TB_Parts_Lists[[#This Row],[Part Number]],TB_Transactions[Quantity])</f>
        <v>50</v>
      </c>
      <c r="N52" s="200" t="s">
        <v>4593</v>
      </c>
      <c r="O52" s="234">
        <v>5</v>
      </c>
      <c r="P52" s="199">
        <f>TB_Parts_Lists[[#This Row],[Quantity Initial]]*TB_Parts_Lists[[#This Row],[Unit Price AED]]</f>
        <v>250</v>
      </c>
      <c r="Q52" s="199">
        <f>TB_Parts_Lists[[#This Row],[Quantity Total]]*TB_Parts_Lists[[#This Row],[Unit Price AED]]</f>
        <v>250</v>
      </c>
      <c r="S52" s="213" t="s">
        <v>118</v>
      </c>
      <c r="T52" s="213" t="s">
        <v>839</v>
      </c>
      <c r="U52" s="213" t="s">
        <v>838</v>
      </c>
    </row>
    <row r="53" spans="1:21" s="199" customFormat="1" x14ac:dyDescent="0.25">
      <c r="A53" s="199" t="s">
        <v>6505</v>
      </c>
      <c r="B53" s="199" t="s">
        <v>3333</v>
      </c>
      <c r="C53" s="199" t="s">
        <v>3004</v>
      </c>
      <c r="D53" s="199" t="s">
        <v>8723</v>
      </c>
      <c r="E53" s="188" t="s">
        <v>4760</v>
      </c>
      <c r="F53" s="189" t="s">
        <v>3087</v>
      </c>
      <c r="G53" s="188" t="s">
        <v>6429</v>
      </c>
      <c r="H53" s="199" t="s">
        <v>72</v>
      </c>
      <c r="I53" s="199">
        <v>1</v>
      </c>
      <c r="J53" s="199">
        <v>1</v>
      </c>
      <c r="K53" s="199">
        <v>1</v>
      </c>
      <c r="L53" s="199">
        <v>50</v>
      </c>
      <c r="M53" s="199">
        <f>TB_Parts_Lists[[#This Row],[Quantity Initial]]+ SUMIF(TB_Transactions[Part number],TB_Parts_Lists[[#This Row],[Part Number]],TB_Transactions[Quantity])</f>
        <v>50</v>
      </c>
      <c r="N53" s="200" t="s">
        <v>4593</v>
      </c>
      <c r="O53" s="234">
        <v>5</v>
      </c>
      <c r="P53" s="199">
        <f>TB_Parts_Lists[[#This Row],[Quantity Initial]]*TB_Parts_Lists[[#This Row],[Unit Price AED]]</f>
        <v>250</v>
      </c>
      <c r="Q53" s="199">
        <f>TB_Parts_Lists[[#This Row],[Quantity Total]]*TB_Parts_Lists[[#This Row],[Unit Price AED]]</f>
        <v>250</v>
      </c>
      <c r="S53" s="213" t="s">
        <v>118</v>
      </c>
      <c r="T53" s="213" t="s">
        <v>839</v>
      </c>
      <c r="U53" s="213" t="s">
        <v>838</v>
      </c>
    </row>
    <row r="54" spans="1:21" s="199" customFormat="1" x14ac:dyDescent="0.25">
      <c r="A54" s="192" t="s">
        <v>6506</v>
      </c>
      <c r="B54" s="201" t="s">
        <v>3333</v>
      </c>
      <c r="C54" s="199" t="s">
        <v>3004</v>
      </c>
      <c r="D54" s="199" t="s">
        <v>8732</v>
      </c>
      <c r="E54" s="188" t="s">
        <v>4761</v>
      </c>
      <c r="F54" s="189" t="s">
        <v>3088</v>
      </c>
      <c r="G54" s="188" t="s">
        <v>6429</v>
      </c>
      <c r="H54" s="199" t="s">
        <v>72</v>
      </c>
      <c r="I54" s="199">
        <v>1</v>
      </c>
      <c r="J54" s="199">
        <v>1</v>
      </c>
      <c r="K54" s="199">
        <v>1</v>
      </c>
      <c r="L54" s="199">
        <v>50</v>
      </c>
      <c r="M54" s="202">
        <f>TB_Parts_Lists[[#This Row],[Quantity Initial]]+ SUMIF(TB_Transactions[Part number],TB_Parts_Lists[[#This Row],[Part Number]],TB_Transactions[Quantity])</f>
        <v>50</v>
      </c>
      <c r="N54" s="200" t="s">
        <v>4593</v>
      </c>
      <c r="O54" s="234">
        <v>5</v>
      </c>
      <c r="P54" s="199">
        <f>TB_Parts_Lists[[#This Row],[Quantity Initial]]*TB_Parts_Lists[[#This Row],[Unit Price AED]]</f>
        <v>250</v>
      </c>
      <c r="Q54" s="199">
        <f>TB_Parts_Lists[[#This Row],[Quantity Total]]*TB_Parts_Lists[[#This Row],[Unit Price AED]]</f>
        <v>250</v>
      </c>
      <c r="S54" s="213" t="s">
        <v>118</v>
      </c>
      <c r="T54" s="213" t="s">
        <v>839</v>
      </c>
      <c r="U54" s="213" t="s">
        <v>838</v>
      </c>
    </row>
    <row r="55" spans="1:21" s="199" customFormat="1" x14ac:dyDescent="0.25">
      <c r="A55" s="192" t="s">
        <v>6507</v>
      </c>
      <c r="B55" s="201" t="s">
        <v>3333</v>
      </c>
      <c r="C55" s="199" t="s">
        <v>3349</v>
      </c>
      <c r="D55" s="199" t="s">
        <v>8732</v>
      </c>
      <c r="E55" s="188" t="s">
        <v>4762</v>
      </c>
      <c r="F55" s="189" t="s">
        <v>3089</v>
      </c>
      <c r="G55" s="188" t="s">
        <v>6429</v>
      </c>
      <c r="H55" s="199" t="s">
        <v>72</v>
      </c>
      <c r="I55" s="199">
        <v>1</v>
      </c>
      <c r="J55" s="199">
        <v>1</v>
      </c>
      <c r="K55" s="199">
        <v>1</v>
      </c>
      <c r="L55" s="199">
        <v>50</v>
      </c>
      <c r="M55" s="202">
        <f>TB_Parts_Lists[[#This Row],[Quantity Initial]]+ SUMIF(TB_Transactions[Part number],TB_Parts_Lists[[#This Row],[Part Number]],TB_Transactions[Quantity])</f>
        <v>50</v>
      </c>
      <c r="N55" s="200" t="s">
        <v>4593</v>
      </c>
      <c r="O55" s="234">
        <v>5</v>
      </c>
      <c r="P55" s="199">
        <f>TB_Parts_Lists[[#This Row],[Quantity Initial]]*TB_Parts_Lists[[#This Row],[Unit Price AED]]</f>
        <v>250</v>
      </c>
      <c r="Q55" s="199">
        <f>TB_Parts_Lists[[#This Row],[Quantity Total]]*TB_Parts_Lists[[#This Row],[Unit Price AED]]</f>
        <v>250</v>
      </c>
      <c r="S55" s="213" t="s">
        <v>118</v>
      </c>
      <c r="T55" s="213" t="s">
        <v>839</v>
      </c>
      <c r="U55" s="213" t="s">
        <v>838</v>
      </c>
    </row>
    <row r="56" spans="1:21" s="199" customFormat="1" x14ac:dyDescent="0.25">
      <c r="A56" s="192" t="s">
        <v>6508</v>
      </c>
      <c r="B56" s="201" t="s">
        <v>3333</v>
      </c>
      <c r="C56" s="199" t="s">
        <v>2984</v>
      </c>
      <c r="D56" s="199" t="s">
        <v>8723</v>
      </c>
      <c r="E56" s="188" t="s">
        <v>4763</v>
      </c>
      <c r="F56" s="189" t="s">
        <v>3090</v>
      </c>
      <c r="G56" s="188" t="s">
        <v>6429</v>
      </c>
      <c r="H56" s="199" t="s">
        <v>72</v>
      </c>
      <c r="I56" s="199">
        <v>1</v>
      </c>
      <c r="J56" s="199">
        <v>1</v>
      </c>
      <c r="K56" s="199">
        <v>1</v>
      </c>
      <c r="L56" s="199">
        <v>50</v>
      </c>
      <c r="M56" s="202">
        <f>TB_Parts_Lists[[#This Row],[Quantity Initial]]+ SUMIF(TB_Transactions[Part number],TB_Parts_Lists[[#This Row],[Part Number]],TB_Transactions[Quantity])</f>
        <v>50</v>
      </c>
      <c r="N56" s="200" t="s">
        <v>4593</v>
      </c>
      <c r="O56" s="234">
        <v>5</v>
      </c>
      <c r="P56" s="199">
        <f>TB_Parts_Lists[[#This Row],[Quantity Initial]]*TB_Parts_Lists[[#This Row],[Unit Price AED]]</f>
        <v>250</v>
      </c>
      <c r="Q56" s="199">
        <f>TB_Parts_Lists[[#This Row],[Quantity Total]]*TB_Parts_Lists[[#This Row],[Unit Price AED]]</f>
        <v>250</v>
      </c>
      <c r="S56" s="213" t="s">
        <v>118</v>
      </c>
      <c r="T56" s="213" t="s">
        <v>839</v>
      </c>
      <c r="U56" s="213" t="s">
        <v>838</v>
      </c>
    </row>
    <row r="57" spans="1:21" s="199" customFormat="1" x14ac:dyDescent="0.25">
      <c r="A57" s="192" t="s">
        <v>6509</v>
      </c>
      <c r="B57" s="201" t="s">
        <v>3333</v>
      </c>
      <c r="C57" s="199" t="s">
        <v>2984</v>
      </c>
      <c r="D57" s="199" t="s">
        <v>8723</v>
      </c>
      <c r="E57" s="188" t="s">
        <v>4764</v>
      </c>
      <c r="F57" s="189" t="s">
        <v>3091</v>
      </c>
      <c r="G57" s="188" t="s">
        <v>6429</v>
      </c>
      <c r="H57" s="199" t="s">
        <v>72</v>
      </c>
      <c r="I57" s="199">
        <v>1</v>
      </c>
      <c r="J57" s="199">
        <v>1</v>
      </c>
      <c r="K57" s="199">
        <v>1</v>
      </c>
      <c r="L57" s="199">
        <v>50</v>
      </c>
      <c r="M57" s="202">
        <f>TB_Parts_Lists[[#This Row],[Quantity Initial]]+ SUMIF(TB_Transactions[Part number],TB_Parts_Lists[[#This Row],[Part Number]],TB_Transactions[Quantity])</f>
        <v>50</v>
      </c>
      <c r="N57" s="200" t="s">
        <v>4593</v>
      </c>
      <c r="O57" s="234">
        <v>5</v>
      </c>
      <c r="P57" s="199">
        <f>TB_Parts_Lists[[#This Row],[Quantity Initial]]*TB_Parts_Lists[[#This Row],[Unit Price AED]]</f>
        <v>250</v>
      </c>
      <c r="Q57" s="199">
        <f>TB_Parts_Lists[[#This Row],[Quantity Total]]*TB_Parts_Lists[[#This Row],[Unit Price AED]]</f>
        <v>250</v>
      </c>
      <c r="S57" s="213" t="s">
        <v>118</v>
      </c>
      <c r="T57" s="213" t="s">
        <v>839</v>
      </c>
      <c r="U57" s="213" t="s">
        <v>838</v>
      </c>
    </row>
    <row r="58" spans="1:21" s="199" customFormat="1" x14ac:dyDescent="0.25">
      <c r="A58" s="192" t="s">
        <v>6510</v>
      </c>
      <c r="B58" s="201" t="s">
        <v>3333</v>
      </c>
      <c r="C58" s="199" t="s">
        <v>2984</v>
      </c>
      <c r="D58" s="199" t="s">
        <v>8723</v>
      </c>
      <c r="E58" s="188" t="s">
        <v>4765</v>
      </c>
      <c r="F58" s="189" t="s">
        <v>3092</v>
      </c>
      <c r="G58" s="188" t="s">
        <v>6429</v>
      </c>
      <c r="H58" s="199" t="s">
        <v>72</v>
      </c>
      <c r="I58" s="199">
        <v>1</v>
      </c>
      <c r="J58" s="199">
        <v>1</v>
      </c>
      <c r="K58" s="199">
        <v>1</v>
      </c>
      <c r="L58" s="199">
        <v>50</v>
      </c>
      <c r="M58" s="202">
        <f>TB_Parts_Lists[[#This Row],[Quantity Initial]]+ SUMIF(TB_Transactions[Part number],TB_Parts_Lists[[#This Row],[Part Number]],TB_Transactions[Quantity])</f>
        <v>50</v>
      </c>
      <c r="N58" s="200" t="s">
        <v>4593</v>
      </c>
      <c r="O58" s="234">
        <v>5</v>
      </c>
      <c r="P58" s="199">
        <f>TB_Parts_Lists[[#This Row],[Quantity Initial]]*TB_Parts_Lists[[#This Row],[Unit Price AED]]</f>
        <v>250</v>
      </c>
      <c r="Q58" s="199">
        <f>TB_Parts_Lists[[#This Row],[Quantity Total]]*TB_Parts_Lists[[#This Row],[Unit Price AED]]</f>
        <v>250</v>
      </c>
      <c r="S58" s="213" t="s">
        <v>118</v>
      </c>
      <c r="T58" s="213" t="s">
        <v>839</v>
      </c>
      <c r="U58" s="213" t="s">
        <v>838</v>
      </c>
    </row>
    <row r="59" spans="1:21" s="199" customFormat="1" x14ac:dyDescent="0.25">
      <c r="A59" s="192" t="s">
        <v>6511</v>
      </c>
      <c r="B59" s="201" t="s">
        <v>3333</v>
      </c>
      <c r="C59" s="199" t="s">
        <v>3349</v>
      </c>
      <c r="D59" s="188" t="s">
        <v>8724</v>
      </c>
      <c r="E59" s="188" t="s">
        <v>4766</v>
      </c>
      <c r="F59" s="189" t="s">
        <v>3093</v>
      </c>
      <c r="G59" s="188" t="s">
        <v>6429</v>
      </c>
      <c r="H59" s="199" t="s">
        <v>72</v>
      </c>
      <c r="I59" s="199">
        <v>1</v>
      </c>
      <c r="J59" s="199">
        <v>1</v>
      </c>
      <c r="K59" s="199">
        <v>1</v>
      </c>
      <c r="L59" s="199">
        <v>50</v>
      </c>
      <c r="M59" s="202">
        <f>TB_Parts_Lists[[#This Row],[Quantity Initial]]+ SUMIF(TB_Transactions[Part number],TB_Parts_Lists[[#This Row],[Part Number]],TB_Transactions[Quantity])</f>
        <v>50</v>
      </c>
      <c r="N59" s="200" t="s">
        <v>4593</v>
      </c>
      <c r="O59" s="234">
        <v>5</v>
      </c>
      <c r="P59" s="199">
        <f>TB_Parts_Lists[[#This Row],[Quantity Initial]]*TB_Parts_Lists[[#This Row],[Unit Price AED]]</f>
        <v>250</v>
      </c>
      <c r="Q59" s="199">
        <f>TB_Parts_Lists[[#This Row],[Quantity Total]]*TB_Parts_Lists[[#This Row],[Unit Price AED]]</f>
        <v>250</v>
      </c>
      <c r="S59" s="213" t="s">
        <v>118</v>
      </c>
      <c r="T59" s="213" t="s">
        <v>839</v>
      </c>
      <c r="U59" s="213" t="s">
        <v>838</v>
      </c>
    </row>
    <row r="60" spans="1:21" s="199" customFormat="1" x14ac:dyDescent="0.25">
      <c r="A60" s="192" t="s">
        <v>6512</v>
      </c>
      <c r="B60" s="201" t="s">
        <v>3333</v>
      </c>
      <c r="C60" s="199" t="s">
        <v>3349</v>
      </c>
      <c r="D60" s="199" t="s">
        <v>8724</v>
      </c>
      <c r="E60" s="188" t="s">
        <v>4767</v>
      </c>
      <c r="F60" s="189" t="s">
        <v>3094</v>
      </c>
      <c r="G60" s="188" t="s">
        <v>6429</v>
      </c>
      <c r="H60" s="199" t="s">
        <v>72</v>
      </c>
      <c r="I60" s="199">
        <v>1</v>
      </c>
      <c r="J60" s="199">
        <v>1</v>
      </c>
      <c r="K60" s="199">
        <v>1</v>
      </c>
      <c r="L60" s="199">
        <v>50</v>
      </c>
      <c r="M60" s="202">
        <f>TB_Parts_Lists[[#This Row],[Quantity Initial]]+ SUMIF(TB_Transactions[Part number],TB_Parts_Lists[[#This Row],[Part Number]],TB_Transactions[Quantity])</f>
        <v>50</v>
      </c>
      <c r="N60" s="200" t="s">
        <v>4593</v>
      </c>
      <c r="O60" s="234">
        <v>5</v>
      </c>
      <c r="P60" s="199">
        <f>TB_Parts_Lists[[#This Row],[Quantity Initial]]*TB_Parts_Lists[[#This Row],[Unit Price AED]]</f>
        <v>250</v>
      </c>
      <c r="Q60" s="199">
        <f>TB_Parts_Lists[[#This Row],[Quantity Total]]*TB_Parts_Lists[[#This Row],[Unit Price AED]]</f>
        <v>250</v>
      </c>
      <c r="S60" s="213" t="s">
        <v>118</v>
      </c>
      <c r="T60" s="213" t="s">
        <v>839</v>
      </c>
      <c r="U60" s="213" t="s">
        <v>838</v>
      </c>
    </row>
    <row r="61" spans="1:21" s="199" customFormat="1" x14ac:dyDescent="0.25">
      <c r="A61" s="192" t="s">
        <v>6513</v>
      </c>
      <c r="B61" s="201" t="s">
        <v>3333</v>
      </c>
      <c r="C61" s="199" t="s">
        <v>3349</v>
      </c>
      <c r="D61" s="199" t="s">
        <v>8723</v>
      </c>
      <c r="E61" s="188" t="s">
        <v>4768</v>
      </c>
      <c r="F61" s="189" t="s">
        <v>3095</v>
      </c>
      <c r="G61" s="188" t="s">
        <v>6429</v>
      </c>
      <c r="H61" s="199" t="s">
        <v>72</v>
      </c>
      <c r="I61" s="199">
        <v>1</v>
      </c>
      <c r="J61" s="199">
        <v>1</v>
      </c>
      <c r="K61" s="199">
        <v>1</v>
      </c>
      <c r="L61" s="199">
        <v>50</v>
      </c>
      <c r="M61" s="202">
        <f>TB_Parts_Lists[[#This Row],[Quantity Initial]]+ SUMIF(TB_Transactions[Part number],TB_Parts_Lists[[#This Row],[Part Number]],TB_Transactions[Quantity])</f>
        <v>50</v>
      </c>
      <c r="N61" s="200" t="s">
        <v>4593</v>
      </c>
      <c r="O61" s="234">
        <v>5</v>
      </c>
      <c r="P61" s="199">
        <f>TB_Parts_Lists[[#This Row],[Quantity Initial]]*TB_Parts_Lists[[#This Row],[Unit Price AED]]</f>
        <v>250</v>
      </c>
      <c r="Q61" s="199">
        <f>TB_Parts_Lists[[#This Row],[Quantity Total]]*TB_Parts_Lists[[#This Row],[Unit Price AED]]</f>
        <v>250</v>
      </c>
      <c r="S61" s="213" t="s">
        <v>118</v>
      </c>
      <c r="T61" s="213" t="s">
        <v>839</v>
      </c>
      <c r="U61" s="213" t="s">
        <v>838</v>
      </c>
    </row>
    <row r="62" spans="1:21" s="199" customFormat="1" x14ac:dyDescent="0.25">
      <c r="A62" s="192" t="s">
        <v>6514</v>
      </c>
      <c r="B62" s="201" t="s">
        <v>3333</v>
      </c>
      <c r="C62" s="199" t="s">
        <v>3349</v>
      </c>
      <c r="D62" s="188" t="s">
        <v>8724</v>
      </c>
      <c r="E62" s="188" t="s">
        <v>4769</v>
      </c>
      <c r="F62" s="189" t="s">
        <v>3086</v>
      </c>
      <c r="G62" s="188" t="s">
        <v>6429</v>
      </c>
      <c r="H62" s="199" t="s">
        <v>72</v>
      </c>
      <c r="I62" s="199">
        <v>1</v>
      </c>
      <c r="J62" s="199">
        <v>1</v>
      </c>
      <c r="K62" s="199">
        <v>1</v>
      </c>
      <c r="L62" s="199">
        <v>50</v>
      </c>
      <c r="M62" s="202">
        <f>TB_Parts_Lists[[#This Row],[Quantity Initial]]+ SUMIF(TB_Transactions[Part number],TB_Parts_Lists[[#This Row],[Part Number]],TB_Transactions[Quantity])</f>
        <v>50</v>
      </c>
      <c r="N62" s="200" t="s">
        <v>4593</v>
      </c>
      <c r="O62" s="234">
        <v>5</v>
      </c>
      <c r="P62" s="199">
        <f>TB_Parts_Lists[[#This Row],[Quantity Initial]]*TB_Parts_Lists[[#This Row],[Unit Price AED]]</f>
        <v>250</v>
      </c>
      <c r="Q62" s="199">
        <f>TB_Parts_Lists[[#This Row],[Quantity Total]]*TB_Parts_Lists[[#This Row],[Unit Price AED]]</f>
        <v>250</v>
      </c>
      <c r="S62" s="213" t="s">
        <v>118</v>
      </c>
      <c r="T62" s="213" t="s">
        <v>839</v>
      </c>
      <c r="U62" s="213" t="s">
        <v>838</v>
      </c>
    </row>
    <row r="63" spans="1:21" s="199" customFormat="1" x14ac:dyDescent="0.25">
      <c r="A63" s="192" t="s">
        <v>6515</v>
      </c>
      <c r="B63" s="201" t="s">
        <v>3333</v>
      </c>
      <c r="C63" s="199" t="s">
        <v>3349</v>
      </c>
      <c r="D63" s="199" t="s">
        <v>8732</v>
      </c>
      <c r="E63" s="188" t="s">
        <v>4770</v>
      </c>
      <c r="F63" s="189" t="s">
        <v>3096</v>
      </c>
      <c r="G63" s="188" t="s">
        <v>6429</v>
      </c>
      <c r="H63" s="199" t="s">
        <v>72</v>
      </c>
      <c r="I63" s="199">
        <v>1</v>
      </c>
      <c r="J63" s="199">
        <v>1</v>
      </c>
      <c r="K63" s="199">
        <v>1</v>
      </c>
      <c r="L63" s="199">
        <v>50</v>
      </c>
      <c r="M63" s="202">
        <f>TB_Parts_Lists[[#This Row],[Quantity Initial]]+ SUMIF(TB_Transactions[Part number],TB_Parts_Lists[[#This Row],[Part Number]],TB_Transactions[Quantity])</f>
        <v>50</v>
      </c>
      <c r="N63" s="200" t="s">
        <v>4593</v>
      </c>
      <c r="O63" s="234">
        <v>5</v>
      </c>
      <c r="P63" s="199">
        <f>TB_Parts_Lists[[#This Row],[Quantity Initial]]*TB_Parts_Lists[[#This Row],[Unit Price AED]]</f>
        <v>250</v>
      </c>
      <c r="Q63" s="199">
        <f>TB_Parts_Lists[[#This Row],[Quantity Total]]*TB_Parts_Lists[[#This Row],[Unit Price AED]]</f>
        <v>250</v>
      </c>
      <c r="S63" s="213" t="s">
        <v>118</v>
      </c>
      <c r="T63" s="213" t="s">
        <v>839</v>
      </c>
      <c r="U63" s="213" t="s">
        <v>838</v>
      </c>
    </row>
    <row r="64" spans="1:21" s="199" customFormat="1" x14ac:dyDescent="0.25">
      <c r="A64" s="192" t="s">
        <v>6516</v>
      </c>
      <c r="B64" s="201" t="s">
        <v>3333</v>
      </c>
      <c r="C64" s="199" t="s">
        <v>3349</v>
      </c>
      <c r="D64" s="199" t="s">
        <v>8723</v>
      </c>
      <c r="E64" s="188" t="s">
        <v>4771</v>
      </c>
      <c r="F64" s="189" t="s">
        <v>3097</v>
      </c>
      <c r="G64" s="188" t="s">
        <v>6429</v>
      </c>
      <c r="H64" s="199" t="s">
        <v>72</v>
      </c>
      <c r="I64" s="199">
        <v>1</v>
      </c>
      <c r="J64" s="199">
        <v>1</v>
      </c>
      <c r="K64" s="199">
        <v>1</v>
      </c>
      <c r="L64" s="199">
        <v>50</v>
      </c>
      <c r="M64" s="202">
        <f>TB_Parts_Lists[[#This Row],[Quantity Initial]]+ SUMIF(TB_Transactions[Part number],TB_Parts_Lists[[#This Row],[Part Number]],TB_Transactions[Quantity])</f>
        <v>50</v>
      </c>
      <c r="N64" s="200" t="s">
        <v>4593</v>
      </c>
      <c r="O64" s="234">
        <v>5</v>
      </c>
      <c r="P64" s="199">
        <f>TB_Parts_Lists[[#This Row],[Quantity Initial]]*TB_Parts_Lists[[#This Row],[Unit Price AED]]</f>
        <v>250</v>
      </c>
      <c r="Q64" s="199">
        <f>TB_Parts_Lists[[#This Row],[Quantity Total]]*TB_Parts_Lists[[#This Row],[Unit Price AED]]</f>
        <v>250</v>
      </c>
      <c r="S64" s="213" t="s">
        <v>118</v>
      </c>
      <c r="T64" s="213" t="s">
        <v>839</v>
      </c>
      <c r="U64" s="213" t="s">
        <v>838</v>
      </c>
    </row>
    <row r="65" spans="1:21" s="199" customFormat="1" x14ac:dyDescent="0.25">
      <c r="A65" s="192" t="s">
        <v>6517</v>
      </c>
      <c r="B65" s="201" t="s">
        <v>3333</v>
      </c>
      <c r="C65" s="199" t="s">
        <v>3351</v>
      </c>
      <c r="D65" s="199" t="s">
        <v>8723</v>
      </c>
      <c r="E65" s="188" t="s">
        <v>4772</v>
      </c>
      <c r="F65" s="189" t="s">
        <v>3098</v>
      </c>
      <c r="G65" s="188" t="s">
        <v>6429</v>
      </c>
      <c r="H65" s="199" t="s">
        <v>72</v>
      </c>
      <c r="I65" s="199">
        <v>1</v>
      </c>
      <c r="J65" s="199">
        <v>1</v>
      </c>
      <c r="K65" s="199">
        <v>1</v>
      </c>
      <c r="L65" s="199">
        <v>50</v>
      </c>
      <c r="M65" s="202">
        <f>TB_Parts_Lists[[#This Row],[Quantity Initial]]+ SUMIF(TB_Transactions[Part number],TB_Parts_Lists[[#This Row],[Part Number]],TB_Transactions[Quantity])</f>
        <v>50</v>
      </c>
      <c r="N65" s="200" t="s">
        <v>4593</v>
      </c>
      <c r="O65" s="234">
        <v>5</v>
      </c>
      <c r="P65" s="199">
        <f>TB_Parts_Lists[[#This Row],[Quantity Initial]]*TB_Parts_Lists[[#This Row],[Unit Price AED]]</f>
        <v>250</v>
      </c>
      <c r="Q65" s="199">
        <f>TB_Parts_Lists[[#This Row],[Quantity Total]]*TB_Parts_Lists[[#This Row],[Unit Price AED]]</f>
        <v>250</v>
      </c>
      <c r="S65" s="213" t="s">
        <v>118</v>
      </c>
      <c r="T65" s="213" t="s">
        <v>839</v>
      </c>
      <c r="U65" s="213" t="s">
        <v>838</v>
      </c>
    </row>
    <row r="66" spans="1:21" s="199" customFormat="1" x14ac:dyDescent="0.25">
      <c r="A66" s="192" t="s">
        <v>6518</v>
      </c>
      <c r="B66" s="201" t="s">
        <v>3333</v>
      </c>
      <c r="C66" s="199" t="s">
        <v>2985</v>
      </c>
      <c r="D66" s="199" t="s">
        <v>8723</v>
      </c>
      <c r="E66" s="188" t="s">
        <v>4773</v>
      </c>
      <c r="F66" s="189" t="s">
        <v>3099</v>
      </c>
      <c r="G66" s="188" t="s">
        <v>6429</v>
      </c>
      <c r="H66" s="199" t="s">
        <v>72</v>
      </c>
      <c r="I66" s="199">
        <v>1</v>
      </c>
      <c r="J66" s="199">
        <v>1</v>
      </c>
      <c r="K66" s="199">
        <v>1</v>
      </c>
      <c r="L66" s="199">
        <v>50</v>
      </c>
      <c r="M66" s="202">
        <f>TB_Parts_Lists[[#This Row],[Quantity Initial]]+ SUMIF(TB_Transactions[Part number],TB_Parts_Lists[[#This Row],[Part Number]],TB_Transactions[Quantity])</f>
        <v>50</v>
      </c>
      <c r="N66" s="200" t="s">
        <v>4593</v>
      </c>
      <c r="O66" s="234">
        <v>5</v>
      </c>
      <c r="P66" s="199">
        <f>TB_Parts_Lists[[#This Row],[Quantity Initial]]*TB_Parts_Lists[[#This Row],[Unit Price AED]]</f>
        <v>250</v>
      </c>
      <c r="Q66" s="199">
        <f>TB_Parts_Lists[[#This Row],[Quantity Total]]*TB_Parts_Lists[[#This Row],[Unit Price AED]]</f>
        <v>250</v>
      </c>
      <c r="S66" s="213" t="s">
        <v>118</v>
      </c>
      <c r="T66" s="213" t="s">
        <v>839</v>
      </c>
      <c r="U66" s="213" t="s">
        <v>838</v>
      </c>
    </row>
    <row r="67" spans="1:21" s="199" customFormat="1" x14ac:dyDescent="0.25">
      <c r="A67" s="192" t="s">
        <v>6519</v>
      </c>
      <c r="B67" s="201" t="s">
        <v>3333</v>
      </c>
      <c r="C67" s="199" t="s">
        <v>2985</v>
      </c>
      <c r="D67" s="199" t="s">
        <v>8723</v>
      </c>
      <c r="E67" s="188" t="s">
        <v>4774</v>
      </c>
      <c r="F67" s="189" t="s">
        <v>3100</v>
      </c>
      <c r="G67" s="188" t="s">
        <v>6429</v>
      </c>
      <c r="H67" s="199" t="s">
        <v>72</v>
      </c>
      <c r="I67" s="199">
        <v>1</v>
      </c>
      <c r="J67" s="199">
        <v>1</v>
      </c>
      <c r="K67" s="199">
        <v>1</v>
      </c>
      <c r="L67" s="199">
        <v>50</v>
      </c>
      <c r="M67" s="202">
        <f>TB_Parts_Lists[[#This Row],[Quantity Initial]]+ SUMIF(TB_Transactions[Part number],TB_Parts_Lists[[#This Row],[Part Number]],TB_Transactions[Quantity])</f>
        <v>50</v>
      </c>
      <c r="N67" s="200" t="s">
        <v>4593</v>
      </c>
      <c r="O67" s="234">
        <v>5</v>
      </c>
      <c r="P67" s="199">
        <f>TB_Parts_Lists[[#This Row],[Quantity Initial]]*TB_Parts_Lists[[#This Row],[Unit Price AED]]</f>
        <v>250</v>
      </c>
      <c r="Q67" s="199">
        <f>TB_Parts_Lists[[#This Row],[Quantity Total]]*TB_Parts_Lists[[#This Row],[Unit Price AED]]</f>
        <v>250</v>
      </c>
      <c r="S67" s="213" t="s">
        <v>118</v>
      </c>
      <c r="T67" s="213" t="s">
        <v>839</v>
      </c>
      <c r="U67" s="213" t="s">
        <v>838</v>
      </c>
    </row>
    <row r="68" spans="1:21" s="199" customFormat="1" x14ac:dyDescent="0.25">
      <c r="A68" s="192" t="s">
        <v>6520</v>
      </c>
      <c r="B68" s="201" t="s">
        <v>3333</v>
      </c>
      <c r="C68" s="199" t="s">
        <v>2985</v>
      </c>
      <c r="D68" s="199" t="s">
        <v>8723</v>
      </c>
      <c r="E68" s="188" t="s">
        <v>4775</v>
      </c>
      <c r="F68" s="189" t="s">
        <v>3101</v>
      </c>
      <c r="G68" s="188" t="s">
        <v>6429</v>
      </c>
      <c r="H68" s="199" t="s">
        <v>72</v>
      </c>
      <c r="I68" s="199">
        <v>1</v>
      </c>
      <c r="J68" s="199">
        <v>1</v>
      </c>
      <c r="K68" s="199">
        <v>1</v>
      </c>
      <c r="L68" s="199">
        <v>50</v>
      </c>
      <c r="M68" s="202">
        <f>TB_Parts_Lists[[#This Row],[Quantity Initial]]+ SUMIF(TB_Transactions[Part number],TB_Parts_Lists[[#This Row],[Part Number]],TB_Transactions[Quantity])</f>
        <v>50</v>
      </c>
      <c r="N68" s="200" t="s">
        <v>4593</v>
      </c>
      <c r="O68" s="234">
        <v>5</v>
      </c>
      <c r="P68" s="199">
        <f>TB_Parts_Lists[[#This Row],[Quantity Initial]]*TB_Parts_Lists[[#This Row],[Unit Price AED]]</f>
        <v>250</v>
      </c>
      <c r="Q68" s="199">
        <f>TB_Parts_Lists[[#This Row],[Quantity Total]]*TB_Parts_Lists[[#This Row],[Unit Price AED]]</f>
        <v>250</v>
      </c>
      <c r="S68" s="213" t="s">
        <v>118</v>
      </c>
      <c r="T68" s="213" t="s">
        <v>839</v>
      </c>
      <c r="U68" s="213" t="s">
        <v>838</v>
      </c>
    </row>
    <row r="69" spans="1:21" s="199" customFormat="1" x14ac:dyDescent="0.25">
      <c r="A69" s="192" t="s">
        <v>6521</v>
      </c>
      <c r="B69" s="201" t="s">
        <v>3333</v>
      </c>
      <c r="C69" s="199" t="s">
        <v>3350</v>
      </c>
      <c r="D69" s="188" t="s">
        <v>8724</v>
      </c>
      <c r="E69" s="188" t="s">
        <v>4776</v>
      </c>
      <c r="F69" s="189" t="s">
        <v>5943</v>
      </c>
      <c r="G69" s="188" t="s">
        <v>6429</v>
      </c>
      <c r="H69" s="199" t="s">
        <v>72</v>
      </c>
      <c r="I69" s="199">
        <v>1</v>
      </c>
      <c r="J69" s="199">
        <v>1</v>
      </c>
      <c r="K69" s="199">
        <v>1</v>
      </c>
      <c r="L69" s="199">
        <v>50</v>
      </c>
      <c r="M69" s="202">
        <f>TB_Parts_Lists[[#This Row],[Quantity Initial]]+ SUMIF(TB_Transactions[Part number],TB_Parts_Lists[[#This Row],[Part Number]],TB_Transactions[Quantity])</f>
        <v>50</v>
      </c>
      <c r="N69" s="200" t="s">
        <v>4593</v>
      </c>
      <c r="O69" s="234">
        <v>5</v>
      </c>
      <c r="P69" s="199">
        <f>TB_Parts_Lists[[#This Row],[Quantity Initial]]*TB_Parts_Lists[[#This Row],[Unit Price AED]]</f>
        <v>250</v>
      </c>
      <c r="Q69" s="199">
        <f>TB_Parts_Lists[[#This Row],[Quantity Total]]*TB_Parts_Lists[[#This Row],[Unit Price AED]]</f>
        <v>250</v>
      </c>
      <c r="S69" s="213" t="s">
        <v>118</v>
      </c>
      <c r="T69" s="213" t="s">
        <v>839</v>
      </c>
      <c r="U69" s="213" t="s">
        <v>838</v>
      </c>
    </row>
    <row r="70" spans="1:21" s="199" customFormat="1" x14ac:dyDescent="0.25">
      <c r="A70" s="192" t="s">
        <v>6522</v>
      </c>
      <c r="B70" s="201" t="s">
        <v>3333</v>
      </c>
      <c r="C70" s="199" t="s">
        <v>3349</v>
      </c>
      <c r="D70" s="188" t="s">
        <v>8724</v>
      </c>
      <c r="E70" s="188" t="s">
        <v>4777</v>
      </c>
      <c r="F70" s="189" t="s">
        <v>5944</v>
      </c>
      <c r="G70" s="188" t="s">
        <v>6429</v>
      </c>
      <c r="H70" s="199" t="s">
        <v>72</v>
      </c>
      <c r="I70" s="199">
        <v>1</v>
      </c>
      <c r="J70" s="199">
        <v>1</v>
      </c>
      <c r="K70" s="199">
        <v>1</v>
      </c>
      <c r="L70" s="199">
        <v>50</v>
      </c>
      <c r="M70" s="202">
        <f>TB_Parts_Lists[[#This Row],[Quantity Initial]]+ SUMIF(TB_Transactions[Part number],TB_Parts_Lists[[#This Row],[Part Number]],TB_Transactions[Quantity])</f>
        <v>50</v>
      </c>
      <c r="N70" s="200" t="s">
        <v>4593</v>
      </c>
      <c r="O70" s="234">
        <v>5</v>
      </c>
      <c r="P70" s="199">
        <f>TB_Parts_Lists[[#This Row],[Quantity Initial]]*TB_Parts_Lists[[#This Row],[Unit Price AED]]</f>
        <v>250</v>
      </c>
      <c r="Q70" s="199">
        <f>TB_Parts_Lists[[#This Row],[Quantity Total]]*TB_Parts_Lists[[#This Row],[Unit Price AED]]</f>
        <v>250</v>
      </c>
      <c r="S70" s="213" t="s">
        <v>118</v>
      </c>
      <c r="T70" s="213" t="s">
        <v>839</v>
      </c>
      <c r="U70" s="213" t="s">
        <v>838</v>
      </c>
    </row>
    <row r="71" spans="1:21" s="199" customFormat="1" x14ac:dyDescent="0.25">
      <c r="A71" s="192" t="s">
        <v>6523</v>
      </c>
      <c r="B71" s="201" t="s">
        <v>3333</v>
      </c>
      <c r="C71" s="199" t="s">
        <v>2985</v>
      </c>
      <c r="D71" s="199" t="s">
        <v>8723</v>
      </c>
      <c r="E71" s="188" t="s">
        <v>4778</v>
      </c>
      <c r="F71" s="189" t="s">
        <v>3102</v>
      </c>
      <c r="G71" s="188" t="s">
        <v>6430</v>
      </c>
      <c r="H71" s="199" t="s">
        <v>72</v>
      </c>
      <c r="I71" s="199">
        <v>1</v>
      </c>
      <c r="J71" s="199">
        <v>1</v>
      </c>
      <c r="K71" s="199">
        <v>1</v>
      </c>
      <c r="L71" s="199">
        <v>50</v>
      </c>
      <c r="M71" s="202">
        <f>TB_Parts_Lists[[#This Row],[Quantity Initial]]+ SUMIF(TB_Transactions[Part number],TB_Parts_Lists[[#This Row],[Part Number]],TB_Transactions[Quantity])</f>
        <v>50</v>
      </c>
      <c r="N71" s="200" t="s">
        <v>4593</v>
      </c>
      <c r="O71" s="234">
        <v>5</v>
      </c>
      <c r="P71" s="199">
        <f>TB_Parts_Lists[[#This Row],[Quantity Initial]]*TB_Parts_Lists[[#This Row],[Unit Price AED]]</f>
        <v>250</v>
      </c>
      <c r="Q71" s="199">
        <f>TB_Parts_Lists[[#This Row],[Quantity Total]]*TB_Parts_Lists[[#This Row],[Unit Price AED]]</f>
        <v>250</v>
      </c>
      <c r="S71" s="213" t="s">
        <v>118</v>
      </c>
      <c r="T71" s="213" t="s">
        <v>839</v>
      </c>
      <c r="U71" s="213" t="s">
        <v>838</v>
      </c>
    </row>
    <row r="72" spans="1:21" s="199" customFormat="1" x14ac:dyDescent="0.25">
      <c r="A72" s="192" t="s">
        <v>6524</v>
      </c>
      <c r="B72" s="201" t="s">
        <v>3333</v>
      </c>
      <c r="C72" s="199" t="s">
        <v>2985</v>
      </c>
      <c r="D72" s="199" t="s">
        <v>8723</v>
      </c>
      <c r="E72" s="188" t="s">
        <v>4779</v>
      </c>
      <c r="F72" s="189" t="s">
        <v>3103</v>
      </c>
      <c r="G72" s="188" t="s">
        <v>6430</v>
      </c>
      <c r="H72" s="199" t="s">
        <v>72</v>
      </c>
      <c r="I72" s="199">
        <v>1</v>
      </c>
      <c r="J72" s="199">
        <v>1</v>
      </c>
      <c r="K72" s="199">
        <v>1</v>
      </c>
      <c r="L72" s="199">
        <v>50</v>
      </c>
      <c r="M72" s="202">
        <f>TB_Parts_Lists[[#This Row],[Quantity Initial]]+ SUMIF(TB_Transactions[Part number],TB_Parts_Lists[[#This Row],[Part Number]],TB_Transactions[Quantity])</f>
        <v>50</v>
      </c>
      <c r="N72" s="200" t="s">
        <v>4593</v>
      </c>
      <c r="O72" s="234">
        <v>5</v>
      </c>
      <c r="P72" s="199">
        <f>TB_Parts_Lists[[#This Row],[Quantity Initial]]*TB_Parts_Lists[[#This Row],[Unit Price AED]]</f>
        <v>250</v>
      </c>
      <c r="Q72" s="199">
        <f>TB_Parts_Lists[[#This Row],[Quantity Total]]*TB_Parts_Lists[[#This Row],[Unit Price AED]]</f>
        <v>250</v>
      </c>
      <c r="S72" s="213" t="s">
        <v>118</v>
      </c>
      <c r="T72" s="213" t="s">
        <v>839</v>
      </c>
      <c r="U72" s="213" t="s">
        <v>838</v>
      </c>
    </row>
    <row r="73" spans="1:21" s="199" customFormat="1" x14ac:dyDescent="0.25">
      <c r="A73" s="192" t="s">
        <v>6525</v>
      </c>
      <c r="B73" s="201" t="s">
        <v>3333</v>
      </c>
      <c r="C73" s="199" t="s">
        <v>2985</v>
      </c>
      <c r="D73" s="199" t="s">
        <v>8723</v>
      </c>
      <c r="E73" s="188" t="s">
        <v>4780</v>
      </c>
      <c r="F73" s="189" t="s">
        <v>3104</v>
      </c>
      <c r="G73" s="188" t="s">
        <v>6430</v>
      </c>
      <c r="H73" s="199" t="s">
        <v>72</v>
      </c>
      <c r="I73" s="199">
        <v>1</v>
      </c>
      <c r="J73" s="199">
        <v>1</v>
      </c>
      <c r="K73" s="199">
        <v>1</v>
      </c>
      <c r="L73" s="199">
        <v>50</v>
      </c>
      <c r="M73" s="202">
        <f>TB_Parts_Lists[[#This Row],[Quantity Initial]]+ SUMIF(TB_Transactions[Part number],TB_Parts_Lists[[#This Row],[Part Number]],TB_Transactions[Quantity])</f>
        <v>50</v>
      </c>
      <c r="N73" s="200" t="s">
        <v>4593</v>
      </c>
      <c r="O73" s="234">
        <v>5</v>
      </c>
      <c r="P73" s="199">
        <f>TB_Parts_Lists[[#This Row],[Quantity Initial]]*TB_Parts_Lists[[#This Row],[Unit Price AED]]</f>
        <v>250</v>
      </c>
      <c r="Q73" s="199">
        <f>TB_Parts_Lists[[#This Row],[Quantity Total]]*TB_Parts_Lists[[#This Row],[Unit Price AED]]</f>
        <v>250</v>
      </c>
      <c r="S73" s="213" t="s">
        <v>118</v>
      </c>
      <c r="T73" s="213" t="s">
        <v>839</v>
      </c>
      <c r="U73" s="213" t="s">
        <v>838</v>
      </c>
    </row>
    <row r="74" spans="1:21" s="199" customFormat="1" x14ac:dyDescent="0.25">
      <c r="A74" s="192" t="s">
        <v>6526</v>
      </c>
      <c r="B74" s="201" t="s">
        <v>3333</v>
      </c>
      <c r="C74" s="199" t="s">
        <v>3349</v>
      </c>
      <c r="D74" s="199" t="s">
        <v>8723</v>
      </c>
      <c r="E74" s="188" t="s">
        <v>4781</v>
      </c>
      <c r="F74" s="189" t="s">
        <v>3105</v>
      </c>
      <c r="G74" s="188" t="s">
        <v>6430</v>
      </c>
      <c r="H74" s="199" t="s">
        <v>72</v>
      </c>
      <c r="I74" s="199">
        <v>1</v>
      </c>
      <c r="J74" s="199">
        <v>1</v>
      </c>
      <c r="K74" s="199">
        <v>1</v>
      </c>
      <c r="L74" s="199">
        <v>50</v>
      </c>
      <c r="M74" s="202">
        <f>TB_Parts_Lists[[#This Row],[Quantity Initial]]+ SUMIF(TB_Transactions[Part number],TB_Parts_Lists[[#This Row],[Part Number]],TB_Transactions[Quantity])</f>
        <v>50</v>
      </c>
      <c r="N74" s="200" t="s">
        <v>4593</v>
      </c>
      <c r="O74" s="234">
        <v>5</v>
      </c>
      <c r="P74" s="199">
        <f>TB_Parts_Lists[[#This Row],[Quantity Initial]]*TB_Parts_Lists[[#This Row],[Unit Price AED]]</f>
        <v>250</v>
      </c>
      <c r="Q74" s="199">
        <f>TB_Parts_Lists[[#This Row],[Quantity Total]]*TB_Parts_Lists[[#This Row],[Unit Price AED]]</f>
        <v>250</v>
      </c>
      <c r="S74" s="213" t="s">
        <v>118</v>
      </c>
      <c r="T74" s="213" t="s">
        <v>839</v>
      </c>
      <c r="U74" s="213" t="s">
        <v>838</v>
      </c>
    </row>
    <row r="75" spans="1:21" s="199" customFormat="1" x14ac:dyDescent="0.25">
      <c r="A75" s="192" t="s">
        <v>6527</v>
      </c>
      <c r="B75" s="201" t="s">
        <v>3333</v>
      </c>
      <c r="C75" s="199" t="s">
        <v>3349</v>
      </c>
      <c r="D75" s="199" t="s">
        <v>8723</v>
      </c>
      <c r="E75" s="188" t="s">
        <v>4782</v>
      </c>
      <c r="F75" s="189" t="s">
        <v>3106</v>
      </c>
      <c r="G75" s="188" t="s">
        <v>6430</v>
      </c>
      <c r="H75" s="199" t="s">
        <v>8635</v>
      </c>
      <c r="I75" s="199">
        <v>1</v>
      </c>
      <c r="J75" s="199">
        <v>1</v>
      </c>
      <c r="K75" s="199">
        <v>1</v>
      </c>
      <c r="L75" s="199">
        <v>50</v>
      </c>
      <c r="M75" s="202">
        <f>TB_Parts_Lists[[#This Row],[Quantity Initial]]+ SUMIF(TB_Transactions[Part number],TB_Parts_Lists[[#This Row],[Part Number]],TB_Transactions[Quantity])</f>
        <v>50</v>
      </c>
      <c r="N75" s="200" t="s">
        <v>4593</v>
      </c>
      <c r="O75" s="234">
        <v>5</v>
      </c>
      <c r="P75" s="199">
        <f>TB_Parts_Lists[[#This Row],[Quantity Initial]]*TB_Parts_Lists[[#This Row],[Unit Price AED]]</f>
        <v>250</v>
      </c>
      <c r="Q75" s="199">
        <f>TB_Parts_Lists[[#This Row],[Quantity Total]]*TB_Parts_Lists[[#This Row],[Unit Price AED]]</f>
        <v>250</v>
      </c>
      <c r="S75" s="213" t="s">
        <v>118</v>
      </c>
      <c r="T75" s="213" t="s">
        <v>839</v>
      </c>
      <c r="U75" s="213" t="s">
        <v>838</v>
      </c>
    </row>
    <row r="76" spans="1:21" s="199" customFormat="1" x14ac:dyDescent="0.25">
      <c r="A76" s="192" t="s">
        <v>6528</v>
      </c>
      <c r="B76" s="201" t="s">
        <v>3333</v>
      </c>
      <c r="C76" s="199" t="s">
        <v>2985</v>
      </c>
      <c r="D76" s="199" t="s">
        <v>8723</v>
      </c>
      <c r="E76" s="188" t="s">
        <v>4783</v>
      </c>
      <c r="F76" s="189" t="s">
        <v>3107</v>
      </c>
      <c r="G76" s="188" t="s">
        <v>6430</v>
      </c>
      <c r="H76" s="199" t="s">
        <v>72</v>
      </c>
      <c r="I76" s="199">
        <v>1</v>
      </c>
      <c r="J76" s="199">
        <v>1</v>
      </c>
      <c r="K76" s="199">
        <v>1</v>
      </c>
      <c r="L76" s="199">
        <v>50</v>
      </c>
      <c r="M76" s="202">
        <f>TB_Parts_Lists[[#This Row],[Quantity Initial]]+ SUMIF(TB_Transactions[Part number],TB_Parts_Lists[[#This Row],[Part Number]],TB_Transactions[Quantity])</f>
        <v>50</v>
      </c>
      <c r="N76" s="200" t="s">
        <v>4593</v>
      </c>
      <c r="O76" s="234">
        <v>5</v>
      </c>
      <c r="P76" s="199">
        <f>TB_Parts_Lists[[#This Row],[Quantity Initial]]*TB_Parts_Lists[[#This Row],[Unit Price AED]]</f>
        <v>250</v>
      </c>
      <c r="Q76" s="199">
        <f>TB_Parts_Lists[[#This Row],[Quantity Total]]*TB_Parts_Lists[[#This Row],[Unit Price AED]]</f>
        <v>250</v>
      </c>
      <c r="S76" s="213" t="s">
        <v>118</v>
      </c>
      <c r="T76" s="213" t="s">
        <v>839</v>
      </c>
      <c r="U76" s="213" t="s">
        <v>838</v>
      </c>
    </row>
    <row r="77" spans="1:21" s="199" customFormat="1" x14ac:dyDescent="0.25">
      <c r="A77" s="192" t="s">
        <v>6529</v>
      </c>
      <c r="B77" s="201" t="s">
        <v>3333</v>
      </c>
      <c r="C77" s="199" t="s">
        <v>2985</v>
      </c>
      <c r="D77" s="199" t="s">
        <v>8723</v>
      </c>
      <c r="E77" s="188" t="s">
        <v>4784</v>
      </c>
      <c r="F77" s="189" t="s">
        <v>3108</v>
      </c>
      <c r="G77" s="188" t="s">
        <v>6430</v>
      </c>
      <c r="H77" s="199" t="s">
        <v>72</v>
      </c>
      <c r="I77" s="199">
        <v>1</v>
      </c>
      <c r="J77" s="199">
        <v>1</v>
      </c>
      <c r="K77" s="199">
        <v>1</v>
      </c>
      <c r="L77" s="199">
        <v>50</v>
      </c>
      <c r="M77" s="202">
        <f>TB_Parts_Lists[[#This Row],[Quantity Initial]]+ SUMIF(TB_Transactions[Part number],TB_Parts_Lists[[#This Row],[Part Number]],TB_Transactions[Quantity])</f>
        <v>50</v>
      </c>
      <c r="N77" s="200" t="s">
        <v>4593</v>
      </c>
      <c r="O77" s="234">
        <v>5</v>
      </c>
      <c r="P77" s="199">
        <f>TB_Parts_Lists[[#This Row],[Quantity Initial]]*TB_Parts_Lists[[#This Row],[Unit Price AED]]</f>
        <v>250</v>
      </c>
      <c r="Q77" s="199">
        <f>TB_Parts_Lists[[#This Row],[Quantity Total]]*TB_Parts_Lists[[#This Row],[Unit Price AED]]</f>
        <v>250</v>
      </c>
      <c r="S77" s="213" t="s">
        <v>118</v>
      </c>
      <c r="T77" s="213" t="s">
        <v>839</v>
      </c>
      <c r="U77" s="213" t="s">
        <v>838</v>
      </c>
    </row>
    <row r="78" spans="1:21" s="199" customFormat="1" x14ac:dyDescent="0.25">
      <c r="A78" s="192" t="s">
        <v>6530</v>
      </c>
      <c r="B78" s="201" t="s">
        <v>3333</v>
      </c>
      <c r="C78" s="199" t="s">
        <v>2985</v>
      </c>
      <c r="D78" s="199" t="s">
        <v>8723</v>
      </c>
      <c r="E78" s="188" t="s">
        <v>4785</v>
      </c>
      <c r="F78" s="189" t="s">
        <v>3109</v>
      </c>
      <c r="G78" s="188" t="s">
        <v>6430</v>
      </c>
      <c r="H78" s="199" t="s">
        <v>72</v>
      </c>
      <c r="I78" s="199">
        <v>1</v>
      </c>
      <c r="J78" s="199">
        <v>1</v>
      </c>
      <c r="K78" s="199">
        <v>1</v>
      </c>
      <c r="L78" s="199">
        <v>50</v>
      </c>
      <c r="M78" s="202">
        <f>TB_Parts_Lists[[#This Row],[Quantity Initial]]+ SUMIF(TB_Transactions[Part number],TB_Parts_Lists[[#This Row],[Part Number]],TB_Transactions[Quantity])</f>
        <v>50</v>
      </c>
      <c r="N78" s="200" t="s">
        <v>4593</v>
      </c>
      <c r="O78" s="234">
        <v>5</v>
      </c>
      <c r="P78" s="199">
        <f>TB_Parts_Lists[[#This Row],[Quantity Initial]]*TB_Parts_Lists[[#This Row],[Unit Price AED]]</f>
        <v>250</v>
      </c>
      <c r="Q78" s="199">
        <f>TB_Parts_Lists[[#This Row],[Quantity Total]]*TB_Parts_Lists[[#This Row],[Unit Price AED]]</f>
        <v>250</v>
      </c>
      <c r="S78" s="213" t="s">
        <v>118</v>
      </c>
      <c r="T78" s="213" t="s">
        <v>839</v>
      </c>
      <c r="U78" s="213" t="s">
        <v>838</v>
      </c>
    </row>
    <row r="79" spans="1:21" s="199" customFormat="1" x14ac:dyDescent="0.25">
      <c r="A79" s="192" t="s">
        <v>6531</v>
      </c>
      <c r="B79" s="201" t="s">
        <v>3333</v>
      </c>
      <c r="C79" s="199" t="s">
        <v>2985</v>
      </c>
      <c r="D79" s="199" t="s">
        <v>8732</v>
      </c>
      <c r="E79" s="188" t="s">
        <v>4786</v>
      </c>
      <c r="F79" s="189" t="s">
        <v>3110</v>
      </c>
      <c r="G79" s="188" t="s">
        <v>6430</v>
      </c>
      <c r="H79" s="199" t="s">
        <v>123</v>
      </c>
      <c r="I79" s="199">
        <v>1</v>
      </c>
      <c r="J79" s="199">
        <v>1</v>
      </c>
      <c r="K79" s="199">
        <v>1</v>
      </c>
      <c r="L79" s="199">
        <v>50</v>
      </c>
      <c r="M79" s="202">
        <f>TB_Parts_Lists[[#This Row],[Quantity Initial]]+ SUMIF(TB_Transactions[Part number],TB_Parts_Lists[[#This Row],[Part Number]],TB_Transactions[Quantity])</f>
        <v>50</v>
      </c>
      <c r="N79" s="200" t="s">
        <v>4593</v>
      </c>
      <c r="O79" s="234">
        <v>5</v>
      </c>
      <c r="P79" s="199">
        <f>TB_Parts_Lists[[#This Row],[Quantity Initial]]*TB_Parts_Lists[[#This Row],[Unit Price AED]]</f>
        <v>250</v>
      </c>
      <c r="Q79" s="199">
        <f>TB_Parts_Lists[[#This Row],[Quantity Total]]*TB_Parts_Lists[[#This Row],[Unit Price AED]]</f>
        <v>250</v>
      </c>
      <c r="S79" s="213" t="s">
        <v>118</v>
      </c>
      <c r="T79" s="213" t="s">
        <v>839</v>
      </c>
      <c r="U79" s="213" t="s">
        <v>838</v>
      </c>
    </row>
    <row r="80" spans="1:21" s="199" customFormat="1" x14ac:dyDescent="0.25">
      <c r="A80" s="192" t="s">
        <v>6532</v>
      </c>
      <c r="B80" s="201" t="s">
        <v>3333</v>
      </c>
      <c r="C80" s="199" t="s">
        <v>2985</v>
      </c>
      <c r="D80" s="199" t="s">
        <v>8723</v>
      </c>
      <c r="E80" s="188" t="s">
        <v>4787</v>
      </c>
      <c r="F80" s="189" t="s">
        <v>3111</v>
      </c>
      <c r="G80" s="188" t="s">
        <v>6430</v>
      </c>
      <c r="H80" s="199" t="s">
        <v>72</v>
      </c>
      <c r="I80" s="199">
        <v>1</v>
      </c>
      <c r="J80" s="199">
        <v>1</v>
      </c>
      <c r="K80" s="199">
        <v>1</v>
      </c>
      <c r="L80" s="199">
        <v>50</v>
      </c>
      <c r="M80" s="202">
        <f>TB_Parts_Lists[[#This Row],[Quantity Initial]]+ SUMIF(TB_Transactions[Part number],TB_Parts_Lists[[#This Row],[Part Number]],TB_Transactions[Quantity])</f>
        <v>50</v>
      </c>
      <c r="N80" s="200" t="s">
        <v>4593</v>
      </c>
      <c r="O80" s="234">
        <v>5</v>
      </c>
      <c r="P80" s="199">
        <f>TB_Parts_Lists[[#This Row],[Quantity Initial]]*TB_Parts_Lists[[#This Row],[Unit Price AED]]</f>
        <v>250</v>
      </c>
      <c r="Q80" s="199">
        <f>TB_Parts_Lists[[#This Row],[Quantity Total]]*TB_Parts_Lists[[#This Row],[Unit Price AED]]</f>
        <v>250</v>
      </c>
      <c r="S80" s="213" t="s">
        <v>118</v>
      </c>
      <c r="T80" s="213" t="s">
        <v>839</v>
      </c>
      <c r="U80" s="213" t="s">
        <v>838</v>
      </c>
    </row>
    <row r="81" spans="1:21" s="199" customFormat="1" x14ac:dyDescent="0.25">
      <c r="A81" s="192" t="s">
        <v>6533</v>
      </c>
      <c r="B81" s="201" t="s">
        <v>3333</v>
      </c>
      <c r="C81" s="199" t="s">
        <v>3223</v>
      </c>
      <c r="D81" s="199" t="s">
        <v>8723</v>
      </c>
      <c r="E81" s="188" t="s">
        <v>4788</v>
      </c>
      <c r="F81" s="189" t="s">
        <v>3112</v>
      </c>
      <c r="G81" s="188" t="s">
        <v>6430</v>
      </c>
      <c r="H81" s="199" t="s">
        <v>72</v>
      </c>
      <c r="I81" s="199">
        <v>1</v>
      </c>
      <c r="J81" s="199">
        <v>1</v>
      </c>
      <c r="K81" s="199">
        <v>1</v>
      </c>
      <c r="L81" s="199">
        <v>50</v>
      </c>
      <c r="M81" s="202">
        <f>TB_Parts_Lists[[#This Row],[Quantity Initial]]+ SUMIF(TB_Transactions[Part number],TB_Parts_Lists[[#This Row],[Part Number]],TB_Transactions[Quantity])</f>
        <v>50</v>
      </c>
      <c r="N81" s="200" t="s">
        <v>4593</v>
      </c>
      <c r="O81" s="234">
        <v>5</v>
      </c>
      <c r="P81" s="199">
        <f>TB_Parts_Lists[[#This Row],[Quantity Initial]]*TB_Parts_Lists[[#This Row],[Unit Price AED]]</f>
        <v>250</v>
      </c>
      <c r="Q81" s="199">
        <f>TB_Parts_Lists[[#This Row],[Quantity Total]]*TB_Parts_Lists[[#This Row],[Unit Price AED]]</f>
        <v>250</v>
      </c>
      <c r="S81" s="213" t="s">
        <v>118</v>
      </c>
      <c r="T81" s="213" t="s">
        <v>839</v>
      </c>
      <c r="U81" s="213" t="s">
        <v>838</v>
      </c>
    </row>
    <row r="82" spans="1:21" s="199" customFormat="1" x14ac:dyDescent="0.25">
      <c r="A82" s="192" t="s">
        <v>6534</v>
      </c>
      <c r="B82" s="201" t="s">
        <v>3333</v>
      </c>
      <c r="C82" s="199" t="s">
        <v>3349</v>
      </c>
      <c r="D82" s="199" t="s">
        <v>8723</v>
      </c>
      <c r="E82" s="188" t="s">
        <v>4789</v>
      </c>
      <c r="F82" s="189" t="s">
        <v>3113</v>
      </c>
      <c r="G82" s="188" t="s">
        <v>6430</v>
      </c>
      <c r="H82" s="199" t="s">
        <v>72</v>
      </c>
      <c r="I82" s="199">
        <v>1</v>
      </c>
      <c r="J82" s="199">
        <v>1</v>
      </c>
      <c r="K82" s="199">
        <v>1</v>
      </c>
      <c r="L82" s="199">
        <v>50</v>
      </c>
      <c r="M82" s="202">
        <f>TB_Parts_Lists[[#This Row],[Quantity Initial]]+ SUMIF(TB_Transactions[Part number],TB_Parts_Lists[[#This Row],[Part Number]],TB_Transactions[Quantity])</f>
        <v>50</v>
      </c>
      <c r="N82" s="200" t="s">
        <v>4593</v>
      </c>
      <c r="O82" s="234">
        <v>5</v>
      </c>
      <c r="P82" s="199">
        <f>TB_Parts_Lists[[#This Row],[Quantity Initial]]*TB_Parts_Lists[[#This Row],[Unit Price AED]]</f>
        <v>250</v>
      </c>
      <c r="Q82" s="199">
        <f>TB_Parts_Lists[[#This Row],[Quantity Total]]*TB_Parts_Lists[[#This Row],[Unit Price AED]]</f>
        <v>250</v>
      </c>
      <c r="S82" s="213" t="s">
        <v>118</v>
      </c>
      <c r="T82" s="213" t="s">
        <v>839</v>
      </c>
      <c r="U82" s="213" t="s">
        <v>838</v>
      </c>
    </row>
    <row r="83" spans="1:21" s="199" customFormat="1" x14ac:dyDescent="0.25">
      <c r="A83" s="192" t="s">
        <v>6535</v>
      </c>
      <c r="B83" s="201" t="s">
        <v>3333</v>
      </c>
      <c r="C83" s="199" t="s">
        <v>3349</v>
      </c>
      <c r="D83" s="199" t="s">
        <v>8723</v>
      </c>
      <c r="E83" s="188" t="s">
        <v>4790</v>
      </c>
      <c r="F83" s="189" t="s">
        <v>3114</v>
      </c>
      <c r="G83" s="188" t="s">
        <v>6430</v>
      </c>
      <c r="H83" s="199" t="s">
        <v>72</v>
      </c>
      <c r="I83" s="199">
        <v>1</v>
      </c>
      <c r="J83" s="199">
        <v>1</v>
      </c>
      <c r="K83" s="199">
        <v>1</v>
      </c>
      <c r="L83" s="199">
        <v>50</v>
      </c>
      <c r="M83" s="202">
        <f>TB_Parts_Lists[[#This Row],[Quantity Initial]]+ SUMIF(TB_Transactions[Part number],TB_Parts_Lists[[#This Row],[Part Number]],TB_Transactions[Quantity])</f>
        <v>50</v>
      </c>
      <c r="N83" s="200" t="s">
        <v>4593</v>
      </c>
      <c r="O83" s="234">
        <v>5</v>
      </c>
      <c r="P83" s="199">
        <f>TB_Parts_Lists[[#This Row],[Quantity Initial]]*TB_Parts_Lists[[#This Row],[Unit Price AED]]</f>
        <v>250</v>
      </c>
      <c r="Q83" s="199">
        <f>TB_Parts_Lists[[#This Row],[Quantity Total]]*TB_Parts_Lists[[#This Row],[Unit Price AED]]</f>
        <v>250</v>
      </c>
      <c r="S83" s="213" t="s">
        <v>118</v>
      </c>
      <c r="T83" s="213" t="s">
        <v>839</v>
      </c>
      <c r="U83" s="213" t="s">
        <v>838</v>
      </c>
    </row>
    <row r="84" spans="1:21" s="199" customFormat="1" x14ac:dyDescent="0.25">
      <c r="A84" s="192" t="s">
        <v>6536</v>
      </c>
      <c r="B84" s="201" t="s">
        <v>3333</v>
      </c>
      <c r="C84" s="199" t="s">
        <v>3351</v>
      </c>
      <c r="D84" s="188" t="s">
        <v>8724</v>
      </c>
      <c r="E84" s="188" t="s">
        <v>4791</v>
      </c>
      <c r="F84" s="189" t="s">
        <v>3115</v>
      </c>
      <c r="G84" s="188" t="s">
        <v>6430</v>
      </c>
      <c r="H84" s="199" t="s">
        <v>72</v>
      </c>
      <c r="I84" s="199">
        <v>1</v>
      </c>
      <c r="J84" s="199">
        <v>1</v>
      </c>
      <c r="K84" s="199">
        <v>1</v>
      </c>
      <c r="L84" s="199">
        <v>50</v>
      </c>
      <c r="M84" s="202">
        <f>TB_Parts_Lists[[#This Row],[Quantity Initial]]+ SUMIF(TB_Transactions[Part number],TB_Parts_Lists[[#This Row],[Part Number]],TB_Transactions[Quantity])</f>
        <v>50</v>
      </c>
      <c r="N84" s="200" t="s">
        <v>4593</v>
      </c>
      <c r="O84" s="234">
        <v>5</v>
      </c>
      <c r="P84" s="199">
        <f>TB_Parts_Lists[[#This Row],[Quantity Initial]]*TB_Parts_Lists[[#This Row],[Unit Price AED]]</f>
        <v>250</v>
      </c>
      <c r="Q84" s="199">
        <f>TB_Parts_Lists[[#This Row],[Quantity Total]]*TB_Parts_Lists[[#This Row],[Unit Price AED]]</f>
        <v>250</v>
      </c>
      <c r="S84" s="213" t="s">
        <v>118</v>
      </c>
      <c r="T84" s="213" t="s">
        <v>839</v>
      </c>
      <c r="U84" s="213" t="s">
        <v>838</v>
      </c>
    </row>
    <row r="85" spans="1:21" s="199" customFormat="1" x14ac:dyDescent="0.25">
      <c r="A85" s="192" t="s">
        <v>6537</v>
      </c>
      <c r="B85" s="201" t="s">
        <v>3333</v>
      </c>
      <c r="C85" s="199" t="s">
        <v>3349</v>
      </c>
      <c r="D85" s="199" t="s">
        <v>8723</v>
      </c>
      <c r="E85" s="188" t="s">
        <v>4792</v>
      </c>
      <c r="F85" s="189" t="s">
        <v>3116</v>
      </c>
      <c r="G85" s="188" t="s">
        <v>6430</v>
      </c>
      <c r="H85" s="199" t="s">
        <v>72</v>
      </c>
      <c r="I85" s="199">
        <v>1</v>
      </c>
      <c r="J85" s="199">
        <v>1</v>
      </c>
      <c r="K85" s="199">
        <v>1</v>
      </c>
      <c r="L85" s="199">
        <v>50</v>
      </c>
      <c r="M85" s="202">
        <f>TB_Parts_Lists[[#This Row],[Quantity Initial]]+ SUMIF(TB_Transactions[Part number],TB_Parts_Lists[[#This Row],[Part Number]],TB_Transactions[Quantity])</f>
        <v>50</v>
      </c>
      <c r="N85" s="200" t="s">
        <v>4593</v>
      </c>
      <c r="O85" s="234">
        <v>5</v>
      </c>
      <c r="P85" s="199">
        <f>TB_Parts_Lists[[#This Row],[Quantity Initial]]*TB_Parts_Lists[[#This Row],[Unit Price AED]]</f>
        <v>250</v>
      </c>
      <c r="Q85" s="199">
        <f>TB_Parts_Lists[[#This Row],[Quantity Total]]*TB_Parts_Lists[[#This Row],[Unit Price AED]]</f>
        <v>250</v>
      </c>
      <c r="S85" s="213" t="s">
        <v>118</v>
      </c>
      <c r="T85" s="213" t="s">
        <v>839</v>
      </c>
      <c r="U85" s="213" t="s">
        <v>838</v>
      </c>
    </row>
    <row r="86" spans="1:21" s="199" customFormat="1" x14ac:dyDescent="0.25">
      <c r="A86" s="192" t="s">
        <v>6538</v>
      </c>
      <c r="B86" s="201" t="s">
        <v>3333</v>
      </c>
      <c r="C86" s="199" t="s">
        <v>3349</v>
      </c>
      <c r="D86" s="199" t="s">
        <v>8723</v>
      </c>
      <c r="E86" s="188" t="s">
        <v>4793</v>
      </c>
      <c r="F86" s="189" t="s">
        <v>3117</v>
      </c>
      <c r="G86" s="188" t="s">
        <v>6430</v>
      </c>
      <c r="H86" s="199" t="s">
        <v>72</v>
      </c>
      <c r="I86" s="199">
        <v>1</v>
      </c>
      <c r="J86" s="199">
        <v>1</v>
      </c>
      <c r="K86" s="199">
        <v>1</v>
      </c>
      <c r="L86" s="199">
        <v>50</v>
      </c>
      <c r="M86" s="202">
        <f>TB_Parts_Lists[[#This Row],[Quantity Initial]]+ SUMIF(TB_Transactions[Part number],TB_Parts_Lists[[#This Row],[Part Number]],TB_Transactions[Quantity])</f>
        <v>50</v>
      </c>
      <c r="N86" s="200" t="s">
        <v>4593</v>
      </c>
      <c r="O86" s="234">
        <v>5</v>
      </c>
      <c r="P86" s="199">
        <f>TB_Parts_Lists[[#This Row],[Quantity Initial]]*TB_Parts_Lists[[#This Row],[Unit Price AED]]</f>
        <v>250</v>
      </c>
      <c r="Q86" s="199">
        <f>TB_Parts_Lists[[#This Row],[Quantity Total]]*TB_Parts_Lists[[#This Row],[Unit Price AED]]</f>
        <v>250</v>
      </c>
      <c r="S86" s="213" t="s">
        <v>118</v>
      </c>
      <c r="T86" s="213" t="s">
        <v>839</v>
      </c>
      <c r="U86" s="213" t="s">
        <v>838</v>
      </c>
    </row>
    <row r="87" spans="1:21" s="199" customFormat="1" x14ac:dyDescent="0.25">
      <c r="A87" s="192" t="s">
        <v>6539</v>
      </c>
      <c r="B87" s="201" t="s">
        <v>3333</v>
      </c>
      <c r="C87" s="199" t="s">
        <v>3349</v>
      </c>
      <c r="D87" s="199" t="s">
        <v>8723</v>
      </c>
      <c r="E87" s="188" t="s">
        <v>4794</v>
      </c>
      <c r="F87" s="189" t="s">
        <v>3118</v>
      </c>
      <c r="G87" s="188" t="s">
        <v>6430</v>
      </c>
      <c r="H87" s="199" t="s">
        <v>72</v>
      </c>
      <c r="I87" s="199">
        <v>1</v>
      </c>
      <c r="J87" s="199">
        <v>1</v>
      </c>
      <c r="K87" s="199">
        <v>1</v>
      </c>
      <c r="L87" s="199">
        <v>50</v>
      </c>
      <c r="M87" s="202">
        <f>TB_Parts_Lists[[#This Row],[Quantity Initial]]+ SUMIF(TB_Transactions[Part number],TB_Parts_Lists[[#This Row],[Part Number]],TB_Transactions[Quantity])</f>
        <v>50</v>
      </c>
      <c r="N87" s="200" t="s">
        <v>4593</v>
      </c>
      <c r="O87" s="234">
        <v>5</v>
      </c>
      <c r="P87" s="199">
        <f>TB_Parts_Lists[[#This Row],[Quantity Initial]]*TB_Parts_Lists[[#This Row],[Unit Price AED]]</f>
        <v>250</v>
      </c>
      <c r="Q87" s="199">
        <f>TB_Parts_Lists[[#This Row],[Quantity Total]]*TB_Parts_Lists[[#This Row],[Unit Price AED]]</f>
        <v>250</v>
      </c>
      <c r="S87" s="213" t="s">
        <v>118</v>
      </c>
      <c r="T87" s="213" t="s">
        <v>839</v>
      </c>
      <c r="U87" s="213" t="s">
        <v>838</v>
      </c>
    </row>
    <row r="88" spans="1:21" s="199" customFormat="1" x14ac:dyDescent="0.25">
      <c r="A88" s="192" t="s">
        <v>6540</v>
      </c>
      <c r="B88" s="201" t="s">
        <v>3333</v>
      </c>
      <c r="C88" s="199" t="s">
        <v>3349</v>
      </c>
      <c r="D88" s="199" t="s">
        <v>8723</v>
      </c>
      <c r="E88" s="188" t="s">
        <v>4795</v>
      </c>
      <c r="F88" s="189" t="s">
        <v>3119</v>
      </c>
      <c r="G88" s="188" t="s">
        <v>6430</v>
      </c>
      <c r="H88" s="199" t="s">
        <v>72</v>
      </c>
      <c r="I88" s="199">
        <v>1</v>
      </c>
      <c r="J88" s="199">
        <v>1</v>
      </c>
      <c r="K88" s="199">
        <v>1</v>
      </c>
      <c r="L88" s="199">
        <v>50</v>
      </c>
      <c r="M88" s="202">
        <f>TB_Parts_Lists[[#This Row],[Quantity Initial]]+ SUMIF(TB_Transactions[Part number],TB_Parts_Lists[[#This Row],[Part Number]],TB_Transactions[Quantity])</f>
        <v>50</v>
      </c>
      <c r="N88" s="200" t="s">
        <v>4593</v>
      </c>
      <c r="O88" s="234">
        <v>5</v>
      </c>
      <c r="P88" s="199">
        <f>TB_Parts_Lists[[#This Row],[Quantity Initial]]*TB_Parts_Lists[[#This Row],[Unit Price AED]]</f>
        <v>250</v>
      </c>
      <c r="Q88" s="199">
        <f>TB_Parts_Lists[[#This Row],[Quantity Total]]*TB_Parts_Lists[[#This Row],[Unit Price AED]]</f>
        <v>250</v>
      </c>
      <c r="S88" s="213" t="s">
        <v>118</v>
      </c>
      <c r="T88" s="213" t="s">
        <v>839</v>
      </c>
      <c r="U88" s="213" t="s">
        <v>838</v>
      </c>
    </row>
    <row r="89" spans="1:21" s="199" customFormat="1" x14ac:dyDescent="0.25">
      <c r="A89" s="192" t="s">
        <v>6541</v>
      </c>
      <c r="B89" s="201" t="s">
        <v>3333</v>
      </c>
      <c r="C89" s="199" t="s">
        <v>3349</v>
      </c>
      <c r="D89" s="199" t="s">
        <v>8723</v>
      </c>
      <c r="E89" s="188" t="s">
        <v>4796</v>
      </c>
      <c r="F89" s="189" t="s">
        <v>3120</v>
      </c>
      <c r="G89" s="188" t="s">
        <v>6430</v>
      </c>
      <c r="H89" s="199" t="s">
        <v>72</v>
      </c>
      <c r="I89" s="199">
        <v>1</v>
      </c>
      <c r="J89" s="199">
        <v>1</v>
      </c>
      <c r="K89" s="199">
        <v>1</v>
      </c>
      <c r="L89" s="199">
        <v>50</v>
      </c>
      <c r="M89" s="202">
        <f>TB_Parts_Lists[[#This Row],[Quantity Initial]]+ SUMIF(TB_Transactions[Part number],TB_Parts_Lists[[#This Row],[Part Number]],TB_Transactions[Quantity])</f>
        <v>50</v>
      </c>
      <c r="N89" s="200" t="s">
        <v>4593</v>
      </c>
      <c r="O89" s="234">
        <v>5</v>
      </c>
      <c r="P89" s="199">
        <f>TB_Parts_Lists[[#This Row],[Quantity Initial]]*TB_Parts_Lists[[#This Row],[Unit Price AED]]</f>
        <v>250</v>
      </c>
      <c r="Q89" s="199">
        <f>TB_Parts_Lists[[#This Row],[Quantity Total]]*TB_Parts_Lists[[#This Row],[Unit Price AED]]</f>
        <v>250</v>
      </c>
      <c r="S89" s="213" t="s">
        <v>118</v>
      </c>
      <c r="T89" s="213" t="s">
        <v>839</v>
      </c>
      <c r="U89" s="213" t="s">
        <v>838</v>
      </c>
    </row>
    <row r="90" spans="1:21" s="199" customFormat="1" x14ac:dyDescent="0.25">
      <c r="A90" s="192" t="s">
        <v>6542</v>
      </c>
      <c r="B90" s="201" t="s">
        <v>3333</v>
      </c>
      <c r="C90" s="199" t="s">
        <v>3349</v>
      </c>
      <c r="D90" s="199" t="s">
        <v>8723</v>
      </c>
      <c r="E90" s="188" t="s">
        <v>4797</v>
      </c>
      <c r="F90" s="189" t="s">
        <v>3121</v>
      </c>
      <c r="G90" s="188" t="s">
        <v>6430</v>
      </c>
      <c r="H90" s="199" t="s">
        <v>72</v>
      </c>
      <c r="I90" s="199">
        <v>1</v>
      </c>
      <c r="J90" s="199">
        <v>1</v>
      </c>
      <c r="K90" s="199">
        <v>1</v>
      </c>
      <c r="L90" s="199">
        <v>50</v>
      </c>
      <c r="M90" s="202">
        <f>TB_Parts_Lists[[#This Row],[Quantity Initial]]+ SUMIF(TB_Transactions[Part number],TB_Parts_Lists[[#This Row],[Part Number]],TB_Transactions[Quantity])</f>
        <v>50</v>
      </c>
      <c r="N90" s="200" t="s">
        <v>4593</v>
      </c>
      <c r="O90" s="234">
        <v>5</v>
      </c>
      <c r="P90" s="199">
        <f>TB_Parts_Lists[[#This Row],[Quantity Initial]]*TB_Parts_Lists[[#This Row],[Unit Price AED]]</f>
        <v>250</v>
      </c>
      <c r="Q90" s="199">
        <f>TB_Parts_Lists[[#This Row],[Quantity Total]]*TB_Parts_Lists[[#This Row],[Unit Price AED]]</f>
        <v>250</v>
      </c>
      <c r="S90" s="213" t="s">
        <v>118</v>
      </c>
      <c r="T90" s="213" t="s">
        <v>839</v>
      </c>
      <c r="U90" s="213" t="s">
        <v>838</v>
      </c>
    </row>
    <row r="91" spans="1:21" s="199" customFormat="1" x14ac:dyDescent="0.25">
      <c r="A91" s="192" t="s">
        <v>6543</v>
      </c>
      <c r="B91" s="201" t="s">
        <v>3333</v>
      </c>
      <c r="C91" s="199" t="s">
        <v>2985</v>
      </c>
      <c r="D91" s="199" t="s">
        <v>8723</v>
      </c>
      <c r="E91" s="188" t="s">
        <v>4798</v>
      </c>
      <c r="F91" s="189" t="s">
        <v>3122</v>
      </c>
      <c r="G91" s="188" t="s">
        <v>6430</v>
      </c>
      <c r="H91" s="199" t="s">
        <v>72</v>
      </c>
      <c r="I91" s="199">
        <v>1</v>
      </c>
      <c r="J91" s="199">
        <v>1</v>
      </c>
      <c r="K91" s="199">
        <v>1</v>
      </c>
      <c r="L91" s="199">
        <v>50</v>
      </c>
      <c r="M91" s="202">
        <f>TB_Parts_Lists[[#This Row],[Quantity Initial]]+ SUMIF(TB_Transactions[Part number],TB_Parts_Lists[[#This Row],[Part Number]],TB_Transactions[Quantity])</f>
        <v>50</v>
      </c>
      <c r="N91" s="200" t="s">
        <v>4593</v>
      </c>
      <c r="O91" s="234">
        <v>5</v>
      </c>
      <c r="P91" s="199">
        <f>TB_Parts_Lists[[#This Row],[Quantity Initial]]*TB_Parts_Lists[[#This Row],[Unit Price AED]]</f>
        <v>250</v>
      </c>
      <c r="Q91" s="199">
        <f>TB_Parts_Lists[[#This Row],[Quantity Total]]*TB_Parts_Lists[[#This Row],[Unit Price AED]]</f>
        <v>250</v>
      </c>
      <c r="S91" s="213" t="s">
        <v>118</v>
      </c>
      <c r="T91" s="213" t="s">
        <v>839</v>
      </c>
      <c r="U91" s="213" t="s">
        <v>838</v>
      </c>
    </row>
    <row r="92" spans="1:21" s="199" customFormat="1" x14ac:dyDescent="0.25">
      <c r="A92" s="192" t="s">
        <v>6544</v>
      </c>
      <c r="B92" s="201" t="s">
        <v>3333</v>
      </c>
      <c r="C92" s="199" t="s">
        <v>3349</v>
      </c>
      <c r="D92" s="199" t="s">
        <v>8723</v>
      </c>
      <c r="E92" s="188" t="s">
        <v>4799</v>
      </c>
      <c r="F92" s="189" t="s">
        <v>3123</v>
      </c>
      <c r="G92" s="188" t="s">
        <v>6430</v>
      </c>
      <c r="H92" s="199" t="s">
        <v>72</v>
      </c>
      <c r="I92" s="199">
        <v>1</v>
      </c>
      <c r="J92" s="199">
        <v>1</v>
      </c>
      <c r="K92" s="199">
        <v>1</v>
      </c>
      <c r="L92" s="199">
        <v>50</v>
      </c>
      <c r="M92" s="202">
        <f>TB_Parts_Lists[[#This Row],[Quantity Initial]]+ SUMIF(TB_Transactions[Part number],TB_Parts_Lists[[#This Row],[Part Number]],TB_Transactions[Quantity])</f>
        <v>50</v>
      </c>
      <c r="N92" s="200" t="s">
        <v>4593</v>
      </c>
      <c r="O92" s="234">
        <v>5</v>
      </c>
      <c r="P92" s="199">
        <f>TB_Parts_Lists[[#This Row],[Quantity Initial]]*TB_Parts_Lists[[#This Row],[Unit Price AED]]</f>
        <v>250</v>
      </c>
      <c r="Q92" s="199">
        <f>TB_Parts_Lists[[#This Row],[Quantity Total]]*TB_Parts_Lists[[#This Row],[Unit Price AED]]</f>
        <v>250</v>
      </c>
      <c r="S92" s="213" t="s">
        <v>118</v>
      </c>
      <c r="T92" s="213" t="s">
        <v>839</v>
      </c>
      <c r="U92" s="213" t="s">
        <v>838</v>
      </c>
    </row>
    <row r="93" spans="1:21" s="199" customFormat="1" x14ac:dyDescent="0.25">
      <c r="A93" s="192" t="s">
        <v>6545</v>
      </c>
      <c r="B93" s="201" t="s">
        <v>3333</v>
      </c>
      <c r="C93" s="199" t="s">
        <v>2985</v>
      </c>
      <c r="D93" s="188" t="s">
        <v>8724</v>
      </c>
      <c r="E93" s="188" t="s">
        <v>4800</v>
      </c>
      <c r="F93" s="189" t="s">
        <v>3034</v>
      </c>
      <c r="G93" s="188" t="s">
        <v>6430</v>
      </c>
      <c r="H93" s="199" t="s">
        <v>123</v>
      </c>
      <c r="I93" s="199">
        <v>1</v>
      </c>
      <c r="J93" s="199">
        <v>1</v>
      </c>
      <c r="K93" s="199">
        <v>1</v>
      </c>
      <c r="L93" s="199">
        <v>50</v>
      </c>
      <c r="M93" s="202">
        <f>TB_Parts_Lists[[#This Row],[Quantity Initial]]+ SUMIF(TB_Transactions[Part number],TB_Parts_Lists[[#This Row],[Part Number]],TB_Transactions[Quantity])</f>
        <v>50</v>
      </c>
      <c r="N93" s="200" t="s">
        <v>4593</v>
      </c>
      <c r="O93" s="234">
        <v>5</v>
      </c>
      <c r="P93" s="199">
        <f>TB_Parts_Lists[[#This Row],[Quantity Initial]]*TB_Parts_Lists[[#This Row],[Unit Price AED]]</f>
        <v>250</v>
      </c>
      <c r="Q93" s="199">
        <f>TB_Parts_Lists[[#This Row],[Quantity Total]]*TB_Parts_Lists[[#This Row],[Unit Price AED]]</f>
        <v>250</v>
      </c>
      <c r="S93" s="213" t="s">
        <v>118</v>
      </c>
      <c r="T93" s="213" t="s">
        <v>839</v>
      </c>
      <c r="U93" s="213" t="s">
        <v>838</v>
      </c>
    </row>
    <row r="94" spans="1:21" s="199" customFormat="1" x14ac:dyDescent="0.25">
      <c r="A94" s="192" t="s">
        <v>6546</v>
      </c>
      <c r="B94" s="201" t="s">
        <v>3333</v>
      </c>
      <c r="C94" s="199" t="s">
        <v>2985</v>
      </c>
      <c r="D94" s="199" t="s">
        <v>8723</v>
      </c>
      <c r="E94" s="188" t="s">
        <v>4801</v>
      </c>
      <c r="F94" s="189" t="s">
        <v>3124</v>
      </c>
      <c r="G94" s="188" t="s">
        <v>6430</v>
      </c>
      <c r="H94" s="199" t="s">
        <v>72</v>
      </c>
      <c r="I94" s="199">
        <v>1</v>
      </c>
      <c r="J94" s="199">
        <v>1</v>
      </c>
      <c r="K94" s="199">
        <v>1</v>
      </c>
      <c r="L94" s="199">
        <v>50</v>
      </c>
      <c r="M94" s="202">
        <f>TB_Parts_Lists[[#This Row],[Quantity Initial]]+ SUMIF(TB_Transactions[Part number],TB_Parts_Lists[[#This Row],[Part Number]],TB_Transactions[Quantity])</f>
        <v>50</v>
      </c>
      <c r="N94" s="200" t="s">
        <v>4593</v>
      </c>
      <c r="O94" s="234">
        <v>5</v>
      </c>
      <c r="P94" s="199">
        <f>TB_Parts_Lists[[#This Row],[Quantity Initial]]*TB_Parts_Lists[[#This Row],[Unit Price AED]]</f>
        <v>250</v>
      </c>
      <c r="Q94" s="199">
        <f>TB_Parts_Lists[[#This Row],[Quantity Total]]*TB_Parts_Lists[[#This Row],[Unit Price AED]]</f>
        <v>250</v>
      </c>
      <c r="S94" s="213" t="s">
        <v>118</v>
      </c>
      <c r="T94" s="213" t="s">
        <v>839</v>
      </c>
      <c r="U94" s="213" t="s">
        <v>838</v>
      </c>
    </row>
    <row r="95" spans="1:21" s="199" customFormat="1" x14ac:dyDescent="0.25">
      <c r="A95" s="192" t="s">
        <v>6547</v>
      </c>
      <c r="B95" s="201" t="s">
        <v>3333</v>
      </c>
      <c r="C95" s="199" t="s">
        <v>2985</v>
      </c>
      <c r="D95" s="199" t="s">
        <v>8723</v>
      </c>
      <c r="E95" s="188" t="s">
        <v>4802</v>
      </c>
      <c r="F95" s="189" t="s">
        <v>3125</v>
      </c>
      <c r="G95" s="188" t="s">
        <v>6430</v>
      </c>
      <c r="H95" s="199" t="s">
        <v>72</v>
      </c>
      <c r="I95" s="199">
        <v>1</v>
      </c>
      <c r="J95" s="199">
        <v>1</v>
      </c>
      <c r="K95" s="199">
        <v>1</v>
      </c>
      <c r="L95" s="199">
        <v>50</v>
      </c>
      <c r="M95" s="202">
        <f>TB_Parts_Lists[[#This Row],[Quantity Initial]]+ SUMIF(TB_Transactions[Part number],TB_Parts_Lists[[#This Row],[Part Number]],TB_Transactions[Quantity])</f>
        <v>50</v>
      </c>
      <c r="N95" s="200" t="s">
        <v>4593</v>
      </c>
      <c r="O95" s="234">
        <v>5</v>
      </c>
      <c r="P95" s="199">
        <f>TB_Parts_Lists[[#This Row],[Quantity Initial]]*TB_Parts_Lists[[#This Row],[Unit Price AED]]</f>
        <v>250</v>
      </c>
      <c r="Q95" s="199">
        <f>TB_Parts_Lists[[#This Row],[Quantity Total]]*TB_Parts_Lists[[#This Row],[Unit Price AED]]</f>
        <v>250</v>
      </c>
      <c r="S95" s="213" t="s">
        <v>118</v>
      </c>
      <c r="T95" s="213" t="s">
        <v>839</v>
      </c>
      <c r="U95" s="213" t="s">
        <v>838</v>
      </c>
    </row>
    <row r="96" spans="1:21" s="199" customFormat="1" x14ac:dyDescent="0.25">
      <c r="A96" s="192" t="s">
        <v>6548</v>
      </c>
      <c r="B96" s="201" t="s">
        <v>3333</v>
      </c>
      <c r="C96" s="199" t="s">
        <v>3223</v>
      </c>
      <c r="D96" s="199" t="s">
        <v>8723</v>
      </c>
      <c r="E96" s="188" t="s">
        <v>4803</v>
      </c>
      <c r="F96" s="189" t="s">
        <v>3126</v>
      </c>
      <c r="G96" s="188" t="s">
        <v>6430</v>
      </c>
      <c r="H96" s="199" t="s">
        <v>72</v>
      </c>
      <c r="I96" s="199">
        <v>1</v>
      </c>
      <c r="J96" s="199">
        <v>1</v>
      </c>
      <c r="K96" s="199">
        <v>1</v>
      </c>
      <c r="L96" s="199">
        <v>50</v>
      </c>
      <c r="M96" s="202">
        <f>TB_Parts_Lists[[#This Row],[Quantity Initial]]+ SUMIF(TB_Transactions[Part number],TB_Parts_Lists[[#This Row],[Part Number]],TB_Transactions[Quantity])</f>
        <v>50</v>
      </c>
      <c r="N96" s="200" t="s">
        <v>4593</v>
      </c>
      <c r="O96" s="234">
        <v>5</v>
      </c>
      <c r="P96" s="199">
        <f>TB_Parts_Lists[[#This Row],[Quantity Initial]]*TB_Parts_Lists[[#This Row],[Unit Price AED]]</f>
        <v>250</v>
      </c>
      <c r="Q96" s="199">
        <f>TB_Parts_Lists[[#This Row],[Quantity Total]]*TB_Parts_Lists[[#This Row],[Unit Price AED]]</f>
        <v>250</v>
      </c>
      <c r="S96" s="213" t="s">
        <v>118</v>
      </c>
      <c r="T96" s="213" t="s">
        <v>839</v>
      </c>
      <c r="U96" s="213" t="s">
        <v>838</v>
      </c>
    </row>
    <row r="97" spans="1:21" s="199" customFormat="1" x14ac:dyDescent="0.25">
      <c r="A97" s="192" t="s">
        <v>6549</v>
      </c>
      <c r="B97" s="201" t="s">
        <v>3333</v>
      </c>
      <c r="C97" s="199" t="s">
        <v>3349</v>
      </c>
      <c r="D97" s="199" t="s">
        <v>8723</v>
      </c>
      <c r="E97" s="188" t="s">
        <v>4804</v>
      </c>
      <c r="F97" s="189" t="s">
        <v>4692</v>
      </c>
      <c r="G97" s="188" t="s">
        <v>6430</v>
      </c>
      <c r="H97" s="199" t="s">
        <v>72</v>
      </c>
      <c r="I97" s="199">
        <v>1</v>
      </c>
      <c r="J97" s="199">
        <v>1</v>
      </c>
      <c r="K97" s="199">
        <v>1</v>
      </c>
      <c r="L97" s="199">
        <v>50</v>
      </c>
      <c r="M97" s="202">
        <f>TB_Parts_Lists[[#This Row],[Quantity Initial]]+ SUMIF(TB_Transactions[Part number],TB_Parts_Lists[[#This Row],[Part Number]],TB_Transactions[Quantity])</f>
        <v>50</v>
      </c>
      <c r="N97" s="200" t="s">
        <v>4593</v>
      </c>
      <c r="O97" s="234">
        <v>5</v>
      </c>
      <c r="P97" s="199">
        <f>TB_Parts_Lists[[#This Row],[Quantity Initial]]*TB_Parts_Lists[[#This Row],[Unit Price AED]]</f>
        <v>250</v>
      </c>
      <c r="Q97" s="199">
        <f>TB_Parts_Lists[[#This Row],[Quantity Total]]*TB_Parts_Lists[[#This Row],[Unit Price AED]]</f>
        <v>250</v>
      </c>
      <c r="S97" s="213" t="s">
        <v>118</v>
      </c>
      <c r="T97" s="213" t="s">
        <v>839</v>
      </c>
      <c r="U97" s="213" t="s">
        <v>838</v>
      </c>
    </row>
    <row r="98" spans="1:21" s="199" customFormat="1" x14ac:dyDescent="0.25">
      <c r="A98" s="192" t="s">
        <v>6550</v>
      </c>
      <c r="B98" s="201" t="s">
        <v>3333</v>
      </c>
      <c r="C98" s="199" t="s">
        <v>3349</v>
      </c>
      <c r="D98" s="199" t="s">
        <v>8732</v>
      </c>
      <c r="E98" s="188" t="s">
        <v>4805</v>
      </c>
      <c r="F98" s="189" t="s">
        <v>3127</v>
      </c>
      <c r="G98" s="188" t="s">
        <v>6430</v>
      </c>
      <c r="H98" s="199" t="s">
        <v>72</v>
      </c>
      <c r="I98" s="199">
        <v>1</v>
      </c>
      <c r="J98" s="199">
        <v>1</v>
      </c>
      <c r="K98" s="199">
        <v>1</v>
      </c>
      <c r="L98" s="199">
        <v>50</v>
      </c>
      <c r="M98" s="202">
        <f>TB_Parts_Lists[[#This Row],[Quantity Initial]]+ SUMIF(TB_Transactions[Part number],TB_Parts_Lists[[#This Row],[Part Number]],TB_Transactions[Quantity])</f>
        <v>50</v>
      </c>
      <c r="N98" s="200" t="s">
        <v>4593</v>
      </c>
      <c r="O98" s="234">
        <v>5</v>
      </c>
      <c r="P98" s="199">
        <f>TB_Parts_Lists[[#This Row],[Quantity Initial]]*TB_Parts_Lists[[#This Row],[Unit Price AED]]</f>
        <v>250</v>
      </c>
      <c r="Q98" s="199">
        <f>TB_Parts_Lists[[#This Row],[Quantity Total]]*TB_Parts_Lists[[#This Row],[Unit Price AED]]</f>
        <v>250</v>
      </c>
      <c r="S98" s="213" t="s">
        <v>118</v>
      </c>
      <c r="T98" s="213" t="s">
        <v>839</v>
      </c>
      <c r="U98" s="213" t="s">
        <v>838</v>
      </c>
    </row>
    <row r="99" spans="1:21" s="199" customFormat="1" x14ac:dyDescent="0.25">
      <c r="A99" s="192" t="s">
        <v>6551</v>
      </c>
      <c r="B99" s="201" t="s">
        <v>3333</v>
      </c>
      <c r="C99" s="199" t="s">
        <v>3349</v>
      </c>
      <c r="D99" s="199" t="s">
        <v>8723</v>
      </c>
      <c r="E99" s="188" t="s">
        <v>4806</v>
      </c>
      <c r="F99" s="189" t="s">
        <v>3128</v>
      </c>
      <c r="G99" s="188" t="s">
        <v>6430</v>
      </c>
      <c r="H99" s="199" t="s">
        <v>72</v>
      </c>
      <c r="I99" s="199">
        <v>1</v>
      </c>
      <c r="J99" s="199">
        <v>1</v>
      </c>
      <c r="K99" s="199">
        <v>1</v>
      </c>
      <c r="L99" s="199">
        <v>50</v>
      </c>
      <c r="M99" s="202">
        <f>TB_Parts_Lists[[#This Row],[Quantity Initial]]+ SUMIF(TB_Transactions[Part number],TB_Parts_Lists[[#This Row],[Part Number]],TB_Transactions[Quantity])</f>
        <v>50</v>
      </c>
      <c r="N99" s="200" t="s">
        <v>4593</v>
      </c>
      <c r="O99" s="234">
        <v>5</v>
      </c>
      <c r="P99" s="199">
        <f>TB_Parts_Lists[[#This Row],[Quantity Initial]]*TB_Parts_Lists[[#This Row],[Unit Price AED]]</f>
        <v>250</v>
      </c>
      <c r="Q99" s="199">
        <f>TB_Parts_Lists[[#This Row],[Quantity Total]]*TB_Parts_Lists[[#This Row],[Unit Price AED]]</f>
        <v>250</v>
      </c>
      <c r="S99" s="213" t="s">
        <v>118</v>
      </c>
      <c r="T99" s="213" t="s">
        <v>839</v>
      </c>
      <c r="U99" s="213" t="s">
        <v>838</v>
      </c>
    </row>
    <row r="100" spans="1:21" s="199" customFormat="1" x14ac:dyDescent="0.25">
      <c r="A100" s="192" t="s">
        <v>6552</v>
      </c>
      <c r="B100" s="201" t="s">
        <v>3333</v>
      </c>
      <c r="C100" s="199" t="s">
        <v>3349</v>
      </c>
      <c r="D100" s="199" t="s">
        <v>8723</v>
      </c>
      <c r="E100" s="188" t="s">
        <v>4807</v>
      </c>
      <c r="F100" s="189" t="s">
        <v>3129</v>
      </c>
      <c r="G100" s="188" t="s">
        <v>6430</v>
      </c>
      <c r="H100" s="199" t="s">
        <v>72</v>
      </c>
      <c r="I100" s="199">
        <v>1</v>
      </c>
      <c r="J100" s="199">
        <v>1</v>
      </c>
      <c r="K100" s="199">
        <v>1</v>
      </c>
      <c r="L100" s="199">
        <v>50</v>
      </c>
      <c r="M100" s="202">
        <f>TB_Parts_Lists[[#This Row],[Quantity Initial]]+ SUMIF(TB_Transactions[Part number],TB_Parts_Lists[[#This Row],[Part Number]],TB_Transactions[Quantity])</f>
        <v>50</v>
      </c>
      <c r="N100" s="200" t="s">
        <v>4593</v>
      </c>
      <c r="O100" s="234">
        <v>5</v>
      </c>
      <c r="P100" s="199">
        <f>TB_Parts_Lists[[#This Row],[Quantity Initial]]*TB_Parts_Lists[[#This Row],[Unit Price AED]]</f>
        <v>250</v>
      </c>
      <c r="Q100" s="199">
        <f>TB_Parts_Lists[[#This Row],[Quantity Total]]*TB_Parts_Lists[[#This Row],[Unit Price AED]]</f>
        <v>250</v>
      </c>
      <c r="S100" s="213" t="s">
        <v>118</v>
      </c>
      <c r="T100" s="213" t="s">
        <v>839</v>
      </c>
      <c r="U100" s="213" t="s">
        <v>838</v>
      </c>
    </row>
    <row r="101" spans="1:21" s="199" customFormat="1" x14ac:dyDescent="0.25">
      <c r="A101" s="192" t="s">
        <v>6553</v>
      </c>
      <c r="B101" s="201" t="s">
        <v>3333</v>
      </c>
      <c r="C101" s="199" t="s">
        <v>2985</v>
      </c>
      <c r="D101" s="188" t="s">
        <v>8724</v>
      </c>
      <c r="E101" s="188" t="s">
        <v>4808</v>
      </c>
      <c r="F101" s="189" t="s">
        <v>3130</v>
      </c>
      <c r="G101" s="188" t="s">
        <v>6430</v>
      </c>
      <c r="H101" s="199" t="s">
        <v>3312</v>
      </c>
      <c r="I101" s="199">
        <v>1</v>
      </c>
      <c r="J101" s="199">
        <v>1</v>
      </c>
      <c r="K101" s="199">
        <v>1</v>
      </c>
      <c r="L101" s="199">
        <v>50</v>
      </c>
      <c r="M101" s="202">
        <f>TB_Parts_Lists[[#This Row],[Quantity Initial]]+ SUMIF(TB_Transactions[Part number],TB_Parts_Lists[[#This Row],[Part Number]],TB_Transactions[Quantity])</f>
        <v>50</v>
      </c>
      <c r="N101" s="200" t="s">
        <v>4593</v>
      </c>
      <c r="O101" s="234">
        <v>5</v>
      </c>
      <c r="P101" s="199">
        <f>TB_Parts_Lists[[#This Row],[Quantity Initial]]*TB_Parts_Lists[[#This Row],[Unit Price AED]]</f>
        <v>250</v>
      </c>
      <c r="Q101" s="199">
        <f>TB_Parts_Lists[[#This Row],[Quantity Total]]*TB_Parts_Lists[[#This Row],[Unit Price AED]]</f>
        <v>250</v>
      </c>
      <c r="S101" s="213" t="s">
        <v>118</v>
      </c>
      <c r="T101" s="213" t="s">
        <v>839</v>
      </c>
      <c r="U101" s="213" t="s">
        <v>838</v>
      </c>
    </row>
    <row r="102" spans="1:21" s="199" customFormat="1" x14ac:dyDescent="0.25">
      <c r="A102" s="192" t="s">
        <v>6554</v>
      </c>
      <c r="B102" s="201" t="s">
        <v>3333</v>
      </c>
      <c r="C102" s="199" t="s">
        <v>3349</v>
      </c>
      <c r="D102" s="199" t="s">
        <v>8723</v>
      </c>
      <c r="E102" s="188" t="s">
        <v>4809</v>
      </c>
      <c r="F102" s="189" t="s">
        <v>3131</v>
      </c>
      <c r="G102" s="188" t="s">
        <v>6430</v>
      </c>
      <c r="H102" s="199" t="s">
        <v>72</v>
      </c>
      <c r="I102" s="199">
        <v>1</v>
      </c>
      <c r="J102" s="199">
        <v>1</v>
      </c>
      <c r="K102" s="199">
        <v>1</v>
      </c>
      <c r="L102" s="199">
        <v>50</v>
      </c>
      <c r="M102" s="202">
        <f>TB_Parts_Lists[[#This Row],[Quantity Initial]]+ SUMIF(TB_Transactions[Part number],TB_Parts_Lists[[#This Row],[Part Number]],TB_Transactions[Quantity])</f>
        <v>50</v>
      </c>
      <c r="N102" s="200" t="s">
        <v>4593</v>
      </c>
      <c r="O102" s="234">
        <v>5</v>
      </c>
      <c r="P102" s="199">
        <f>TB_Parts_Lists[[#This Row],[Quantity Initial]]*TB_Parts_Lists[[#This Row],[Unit Price AED]]</f>
        <v>250</v>
      </c>
      <c r="Q102" s="199">
        <f>TB_Parts_Lists[[#This Row],[Quantity Total]]*TB_Parts_Lists[[#This Row],[Unit Price AED]]</f>
        <v>250</v>
      </c>
      <c r="S102" s="213" t="s">
        <v>118</v>
      </c>
      <c r="T102" s="213" t="s">
        <v>839</v>
      </c>
      <c r="U102" s="213" t="s">
        <v>838</v>
      </c>
    </row>
    <row r="103" spans="1:21" s="199" customFormat="1" x14ac:dyDescent="0.25">
      <c r="A103" s="192" t="s">
        <v>6555</v>
      </c>
      <c r="B103" s="201" t="s">
        <v>3333</v>
      </c>
      <c r="C103" s="199" t="s">
        <v>3349</v>
      </c>
      <c r="D103" s="188" t="s">
        <v>8724</v>
      </c>
      <c r="E103" s="188" t="s">
        <v>4810</v>
      </c>
      <c r="F103" s="189" t="s">
        <v>3132</v>
      </c>
      <c r="G103" s="188" t="s">
        <v>6430</v>
      </c>
      <c r="H103" s="199" t="s">
        <v>72</v>
      </c>
      <c r="I103" s="199">
        <v>1</v>
      </c>
      <c r="J103" s="199">
        <v>1</v>
      </c>
      <c r="K103" s="199">
        <v>1</v>
      </c>
      <c r="L103" s="199">
        <v>50</v>
      </c>
      <c r="M103" s="202">
        <f>TB_Parts_Lists[[#This Row],[Quantity Initial]]+ SUMIF(TB_Transactions[Part number],TB_Parts_Lists[[#This Row],[Part Number]],TB_Transactions[Quantity])</f>
        <v>50</v>
      </c>
      <c r="N103" s="200" t="s">
        <v>4593</v>
      </c>
      <c r="O103" s="234">
        <v>5</v>
      </c>
      <c r="P103" s="199">
        <f>TB_Parts_Lists[[#This Row],[Quantity Initial]]*TB_Parts_Lists[[#This Row],[Unit Price AED]]</f>
        <v>250</v>
      </c>
      <c r="Q103" s="199">
        <f>TB_Parts_Lists[[#This Row],[Quantity Total]]*TB_Parts_Lists[[#This Row],[Unit Price AED]]</f>
        <v>250</v>
      </c>
      <c r="S103" s="213" t="s">
        <v>118</v>
      </c>
      <c r="T103" s="213" t="s">
        <v>839</v>
      </c>
      <c r="U103" s="213" t="s">
        <v>838</v>
      </c>
    </row>
    <row r="104" spans="1:21" s="199" customFormat="1" x14ac:dyDescent="0.25">
      <c r="A104" s="192" t="s">
        <v>6556</v>
      </c>
      <c r="B104" s="201" t="s">
        <v>3333</v>
      </c>
      <c r="C104" s="199" t="s">
        <v>3349</v>
      </c>
      <c r="D104" s="199" t="s">
        <v>8723</v>
      </c>
      <c r="E104" s="188" t="s">
        <v>4811</v>
      </c>
      <c r="F104" s="189" t="s">
        <v>3133</v>
      </c>
      <c r="G104" s="188" t="s">
        <v>6430</v>
      </c>
      <c r="H104" s="199" t="s">
        <v>72</v>
      </c>
      <c r="I104" s="199">
        <v>1</v>
      </c>
      <c r="J104" s="199">
        <v>1</v>
      </c>
      <c r="K104" s="199">
        <v>1</v>
      </c>
      <c r="L104" s="199">
        <v>50</v>
      </c>
      <c r="M104" s="202">
        <f>TB_Parts_Lists[[#This Row],[Quantity Initial]]+ SUMIF(TB_Transactions[Part number],TB_Parts_Lists[[#This Row],[Part Number]],TB_Transactions[Quantity])</f>
        <v>50</v>
      </c>
      <c r="N104" s="200" t="s">
        <v>4593</v>
      </c>
      <c r="O104" s="234">
        <v>5</v>
      </c>
      <c r="P104" s="199">
        <f>TB_Parts_Lists[[#This Row],[Quantity Initial]]*TB_Parts_Lists[[#This Row],[Unit Price AED]]</f>
        <v>250</v>
      </c>
      <c r="Q104" s="199">
        <f>TB_Parts_Lists[[#This Row],[Quantity Total]]*TB_Parts_Lists[[#This Row],[Unit Price AED]]</f>
        <v>250</v>
      </c>
      <c r="S104" s="213" t="s">
        <v>118</v>
      </c>
      <c r="T104" s="213" t="s">
        <v>839</v>
      </c>
      <c r="U104" s="213" t="s">
        <v>838</v>
      </c>
    </row>
    <row r="105" spans="1:21" s="199" customFormat="1" x14ac:dyDescent="0.25">
      <c r="A105" s="192" t="s">
        <v>6557</v>
      </c>
      <c r="B105" s="201" t="s">
        <v>3333</v>
      </c>
      <c r="C105" s="199" t="s">
        <v>3349</v>
      </c>
      <c r="D105" s="188" t="s">
        <v>8724</v>
      </c>
      <c r="E105" s="188" t="s">
        <v>4812</v>
      </c>
      <c r="F105" s="189" t="s">
        <v>3134</v>
      </c>
      <c r="G105" s="188" t="s">
        <v>6430</v>
      </c>
      <c r="H105" s="199" t="s">
        <v>72</v>
      </c>
      <c r="I105" s="199">
        <v>1</v>
      </c>
      <c r="J105" s="199">
        <v>1</v>
      </c>
      <c r="K105" s="199">
        <v>1</v>
      </c>
      <c r="L105" s="199">
        <v>50</v>
      </c>
      <c r="M105" s="202">
        <f>TB_Parts_Lists[[#This Row],[Quantity Initial]]+ SUMIF(TB_Transactions[Part number],TB_Parts_Lists[[#This Row],[Part Number]],TB_Transactions[Quantity])</f>
        <v>50</v>
      </c>
      <c r="N105" s="200" t="s">
        <v>4593</v>
      </c>
      <c r="O105" s="234">
        <v>5</v>
      </c>
      <c r="P105" s="199">
        <f>TB_Parts_Lists[[#This Row],[Quantity Initial]]*TB_Parts_Lists[[#This Row],[Unit Price AED]]</f>
        <v>250</v>
      </c>
      <c r="Q105" s="199">
        <f>TB_Parts_Lists[[#This Row],[Quantity Total]]*TB_Parts_Lists[[#This Row],[Unit Price AED]]</f>
        <v>250</v>
      </c>
      <c r="S105" s="213" t="s">
        <v>118</v>
      </c>
      <c r="T105" s="213" t="s">
        <v>839</v>
      </c>
      <c r="U105" s="213" t="s">
        <v>838</v>
      </c>
    </row>
    <row r="106" spans="1:21" s="199" customFormat="1" x14ac:dyDescent="0.25">
      <c r="A106" s="192" t="s">
        <v>6558</v>
      </c>
      <c r="B106" s="201" t="s">
        <v>3333</v>
      </c>
      <c r="C106" s="199" t="s">
        <v>3349</v>
      </c>
      <c r="D106" s="188" t="s">
        <v>8724</v>
      </c>
      <c r="E106" s="188" t="s">
        <v>4813</v>
      </c>
      <c r="F106" s="189" t="s">
        <v>3135</v>
      </c>
      <c r="G106" s="188" t="s">
        <v>6430</v>
      </c>
      <c r="H106" s="199" t="s">
        <v>72</v>
      </c>
      <c r="I106" s="199">
        <v>1</v>
      </c>
      <c r="J106" s="199">
        <v>1</v>
      </c>
      <c r="K106" s="199">
        <v>1</v>
      </c>
      <c r="L106" s="199">
        <v>50</v>
      </c>
      <c r="M106" s="202">
        <f>TB_Parts_Lists[[#This Row],[Quantity Initial]]+ SUMIF(TB_Transactions[Part number],TB_Parts_Lists[[#This Row],[Part Number]],TB_Transactions[Quantity])</f>
        <v>50</v>
      </c>
      <c r="N106" s="200" t="s">
        <v>4593</v>
      </c>
      <c r="O106" s="234">
        <v>5</v>
      </c>
      <c r="P106" s="199">
        <f>TB_Parts_Lists[[#This Row],[Quantity Initial]]*TB_Parts_Lists[[#This Row],[Unit Price AED]]</f>
        <v>250</v>
      </c>
      <c r="Q106" s="199">
        <f>TB_Parts_Lists[[#This Row],[Quantity Total]]*TB_Parts_Lists[[#This Row],[Unit Price AED]]</f>
        <v>250</v>
      </c>
      <c r="S106" s="213" t="s">
        <v>118</v>
      </c>
      <c r="T106" s="213" t="s">
        <v>839</v>
      </c>
      <c r="U106" s="213" t="s">
        <v>838</v>
      </c>
    </row>
    <row r="107" spans="1:21" s="199" customFormat="1" x14ac:dyDescent="0.25">
      <c r="A107" s="192" t="s">
        <v>6559</v>
      </c>
      <c r="B107" s="201" t="s">
        <v>3333</v>
      </c>
      <c r="C107" s="199" t="s">
        <v>3349</v>
      </c>
      <c r="D107" s="188" t="s">
        <v>8724</v>
      </c>
      <c r="E107" s="188" t="s">
        <v>4814</v>
      </c>
      <c r="F107" s="189" t="s">
        <v>3137</v>
      </c>
      <c r="G107" s="188" t="s">
        <v>6430</v>
      </c>
      <c r="H107" s="199" t="s">
        <v>72</v>
      </c>
      <c r="I107" s="199">
        <v>1</v>
      </c>
      <c r="J107" s="199">
        <v>1</v>
      </c>
      <c r="K107" s="199">
        <v>1</v>
      </c>
      <c r="L107" s="199">
        <v>50</v>
      </c>
      <c r="M107" s="202">
        <f>TB_Parts_Lists[[#This Row],[Quantity Initial]]+ SUMIF(TB_Transactions[Part number],TB_Parts_Lists[[#This Row],[Part Number]],TB_Transactions[Quantity])</f>
        <v>50</v>
      </c>
      <c r="N107" s="200" t="s">
        <v>4593</v>
      </c>
      <c r="O107" s="234">
        <v>5</v>
      </c>
      <c r="P107" s="199">
        <f>TB_Parts_Lists[[#This Row],[Quantity Initial]]*TB_Parts_Lists[[#This Row],[Unit Price AED]]</f>
        <v>250</v>
      </c>
      <c r="Q107" s="199">
        <f>TB_Parts_Lists[[#This Row],[Quantity Total]]*TB_Parts_Lists[[#This Row],[Unit Price AED]]</f>
        <v>250</v>
      </c>
      <c r="S107" s="213" t="s">
        <v>118</v>
      </c>
      <c r="T107" s="213" t="s">
        <v>839</v>
      </c>
      <c r="U107" s="213" t="s">
        <v>838</v>
      </c>
    </row>
    <row r="108" spans="1:21" s="199" customFormat="1" x14ac:dyDescent="0.25">
      <c r="A108" s="192" t="s">
        <v>6560</v>
      </c>
      <c r="B108" s="201" t="s">
        <v>3333</v>
      </c>
      <c r="C108" s="199" t="s">
        <v>3349</v>
      </c>
      <c r="D108" s="188" t="s">
        <v>8724</v>
      </c>
      <c r="E108" s="188" t="s">
        <v>4815</v>
      </c>
      <c r="F108" s="189" t="s">
        <v>3136</v>
      </c>
      <c r="G108" s="188" t="s">
        <v>6430</v>
      </c>
      <c r="H108" s="199" t="s">
        <v>8636</v>
      </c>
      <c r="I108" s="199">
        <v>1</v>
      </c>
      <c r="J108" s="199">
        <v>1</v>
      </c>
      <c r="K108" s="199">
        <v>1</v>
      </c>
      <c r="L108" s="199">
        <v>50</v>
      </c>
      <c r="M108" s="202">
        <f>TB_Parts_Lists[[#This Row],[Quantity Initial]]+ SUMIF(TB_Transactions[Part number],TB_Parts_Lists[[#This Row],[Part Number]],TB_Transactions[Quantity])</f>
        <v>50</v>
      </c>
      <c r="N108" s="200" t="s">
        <v>4593</v>
      </c>
      <c r="O108" s="234">
        <v>5</v>
      </c>
      <c r="P108" s="199">
        <f>TB_Parts_Lists[[#This Row],[Quantity Initial]]*TB_Parts_Lists[[#This Row],[Unit Price AED]]</f>
        <v>250</v>
      </c>
      <c r="Q108" s="199">
        <f>TB_Parts_Lists[[#This Row],[Quantity Total]]*TB_Parts_Lists[[#This Row],[Unit Price AED]]</f>
        <v>250</v>
      </c>
      <c r="S108" s="213" t="s">
        <v>118</v>
      </c>
      <c r="T108" s="213" t="s">
        <v>839</v>
      </c>
      <c r="U108" s="213" t="s">
        <v>838</v>
      </c>
    </row>
    <row r="109" spans="1:21" s="199" customFormat="1" x14ac:dyDescent="0.25">
      <c r="A109" s="192" t="s">
        <v>6561</v>
      </c>
      <c r="B109" s="201" t="s">
        <v>3333</v>
      </c>
      <c r="C109" s="199" t="s">
        <v>3349</v>
      </c>
      <c r="D109" s="188" t="s">
        <v>8724</v>
      </c>
      <c r="E109" s="188" t="s">
        <v>4816</v>
      </c>
      <c r="F109" s="189" t="s">
        <v>3138</v>
      </c>
      <c r="G109" s="188" t="s">
        <v>6430</v>
      </c>
      <c r="H109" s="199" t="s">
        <v>72</v>
      </c>
      <c r="I109" s="199">
        <v>1</v>
      </c>
      <c r="J109" s="199">
        <v>1</v>
      </c>
      <c r="K109" s="199">
        <v>1</v>
      </c>
      <c r="L109" s="199">
        <v>50</v>
      </c>
      <c r="M109" s="202">
        <f>TB_Parts_Lists[[#This Row],[Quantity Initial]]+ SUMIF(TB_Transactions[Part number],TB_Parts_Lists[[#This Row],[Part Number]],TB_Transactions[Quantity])</f>
        <v>50</v>
      </c>
      <c r="N109" s="200" t="s">
        <v>4593</v>
      </c>
      <c r="O109" s="234">
        <v>5</v>
      </c>
      <c r="P109" s="199">
        <f>TB_Parts_Lists[[#This Row],[Quantity Initial]]*TB_Parts_Lists[[#This Row],[Unit Price AED]]</f>
        <v>250</v>
      </c>
      <c r="Q109" s="199">
        <f>TB_Parts_Lists[[#This Row],[Quantity Total]]*TB_Parts_Lists[[#This Row],[Unit Price AED]]</f>
        <v>250</v>
      </c>
      <c r="S109" s="213" t="s">
        <v>118</v>
      </c>
      <c r="T109" s="213" t="s">
        <v>839</v>
      </c>
      <c r="U109" s="213" t="s">
        <v>838</v>
      </c>
    </row>
    <row r="110" spans="1:21" s="199" customFormat="1" x14ac:dyDescent="0.25">
      <c r="A110" s="192" t="s">
        <v>6562</v>
      </c>
      <c r="B110" s="201" t="s">
        <v>3333</v>
      </c>
      <c r="C110" s="199" t="s">
        <v>2985</v>
      </c>
      <c r="D110" s="199" t="s">
        <v>8723</v>
      </c>
      <c r="E110" s="188" t="s">
        <v>4817</v>
      </c>
      <c r="F110" s="189" t="s">
        <v>3139</v>
      </c>
      <c r="G110" s="188" t="s">
        <v>6430</v>
      </c>
      <c r="H110" s="199" t="s">
        <v>72</v>
      </c>
      <c r="I110" s="199">
        <v>1</v>
      </c>
      <c r="J110" s="199">
        <v>1</v>
      </c>
      <c r="K110" s="199">
        <v>1</v>
      </c>
      <c r="L110" s="199">
        <v>50</v>
      </c>
      <c r="M110" s="202">
        <f>TB_Parts_Lists[[#This Row],[Quantity Initial]]+ SUMIF(TB_Transactions[Part number],TB_Parts_Lists[[#This Row],[Part Number]],TB_Transactions[Quantity])</f>
        <v>50</v>
      </c>
      <c r="N110" s="200" t="s">
        <v>4593</v>
      </c>
      <c r="O110" s="234">
        <v>5</v>
      </c>
      <c r="P110" s="199">
        <f>TB_Parts_Lists[[#This Row],[Quantity Initial]]*TB_Parts_Lists[[#This Row],[Unit Price AED]]</f>
        <v>250</v>
      </c>
      <c r="Q110" s="199">
        <f>TB_Parts_Lists[[#This Row],[Quantity Total]]*TB_Parts_Lists[[#This Row],[Unit Price AED]]</f>
        <v>250</v>
      </c>
      <c r="S110" s="213" t="s">
        <v>118</v>
      </c>
      <c r="T110" s="213" t="s">
        <v>839</v>
      </c>
      <c r="U110" s="213" t="s">
        <v>838</v>
      </c>
    </row>
    <row r="111" spans="1:21" s="199" customFormat="1" x14ac:dyDescent="0.25">
      <c r="A111" s="192" t="s">
        <v>6563</v>
      </c>
      <c r="B111" s="201" t="s">
        <v>3333</v>
      </c>
      <c r="C111" s="199" t="s">
        <v>2985</v>
      </c>
      <c r="D111" s="188" t="s">
        <v>8724</v>
      </c>
      <c r="E111" s="188" t="s">
        <v>4818</v>
      </c>
      <c r="F111" s="189" t="s">
        <v>3140</v>
      </c>
      <c r="G111" s="188" t="s">
        <v>6430</v>
      </c>
      <c r="H111" s="199" t="s">
        <v>8637</v>
      </c>
      <c r="I111" s="199">
        <v>1</v>
      </c>
      <c r="J111" s="199">
        <v>1</v>
      </c>
      <c r="K111" s="199">
        <v>1</v>
      </c>
      <c r="L111" s="199">
        <v>50</v>
      </c>
      <c r="M111" s="202">
        <f>TB_Parts_Lists[[#This Row],[Quantity Initial]]+ SUMIF(TB_Transactions[Part number],TB_Parts_Lists[[#This Row],[Part Number]],TB_Transactions[Quantity])</f>
        <v>50</v>
      </c>
      <c r="N111" s="200" t="s">
        <v>4593</v>
      </c>
      <c r="O111" s="234">
        <v>5</v>
      </c>
      <c r="P111" s="199">
        <f>TB_Parts_Lists[[#This Row],[Quantity Initial]]*TB_Parts_Lists[[#This Row],[Unit Price AED]]</f>
        <v>250</v>
      </c>
      <c r="Q111" s="199">
        <f>TB_Parts_Lists[[#This Row],[Quantity Total]]*TB_Parts_Lists[[#This Row],[Unit Price AED]]</f>
        <v>250</v>
      </c>
      <c r="S111" s="213" t="s">
        <v>118</v>
      </c>
      <c r="T111" s="213" t="s">
        <v>839</v>
      </c>
      <c r="U111" s="213" t="s">
        <v>838</v>
      </c>
    </row>
    <row r="112" spans="1:21" s="199" customFormat="1" x14ac:dyDescent="0.25">
      <c r="A112" s="192" t="s">
        <v>6564</v>
      </c>
      <c r="B112" s="201" t="s">
        <v>3333</v>
      </c>
      <c r="C112" s="199" t="s">
        <v>3349</v>
      </c>
      <c r="D112" s="188" t="s">
        <v>8724</v>
      </c>
      <c r="E112" s="188" t="s">
        <v>4819</v>
      </c>
      <c r="F112" s="189" t="s">
        <v>3141</v>
      </c>
      <c r="G112" s="188" t="s">
        <v>6430</v>
      </c>
      <c r="H112" s="199" t="s">
        <v>8638</v>
      </c>
      <c r="I112" s="199">
        <v>1</v>
      </c>
      <c r="J112" s="199">
        <v>1</v>
      </c>
      <c r="K112" s="199">
        <v>1</v>
      </c>
      <c r="L112" s="199">
        <v>50</v>
      </c>
      <c r="M112" s="202">
        <f>TB_Parts_Lists[[#This Row],[Quantity Initial]]+ SUMIF(TB_Transactions[Part number],TB_Parts_Lists[[#This Row],[Part Number]],TB_Transactions[Quantity])</f>
        <v>50</v>
      </c>
      <c r="N112" s="200" t="s">
        <v>4593</v>
      </c>
      <c r="O112" s="234">
        <v>5</v>
      </c>
      <c r="P112" s="199">
        <f>TB_Parts_Lists[[#This Row],[Quantity Initial]]*TB_Parts_Lists[[#This Row],[Unit Price AED]]</f>
        <v>250</v>
      </c>
      <c r="Q112" s="199">
        <f>TB_Parts_Lists[[#This Row],[Quantity Total]]*TB_Parts_Lists[[#This Row],[Unit Price AED]]</f>
        <v>250</v>
      </c>
      <c r="S112" s="213" t="s">
        <v>118</v>
      </c>
      <c r="T112" s="213" t="s">
        <v>839</v>
      </c>
      <c r="U112" s="213" t="s">
        <v>838</v>
      </c>
    </row>
    <row r="113" spans="1:21" s="199" customFormat="1" x14ac:dyDescent="0.25">
      <c r="A113" s="192" t="s">
        <v>6565</v>
      </c>
      <c r="B113" s="201" t="s">
        <v>3333</v>
      </c>
      <c r="C113" s="199" t="s">
        <v>3349</v>
      </c>
      <c r="D113" s="188" t="s">
        <v>8724</v>
      </c>
      <c r="E113" s="188" t="s">
        <v>4820</v>
      </c>
      <c r="F113" s="189" t="s">
        <v>5945</v>
      </c>
      <c r="G113" s="188" t="s">
        <v>6430</v>
      </c>
      <c r="H113" s="199" t="s">
        <v>123</v>
      </c>
      <c r="I113" s="199">
        <v>1</v>
      </c>
      <c r="J113" s="199">
        <v>1</v>
      </c>
      <c r="K113" s="199">
        <v>1</v>
      </c>
      <c r="L113" s="199">
        <v>50</v>
      </c>
      <c r="M113" s="202">
        <f>TB_Parts_Lists[[#This Row],[Quantity Initial]]+ SUMIF(TB_Transactions[Part number],TB_Parts_Lists[[#This Row],[Part Number]],TB_Transactions[Quantity])</f>
        <v>50</v>
      </c>
      <c r="N113" s="200" t="s">
        <v>4593</v>
      </c>
      <c r="O113" s="234">
        <v>5</v>
      </c>
      <c r="P113" s="199">
        <f>TB_Parts_Lists[[#This Row],[Quantity Initial]]*TB_Parts_Lists[[#This Row],[Unit Price AED]]</f>
        <v>250</v>
      </c>
      <c r="Q113" s="199">
        <f>TB_Parts_Lists[[#This Row],[Quantity Total]]*TB_Parts_Lists[[#This Row],[Unit Price AED]]</f>
        <v>250</v>
      </c>
      <c r="S113" s="213" t="s">
        <v>118</v>
      </c>
      <c r="T113" s="213" t="s">
        <v>839</v>
      </c>
      <c r="U113" s="213" t="s">
        <v>838</v>
      </c>
    </row>
    <row r="114" spans="1:21" s="199" customFormat="1" x14ac:dyDescent="0.25">
      <c r="A114" s="192" t="s">
        <v>6566</v>
      </c>
      <c r="B114" s="201" t="s">
        <v>3333</v>
      </c>
      <c r="C114" s="199" t="s">
        <v>2984</v>
      </c>
      <c r="D114" s="188" t="s">
        <v>8724</v>
      </c>
      <c r="E114" s="188" t="s">
        <v>4821</v>
      </c>
      <c r="F114" s="189" t="s">
        <v>5946</v>
      </c>
      <c r="G114" s="188" t="s">
        <v>6430</v>
      </c>
      <c r="H114" s="199" t="s">
        <v>191</v>
      </c>
      <c r="I114" s="199">
        <v>1</v>
      </c>
      <c r="J114" s="199">
        <v>1</v>
      </c>
      <c r="K114" s="199">
        <v>1</v>
      </c>
      <c r="L114" s="199">
        <v>50</v>
      </c>
      <c r="M114" s="202">
        <f>TB_Parts_Lists[[#This Row],[Quantity Initial]]+ SUMIF(TB_Transactions[Part number],TB_Parts_Lists[[#This Row],[Part Number]],TB_Transactions[Quantity])</f>
        <v>50</v>
      </c>
      <c r="N114" s="200" t="s">
        <v>4593</v>
      </c>
      <c r="O114" s="234">
        <v>5</v>
      </c>
      <c r="P114" s="199">
        <f>TB_Parts_Lists[[#This Row],[Quantity Initial]]*TB_Parts_Lists[[#This Row],[Unit Price AED]]</f>
        <v>250</v>
      </c>
      <c r="Q114" s="199">
        <f>TB_Parts_Lists[[#This Row],[Quantity Total]]*TB_Parts_Lists[[#This Row],[Unit Price AED]]</f>
        <v>250</v>
      </c>
      <c r="S114" s="213" t="s">
        <v>118</v>
      </c>
      <c r="T114" s="213" t="s">
        <v>839</v>
      </c>
      <c r="U114" s="213" t="s">
        <v>838</v>
      </c>
    </row>
    <row r="115" spans="1:21" s="199" customFormat="1" x14ac:dyDescent="0.25">
      <c r="A115" s="192" t="s">
        <v>6567</v>
      </c>
      <c r="B115" s="201" t="s">
        <v>3333</v>
      </c>
      <c r="C115" s="199" t="s">
        <v>3349</v>
      </c>
      <c r="D115" s="188" t="s">
        <v>8724</v>
      </c>
      <c r="E115" s="188" t="s">
        <v>4822</v>
      </c>
      <c r="F115" s="189" t="s">
        <v>5947</v>
      </c>
      <c r="G115" s="188" t="s">
        <v>6430</v>
      </c>
      <c r="H115" s="199" t="s">
        <v>8636</v>
      </c>
      <c r="I115" s="199">
        <v>1</v>
      </c>
      <c r="J115" s="199">
        <v>1</v>
      </c>
      <c r="K115" s="199">
        <v>1</v>
      </c>
      <c r="L115" s="199">
        <v>50</v>
      </c>
      <c r="M115" s="202">
        <f>TB_Parts_Lists[[#This Row],[Quantity Initial]]+ SUMIF(TB_Transactions[Part number],TB_Parts_Lists[[#This Row],[Part Number]],TB_Transactions[Quantity])</f>
        <v>50</v>
      </c>
      <c r="N115" s="200" t="s">
        <v>4593</v>
      </c>
      <c r="O115" s="234">
        <v>5</v>
      </c>
      <c r="P115" s="199">
        <f>TB_Parts_Lists[[#This Row],[Quantity Initial]]*TB_Parts_Lists[[#This Row],[Unit Price AED]]</f>
        <v>250</v>
      </c>
      <c r="Q115" s="199">
        <f>TB_Parts_Lists[[#This Row],[Quantity Total]]*TB_Parts_Lists[[#This Row],[Unit Price AED]]</f>
        <v>250</v>
      </c>
      <c r="S115" s="213" t="s">
        <v>118</v>
      </c>
      <c r="T115" s="213" t="s">
        <v>839</v>
      </c>
      <c r="U115" s="213" t="s">
        <v>838</v>
      </c>
    </row>
    <row r="116" spans="1:21" s="199" customFormat="1" x14ac:dyDescent="0.25">
      <c r="A116" s="192" t="s">
        <v>6568</v>
      </c>
      <c r="B116" s="201" t="s">
        <v>3333</v>
      </c>
      <c r="C116" s="199" t="s">
        <v>3349</v>
      </c>
      <c r="D116" s="188" t="s">
        <v>8724</v>
      </c>
      <c r="E116" s="188" t="s">
        <v>4823</v>
      </c>
      <c r="F116" s="189" t="s">
        <v>5948</v>
      </c>
      <c r="G116" s="188" t="s">
        <v>6430</v>
      </c>
      <c r="H116" s="199" t="s">
        <v>191</v>
      </c>
      <c r="I116" s="199">
        <v>1</v>
      </c>
      <c r="J116" s="199">
        <v>1</v>
      </c>
      <c r="K116" s="199">
        <v>1</v>
      </c>
      <c r="L116" s="199">
        <v>50</v>
      </c>
      <c r="M116" s="202">
        <f>TB_Parts_Lists[[#This Row],[Quantity Initial]]+ SUMIF(TB_Transactions[Part number],TB_Parts_Lists[[#This Row],[Part Number]],TB_Transactions[Quantity])</f>
        <v>50</v>
      </c>
      <c r="N116" s="200" t="s">
        <v>4593</v>
      </c>
      <c r="O116" s="234">
        <v>5</v>
      </c>
      <c r="P116" s="199">
        <f>TB_Parts_Lists[[#This Row],[Quantity Initial]]*TB_Parts_Lists[[#This Row],[Unit Price AED]]</f>
        <v>250</v>
      </c>
      <c r="Q116" s="199">
        <f>TB_Parts_Lists[[#This Row],[Quantity Total]]*TB_Parts_Lists[[#This Row],[Unit Price AED]]</f>
        <v>250</v>
      </c>
      <c r="S116" s="213" t="s">
        <v>118</v>
      </c>
      <c r="T116" s="213" t="s">
        <v>839</v>
      </c>
      <c r="U116" s="213" t="s">
        <v>838</v>
      </c>
    </row>
    <row r="117" spans="1:21" s="199" customFormat="1" x14ac:dyDescent="0.25">
      <c r="A117" s="192" t="s">
        <v>6569</v>
      </c>
      <c r="B117" s="201" t="s">
        <v>3333</v>
      </c>
      <c r="C117" s="199" t="s">
        <v>3349</v>
      </c>
      <c r="D117" s="188" t="s">
        <v>8724</v>
      </c>
      <c r="E117" s="188" t="s">
        <v>4824</v>
      </c>
      <c r="F117" s="189" t="s">
        <v>5949</v>
      </c>
      <c r="G117" s="188" t="s">
        <v>6431</v>
      </c>
      <c r="H117" s="199" t="s">
        <v>8639</v>
      </c>
      <c r="I117" s="199">
        <v>1</v>
      </c>
      <c r="J117" s="199">
        <v>1</v>
      </c>
      <c r="K117" s="199">
        <v>1</v>
      </c>
      <c r="L117" s="199">
        <v>50</v>
      </c>
      <c r="M117" s="202">
        <f>TB_Parts_Lists[[#This Row],[Quantity Initial]]+ SUMIF(TB_Transactions[Part number],TB_Parts_Lists[[#This Row],[Part Number]],TB_Transactions[Quantity])</f>
        <v>50</v>
      </c>
      <c r="N117" s="200" t="s">
        <v>4593</v>
      </c>
      <c r="O117" s="234">
        <v>5</v>
      </c>
      <c r="P117" s="199">
        <f>TB_Parts_Lists[[#This Row],[Quantity Initial]]*TB_Parts_Lists[[#This Row],[Unit Price AED]]</f>
        <v>250</v>
      </c>
      <c r="Q117" s="199">
        <f>TB_Parts_Lists[[#This Row],[Quantity Total]]*TB_Parts_Lists[[#This Row],[Unit Price AED]]</f>
        <v>250</v>
      </c>
      <c r="S117" s="213" t="s">
        <v>118</v>
      </c>
      <c r="T117" s="213" t="s">
        <v>839</v>
      </c>
      <c r="U117" s="213" t="s">
        <v>838</v>
      </c>
    </row>
    <row r="118" spans="1:21" s="199" customFormat="1" x14ac:dyDescent="0.25">
      <c r="A118" s="192" t="s">
        <v>6570</v>
      </c>
      <c r="B118" s="201" t="s">
        <v>3333</v>
      </c>
      <c r="C118" s="199" t="s">
        <v>3349</v>
      </c>
      <c r="D118" s="188" t="s">
        <v>8724</v>
      </c>
      <c r="E118" s="188" t="s">
        <v>4825</v>
      </c>
      <c r="F118" s="189" t="s">
        <v>3142</v>
      </c>
      <c r="G118" s="188" t="s">
        <v>6431</v>
      </c>
      <c r="H118" s="199" t="s">
        <v>72</v>
      </c>
      <c r="I118" s="199">
        <v>1</v>
      </c>
      <c r="J118" s="199">
        <v>1</v>
      </c>
      <c r="K118" s="199">
        <v>1</v>
      </c>
      <c r="L118" s="199">
        <v>50</v>
      </c>
      <c r="M118" s="202">
        <f>TB_Parts_Lists[[#This Row],[Quantity Initial]]+ SUMIF(TB_Transactions[Part number],TB_Parts_Lists[[#This Row],[Part Number]],TB_Transactions[Quantity])</f>
        <v>50</v>
      </c>
      <c r="N118" s="200" t="s">
        <v>4593</v>
      </c>
      <c r="O118" s="234">
        <v>5</v>
      </c>
      <c r="P118" s="199">
        <f>TB_Parts_Lists[[#This Row],[Quantity Initial]]*TB_Parts_Lists[[#This Row],[Unit Price AED]]</f>
        <v>250</v>
      </c>
      <c r="Q118" s="199">
        <f>TB_Parts_Lists[[#This Row],[Quantity Total]]*TB_Parts_Lists[[#This Row],[Unit Price AED]]</f>
        <v>250</v>
      </c>
      <c r="S118" s="213" t="s">
        <v>118</v>
      </c>
      <c r="T118" s="213" t="s">
        <v>839</v>
      </c>
      <c r="U118" s="213" t="s">
        <v>838</v>
      </c>
    </row>
    <row r="119" spans="1:21" s="199" customFormat="1" x14ac:dyDescent="0.25">
      <c r="A119" s="192" t="s">
        <v>6571</v>
      </c>
      <c r="B119" s="201" t="s">
        <v>3333</v>
      </c>
      <c r="C119" s="199" t="s">
        <v>3349</v>
      </c>
      <c r="D119" s="199" t="s">
        <v>8723</v>
      </c>
      <c r="E119" s="188" t="s">
        <v>4826</v>
      </c>
      <c r="F119" s="189" t="s">
        <v>3143</v>
      </c>
      <c r="G119" s="188" t="s">
        <v>6431</v>
      </c>
      <c r="H119" s="199" t="s">
        <v>72</v>
      </c>
      <c r="I119" s="199">
        <v>1</v>
      </c>
      <c r="J119" s="199">
        <v>1</v>
      </c>
      <c r="K119" s="199">
        <v>1</v>
      </c>
      <c r="L119" s="199">
        <v>50</v>
      </c>
      <c r="M119" s="202">
        <f>TB_Parts_Lists[[#This Row],[Quantity Initial]]+ SUMIF(TB_Transactions[Part number],TB_Parts_Lists[[#This Row],[Part Number]],TB_Transactions[Quantity])</f>
        <v>50</v>
      </c>
      <c r="N119" s="200" t="s">
        <v>4593</v>
      </c>
      <c r="O119" s="234">
        <v>5</v>
      </c>
      <c r="P119" s="199">
        <f>TB_Parts_Lists[[#This Row],[Quantity Initial]]*TB_Parts_Lists[[#This Row],[Unit Price AED]]</f>
        <v>250</v>
      </c>
      <c r="Q119" s="199">
        <f>TB_Parts_Lists[[#This Row],[Quantity Total]]*TB_Parts_Lists[[#This Row],[Unit Price AED]]</f>
        <v>250</v>
      </c>
      <c r="S119" s="213" t="s">
        <v>118</v>
      </c>
      <c r="T119" s="213" t="s">
        <v>839</v>
      </c>
      <c r="U119" s="213" t="s">
        <v>838</v>
      </c>
    </row>
    <row r="120" spans="1:21" s="199" customFormat="1" x14ac:dyDescent="0.25">
      <c r="A120" s="192" t="s">
        <v>6572</v>
      </c>
      <c r="B120" s="201" t="s">
        <v>3333</v>
      </c>
      <c r="C120" s="199" t="s">
        <v>3349</v>
      </c>
      <c r="D120" s="188" t="s">
        <v>8724</v>
      </c>
      <c r="E120" s="188" t="s">
        <v>4827</v>
      </c>
      <c r="F120" s="189" t="s">
        <v>3144</v>
      </c>
      <c r="G120" s="188" t="s">
        <v>6431</v>
      </c>
      <c r="H120" s="199" t="s">
        <v>123</v>
      </c>
      <c r="I120" s="199">
        <v>1</v>
      </c>
      <c r="J120" s="199">
        <v>1</v>
      </c>
      <c r="K120" s="199">
        <v>1</v>
      </c>
      <c r="L120" s="199">
        <v>50</v>
      </c>
      <c r="M120" s="202">
        <f>TB_Parts_Lists[[#This Row],[Quantity Initial]]+ SUMIF(TB_Transactions[Part number],TB_Parts_Lists[[#This Row],[Part Number]],TB_Transactions[Quantity])</f>
        <v>50</v>
      </c>
      <c r="N120" s="200" t="s">
        <v>4593</v>
      </c>
      <c r="O120" s="234">
        <v>5</v>
      </c>
      <c r="P120" s="199">
        <f>TB_Parts_Lists[[#This Row],[Quantity Initial]]*TB_Parts_Lists[[#This Row],[Unit Price AED]]</f>
        <v>250</v>
      </c>
      <c r="Q120" s="199">
        <f>TB_Parts_Lists[[#This Row],[Quantity Total]]*TB_Parts_Lists[[#This Row],[Unit Price AED]]</f>
        <v>250</v>
      </c>
      <c r="S120" s="213" t="s">
        <v>118</v>
      </c>
      <c r="T120" s="213" t="s">
        <v>839</v>
      </c>
      <c r="U120" s="213" t="s">
        <v>838</v>
      </c>
    </row>
    <row r="121" spans="1:21" s="199" customFormat="1" x14ac:dyDescent="0.25">
      <c r="A121" s="192" t="s">
        <v>6573</v>
      </c>
      <c r="B121" s="201" t="s">
        <v>3333</v>
      </c>
      <c r="C121" s="199" t="s">
        <v>2985</v>
      </c>
      <c r="D121" s="199" t="s">
        <v>8723</v>
      </c>
      <c r="E121" s="188" t="s">
        <v>4828</v>
      </c>
      <c r="F121" s="189" t="s">
        <v>4693</v>
      </c>
      <c r="G121" s="188" t="s">
        <v>6431</v>
      </c>
      <c r="H121" s="199" t="s">
        <v>72</v>
      </c>
      <c r="I121" s="199">
        <v>1</v>
      </c>
      <c r="J121" s="199">
        <v>1</v>
      </c>
      <c r="K121" s="199">
        <v>1</v>
      </c>
      <c r="L121" s="199">
        <v>50</v>
      </c>
      <c r="M121" s="202">
        <f>TB_Parts_Lists[[#This Row],[Quantity Initial]]+ SUMIF(TB_Transactions[Part number],TB_Parts_Lists[[#This Row],[Part Number]],TB_Transactions[Quantity])</f>
        <v>50</v>
      </c>
      <c r="N121" s="200" t="s">
        <v>4593</v>
      </c>
      <c r="O121" s="234">
        <v>5</v>
      </c>
      <c r="P121" s="199">
        <f>TB_Parts_Lists[[#This Row],[Quantity Initial]]*TB_Parts_Lists[[#This Row],[Unit Price AED]]</f>
        <v>250</v>
      </c>
      <c r="Q121" s="199">
        <f>TB_Parts_Lists[[#This Row],[Quantity Total]]*TB_Parts_Lists[[#This Row],[Unit Price AED]]</f>
        <v>250</v>
      </c>
      <c r="S121" s="213" t="s">
        <v>118</v>
      </c>
      <c r="T121" s="213" t="s">
        <v>839</v>
      </c>
      <c r="U121" s="213" t="s">
        <v>838</v>
      </c>
    </row>
    <row r="122" spans="1:21" s="199" customFormat="1" x14ac:dyDescent="0.25">
      <c r="A122" s="192" t="s">
        <v>6574</v>
      </c>
      <c r="B122" s="201" t="s">
        <v>3333</v>
      </c>
      <c r="C122" s="199" t="s">
        <v>2985</v>
      </c>
      <c r="D122" s="188" t="s">
        <v>8724</v>
      </c>
      <c r="E122" s="188" t="s">
        <v>4829</v>
      </c>
      <c r="F122" s="189" t="s">
        <v>3145</v>
      </c>
      <c r="G122" s="188" t="s">
        <v>6431</v>
      </c>
      <c r="H122" s="199" t="s">
        <v>72</v>
      </c>
      <c r="I122" s="199">
        <v>1</v>
      </c>
      <c r="J122" s="199">
        <v>1</v>
      </c>
      <c r="K122" s="199">
        <v>1</v>
      </c>
      <c r="L122" s="199">
        <v>50</v>
      </c>
      <c r="M122" s="202">
        <f>TB_Parts_Lists[[#This Row],[Quantity Initial]]+ SUMIF(TB_Transactions[Part number],TB_Parts_Lists[[#This Row],[Part Number]],TB_Transactions[Quantity])</f>
        <v>50</v>
      </c>
      <c r="N122" s="200" t="s">
        <v>4593</v>
      </c>
      <c r="O122" s="234">
        <v>5</v>
      </c>
      <c r="P122" s="199">
        <f>TB_Parts_Lists[[#This Row],[Quantity Initial]]*TB_Parts_Lists[[#This Row],[Unit Price AED]]</f>
        <v>250</v>
      </c>
      <c r="Q122" s="199">
        <f>TB_Parts_Lists[[#This Row],[Quantity Total]]*TB_Parts_Lists[[#This Row],[Unit Price AED]]</f>
        <v>250</v>
      </c>
      <c r="S122" s="213" t="s">
        <v>118</v>
      </c>
      <c r="T122" s="213" t="s">
        <v>839</v>
      </c>
      <c r="U122" s="213" t="s">
        <v>838</v>
      </c>
    </row>
    <row r="123" spans="1:21" s="199" customFormat="1" x14ac:dyDescent="0.25">
      <c r="A123" s="192" t="s">
        <v>6575</v>
      </c>
      <c r="B123" s="201" t="s">
        <v>3333</v>
      </c>
      <c r="C123" s="199" t="s">
        <v>3349</v>
      </c>
      <c r="D123" s="199" t="s">
        <v>8723</v>
      </c>
      <c r="E123" s="188" t="s">
        <v>4830</v>
      </c>
      <c r="F123" s="189" t="s">
        <v>3146</v>
      </c>
      <c r="G123" s="188" t="s">
        <v>6431</v>
      </c>
      <c r="H123" s="199" t="s">
        <v>72</v>
      </c>
      <c r="I123" s="199">
        <v>1</v>
      </c>
      <c r="J123" s="199">
        <v>1</v>
      </c>
      <c r="K123" s="199">
        <v>1</v>
      </c>
      <c r="L123" s="199">
        <v>50</v>
      </c>
      <c r="M123" s="202">
        <f>TB_Parts_Lists[[#This Row],[Quantity Initial]]+ SUMIF(TB_Transactions[Part number],TB_Parts_Lists[[#This Row],[Part Number]],TB_Transactions[Quantity])</f>
        <v>50</v>
      </c>
      <c r="N123" s="200" t="s">
        <v>4593</v>
      </c>
      <c r="O123" s="234">
        <v>5</v>
      </c>
      <c r="P123" s="199">
        <f>TB_Parts_Lists[[#This Row],[Quantity Initial]]*TB_Parts_Lists[[#This Row],[Unit Price AED]]</f>
        <v>250</v>
      </c>
      <c r="Q123" s="199">
        <f>TB_Parts_Lists[[#This Row],[Quantity Total]]*TB_Parts_Lists[[#This Row],[Unit Price AED]]</f>
        <v>250</v>
      </c>
      <c r="S123" s="213" t="s">
        <v>118</v>
      </c>
      <c r="T123" s="213" t="s">
        <v>839</v>
      </c>
      <c r="U123" s="213" t="s">
        <v>838</v>
      </c>
    </row>
    <row r="124" spans="1:21" s="199" customFormat="1" x14ac:dyDescent="0.25">
      <c r="A124" s="192" t="s">
        <v>6576</v>
      </c>
      <c r="B124" s="201" t="s">
        <v>3333</v>
      </c>
      <c r="C124" s="199" t="s">
        <v>2985</v>
      </c>
      <c r="D124" s="199" t="s">
        <v>8723</v>
      </c>
      <c r="E124" s="188" t="s">
        <v>4831</v>
      </c>
      <c r="F124" s="189" t="s">
        <v>3147</v>
      </c>
      <c r="G124" s="188" t="s">
        <v>6431</v>
      </c>
      <c r="H124" s="199" t="s">
        <v>72</v>
      </c>
      <c r="I124" s="199">
        <v>1</v>
      </c>
      <c r="J124" s="199">
        <v>1</v>
      </c>
      <c r="K124" s="199">
        <v>1</v>
      </c>
      <c r="L124" s="199">
        <v>50</v>
      </c>
      <c r="M124" s="202">
        <f>TB_Parts_Lists[[#This Row],[Quantity Initial]]+ SUMIF(TB_Transactions[Part number],TB_Parts_Lists[[#This Row],[Part Number]],TB_Transactions[Quantity])</f>
        <v>50</v>
      </c>
      <c r="N124" s="200" t="s">
        <v>4593</v>
      </c>
      <c r="O124" s="234">
        <v>5</v>
      </c>
      <c r="P124" s="199">
        <f>TB_Parts_Lists[[#This Row],[Quantity Initial]]*TB_Parts_Lists[[#This Row],[Unit Price AED]]</f>
        <v>250</v>
      </c>
      <c r="Q124" s="199">
        <f>TB_Parts_Lists[[#This Row],[Quantity Total]]*TB_Parts_Lists[[#This Row],[Unit Price AED]]</f>
        <v>250</v>
      </c>
      <c r="S124" s="213" t="s">
        <v>118</v>
      </c>
      <c r="T124" s="213" t="s">
        <v>839</v>
      </c>
      <c r="U124" s="213" t="s">
        <v>838</v>
      </c>
    </row>
    <row r="125" spans="1:21" s="199" customFormat="1" x14ac:dyDescent="0.25">
      <c r="A125" s="192" t="s">
        <v>6577</v>
      </c>
      <c r="B125" s="201" t="s">
        <v>3333</v>
      </c>
      <c r="C125" s="199" t="s">
        <v>3351</v>
      </c>
      <c r="D125" s="188" t="s">
        <v>8724</v>
      </c>
      <c r="E125" s="188" t="s">
        <v>4832</v>
      </c>
      <c r="F125" s="189" t="s">
        <v>5950</v>
      </c>
      <c r="G125" s="188" t="s">
        <v>6431</v>
      </c>
      <c r="H125" s="199" t="s">
        <v>72</v>
      </c>
      <c r="I125" s="199">
        <v>1</v>
      </c>
      <c r="J125" s="199">
        <v>1</v>
      </c>
      <c r="K125" s="199">
        <v>1</v>
      </c>
      <c r="L125" s="199">
        <v>50</v>
      </c>
      <c r="M125" s="202">
        <f>TB_Parts_Lists[[#This Row],[Quantity Initial]]+ SUMIF(TB_Transactions[Part number],TB_Parts_Lists[[#This Row],[Part Number]],TB_Transactions[Quantity])</f>
        <v>50</v>
      </c>
      <c r="N125" s="200" t="s">
        <v>4593</v>
      </c>
      <c r="O125" s="234">
        <v>5</v>
      </c>
      <c r="P125" s="199">
        <f>TB_Parts_Lists[[#This Row],[Quantity Initial]]*TB_Parts_Lists[[#This Row],[Unit Price AED]]</f>
        <v>250</v>
      </c>
      <c r="Q125" s="199">
        <f>TB_Parts_Lists[[#This Row],[Quantity Total]]*TB_Parts_Lists[[#This Row],[Unit Price AED]]</f>
        <v>250</v>
      </c>
      <c r="S125" s="213" t="s">
        <v>118</v>
      </c>
      <c r="T125" s="213" t="s">
        <v>839</v>
      </c>
      <c r="U125" s="213" t="s">
        <v>838</v>
      </c>
    </row>
    <row r="126" spans="1:21" s="199" customFormat="1" x14ac:dyDescent="0.25">
      <c r="A126" s="192" t="s">
        <v>6578</v>
      </c>
      <c r="B126" s="201" t="s">
        <v>3333</v>
      </c>
      <c r="C126" s="199" t="s">
        <v>3349</v>
      </c>
      <c r="D126" s="199" t="s">
        <v>8723</v>
      </c>
      <c r="E126" s="188" t="s">
        <v>4833</v>
      </c>
      <c r="F126" s="189" t="s">
        <v>3148</v>
      </c>
      <c r="G126" s="188" t="s">
        <v>6431</v>
      </c>
      <c r="H126" s="199" t="s">
        <v>72</v>
      </c>
      <c r="I126" s="199">
        <v>1</v>
      </c>
      <c r="J126" s="199">
        <v>1</v>
      </c>
      <c r="K126" s="199">
        <v>1</v>
      </c>
      <c r="L126" s="199">
        <v>50</v>
      </c>
      <c r="M126" s="202">
        <f>TB_Parts_Lists[[#This Row],[Quantity Initial]]+ SUMIF(TB_Transactions[Part number],TB_Parts_Lists[[#This Row],[Part Number]],TB_Transactions[Quantity])</f>
        <v>50</v>
      </c>
      <c r="N126" s="200" t="s">
        <v>4593</v>
      </c>
      <c r="O126" s="234">
        <v>5</v>
      </c>
      <c r="P126" s="199">
        <f>TB_Parts_Lists[[#This Row],[Quantity Initial]]*TB_Parts_Lists[[#This Row],[Unit Price AED]]</f>
        <v>250</v>
      </c>
      <c r="Q126" s="199">
        <f>TB_Parts_Lists[[#This Row],[Quantity Total]]*TB_Parts_Lists[[#This Row],[Unit Price AED]]</f>
        <v>250</v>
      </c>
      <c r="S126" s="213" t="s">
        <v>118</v>
      </c>
      <c r="T126" s="213" t="s">
        <v>839</v>
      </c>
      <c r="U126" s="213" t="s">
        <v>838</v>
      </c>
    </row>
    <row r="127" spans="1:21" s="199" customFormat="1" x14ac:dyDescent="0.25">
      <c r="A127" s="192" t="s">
        <v>6579</v>
      </c>
      <c r="B127" s="201" t="s">
        <v>3333</v>
      </c>
      <c r="C127" s="199" t="s">
        <v>3349</v>
      </c>
      <c r="D127" s="199" t="s">
        <v>8732</v>
      </c>
      <c r="E127" s="188" t="s">
        <v>4834</v>
      </c>
      <c r="F127" s="189" t="s">
        <v>3149</v>
      </c>
      <c r="G127" s="188" t="s">
        <v>6431</v>
      </c>
      <c r="H127" s="199" t="s">
        <v>72</v>
      </c>
      <c r="I127" s="199">
        <v>1</v>
      </c>
      <c r="J127" s="199">
        <v>1</v>
      </c>
      <c r="K127" s="199">
        <v>1</v>
      </c>
      <c r="L127" s="199">
        <v>50</v>
      </c>
      <c r="M127" s="202">
        <f>TB_Parts_Lists[[#This Row],[Quantity Initial]]+ SUMIF(TB_Transactions[Part number],TB_Parts_Lists[[#This Row],[Part Number]],TB_Transactions[Quantity])</f>
        <v>50</v>
      </c>
      <c r="N127" s="200" t="s">
        <v>4593</v>
      </c>
      <c r="O127" s="234">
        <v>5</v>
      </c>
      <c r="P127" s="199">
        <f>TB_Parts_Lists[[#This Row],[Quantity Initial]]*TB_Parts_Lists[[#This Row],[Unit Price AED]]</f>
        <v>250</v>
      </c>
      <c r="Q127" s="199">
        <f>TB_Parts_Lists[[#This Row],[Quantity Total]]*TB_Parts_Lists[[#This Row],[Unit Price AED]]</f>
        <v>250</v>
      </c>
      <c r="S127" s="213" t="s">
        <v>118</v>
      </c>
      <c r="T127" s="213" t="s">
        <v>839</v>
      </c>
      <c r="U127" s="213" t="s">
        <v>838</v>
      </c>
    </row>
    <row r="128" spans="1:21" s="199" customFormat="1" x14ac:dyDescent="0.25">
      <c r="A128" s="192" t="s">
        <v>6580</v>
      </c>
      <c r="B128" s="201" t="s">
        <v>3333</v>
      </c>
      <c r="C128" s="199" t="s">
        <v>3004</v>
      </c>
      <c r="D128" s="188" t="s">
        <v>8724</v>
      </c>
      <c r="E128" s="188" t="s">
        <v>4835</v>
      </c>
      <c r="F128" s="189" t="s">
        <v>3150</v>
      </c>
      <c r="G128" s="188" t="s">
        <v>6431</v>
      </c>
      <c r="H128" s="199" t="s">
        <v>72</v>
      </c>
      <c r="I128" s="199">
        <v>1</v>
      </c>
      <c r="J128" s="199">
        <v>1</v>
      </c>
      <c r="K128" s="199">
        <v>1</v>
      </c>
      <c r="L128" s="199">
        <v>50</v>
      </c>
      <c r="M128" s="202">
        <f>TB_Parts_Lists[[#This Row],[Quantity Initial]]+ SUMIF(TB_Transactions[Part number],TB_Parts_Lists[[#This Row],[Part Number]],TB_Transactions[Quantity])</f>
        <v>50</v>
      </c>
      <c r="N128" s="200" t="s">
        <v>4593</v>
      </c>
      <c r="O128" s="234">
        <v>5</v>
      </c>
      <c r="P128" s="199">
        <f>TB_Parts_Lists[[#This Row],[Quantity Initial]]*TB_Parts_Lists[[#This Row],[Unit Price AED]]</f>
        <v>250</v>
      </c>
      <c r="Q128" s="199">
        <f>TB_Parts_Lists[[#This Row],[Quantity Total]]*TB_Parts_Lists[[#This Row],[Unit Price AED]]</f>
        <v>250</v>
      </c>
      <c r="S128" s="213" t="s">
        <v>118</v>
      </c>
      <c r="T128" s="213" t="s">
        <v>839</v>
      </c>
      <c r="U128" s="213" t="s">
        <v>838</v>
      </c>
    </row>
    <row r="129" spans="1:21" s="199" customFormat="1" x14ac:dyDescent="0.25">
      <c r="A129" s="192" t="s">
        <v>6581</v>
      </c>
      <c r="B129" s="201" t="s">
        <v>3333</v>
      </c>
      <c r="C129" s="199" t="s">
        <v>3349</v>
      </c>
      <c r="D129" s="188" t="s">
        <v>8724</v>
      </c>
      <c r="E129" s="188" t="s">
        <v>4836</v>
      </c>
      <c r="F129" s="189" t="s">
        <v>3151</v>
      </c>
      <c r="G129" s="188" t="s">
        <v>6431</v>
      </c>
      <c r="H129" s="199" t="s">
        <v>72</v>
      </c>
      <c r="I129" s="199">
        <v>1</v>
      </c>
      <c r="J129" s="199">
        <v>1</v>
      </c>
      <c r="K129" s="199">
        <v>1</v>
      </c>
      <c r="L129" s="199">
        <v>50</v>
      </c>
      <c r="M129" s="202">
        <f>TB_Parts_Lists[[#This Row],[Quantity Initial]]+ SUMIF(TB_Transactions[Part number],TB_Parts_Lists[[#This Row],[Part Number]],TB_Transactions[Quantity])</f>
        <v>50</v>
      </c>
      <c r="N129" s="200" t="s">
        <v>4593</v>
      </c>
      <c r="O129" s="234">
        <v>5</v>
      </c>
      <c r="P129" s="199">
        <f>TB_Parts_Lists[[#This Row],[Quantity Initial]]*TB_Parts_Lists[[#This Row],[Unit Price AED]]</f>
        <v>250</v>
      </c>
      <c r="Q129" s="199">
        <f>TB_Parts_Lists[[#This Row],[Quantity Total]]*TB_Parts_Lists[[#This Row],[Unit Price AED]]</f>
        <v>250</v>
      </c>
      <c r="S129" s="213" t="s">
        <v>118</v>
      </c>
      <c r="T129" s="213" t="s">
        <v>839</v>
      </c>
      <c r="U129" s="213" t="s">
        <v>838</v>
      </c>
    </row>
    <row r="130" spans="1:21" s="199" customFormat="1" x14ac:dyDescent="0.25">
      <c r="A130" s="192" t="s">
        <v>6582</v>
      </c>
      <c r="B130" s="201" t="s">
        <v>3333</v>
      </c>
      <c r="C130" s="199" t="s">
        <v>3349</v>
      </c>
      <c r="D130" s="199" t="s">
        <v>8723</v>
      </c>
      <c r="E130" s="188" t="s">
        <v>4837</v>
      </c>
      <c r="F130" s="189" t="s">
        <v>3152</v>
      </c>
      <c r="G130" s="188" t="s">
        <v>6431</v>
      </c>
      <c r="H130" s="199" t="s">
        <v>72</v>
      </c>
      <c r="I130" s="199">
        <v>1</v>
      </c>
      <c r="J130" s="199">
        <v>1</v>
      </c>
      <c r="K130" s="199">
        <v>1</v>
      </c>
      <c r="L130" s="199">
        <v>50</v>
      </c>
      <c r="M130" s="202">
        <f>TB_Parts_Lists[[#This Row],[Quantity Initial]]+ SUMIF(TB_Transactions[Part number],TB_Parts_Lists[[#This Row],[Part Number]],TB_Transactions[Quantity])</f>
        <v>50</v>
      </c>
      <c r="N130" s="200" t="s">
        <v>4593</v>
      </c>
      <c r="O130" s="234">
        <v>5</v>
      </c>
      <c r="P130" s="199">
        <f>TB_Parts_Lists[[#This Row],[Quantity Initial]]*TB_Parts_Lists[[#This Row],[Unit Price AED]]</f>
        <v>250</v>
      </c>
      <c r="Q130" s="199">
        <f>TB_Parts_Lists[[#This Row],[Quantity Total]]*TB_Parts_Lists[[#This Row],[Unit Price AED]]</f>
        <v>250</v>
      </c>
      <c r="S130" s="213" t="s">
        <v>118</v>
      </c>
      <c r="T130" s="213" t="s">
        <v>839</v>
      </c>
      <c r="U130" s="213" t="s">
        <v>838</v>
      </c>
    </row>
    <row r="131" spans="1:21" s="199" customFormat="1" x14ac:dyDescent="0.25">
      <c r="A131" s="192" t="s">
        <v>6583</v>
      </c>
      <c r="B131" s="201" t="s">
        <v>3333</v>
      </c>
      <c r="C131" s="199" t="s">
        <v>3349</v>
      </c>
      <c r="D131" s="199" t="s">
        <v>8723</v>
      </c>
      <c r="E131" s="188" t="s">
        <v>4838</v>
      </c>
      <c r="F131" s="189" t="s">
        <v>3153</v>
      </c>
      <c r="G131" s="188" t="s">
        <v>6431</v>
      </c>
      <c r="H131" s="199" t="s">
        <v>72</v>
      </c>
      <c r="I131" s="199">
        <v>1</v>
      </c>
      <c r="J131" s="199">
        <v>1</v>
      </c>
      <c r="K131" s="199">
        <v>1</v>
      </c>
      <c r="L131" s="199">
        <v>50</v>
      </c>
      <c r="M131" s="202">
        <f>TB_Parts_Lists[[#This Row],[Quantity Initial]]+ SUMIF(TB_Transactions[Part number],TB_Parts_Lists[[#This Row],[Part Number]],TB_Transactions[Quantity])</f>
        <v>50</v>
      </c>
      <c r="N131" s="200" t="s">
        <v>4593</v>
      </c>
      <c r="O131" s="234">
        <v>5</v>
      </c>
      <c r="P131" s="199">
        <f>TB_Parts_Lists[[#This Row],[Quantity Initial]]*TB_Parts_Lists[[#This Row],[Unit Price AED]]</f>
        <v>250</v>
      </c>
      <c r="Q131" s="199">
        <f>TB_Parts_Lists[[#This Row],[Quantity Total]]*TB_Parts_Lists[[#This Row],[Unit Price AED]]</f>
        <v>250</v>
      </c>
      <c r="S131" s="213" t="s">
        <v>118</v>
      </c>
      <c r="T131" s="213" t="s">
        <v>839</v>
      </c>
      <c r="U131" s="213" t="s">
        <v>838</v>
      </c>
    </row>
    <row r="132" spans="1:21" s="199" customFormat="1" x14ac:dyDescent="0.25">
      <c r="A132" s="192" t="s">
        <v>6584</v>
      </c>
      <c r="B132" s="201" t="s">
        <v>3333</v>
      </c>
      <c r="C132" s="199" t="s">
        <v>3349</v>
      </c>
      <c r="D132" s="199" t="s">
        <v>8723</v>
      </c>
      <c r="E132" s="188" t="s">
        <v>4112</v>
      </c>
      <c r="F132" s="189" t="s">
        <v>3154</v>
      </c>
      <c r="G132" s="188" t="s">
        <v>6431</v>
      </c>
      <c r="H132" s="199" t="s">
        <v>72</v>
      </c>
      <c r="I132" s="199">
        <v>1</v>
      </c>
      <c r="J132" s="199">
        <v>1</v>
      </c>
      <c r="K132" s="199">
        <v>1</v>
      </c>
      <c r="L132" s="199">
        <v>50</v>
      </c>
      <c r="M132" s="202">
        <f>TB_Parts_Lists[[#This Row],[Quantity Initial]]+ SUMIF(TB_Transactions[Part number],TB_Parts_Lists[[#This Row],[Part Number]],TB_Transactions[Quantity])</f>
        <v>50</v>
      </c>
      <c r="N132" s="200" t="s">
        <v>4593</v>
      </c>
      <c r="O132" s="234">
        <v>5</v>
      </c>
      <c r="P132" s="199">
        <f>TB_Parts_Lists[[#This Row],[Quantity Initial]]*TB_Parts_Lists[[#This Row],[Unit Price AED]]</f>
        <v>250</v>
      </c>
      <c r="Q132" s="199">
        <f>TB_Parts_Lists[[#This Row],[Quantity Total]]*TB_Parts_Lists[[#This Row],[Unit Price AED]]</f>
        <v>250</v>
      </c>
      <c r="S132" s="213" t="s">
        <v>118</v>
      </c>
      <c r="T132" s="213" t="s">
        <v>839</v>
      </c>
      <c r="U132" s="213" t="s">
        <v>838</v>
      </c>
    </row>
    <row r="133" spans="1:21" s="199" customFormat="1" x14ac:dyDescent="0.25">
      <c r="A133" s="192" t="s">
        <v>6585</v>
      </c>
      <c r="B133" s="201" t="s">
        <v>3333</v>
      </c>
      <c r="C133" s="199" t="s">
        <v>3223</v>
      </c>
      <c r="D133" s="188" t="s">
        <v>8724</v>
      </c>
      <c r="E133" s="188" t="s">
        <v>4839</v>
      </c>
      <c r="F133" s="189" t="s">
        <v>3155</v>
      </c>
      <c r="G133" s="188" t="s">
        <v>6431</v>
      </c>
      <c r="H133" s="199" t="s">
        <v>8640</v>
      </c>
      <c r="I133" s="199">
        <v>1</v>
      </c>
      <c r="J133" s="199">
        <v>1</v>
      </c>
      <c r="K133" s="199">
        <v>1</v>
      </c>
      <c r="L133" s="199">
        <v>50</v>
      </c>
      <c r="M133" s="202">
        <f>TB_Parts_Lists[[#This Row],[Quantity Initial]]+ SUMIF(TB_Transactions[Part number],TB_Parts_Lists[[#This Row],[Part Number]],TB_Transactions[Quantity])</f>
        <v>50</v>
      </c>
      <c r="N133" s="200" t="s">
        <v>4593</v>
      </c>
      <c r="O133" s="234">
        <v>5</v>
      </c>
      <c r="P133" s="199">
        <f>TB_Parts_Lists[[#This Row],[Quantity Initial]]*TB_Parts_Lists[[#This Row],[Unit Price AED]]</f>
        <v>250</v>
      </c>
      <c r="Q133" s="199">
        <f>TB_Parts_Lists[[#This Row],[Quantity Total]]*TB_Parts_Lists[[#This Row],[Unit Price AED]]</f>
        <v>250</v>
      </c>
      <c r="S133" s="213" t="s">
        <v>118</v>
      </c>
      <c r="T133" s="213" t="s">
        <v>839</v>
      </c>
      <c r="U133" s="213" t="s">
        <v>838</v>
      </c>
    </row>
    <row r="134" spans="1:21" s="199" customFormat="1" x14ac:dyDescent="0.25">
      <c r="A134" s="192" t="s">
        <v>6586</v>
      </c>
      <c r="B134" s="201" t="s">
        <v>3333</v>
      </c>
      <c r="C134" s="199" t="s">
        <v>3349</v>
      </c>
      <c r="D134" s="199" t="s">
        <v>8723</v>
      </c>
      <c r="E134" s="188" t="s">
        <v>4840</v>
      </c>
      <c r="F134" s="189" t="s">
        <v>3156</v>
      </c>
      <c r="G134" s="188" t="s">
        <v>6431</v>
      </c>
      <c r="H134" s="199" t="s">
        <v>72</v>
      </c>
      <c r="I134" s="199">
        <v>1</v>
      </c>
      <c r="J134" s="199">
        <v>1</v>
      </c>
      <c r="K134" s="199">
        <v>1</v>
      </c>
      <c r="L134" s="199">
        <v>50</v>
      </c>
      <c r="M134" s="202">
        <f>TB_Parts_Lists[[#This Row],[Quantity Initial]]+ SUMIF(TB_Transactions[Part number],TB_Parts_Lists[[#This Row],[Part Number]],TB_Transactions[Quantity])</f>
        <v>50</v>
      </c>
      <c r="N134" s="200" t="s">
        <v>4593</v>
      </c>
      <c r="O134" s="234">
        <v>5</v>
      </c>
      <c r="P134" s="199">
        <f>TB_Parts_Lists[[#This Row],[Quantity Initial]]*TB_Parts_Lists[[#This Row],[Unit Price AED]]</f>
        <v>250</v>
      </c>
      <c r="Q134" s="199">
        <f>TB_Parts_Lists[[#This Row],[Quantity Total]]*TB_Parts_Lists[[#This Row],[Unit Price AED]]</f>
        <v>250</v>
      </c>
      <c r="S134" s="213" t="s">
        <v>118</v>
      </c>
      <c r="T134" s="213" t="s">
        <v>839</v>
      </c>
      <c r="U134" s="213" t="s">
        <v>838</v>
      </c>
    </row>
    <row r="135" spans="1:21" s="199" customFormat="1" x14ac:dyDescent="0.25">
      <c r="A135" s="192" t="s">
        <v>6587</v>
      </c>
      <c r="B135" s="201" t="s">
        <v>3333</v>
      </c>
      <c r="C135" s="199" t="s">
        <v>3349</v>
      </c>
      <c r="D135" s="199" t="s">
        <v>8723</v>
      </c>
      <c r="E135" s="188" t="s">
        <v>4841</v>
      </c>
      <c r="F135" s="189" t="s">
        <v>3157</v>
      </c>
      <c r="G135" s="188" t="s">
        <v>6431</v>
      </c>
      <c r="H135" s="199">
        <v>214</v>
      </c>
      <c r="I135" s="199">
        <v>1</v>
      </c>
      <c r="J135" s="199">
        <v>1</v>
      </c>
      <c r="K135" s="199">
        <v>1</v>
      </c>
      <c r="L135" s="199">
        <v>50</v>
      </c>
      <c r="M135" s="202">
        <f>TB_Parts_Lists[[#This Row],[Quantity Initial]]+ SUMIF(TB_Transactions[Part number],TB_Parts_Lists[[#This Row],[Part Number]],TB_Transactions[Quantity])</f>
        <v>50</v>
      </c>
      <c r="N135" s="200" t="s">
        <v>4593</v>
      </c>
      <c r="O135" s="234">
        <v>5</v>
      </c>
      <c r="P135" s="199">
        <f>TB_Parts_Lists[[#This Row],[Quantity Initial]]*TB_Parts_Lists[[#This Row],[Unit Price AED]]</f>
        <v>250</v>
      </c>
      <c r="Q135" s="199">
        <f>TB_Parts_Lists[[#This Row],[Quantity Total]]*TB_Parts_Lists[[#This Row],[Unit Price AED]]</f>
        <v>250</v>
      </c>
      <c r="S135" s="213" t="s">
        <v>118</v>
      </c>
      <c r="T135" s="213" t="s">
        <v>839</v>
      </c>
      <c r="U135" s="213" t="s">
        <v>838</v>
      </c>
    </row>
    <row r="136" spans="1:21" s="199" customFormat="1" x14ac:dyDescent="0.25">
      <c r="A136" s="192" t="s">
        <v>6588</v>
      </c>
      <c r="B136" s="201" t="s">
        <v>3333</v>
      </c>
      <c r="C136" s="199" t="s">
        <v>3349</v>
      </c>
      <c r="D136" s="199" t="s">
        <v>8732</v>
      </c>
      <c r="E136" s="188" t="s">
        <v>4842</v>
      </c>
      <c r="F136" s="189" t="s">
        <v>3158</v>
      </c>
      <c r="G136" s="188" t="s">
        <v>6431</v>
      </c>
      <c r="H136" s="199" t="s">
        <v>8638</v>
      </c>
      <c r="I136" s="199">
        <v>1</v>
      </c>
      <c r="J136" s="199">
        <v>1</v>
      </c>
      <c r="K136" s="199">
        <v>1</v>
      </c>
      <c r="L136" s="199">
        <v>50</v>
      </c>
      <c r="M136" s="202">
        <f>TB_Parts_Lists[[#This Row],[Quantity Initial]]+ SUMIF(TB_Transactions[Part number],TB_Parts_Lists[[#This Row],[Part Number]],TB_Transactions[Quantity])</f>
        <v>50</v>
      </c>
      <c r="N136" s="200" t="s">
        <v>4593</v>
      </c>
      <c r="O136" s="234">
        <v>5</v>
      </c>
      <c r="P136" s="199">
        <f>TB_Parts_Lists[[#This Row],[Quantity Initial]]*TB_Parts_Lists[[#This Row],[Unit Price AED]]</f>
        <v>250</v>
      </c>
      <c r="Q136" s="199">
        <f>TB_Parts_Lists[[#This Row],[Quantity Total]]*TB_Parts_Lists[[#This Row],[Unit Price AED]]</f>
        <v>250</v>
      </c>
      <c r="S136" s="213" t="s">
        <v>118</v>
      </c>
      <c r="T136" s="213" t="s">
        <v>839</v>
      </c>
      <c r="U136" s="213" t="s">
        <v>838</v>
      </c>
    </row>
    <row r="137" spans="1:21" s="199" customFormat="1" x14ac:dyDescent="0.25">
      <c r="A137" s="192" t="s">
        <v>6589</v>
      </c>
      <c r="B137" s="201" t="s">
        <v>3333</v>
      </c>
      <c r="C137" s="199" t="s">
        <v>2985</v>
      </c>
      <c r="D137" s="188" t="s">
        <v>8724</v>
      </c>
      <c r="E137" s="188" t="s">
        <v>4843</v>
      </c>
      <c r="F137" s="189" t="s">
        <v>3159</v>
      </c>
      <c r="G137" s="188" t="s">
        <v>6431</v>
      </c>
      <c r="H137" s="199">
        <v>214</v>
      </c>
      <c r="I137" s="199">
        <v>1</v>
      </c>
      <c r="J137" s="199">
        <v>1</v>
      </c>
      <c r="K137" s="199">
        <v>1</v>
      </c>
      <c r="L137" s="199">
        <v>50</v>
      </c>
      <c r="M137" s="202">
        <f>TB_Parts_Lists[[#This Row],[Quantity Initial]]+ SUMIF(TB_Transactions[Part number],TB_Parts_Lists[[#This Row],[Part Number]],TB_Transactions[Quantity])</f>
        <v>50</v>
      </c>
      <c r="N137" s="200" t="s">
        <v>4593</v>
      </c>
      <c r="O137" s="234">
        <v>5</v>
      </c>
      <c r="P137" s="199">
        <f>TB_Parts_Lists[[#This Row],[Quantity Initial]]*TB_Parts_Lists[[#This Row],[Unit Price AED]]</f>
        <v>250</v>
      </c>
      <c r="Q137" s="199">
        <f>TB_Parts_Lists[[#This Row],[Quantity Total]]*TB_Parts_Lists[[#This Row],[Unit Price AED]]</f>
        <v>250</v>
      </c>
      <c r="S137" s="213" t="s">
        <v>118</v>
      </c>
      <c r="T137" s="213" t="s">
        <v>839</v>
      </c>
      <c r="U137" s="213" t="s">
        <v>838</v>
      </c>
    </row>
    <row r="138" spans="1:21" s="199" customFormat="1" x14ac:dyDescent="0.25">
      <c r="A138" s="192" t="s">
        <v>6590</v>
      </c>
      <c r="B138" s="201" t="s">
        <v>3333</v>
      </c>
      <c r="C138" s="199" t="s">
        <v>3349</v>
      </c>
      <c r="D138" s="199" t="s">
        <v>8723</v>
      </c>
      <c r="E138" s="188" t="s">
        <v>4844</v>
      </c>
      <c r="F138" s="189" t="s">
        <v>3160</v>
      </c>
      <c r="G138" s="188" t="s">
        <v>6431</v>
      </c>
      <c r="H138" s="199" t="s">
        <v>72</v>
      </c>
      <c r="I138" s="199">
        <v>1</v>
      </c>
      <c r="J138" s="199">
        <v>1</v>
      </c>
      <c r="K138" s="199">
        <v>1</v>
      </c>
      <c r="L138" s="199">
        <v>50</v>
      </c>
      <c r="M138" s="202">
        <f>TB_Parts_Lists[[#This Row],[Quantity Initial]]+ SUMIF(TB_Transactions[Part number],TB_Parts_Lists[[#This Row],[Part Number]],TB_Transactions[Quantity])</f>
        <v>50</v>
      </c>
      <c r="N138" s="200" t="s">
        <v>4593</v>
      </c>
      <c r="O138" s="234">
        <v>5</v>
      </c>
      <c r="P138" s="199">
        <f>TB_Parts_Lists[[#This Row],[Quantity Initial]]*TB_Parts_Lists[[#This Row],[Unit Price AED]]</f>
        <v>250</v>
      </c>
      <c r="Q138" s="199">
        <f>TB_Parts_Lists[[#This Row],[Quantity Total]]*TB_Parts_Lists[[#This Row],[Unit Price AED]]</f>
        <v>250</v>
      </c>
      <c r="S138" s="213" t="s">
        <v>118</v>
      </c>
      <c r="T138" s="213" t="s">
        <v>839</v>
      </c>
      <c r="U138" s="213" t="s">
        <v>838</v>
      </c>
    </row>
    <row r="139" spans="1:21" s="199" customFormat="1" x14ac:dyDescent="0.25">
      <c r="A139" s="192" t="s">
        <v>6591</v>
      </c>
      <c r="B139" s="201" t="s">
        <v>3333</v>
      </c>
      <c r="C139" s="199" t="s">
        <v>3349</v>
      </c>
      <c r="D139" s="188" t="s">
        <v>8724</v>
      </c>
      <c r="E139" s="188" t="s">
        <v>4845</v>
      </c>
      <c r="F139" s="189" t="s">
        <v>3161</v>
      </c>
      <c r="G139" s="188" t="s">
        <v>6431</v>
      </c>
      <c r="H139" s="199">
        <v>214</v>
      </c>
      <c r="I139" s="199">
        <v>1</v>
      </c>
      <c r="J139" s="199">
        <v>1</v>
      </c>
      <c r="K139" s="199">
        <v>1</v>
      </c>
      <c r="L139" s="199">
        <v>50</v>
      </c>
      <c r="M139" s="202">
        <f>TB_Parts_Lists[[#This Row],[Quantity Initial]]+ SUMIF(TB_Transactions[Part number],TB_Parts_Lists[[#This Row],[Part Number]],TB_Transactions[Quantity])</f>
        <v>50</v>
      </c>
      <c r="N139" s="200" t="s">
        <v>4593</v>
      </c>
      <c r="O139" s="234">
        <v>5</v>
      </c>
      <c r="P139" s="199">
        <f>TB_Parts_Lists[[#This Row],[Quantity Initial]]*TB_Parts_Lists[[#This Row],[Unit Price AED]]</f>
        <v>250</v>
      </c>
      <c r="Q139" s="199">
        <f>TB_Parts_Lists[[#This Row],[Quantity Total]]*TB_Parts_Lists[[#This Row],[Unit Price AED]]</f>
        <v>250</v>
      </c>
      <c r="S139" s="213" t="s">
        <v>118</v>
      </c>
      <c r="T139" s="213" t="s">
        <v>839</v>
      </c>
      <c r="U139" s="213" t="s">
        <v>838</v>
      </c>
    </row>
    <row r="140" spans="1:21" s="199" customFormat="1" x14ac:dyDescent="0.25">
      <c r="A140" s="192" t="s">
        <v>6592</v>
      </c>
      <c r="B140" s="201" t="s">
        <v>3333</v>
      </c>
      <c r="C140" s="199" t="s">
        <v>3349</v>
      </c>
      <c r="D140" s="188" t="s">
        <v>8724</v>
      </c>
      <c r="E140" s="188" t="s">
        <v>4846</v>
      </c>
      <c r="F140" s="189" t="s">
        <v>3162</v>
      </c>
      <c r="G140" s="188" t="s">
        <v>6431</v>
      </c>
      <c r="H140" s="199" t="s">
        <v>8638</v>
      </c>
      <c r="I140" s="199">
        <v>1</v>
      </c>
      <c r="J140" s="199">
        <v>1</v>
      </c>
      <c r="K140" s="199">
        <v>1</v>
      </c>
      <c r="L140" s="199">
        <v>50</v>
      </c>
      <c r="M140" s="202">
        <f>TB_Parts_Lists[[#This Row],[Quantity Initial]]+ SUMIF(TB_Transactions[Part number],TB_Parts_Lists[[#This Row],[Part Number]],TB_Transactions[Quantity])</f>
        <v>50</v>
      </c>
      <c r="N140" s="200" t="s">
        <v>4593</v>
      </c>
      <c r="O140" s="234">
        <v>5</v>
      </c>
      <c r="P140" s="199">
        <f>TB_Parts_Lists[[#This Row],[Quantity Initial]]*TB_Parts_Lists[[#This Row],[Unit Price AED]]</f>
        <v>250</v>
      </c>
      <c r="Q140" s="199">
        <f>TB_Parts_Lists[[#This Row],[Quantity Total]]*TB_Parts_Lists[[#This Row],[Unit Price AED]]</f>
        <v>250</v>
      </c>
      <c r="S140" s="213" t="s">
        <v>118</v>
      </c>
      <c r="T140" s="213" t="s">
        <v>839</v>
      </c>
      <c r="U140" s="213" t="s">
        <v>838</v>
      </c>
    </row>
    <row r="141" spans="1:21" s="199" customFormat="1" x14ac:dyDescent="0.25">
      <c r="A141" s="192" t="s">
        <v>6593</v>
      </c>
      <c r="B141" s="201" t="s">
        <v>3333</v>
      </c>
      <c r="C141" s="199" t="s">
        <v>3349</v>
      </c>
      <c r="D141" s="188" t="s">
        <v>8724</v>
      </c>
      <c r="E141" s="188" t="s">
        <v>4813</v>
      </c>
      <c r="F141" s="189" t="s">
        <v>3163</v>
      </c>
      <c r="G141" s="188" t="s">
        <v>6431</v>
      </c>
      <c r="H141" s="199" t="s">
        <v>8638</v>
      </c>
      <c r="I141" s="199">
        <v>1</v>
      </c>
      <c r="J141" s="199">
        <v>1</v>
      </c>
      <c r="K141" s="199">
        <v>1</v>
      </c>
      <c r="L141" s="199">
        <v>50</v>
      </c>
      <c r="M141" s="202">
        <f>TB_Parts_Lists[[#This Row],[Quantity Initial]]+ SUMIF(TB_Transactions[Part number],TB_Parts_Lists[[#This Row],[Part Number]],TB_Transactions[Quantity])</f>
        <v>50</v>
      </c>
      <c r="N141" s="200" t="s">
        <v>4593</v>
      </c>
      <c r="O141" s="234">
        <v>5</v>
      </c>
      <c r="P141" s="199">
        <f>TB_Parts_Lists[[#This Row],[Quantity Initial]]*TB_Parts_Lists[[#This Row],[Unit Price AED]]</f>
        <v>250</v>
      </c>
      <c r="Q141" s="199">
        <f>TB_Parts_Lists[[#This Row],[Quantity Total]]*TB_Parts_Lists[[#This Row],[Unit Price AED]]</f>
        <v>250</v>
      </c>
      <c r="S141" s="213" t="s">
        <v>118</v>
      </c>
      <c r="T141" s="213" t="s">
        <v>839</v>
      </c>
      <c r="U141" s="213" t="s">
        <v>838</v>
      </c>
    </row>
    <row r="142" spans="1:21" s="199" customFormat="1" x14ac:dyDescent="0.25">
      <c r="A142" s="192" t="s">
        <v>6594</v>
      </c>
      <c r="B142" s="201" t="s">
        <v>3333</v>
      </c>
      <c r="C142" s="199" t="s">
        <v>3349</v>
      </c>
      <c r="D142" s="199" t="s">
        <v>8723</v>
      </c>
      <c r="E142" s="188" t="s">
        <v>4847</v>
      </c>
      <c r="F142" s="189" t="s">
        <v>3164</v>
      </c>
      <c r="G142" s="188" t="s">
        <v>6431</v>
      </c>
      <c r="H142" s="199" t="s">
        <v>72</v>
      </c>
      <c r="I142" s="199">
        <v>1</v>
      </c>
      <c r="J142" s="199">
        <v>1</v>
      </c>
      <c r="K142" s="199">
        <v>1</v>
      </c>
      <c r="L142" s="199">
        <v>50</v>
      </c>
      <c r="M142" s="202">
        <f>TB_Parts_Lists[[#This Row],[Quantity Initial]]+ SUMIF(TB_Transactions[Part number],TB_Parts_Lists[[#This Row],[Part Number]],TB_Transactions[Quantity])</f>
        <v>50</v>
      </c>
      <c r="N142" s="200" t="s">
        <v>4593</v>
      </c>
      <c r="O142" s="234">
        <v>5</v>
      </c>
      <c r="P142" s="199">
        <f>TB_Parts_Lists[[#This Row],[Quantity Initial]]*TB_Parts_Lists[[#This Row],[Unit Price AED]]</f>
        <v>250</v>
      </c>
      <c r="Q142" s="199">
        <f>TB_Parts_Lists[[#This Row],[Quantity Total]]*TB_Parts_Lists[[#This Row],[Unit Price AED]]</f>
        <v>250</v>
      </c>
      <c r="S142" s="213" t="s">
        <v>118</v>
      </c>
      <c r="T142" s="213" t="s">
        <v>839</v>
      </c>
      <c r="U142" s="213" t="s">
        <v>838</v>
      </c>
    </row>
    <row r="143" spans="1:21" s="199" customFormat="1" x14ac:dyDescent="0.25">
      <c r="A143" s="192" t="s">
        <v>6595</v>
      </c>
      <c r="B143" s="201" t="s">
        <v>3333</v>
      </c>
      <c r="C143" s="199" t="s">
        <v>3349</v>
      </c>
      <c r="D143" s="199" t="s">
        <v>8723</v>
      </c>
      <c r="E143" s="188" t="s">
        <v>4848</v>
      </c>
      <c r="F143" s="189" t="s">
        <v>3165</v>
      </c>
      <c r="G143" s="188" t="s">
        <v>6431</v>
      </c>
      <c r="H143" s="199" t="s">
        <v>72</v>
      </c>
      <c r="I143" s="199">
        <v>1</v>
      </c>
      <c r="J143" s="199">
        <v>1</v>
      </c>
      <c r="K143" s="199">
        <v>1</v>
      </c>
      <c r="L143" s="199">
        <v>50</v>
      </c>
      <c r="M143" s="202">
        <f>TB_Parts_Lists[[#This Row],[Quantity Initial]]+ SUMIF(TB_Transactions[Part number],TB_Parts_Lists[[#This Row],[Part Number]],TB_Transactions[Quantity])</f>
        <v>50</v>
      </c>
      <c r="N143" s="200" t="s">
        <v>4593</v>
      </c>
      <c r="O143" s="234">
        <v>5</v>
      </c>
      <c r="P143" s="199">
        <f>TB_Parts_Lists[[#This Row],[Quantity Initial]]*TB_Parts_Lists[[#This Row],[Unit Price AED]]</f>
        <v>250</v>
      </c>
      <c r="Q143" s="199">
        <f>TB_Parts_Lists[[#This Row],[Quantity Total]]*TB_Parts_Lists[[#This Row],[Unit Price AED]]</f>
        <v>250</v>
      </c>
      <c r="S143" s="213" t="s">
        <v>118</v>
      </c>
      <c r="T143" s="213" t="s">
        <v>839</v>
      </c>
      <c r="U143" s="213" t="s">
        <v>838</v>
      </c>
    </row>
    <row r="144" spans="1:21" s="199" customFormat="1" x14ac:dyDescent="0.25">
      <c r="A144" s="192" t="s">
        <v>6596</v>
      </c>
      <c r="B144" s="201" t="s">
        <v>3333</v>
      </c>
      <c r="C144" s="199" t="s">
        <v>3349</v>
      </c>
      <c r="D144" s="199" t="s">
        <v>8723</v>
      </c>
      <c r="E144" s="188" t="s">
        <v>4849</v>
      </c>
      <c r="F144" s="189" t="s">
        <v>3166</v>
      </c>
      <c r="G144" s="188" t="s">
        <v>6431</v>
      </c>
      <c r="H144" s="199" t="s">
        <v>72</v>
      </c>
      <c r="I144" s="199">
        <v>1</v>
      </c>
      <c r="J144" s="199">
        <v>1</v>
      </c>
      <c r="K144" s="199">
        <v>1</v>
      </c>
      <c r="L144" s="199">
        <v>50</v>
      </c>
      <c r="M144" s="202">
        <f>TB_Parts_Lists[[#This Row],[Quantity Initial]]+ SUMIF(TB_Transactions[Part number],TB_Parts_Lists[[#This Row],[Part Number]],TB_Transactions[Quantity])</f>
        <v>50</v>
      </c>
      <c r="N144" s="200" t="s">
        <v>4593</v>
      </c>
      <c r="O144" s="234">
        <v>5</v>
      </c>
      <c r="P144" s="199">
        <f>TB_Parts_Lists[[#This Row],[Quantity Initial]]*TB_Parts_Lists[[#This Row],[Unit Price AED]]</f>
        <v>250</v>
      </c>
      <c r="Q144" s="199">
        <f>TB_Parts_Lists[[#This Row],[Quantity Total]]*TB_Parts_Lists[[#This Row],[Unit Price AED]]</f>
        <v>250</v>
      </c>
      <c r="S144" s="213" t="s">
        <v>118</v>
      </c>
      <c r="T144" s="213" t="s">
        <v>839</v>
      </c>
      <c r="U144" s="213" t="s">
        <v>838</v>
      </c>
    </row>
    <row r="145" spans="1:21" s="199" customFormat="1" x14ac:dyDescent="0.25">
      <c r="A145" s="192" t="s">
        <v>6597</v>
      </c>
      <c r="B145" s="201" t="s">
        <v>3333</v>
      </c>
      <c r="C145" s="199" t="s">
        <v>2985</v>
      </c>
      <c r="D145" s="199" t="s">
        <v>8723</v>
      </c>
      <c r="E145" s="188" t="s">
        <v>4850</v>
      </c>
      <c r="F145" s="189" t="s">
        <v>3167</v>
      </c>
      <c r="G145" s="188" t="s">
        <v>6431</v>
      </c>
      <c r="H145" s="199" t="s">
        <v>72</v>
      </c>
      <c r="I145" s="199">
        <v>1</v>
      </c>
      <c r="J145" s="199">
        <v>1</v>
      </c>
      <c r="K145" s="199">
        <v>1</v>
      </c>
      <c r="L145" s="199">
        <v>50</v>
      </c>
      <c r="M145" s="202">
        <f>TB_Parts_Lists[[#This Row],[Quantity Initial]]+ SUMIF(TB_Transactions[Part number],TB_Parts_Lists[[#This Row],[Part Number]],TB_Transactions[Quantity])</f>
        <v>50</v>
      </c>
      <c r="N145" s="200" t="s">
        <v>4593</v>
      </c>
      <c r="O145" s="234">
        <v>5</v>
      </c>
      <c r="P145" s="199">
        <f>TB_Parts_Lists[[#This Row],[Quantity Initial]]*TB_Parts_Lists[[#This Row],[Unit Price AED]]</f>
        <v>250</v>
      </c>
      <c r="Q145" s="199">
        <f>TB_Parts_Lists[[#This Row],[Quantity Total]]*TB_Parts_Lists[[#This Row],[Unit Price AED]]</f>
        <v>250</v>
      </c>
      <c r="S145" s="213" t="s">
        <v>118</v>
      </c>
      <c r="T145" s="213" t="s">
        <v>839</v>
      </c>
      <c r="U145" s="213" t="s">
        <v>838</v>
      </c>
    </row>
    <row r="146" spans="1:21" s="199" customFormat="1" x14ac:dyDescent="0.25">
      <c r="A146" s="192" t="s">
        <v>6598</v>
      </c>
      <c r="B146" s="201" t="s">
        <v>3333</v>
      </c>
      <c r="C146" s="199" t="s">
        <v>3349</v>
      </c>
      <c r="D146" s="188" t="s">
        <v>8724</v>
      </c>
      <c r="E146" s="188" t="s">
        <v>4851</v>
      </c>
      <c r="F146" s="189" t="s">
        <v>3168</v>
      </c>
      <c r="G146" s="188" t="s">
        <v>6431</v>
      </c>
      <c r="H146" s="199" t="s">
        <v>72</v>
      </c>
      <c r="I146" s="199">
        <v>1</v>
      </c>
      <c r="J146" s="199">
        <v>1</v>
      </c>
      <c r="K146" s="199">
        <v>1</v>
      </c>
      <c r="L146" s="199">
        <v>50</v>
      </c>
      <c r="M146" s="202">
        <f>TB_Parts_Lists[[#This Row],[Quantity Initial]]+ SUMIF(TB_Transactions[Part number],TB_Parts_Lists[[#This Row],[Part Number]],TB_Transactions[Quantity])</f>
        <v>50</v>
      </c>
      <c r="N146" s="200" t="s">
        <v>4593</v>
      </c>
      <c r="O146" s="234">
        <v>5</v>
      </c>
      <c r="P146" s="199">
        <f>TB_Parts_Lists[[#This Row],[Quantity Initial]]*TB_Parts_Lists[[#This Row],[Unit Price AED]]</f>
        <v>250</v>
      </c>
      <c r="Q146" s="199">
        <f>TB_Parts_Lists[[#This Row],[Quantity Total]]*TB_Parts_Lists[[#This Row],[Unit Price AED]]</f>
        <v>250</v>
      </c>
      <c r="S146" s="213" t="s">
        <v>118</v>
      </c>
      <c r="T146" s="213" t="s">
        <v>839</v>
      </c>
      <c r="U146" s="213" t="s">
        <v>838</v>
      </c>
    </row>
    <row r="147" spans="1:21" s="199" customFormat="1" x14ac:dyDescent="0.25">
      <c r="A147" s="192" t="s">
        <v>6599</v>
      </c>
      <c r="B147" s="201" t="s">
        <v>3333</v>
      </c>
      <c r="C147" s="199" t="s">
        <v>3349</v>
      </c>
      <c r="D147" s="199" t="s">
        <v>8723</v>
      </c>
      <c r="E147" s="188" t="s">
        <v>4852</v>
      </c>
      <c r="F147" s="189" t="s">
        <v>3169</v>
      </c>
      <c r="G147" s="188" t="s">
        <v>6431</v>
      </c>
      <c r="H147" s="199" t="s">
        <v>72</v>
      </c>
      <c r="I147" s="199">
        <v>1</v>
      </c>
      <c r="J147" s="199">
        <v>1</v>
      </c>
      <c r="K147" s="199">
        <v>1</v>
      </c>
      <c r="L147" s="199">
        <v>50</v>
      </c>
      <c r="M147" s="202">
        <f>TB_Parts_Lists[[#This Row],[Quantity Initial]]+ SUMIF(TB_Transactions[Part number],TB_Parts_Lists[[#This Row],[Part Number]],TB_Transactions[Quantity])</f>
        <v>50</v>
      </c>
      <c r="N147" s="200" t="s">
        <v>4593</v>
      </c>
      <c r="O147" s="234">
        <v>5</v>
      </c>
      <c r="P147" s="199">
        <f>TB_Parts_Lists[[#This Row],[Quantity Initial]]*TB_Parts_Lists[[#This Row],[Unit Price AED]]</f>
        <v>250</v>
      </c>
      <c r="Q147" s="199">
        <f>TB_Parts_Lists[[#This Row],[Quantity Total]]*TB_Parts_Lists[[#This Row],[Unit Price AED]]</f>
        <v>250</v>
      </c>
      <c r="S147" s="213" t="s">
        <v>118</v>
      </c>
      <c r="T147" s="213" t="s">
        <v>839</v>
      </c>
      <c r="U147" s="213" t="s">
        <v>838</v>
      </c>
    </row>
    <row r="148" spans="1:21" s="199" customFormat="1" x14ac:dyDescent="0.25">
      <c r="A148" s="192" t="s">
        <v>6600</v>
      </c>
      <c r="B148" s="201" t="s">
        <v>3333</v>
      </c>
      <c r="C148" s="199" t="s">
        <v>3349</v>
      </c>
      <c r="D148" s="199" t="s">
        <v>8724</v>
      </c>
      <c r="E148" s="188" t="s">
        <v>4853</v>
      </c>
      <c r="F148" s="189" t="s">
        <v>3170</v>
      </c>
      <c r="G148" s="188" t="s">
        <v>6431</v>
      </c>
      <c r="H148" s="199" t="s">
        <v>8638</v>
      </c>
      <c r="I148" s="199">
        <v>1</v>
      </c>
      <c r="J148" s="199">
        <v>1</v>
      </c>
      <c r="K148" s="199">
        <v>1</v>
      </c>
      <c r="L148" s="199">
        <v>50</v>
      </c>
      <c r="M148" s="202">
        <f>TB_Parts_Lists[[#This Row],[Quantity Initial]]+ SUMIF(TB_Transactions[Part number],TB_Parts_Lists[[#This Row],[Part Number]],TB_Transactions[Quantity])</f>
        <v>50</v>
      </c>
      <c r="N148" s="200" t="s">
        <v>4593</v>
      </c>
      <c r="O148" s="234">
        <v>5</v>
      </c>
      <c r="P148" s="199">
        <f>TB_Parts_Lists[[#This Row],[Quantity Initial]]*TB_Parts_Lists[[#This Row],[Unit Price AED]]</f>
        <v>250</v>
      </c>
      <c r="Q148" s="199">
        <f>TB_Parts_Lists[[#This Row],[Quantity Total]]*TB_Parts_Lists[[#This Row],[Unit Price AED]]</f>
        <v>250</v>
      </c>
      <c r="S148" s="213" t="s">
        <v>118</v>
      </c>
      <c r="T148" s="213" t="s">
        <v>839</v>
      </c>
      <c r="U148" s="213" t="s">
        <v>838</v>
      </c>
    </row>
    <row r="149" spans="1:21" s="199" customFormat="1" x14ac:dyDescent="0.25">
      <c r="A149" s="192" t="s">
        <v>6601</v>
      </c>
      <c r="B149" s="201" t="s">
        <v>3333</v>
      </c>
      <c r="C149" s="199" t="s">
        <v>3349</v>
      </c>
      <c r="D149" s="199" t="s">
        <v>8724</v>
      </c>
      <c r="E149" s="188" t="s">
        <v>4854</v>
      </c>
      <c r="F149" s="189" t="s">
        <v>3171</v>
      </c>
      <c r="G149" s="188" t="s">
        <v>6431</v>
      </c>
      <c r="H149" s="199" t="s">
        <v>8638</v>
      </c>
      <c r="I149" s="199">
        <v>1</v>
      </c>
      <c r="J149" s="199">
        <v>1</v>
      </c>
      <c r="K149" s="199">
        <v>1</v>
      </c>
      <c r="L149" s="199">
        <v>50</v>
      </c>
      <c r="M149" s="202">
        <f>TB_Parts_Lists[[#This Row],[Quantity Initial]]+ SUMIF(TB_Transactions[Part number],TB_Parts_Lists[[#This Row],[Part Number]],TB_Transactions[Quantity])</f>
        <v>50</v>
      </c>
      <c r="N149" s="200" t="s">
        <v>4593</v>
      </c>
      <c r="O149" s="234">
        <v>5</v>
      </c>
      <c r="P149" s="199">
        <f>TB_Parts_Lists[[#This Row],[Quantity Initial]]*TB_Parts_Lists[[#This Row],[Unit Price AED]]</f>
        <v>250</v>
      </c>
      <c r="Q149" s="199">
        <f>TB_Parts_Lists[[#This Row],[Quantity Total]]*TB_Parts_Lists[[#This Row],[Unit Price AED]]</f>
        <v>250</v>
      </c>
      <c r="S149" s="213" t="s">
        <v>118</v>
      </c>
      <c r="T149" s="213" t="s">
        <v>839</v>
      </c>
      <c r="U149" s="213" t="s">
        <v>838</v>
      </c>
    </row>
    <row r="150" spans="1:21" s="199" customFormat="1" x14ac:dyDescent="0.25">
      <c r="A150" s="192" t="s">
        <v>6602</v>
      </c>
      <c r="B150" s="201" t="s">
        <v>3333</v>
      </c>
      <c r="C150" s="199" t="s">
        <v>3349</v>
      </c>
      <c r="D150" s="188" t="s">
        <v>8724</v>
      </c>
      <c r="E150" s="188" t="s">
        <v>4855</v>
      </c>
      <c r="F150" s="189" t="s">
        <v>3172</v>
      </c>
      <c r="G150" s="188" t="s">
        <v>6431</v>
      </c>
      <c r="H150" s="199" t="s">
        <v>2185</v>
      </c>
      <c r="I150" s="199">
        <v>1</v>
      </c>
      <c r="J150" s="199">
        <v>1</v>
      </c>
      <c r="K150" s="199">
        <v>1</v>
      </c>
      <c r="L150" s="199">
        <v>50</v>
      </c>
      <c r="M150" s="202">
        <f>TB_Parts_Lists[[#This Row],[Quantity Initial]]+ SUMIF(TB_Transactions[Part number],TB_Parts_Lists[[#This Row],[Part Number]],TB_Transactions[Quantity])</f>
        <v>50</v>
      </c>
      <c r="N150" s="200" t="s">
        <v>4593</v>
      </c>
      <c r="O150" s="234">
        <v>5</v>
      </c>
      <c r="P150" s="199">
        <f>TB_Parts_Lists[[#This Row],[Quantity Initial]]*TB_Parts_Lists[[#This Row],[Unit Price AED]]</f>
        <v>250</v>
      </c>
      <c r="Q150" s="199">
        <f>TB_Parts_Lists[[#This Row],[Quantity Total]]*TB_Parts_Lists[[#This Row],[Unit Price AED]]</f>
        <v>250</v>
      </c>
      <c r="S150" s="213" t="s">
        <v>118</v>
      </c>
      <c r="T150" s="213" t="s">
        <v>839</v>
      </c>
      <c r="U150" s="213" t="s">
        <v>838</v>
      </c>
    </row>
    <row r="151" spans="1:21" s="199" customFormat="1" x14ac:dyDescent="0.25">
      <c r="A151" s="192" t="s">
        <v>6603</v>
      </c>
      <c r="B151" s="201" t="s">
        <v>3333</v>
      </c>
      <c r="C151" s="199" t="s">
        <v>3349</v>
      </c>
      <c r="D151" s="199" t="s">
        <v>8724</v>
      </c>
      <c r="E151" s="188" t="s">
        <v>4856</v>
      </c>
      <c r="F151" s="189" t="s">
        <v>3173</v>
      </c>
      <c r="G151" s="188" t="s">
        <v>6431</v>
      </c>
      <c r="H151" s="199" t="s">
        <v>72</v>
      </c>
      <c r="I151" s="199">
        <v>1</v>
      </c>
      <c r="J151" s="199">
        <v>1</v>
      </c>
      <c r="K151" s="199">
        <v>1</v>
      </c>
      <c r="L151" s="199">
        <v>50</v>
      </c>
      <c r="M151" s="202">
        <f>TB_Parts_Lists[[#This Row],[Quantity Initial]]+ SUMIF(TB_Transactions[Part number],TB_Parts_Lists[[#This Row],[Part Number]],TB_Transactions[Quantity])</f>
        <v>50</v>
      </c>
      <c r="N151" s="200" t="s">
        <v>4593</v>
      </c>
      <c r="O151" s="234">
        <v>5</v>
      </c>
      <c r="P151" s="199">
        <f>TB_Parts_Lists[[#This Row],[Quantity Initial]]*TB_Parts_Lists[[#This Row],[Unit Price AED]]</f>
        <v>250</v>
      </c>
      <c r="Q151" s="199">
        <f>TB_Parts_Lists[[#This Row],[Quantity Total]]*TB_Parts_Lists[[#This Row],[Unit Price AED]]</f>
        <v>250</v>
      </c>
      <c r="S151" s="213" t="s">
        <v>118</v>
      </c>
      <c r="T151" s="213" t="s">
        <v>839</v>
      </c>
      <c r="U151" s="213" t="s">
        <v>838</v>
      </c>
    </row>
    <row r="152" spans="1:21" s="199" customFormat="1" x14ac:dyDescent="0.25">
      <c r="A152" s="192" t="s">
        <v>6604</v>
      </c>
      <c r="B152" s="201" t="s">
        <v>3333</v>
      </c>
      <c r="C152" s="199" t="s">
        <v>3349</v>
      </c>
      <c r="D152" s="188" t="s">
        <v>8724</v>
      </c>
      <c r="E152" s="188" t="s">
        <v>4857</v>
      </c>
      <c r="F152" s="189" t="s">
        <v>3174</v>
      </c>
      <c r="G152" s="188" t="s">
        <v>6431</v>
      </c>
      <c r="H152" s="199" t="s">
        <v>72</v>
      </c>
      <c r="I152" s="199">
        <v>1</v>
      </c>
      <c r="J152" s="199">
        <v>1</v>
      </c>
      <c r="K152" s="199">
        <v>1</v>
      </c>
      <c r="L152" s="199">
        <v>50</v>
      </c>
      <c r="M152" s="202">
        <f>TB_Parts_Lists[[#This Row],[Quantity Initial]]+ SUMIF(TB_Transactions[Part number],TB_Parts_Lists[[#This Row],[Part Number]],TB_Transactions[Quantity])</f>
        <v>50</v>
      </c>
      <c r="N152" s="200" t="s">
        <v>4593</v>
      </c>
      <c r="O152" s="234">
        <v>5</v>
      </c>
      <c r="P152" s="199">
        <f>TB_Parts_Lists[[#This Row],[Quantity Initial]]*TB_Parts_Lists[[#This Row],[Unit Price AED]]</f>
        <v>250</v>
      </c>
      <c r="Q152" s="199">
        <f>TB_Parts_Lists[[#This Row],[Quantity Total]]*TB_Parts_Lists[[#This Row],[Unit Price AED]]</f>
        <v>250</v>
      </c>
      <c r="S152" s="213" t="s">
        <v>118</v>
      </c>
      <c r="T152" s="213" t="s">
        <v>839</v>
      </c>
      <c r="U152" s="213" t="s">
        <v>838</v>
      </c>
    </row>
    <row r="153" spans="1:21" s="199" customFormat="1" x14ac:dyDescent="0.25">
      <c r="A153" s="192" t="s">
        <v>6605</v>
      </c>
      <c r="B153" s="201" t="s">
        <v>3333</v>
      </c>
      <c r="C153" s="199" t="s">
        <v>6421</v>
      </c>
      <c r="D153" s="188" t="s">
        <v>8724</v>
      </c>
      <c r="E153" s="188" t="s">
        <v>4858</v>
      </c>
      <c r="F153" s="189" t="s">
        <v>3175</v>
      </c>
      <c r="G153" s="188" t="s">
        <v>6431</v>
      </c>
      <c r="H153" s="199" t="s">
        <v>8641</v>
      </c>
      <c r="I153" s="199">
        <v>1</v>
      </c>
      <c r="J153" s="199">
        <v>1</v>
      </c>
      <c r="K153" s="199">
        <v>1</v>
      </c>
      <c r="L153" s="199">
        <v>50</v>
      </c>
      <c r="M153" s="202">
        <f>TB_Parts_Lists[[#This Row],[Quantity Initial]]+ SUMIF(TB_Transactions[Part number],TB_Parts_Lists[[#This Row],[Part Number]],TB_Transactions[Quantity])</f>
        <v>50</v>
      </c>
      <c r="N153" s="200" t="s">
        <v>4593</v>
      </c>
      <c r="O153" s="234">
        <v>5</v>
      </c>
      <c r="P153" s="199">
        <f>TB_Parts_Lists[[#This Row],[Quantity Initial]]*TB_Parts_Lists[[#This Row],[Unit Price AED]]</f>
        <v>250</v>
      </c>
      <c r="Q153" s="199">
        <f>TB_Parts_Lists[[#This Row],[Quantity Total]]*TB_Parts_Lists[[#This Row],[Unit Price AED]]</f>
        <v>250</v>
      </c>
      <c r="S153" s="213" t="s">
        <v>118</v>
      </c>
      <c r="T153" s="213" t="s">
        <v>839</v>
      </c>
      <c r="U153" s="213" t="s">
        <v>838</v>
      </c>
    </row>
    <row r="154" spans="1:21" s="199" customFormat="1" x14ac:dyDescent="0.25">
      <c r="A154" s="192" t="s">
        <v>6606</v>
      </c>
      <c r="B154" s="201" t="s">
        <v>3333</v>
      </c>
      <c r="C154" s="199" t="s">
        <v>6421</v>
      </c>
      <c r="D154" s="188" t="s">
        <v>8724</v>
      </c>
      <c r="E154" s="188" t="s">
        <v>4859</v>
      </c>
      <c r="F154" s="189" t="s">
        <v>3176</v>
      </c>
      <c r="G154" s="188" t="s">
        <v>6431</v>
      </c>
      <c r="H154" s="199" t="s">
        <v>8641</v>
      </c>
      <c r="I154" s="199">
        <v>1</v>
      </c>
      <c r="J154" s="199">
        <v>1</v>
      </c>
      <c r="K154" s="199">
        <v>1</v>
      </c>
      <c r="L154" s="199">
        <v>50</v>
      </c>
      <c r="M154" s="202">
        <f>TB_Parts_Lists[[#This Row],[Quantity Initial]]+ SUMIF(TB_Transactions[Part number],TB_Parts_Lists[[#This Row],[Part Number]],TB_Transactions[Quantity])</f>
        <v>50</v>
      </c>
      <c r="N154" s="200" t="s">
        <v>4593</v>
      </c>
      <c r="O154" s="234">
        <v>5</v>
      </c>
      <c r="P154" s="199">
        <f>TB_Parts_Lists[[#This Row],[Quantity Initial]]*TB_Parts_Lists[[#This Row],[Unit Price AED]]</f>
        <v>250</v>
      </c>
      <c r="Q154" s="199">
        <f>TB_Parts_Lists[[#This Row],[Quantity Total]]*TB_Parts_Lists[[#This Row],[Unit Price AED]]</f>
        <v>250</v>
      </c>
      <c r="S154" s="213" t="s">
        <v>118</v>
      </c>
      <c r="T154" s="213" t="s">
        <v>839</v>
      </c>
      <c r="U154" s="213" t="s">
        <v>838</v>
      </c>
    </row>
    <row r="155" spans="1:21" s="199" customFormat="1" x14ac:dyDescent="0.25">
      <c r="A155" s="192" t="s">
        <v>6607</v>
      </c>
      <c r="B155" s="201" t="s">
        <v>3333</v>
      </c>
      <c r="C155" s="199" t="s">
        <v>2985</v>
      </c>
      <c r="D155" s="199" t="s">
        <v>8724</v>
      </c>
      <c r="E155" s="188" t="s">
        <v>4860</v>
      </c>
      <c r="F155" s="189" t="s">
        <v>3177</v>
      </c>
      <c r="G155" s="188" t="s">
        <v>6431</v>
      </c>
      <c r="H155" s="199" t="s">
        <v>51</v>
      </c>
      <c r="I155" s="199">
        <v>1</v>
      </c>
      <c r="J155" s="199">
        <v>1</v>
      </c>
      <c r="K155" s="199">
        <v>1</v>
      </c>
      <c r="L155" s="199">
        <v>50</v>
      </c>
      <c r="M155" s="202">
        <f>TB_Parts_Lists[[#This Row],[Quantity Initial]]+ SUMIF(TB_Transactions[Part number],TB_Parts_Lists[[#This Row],[Part Number]],TB_Transactions[Quantity])</f>
        <v>50</v>
      </c>
      <c r="N155" s="200" t="s">
        <v>4593</v>
      </c>
      <c r="O155" s="234">
        <v>5</v>
      </c>
      <c r="P155" s="199">
        <f>TB_Parts_Lists[[#This Row],[Quantity Initial]]*TB_Parts_Lists[[#This Row],[Unit Price AED]]</f>
        <v>250</v>
      </c>
      <c r="Q155" s="199">
        <f>TB_Parts_Lists[[#This Row],[Quantity Total]]*TB_Parts_Lists[[#This Row],[Unit Price AED]]</f>
        <v>250</v>
      </c>
      <c r="S155" s="213" t="s">
        <v>118</v>
      </c>
      <c r="T155" s="213" t="s">
        <v>839</v>
      </c>
      <c r="U155" s="213" t="s">
        <v>838</v>
      </c>
    </row>
    <row r="156" spans="1:21" s="199" customFormat="1" x14ac:dyDescent="0.25">
      <c r="A156" s="192" t="s">
        <v>6608</v>
      </c>
      <c r="B156" s="201" t="s">
        <v>3333</v>
      </c>
      <c r="C156" s="199" t="s">
        <v>2984</v>
      </c>
      <c r="D156" s="199" t="s">
        <v>8723</v>
      </c>
      <c r="E156" s="188" t="s">
        <v>4861</v>
      </c>
      <c r="F156" s="189" t="s">
        <v>4694</v>
      </c>
      <c r="G156" s="188" t="s">
        <v>6431</v>
      </c>
      <c r="H156" s="199" t="s">
        <v>72</v>
      </c>
      <c r="I156" s="199">
        <v>1</v>
      </c>
      <c r="J156" s="199">
        <v>1</v>
      </c>
      <c r="K156" s="199">
        <v>1</v>
      </c>
      <c r="L156" s="199">
        <v>50</v>
      </c>
      <c r="M156" s="202">
        <f>TB_Parts_Lists[[#This Row],[Quantity Initial]]+ SUMIF(TB_Transactions[Part number],TB_Parts_Lists[[#This Row],[Part Number]],TB_Transactions[Quantity])</f>
        <v>50</v>
      </c>
      <c r="N156" s="200" t="s">
        <v>4593</v>
      </c>
      <c r="O156" s="234">
        <v>5</v>
      </c>
      <c r="P156" s="199">
        <f>TB_Parts_Lists[[#This Row],[Quantity Initial]]*TB_Parts_Lists[[#This Row],[Unit Price AED]]</f>
        <v>250</v>
      </c>
      <c r="Q156" s="199">
        <f>TB_Parts_Lists[[#This Row],[Quantity Total]]*TB_Parts_Lists[[#This Row],[Unit Price AED]]</f>
        <v>250</v>
      </c>
      <c r="S156" s="213" t="s">
        <v>118</v>
      </c>
      <c r="T156" s="213" t="s">
        <v>839</v>
      </c>
      <c r="U156" s="213" t="s">
        <v>838</v>
      </c>
    </row>
    <row r="157" spans="1:21" s="199" customFormat="1" x14ac:dyDescent="0.25">
      <c r="A157" s="192" t="s">
        <v>6609</v>
      </c>
      <c r="B157" s="201" t="s">
        <v>3333</v>
      </c>
      <c r="C157" s="199" t="s">
        <v>2985</v>
      </c>
      <c r="D157" s="199" t="s">
        <v>8724</v>
      </c>
      <c r="E157" s="188" t="s">
        <v>4862</v>
      </c>
      <c r="F157" s="189" t="s">
        <v>3178</v>
      </c>
      <c r="G157" s="188" t="s">
        <v>6431</v>
      </c>
      <c r="H157" s="199" t="s">
        <v>51</v>
      </c>
      <c r="I157" s="199">
        <v>1</v>
      </c>
      <c r="J157" s="199">
        <v>1</v>
      </c>
      <c r="K157" s="199">
        <v>1</v>
      </c>
      <c r="L157" s="199">
        <v>50</v>
      </c>
      <c r="M157" s="202">
        <f>TB_Parts_Lists[[#This Row],[Quantity Initial]]+ SUMIF(TB_Transactions[Part number],TB_Parts_Lists[[#This Row],[Part Number]],TB_Transactions[Quantity])</f>
        <v>50</v>
      </c>
      <c r="N157" s="200" t="s">
        <v>4593</v>
      </c>
      <c r="O157" s="234">
        <v>5</v>
      </c>
      <c r="P157" s="199">
        <f>TB_Parts_Lists[[#This Row],[Quantity Initial]]*TB_Parts_Lists[[#This Row],[Unit Price AED]]</f>
        <v>250</v>
      </c>
      <c r="Q157" s="199">
        <f>TB_Parts_Lists[[#This Row],[Quantity Total]]*TB_Parts_Lists[[#This Row],[Unit Price AED]]</f>
        <v>250</v>
      </c>
      <c r="S157" s="213" t="s">
        <v>118</v>
      </c>
      <c r="T157" s="213" t="s">
        <v>839</v>
      </c>
      <c r="U157" s="213" t="s">
        <v>838</v>
      </c>
    </row>
    <row r="158" spans="1:21" s="199" customFormat="1" x14ac:dyDescent="0.25">
      <c r="A158" s="192" t="s">
        <v>6612</v>
      </c>
      <c r="B158" s="201" t="s">
        <v>3002</v>
      </c>
      <c r="C158" s="199" t="s">
        <v>3006</v>
      </c>
      <c r="D158" s="199" t="s">
        <v>8723</v>
      </c>
      <c r="E158" s="188" t="s">
        <v>2986</v>
      </c>
      <c r="F158" s="189" t="s">
        <v>3051</v>
      </c>
      <c r="G158" s="188" t="s">
        <v>6432</v>
      </c>
      <c r="H158" s="199" t="s">
        <v>53</v>
      </c>
      <c r="I158" s="199">
        <v>1</v>
      </c>
      <c r="J158" s="199">
        <v>1</v>
      </c>
      <c r="K158" s="199">
        <v>1</v>
      </c>
      <c r="L158" s="199">
        <v>50</v>
      </c>
      <c r="M158" s="202">
        <f>TB_Parts_Lists[[#This Row],[Quantity Initial]]+ SUMIF(TB_Transactions[Part number],TB_Parts_Lists[[#This Row],[Part Number]],TB_Transactions[Quantity])</f>
        <v>50</v>
      </c>
      <c r="N158" s="200" t="s">
        <v>4593</v>
      </c>
      <c r="O158" s="234">
        <v>5</v>
      </c>
      <c r="P158" s="199">
        <f>TB_Parts_Lists[[#This Row],[Quantity Initial]]*TB_Parts_Lists[[#This Row],[Unit Price AED]]</f>
        <v>250</v>
      </c>
      <c r="Q158" s="199">
        <f>TB_Parts_Lists[[#This Row],[Quantity Total]]*TB_Parts_Lists[[#This Row],[Unit Price AED]]</f>
        <v>250</v>
      </c>
      <c r="S158" s="213" t="s">
        <v>8675</v>
      </c>
      <c r="T158" s="213" t="s">
        <v>8675</v>
      </c>
      <c r="U158" s="213" t="s">
        <v>8675</v>
      </c>
    </row>
    <row r="159" spans="1:21" s="199" customFormat="1" x14ac:dyDescent="0.25">
      <c r="A159" s="192" t="s">
        <v>6613</v>
      </c>
      <c r="B159" s="201" t="s">
        <v>3330</v>
      </c>
      <c r="C159" s="199" t="s">
        <v>3338</v>
      </c>
      <c r="D159" s="199" t="s">
        <v>8723</v>
      </c>
      <c r="E159" s="188" t="s">
        <v>2987</v>
      </c>
      <c r="F159" s="189" t="s">
        <v>3052</v>
      </c>
      <c r="G159" s="188" t="s">
        <v>6432</v>
      </c>
      <c r="H159" s="199" t="s">
        <v>72</v>
      </c>
      <c r="I159" s="199">
        <v>1</v>
      </c>
      <c r="J159" s="199">
        <v>1</v>
      </c>
      <c r="K159" s="199">
        <v>1</v>
      </c>
      <c r="L159" s="199">
        <v>50</v>
      </c>
      <c r="M159" s="202">
        <f>TB_Parts_Lists[[#This Row],[Quantity Initial]]+ SUMIF(TB_Transactions[Part number],TB_Parts_Lists[[#This Row],[Part Number]],TB_Transactions[Quantity])</f>
        <v>50</v>
      </c>
      <c r="N159" s="200" t="s">
        <v>4593</v>
      </c>
      <c r="O159" s="234">
        <v>5</v>
      </c>
      <c r="P159" s="199">
        <f>TB_Parts_Lists[[#This Row],[Quantity Initial]]*TB_Parts_Lists[[#This Row],[Unit Price AED]]</f>
        <v>250</v>
      </c>
      <c r="Q159" s="199">
        <f>TB_Parts_Lists[[#This Row],[Quantity Total]]*TB_Parts_Lists[[#This Row],[Unit Price AED]]</f>
        <v>250</v>
      </c>
      <c r="S159" s="213" t="s">
        <v>118</v>
      </c>
      <c r="T159" s="213" t="s">
        <v>839</v>
      </c>
      <c r="U159" s="213" t="s">
        <v>838</v>
      </c>
    </row>
    <row r="160" spans="1:21" s="199" customFormat="1" x14ac:dyDescent="0.25">
      <c r="A160" s="192" t="s">
        <v>6614</v>
      </c>
      <c r="B160" s="201" t="s">
        <v>3002</v>
      </c>
      <c r="C160" s="199" t="s">
        <v>3006</v>
      </c>
      <c r="D160" s="199" t="s">
        <v>8723</v>
      </c>
      <c r="E160" s="188" t="s">
        <v>2988</v>
      </c>
      <c r="F160" s="189" t="s">
        <v>3053</v>
      </c>
      <c r="G160" s="188" t="s">
        <v>6432</v>
      </c>
      <c r="H160" s="199" t="s">
        <v>53</v>
      </c>
      <c r="I160" s="199">
        <v>1</v>
      </c>
      <c r="J160" s="199">
        <v>1</v>
      </c>
      <c r="K160" s="199">
        <v>1</v>
      </c>
      <c r="L160" s="199">
        <v>50</v>
      </c>
      <c r="M160" s="202">
        <f>TB_Parts_Lists[[#This Row],[Quantity Initial]]+ SUMIF(TB_Transactions[Part number],TB_Parts_Lists[[#This Row],[Part Number]],TB_Transactions[Quantity])</f>
        <v>50</v>
      </c>
      <c r="N160" s="200" t="s">
        <v>4593</v>
      </c>
      <c r="O160" s="234">
        <v>5</v>
      </c>
      <c r="P160" s="199">
        <f>TB_Parts_Lists[[#This Row],[Quantity Initial]]*TB_Parts_Lists[[#This Row],[Unit Price AED]]</f>
        <v>250</v>
      </c>
      <c r="Q160" s="199">
        <f>TB_Parts_Lists[[#This Row],[Quantity Total]]*TB_Parts_Lists[[#This Row],[Unit Price AED]]</f>
        <v>250</v>
      </c>
      <c r="S160" s="213" t="s">
        <v>8675</v>
      </c>
      <c r="T160" s="213" t="s">
        <v>8675</v>
      </c>
      <c r="U160" s="213" t="s">
        <v>8675</v>
      </c>
    </row>
    <row r="161" spans="1:21" s="199" customFormat="1" x14ac:dyDescent="0.25">
      <c r="A161" s="192" t="s">
        <v>4591</v>
      </c>
      <c r="B161" s="201" t="s">
        <v>3330</v>
      </c>
      <c r="C161" s="199" t="s">
        <v>3338</v>
      </c>
      <c r="D161" s="199" t="s">
        <v>8723</v>
      </c>
      <c r="E161" s="188" t="s">
        <v>2989</v>
      </c>
      <c r="F161" s="189" t="s">
        <v>3054</v>
      </c>
      <c r="G161" s="188" t="s">
        <v>6432</v>
      </c>
      <c r="H161" s="199" t="s">
        <v>53</v>
      </c>
      <c r="I161" s="199">
        <v>1</v>
      </c>
      <c r="J161" s="199">
        <v>1</v>
      </c>
      <c r="K161" s="199">
        <v>1</v>
      </c>
      <c r="L161" s="199">
        <v>50</v>
      </c>
      <c r="M161" s="202">
        <f>TB_Parts_Lists[[#This Row],[Quantity Initial]]+ SUMIF(TB_Transactions[Part number],TB_Parts_Lists[[#This Row],[Part Number]],TB_Transactions[Quantity])</f>
        <v>50</v>
      </c>
      <c r="N161" s="200" t="s">
        <v>4593</v>
      </c>
      <c r="O161" s="234">
        <v>5</v>
      </c>
      <c r="P161" s="199">
        <f>TB_Parts_Lists[[#This Row],[Quantity Initial]]*TB_Parts_Lists[[#This Row],[Unit Price AED]]</f>
        <v>250</v>
      </c>
      <c r="Q161" s="199">
        <f>TB_Parts_Lists[[#This Row],[Quantity Total]]*TB_Parts_Lists[[#This Row],[Unit Price AED]]</f>
        <v>250</v>
      </c>
      <c r="S161" s="213" t="s">
        <v>8675</v>
      </c>
      <c r="T161" s="213" t="s">
        <v>8675</v>
      </c>
      <c r="U161" s="213" t="s">
        <v>8675</v>
      </c>
    </row>
    <row r="162" spans="1:21" s="199" customFormat="1" x14ac:dyDescent="0.25">
      <c r="A162" s="192" t="s">
        <v>6615</v>
      </c>
      <c r="B162" s="201" t="s">
        <v>3330</v>
      </c>
      <c r="C162" s="199" t="s">
        <v>3338</v>
      </c>
      <c r="D162" s="199" t="s">
        <v>8723</v>
      </c>
      <c r="E162" s="188" t="s">
        <v>2990</v>
      </c>
      <c r="F162" s="189" t="s">
        <v>3056</v>
      </c>
      <c r="G162" s="188" t="s">
        <v>6432</v>
      </c>
      <c r="H162" s="199" t="s">
        <v>53</v>
      </c>
      <c r="I162" s="199">
        <v>1</v>
      </c>
      <c r="J162" s="199">
        <v>1</v>
      </c>
      <c r="K162" s="199">
        <v>1</v>
      </c>
      <c r="L162" s="199">
        <v>50</v>
      </c>
      <c r="M162" s="202">
        <f>TB_Parts_Lists[[#This Row],[Quantity Initial]]+ SUMIF(TB_Transactions[Part number],TB_Parts_Lists[[#This Row],[Part Number]],TB_Transactions[Quantity])</f>
        <v>50</v>
      </c>
      <c r="N162" s="200" t="s">
        <v>4593</v>
      </c>
      <c r="O162" s="234">
        <v>5</v>
      </c>
      <c r="P162" s="199">
        <f>TB_Parts_Lists[[#This Row],[Quantity Initial]]*TB_Parts_Lists[[#This Row],[Unit Price AED]]</f>
        <v>250</v>
      </c>
      <c r="Q162" s="199">
        <f>TB_Parts_Lists[[#This Row],[Quantity Total]]*TB_Parts_Lists[[#This Row],[Unit Price AED]]</f>
        <v>250</v>
      </c>
      <c r="S162" s="213" t="s">
        <v>8675</v>
      </c>
      <c r="T162" s="213" t="s">
        <v>8675</v>
      </c>
      <c r="U162" s="213" t="s">
        <v>8675</v>
      </c>
    </row>
    <row r="163" spans="1:21" s="199" customFormat="1" x14ac:dyDescent="0.25">
      <c r="A163" s="192" t="s">
        <v>6616</v>
      </c>
      <c r="B163" s="201" t="s">
        <v>3330</v>
      </c>
      <c r="C163" s="199" t="s">
        <v>3338</v>
      </c>
      <c r="D163" s="199" t="s">
        <v>8723</v>
      </c>
      <c r="E163" s="188" t="s">
        <v>2991</v>
      </c>
      <c r="F163" s="189" t="s">
        <v>3057</v>
      </c>
      <c r="G163" s="188" t="s">
        <v>6432</v>
      </c>
      <c r="H163" s="199" t="s">
        <v>53</v>
      </c>
      <c r="I163" s="199">
        <v>1</v>
      </c>
      <c r="J163" s="199">
        <v>1</v>
      </c>
      <c r="K163" s="199">
        <v>1</v>
      </c>
      <c r="L163" s="199">
        <v>50</v>
      </c>
      <c r="M163" s="202">
        <f>TB_Parts_Lists[[#This Row],[Quantity Initial]]+ SUMIF(TB_Transactions[Part number],TB_Parts_Lists[[#This Row],[Part Number]],TB_Transactions[Quantity])</f>
        <v>50</v>
      </c>
      <c r="N163" s="200" t="s">
        <v>4593</v>
      </c>
      <c r="O163" s="234">
        <v>5</v>
      </c>
      <c r="P163" s="199">
        <f>TB_Parts_Lists[[#This Row],[Quantity Initial]]*TB_Parts_Lists[[#This Row],[Unit Price AED]]</f>
        <v>250</v>
      </c>
      <c r="Q163" s="199">
        <f>TB_Parts_Lists[[#This Row],[Quantity Total]]*TB_Parts_Lists[[#This Row],[Unit Price AED]]</f>
        <v>250</v>
      </c>
      <c r="S163" s="213" t="s">
        <v>8675</v>
      </c>
      <c r="T163" s="213" t="s">
        <v>8675</v>
      </c>
      <c r="U163" s="213" t="s">
        <v>8675</v>
      </c>
    </row>
    <row r="164" spans="1:21" s="199" customFormat="1" x14ac:dyDescent="0.25">
      <c r="A164" s="192" t="s">
        <v>6617</v>
      </c>
      <c r="B164" s="201" t="s">
        <v>3333</v>
      </c>
      <c r="C164" s="199" t="s">
        <v>2992</v>
      </c>
      <c r="D164" s="199" t="s">
        <v>8723</v>
      </c>
      <c r="E164" s="188" t="s">
        <v>2992</v>
      </c>
      <c r="F164" s="189" t="s">
        <v>3058</v>
      </c>
      <c r="G164" s="188" t="s">
        <v>6432</v>
      </c>
      <c r="H164" s="199" t="s">
        <v>53</v>
      </c>
      <c r="I164" s="199">
        <v>1</v>
      </c>
      <c r="J164" s="199">
        <v>1</v>
      </c>
      <c r="K164" s="199">
        <v>1</v>
      </c>
      <c r="L164" s="199">
        <v>50</v>
      </c>
      <c r="M164" s="202">
        <f>TB_Parts_Lists[[#This Row],[Quantity Initial]]+ SUMIF(TB_Transactions[Part number],TB_Parts_Lists[[#This Row],[Part Number]],TB_Transactions[Quantity])</f>
        <v>50</v>
      </c>
      <c r="N164" s="200" t="s">
        <v>4593</v>
      </c>
      <c r="O164" s="234">
        <v>5</v>
      </c>
      <c r="P164" s="199">
        <f>TB_Parts_Lists[[#This Row],[Quantity Initial]]*TB_Parts_Lists[[#This Row],[Unit Price AED]]</f>
        <v>250</v>
      </c>
      <c r="Q164" s="199">
        <f>TB_Parts_Lists[[#This Row],[Quantity Total]]*TB_Parts_Lists[[#This Row],[Unit Price AED]]</f>
        <v>250</v>
      </c>
      <c r="S164" s="213" t="s">
        <v>8675</v>
      </c>
      <c r="T164" s="213" t="s">
        <v>8675</v>
      </c>
      <c r="U164" s="213" t="s">
        <v>8675</v>
      </c>
    </row>
    <row r="165" spans="1:21" s="199" customFormat="1" x14ac:dyDescent="0.25">
      <c r="A165" s="192" t="s">
        <v>6618</v>
      </c>
      <c r="B165" s="201" t="s">
        <v>3330</v>
      </c>
      <c r="C165" s="199" t="s">
        <v>3338</v>
      </c>
      <c r="D165" s="199" t="s">
        <v>8723</v>
      </c>
      <c r="E165" s="188" t="s">
        <v>2993</v>
      </c>
      <c r="F165" s="189" t="s">
        <v>3059</v>
      </c>
      <c r="G165" s="188" t="s">
        <v>6432</v>
      </c>
      <c r="H165" s="199" t="s">
        <v>53</v>
      </c>
      <c r="I165" s="199">
        <v>1</v>
      </c>
      <c r="J165" s="199">
        <v>1</v>
      </c>
      <c r="K165" s="199">
        <v>1</v>
      </c>
      <c r="L165" s="199">
        <v>50</v>
      </c>
      <c r="M165" s="202">
        <f>TB_Parts_Lists[[#This Row],[Quantity Initial]]+ SUMIF(TB_Transactions[Part number],TB_Parts_Lists[[#This Row],[Part Number]],TB_Transactions[Quantity])</f>
        <v>50</v>
      </c>
      <c r="N165" s="200" t="s">
        <v>4593</v>
      </c>
      <c r="O165" s="234">
        <v>5</v>
      </c>
      <c r="P165" s="199">
        <f>TB_Parts_Lists[[#This Row],[Quantity Initial]]*TB_Parts_Lists[[#This Row],[Unit Price AED]]</f>
        <v>250</v>
      </c>
      <c r="Q165" s="199">
        <f>TB_Parts_Lists[[#This Row],[Quantity Total]]*TB_Parts_Lists[[#This Row],[Unit Price AED]]</f>
        <v>250</v>
      </c>
      <c r="S165" s="213" t="s">
        <v>8675</v>
      </c>
      <c r="T165" s="213" t="s">
        <v>8675</v>
      </c>
      <c r="U165" s="213" t="s">
        <v>8675</v>
      </c>
    </row>
    <row r="166" spans="1:21" s="199" customFormat="1" x14ac:dyDescent="0.25">
      <c r="A166" s="192" t="s">
        <v>6622</v>
      </c>
      <c r="B166" s="201" t="s">
        <v>6619</v>
      </c>
      <c r="C166" s="199" t="s">
        <v>161</v>
      </c>
      <c r="D166" s="199" t="s">
        <v>8723</v>
      </c>
      <c r="E166" s="188" t="s">
        <v>2994</v>
      </c>
      <c r="F166" s="189" t="s">
        <v>3179</v>
      </c>
      <c r="G166" s="188" t="s">
        <v>6432</v>
      </c>
      <c r="H166" s="199" t="s">
        <v>53</v>
      </c>
      <c r="I166" s="199">
        <v>1</v>
      </c>
      <c r="J166" s="199">
        <v>1</v>
      </c>
      <c r="K166" s="199">
        <v>1</v>
      </c>
      <c r="L166" s="199">
        <v>50</v>
      </c>
      <c r="M166" s="202">
        <f>TB_Parts_Lists[[#This Row],[Quantity Initial]]+ SUMIF(TB_Transactions[Part number],TB_Parts_Lists[[#This Row],[Part Number]],TB_Transactions[Quantity])</f>
        <v>50</v>
      </c>
      <c r="N166" s="200" t="s">
        <v>4593</v>
      </c>
      <c r="O166" s="234">
        <v>5</v>
      </c>
      <c r="P166" s="199">
        <f>TB_Parts_Lists[[#This Row],[Quantity Initial]]*TB_Parts_Lists[[#This Row],[Unit Price AED]]</f>
        <v>250</v>
      </c>
      <c r="Q166" s="199">
        <f>TB_Parts_Lists[[#This Row],[Quantity Total]]*TB_Parts_Lists[[#This Row],[Unit Price AED]]</f>
        <v>250</v>
      </c>
      <c r="S166" s="213" t="s">
        <v>8675</v>
      </c>
      <c r="T166" s="213" t="s">
        <v>8675</v>
      </c>
      <c r="U166" s="213" t="s">
        <v>8675</v>
      </c>
    </row>
    <row r="167" spans="1:21" s="199" customFormat="1" x14ac:dyDescent="0.25">
      <c r="A167" s="192" t="s">
        <v>6624</v>
      </c>
      <c r="B167" s="201" t="s">
        <v>3335</v>
      </c>
      <c r="C167" s="199" t="s">
        <v>3005</v>
      </c>
      <c r="D167" s="199" t="s">
        <v>8723</v>
      </c>
      <c r="E167" s="188" t="s">
        <v>3005</v>
      </c>
      <c r="F167" s="189" t="s">
        <v>5951</v>
      </c>
      <c r="G167" s="188" t="s">
        <v>6432</v>
      </c>
      <c r="H167" s="199" t="s">
        <v>53</v>
      </c>
      <c r="I167" s="199">
        <v>1</v>
      </c>
      <c r="J167" s="199">
        <v>1</v>
      </c>
      <c r="K167" s="199">
        <v>1</v>
      </c>
      <c r="L167" s="199">
        <v>50</v>
      </c>
      <c r="M167" s="202">
        <f>TB_Parts_Lists[[#This Row],[Quantity Initial]]+ SUMIF(TB_Transactions[Part number],TB_Parts_Lists[[#This Row],[Part Number]],TB_Transactions[Quantity])</f>
        <v>50</v>
      </c>
      <c r="N167" s="200" t="s">
        <v>4593</v>
      </c>
      <c r="O167" s="234">
        <v>5</v>
      </c>
      <c r="P167" s="199">
        <f>TB_Parts_Lists[[#This Row],[Quantity Initial]]*TB_Parts_Lists[[#This Row],[Unit Price AED]]</f>
        <v>250</v>
      </c>
      <c r="Q167" s="199">
        <f>TB_Parts_Lists[[#This Row],[Quantity Total]]*TB_Parts_Lists[[#This Row],[Unit Price AED]]</f>
        <v>250</v>
      </c>
      <c r="S167" s="213" t="s">
        <v>8675</v>
      </c>
      <c r="T167" s="213" t="s">
        <v>8675</v>
      </c>
      <c r="U167" s="213" t="s">
        <v>8675</v>
      </c>
    </row>
    <row r="168" spans="1:21" s="199" customFormat="1" x14ac:dyDescent="0.25">
      <c r="A168" s="192" t="s">
        <v>6625</v>
      </c>
      <c r="B168" s="201" t="s">
        <v>3335</v>
      </c>
      <c r="C168" s="199" t="s">
        <v>3005</v>
      </c>
      <c r="D168" s="199" t="s">
        <v>8723</v>
      </c>
      <c r="E168" s="188" t="s">
        <v>4863</v>
      </c>
      <c r="F168" s="189" t="s">
        <v>3180</v>
      </c>
      <c r="G168" s="188" t="s">
        <v>6432</v>
      </c>
      <c r="H168" s="199" t="s">
        <v>53</v>
      </c>
      <c r="I168" s="199">
        <v>1</v>
      </c>
      <c r="J168" s="199">
        <v>1</v>
      </c>
      <c r="K168" s="199">
        <v>1</v>
      </c>
      <c r="L168" s="199">
        <v>50</v>
      </c>
      <c r="M168" s="202">
        <f>TB_Parts_Lists[[#This Row],[Quantity Initial]]+ SUMIF(TB_Transactions[Part number],TB_Parts_Lists[[#This Row],[Part Number]],TB_Transactions[Quantity])</f>
        <v>50</v>
      </c>
      <c r="N168" s="200" t="s">
        <v>4593</v>
      </c>
      <c r="O168" s="234">
        <v>5</v>
      </c>
      <c r="P168" s="199">
        <f>TB_Parts_Lists[[#This Row],[Quantity Initial]]*TB_Parts_Lists[[#This Row],[Unit Price AED]]</f>
        <v>250</v>
      </c>
      <c r="Q168" s="199">
        <f>TB_Parts_Lists[[#This Row],[Quantity Total]]*TB_Parts_Lists[[#This Row],[Unit Price AED]]</f>
        <v>250</v>
      </c>
      <c r="S168" s="213" t="s">
        <v>8675</v>
      </c>
      <c r="T168" s="213" t="s">
        <v>8675</v>
      </c>
      <c r="U168" s="213" t="s">
        <v>8675</v>
      </c>
    </row>
    <row r="169" spans="1:21" s="199" customFormat="1" x14ac:dyDescent="0.25">
      <c r="A169" s="192" t="s">
        <v>6626</v>
      </c>
      <c r="B169" s="201" t="s">
        <v>3330</v>
      </c>
      <c r="C169" s="199" t="s">
        <v>3338</v>
      </c>
      <c r="D169" s="199" t="s">
        <v>8723</v>
      </c>
      <c r="E169" s="188" t="s">
        <v>4864</v>
      </c>
      <c r="F169" s="189" t="s">
        <v>3181</v>
      </c>
      <c r="G169" s="188" t="s">
        <v>6432</v>
      </c>
      <c r="H169" s="199" t="s">
        <v>53</v>
      </c>
      <c r="I169" s="199">
        <v>1</v>
      </c>
      <c r="J169" s="199">
        <v>1</v>
      </c>
      <c r="K169" s="199">
        <v>1</v>
      </c>
      <c r="L169" s="199">
        <v>50</v>
      </c>
      <c r="M169" s="202">
        <f>TB_Parts_Lists[[#This Row],[Quantity Initial]]+ SUMIF(TB_Transactions[Part number],TB_Parts_Lists[[#This Row],[Part Number]],TB_Transactions[Quantity])</f>
        <v>50</v>
      </c>
      <c r="N169" s="200" t="s">
        <v>4593</v>
      </c>
      <c r="O169" s="234">
        <v>5</v>
      </c>
      <c r="P169" s="199">
        <f>TB_Parts_Lists[[#This Row],[Quantity Initial]]*TB_Parts_Lists[[#This Row],[Unit Price AED]]</f>
        <v>250</v>
      </c>
      <c r="Q169" s="199">
        <f>TB_Parts_Lists[[#This Row],[Quantity Total]]*TB_Parts_Lists[[#This Row],[Unit Price AED]]</f>
        <v>250</v>
      </c>
      <c r="S169" s="213" t="s">
        <v>8675</v>
      </c>
      <c r="T169" s="213" t="s">
        <v>8675</v>
      </c>
      <c r="U169" s="213" t="s">
        <v>8675</v>
      </c>
    </row>
    <row r="170" spans="1:21" s="199" customFormat="1" x14ac:dyDescent="0.25">
      <c r="A170" s="192" t="s">
        <v>6627</v>
      </c>
      <c r="B170" s="201" t="s">
        <v>3002</v>
      </c>
      <c r="C170" s="199" t="s">
        <v>3006</v>
      </c>
      <c r="D170" s="199" t="s">
        <v>8723</v>
      </c>
      <c r="E170" s="188" t="s">
        <v>4865</v>
      </c>
      <c r="F170" s="189" t="s">
        <v>3182</v>
      </c>
      <c r="G170" s="188" t="s">
        <v>6432</v>
      </c>
      <c r="H170" s="199" t="s">
        <v>53</v>
      </c>
      <c r="I170" s="199">
        <v>1</v>
      </c>
      <c r="J170" s="199">
        <v>1</v>
      </c>
      <c r="K170" s="199">
        <v>1</v>
      </c>
      <c r="L170" s="199">
        <v>50</v>
      </c>
      <c r="M170" s="202">
        <f>TB_Parts_Lists[[#This Row],[Quantity Initial]]+ SUMIF(TB_Transactions[Part number],TB_Parts_Lists[[#This Row],[Part Number]],TB_Transactions[Quantity])</f>
        <v>50</v>
      </c>
      <c r="N170" s="200" t="s">
        <v>4593</v>
      </c>
      <c r="O170" s="234">
        <v>5</v>
      </c>
      <c r="P170" s="199">
        <f>TB_Parts_Lists[[#This Row],[Quantity Initial]]*TB_Parts_Lists[[#This Row],[Unit Price AED]]</f>
        <v>250</v>
      </c>
      <c r="Q170" s="199">
        <f>TB_Parts_Lists[[#This Row],[Quantity Total]]*TB_Parts_Lists[[#This Row],[Unit Price AED]]</f>
        <v>250</v>
      </c>
      <c r="S170" s="213" t="s">
        <v>8675</v>
      </c>
      <c r="T170" s="213" t="s">
        <v>8675</v>
      </c>
      <c r="U170" s="213" t="s">
        <v>8675</v>
      </c>
    </row>
    <row r="171" spans="1:21" s="199" customFormat="1" x14ac:dyDescent="0.25">
      <c r="A171" s="192" t="s">
        <v>6628</v>
      </c>
      <c r="B171" s="201" t="s">
        <v>3002</v>
      </c>
      <c r="C171" s="199" t="s">
        <v>3006</v>
      </c>
      <c r="D171" s="199" t="s">
        <v>8723</v>
      </c>
      <c r="E171" s="188" t="s">
        <v>2995</v>
      </c>
      <c r="F171" s="189" t="s">
        <v>3061</v>
      </c>
      <c r="G171" s="188" t="s">
        <v>6432</v>
      </c>
      <c r="H171" s="199" t="s">
        <v>53</v>
      </c>
      <c r="I171" s="199">
        <v>1</v>
      </c>
      <c r="J171" s="199">
        <v>1</v>
      </c>
      <c r="K171" s="199">
        <v>1</v>
      </c>
      <c r="L171" s="199">
        <v>50</v>
      </c>
      <c r="M171" s="202">
        <f>TB_Parts_Lists[[#This Row],[Quantity Initial]]+ SUMIF(TB_Transactions[Part number],TB_Parts_Lists[[#This Row],[Part Number]],TB_Transactions[Quantity])</f>
        <v>50</v>
      </c>
      <c r="N171" s="200" t="s">
        <v>4593</v>
      </c>
      <c r="O171" s="234">
        <v>5</v>
      </c>
      <c r="P171" s="199">
        <f>TB_Parts_Lists[[#This Row],[Quantity Initial]]*TB_Parts_Lists[[#This Row],[Unit Price AED]]</f>
        <v>250</v>
      </c>
      <c r="Q171" s="199">
        <f>TB_Parts_Lists[[#This Row],[Quantity Total]]*TB_Parts_Lists[[#This Row],[Unit Price AED]]</f>
        <v>250</v>
      </c>
      <c r="S171" s="213" t="s">
        <v>8675</v>
      </c>
      <c r="T171" s="213" t="s">
        <v>8675</v>
      </c>
      <c r="U171" s="213" t="s">
        <v>8675</v>
      </c>
    </row>
    <row r="172" spans="1:21" s="199" customFormat="1" x14ac:dyDescent="0.25">
      <c r="A172" s="192" t="s">
        <v>6629</v>
      </c>
      <c r="B172" s="201" t="s">
        <v>3335</v>
      </c>
      <c r="C172" s="199" t="s">
        <v>3005</v>
      </c>
      <c r="D172" s="199" t="s">
        <v>8723</v>
      </c>
      <c r="E172" s="188" t="s">
        <v>4866</v>
      </c>
      <c r="F172" s="189" t="s">
        <v>5952</v>
      </c>
      <c r="G172" s="188" t="s">
        <v>6432</v>
      </c>
      <c r="H172" s="199" t="s">
        <v>53</v>
      </c>
      <c r="I172" s="199">
        <v>1</v>
      </c>
      <c r="J172" s="199">
        <v>1</v>
      </c>
      <c r="K172" s="199">
        <v>1</v>
      </c>
      <c r="L172" s="199">
        <v>50</v>
      </c>
      <c r="M172" s="202">
        <f>TB_Parts_Lists[[#This Row],[Quantity Initial]]+ SUMIF(TB_Transactions[Part number],TB_Parts_Lists[[#This Row],[Part Number]],TB_Transactions[Quantity])</f>
        <v>50</v>
      </c>
      <c r="N172" s="200" t="s">
        <v>4593</v>
      </c>
      <c r="O172" s="234">
        <v>5</v>
      </c>
      <c r="P172" s="199">
        <f>TB_Parts_Lists[[#This Row],[Quantity Initial]]*TB_Parts_Lists[[#This Row],[Unit Price AED]]</f>
        <v>250</v>
      </c>
      <c r="Q172" s="199">
        <f>TB_Parts_Lists[[#This Row],[Quantity Total]]*TB_Parts_Lists[[#This Row],[Unit Price AED]]</f>
        <v>250</v>
      </c>
      <c r="S172" s="213" t="s">
        <v>8675</v>
      </c>
      <c r="T172" s="213" t="s">
        <v>8675</v>
      </c>
      <c r="U172" s="213" t="s">
        <v>8675</v>
      </c>
    </row>
    <row r="173" spans="1:21" s="199" customFormat="1" x14ac:dyDescent="0.25">
      <c r="A173" s="192" t="s">
        <v>6630</v>
      </c>
      <c r="B173" s="201" t="s">
        <v>3334</v>
      </c>
      <c r="C173" s="199" t="s">
        <v>3366</v>
      </c>
      <c r="D173" s="199" t="s">
        <v>8732</v>
      </c>
      <c r="E173" s="188" t="s">
        <v>6610</v>
      </c>
      <c r="F173" s="189" t="s">
        <v>3183</v>
      </c>
      <c r="G173" s="188" t="s">
        <v>6432</v>
      </c>
      <c r="H173" s="199" t="s">
        <v>53</v>
      </c>
      <c r="I173" s="199">
        <v>1</v>
      </c>
      <c r="J173" s="199">
        <v>1</v>
      </c>
      <c r="K173" s="199">
        <v>1</v>
      </c>
      <c r="L173" s="199">
        <v>50</v>
      </c>
      <c r="M173" s="202">
        <f>TB_Parts_Lists[[#This Row],[Quantity Initial]]+ SUMIF(TB_Transactions[Part number],TB_Parts_Lists[[#This Row],[Part Number]],TB_Transactions[Quantity])</f>
        <v>50</v>
      </c>
      <c r="N173" s="200" t="s">
        <v>4593</v>
      </c>
      <c r="O173" s="234">
        <v>5</v>
      </c>
      <c r="P173" s="199">
        <f>TB_Parts_Lists[[#This Row],[Quantity Initial]]*TB_Parts_Lists[[#This Row],[Unit Price AED]]</f>
        <v>250</v>
      </c>
      <c r="Q173" s="199">
        <f>TB_Parts_Lists[[#This Row],[Quantity Total]]*TB_Parts_Lists[[#This Row],[Unit Price AED]]</f>
        <v>250</v>
      </c>
      <c r="S173" s="213" t="s">
        <v>122</v>
      </c>
      <c r="T173" s="213" t="s">
        <v>8696</v>
      </c>
      <c r="U173" s="213" t="s">
        <v>292</v>
      </c>
    </row>
    <row r="174" spans="1:21" s="199" customFormat="1" x14ac:dyDescent="0.25">
      <c r="A174" s="192" t="s">
        <v>6631</v>
      </c>
      <c r="B174" s="201" t="s">
        <v>3335</v>
      </c>
      <c r="C174" s="199" t="s">
        <v>3365</v>
      </c>
      <c r="D174" s="188" t="s">
        <v>8724</v>
      </c>
      <c r="E174" s="188" t="s">
        <v>4867</v>
      </c>
      <c r="F174" s="189" t="s">
        <v>3185</v>
      </c>
      <c r="G174" s="188" t="s">
        <v>6432</v>
      </c>
      <c r="H174" s="199" t="s">
        <v>53</v>
      </c>
      <c r="I174" s="199">
        <v>1</v>
      </c>
      <c r="J174" s="199">
        <v>1</v>
      </c>
      <c r="K174" s="199">
        <v>1</v>
      </c>
      <c r="L174" s="199">
        <v>50</v>
      </c>
      <c r="M174" s="202">
        <f>TB_Parts_Lists[[#This Row],[Quantity Initial]]+ SUMIF(TB_Transactions[Part number],TB_Parts_Lists[[#This Row],[Part Number]],TB_Transactions[Quantity])</f>
        <v>50</v>
      </c>
      <c r="N174" s="200" t="s">
        <v>4593</v>
      </c>
      <c r="O174" s="234">
        <v>5</v>
      </c>
      <c r="P174" s="199">
        <f>TB_Parts_Lists[[#This Row],[Quantity Initial]]*TB_Parts_Lists[[#This Row],[Unit Price AED]]</f>
        <v>250</v>
      </c>
      <c r="Q174" s="199">
        <f>TB_Parts_Lists[[#This Row],[Quantity Total]]*TB_Parts_Lists[[#This Row],[Unit Price AED]]</f>
        <v>250</v>
      </c>
      <c r="S174" s="213" t="s">
        <v>118</v>
      </c>
      <c r="T174" s="213" t="s">
        <v>8682</v>
      </c>
      <c r="U174" s="213" t="s">
        <v>119</v>
      </c>
    </row>
    <row r="175" spans="1:21" s="199" customFormat="1" x14ac:dyDescent="0.25">
      <c r="A175" s="192" t="s">
        <v>6632</v>
      </c>
      <c r="B175" s="201" t="s">
        <v>3334</v>
      </c>
      <c r="C175" s="199" t="s">
        <v>3366</v>
      </c>
      <c r="D175" s="188" t="s">
        <v>8724</v>
      </c>
      <c r="E175" s="188" t="s">
        <v>6610</v>
      </c>
      <c r="F175" s="189" t="s">
        <v>3184</v>
      </c>
      <c r="G175" s="188" t="s">
        <v>6432</v>
      </c>
      <c r="H175" s="199" t="s">
        <v>53</v>
      </c>
      <c r="I175" s="199">
        <v>1</v>
      </c>
      <c r="J175" s="199">
        <v>1</v>
      </c>
      <c r="K175" s="199">
        <v>1</v>
      </c>
      <c r="L175" s="199">
        <v>50</v>
      </c>
      <c r="M175" s="202">
        <f>TB_Parts_Lists[[#This Row],[Quantity Initial]]+ SUMIF(TB_Transactions[Part number],TB_Parts_Lists[[#This Row],[Part Number]],TB_Transactions[Quantity])</f>
        <v>50</v>
      </c>
      <c r="N175" s="200" t="s">
        <v>4593</v>
      </c>
      <c r="O175" s="234">
        <v>5</v>
      </c>
      <c r="P175" s="199">
        <f>TB_Parts_Lists[[#This Row],[Quantity Initial]]*TB_Parts_Lists[[#This Row],[Unit Price AED]]</f>
        <v>250</v>
      </c>
      <c r="Q175" s="199">
        <f>TB_Parts_Lists[[#This Row],[Quantity Total]]*TB_Parts_Lists[[#This Row],[Unit Price AED]]</f>
        <v>250</v>
      </c>
      <c r="S175" s="213" t="s">
        <v>118</v>
      </c>
      <c r="T175" s="213" t="s">
        <v>8682</v>
      </c>
      <c r="U175" s="213" t="s">
        <v>119</v>
      </c>
    </row>
    <row r="176" spans="1:21" s="199" customFormat="1" x14ac:dyDescent="0.25">
      <c r="A176" s="192" t="s">
        <v>6633</v>
      </c>
      <c r="B176" s="201" t="s">
        <v>3330</v>
      </c>
      <c r="C176" s="199" t="s">
        <v>3338</v>
      </c>
      <c r="D176" s="199" t="s">
        <v>8723</v>
      </c>
      <c r="E176" s="188" t="s">
        <v>2996</v>
      </c>
      <c r="F176" s="189" t="s">
        <v>3062</v>
      </c>
      <c r="G176" s="188" t="s">
        <v>6432</v>
      </c>
      <c r="H176" s="199" t="s">
        <v>53</v>
      </c>
      <c r="I176" s="199">
        <v>1</v>
      </c>
      <c r="J176" s="199">
        <v>1</v>
      </c>
      <c r="K176" s="199">
        <v>1</v>
      </c>
      <c r="L176" s="199">
        <v>50</v>
      </c>
      <c r="M176" s="202">
        <f>TB_Parts_Lists[[#This Row],[Quantity Initial]]+ SUMIF(TB_Transactions[Part number],TB_Parts_Lists[[#This Row],[Part Number]],TB_Transactions[Quantity])</f>
        <v>50</v>
      </c>
      <c r="N176" s="200" t="s">
        <v>4593</v>
      </c>
      <c r="O176" s="234">
        <v>5</v>
      </c>
      <c r="P176" s="199">
        <f>TB_Parts_Lists[[#This Row],[Quantity Initial]]*TB_Parts_Lists[[#This Row],[Unit Price AED]]</f>
        <v>250</v>
      </c>
      <c r="Q176" s="199">
        <f>TB_Parts_Lists[[#This Row],[Quantity Total]]*TB_Parts_Lists[[#This Row],[Unit Price AED]]</f>
        <v>250</v>
      </c>
      <c r="S176" s="213" t="s">
        <v>8675</v>
      </c>
      <c r="T176" s="213" t="s">
        <v>8675</v>
      </c>
      <c r="U176" s="213" t="s">
        <v>8675</v>
      </c>
    </row>
    <row r="177" spans="1:21" s="199" customFormat="1" x14ac:dyDescent="0.25">
      <c r="A177" s="192" t="s">
        <v>6634</v>
      </c>
      <c r="B177" s="201" t="s">
        <v>3330</v>
      </c>
      <c r="C177" s="199" t="s">
        <v>3338</v>
      </c>
      <c r="D177" s="199" t="s">
        <v>8723</v>
      </c>
      <c r="E177" s="188" t="s">
        <v>2989</v>
      </c>
      <c r="F177" s="189" t="s">
        <v>3055</v>
      </c>
      <c r="G177" s="188" t="s">
        <v>6432</v>
      </c>
      <c r="H177" s="199" t="s">
        <v>53</v>
      </c>
      <c r="I177" s="199">
        <v>1</v>
      </c>
      <c r="J177" s="199">
        <v>1</v>
      </c>
      <c r="K177" s="199">
        <v>1</v>
      </c>
      <c r="L177" s="199">
        <v>50</v>
      </c>
      <c r="M177" s="202">
        <f>TB_Parts_Lists[[#This Row],[Quantity Initial]]+ SUMIF(TB_Transactions[Part number],TB_Parts_Lists[[#This Row],[Part Number]],TB_Transactions[Quantity])</f>
        <v>50</v>
      </c>
      <c r="N177" s="200" t="s">
        <v>4593</v>
      </c>
      <c r="O177" s="234">
        <v>5</v>
      </c>
      <c r="P177" s="199">
        <f>TB_Parts_Lists[[#This Row],[Quantity Initial]]*TB_Parts_Lists[[#This Row],[Unit Price AED]]</f>
        <v>250</v>
      </c>
      <c r="Q177" s="199">
        <f>TB_Parts_Lists[[#This Row],[Quantity Total]]*TB_Parts_Lists[[#This Row],[Unit Price AED]]</f>
        <v>250</v>
      </c>
      <c r="S177" s="213" t="s">
        <v>8675</v>
      </c>
      <c r="T177" s="213" t="s">
        <v>8675</v>
      </c>
      <c r="U177" s="213" t="s">
        <v>8675</v>
      </c>
    </row>
    <row r="178" spans="1:21" s="199" customFormat="1" x14ac:dyDescent="0.25">
      <c r="A178" s="192" t="s">
        <v>6635</v>
      </c>
      <c r="B178" s="201" t="s">
        <v>3330</v>
      </c>
      <c r="C178" s="199" t="s">
        <v>3009</v>
      </c>
      <c r="D178" s="199" t="s">
        <v>8723</v>
      </c>
      <c r="E178" s="188" t="s">
        <v>2997</v>
      </c>
      <c r="F178" s="189" t="s">
        <v>3063</v>
      </c>
      <c r="G178" s="188" t="s">
        <v>6432</v>
      </c>
      <c r="H178" s="199" t="s">
        <v>53</v>
      </c>
      <c r="I178" s="199">
        <v>1</v>
      </c>
      <c r="J178" s="199">
        <v>1</v>
      </c>
      <c r="K178" s="199">
        <v>1</v>
      </c>
      <c r="L178" s="199">
        <v>50</v>
      </c>
      <c r="M178" s="202">
        <f>TB_Parts_Lists[[#This Row],[Quantity Initial]]+ SUMIF(TB_Transactions[Part number],TB_Parts_Lists[[#This Row],[Part Number]],TB_Transactions[Quantity])</f>
        <v>50</v>
      </c>
      <c r="N178" s="200" t="s">
        <v>4593</v>
      </c>
      <c r="O178" s="234">
        <v>5</v>
      </c>
      <c r="P178" s="199">
        <f>TB_Parts_Lists[[#This Row],[Quantity Initial]]*TB_Parts_Lists[[#This Row],[Unit Price AED]]</f>
        <v>250</v>
      </c>
      <c r="Q178" s="199">
        <f>TB_Parts_Lists[[#This Row],[Quantity Total]]*TB_Parts_Lists[[#This Row],[Unit Price AED]]</f>
        <v>250</v>
      </c>
      <c r="S178" s="213" t="s">
        <v>8675</v>
      </c>
      <c r="T178" s="213" t="s">
        <v>8675</v>
      </c>
      <c r="U178" s="213" t="s">
        <v>8675</v>
      </c>
    </row>
    <row r="179" spans="1:21" s="199" customFormat="1" x14ac:dyDescent="0.25">
      <c r="A179" s="192" t="s">
        <v>6636</v>
      </c>
      <c r="B179" s="201" t="s">
        <v>6619</v>
      </c>
      <c r="C179" s="199" t="s">
        <v>161</v>
      </c>
      <c r="D179" s="199" t="s">
        <v>8723</v>
      </c>
      <c r="E179" s="188" t="s">
        <v>2994</v>
      </c>
      <c r="F179" s="189" t="s">
        <v>3060</v>
      </c>
      <c r="G179" s="188" t="s">
        <v>6432</v>
      </c>
      <c r="H179" s="199" t="s">
        <v>53</v>
      </c>
      <c r="I179" s="199">
        <v>1</v>
      </c>
      <c r="J179" s="199">
        <v>1</v>
      </c>
      <c r="K179" s="199">
        <v>1</v>
      </c>
      <c r="L179" s="199">
        <v>50</v>
      </c>
      <c r="M179" s="202">
        <f>TB_Parts_Lists[[#This Row],[Quantity Initial]]+ SUMIF(TB_Transactions[Part number],TB_Parts_Lists[[#This Row],[Part Number]],TB_Transactions[Quantity])</f>
        <v>50</v>
      </c>
      <c r="N179" s="200" t="s">
        <v>4593</v>
      </c>
      <c r="O179" s="234">
        <v>5</v>
      </c>
      <c r="P179" s="199">
        <f>TB_Parts_Lists[[#This Row],[Quantity Initial]]*TB_Parts_Lists[[#This Row],[Unit Price AED]]</f>
        <v>250</v>
      </c>
      <c r="Q179" s="199">
        <f>TB_Parts_Lists[[#This Row],[Quantity Total]]*TB_Parts_Lists[[#This Row],[Unit Price AED]]</f>
        <v>250</v>
      </c>
      <c r="S179" s="213" t="s">
        <v>8675</v>
      </c>
      <c r="T179" s="213" t="s">
        <v>8675</v>
      </c>
      <c r="U179" s="213" t="s">
        <v>8675</v>
      </c>
    </row>
    <row r="180" spans="1:21" s="199" customFormat="1" x14ac:dyDescent="0.25">
      <c r="A180" s="192" t="s">
        <v>6641</v>
      </c>
      <c r="B180" s="203" t="s">
        <v>3002</v>
      </c>
      <c r="C180" s="188" t="s">
        <v>3006</v>
      </c>
      <c r="D180" s="199" t="s">
        <v>8723</v>
      </c>
      <c r="E180" s="188" t="s">
        <v>4868</v>
      </c>
      <c r="F180" s="189" t="s">
        <v>3064</v>
      </c>
      <c r="G180" s="188" t="s">
        <v>6432</v>
      </c>
      <c r="H180" s="199" t="s">
        <v>53</v>
      </c>
      <c r="I180" s="199">
        <v>1</v>
      </c>
      <c r="J180" s="199">
        <v>1</v>
      </c>
      <c r="K180" s="199">
        <v>1</v>
      </c>
      <c r="L180" s="199">
        <v>50</v>
      </c>
      <c r="M180" s="202">
        <f>TB_Parts_Lists[[#This Row],[Quantity Initial]]+ SUMIF(TB_Transactions[Part number],TB_Parts_Lists[[#This Row],[Part Number]],TB_Transactions[Quantity])</f>
        <v>50</v>
      </c>
      <c r="N180" s="200" t="s">
        <v>4593</v>
      </c>
      <c r="O180" s="234">
        <v>5</v>
      </c>
      <c r="P180" s="199">
        <f>TB_Parts_Lists[[#This Row],[Quantity Initial]]*TB_Parts_Lists[[#This Row],[Unit Price AED]]</f>
        <v>250</v>
      </c>
      <c r="Q180" s="199">
        <f>TB_Parts_Lists[[#This Row],[Quantity Total]]*TB_Parts_Lists[[#This Row],[Unit Price AED]]</f>
        <v>250</v>
      </c>
      <c r="S180" s="213" t="s">
        <v>8675</v>
      </c>
      <c r="T180" s="213" t="s">
        <v>8675</v>
      </c>
      <c r="U180" s="213" t="s">
        <v>8675</v>
      </c>
    </row>
    <row r="181" spans="1:21" s="199" customFormat="1" x14ac:dyDescent="0.25">
      <c r="A181" s="192" t="s">
        <v>6642</v>
      </c>
      <c r="B181" s="203" t="s">
        <v>3002</v>
      </c>
      <c r="C181" s="188" t="s">
        <v>3006</v>
      </c>
      <c r="D181" s="199" t="s">
        <v>8723</v>
      </c>
      <c r="E181" s="188" t="s">
        <v>2998</v>
      </c>
      <c r="F181" s="189" t="s">
        <v>3065</v>
      </c>
      <c r="G181" s="188" t="s">
        <v>6432</v>
      </c>
      <c r="H181" s="199" t="s">
        <v>53</v>
      </c>
      <c r="I181" s="199">
        <v>1</v>
      </c>
      <c r="J181" s="199">
        <v>1</v>
      </c>
      <c r="K181" s="199">
        <v>1</v>
      </c>
      <c r="L181" s="199">
        <v>50</v>
      </c>
      <c r="M181" s="202">
        <f>TB_Parts_Lists[[#This Row],[Quantity Initial]]+ SUMIF(TB_Transactions[Part number],TB_Parts_Lists[[#This Row],[Part Number]],TB_Transactions[Quantity])</f>
        <v>50</v>
      </c>
      <c r="N181" s="200" t="s">
        <v>4593</v>
      </c>
      <c r="O181" s="234">
        <v>5</v>
      </c>
      <c r="P181" s="199">
        <f>TB_Parts_Lists[[#This Row],[Quantity Initial]]*TB_Parts_Lists[[#This Row],[Unit Price AED]]</f>
        <v>250</v>
      </c>
      <c r="Q181" s="199">
        <f>TB_Parts_Lists[[#This Row],[Quantity Total]]*TB_Parts_Lists[[#This Row],[Unit Price AED]]</f>
        <v>250</v>
      </c>
      <c r="S181" s="213" t="s">
        <v>8675</v>
      </c>
      <c r="T181" s="213" t="s">
        <v>8675</v>
      </c>
      <c r="U181" s="213" t="s">
        <v>8675</v>
      </c>
    </row>
    <row r="182" spans="1:21" s="199" customFormat="1" x14ac:dyDescent="0.25">
      <c r="A182" s="192" t="s">
        <v>6643</v>
      </c>
      <c r="B182" s="203" t="s">
        <v>3002</v>
      </c>
      <c r="C182" s="188" t="s">
        <v>3006</v>
      </c>
      <c r="D182" s="199" t="s">
        <v>8723</v>
      </c>
      <c r="E182" s="188" t="s">
        <v>4869</v>
      </c>
      <c r="F182" s="189" t="s">
        <v>3066</v>
      </c>
      <c r="G182" s="188" t="s">
        <v>6432</v>
      </c>
      <c r="H182" s="199" t="s">
        <v>53</v>
      </c>
      <c r="I182" s="199">
        <v>1</v>
      </c>
      <c r="J182" s="199">
        <v>1</v>
      </c>
      <c r="K182" s="199">
        <v>1</v>
      </c>
      <c r="L182" s="199">
        <v>50</v>
      </c>
      <c r="M182" s="202">
        <f>TB_Parts_Lists[[#This Row],[Quantity Initial]]+ SUMIF(TB_Transactions[Part number],TB_Parts_Lists[[#This Row],[Part Number]],TB_Transactions[Quantity])</f>
        <v>50</v>
      </c>
      <c r="N182" s="200" t="s">
        <v>4593</v>
      </c>
      <c r="O182" s="234">
        <v>5</v>
      </c>
      <c r="P182" s="199">
        <f>TB_Parts_Lists[[#This Row],[Quantity Initial]]*TB_Parts_Lists[[#This Row],[Unit Price AED]]</f>
        <v>250</v>
      </c>
      <c r="Q182" s="199">
        <f>TB_Parts_Lists[[#This Row],[Quantity Total]]*TB_Parts_Lists[[#This Row],[Unit Price AED]]</f>
        <v>250</v>
      </c>
      <c r="S182" s="213" t="s">
        <v>8675</v>
      </c>
      <c r="T182" s="213" t="s">
        <v>8675</v>
      </c>
      <c r="U182" s="213" t="s">
        <v>8675</v>
      </c>
    </row>
    <row r="183" spans="1:21" s="199" customFormat="1" x14ac:dyDescent="0.25">
      <c r="A183" s="192" t="s">
        <v>6644</v>
      </c>
      <c r="B183" s="203" t="s">
        <v>3002</v>
      </c>
      <c r="C183" s="188" t="s">
        <v>3006</v>
      </c>
      <c r="D183" s="188" t="s">
        <v>8724</v>
      </c>
      <c r="E183" s="188" t="s">
        <v>4870</v>
      </c>
      <c r="F183" s="189" t="s">
        <v>3186</v>
      </c>
      <c r="G183" s="188" t="s">
        <v>6432</v>
      </c>
      <c r="H183" s="199" t="s">
        <v>53</v>
      </c>
      <c r="I183" s="199">
        <v>1</v>
      </c>
      <c r="J183" s="199">
        <v>1</v>
      </c>
      <c r="K183" s="199">
        <v>1</v>
      </c>
      <c r="L183" s="199">
        <v>50</v>
      </c>
      <c r="M183" s="202">
        <f>TB_Parts_Lists[[#This Row],[Quantity Initial]]+ SUMIF(TB_Transactions[Part number],TB_Parts_Lists[[#This Row],[Part Number]],TB_Transactions[Quantity])</f>
        <v>50</v>
      </c>
      <c r="N183" s="200" t="s">
        <v>4593</v>
      </c>
      <c r="O183" s="234">
        <v>5</v>
      </c>
      <c r="P183" s="199">
        <f>TB_Parts_Lists[[#This Row],[Quantity Initial]]*TB_Parts_Lists[[#This Row],[Unit Price AED]]</f>
        <v>250</v>
      </c>
      <c r="Q183" s="199">
        <f>TB_Parts_Lists[[#This Row],[Quantity Total]]*TB_Parts_Lists[[#This Row],[Unit Price AED]]</f>
        <v>250</v>
      </c>
      <c r="S183" s="213" t="s">
        <v>8675</v>
      </c>
      <c r="T183" s="213" t="s">
        <v>8675</v>
      </c>
      <c r="U183" s="213" t="s">
        <v>8675</v>
      </c>
    </row>
    <row r="184" spans="1:21" s="199" customFormat="1" x14ac:dyDescent="0.25">
      <c r="A184" s="192" t="s">
        <v>6645</v>
      </c>
      <c r="B184" s="203" t="s">
        <v>3002</v>
      </c>
      <c r="C184" s="199" t="s">
        <v>3007</v>
      </c>
      <c r="D184" s="199" t="s">
        <v>8723</v>
      </c>
      <c r="E184" s="188" t="s">
        <v>3007</v>
      </c>
      <c r="F184" s="189" t="s">
        <v>3187</v>
      </c>
      <c r="G184" s="188" t="s">
        <v>6432</v>
      </c>
      <c r="H184" s="199" t="s">
        <v>53</v>
      </c>
      <c r="I184" s="199">
        <v>1</v>
      </c>
      <c r="J184" s="199">
        <v>1</v>
      </c>
      <c r="K184" s="199">
        <v>1</v>
      </c>
      <c r="L184" s="199">
        <v>50</v>
      </c>
      <c r="M184" s="202">
        <f>TB_Parts_Lists[[#This Row],[Quantity Initial]]+ SUMIF(TB_Transactions[Part number],TB_Parts_Lists[[#This Row],[Part Number]],TB_Transactions[Quantity])</f>
        <v>50</v>
      </c>
      <c r="N184" s="200" t="s">
        <v>4593</v>
      </c>
      <c r="O184" s="234">
        <v>5</v>
      </c>
      <c r="P184" s="199">
        <f>TB_Parts_Lists[[#This Row],[Quantity Initial]]*TB_Parts_Lists[[#This Row],[Unit Price AED]]</f>
        <v>250</v>
      </c>
      <c r="Q184" s="199">
        <f>TB_Parts_Lists[[#This Row],[Quantity Total]]*TB_Parts_Lists[[#This Row],[Unit Price AED]]</f>
        <v>250</v>
      </c>
      <c r="S184" s="213" t="s">
        <v>8675</v>
      </c>
      <c r="T184" s="213" t="s">
        <v>8675</v>
      </c>
      <c r="U184" s="213" t="s">
        <v>8675</v>
      </c>
    </row>
    <row r="185" spans="1:21" s="199" customFormat="1" x14ac:dyDescent="0.25">
      <c r="A185" s="192" t="s">
        <v>6646</v>
      </c>
      <c r="B185" s="203" t="s">
        <v>3330</v>
      </c>
      <c r="C185" s="199" t="s">
        <v>3338</v>
      </c>
      <c r="D185" s="199" t="s">
        <v>8723</v>
      </c>
      <c r="E185" s="188" t="s">
        <v>2999</v>
      </c>
      <c r="F185" s="189" t="s">
        <v>3067</v>
      </c>
      <c r="G185" s="188" t="s">
        <v>6432</v>
      </c>
      <c r="H185" s="199" t="s">
        <v>53</v>
      </c>
      <c r="I185" s="199">
        <v>1</v>
      </c>
      <c r="J185" s="199">
        <v>1</v>
      </c>
      <c r="K185" s="199">
        <v>1</v>
      </c>
      <c r="L185" s="199">
        <v>50</v>
      </c>
      <c r="M185" s="202">
        <f>TB_Parts_Lists[[#This Row],[Quantity Initial]]+ SUMIF(TB_Transactions[Part number],TB_Parts_Lists[[#This Row],[Part Number]],TB_Transactions[Quantity])</f>
        <v>50</v>
      </c>
      <c r="N185" s="200" t="s">
        <v>4593</v>
      </c>
      <c r="O185" s="234">
        <v>5</v>
      </c>
      <c r="P185" s="199">
        <f>TB_Parts_Lists[[#This Row],[Quantity Initial]]*TB_Parts_Lists[[#This Row],[Unit Price AED]]</f>
        <v>250</v>
      </c>
      <c r="Q185" s="199">
        <f>TB_Parts_Lists[[#This Row],[Quantity Total]]*TB_Parts_Lists[[#This Row],[Unit Price AED]]</f>
        <v>250</v>
      </c>
      <c r="S185" s="213" t="s">
        <v>8675</v>
      </c>
      <c r="T185" s="213" t="s">
        <v>8675</v>
      </c>
      <c r="U185" s="213" t="s">
        <v>8675</v>
      </c>
    </row>
    <row r="186" spans="1:21" s="199" customFormat="1" x14ac:dyDescent="0.25">
      <c r="A186" s="192" t="s">
        <v>6647</v>
      </c>
      <c r="B186" s="203" t="s">
        <v>3330</v>
      </c>
      <c r="C186" s="199" t="s">
        <v>3338</v>
      </c>
      <c r="D186" s="199" t="s">
        <v>8723</v>
      </c>
      <c r="E186" s="188" t="s">
        <v>3000</v>
      </c>
      <c r="F186" s="189" t="s">
        <v>3068</v>
      </c>
      <c r="G186" s="188" t="s">
        <v>6432</v>
      </c>
      <c r="H186" s="199" t="s">
        <v>53</v>
      </c>
      <c r="I186" s="199">
        <v>1</v>
      </c>
      <c r="J186" s="199">
        <v>1</v>
      </c>
      <c r="K186" s="199">
        <v>1</v>
      </c>
      <c r="L186" s="199">
        <v>50</v>
      </c>
      <c r="M186" s="202">
        <f>TB_Parts_Lists[[#This Row],[Quantity Initial]]+ SUMIF(TB_Transactions[Part number],TB_Parts_Lists[[#This Row],[Part Number]],TB_Transactions[Quantity])</f>
        <v>50</v>
      </c>
      <c r="N186" s="200" t="s">
        <v>4593</v>
      </c>
      <c r="O186" s="234">
        <v>5</v>
      </c>
      <c r="P186" s="199">
        <f>TB_Parts_Lists[[#This Row],[Quantity Initial]]*TB_Parts_Lists[[#This Row],[Unit Price AED]]</f>
        <v>250</v>
      </c>
      <c r="Q186" s="199">
        <f>TB_Parts_Lists[[#This Row],[Quantity Total]]*TB_Parts_Lists[[#This Row],[Unit Price AED]]</f>
        <v>250</v>
      </c>
      <c r="S186" s="213" t="s">
        <v>8675</v>
      </c>
      <c r="T186" s="213" t="s">
        <v>8675</v>
      </c>
      <c r="U186" s="213" t="s">
        <v>8675</v>
      </c>
    </row>
    <row r="187" spans="1:21" s="199" customFormat="1" x14ac:dyDescent="0.25">
      <c r="A187" s="192" t="s">
        <v>6648</v>
      </c>
      <c r="B187" s="203" t="s">
        <v>3002</v>
      </c>
      <c r="C187" s="188" t="s">
        <v>3006</v>
      </c>
      <c r="D187" s="199" t="s">
        <v>8723</v>
      </c>
      <c r="E187" s="188" t="s">
        <v>3001</v>
      </c>
      <c r="F187" s="189" t="s">
        <v>3069</v>
      </c>
      <c r="G187" s="188" t="s">
        <v>6432</v>
      </c>
      <c r="H187" s="199" t="s">
        <v>53</v>
      </c>
      <c r="I187" s="199">
        <v>1</v>
      </c>
      <c r="J187" s="199">
        <v>1</v>
      </c>
      <c r="K187" s="199">
        <v>1</v>
      </c>
      <c r="L187" s="199">
        <v>50</v>
      </c>
      <c r="M187" s="202">
        <f>TB_Parts_Lists[[#This Row],[Quantity Initial]]+ SUMIF(TB_Transactions[Part number],TB_Parts_Lists[[#This Row],[Part Number]],TB_Transactions[Quantity])</f>
        <v>50</v>
      </c>
      <c r="N187" s="200" t="s">
        <v>4593</v>
      </c>
      <c r="O187" s="234">
        <v>5</v>
      </c>
      <c r="P187" s="199">
        <f>TB_Parts_Lists[[#This Row],[Quantity Initial]]*TB_Parts_Lists[[#This Row],[Unit Price AED]]</f>
        <v>250</v>
      </c>
      <c r="Q187" s="199">
        <f>TB_Parts_Lists[[#This Row],[Quantity Total]]*TB_Parts_Lists[[#This Row],[Unit Price AED]]</f>
        <v>250</v>
      </c>
      <c r="S187" s="213" t="s">
        <v>8675</v>
      </c>
      <c r="T187" s="213" t="s">
        <v>8675</v>
      </c>
      <c r="U187" s="213" t="s">
        <v>8675</v>
      </c>
    </row>
    <row r="188" spans="1:21" s="199" customFormat="1" x14ac:dyDescent="0.25">
      <c r="A188" s="192" t="s">
        <v>6649</v>
      </c>
      <c r="B188" s="203" t="s">
        <v>3330</v>
      </c>
      <c r="C188" s="199" t="s">
        <v>3338</v>
      </c>
      <c r="D188" s="199" t="s">
        <v>8723</v>
      </c>
      <c r="E188" s="188" t="s">
        <v>4871</v>
      </c>
      <c r="F188" s="189" t="s">
        <v>3188</v>
      </c>
      <c r="G188" s="188" t="s">
        <v>6432</v>
      </c>
      <c r="H188" s="199" t="s">
        <v>53</v>
      </c>
      <c r="I188" s="199">
        <v>1</v>
      </c>
      <c r="J188" s="199">
        <v>1</v>
      </c>
      <c r="K188" s="199">
        <v>1</v>
      </c>
      <c r="L188" s="199">
        <v>50</v>
      </c>
      <c r="M188" s="202">
        <f>TB_Parts_Lists[[#This Row],[Quantity Initial]]+ SUMIF(TB_Transactions[Part number],TB_Parts_Lists[[#This Row],[Part Number]],TB_Transactions[Quantity])</f>
        <v>50</v>
      </c>
      <c r="N188" s="200" t="s">
        <v>4593</v>
      </c>
      <c r="O188" s="234">
        <v>5</v>
      </c>
      <c r="P188" s="199">
        <f>TB_Parts_Lists[[#This Row],[Quantity Initial]]*TB_Parts_Lists[[#This Row],[Unit Price AED]]</f>
        <v>250</v>
      </c>
      <c r="Q188" s="199">
        <f>TB_Parts_Lists[[#This Row],[Quantity Total]]*TB_Parts_Lists[[#This Row],[Unit Price AED]]</f>
        <v>250</v>
      </c>
      <c r="S188" s="213" t="s">
        <v>8675</v>
      </c>
      <c r="T188" s="213" t="s">
        <v>8675</v>
      </c>
      <c r="U188" s="213" t="s">
        <v>8675</v>
      </c>
    </row>
    <row r="189" spans="1:21" s="199" customFormat="1" x14ac:dyDescent="0.25">
      <c r="A189" s="192" t="s">
        <v>4589</v>
      </c>
      <c r="B189" s="201" t="s">
        <v>3332</v>
      </c>
      <c r="C189" s="199" t="s">
        <v>3356</v>
      </c>
      <c r="D189" s="188" t="s">
        <v>8724</v>
      </c>
      <c r="E189" s="188" t="s">
        <v>4872</v>
      </c>
      <c r="F189" s="189" t="s">
        <v>3070</v>
      </c>
      <c r="G189" s="188" t="s">
        <v>6432</v>
      </c>
      <c r="H189" s="199" t="s">
        <v>53</v>
      </c>
      <c r="I189" s="199">
        <v>1</v>
      </c>
      <c r="J189" s="199">
        <v>1</v>
      </c>
      <c r="K189" s="199">
        <v>1</v>
      </c>
      <c r="L189" s="199">
        <v>50</v>
      </c>
      <c r="M189" s="202">
        <f>TB_Parts_Lists[[#This Row],[Quantity Initial]]+ SUMIF(TB_Transactions[Part number],TB_Parts_Lists[[#This Row],[Part Number]],TB_Transactions[Quantity])</f>
        <v>50</v>
      </c>
      <c r="N189" s="200" t="s">
        <v>4593</v>
      </c>
      <c r="O189" s="234">
        <v>5</v>
      </c>
      <c r="P189" s="199">
        <f>TB_Parts_Lists[[#This Row],[Quantity Initial]]*TB_Parts_Lists[[#This Row],[Unit Price AED]]</f>
        <v>250</v>
      </c>
      <c r="Q189" s="199">
        <f>TB_Parts_Lists[[#This Row],[Quantity Total]]*TB_Parts_Lists[[#This Row],[Unit Price AED]]</f>
        <v>250</v>
      </c>
      <c r="S189" s="213" t="s">
        <v>8675</v>
      </c>
      <c r="T189" s="213" t="s">
        <v>8675</v>
      </c>
      <c r="U189" s="213" t="s">
        <v>8675</v>
      </c>
    </row>
    <row r="190" spans="1:21" s="199" customFormat="1" x14ac:dyDescent="0.25">
      <c r="A190" s="192" t="s">
        <v>6650</v>
      </c>
      <c r="B190" s="203" t="s">
        <v>3002</v>
      </c>
      <c r="C190" s="188" t="s">
        <v>3006</v>
      </c>
      <c r="D190" s="199" t="s">
        <v>8723</v>
      </c>
      <c r="E190" s="188" t="s">
        <v>3002</v>
      </c>
      <c r="F190" s="189" t="s">
        <v>3071</v>
      </c>
      <c r="G190" s="188" t="s">
        <v>6432</v>
      </c>
      <c r="H190" s="199" t="s">
        <v>53</v>
      </c>
      <c r="I190" s="199">
        <v>1</v>
      </c>
      <c r="J190" s="199">
        <v>1</v>
      </c>
      <c r="K190" s="199">
        <v>1</v>
      </c>
      <c r="L190" s="199">
        <v>50</v>
      </c>
      <c r="M190" s="202">
        <f>TB_Parts_Lists[[#This Row],[Quantity Initial]]+ SUMIF(TB_Transactions[Part number],TB_Parts_Lists[[#This Row],[Part Number]],TB_Transactions[Quantity])</f>
        <v>50</v>
      </c>
      <c r="N190" s="200" t="s">
        <v>4593</v>
      </c>
      <c r="O190" s="234">
        <v>5</v>
      </c>
      <c r="P190" s="199">
        <f>TB_Parts_Lists[[#This Row],[Quantity Initial]]*TB_Parts_Lists[[#This Row],[Unit Price AED]]</f>
        <v>250</v>
      </c>
      <c r="Q190" s="199">
        <f>TB_Parts_Lists[[#This Row],[Quantity Total]]*TB_Parts_Lists[[#This Row],[Unit Price AED]]</f>
        <v>250</v>
      </c>
      <c r="S190" s="213" t="s">
        <v>8675</v>
      </c>
      <c r="T190" s="213" t="s">
        <v>8675</v>
      </c>
      <c r="U190" s="213" t="s">
        <v>8675</v>
      </c>
    </row>
    <row r="191" spans="1:21" s="199" customFormat="1" x14ac:dyDescent="0.25">
      <c r="A191" s="192" t="s">
        <v>6651</v>
      </c>
      <c r="B191" s="203" t="s">
        <v>3335</v>
      </c>
      <c r="C191" s="188" t="s">
        <v>6623</v>
      </c>
      <c r="D191" s="199" t="s">
        <v>8723</v>
      </c>
      <c r="E191" s="188" t="s">
        <v>4873</v>
      </c>
      <c r="F191" s="189" t="s">
        <v>3189</v>
      </c>
      <c r="G191" s="188" t="s">
        <v>6432</v>
      </c>
      <c r="H191" s="199" t="s">
        <v>53</v>
      </c>
      <c r="I191" s="199">
        <v>1</v>
      </c>
      <c r="J191" s="199">
        <v>1</v>
      </c>
      <c r="K191" s="199">
        <v>1</v>
      </c>
      <c r="L191" s="199">
        <v>50</v>
      </c>
      <c r="M191" s="202">
        <f>TB_Parts_Lists[[#This Row],[Quantity Initial]]+ SUMIF(TB_Transactions[Part number],TB_Parts_Lists[[#This Row],[Part Number]],TB_Transactions[Quantity])</f>
        <v>50</v>
      </c>
      <c r="N191" s="200" t="s">
        <v>4593</v>
      </c>
      <c r="O191" s="234">
        <v>5</v>
      </c>
      <c r="P191" s="199">
        <f>TB_Parts_Lists[[#This Row],[Quantity Initial]]*TB_Parts_Lists[[#This Row],[Unit Price AED]]</f>
        <v>250</v>
      </c>
      <c r="Q191" s="199">
        <f>TB_Parts_Lists[[#This Row],[Quantity Total]]*TB_Parts_Lists[[#This Row],[Unit Price AED]]</f>
        <v>250</v>
      </c>
      <c r="S191" s="213" t="s">
        <v>8675</v>
      </c>
      <c r="T191" s="213" t="s">
        <v>8675</v>
      </c>
      <c r="U191" s="213" t="s">
        <v>8675</v>
      </c>
    </row>
    <row r="192" spans="1:21" s="199" customFormat="1" x14ac:dyDescent="0.25">
      <c r="A192" s="192" t="s">
        <v>6653</v>
      </c>
      <c r="B192" s="201" t="s">
        <v>3329</v>
      </c>
      <c r="C192" s="199" t="s">
        <v>6652</v>
      </c>
      <c r="D192" s="188" t="s">
        <v>8724</v>
      </c>
      <c r="E192" s="188" t="s">
        <v>4874</v>
      </c>
      <c r="F192" s="189" t="s">
        <v>3190</v>
      </c>
      <c r="G192" s="188" t="s">
        <v>6432</v>
      </c>
      <c r="H192" s="199" t="s">
        <v>53</v>
      </c>
      <c r="I192" s="199">
        <v>1</v>
      </c>
      <c r="J192" s="199">
        <v>1</v>
      </c>
      <c r="K192" s="199">
        <v>1</v>
      </c>
      <c r="L192" s="199">
        <v>50</v>
      </c>
      <c r="M192" s="202">
        <f>TB_Parts_Lists[[#This Row],[Quantity Initial]]+ SUMIF(TB_Transactions[Part number],TB_Parts_Lists[[#This Row],[Part Number]],TB_Transactions[Quantity])</f>
        <v>50</v>
      </c>
      <c r="N192" s="200" t="s">
        <v>4593</v>
      </c>
      <c r="O192" s="234">
        <v>5</v>
      </c>
      <c r="P192" s="199">
        <f>TB_Parts_Lists[[#This Row],[Quantity Initial]]*TB_Parts_Lists[[#This Row],[Unit Price AED]]</f>
        <v>250</v>
      </c>
      <c r="Q192" s="199">
        <f>TB_Parts_Lists[[#This Row],[Quantity Total]]*TB_Parts_Lists[[#This Row],[Unit Price AED]]</f>
        <v>250</v>
      </c>
      <c r="S192" s="213" t="s">
        <v>8675</v>
      </c>
      <c r="T192" s="213" t="s">
        <v>8675</v>
      </c>
      <c r="U192" s="213" t="s">
        <v>8675</v>
      </c>
    </row>
    <row r="193" spans="1:21" s="199" customFormat="1" x14ac:dyDescent="0.25">
      <c r="A193" s="192" t="s">
        <v>6654</v>
      </c>
      <c r="B193" s="203" t="s">
        <v>3330</v>
      </c>
      <c r="C193" s="199" t="s">
        <v>3003</v>
      </c>
      <c r="D193" s="199" t="s">
        <v>8723</v>
      </c>
      <c r="E193" s="188" t="s">
        <v>3003</v>
      </c>
      <c r="F193" s="189" t="s">
        <v>3072</v>
      </c>
      <c r="G193" s="188" t="s">
        <v>6432</v>
      </c>
      <c r="H193" s="199" t="s">
        <v>53</v>
      </c>
      <c r="I193" s="199">
        <v>1</v>
      </c>
      <c r="J193" s="199">
        <v>1</v>
      </c>
      <c r="K193" s="199">
        <v>1</v>
      </c>
      <c r="L193" s="199">
        <v>50</v>
      </c>
      <c r="M193" s="202">
        <f>TB_Parts_Lists[[#This Row],[Quantity Initial]]+ SUMIF(TB_Transactions[Part number],TB_Parts_Lists[[#This Row],[Part Number]],TB_Transactions[Quantity])</f>
        <v>50</v>
      </c>
      <c r="N193" s="200" t="s">
        <v>4593</v>
      </c>
      <c r="O193" s="234">
        <v>5</v>
      </c>
      <c r="P193" s="199">
        <f>TB_Parts_Lists[[#This Row],[Quantity Initial]]*TB_Parts_Lists[[#This Row],[Unit Price AED]]</f>
        <v>250</v>
      </c>
      <c r="Q193" s="199">
        <f>TB_Parts_Lists[[#This Row],[Quantity Total]]*TB_Parts_Lists[[#This Row],[Unit Price AED]]</f>
        <v>250</v>
      </c>
      <c r="S193" s="213" t="s">
        <v>8675</v>
      </c>
      <c r="T193" s="213" t="s">
        <v>8675</v>
      </c>
      <c r="U193" s="213" t="s">
        <v>8675</v>
      </c>
    </row>
    <row r="194" spans="1:21" s="199" customFormat="1" x14ac:dyDescent="0.25">
      <c r="A194" s="192" t="s">
        <v>6655</v>
      </c>
      <c r="B194" s="203" t="s">
        <v>6619</v>
      </c>
      <c r="C194" s="188" t="s">
        <v>161</v>
      </c>
      <c r="D194" s="199" t="s">
        <v>8723</v>
      </c>
      <c r="E194" s="188" t="s">
        <v>4875</v>
      </c>
      <c r="F194" s="189" t="s">
        <v>3191</v>
      </c>
      <c r="G194" s="188" t="s">
        <v>6432</v>
      </c>
      <c r="H194" s="199" t="s">
        <v>53</v>
      </c>
      <c r="I194" s="199">
        <v>1</v>
      </c>
      <c r="J194" s="199">
        <v>1</v>
      </c>
      <c r="K194" s="199">
        <v>1</v>
      </c>
      <c r="L194" s="199">
        <v>50</v>
      </c>
      <c r="M194" s="202">
        <f>TB_Parts_Lists[[#This Row],[Quantity Initial]]+ SUMIF(TB_Transactions[Part number],TB_Parts_Lists[[#This Row],[Part Number]],TB_Transactions[Quantity])</f>
        <v>50</v>
      </c>
      <c r="N194" s="200" t="s">
        <v>4593</v>
      </c>
      <c r="O194" s="234">
        <v>5</v>
      </c>
      <c r="P194" s="199">
        <f>TB_Parts_Lists[[#This Row],[Quantity Initial]]*TB_Parts_Lists[[#This Row],[Unit Price AED]]</f>
        <v>250</v>
      </c>
      <c r="Q194" s="199">
        <f>TB_Parts_Lists[[#This Row],[Quantity Total]]*TB_Parts_Lists[[#This Row],[Unit Price AED]]</f>
        <v>250</v>
      </c>
      <c r="S194" s="213" t="s">
        <v>8675</v>
      </c>
      <c r="T194" s="213" t="s">
        <v>8675</v>
      </c>
      <c r="U194" s="213" t="s">
        <v>8675</v>
      </c>
    </row>
    <row r="195" spans="1:21" s="199" customFormat="1" x14ac:dyDescent="0.25">
      <c r="A195" s="192" t="s">
        <v>6656</v>
      </c>
      <c r="B195" s="203" t="s">
        <v>3330</v>
      </c>
      <c r="C195" s="188" t="s">
        <v>3338</v>
      </c>
      <c r="D195" s="188" t="s">
        <v>8724</v>
      </c>
      <c r="E195" s="188" t="s">
        <v>4876</v>
      </c>
      <c r="F195" s="189" t="s">
        <v>3192</v>
      </c>
      <c r="G195" s="188" t="s">
        <v>6432</v>
      </c>
      <c r="H195" s="199" t="s">
        <v>53</v>
      </c>
      <c r="I195" s="199">
        <v>1</v>
      </c>
      <c r="J195" s="199">
        <v>1</v>
      </c>
      <c r="K195" s="199">
        <v>1</v>
      </c>
      <c r="L195" s="199">
        <v>50</v>
      </c>
      <c r="M195" s="202">
        <f>TB_Parts_Lists[[#This Row],[Quantity Initial]]+ SUMIF(TB_Transactions[Part number],TB_Parts_Lists[[#This Row],[Part Number]],TB_Transactions[Quantity])</f>
        <v>50</v>
      </c>
      <c r="N195" s="200" t="s">
        <v>4593</v>
      </c>
      <c r="O195" s="234">
        <v>5</v>
      </c>
      <c r="P195" s="199">
        <f>TB_Parts_Lists[[#This Row],[Quantity Initial]]*TB_Parts_Lists[[#This Row],[Unit Price AED]]</f>
        <v>250</v>
      </c>
      <c r="Q195" s="199">
        <f>TB_Parts_Lists[[#This Row],[Quantity Total]]*TB_Parts_Lists[[#This Row],[Unit Price AED]]</f>
        <v>250</v>
      </c>
      <c r="S195" s="213" t="s">
        <v>8675</v>
      </c>
      <c r="T195" s="213" t="s">
        <v>8675</v>
      </c>
      <c r="U195" s="213" t="s">
        <v>8675</v>
      </c>
    </row>
    <row r="196" spans="1:21" s="199" customFormat="1" x14ac:dyDescent="0.25">
      <c r="A196" s="192" t="s">
        <v>6657</v>
      </c>
      <c r="B196" s="203" t="s">
        <v>3330</v>
      </c>
      <c r="C196" s="199" t="s">
        <v>3338</v>
      </c>
      <c r="D196" s="188" t="s">
        <v>8724</v>
      </c>
      <c r="E196" s="188" t="s">
        <v>4877</v>
      </c>
      <c r="F196" s="189" t="s">
        <v>3193</v>
      </c>
      <c r="G196" s="188" t="s">
        <v>6432</v>
      </c>
      <c r="H196" s="199" t="s">
        <v>53</v>
      </c>
      <c r="I196" s="199">
        <v>1</v>
      </c>
      <c r="J196" s="199">
        <v>1</v>
      </c>
      <c r="K196" s="199">
        <v>1</v>
      </c>
      <c r="L196" s="199">
        <v>50</v>
      </c>
      <c r="M196" s="202">
        <f>TB_Parts_Lists[[#This Row],[Quantity Initial]]+ SUMIF(TB_Transactions[Part number],TB_Parts_Lists[[#This Row],[Part Number]],TB_Transactions[Quantity])</f>
        <v>50</v>
      </c>
      <c r="N196" s="200" t="s">
        <v>4593</v>
      </c>
      <c r="O196" s="234">
        <v>5</v>
      </c>
      <c r="P196" s="199">
        <f>TB_Parts_Lists[[#This Row],[Quantity Initial]]*TB_Parts_Lists[[#This Row],[Unit Price AED]]</f>
        <v>250</v>
      </c>
      <c r="Q196" s="199">
        <f>TB_Parts_Lists[[#This Row],[Quantity Total]]*TB_Parts_Lists[[#This Row],[Unit Price AED]]</f>
        <v>250</v>
      </c>
      <c r="S196" s="213" t="s">
        <v>8675</v>
      </c>
      <c r="T196" s="213" t="s">
        <v>8675</v>
      </c>
      <c r="U196" s="213" t="s">
        <v>8675</v>
      </c>
    </row>
    <row r="197" spans="1:21" s="199" customFormat="1" x14ac:dyDescent="0.25">
      <c r="A197" s="192" t="s">
        <v>6658</v>
      </c>
      <c r="B197" s="203" t="s">
        <v>3330</v>
      </c>
      <c r="C197" s="199" t="s">
        <v>3338</v>
      </c>
      <c r="D197" s="188" t="s">
        <v>8724</v>
      </c>
      <c r="E197" s="188" t="s">
        <v>4878</v>
      </c>
      <c r="F197" s="189" t="s">
        <v>3194</v>
      </c>
      <c r="G197" s="188" t="s">
        <v>6432</v>
      </c>
      <c r="H197" s="199" t="s">
        <v>53</v>
      </c>
      <c r="I197" s="199">
        <v>1</v>
      </c>
      <c r="J197" s="199">
        <v>1</v>
      </c>
      <c r="K197" s="199">
        <v>1</v>
      </c>
      <c r="L197" s="199">
        <v>50</v>
      </c>
      <c r="M197" s="202">
        <f>TB_Parts_Lists[[#This Row],[Quantity Initial]]+ SUMIF(TB_Transactions[Part number],TB_Parts_Lists[[#This Row],[Part Number]],TB_Transactions[Quantity])</f>
        <v>50</v>
      </c>
      <c r="N197" s="200" t="s">
        <v>4593</v>
      </c>
      <c r="O197" s="234">
        <v>5</v>
      </c>
      <c r="P197" s="199">
        <f>TB_Parts_Lists[[#This Row],[Quantity Initial]]*TB_Parts_Lists[[#This Row],[Unit Price AED]]</f>
        <v>250</v>
      </c>
      <c r="Q197" s="199">
        <f>TB_Parts_Lists[[#This Row],[Quantity Total]]*TB_Parts_Lists[[#This Row],[Unit Price AED]]</f>
        <v>250</v>
      </c>
      <c r="S197" s="213" t="s">
        <v>8675</v>
      </c>
      <c r="T197" s="213" t="s">
        <v>8675</v>
      </c>
      <c r="U197" s="213" t="s">
        <v>8675</v>
      </c>
    </row>
    <row r="198" spans="1:21" s="199" customFormat="1" x14ac:dyDescent="0.25">
      <c r="A198" s="192" t="s">
        <v>6659</v>
      </c>
      <c r="B198" s="203" t="s">
        <v>3330</v>
      </c>
      <c r="C198" s="199" t="s">
        <v>3338</v>
      </c>
      <c r="D198" s="188" t="s">
        <v>8724</v>
      </c>
      <c r="E198" s="188" t="s">
        <v>4879</v>
      </c>
      <c r="F198" s="189" t="s">
        <v>3195</v>
      </c>
      <c r="G198" s="188" t="s">
        <v>6432</v>
      </c>
      <c r="H198" s="199" t="s">
        <v>53</v>
      </c>
      <c r="I198" s="199">
        <v>1</v>
      </c>
      <c r="J198" s="199">
        <v>1</v>
      </c>
      <c r="K198" s="199">
        <v>1</v>
      </c>
      <c r="L198" s="199">
        <v>50</v>
      </c>
      <c r="M198" s="202">
        <f>TB_Parts_Lists[[#This Row],[Quantity Initial]]+ SUMIF(TB_Transactions[Part number],TB_Parts_Lists[[#This Row],[Part Number]],TB_Transactions[Quantity])</f>
        <v>50</v>
      </c>
      <c r="N198" s="200" t="s">
        <v>4593</v>
      </c>
      <c r="O198" s="234">
        <v>5</v>
      </c>
      <c r="P198" s="199">
        <f>TB_Parts_Lists[[#This Row],[Quantity Initial]]*TB_Parts_Lists[[#This Row],[Unit Price AED]]</f>
        <v>250</v>
      </c>
      <c r="Q198" s="199">
        <f>TB_Parts_Lists[[#This Row],[Quantity Total]]*TB_Parts_Lists[[#This Row],[Unit Price AED]]</f>
        <v>250</v>
      </c>
      <c r="S198" s="213" t="s">
        <v>8675</v>
      </c>
      <c r="T198" s="213" t="s">
        <v>8675</v>
      </c>
      <c r="U198" s="213" t="s">
        <v>8675</v>
      </c>
    </row>
    <row r="199" spans="1:21" s="199" customFormat="1" x14ac:dyDescent="0.25">
      <c r="A199" s="192" t="s">
        <v>6660</v>
      </c>
      <c r="B199" s="203" t="s">
        <v>3330</v>
      </c>
      <c r="C199" s="199" t="s">
        <v>3338</v>
      </c>
      <c r="D199" s="199" t="e">
        <v>#N/A</v>
      </c>
      <c r="E199" s="188" t="s">
        <v>4880</v>
      </c>
      <c r="F199" s="189" t="s">
        <v>3196</v>
      </c>
      <c r="G199" s="188" t="s">
        <v>6432</v>
      </c>
      <c r="H199" s="199" t="s">
        <v>53</v>
      </c>
      <c r="I199" s="199">
        <v>1</v>
      </c>
      <c r="J199" s="199">
        <v>1</v>
      </c>
      <c r="K199" s="199">
        <v>1</v>
      </c>
      <c r="L199" s="199">
        <v>50</v>
      </c>
      <c r="M199" s="202">
        <f>TB_Parts_Lists[[#This Row],[Quantity Initial]]+ SUMIF(TB_Transactions[Part number],TB_Parts_Lists[[#This Row],[Part Number]],TB_Transactions[Quantity])</f>
        <v>50</v>
      </c>
      <c r="N199" s="200" t="s">
        <v>4593</v>
      </c>
      <c r="O199" s="234">
        <v>5</v>
      </c>
      <c r="P199" s="199">
        <f>TB_Parts_Lists[[#This Row],[Quantity Initial]]*TB_Parts_Lists[[#This Row],[Unit Price AED]]</f>
        <v>250</v>
      </c>
      <c r="Q199" s="199">
        <f>TB_Parts_Lists[[#This Row],[Quantity Total]]*TB_Parts_Lists[[#This Row],[Unit Price AED]]</f>
        <v>250</v>
      </c>
      <c r="S199" s="213" t="s">
        <v>8675</v>
      </c>
      <c r="T199" s="213" t="s">
        <v>8675</v>
      </c>
      <c r="U199" s="213" t="s">
        <v>8675</v>
      </c>
    </row>
    <row r="200" spans="1:21" s="199" customFormat="1" x14ac:dyDescent="0.25">
      <c r="A200" s="192" t="s">
        <v>6661</v>
      </c>
      <c r="B200" s="203" t="s">
        <v>3330</v>
      </c>
      <c r="C200" s="199" t="s">
        <v>3338</v>
      </c>
      <c r="D200" s="199" t="e">
        <v>#N/A</v>
      </c>
      <c r="E200" s="188" t="s">
        <v>2985</v>
      </c>
      <c r="F200" s="189" t="s">
        <v>3050</v>
      </c>
      <c r="G200" s="188" t="s">
        <v>6432</v>
      </c>
      <c r="H200" s="199" t="s">
        <v>53</v>
      </c>
      <c r="I200" s="199">
        <v>1</v>
      </c>
      <c r="J200" s="199">
        <v>1</v>
      </c>
      <c r="K200" s="199">
        <v>1</v>
      </c>
      <c r="L200" s="199">
        <v>50</v>
      </c>
      <c r="M200" s="202">
        <f>TB_Parts_Lists[[#This Row],[Quantity Initial]]+ SUMIF(TB_Transactions[Part number],TB_Parts_Lists[[#This Row],[Part Number]],TB_Transactions[Quantity])</f>
        <v>50</v>
      </c>
      <c r="N200" s="200" t="s">
        <v>4593</v>
      </c>
      <c r="O200" s="234">
        <v>5</v>
      </c>
      <c r="P200" s="199">
        <f>TB_Parts_Lists[[#This Row],[Quantity Initial]]*TB_Parts_Lists[[#This Row],[Unit Price AED]]</f>
        <v>250</v>
      </c>
      <c r="Q200" s="199">
        <f>TB_Parts_Lists[[#This Row],[Quantity Total]]*TB_Parts_Lists[[#This Row],[Unit Price AED]]</f>
        <v>250</v>
      </c>
      <c r="S200" s="213" t="s">
        <v>8675</v>
      </c>
      <c r="T200" s="213" t="s">
        <v>8675</v>
      </c>
      <c r="U200" s="213" t="s">
        <v>8675</v>
      </c>
    </row>
    <row r="201" spans="1:21" s="199" customFormat="1" x14ac:dyDescent="0.25">
      <c r="A201" s="192" t="s">
        <v>6662</v>
      </c>
      <c r="B201" s="203" t="s">
        <v>3002</v>
      </c>
      <c r="C201" s="188" t="s">
        <v>3006</v>
      </c>
      <c r="D201" s="199" t="s">
        <v>8723</v>
      </c>
      <c r="E201" s="188" t="s">
        <v>4881</v>
      </c>
      <c r="F201" s="189" t="s">
        <v>3254</v>
      </c>
      <c r="G201" s="188" t="s">
        <v>6433</v>
      </c>
      <c r="H201" s="199" t="s">
        <v>52</v>
      </c>
      <c r="I201" s="199">
        <v>1</v>
      </c>
      <c r="J201" s="199">
        <v>1</v>
      </c>
      <c r="K201" s="199">
        <v>1</v>
      </c>
      <c r="L201" s="199">
        <v>50</v>
      </c>
      <c r="M201" s="202">
        <f>TB_Parts_Lists[[#This Row],[Quantity Initial]]+ SUMIF(TB_Transactions[Part number],TB_Parts_Lists[[#This Row],[Part Number]],TB_Transactions[Quantity])</f>
        <v>50</v>
      </c>
      <c r="N201" s="200" t="s">
        <v>4593</v>
      </c>
      <c r="O201" s="234">
        <v>5</v>
      </c>
      <c r="P201" s="199">
        <f>TB_Parts_Lists[[#This Row],[Quantity Initial]]*TB_Parts_Lists[[#This Row],[Unit Price AED]]</f>
        <v>250</v>
      </c>
      <c r="Q201" s="199">
        <f>TB_Parts_Lists[[#This Row],[Quantity Total]]*TB_Parts_Lists[[#This Row],[Unit Price AED]]</f>
        <v>250</v>
      </c>
      <c r="S201" s="199" t="s">
        <v>122</v>
      </c>
      <c r="T201" s="199" t="s">
        <v>8676</v>
      </c>
      <c r="U201" s="199" t="s">
        <v>298</v>
      </c>
    </row>
    <row r="202" spans="1:21" s="199" customFormat="1" x14ac:dyDescent="0.25">
      <c r="A202" s="192" t="s">
        <v>6663</v>
      </c>
      <c r="B202" s="201" t="s">
        <v>3331</v>
      </c>
      <c r="C202" s="188" t="s">
        <v>3338</v>
      </c>
      <c r="D202" s="199" t="s">
        <v>8723</v>
      </c>
      <c r="E202" s="188" t="s">
        <v>4882</v>
      </c>
      <c r="F202" s="189" t="s">
        <v>3268</v>
      </c>
      <c r="G202" s="188" t="s">
        <v>6433</v>
      </c>
      <c r="H202" s="199" t="s">
        <v>72</v>
      </c>
      <c r="I202" s="199">
        <v>1</v>
      </c>
      <c r="J202" s="199">
        <v>1</v>
      </c>
      <c r="K202" s="199">
        <v>1</v>
      </c>
      <c r="L202" s="199">
        <v>50</v>
      </c>
      <c r="M202" s="202">
        <f>TB_Parts_Lists[[#This Row],[Quantity Initial]]+ SUMIF(TB_Transactions[Part number],TB_Parts_Lists[[#This Row],[Part Number]],TB_Transactions[Quantity])</f>
        <v>50</v>
      </c>
      <c r="N202" s="200" t="s">
        <v>4593</v>
      </c>
      <c r="O202" s="234">
        <v>5</v>
      </c>
      <c r="P202" s="199">
        <f>TB_Parts_Lists[[#This Row],[Quantity Initial]]*TB_Parts_Lists[[#This Row],[Unit Price AED]]</f>
        <v>250</v>
      </c>
      <c r="Q202" s="199">
        <f>TB_Parts_Lists[[#This Row],[Quantity Total]]*TB_Parts_Lists[[#This Row],[Unit Price AED]]</f>
        <v>250</v>
      </c>
      <c r="S202" s="199" t="s">
        <v>8675</v>
      </c>
      <c r="T202" s="199" t="s">
        <v>8675</v>
      </c>
      <c r="U202" s="199" t="s">
        <v>8675</v>
      </c>
    </row>
    <row r="203" spans="1:21" s="199" customFormat="1" x14ac:dyDescent="0.25">
      <c r="A203" s="192" t="s">
        <v>6664</v>
      </c>
      <c r="B203" s="203" t="s">
        <v>3333</v>
      </c>
      <c r="C203" s="199" t="s">
        <v>3223</v>
      </c>
      <c r="D203" s="199" t="s">
        <v>8723</v>
      </c>
      <c r="E203" s="188" t="s">
        <v>4883</v>
      </c>
      <c r="F203" s="189" t="s">
        <v>3224</v>
      </c>
      <c r="G203" s="188" t="s">
        <v>6433</v>
      </c>
      <c r="H203" s="199" t="s">
        <v>52</v>
      </c>
      <c r="I203" s="199">
        <v>1</v>
      </c>
      <c r="J203" s="199">
        <v>1</v>
      </c>
      <c r="K203" s="199">
        <v>1</v>
      </c>
      <c r="L203" s="199">
        <v>50</v>
      </c>
      <c r="M203" s="202">
        <f>TB_Parts_Lists[[#This Row],[Quantity Initial]]+ SUMIF(TB_Transactions[Part number],TB_Parts_Lists[[#This Row],[Part Number]],TB_Transactions[Quantity])</f>
        <v>50</v>
      </c>
      <c r="N203" s="200" t="s">
        <v>4593</v>
      </c>
      <c r="O203" s="234">
        <v>5</v>
      </c>
      <c r="P203" s="199">
        <f>TB_Parts_Lists[[#This Row],[Quantity Initial]]*TB_Parts_Lists[[#This Row],[Unit Price AED]]</f>
        <v>250</v>
      </c>
      <c r="Q203" s="199">
        <f>TB_Parts_Lists[[#This Row],[Quantity Total]]*TB_Parts_Lists[[#This Row],[Unit Price AED]]</f>
        <v>250</v>
      </c>
      <c r="S203" s="199" t="s">
        <v>8675</v>
      </c>
      <c r="T203" s="199" t="s">
        <v>8675</v>
      </c>
      <c r="U203" s="199" t="s">
        <v>8675</v>
      </c>
    </row>
    <row r="204" spans="1:21" s="199" customFormat="1" x14ac:dyDescent="0.25">
      <c r="A204" s="192" t="s">
        <v>4590</v>
      </c>
      <c r="B204" s="203" t="s">
        <v>3332</v>
      </c>
      <c r="C204" s="188" t="s">
        <v>3356</v>
      </c>
      <c r="D204" s="199" t="s">
        <v>8723</v>
      </c>
      <c r="E204" s="188" t="s">
        <v>4884</v>
      </c>
      <c r="F204" s="189" t="s">
        <v>3207</v>
      </c>
      <c r="G204" s="188" t="s">
        <v>6433</v>
      </c>
      <c r="H204" s="199" t="s">
        <v>52</v>
      </c>
      <c r="I204" s="199">
        <v>1</v>
      </c>
      <c r="J204" s="199">
        <v>1</v>
      </c>
      <c r="K204" s="199">
        <v>1</v>
      </c>
      <c r="L204" s="199">
        <v>50</v>
      </c>
      <c r="M204" s="202">
        <f>TB_Parts_Lists[[#This Row],[Quantity Initial]]+ SUMIF(TB_Transactions[Part number],TB_Parts_Lists[[#This Row],[Part Number]],TB_Transactions[Quantity])</f>
        <v>50</v>
      </c>
      <c r="N204" s="200" t="s">
        <v>4593</v>
      </c>
      <c r="O204" s="234">
        <v>5</v>
      </c>
      <c r="P204" s="199">
        <f>TB_Parts_Lists[[#This Row],[Quantity Initial]]*TB_Parts_Lists[[#This Row],[Unit Price AED]]</f>
        <v>250</v>
      </c>
      <c r="Q204" s="199">
        <f>TB_Parts_Lists[[#This Row],[Quantity Total]]*TB_Parts_Lists[[#This Row],[Unit Price AED]]</f>
        <v>250</v>
      </c>
      <c r="S204" s="199" t="s">
        <v>8675</v>
      </c>
      <c r="T204" s="199" t="s">
        <v>8675</v>
      </c>
      <c r="U204" s="199" t="s">
        <v>8675</v>
      </c>
    </row>
    <row r="205" spans="1:21" s="199" customFormat="1" x14ac:dyDescent="0.25">
      <c r="A205" s="192" t="s">
        <v>6665</v>
      </c>
      <c r="B205" s="203" t="s">
        <v>3002</v>
      </c>
      <c r="C205" s="188" t="s">
        <v>3006</v>
      </c>
      <c r="D205" s="199" t="s">
        <v>8723</v>
      </c>
      <c r="E205" s="188" t="s">
        <v>4885</v>
      </c>
      <c r="F205" s="189" t="s">
        <v>3252</v>
      </c>
      <c r="G205" s="188" t="s">
        <v>6433</v>
      </c>
      <c r="H205" s="199" t="s">
        <v>52</v>
      </c>
      <c r="I205" s="199">
        <v>1</v>
      </c>
      <c r="J205" s="199">
        <v>1</v>
      </c>
      <c r="K205" s="199">
        <v>1</v>
      </c>
      <c r="L205" s="199">
        <v>50</v>
      </c>
      <c r="M205" s="202">
        <f>TB_Parts_Lists[[#This Row],[Quantity Initial]]+ SUMIF(TB_Transactions[Part number],TB_Parts_Lists[[#This Row],[Part Number]],TB_Transactions[Quantity])</f>
        <v>50</v>
      </c>
      <c r="N205" s="200" t="s">
        <v>4593</v>
      </c>
      <c r="O205" s="234">
        <v>5</v>
      </c>
      <c r="P205" s="199">
        <f>TB_Parts_Lists[[#This Row],[Quantity Initial]]*TB_Parts_Lists[[#This Row],[Unit Price AED]]</f>
        <v>250</v>
      </c>
      <c r="Q205" s="199">
        <f>TB_Parts_Lists[[#This Row],[Quantity Total]]*TB_Parts_Lists[[#This Row],[Unit Price AED]]</f>
        <v>250</v>
      </c>
      <c r="S205" s="199" t="s">
        <v>122</v>
      </c>
      <c r="T205" s="199" t="s">
        <v>8676</v>
      </c>
      <c r="U205" s="199" t="s">
        <v>298</v>
      </c>
    </row>
    <row r="206" spans="1:21" s="199" customFormat="1" x14ac:dyDescent="0.25">
      <c r="A206" s="192" t="s">
        <v>6666</v>
      </c>
      <c r="B206" s="203" t="s">
        <v>6619</v>
      </c>
      <c r="C206" s="188" t="s">
        <v>161</v>
      </c>
      <c r="D206" s="199" t="s">
        <v>8723</v>
      </c>
      <c r="E206" s="188" t="s">
        <v>4886</v>
      </c>
      <c r="F206" s="189" t="s">
        <v>3212</v>
      </c>
      <c r="G206" s="188" t="s">
        <v>6433</v>
      </c>
      <c r="H206" s="199" t="s">
        <v>52</v>
      </c>
      <c r="I206" s="199">
        <v>1</v>
      </c>
      <c r="J206" s="199">
        <v>1</v>
      </c>
      <c r="K206" s="199">
        <v>1</v>
      </c>
      <c r="L206" s="199">
        <v>50</v>
      </c>
      <c r="M206" s="202">
        <f>TB_Parts_Lists[[#This Row],[Quantity Initial]]+ SUMIF(TB_Transactions[Part number],TB_Parts_Lists[[#This Row],[Part Number]],TB_Transactions[Quantity])</f>
        <v>50</v>
      </c>
      <c r="N206" s="200" t="s">
        <v>4593</v>
      </c>
      <c r="O206" s="234">
        <v>5</v>
      </c>
      <c r="P206" s="199">
        <f>TB_Parts_Lists[[#This Row],[Quantity Initial]]*TB_Parts_Lists[[#This Row],[Unit Price AED]]</f>
        <v>250</v>
      </c>
      <c r="Q206" s="199">
        <f>TB_Parts_Lists[[#This Row],[Quantity Total]]*TB_Parts_Lists[[#This Row],[Unit Price AED]]</f>
        <v>250</v>
      </c>
      <c r="S206" s="199" t="s">
        <v>122</v>
      </c>
      <c r="T206" s="199" t="s">
        <v>8676</v>
      </c>
      <c r="U206" s="199" t="s">
        <v>298</v>
      </c>
    </row>
    <row r="207" spans="1:21" s="199" customFormat="1" x14ac:dyDescent="0.25">
      <c r="A207" s="192" t="s">
        <v>6667</v>
      </c>
      <c r="B207" s="203" t="s">
        <v>3329</v>
      </c>
      <c r="C207" s="199" t="s">
        <v>3379</v>
      </c>
      <c r="D207" s="199" t="s">
        <v>8723</v>
      </c>
      <c r="E207" s="188" t="s">
        <v>4887</v>
      </c>
      <c r="F207" s="189" t="s">
        <v>3282</v>
      </c>
      <c r="G207" s="188" t="s">
        <v>6433</v>
      </c>
      <c r="H207" s="199" t="s">
        <v>52</v>
      </c>
      <c r="I207" s="199">
        <v>1</v>
      </c>
      <c r="J207" s="199">
        <v>1</v>
      </c>
      <c r="K207" s="199">
        <v>1</v>
      </c>
      <c r="L207" s="199">
        <v>50</v>
      </c>
      <c r="M207" s="202">
        <f>TB_Parts_Lists[[#This Row],[Quantity Initial]]+ SUMIF(TB_Transactions[Part number],TB_Parts_Lists[[#This Row],[Part Number]],TB_Transactions[Quantity])</f>
        <v>50</v>
      </c>
      <c r="N207" s="200" t="s">
        <v>4593</v>
      </c>
      <c r="O207" s="234">
        <v>5</v>
      </c>
      <c r="P207" s="199">
        <f>TB_Parts_Lists[[#This Row],[Quantity Initial]]*TB_Parts_Lists[[#This Row],[Unit Price AED]]</f>
        <v>250</v>
      </c>
      <c r="Q207" s="199">
        <f>TB_Parts_Lists[[#This Row],[Quantity Total]]*TB_Parts_Lists[[#This Row],[Unit Price AED]]</f>
        <v>250</v>
      </c>
      <c r="S207" s="199" t="s">
        <v>8675</v>
      </c>
      <c r="T207" s="199" t="s">
        <v>8675</v>
      </c>
      <c r="U207" s="199" t="s">
        <v>8675</v>
      </c>
    </row>
    <row r="208" spans="1:21" s="199" customFormat="1" x14ac:dyDescent="0.25">
      <c r="A208" s="192" t="s">
        <v>6668</v>
      </c>
      <c r="B208" s="203" t="s">
        <v>3330</v>
      </c>
      <c r="C208" s="188" t="s">
        <v>6422</v>
      </c>
      <c r="D208" s="199" t="s">
        <v>8723</v>
      </c>
      <c r="E208" s="188" t="s">
        <v>4888</v>
      </c>
      <c r="F208" s="189" t="s">
        <v>3267</v>
      </c>
      <c r="G208" s="188" t="s">
        <v>6433</v>
      </c>
      <c r="H208" s="199" t="s">
        <v>52</v>
      </c>
      <c r="I208" s="199">
        <v>1</v>
      </c>
      <c r="J208" s="199">
        <v>1</v>
      </c>
      <c r="K208" s="199">
        <v>1</v>
      </c>
      <c r="L208" s="199">
        <v>50</v>
      </c>
      <c r="M208" s="202">
        <f>TB_Parts_Lists[[#This Row],[Quantity Initial]]+ SUMIF(TB_Transactions[Part number],TB_Parts_Lists[[#This Row],[Part Number]],TB_Transactions[Quantity])</f>
        <v>50</v>
      </c>
      <c r="N208" s="200" t="s">
        <v>4593</v>
      </c>
      <c r="O208" s="234">
        <v>5</v>
      </c>
      <c r="P208" s="199">
        <f>TB_Parts_Lists[[#This Row],[Quantity Initial]]*TB_Parts_Lists[[#This Row],[Unit Price AED]]</f>
        <v>250</v>
      </c>
      <c r="Q208" s="199">
        <f>TB_Parts_Lists[[#This Row],[Quantity Total]]*TB_Parts_Lists[[#This Row],[Unit Price AED]]</f>
        <v>250</v>
      </c>
      <c r="S208" s="199" t="s">
        <v>122</v>
      </c>
      <c r="T208" s="199" t="s">
        <v>8676</v>
      </c>
      <c r="U208" s="199" t="s">
        <v>298</v>
      </c>
    </row>
    <row r="209" spans="1:21" s="199" customFormat="1" x14ac:dyDescent="0.25">
      <c r="A209" s="192" t="s">
        <v>6669</v>
      </c>
      <c r="B209" s="203" t="s">
        <v>3330</v>
      </c>
      <c r="C209" s="188" t="s">
        <v>6422</v>
      </c>
      <c r="D209" s="199" t="s">
        <v>8723</v>
      </c>
      <c r="E209" s="188" t="s">
        <v>4889</v>
      </c>
      <c r="F209" s="189" t="s">
        <v>3226</v>
      </c>
      <c r="G209" s="188" t="s">
        <v>6433</v>
      </c>
      <c r="H209" s="199" t="s">
        <v>52</v>
      </c>
      <c r="I209" s="199">
        <v>1</v>
      </c>
      <c r="J209" s="199">
        <v>1</v>
      </c>
      <c r="K209" s="199">
        <v>1</v>
      </c>
      <c r="L209" s="199">
        <v>50</v>
      </c>
      <c r="M209" s="202">
        <f>TB_Parts_Lists[[#This Row],[Quantity Initial]]+ SUMIF(TB_Transactions[Part number],TB_Parts_Lists[[#This Row],[Part Number]],TB_Transactions[Quantity])</f>
        <v>50</v>
      </c>
      <c r="N209" s="200" t="s">
        <v>4593</v>
      </c>
      <c r="O209" s="234">
        <v>5</v>
      </c>
      <c r="P209" s="199">
        <f>TB_Parts_Lists[[#This Row],[Quantity Initial]]*TB_Parts_Lists[[#This Row],[Unit Price AED]]</f>
        <v>250</v>
      </c>
      <c r="Q209" s="199">
        <f>TB_Parts_Lists[[#This Row],[Quantity Total]]*TB_Parts_Lists[[#This Row],[Unit Price AED]]</f>
        <v>250</v>
      </c>
      <c r="S209" s="199" t="s">
        <v>8675</v>
      </c>
      <c r="T209" s="199" t="s">
        <v>8675</v>
      </c>
      <c r="U209" s="199" t="s">
        <v>8675</v>
      </c>
    </row>
    <row r="210" spans="1:21" s="199" customFormat="1" x14ac:dyDescent="0.25">
      <c r="A210" s="192" t="s">
        <v>6676</v>
      </c>
      <c r="B210" s="203" t="s">
        <v>3331</v>
      </c>
      <c r="C210" s="199" t="s">
        <v>6672</v>
      </c>
      <c r="D210" s="199" t="s">
        <v>8723</v>
      </c>
      <c r="E210" s="188" t="s">
        <v>3287</v>
      </c>
      <c r="F210" s="189" t="s">
        <v>3288</v>
      </c>
      <c r="G210" s="188" t="s">
        <v>6433</v>
      </c>
      <c r="H210" s="199" t="s">
        <v>52</v>
      </c>
      <c r="I210" s="199">
        <v>1</v>
      </c>
      <c r="J210" s="199">
        <v>1</v>
      </c>
      <c r="K210" s="199">
        <v>1</v>
      </c>
      <c r="L210" s="199">
        <v>50</v>
      </c>
      <c r="M210" s="202">
        <f>TB_Parts_Lists[[#This Row],[Quantity Initial]]+ SUMIF(TB_Transactions[Part number],TB_Parts_Lists[[#This Row],[Part Number]],TB_Transactions[Quantity])</f>
        <v>50</v>
      </c>
      <c r="N210" s="200" t="s">
        <v>4593</v>
      </c>
      <c r="O210" s="234">
        <v>5</v>
      </c>
      <c r="P210" s="199">
        <f>TB_Parts_Lists[[#This Row],[Quantity Initial]]*TB_Parts_Lists[[#This Row],[Unit Price AED]]</f>
        <v>250</v>
      </c>
      <c r="Q210" s="199">
        <f>TB_Parts_Lists[[#This Row],[Quantity Total]]*TB_Parts_Lists[[#This Row],[Unit Price AED]]</f>
        <v>250</v>
      </c>
      <c r="S210" s="199" t="s">
        <v>8675</v>
      </c>
      <c r="T210" s="199" t="s">
        <v>8675</v>
      </c>
      <c r="U210" s="199" t="s">
        <v>8675</v>
      </c>
    </row>
    <row r="211" spans="1:21" s="199" customFormat="1" x14ac:dyDescent="0.25">
      <c r="A211" s="192" t="s">
        <v>6677</v>
      </c>
      <c r="B211" s="203" t="s">
        <v>3330</v>
      </c>
      <c r="C211" s="199" t="s">
        <v>4090</v>
      </c>
      <c r="D211" s="199" t="s">
        <v>8723</v>
      </c>
      <c r="E211" s="188" t="s">
        <v>3279</v>
      </c>
      <c r="F211" s="189" t="s">
        <v>3280</v>
      </c>
      <c r="G211" s="188" t="s">
        <v>6433</v>
      </c>
      <c r="H211" s="199" t="s">
        <v>52</v>
      </c>
      <c r="I211" s="199">
        <v>1</v>
      </c>
      <c r="J211" s="199">
        <v>1</v>
      </c>
      <c r="K211" s="199">
        <v>1</v>
      </c>
      <c r="L211" s="199">
        <v>50</v>
      </c>
      <c r="M211" s="202">
        <f>TB_Parts_Lists[[#This Row],[Quantity Initial]]+ SUMIF(TB_Transactions[Part number],TB_Parts_Lists[[#This Row],[Part Number]],TB_Transactions[Quantity])</f>
        <v>50</v>
      </c>
      <c r="N211" s="200" t="s">
        <v>4593</v>
      </c>
      <c r="O211" s="234">
        <v>5</v>
      </c>
      <c r="P211" s="199">
        <f>TB_Parts_Lists[[#This Row],[Quantity Initial]]*TB_Parts_Lists[[#This Row],[Unit Price AED]]</f>
        <v>250</v>
      </c>
      <c r="Q211" s="199">
        <f>TB_Parts_Lists[[#This Row],[Quantity Total]]*TB_Parts_Lists[[#This Row],[Unit Price AED]]</f>
        <v>250</v>
      </c>
      <c r="S211" s="199" t="s">
        <v>8675</v>
      </c>
      <c r="T211" s="199" t="s">
        <v>8675</v>
      </c>
      <c r="U211" s="199" t="s">
        <v>8675</v>
      </c>
    </row>
    <row r="212" spans="1:21" s="199" customFormat="1" x14ac:dyDescent="0.25">
      <c r="A212" s="192" t="s">
        <v>6678</v>
      </c>
      <c r="B212" s="203" t="s">
        <v>3331</v>
      </c>
      <c r="C212" s="199" t="s">
        <v>4700</v>
      </c>
      <c r="D212" s="199" t="s">
        <v>8723</v>
      </c>
      <c r="E212" s="188" t="s">
        <v>3289</v>
      </c>
      <c r="F212" s="189" t="s">
        <v>3290</v>
      </c>
      <c r="G212" s="188" t="s">
        <v>6433</v>
      </c>
      <c r="H212" s="199" t="s">
        <v>72</v>
      </c>
      <c r="I212" s="199">
        <v>1</v>
      </c>
      <c r="J212" s="199">
        <v>1</v>
      </c>
      <c r="K212" s="199">
        <v>1</v>
      </c>
      <c r="L212" s="199">
        <v>50</v>
      </c>
      <c r="M212" s="202">
        <f>TB_Parts_Lists[[#This Row],[Quantity Initial]]+ SUMIF(TB_Transactions[Part number],TB_Parts_Lists[[#This Row],[Part Number]],TB_Transactions[Quantity])</f>
        <v>50</v>
      </c>
      <c r="N212" s="200" t="s">
        <v>4593</v>
      </c>
      <c r="O212" s="234">
        <v>5</v>
      </c>
      <c r="P212" s="199">
        <f>TB_Parts_Lists[[#This Row],[Quantity Initial]]*TB_Parts_Lists[[#This Row],[Unit Price AED]]</f>
        <v>250</v>
      </c>
      <c r="Q212" s="199">
        <f>TB_Parts_Lists[[#This Row],[Quantity Total]]*TB_Parts_Lists[[#This Row],[Unit Price AED]]</f>
        <v>250</v>
      </c>
      <c r="S212" s="199" t="s">
        <v>8675</v>
      </c>
      <c r="T212" s="199" t="s">
        <v>8675</v>
      </c>
      <c r="U212" s="199" t="s">
        <v>8675</v>
      </c>
    </row>
    <row r="213" spans="1:21" s="199" customFormat="1" x14ac:dyDescent="0.25">
      <c r="A213" s="192" t="s">
        <v>6680</v>
      </c>
      <c r="B213" s="203" t="s">
        <v>3330</v>
      </c>
      <c r="C213" s="199" t="s">
        <v>6679</v>
      </c>
      <c r="D213" s="199" t="s">
        <v>8732</v>
      </c>
      <c r="E213" s="188" t="s">
        <v>4890</v>
      </c>
      <c r="F213" s="189" t="s">
        <v>3308</v>
      </c>
      <c r="G213" s="188" t="s">
        <v>6433</v>
      </c>
      <c r="H213" s="199" t="s">
        <v>72</v>
      </c>
      <c r="I213" s="199">
        <v>1</v>
      </c>
      <c r="J213" s="199">
        <v>1</v>
      </c>
      <c r="K213" s="199">
        <v>1</v>
      </c>
      <c r="L213" s="199">
        <v>50</v>
      </c>
      <c r="M213" s="202">
        <f>TB_Parts_Lists[[#This Row],[Quantity Initial]]+ SUMIF(TB_Transactions[Part number],TB_Parts_Lists[[#This Row],[Part Number]],TB_Transactions[Quantity])</f>
        <v>50</v>
      </c>
      <c r="N213" s="200" t="s">
        <v>4593</v>
      </c>
      <c r="O213" s="234">
        <v>5</v>
      </c>
      <c r="P213" s="199">
        <f>TB_Parts_Lists[[#This Row],[Quantity Initial]]*TB_Parts_Lists[[#This Row],[Unit Price AED]]</f>
        <v>250</v>
      </c>
      <c r="Q213" s="199">
        <f>TB_Parts_Lists[[#This Row],[Quantity Total]]*TB_Parts_Lists[[#This Row],[Unit Price AED]]</f>
        <v>250</v>
      </c>
      <c r="S213" s="199" t="s">
        <v>118</v>
      </c>
      <c r="T213" s="199" t="s">
        <v>8677</v>
      </c>
      <c r="U213" s="199" t="s">
        <v>1410</v>
      </c>
    </row>
    <row r="214" spans="1:21" s="199" customFormat="1" x14ac:dyDescent="0.25">
      <c r="A214" s="192" t="s">
        <v>6681</v>
      </c>
      <c r="B214" s="203" t="s">
        <v>3331</v>
      </c>
      <c r="C214" s="199" t="s">
        <v>6673</v>
      </c>
      <c r="D214" s="188" t="s">
        <v>8724</v>
      </c>
      <c r="E214" s="188" t="s">
        <v>3269</v>
      </c>
      <c r="F214" s="189" t="s">
        <v>3270</v>
      </c>
      <c r="G214" s="188" t="s">
        <v>6433</v>
      </c>
      <c r="H214" s="199" t="s">
        <v>72</v>
      </c>
      <c r="I214" s="199">
        <v>1</v>
      </c>
      <c r="J214" s="199">
        <v>1</v>
      </c>
      <c r="K214" s="199">
        <v>1</v>
      </c>
      <c r="L214" s="199">
        <v>50</v>
      </c>
      <c r="M214" s="202">
        <f>TB_Parts_Lists[[#This Row],[Quantity Initial]]+ SUMIF(TB_Transactions[Part number],TB_Parts_Lists[[#This Row],[Part Number]],TB_Transactions[Quantity])</f>
        <v>50</v>
      </c>
      <c r="N214" s="200" t="s">
        <v>4593</v>
      </c>
      <c r="O214" s="234">
        <v>5</v>
      </c>
      <c r="P214" s="199">
        <f>TB_Parts_Lists[[#This Row],[Quantity Initial]]*TB_Parts_Lists[[#This Row],[Unit Price AED]]</f>
        <v>250</v>
      </c>
      <c r="Q214" s="199">
        <f>TB_Parts_Lists[[#This Row],[Quantity Total]]*TB_Parts_Lists[[#This Row],[Unit Price AED]]</f>
        <v>250</v>
      </c>
      <c r="S214" s="199" t="s">
        <v>8675</v>
      </c>
      <c r="T214" s="199" t="s">
        <v>8675</v>
      </c>
      <c r="U214" s="199" t="s">
        <v>8675</v>
      </c>
    </row>
    <row r="215" spans="1:21" s="199" customFormat="1" x14ac:dyDescent="0.25">
      <c r="A215" s="192" t="s">
        <v>6685</v>
      </c>
      <c r="B215" s="201" t="s">
        <v>3340</v>
      </c>
      <c r="C215" s="199" t="s">
        <v>6682</v>
      </c>
      <c r="D215" s="188" t="s">
        <v>8724</v>
      </c>
      <c r="E215" s="188" t="s">
        <v>4891</v>
      </c>
      <c r="F215" s="189" t="s">
        <v>3216</v>
      </c>
      <c r="G215" s="188" t="s">
        <v>6433</v>
      </c>
      <c r="H215" s="199" t="s">
        <v>62</v>
      </c>
      <c r="I215" s="199">
        <v>1</v>
      </c>
      <c r="J215" s="199">
        <v>1</v>
      </c>
      <c r="K215" s="199">
        <v>1</v>
      </c>
      <c r="L215" s="199">
        <v>50</v>
      </c>
      <c r="M215" s="202">
        <f>TB_Parts_Lists[[#This Row],[Quantity Initial]]+ SUMIF(TB_Transactions[Part number],TB_Parts_Lists[[#This Row],[Part Number]],TB_Transactions[Quantity])</f>
        <v>50</v>
      </c>
      <c r="N215" s="200" t="s">
        <v>4593</v>
      </c>
      <c r="O215" s="234">
        <v>5</v>
      </c>
      <c r="P215" s="199">
        <f>TB_Parts_Lists[[#This Row],[Quantity Initial]]*TB_Parts_Lists[[#This Row],[Unit Price AED]]</f>
        <v>250</v>
      </c>
      <c r="Q215" s="199">
        <f>TB_Parts_Lists[[#This Row],[Quantity Total]]*TB_Parts_Lists[[#This Row],[Unit Price AED]]</f>
        <v>250</v>
      </c>
      <c r="S215" s="199" t="s">
        <v>8675</v>
      </c>
      <c r="T215" s="199" t="s">
        <v>8675</v>
      </c>
      <c r="U215" s="199" t="s">
        <v>8675</v>
      </c>
    </row>
    <row r="216" spans="1:21" s="199" customFormat="1" x14ac:dyDescent="0.25">
      <c r="A216" s="192" t="s">
        <v>6686</v>
      </c>
      <c r="B216" s="203" t="s">
        <v>3330</v>
      </c>
      <c r="C216" s="188" t="s">
        <v>6679</v>
      </c>
      <c r="D216" s="199" t="s">
        <v>8732</v>
      </c>
      <c r="E216" s="188" t="s">
        <v>4892</v>
      </c>
      <c r="F216" s="189" t="s">
        <v>3201</v>
      </c>
      <c r="G216" s="188" t="s">
        <v>6433</v>
      </c>
      <c r="H216" s="199" t="s">
        <v>72</v>
      </c>
      <c r="I216" s="199">
        <v>1</v>
      </c>
      <c r="J216" s="199">
        <v>1</v>
      </c>
      <c r="K216" s="199">
        <v>1</v>
      </c>
      <c r="L216" s="199">
        <v>50</v>
      </c>
      <c r="M216" s="202">
        <f>TB_Parts_Lists[[#This Row],[Quantity Initial]]+ SUMIF(TB_Transactions[Part number],TB_Parts_Lists[[#This Row],[Part Number]],TB_Transactions[Quantity])</f>
        <v>50</v>
      </c>
      <c r="N216" s="200" t="s">
        <v>4593</v>
      </c>
      <c r="O216" s="234">
        <v>5</v>
      </c>
      <c r="P216" s="199">
        <f>TB_Parts_Lists[[#This Row],[Quantity Initial]]*TB_Parts_Lists[[#This Row],[Unit Price AED]]</f>
        <v>250</v>
      </c>
      <c r="Q216" s="199">
        <f>TB_Parts_Lists[[#This Row],[Quantity Total]]*TB_Parts_Lists[[#This Row],[Unit Price AED]]</f>
        <v>250</v>
      </c>
      <c r="S216" s="199" t="s">
        <v>118</v>
      </c>
      <c r="T216" s="199" t="s">
        <v>8677</v>
      </c>
      <c r="U216" s="199" t="s">
        <v>1410</v>
      </c>
    </row>
    <row r="217" spans="1:21" s="199" customFormat="1" x14ac:dyDescent="0.25">
      <c r="A217" s="192" t="s">
        <v>6687</v>
      </c>
      <c r="B217" s="203" t="s">
        <v>3330</v>
      </c>
      <c r="C217" s="188" t="s">
        <v>4090</v>
      </c>
      <c r="D217" s="188" t="s">
        <v>8724</v>
      </c>
      <c r="E217" s="188" t="s">
        <v>4893</v>
      </c>
      <c r="F217" s="189" t="s">
        <v>3217</v>
      </c>
      <c r="G217" s="188" t="s">
        <v>6433</v>
      </c>
      <c r="H217" s="199" t="s">
        <v>72</v>
      </c>
      <c r="I217" s="199">
        <v>1</v>
      </c>
      <c r="J217" s="199">
        <v>1</v>
      </c>
      <c r="K217" s="199">
        <v>1</v>
      </c>
      <c r="L217" s="199">
        <v>50</v>
      </c>
      <c r="M217" s="202">
        <f>TB_Parts_Lists[[#This Row],[Quantity Initial]]+ SUMIF(TB_Transactions[Part number],TB_Parts_Lists[[#This Row],[Part Number]],TB_Transactions[Quantity])</f>
        <v>50</v>
      </c>
      <c r="N217" s="200" t="s">
        <v>4593</v>
      </c>
      <c r="O217" s="234">
        <v>5</v>
      </c>
      <c r="P217" s="199">
        <f>TB_Parts_Lists[[#This Row],[Quantity Initial]]*TB_Parts_Lists[[#This Row],[Unit Price AED]]</f>
        <v>250</v>
      </c>
      <c r="Q217" s="199">
        <f>TB_Parts_Lists[[#This Row],[Quantity Total]]*TB_Parts_Lists[[#This Row],[Unit Price AED]]</f>
        <v>250</v>
      </c>
      <c r="S217" s="199" t="s">
        <v>118</v>
      </c>
      <c r="T217" s="199" t="s">
        <v>8678</v>
      </c>
      <c r="U217" s="199" t="s">
        <v>8714</v>
      </c>
    </row>
    <row r="218" spans="1:21" s="199" customFormat="1" x14ac:dyDescent="0.25">
      <c r="A218" s="192" t="s">
        <v>6688</v>
      </c>
      <c r="B218" s="203" t="s">
        <v>3330</v>
      </c>
      <c r="C218" s="188" t="s">
        <v>6679</v>
      </c>
      <c r="D218" s="188" t="s">
        <v>8724</v>
      </c>
      <c r="E218" s="188" t="s">
        <v>4894</v>
      </c>
      <c r="F218" s="189" t="s">
        <v>3200</v>
      </c>
      <c r="G218" s="188" t="s">
        <v>6433</v>
      </c>
      <c r="H218" s="199" t="s">
        <v>72</v>
      </c>
      <c r="I218" s="199">
        <v>1</v>
      </c>
      <c r="J218" s="199">
        <v>1</v>
      </c>
      <c r="K218" s="199">
        <v>1</v>
      </c>
      <c r="L218" s="199">
        <v>50</v>
      </c>
      <c r="M218" s="202">
        <f>TB_Parts_Lists[[#This Row],[Quantity Initial]]+ SUMIF(TB_Transactions[Part number],TB_Parts_Lists[[#This Row],[Part Number]],TB_Transactions[Quantity])</f>
        <v>50</v>
      </c>
      <c r="N218" s="200" t="s">
        <v>4593</v>
      </c>
      <c r="O218" s="234">
        <v>5</v>
      </c>
      <c r="P218" s="199">
        <f>TB_Parts_Lists[[#This Row],[Quantity Initial]]*TB_Parts_Lists[[#This Row],[Unit Price AED]]</f>
        <v>250</v>
      </c>
      <c r="Q218" s="199">
        <f>TB_Parts_Lists[[#This Row],[Quantity Total]]*TB_Parts_Lists[[#This Row],[Unit Price AED]]</f>
        <v>250</v>
      </c>
      <c r="S218" s="199" t="s">
        <v>118</v>
      </c>
      <c r="T218" s="199" t="s">
        <v>8677</v>
      </c>
      <c r="U218" s="199" t="s">
        <v>1410</v>
      </c>
    </row>
    <row r="219" spans="1:21" s="199" customFormat="1" x14ac:dyDescent="0.25">
      <c r="A219" s="192" t="s">
        <v>6690</v>
      </c>
      <c r="B219" s="201" t="s">
        <v>3338</v>
      </c>
      <c r="C219" s="199" t="s">
        <v>6689</v>
      </c>
      <c r="D219" s="199" t="s">
        <v>8723</v>
      </c>
      <c r="E219" s="188" t="s">
        <v>3293</v>
      </c>
      <c r="F219" s="189" t="s">
        <v>3294</v>
      </c>
      <c r="G219" s="188" t="s">
        <v>6433</v>
      </c>
      <c r="H219" s="199" t="s">
        <v>72</v>
      </c>
      <c r="I219" s="199">
        <v>1</v>
      </c>
      <c r="J219" s="199">
        <v>1</v>
      </c>
      <c r="K219" s="199">
        <v>1</v>
      </c>
      <c r="L219" s="199">
        <v>50</v>
      </c>
      <c r="M219" s="202">
        <f>TB_Parts_Lists[[#This Row],[Quantity Initial]]+ SUMIF(TB_Transactions[Part number],TB_Parts_Lists[[#This Row],[Part Number]],TB_Transactions[Quantity])</f>
        <v>50</v>
      </c>
      <c r="N219" s="200" t="s">
        <v>4593</v>
      </c>
      <c r="O219" s="234">
        <v>5</v>
      </c>
      <c r="P219" s="199">
        <f>TB_Parts_Lists[[#This Row],[Quantity Initial]]*TB_Parts_Lists[[#This Row],[Unit Price AED]]</f>
        <v>250</v>
      </c>
      <c r="Q219" s="199">
        <f>TB_Parts_Lists[[#This Row],[Quantity Total]]*TB_Parts_Lists[[#This Row],[Unit Price AED]]</f>
        <v>250</v>
      </c>
      <c r="S219" s="199" t="s">
        <v>8675</v>
      </c>
      <c r="T219" s="199" t="s">
        <v>8675</v>
      </c>
      <c r="U219" s="199" t="s">
        <v>8675</v>
      </c>
    </row>
    <row r="220" spans="1:21" s="199" customFormat="1" x14ac:dyDescent="0.25">
      <c r="A220" s="192" t="s">
        <v>6691</v>
      </c>
      <c r="B220" s="203" t="s">
        <v>3331</v>
      </c>
      <c r="C220" s="199" t="s">
        <v>6674</v>
      </c>
      <c r="D220" s="199" t="s">
        <v>8723</v>
      </c>
      <c r="E220" s="188" t="s">
        <v>3370</v>
      </c>
      <c r="F220" s="189" t="s">
        <v>3214</v>
      </c>
      <c r="G220" s="188" t="s">
        <v>6433</v>
      </c>
      <c r="H220" s="199" t="s">
        <v>52</v>
      </c>
      <c r="I220" s="199">
        <v>1</v>
      </c>
      <c r="J220" s="199">
        <v>1</v>
      </c>
      <c r="K220" s="199">
        <v>1</v>
      </c>
      <c r="L220" s="199">
        <v>50</v>
      </c>
      <c r="M220" s="202">
        <f>TB_Parts_Lists[[#This Row],[Quantity Initial]]+ SUMIF(TB_Transactions[Part number],TB_Parts_Lists[[#This Row],[Part Number]],TB_Transactions[Quantity])</f>
        <v>50</v>
      </c>
      <c r="N220" s="200" t="s">
        <v>4593</v>
      </c>
      <c r="O220" s="234">
        <v>5</v>
      </c>
      <c r="P220" s="199">
        <f>TB_Parts_Lists[[#This Row],[Quantity Initial]]*TB_Parts_Lists[[#This Row],[Unit Price AED]]</f>
        <v>250</v>
      </c>
      <c r="Q220" s="199">
        <f>TB_Parts_Lists[[#This Row],[Quantity Total]]*TB_Parts_Lists[[#This Row],[Unit Price AED]]</f>
        <v>250</v>
      </c>
      <c r="S220" s="199" t="s">
        <v>8675</v>
      </c>
      <c r="T220" s="199" t="s">
        <v>8675</v>
      </c>
      <c r="U220" s="199" t="s">
        <v>8675</v>
      </c>
    </row>
    <row r="221" spans="1:21" s="199" customFormat="1" x14ac:dyDescent="0.25">
      <c r="A221" s="192" t="s">
        <v>6692</v>
      </c>
      <c r="B221" s="203" t="s">
        <v>3330</v>
      </c>
      <c r="C221" s="188" t="s">
        <v>3003</v>
      </c>
      <c r="D221" s="199" t="s">
        <v>8723</v>
      </c>
      <c r="E221" s="188" t="s">
        <v>4895</v>
      </c>
      <c r="F221" s="189" t="s">
        <v>5953</v>
      </c>
      <c r="G221" s="188" t="s">
        <v>6433</v>
      </c>
      <c r="H221" s="199" t="s">
        <v>8642</v>
      </c>
      <c r="I221" s="199">
        <v>1</v>
      </c>
      <c r="J221" s="199">
        <v>1</v>
      </c>
      <c r="K221" s="199">
        <v>1</v>
      </c>
      <c r="L221" s="199">
        <v>50</v>
      </c>
      <c r="M221" s="202">
        <f>TB_Parts_Lists[[#This Row],[Quantity Initial]]+ SUMIF(TB_Transactions[Part number],TB_Parts_Lists[[#This Row],[Part Number]],TB_Transactions[Quantity])</f>
        <v>50</v>
      </c>
      <c r="N221" s="200" t="s">
        <v>4593</v>
      </c>
      <c r="O221" s="234">
        <v>5</v>
      </c>
      <c r="P221" s="199">
        <f>TB_Parts_Lists[[#This Row],[Quantity Initial]]*TB_Parts_Lists[[#This Row],[Unit Price AED]]</f>
        <v>250</v>
      </c>
      <c r="Q221" s="199">
        <f>TB_Parts_Lists[[#This Row],[Quantity Total]]*TB_Parts_Lists[[#This Row],[Unit Price AED]]</f>
        <v>250</v>
      </c>
      <c r="S221" s="199" t="s">
        <v>8675</v>
      </c>
      <c r="T221" s="199" t="s">
        <v>8675</v>
      </c>
      <c r="U221" s="199" t="s">
        <v>8675</v>
      </c>
    </row>
    <row r="222" spans="1:21" s="199" customFormat="1" x14ac:dyDescent="0.25">
      <c r="A222" s="192" t="s">
        <v>6693</v>
      </c>
      <c r="B222" s="201" t="s">
        <v>3337</v>
      </c>
      <c r="C222" s="199" t="s">
        <v>3378</v>
      </c>
      <c r="D222" s="199" t="s">
        <v>8732</v>
      </c>
      <c r="E222" s="188" t="s">
        <v>3209</v>
      </c>
      <c r="F222" s="189" t="s">
        <v>3210</v>
      </c>
      <c r="G222" s="188" t="s">
        <v>6433</v>
      </c>
      <c r="H222" s="199" t="s">
        <v>72</v>
      </c>
      <c r="I222" s="199">
        <v>1</v>
      </c>
      <c r="J222" s="199">
        <v>1</v>
      </c>
      <c r="K222" s="199">
        <v>1</v>
      </c>
      <c r="L222" s="199">
        <v>50</v>
      </c>
      <c r="M222" s="202">
        <f>TB_Parts_Lists[[#This Row],[Quantity Initial]]+ SUMIF(TB_Transactions[Part number],TB_Parts_Lists[[#This Row],[Part Number]],TB_Transactions[Quantity])</f>
        <v>50</v>
      </c>
      <c r="N222" s="200" t="s">
        <v>4593</v>
      </c>
      <c r="O222" s="234">
        <v>5</v>
      </c>
      <c r="P222" s="199">
        <f>TB_Parts_Lists[[#This Row],[Quantity Initial]]*TB_Parts_Lists[[#This Row],[Unit Price AED]]</f>
        <v>250</v>
      </c>
      <c r="Q222" s="199">
        <f>TB_Parts_Lists[[#This Row],[Quantity Total]]*TB_Parts_Lists[[#This Row],[Unit Price AED]]</f>
        <v>250</v>
      </c>
      <c r="S222" s="199" t="s">
        <v>122</v>
      </c>
      <c r="T222" s="199" t="s">
        <v>8679</v>
      </c>
      <c r="U222" s="199" t="s">
        <v>1720</v>
      </c>
    </row>
    <row r="223" spans="1:21" s="199" customFormat="1" x14ac:dyDescent="0.25">
      <c r="A223" s="192" t="s">
        <v>6694</v>
      </c>
      <c r="B223" s="203" t="s">
        <v>3338</v>
      </c>
      <c r="C223" s="188" t="s">
        <v>6689</v>
      </c>
      <c r="D223" s="199" t="s">
        <v>8723</v>
      </c>
      <c r="E223" s="188" t="s">
        <v>3371</v>
      </c>
      <c r="F223" s="189" t="s">
        <v>3222</v>
      </c>
      <c r="G223" s="188" t="s">
        <v>6433</v>
      </c>
      <c r="H223" s="199" t="s">
        <v>72</v>
      </c>
      <c r="I223" s="199">
        <v>1</v>
      </c>
      <c r="J223" s="199">
        <v>1</v>
      </c>
      <c r="K223" s="199">
        <v>1</v>
      </c>
      <c r="L223" s="199">
        <v>50</v>
      </c>
      <c r="M223" s="202">
        <f>TB_Parts_Lists[[#This Row],[Quantity Initial]]+ SUMIF(TB_Transactions[Part number],TB_Parts_Lists[[#This Row],[Part Number]],TB_Transactions[Quantity])</f>
        <v>50</v>
      </c>
      <c r="N223" s="200" t="s">
        <v>4593</v>
      </c>
      <c r="O223" s="234">
        <v>5</v>
      </c>
      <c r="P223" s="199">
        <f>TB_Parts_Lists[[#This Row],[Quantity Initial]]*TB_Parts_Lists[[#This Row],[Unit Price AED]]</f>
        <v>250</v>
      </c>
      <c r="Q223" s="199">
        <f>TB_Parts_Lists[[#This Row],[Quantity Total]]*TB_Parts_Lists[[#This Row],[Unit Price AED]]</f>
        <v>250</v>
      </c>
      <c r="S223" s="199" t="s">
        <v>8675</v>
      </c>
      <c r="T223" s="199" t="s">
        <v>8675</v>
      </c>
      <c r="U223" s="199" t="s">
        <v>8675</v>
      </c>
    </row>
    <row r="224" spans="1:21" s="199" customFormat="1" x14ac:dyDescent="0.25">
      <c r="A224" s="192" t="s">
        <v>6696</v>
      </c>
      <c r="B224" s="203" t="s">
        <v>3330</v>
      </c>
      <c r="C224" s="199" t="s">
        <v>6695</v>
      </c>
      <c r="D224" s="188" t="s">
        <v>8724</v>
      </c>
      <c r="E224" s="188" t="s">
        <v>4896</v>
      </c>
      <c r="F224" s="189" t="s">
        <v>3251</v>
      </c>
      <c r="G224" s="188" t="s">
        <v>6433</v>
      </c>
      <c r="H224" s="199" t="s">
        <v>8643</v>
      </c>
      <c r="I224" s="199">
        <v>1</v>
      </c>
      <c r="J224" s="199">
        <v>1</v>
      </c>
      <c r="K224" s="199">
        <v>1</v>
      </c>
      <c r="L224" s="199">
        <v>50</v>
      </c>
      <c r="M224" s="202">
        <f>TB_Parts_Lists[[#This Row],[Quantity Initial]]+ SUMIF(TB_Transactions[Part number],TB_Parts_Lists[[#This Row],[Part Number]],TB_Transactions[Quantity])</f>
        <v>50</v>
      </c>
      <c r="N224" s="200" t="s">
        <v>4593</v>
      </c>
      <c r="O224" s="234">
        <v>5</v>
      </c>
      <c r="P224" s="199">
        <f>TB_Parts_Lists[[#This Row],[Quantity Initial]]*TB_Parts_Lists[[#This Row],[Unit Price AED]]</f>
        <v>250</v>
      </c>
      <c r="Q224" s="199">
        <f>TB_Parts_Lists[[#This Row],[Quantity Total]]*TB_Parts_Lists[[#This Row],[Unit Price AED]]</f>
        <v>250</v>
      </c>
      <c r="S224" s="199" t="s">
        <v>8675</v>
      </c>
      <c r="T224" s="199" t="s">
        <v>8675</v>
      </c>
      <c r="U224" s="199" t="s">
        <v>8675</v>
      </c>
    </row>
    <row r="225" spans="1:21" s="199" customFormat="1" x14ac:dyDescent="0.25">
      <c r="A225" s="192" t="s">
        <v>6697</v>
      </c>
      <c r="B225" s="201" t="s">
        <v>4697</v>
      </c>
      <c r="C225" s="199" t="s">
        <v>4699</v>
      </c>
      <c r="D225" s="188" t="s">
        <v>8724</v>
      </c>
      <c r="E225" s="188" t="s">
        <v>4897</v>
      </c>
      <c r="F225" s="189" t="s">
        <v>4695</v>
      </c>
      <c r="G225" s="188" t="s">
        <v>6433</v>
      </c>
      <c r="H225" s="199" t="s">
        <v>191</v>
      </c>
      <c r="I225" s="199">
        <v>1</v>
      </c>
      <c r="J225" s="199">
        <v>1</v>
      </c>
      <c r="K225" s="199">
        <v>1</v>
      </c>
      <c r="L225" s="199">
        <v>50</v>
      </c>
      <c r="M225" s="202">
        <f>TB_Parts_Lists[[#This Row],[Quantity Initial]]+ SUMIF(TB_Transactions[Part number],TB_Parts_Lists[[#This Row],[Part Number]],TB_Transactions[Quantity])</f>
        <v>50</v>
      </c>
      <c r="N225" s="200" t="s">
        <v>4593</v>
      </c>
      <c r="O225" s="234">
        <v>5</v>
      </c>
      <c r="P225" s="199">
        <f>TB_Parts_Lists[[#This Row],[Quantity Initial]]*TB_Parts_Lists[[#This Row],[Unit Price AED]]</f>
        <v>250</v>
      </c>
      <c r="Q225" s="199">
        <f>TB_Parts_Lists[[#This Row],[Quantity Total]]*TB_Parts_Lists[[#This Row],[Unit Price AED]]</f>
        <v>250</v>
      </c>
      <c r="S225" s="199" t="s">
        <v>8675</v>
      </c>
      <c r="T225" s="199" t="s">
        <v>8675</v>
      </c>
      <c r="U225" s="199" t="s">
        <v>8675</v>
      </c>
    </row>
    <row r="226" spans="1:21" s="199" customFormat="1" x14ac:dyDescent="0.25">
      <c r="A226" s="192" t="s">
        <v>6698</v>
      </c>
      <c r="B226" s="201" t="s">
        <v>4697</v>
      </c>
      <c r="C226" s="199" t="s">
        <v>4698</v>
      </c>
      <c r="D226" s="188" t="s">
        <v>8724</v>
      </c>
      <c r="E226" s="188" t="s">
        <v>4898</v>
      </c>
      <c r="F226" s="189" t="s">
        <v>4696</v>
      </c>
      <c r="G226" s="188" t="s">
        <v>6433</v>
      </c>
      <c r="H226" s="199" t="s">
        <v>191</v>
      </c>
      <c r="I226" s="199">
        <v>1</v>
      </c>
      <c r="J226" s="199">
        <v>1</v>
      </c>
      <c r="K226" s="199">
        <v>1</v>
      </c>
      <c r="L226" s="199">
        <v>50</v>
      </c>
      <c r="M226" s="202">
        <f>TB_Parts_Lists[[#This Row],[Quantity Initial]]+ SUMIF(TB_Transactions[Part number],TB_Parts_Lists[[#This Row],[Part Number]],TB_Transactions[Quantity])</f>
        <v>50</v>
      </c>
      <c r="N226" s="200" t="s">
        <v>4593</v>
      </c>
      <c r="O226" s="234">
        <v>5</v>
      </c>
      <c r="P226" s="199">
        <f>TB_Parts_Lists[[#This Row],[Quantity Initial]]*TB_Parts_Lists[[#This Row],[Unit Price AED]]</f>
        <v>250</v>
      </c>
      <c r="Q226" s="199">
        <f>TB_Parts_Lists[[#This Row],[Quantity Total]]*TB_Parts_Lists[[#This Row],[Unit Price AED]]</f>
        <v>250</v>
      </c>
      <c r="S226" s="199" t="s">
        <v>8675</v>
      </c>
      <c r="T226" s="199" t="s">
        <v>8675</v>
      </c>
      <c r="U226" s="199" t="s">
        <v>8675</v>
      </c>
    </row>
    <row r="227" spans="1:21" s="199" customFormat="1" x14ac:dyDescent="0.25">
      <c r="A227" s="192" t="s">
        <v>6699</v>
      </c>
      <c r="B227" s="201" t="s">
        <v>3330</v>
      </c>
      <c r="C227" s="199" t="s">
        <v>6611</v>
      </c>
      <c r="D227" s="199" t="s">
        <v>8723</v>
      </c>
      <c r="E227" s="188" t="s">
        <v>4899</v>
      </c>
      <c r="F227" s="189" t="s">
        <v>3243</v>
      </c>
      <c r="G227" s="188" t="s">
        <v>6434</v>
      </c>
      <c r="H227" s="199" t="s">
        <v>72</v>
      </c>
      <c r="I227" s="199">
        <v>1</v>
      </c>
      <c r="J227" s="199">
        <v>1</v>
      </c>
      <c r="K227" s="199">
        <v>1</v>
      </c>
      <c r="L227" s="199">
        <v>50</v>
      </c>
      <c r="M227" s="202">
        <f>TB_Parts_Lists[[#This Row],[Quantity Initial]]+ SUMIF(TB_Transactions[Part number],TB_Parts_Lists[[#This Row],[Part Number]],TB_Transactions[Quantity])</f>
        <v>50</v>
      </c>
      <c r="N227" s="200" t="s">
        <v>4593</v>
      </c>
      <c r="O227" s="234">
        <v>5</v>
      </c>
      <c r="P227" s="199">
        <f>TB_Parts_Lists[[#This Row],[Quantity Initial]]*TB_Parts_Lists[[#This Row],[Unit Price AED]]</f>
        <v>250</v>
      </c>
      <c r="Q227" s="199">
        <f>TB_Parts_Lists[[#This Row],[Quantity Total]]*TB_Parts_Lists[[#This Row],[Unit Price AED]]</f>
        <v>250</v>
      </c>
      <c r="S227" s="199" t="s">
        <v>122</v>
      </c>
      <c r="T227" s="199" t="s">
        <v>8680</v>
      </c>
      <c r="U227" s="199" t="s">
        <v>324</v>
      </c>
    </row>
    <row r="228" spans="1:21" s="199" customFormat="1" x14ac:dyDescent="0.25">
      <c r="A228" s="192" t="s">
        <v>6700</v>
      </c>
      <c r="B228" s="203" t="s">
        <v>3330</v>
      </c>
      <c r="C228" s="188" t="s">
        <v>3003</v>
      </c>
      <c r="D228" s="199" t="s">
        <v>8723</v>
      </c>
      <c r="E228" s="188" t="s">
        <v>3003</v>
      </c>
      <c r="F228" s="189" t="s">
        <v>3303</v>
      </c>
      <c r="G228" s="188" t="s">
        <v>6434</v>
      </c>
      <c r="H228" s="199" t="s">
        <v>52</v>
      </c>
      <c r="I228" s="199">
        <v>1</v>
      </c>
      <c r="J228" s="199">
        <v>1</v>
      </c>
      <c r="K228" s="199">
        <v>1</v>
      </c>
      <c r="L228" s="199">
        <v>50</v>
      </c>
      <c r="M228" s="202">
        <f>TB_Parts_Lists[[#This Row],[Quantity Initial]]+ SUMIF(TB_Transactions[Part number],TB_Parts_Lists[[#This Row],[Part Number]],TB_Transactions[Quantity])</f>
        <v>50</v>
      </c>
      <c r="N228" s="200" t="s">
        <v>4593</v>
      </c>
      <c r="O228" s="234">
        <v>5</v>
      </c>
      <c r="P228" s="199">
        <f>TB_Parts_Lists[[#This Row],[Quantity Initial]]*TB_Parts_Lists[[#This Row],[Unit Price AED]]</f>
        <v>250</v>
      </c>
      <c r="Q228" s="199">
        <f>TB_Parts_Lists[[#This Row],[Quantity Total]]*TB_Parts_Lists[[#This Row],[Unit Price AED]]</f>
        <v>250</v>
      </c>
      <c r="S228" s="199" t="s">
        <v>8675</v>
      </c>
      <c r="T228" s="199" t="s">
        <v>8675</v>
      </c>
      <c r="U228" s="199" t="s">
        <v>8675</v>
      </c>
    </row>
    <row r="229" spans="1:21" s="199" customFormat="1" x14ac:dyDescent="0.25">
      <c r="A229" s="192" t="s">
        <v>6701</v>
      </c>
      <c r="B229" s="203" t="s">
        <v>3330</v>
      </c>
      <c r="C229" s="188" t="s">
        <v>4090</v>
      </c>
      <c r="D229" s="199" t="s">
        <v>8723</v>
      </c>
      <c r="E229" s="188" t="s">
        <v>3202</v>
      </c>
      <c r="F229" s="189" t="s">
        <v>3203</v>
      </c>
      <c r="G229" s="188" t="s">
        <v>6434</v>
      </c>
      <c r="H229" s="199" t="s">
        <v>52</v>
      </c>
      <c r="I229" s="199">
        <v>1</v>
      </c>
      <c r="J229" s="199">
        <v>1</v>
      </c>
      <c r="K229" s="199">
        <v>1</v>
      </c>
      <c r="L229" s="199">
        <v>50</v>
      </c>
      <c r="M229" s="202">
        <f>TB_Parts_Lists[[#This Row],[Quantity Initial]]+ SUMIF(TB_Transactions[Part number],TB_Parts_Lists[[#This Row],[Part Number]],TB_Transactions[Quantity])</f>
        <v>50</v>
      </c>
      <c r="N229" s="200" t="s">
        <v>4593</v>
      </c>
      <c r="O229" s="234">
        <v>5</v>
      </c>
      <c r="P229" s="199">
        <f>TB_Parts_Lists[[#This Row],[Quantity Initial]]*TB_Parts_Lists[[#This Row],[Unit Price AED]]</f>
        <v>250</v>
      </c>
      <c r="Q229" s="199">
        <f>TB_Parts_Lists[[#This Row],[Quantity Total]]*TB_Parts_Lists[[#This Row],[Unit Price AED]]</f>
        <v>250</v>
      </c>
      <c r="S229" s="199" t="s">
        <v>8675</v>
      </c>
      <c r="T229" s="199" t="s">
        <v>8675</v>
      </c>
      <c r="U229" s="199" t="s">
        <v>8675</v>
      </c>
    </row>
    <row r="230" spans="1:21" s="199" customFormat="1" x14ac:dyDescent="0.25">
      <c r="A230" s="192" t="s">
        <v>6702</v>
      </c>
      <c r="B230" s="203" t="s">
        <v>3330</v>
      </c>
      <c r="C230" s="199" t="s">
        <v>3338</v>
      </c>
      <c r="D230" s="199" t="s">
        <v>8723</v>
      </c>
      <c r="E230" s="188" t="s">
        <v>4900</v>
      </c>
      <c r="F230" s="189" t="s">
        <v>3266</v>
      </c>
      <c r="G230" s="188" t="s">
        <v>6434</v>
      </c>
      <c r="H230" s="199" t="s">
        <v>52</v>
      </c>
      <c r="I230" s="199">
        <v>1</v>
      </c>
      <c r="J230" s="199">
        <v>1</v>
      </c>
      <c r="K230" s="199">
        <v>1</v>
      </c>
      <c r="L230" s="199">
        <v>50</v>
      </c>
      <c r="M230" s="202">
        <f>TB_Parts_Lists[[#This Row],[Quantity Initial]]+ SUMIF(TB_Transactions[Part number],TB_Parts_Lists[[#This Row],[Part Number]],TB_Transactions[Quantity])</f>
        <v>50</v>
      </c>
      <c r="N230" s="200" t="s">
        <v>4593</v>
      </c>
      <c r="O230" s="234">
        <v>5</v>
      </c>
      <c r="P230" s="199">
        <f>TB_Parts_Lists[[#This Row],[Quantity Initial]]*TB_Parts_Lists[[#This Row],[Unit Price AED]]</f>
        <v>250</v>
      </c>
      <c r="Q230" s="199">
        <f>TB_Parts_Lists[[#This Row],[Quantity Total]]*TB_Parts_Lists[[#This Row],[Unit Price AED]]</f>
        <v>250</v>
      </c>
      <c r="S230" s="199" t="s">
        <v>8675</v>
      </c>
      <c r="T230" s="199" t="s">
        <v>8675</v>
      </c>
      <c r="U230" s="199" t="s">
        <v>8675</v>
      </c>
    </row>
    <row r="231" spans="1:21" s="199" customFormat="1" x14ac:dyDescent="0.25">
      <c r="A231" s="192" t="s">
        <v>6703</v>
      </c>
      <c r="B231" s="203" t="s">
        <v>3002</v>
      </c>
      <c r="C231" s="188" t="s">
        <v>3007</v>
      </c>
      <c r="D231" s="199" t="s">
        <v>8723</v>
      </c>
      <c r="E231" s="188" t="s">
        <v>4901</v>
      </c>
      <c r="F231" s="189" t="s">
        <v>3255</v>
      </c>
      <c r="G231" s="188" t="s">
        <v>6434</v>
      </c>
      <c r="H231" s="199" t="s">
        <v>52</v>
      </c>
      <c r="I231" s="199">
        <v>1</v>
      </c>
      <c r="J231" s="199">
        <v>1</v>
      </c>
      <c r="K231" s="199">
        <v>1</v>
      </c>
      <c r="L231" s="199">
        <v>50</v>
      </c>
      <c r="M231" s="202">
        <f>TB_Parts_Lists[[#This Row],[Quantity Initial]]+ SUMIF(TB_Transactions[Part number],TB_Parts_Lists[[#This Row],[Part Number]],TB_Transactions[Quantity])</f>
        <v>50</v>
      </c>
      <c r="N231" s="200" t="s">
        <v>4593</v>
      </c>
      <c r="O231" s="234">
        <v>5</v>
      </c>
      <c r="P231" s="199">
        <f>TB_Parts_Lists[[#This Row],[Quantity Initial]]*TB_Parts_Lists[[#This Row],[Unit Price AED]]</f>
        <v>250</v>
      </c>
      <c r="Q231" s="199">
        <f>TB_Parts_Lists[[#This Row],[Quantity Total]]*TB_Parts_Lists[[#This Row],[Unit Price AED]]</f>
        <v>250</v>
      </c>
      <c r="S231" s="199" t="s">
        <v>8675</v>
      </c>
      <c r="T231" s="199" t="s">
        <v>8675</v>
      </c>
      <c r="U231" s="199" t="s">
        <v>8675</v>
      </c>
    </row>
    <row r="232" spans="1:21" s="199" customFormat="1" x14ac:dyDescent="0.25">
      <c r="A232" s="192" t="s">
        <v>6705</v>
      </c>
      <c r="B232" s="203" t="s">
        <v>3330</v>
      </c>
      <c r="C232" s="199" t="s">
        <v>6704</v>
      </c>
      <c r="D232" s="188" t="s">
        <v>8724</v>
      </c>
      <c r="E232" s="188" t="s">
        <v>4902</v>
      </c>
      <c r="F232" s="189" t="s">
        <v>3247</v>
      </c>
      <c r="G232" s="188" t="s">
        <v>6434</v>
      </c>
      <c r="H232" s="199" t="s">
        <v>52</v>
      </c>
      <c r="I232" s="199">
        <v>1</v>
      </c>
      <c r="J232" s="199">
        <v>1</v>
      </c>
      <c r="K232" s="199">
        <v>1</v>
      </c>
      <c r="L232" s="199">
        <v>50</v>
      </c>
      <c r="M232" s="202">
        <f>TB_Parts_Lists[[#This Row],[Quantity Initial]]+ SUMIF(TB_Transactions[Part number],TB_Parts_Lists[[#This Row],[Part Number]],TB_Transactions[Quantity])</f>
        <v>50</v>
      </c>
      <c r="N232" s="200" t="s">
        <v>4593</v>
      </c>
      <c r="O232" s="234">
        <v>5</v>
      </c>
      <c r="P232" s="199">
        <f>TB_Parts_Lists[[#This Row],[Quantity Initial]]*TB_Parts_Lists[[#This Row],[Unit Price AED]]</f>
        <v>250</v>
      </c>
      <c r="Q232" s="199">
        <f>TB_Parts_Lists[[#This Row],[Quantity Total]]*TB_Parts_Lists[[#This Row],[Unit Price AED]]</f>
        <v>250</v>
      </c>
      <c r="S232" s="199" t="s">
        <v>8675</v>
      </c>
      <c r="T232" s="199" t="s">
        <v>8675</v>
      </c>
      <c r="U232" s="199" t="s">
        <v>8675</v>
      </c>
    </row>
    <row r="233" spans="1:21" s="199" customFormat="1" x14ac:dyDescent="0.25">
      <c r="A233" s="192" t="s">
        <v>6706</v>
      </c>
      <c r="B233" s="203" t="s">
        <v>3330</v>
      </c>
      <c r="C233" s="188" t="s">
        <v>3003</v>
      </c>
      <c r="D233" s="199" t="s">
        <v>8723</v>
      </c>
      <c r="E233" s="188" t="s">
        <v>3003</v>
      </c>
      <c r="F233" s="189" t="s">
        <v>3304</v>
      </c>
      <c r="G233" s="188" t="s">
        <v>6434</v>
      </c>
      <c r="H233" s="199" t="s">
        <v>52</v>
      </c>
      <c r="I233" s="199">
        <v>1</v>
      </c>
      <c r="J233" s="199">
        <v>1</v>
      </c>
      <c r="K233" s="199">
        <v>1</v>
      </c>
      <c r="L233" s="199">
        <v>50</v>
      </c>
      <c r="M233" s="202">
        <f>TB_Parts_Lists[[#This Row],[Quantity Initial]]+ SUMIF(TB_Transactions[Part number],TB_Parts_Lists[[#This Row],[Part Number]],TB_Transactions[Quantity])</f>
        <v>50</v>
      </c>
      <c r="N233" s="200" t="s">
        <v>4593</v>
      </c>
      <c r="O233" s="234">
        <v>5</v>
      </c>
      <c r="P233" s="199">
        <f>TB_Parts_Lists[[#This Row],[Quantity Initial]]*TB_Parts_Lists[[#This Row],[Unit Price AED]]</f>
        <v>250</v>
      </c>
      <c r="Q233" s="199">
        <f>TB_Parts_Lists[[#This Row],[Quantity Total]]*TB_Parts_Lists[[#This Row],[Unit Price AED]]</f>
        <v>250</v>
      </c>
      <c r="S233" s="199" t="s">
        <v>8675</v>
      </c>
      <c r="T233" s="199" t="s">
        <v>8675</v>
      </c>
      <c r="U233" s="199" t="s">
        <v>8675</v>
      </c>
    </row>
    <row r="234" spans="1:21" s="199" customFormat="1" x14ac:dyDescent="0.25">
      <c r="A234" s="192" t="s">
        <v>6707</v>
      </c>
      <c r="B234" s="203" t="s">
        <v>3330</v>
      </c>
      <c r="C234" s="188" t="s">
        <v>3338</v>
      </c>
      <c r="D234" s="199" t="s">
        <v>8723</v>
      </c>
      <c r="E234" s="188" t="s">
        <v>3277</v>
      </c>
      <c r="F234" s="189" t="s">
        <v>3278</v>
      </c>
      <c r="G234" s="188" t="s">
        <v>6434</v>
      </c>
      <c r="H234" s="199" t="s">
        <v>72</v>
      </c>
      <c r="I234" s="199">
        <v>1</v>
      </c>
      <c r="J234" s="199">
        <v>1</v>
      </c>
      <c r="K234" s="199">
        <v>1</v>
      </c>
      <c r="L234" s="199">
        <v>50</v>
      </c>
      <c r="M234" s="202">
        <f>TB_Parts_Lists[[#This Row],[Quantity Initial]]+ SUMIF(TB_Transactions[Part number],TB_Parts_Lists[[#This Row],[Part Number]],TB_Transactions[Quantity])</f>
        <v>50</v>
      </c>
      <c r="N234" s="200" t="s">
        <v>4593</v>
      </c>
      <c r="O234" s="234">
        <v>5</v>
      </c>
      <c r="P234" s="199">
        <f>TB_Parts_Lists[[#This Row],[Quantity Initial]]*TB_Parts_Lists[[#This Row],[Unit Price AED]]</f>
        <v>250</v>
      </c>
      <c r="Q234" s="199">
        <f>TB_Parts_Lists[[#This Row],[Quantity Total]]*TB_Parts_Lists[[#This Row],[Unit Price AED]]</f>
        <v>250</v>
      </c>
      <c r="S234" s="199" t="s">
        <v>8675</v>
      </c>
      <c r="T234" s="199" t="s">
        <v>8675</v>
      </c>
      <c r="U234" s="199" t="s">
        <v>8675</v>
      </c>
    </row>
    <row r="235" spans="1:21" s="199" customFormat="1" x14ac:dyDescent="0.25">
      <c r="A235" s="192" t="s">
        <v>6709</v>
      </c>
      <c r="B235" s="203" t="s">
        <v>3338</v>
      </c>
      <c r="C235" s="199" t="s">
        <v>6708</v>
      </c>
      <c r="D235" s="199" t="s">
        <v>8723</v>
      </c>
      <c r="E235" s="188" t="s">
        <v>4903</v>
      </c>
      <c r="F235" s="189" t="s">
        <v>3228</v>
      </c>
      <c r="G235" s="188" t="s">
        <v>6434</v>
      </c>
      <c r="H235" s="199" t="s">
        <v>72</v>
      </c>
      <c r="I235" s="199">
        <v>1</v>
      </c>
      <c r="J235" s="199">
        <v>1</v>
      </c>
      <c r="K235" s="199">
        <v>1</v>
      </c>
      <c r="L235" s="199">
        <v>50</v>
      </c>
      <c r="M235" s="202">
        <f>TB_Parts_Lists[[#This Row],[Quantity Initial]]+ SUMIF(TB_Transactions[Part number],TB_Parts_Lists[[#This Row],[Part Number]],TB_Transactions[Quantity])</f>
        <v>50</v>
      </c>
      <c r="N235" s="200" t="s">
        <v>4593</v>
      </c>
      <c r="O235" s="234">
        <v>5</v>
      </c>
      <c r="P235" s="199">
        <f>TB_Parts_Lists[[#This Row],[Quantity Initial]]*TB_Parts_Lists[[#This Row],[Unit Price AED]]</f>
        <v>250</v>
      </c>
      <c r="Q235" s="199">
        <f>TB_Parts_Lists[[#This Row],[Quantity Total]]*TB_Parts_Lists[[#This Row],[Unit Price AED]]</f>
        <v>250</v>
      </c>
      <c r="S235" s="199" t="s">
        <v>122</v>
      </c>
      <c r="T235" s="199" t="s">
        <v>8680</v>
      </c>
      <c r="U235" s="199" t="s">
        <v>324</v>
      </c>
    </row>
    <row r="236" spans="1:21" s="199" customFormat="1" x14ac:dyDescent="0.25">
      <c r="A236" s="192" t="s">
        <v>6710</v>
      </c>
      <c r="B236" s="203" t="s">
        <v>3330</v>
      </c>
      <c r="C236" s="188" t="s">
        <v>6611</v>
      </c>
      <c r="D236" s="199" t="s">
        <v>8732</v>
      </c>
      <c r="E236" s="188" t="s">
        <v>4904</v>
      </c>
      <c r="F236" s="189" t="s">
        <v>3238</v>
      </c>
      <c r="G236" s="188" t="s">
        <v>6434</v>
      </c>
      <c r="H236" s="199" t="s">
        <v>72</v>
      </c>
      <c r="I236" s="199">
        <v>1</v>
      </c>
      <c r="J236" s="199">
        <v>1</v>
      </c>
      <c r="K236" s="199">
        <v>1</v>
      </c>
      <c r="L236" s="199">
        <v>50</v>
      </c>
      <c r="M236" s="202">
        <f>TB_Parts_Lists[[#This Row],[Quantity Initial]]+ SUMIF(TB_Transactions[Part number],TB_Parts_Lists[[#This Row],[Part Number]],TB_Transactions[Quantity])</f>
        <v>50</v>
      </c>
      <c r="N236" s="200" t="s">
        <v>4593</v>
      </c>
      <c r="O236" s="234">
        <v>5</v>
      </c>
      <c r="P236" s="199">
        <f>TB_Parts_Lists[[#This Row],[Quantity Initial]]*TB_Parts_Lists[[#This Row],[Unit Price AED]]</f>
        <v>250</v>
      </c>
      <c r="Q236" s="199">
        <f>TB_Parts_Lists[[#This Row],[Quantity Total]]*TB_Parts_Lists[[#This Row],[Unit Price AED]]</f>
        <v>250</v>
      </c>
      <c r="S236" s="199" t="s">
        <v>122</v>
      </c>
      <c r="T236" s="199" t="s">
        <v>8680</v>
      </c>
      <c r="U236" s="199" t="s">
        <v>324</v>
      </c>
    </row>
    <row r="237" spans="1:21" s="199" customFormat="1" x14ac:dyDescent="0.25">
      <c r="A237" s="192" t="s">
        <v>6711</v>
      </c>
      <c r="B237" s="203" t="s">
        <v>3330</v>
      </c>
      <c r="C237" s="188" t="s">
        <v>6611</v>
      </c>
      <c r="D237" s="199" t="s">
        <v>8732</v>
      </c>
      <c r="E237" s="188" t="s">
        <v>4905</v>
      </c>
      <c r="F237" s="189" t="s">
        <v>3232</v>
      </c>
      <c r="G237" s="188" t="s">
        <v>6434</v>
      </c>
      <c r="H237" s="199" t="s">
        <v>72</v>
      </c>
      <c r="I237" s="199">
        <v>1</v>
      </c>
      <c r="J237" s="199">
        <v>1</v>
      </c>
      <c r="K237" s="199">
        <v>1</v>
      </c>
      <c r="L237" s="199">
        <v>50</v>
      </c>
      <c r="M237" s="202">
        <f>TB_Parts_Lists[[#This Row],[Quantity Initial]]+ SUMIF(TB_Transactions[Part number],TB_Parts_Lists[[#This Row],[Part Number]],TB_Transactions[Quantity])</f>
        <v>50</v>
      </c>
      <c r="N237" s="200" t="s">
        <v>4593</v>
      </c>
      <c r="O237" s="234">
        <v>5</v>
      </c>
      <c r="P237" s="199">
        <f>TB_Parts_Lists[[#This Row],[Quantity Initial]]*TB_Parts_Lists[[#This Row],[Unit Price AED]]</f>
        <v>250</v>
      </c>
      <c r="Q237" s="199">
        <f>TB_Parts_Lists[[#This Row],[Quantity Total]]*TB_Parts_Lists[[#This Row],[Unit Price AED]]</f>
        <v>250</v>
      </c>
      <c r="S237" s="199" t="s">
        <v>122</v>
      </c>
      <c r="T237" s="199" t="s">
        <v>8680</v>
      </c>
      <c r="U237" s="199" t="s">
        <v>324</v>
      </c>
    </row>
    <row r="238" spans="1:21" s="199" customFormat="1" x14ac:dyDescent="0.25">
      <c r="A238" s="192" t="s">
        <v>6712</v>
      </c>
      <c r="B238" s="203" t="s">
        <v>3330</v>
      </c>
      <c r="C238" s="188" t="s">
        <v>6611</v>
      </c>
      <c r="D238" s="199" t="s">
        <v>8732</v>
      </c>
      <c r="E238" s="188" t="s">
        <v>4906</v>
      </c>
      <c r="F238" s="189" t="s">
        <v>3233</v>
      </c>
      <c r="G238" s="188" t="s">
        <v>6434</v>
      </c>
      <c r="H238" s="199" t="s">
        <v>72</v>
      </c>
      <c r="I238" s="199">
        <v>1</v>
      </c>
      <c r="J238" s="199">
        <v>1</v>
      </c>
      <c r="K238" s="199">
        <v>1</v>
      </c>
      <c r="L238" s="199">
        <v>50</v>
      </c>
      <c r="M238" s="202">
        <f>TB_Parts_Lists[[#This Row],[Quantity Initial]]+ SUMIF(TB_Transactions[Part number],TB_Parts_Lists[[#This Row],[Part Number]],TB_Transactions[Quantity])</f>
        <v>50</v>
      </c>
      <c r="N238" s="200" t="s">
        <v>4593</v>
      </c>
      <c r="O238" s="234">
        <v>5</v>
      </c>
      <c r="P238" s="199">
        <f>TB_Parts_Lists[[#This Row],[Quantity Initial]]*TB_Parts_Lists[[#This Row],[Unit Price AED]]</f>
        <v>250</v>
      </c>
      <c r="Q238" s="199">
        <f>TB_Parts_Lists[[#This Row],[Quantity Total]]*TB_Parts_Lists[[#This Row],[Unit Price AED]]</f>
        <v>250</v>
      </c>
      <c r="S238" s="199" t="s">
        <v>122</v>
      </c>
      <c r="T238" s="199" t="s">
        <v>8680</v>
      </c>
      <c r="U238" s="199" t="s">
        <v>324</v>
      </c>
    </row>
    <row r="239" spans="1:21" s="199" customFormat="1" x14ac:dyDescent="0.25">
      <c r="A239" s="192" t="s">
        <v>6713</v>
      </c>
      <c r="B239" s="203" t="s">
        <v>3330</v>
      </c>
      <c r="C239" s="188" t="s">
        <v>6611</v>
      </c>
      <c r="D239" s="199" t="s">
        <v>8732</v>
      </c>
      <c r="E239" s="188" t="s">
        <v>4907</v>
      </c>
      <c r="F239" s="189" t="s">
        <v>3235</v>
      </c>
      <c r="G239" s="188" t="s">
        <v>6434</v>
      </c>
      <c r="H239" s="199" t="s">
        <v>72</v>
      </c>
      <c r="I239" s="199">
        <v>1</v>
      </c>
      <c r="J239" s="199">
        <v>1</v>
      </c>
      <c r="K239" s="199">
        <v>1</v>
      </c>
      <c r="L239" s="199">
        <v>50</v>
      </c>
      <c r="M239" s="202">
        <f>TB_Parts_Lists[[#This Row],[Quantity Initial]]+ SUMIF(TB_Transactions[Part number],TB_Parts_Lists[[#This Row],[Part Number]],TB_Transactions[Quantity])</f>
        <v>50</v>
      </c>
      <c r="N239" s="200" t="s">
        <v>4593</v>
      </c>
      <c r="O239" s="234">
        <v>5</v>
      </c>
      <c r="P239" s="199">
        <f>TB_Parts_Lists[[#This Row],[Quantity Initial]]*TB_Parts_Lists[[#This Row],[Unit Price AED]]</f>
        <v>250</v>
      </c>
      <c r="Q239" s="199">
        <f>TB_Parts_Lists[[#This Row],[Quantity Total]]*TB_Parts_Lists[[#This Row],[Unit Price AED]]</f>
        <v>250</v>
      </c>
      <c r="S239" s="199" t="s">
        <v>122</v>
      </c>
      <c r="T239" s="199" t="s">
        <v>8680</v>
      </c>
      <c r="U239" s="199" t="s">
        <v>324</v>
      </c>
    </row>
    <row r="240" spans="1:21" s="199" customFormat="1" x14ac:dyDescent="0.25">
      <c r="A240" s="192" t="s">
        <v>6714</v>
      </c>
      <c r="B240" s="203" t="s">
        <v>3330</v>
      </c>
      <c r="C240" s="188" t="s">
        <v>3338</v>
      </c>
      <c r="D240" s="188" t="s">
        <v>8724</v>
      </c>
      <c r="E240" s="188" t="s">
        <v>4908</v>
      </c>
      <c r="F240" s="189" t="s">
        <v>3231</v>
      </c>
      <c r="G240" s="188" t="s">
        <v>6434</v>
      </c>
      <c r="H240" s="199" t="s">
        <v>123</v>
      </c>
      <c r="I240" s="199">
        <v>1</v>
      </c>
      <c r="J240" s="199">
        <v>1</v>
      </c>
      <c r="K240" s="199">
        <v>1</v>
      </c>
      <c r="L240" s="199">
        <v>50</v>
      </c>
      <c r="M240" s="202">
        <f>TB_Parts_Lists[[#This Row],[Quantity Initial]]+ SUMIF(TB_Transactions[Part number],TB_Parts_Lists[[#This Row],[Part Number]],TB_Transactions[Quantity])</f>
        <v>50</v>
      </c>
      <c r="N240" s="200" t="s">
        <v>4593</v>
      </c>
      <c r="O240" s="234">
        <v>5</v>
      </c>
      <c r="P240" s="199">
        <f>TB_Parts_Lists[[#This Row],[Quantity Initial]]*TB_Parts_Lists[[#This Row],[Unit Price AED]]</f>
        <v>250</v>
      </c>
      <c r="Q240" s="199">
        <f>TB_Parts_Lists[[#This Row],[Quantity Total]]*TB_Parts_Lists[[#This Row],[Unit Price AED]]</f>
        <v>250</v>
      </c>
      <c r="S240" s="199" t="s">
        <v>122</v>
      </c>
      <c r="T240" s="199" t="s">
        <v>8680</v>
      </c>
      <c r="U240" s="199" t="s">
        <v>324</v>
      </c>
    </row>
    <row r="241" spans="1:21" s="199" customFormat="1" x14ac:dyDescent="0.25">
      <c r="A241" s="192" t="s">
        <v>6715</v>
      </c>
      <c r="B241" s="203" t="s">
        <v>3330</v>
      </c>
      <c r="C241" s="188" t="s">
        <v>6611</v>
      </c>
      <c r="D241" s="199" t="s">
        <v>8732</v>
      </c>
      <c r="E241" s="188" t="s">
        <v>4909</v>
      </c>
      <c r="F241" s="189" t="s">
        <v>3229</v>
      </c>
      <c r="G241" s="188" t="s">
        <v>6434</v>
      </c>
      <c r="H241" s="199" t="s">
        <v>72</v>
      </c>
      <c r="I241" s="199">
        <v>1</v>
      </c>
      <c r="J241" s="199">
        <v>1</v>
      </c>
      <c r="K241" s="199">
        <v>1</v>
      </c>
      <c r="L241" s="199">
        <v>50</v>
      </c>
      <c r="M241" s="202">
        <f>TB_Parts_Lists[[#This Row],[Quantity Initial]]+ SUMIF(TB_Transactions[Part number],TB_Parts_Lists[[#This Row],[Part Number]],TB_Transactions[Quantity])</f>
        <v>50</v>
      </c>
      <c r="N241" s="200" t="s">
        <v>4593</v>
      </c>
      <c r="O241" s="234">
        <v>5</v>
      </c>
      <c r="P241" s="199">
        <f>TB_Parts_Lists[[#This Row],[Quantity Initial]]*TB_Parts_Lists[[#This Row],[Unit Price AED]]</f>
        <v>250</v>
      </c>
      <c r="Q241" s="199">
        <f>TB_Parts_Lists[[#This Row],[Quantity Total]]*TB_Parts_Lists[[#This Row],[Unit Price AED]]</f>
        <v>250</v>
      </c>
      <c r="S241" s="199" t="s">
        <v>122</v>
      </c>
      <c r="T241" s="199" t="s">
        <v>8680</v>
      </c>
      <c r="U241" s="199" t="s">
        <v>324</v>
      </c>
    </row>
    <row r="242" spans="1:21" s="199" customFormat="1" x14ac:dyDescent="0.25">
      <c r="A242" s="192" t="s">
        <v>6716</v>
      </c>
      <c r="B242" s="203" t="s">
        <v>3330</v>
      </c>
      <c r="C242" s="188" t="s">
        <v>6611</v>
      </c>
      <c r="D242" s="199" t="s">
        <v>8732</v>
      </c>
      <c r="E242" s="188" t="s">
        <v>4910</v>
      </c>
      <c r="F242" s="189" t="s">
        <v>3230</v>
      </c>
      <c r="G242" s="188" t="s">
        <v>6434</v>
      </c>
      <c r="H242" s="199" t="s">
        <v>72</v>
      </c>
      <c r="I242" s="199">
        <v>1</v>
      </c>
      <c r="J242" s="199">
        <v>1</v>
      </c>
      <c r="K242" s="199">
        <v>1</v>
      </c>
      <c r="L242" s="199">
        <v>50</v>
      </c>
      <c r="M242" s="202">
        <f>TB_Parts_Lists[[#This Row],[Quantity Initial]]+ SUMIF(TB_Transactions[Part number],TB_Parts_Lists[[#This Row],[Part Number]],TB_Transactions[Quantity])</f>
        <v>50</v>
      </c>
      <c r="N242" s="200" t="s">
        <v>4593</v>
      </c>
      <c r="O242" s="234">
        <v>5</v>
      </c>
      <c r="P242" s="199">
        <f>TB_Parts_Lists[[#This Row],[Quantity Initial]]*TB_Parts_Lists[[#This Row],[Unit Price AED]]</f>
        <v>250</v>
      </c>
      <c r="Q242" s="199">
        <f>TB_Parts_Lists[[#This Row],[Quantity Total]]*TB_Parts_Lists[[#This Row],[Unit Price AED]]</f>
        <v>250</v>
      </c>
      <c r="S242" s="199" t="s">
        <v>122</v>
      </c>
      <c r="T242" s="199" t="s">
        <v>8680</v>
      </c>
      <c r="U242" s="199" t="s">
        <v>324</v>
      </c>
    </row>
    <row r="243" spans="1:21" s="199" customFormat="1" x14ac:dyDescent="0.25">
      <c r="A243" s="192" t="s">
        <v>6717</v>
      </c>
      <c r="B243" s="203" t="s">
        <v>3330</v>
      </c>
      <c r="C243" s="188" t="s">
        <v>6611</v>
      </c>
      <c r="D243" s="199" t="s">
        <v>8732</v>
      </c>
      <c r="E243" s="188" t="s">
        <v>4911</v>
      </c>
      <c r="F243" s="189" t="s">
        <v>3234</v>
      </c>
      <c r="G243" s="188" t="s">
        <v>6434</v>
      </c>
      <c r="H243" s="199" t="s">
        <v>72</v>
      </c>
      <c r="I243" s="199">
        <v>1</v>
      </c>
      <c r="J243" s="199">
        <v>1</v>
      </c>
      <c r="K243" s="199">
        <v>1</v>
      </c>
      <c r="L243" s="199">
        <v>50</v>
      </c>
      <c r="M243" s="202">
        <f>TB_Parts_Lists[[#This Row],[Quantity Initial]]+ SUMIF(TB_Transactions[Part number],TB_Parts_Lists[[#This Row],[Part Number]],TB_Transactions[Quantity])</f>
        <v>50</v>
      </c>
      <c r="N243" s="200" t="s">
        <v>4593</v>
      </c>
      <c r="O243" s="234">
        <v>5</v>
      </c>
      <c r="P243" s="199">
        <f>TB_Parts_Lists[[#This Row],[Quantity Initial]]*TB_Parts_Lists[[#This Row],[Unit Price AED]]</f>
        <v>250</v>
      </c>
      <c r="Q243" s="199">
        <f>TB_Parts_Lists[[#This Row],[Quantity Total]]*TB_Parts_Lists[[#This Row],[Unit Price AED]]</f>
        <v>250</v>
      </c>
      <c r="S243" s="199" t="s">
        <v>122</v>
      </c>
      <c r="T243" s="199" t="s">
        <v>8680</v>
      </c>
      <c r="U243" s="199" t="s">
        <v>324</v>
      </c>
    </row>
    <row r="244" spans="1:21" s="199" customFormat="1" x14ac:dyDescent="0.25">
      <c r="A244" s="192" t="s">
        <v>6718</v>
      </c>
      <c r="B244" s="203" t="s">
        <v>6619</v>
      </c>
      <c r="C244" s="188" t="s">
        <v>161</v>
      </c>
      <c r="D244" s="188" t="s">
        <v>8724</v>
      </c>
      <c r="E244" s="188" t="s">
        <v>3372</v>
      </c>
      <c r="F244" s="189" t="s">
        <v>3227</v>
      </c>
      <c r="G244" s="188" t="s">
        <v>6434</v>
      </c>
      <c r="H244" s="199" t="s">
        <v>72</v>
      </c>
      <c r="I244" s="199">
        <v>1</v>
      </c>
      <c r="J244" s="199">
        <v>1</v>
      </c>
      <c r="K244" s="199">
        <v>1</v>
      </c>
      <c r="L244" s="199">
        <v>50</v>
      </c>
      <c r="M244" s="202">
        <f>TB_Parts_Lists[[#This Row],[Quantity Initial]]+ SUMIF(TB_Transactions[Part number],TB_Parts_Lists[[#This Row],[Part Number]],TB_Transactions[Quantity])</f>
        <v>50</v>
      </c>
      <c r="N244" s="200" t="s">
        <v>4593</v>
      </c>
      <c r="O244" s="234">
        <v>5</v>
      </c>
      <c r="P244" s="199">
        <f>TB_Parts_Lists[[#This Row],[Quantity Initial]]*TB_Parts_Lists[[#This Row],[Unit Price AED]]</f>
        <v>250</v>
      </c>
      <c r="Q244" s="199">
        <f>TB_Parts_Lists[[#This Row],[Quantity Total]]*TB_Parts_Lists[[#This Row],[Unit Price AED]]</f>
        <v>250</v>
      </c>
      <c r="S244" s="199" t="s">
        <v>8675</v>
      </c>
      <c r="T244" s="199" t="s">
        <v>8675</v>
      </c>
      <c r="U244" s="199" t="s">
        <v>8675</v>
      </c>
    </row>
    <row r="245" spans="1:21" s="199" customFormat="1" x14ac:dyDescent="0.25">
      <c r="A245" s="192" t="s">
        <v>6719</v>
      </c>
      <c r="B245" s="203" t="s">
        <v>3330</v>
      </c>
      <c r="C245" s="188" t="s">
        <v>3338</v>
      </c>
      <c r="D245" s="188" t="s">
        <v>8724</v>
      </c>
      <c r="E245" s="188" t="s">
        <v>3301</v>
      </c>
      <c r="F245" s="189" t="s">
        <v>3302</v>
      </c>
      <c r="G245" s="188" t="s">
        <v>6434</v>
      </c>
      <c r="H245" s="199" t="s">
        <v>8644</v>
      </c>
      <c r="I245" s="199">
        <v>1</v>
      </c>
      <c r="J245" s="199">
        <v>1</v>
      </c>
      <c r="K245" s="199">
        <v>1</v>
      </c>
      <c r="L245" s="199">
        <v>50</v>
      </c>
      <c r="M245" s="202">
        <f>TB_Parts_Lists[[#This Row],[Quantity Initial]]+ SUMIF(TB_Transactions[Part number],TB_Parts_Lists[[#This Row],[Part Number]],TB_Transactions[Quantity])</f>
        <v>50</v>
      </c>
      <c r="N245" s="200" t="s">
        <v>4593</v>
      </c>
      <c r="O245" s="234">
        <v>5</v>
      </c>
      <c r="P245" s="199">
        <f>TB_Parts_Lists[[#This Row],[Quantity Initial]]*TB_Parts_Lists[[#This Row],[Unit Price AED]]</f>
        <v>250</v>
      </c>
      <c r="Q245" s="199">
        <f>TB_Parts_Lists[[#This Row],[Quantity Total]]*TB_Parts_Lists[[#This Row],[Unit Price AED]]</f>
        <v>250</v>
      </c>
      <c r="S245" s="199" t="s">
        <v>8675</v>
      </c>
      <c r="T245" s="199" t="s">
        <v>8675</v>
      </c>
      <c r="U245" s="199" t="s">
        <v>8675</v>
      </c>
    </row>
    <row r="246" spans="1:21" s="199" customFormat="1" x14ac:dyDescent="0.25">
      <c r="A246" s="192" t="s">
        <v>6720</v>
      </c>
      <c r="B246" s="203" t="s">
        <v>3330</v>
      </c>
      <c r="C246" s="188" t="s">
        <v>6611</v>
      </c>
      <c r="D246" s="199" t="s">
        <v>8732</v>
      </c>
      <c r="E246" s="188" t="s">
        <v>4912</v>
      </c>
      <c r="F246" s="189" t="s">
        <v>3236</v>
      </c>
      <c r="G246" s="188" t="s">
        <v>6434</v>
      </c>
      <c r="H246" s="199" t="s">
        <v>72</v>
      </c>
      <c r="I246" s="199">
        <v>1</v>
      </c>
      <c r="J246" s="199">
        <v>1</v>
      </c>
      <c r="K246" s="199">
        <v>1</v>
      </c>
      <c r="L246" s="199">
        <v>50</v>
      </c>
      <c r="M246" s="202">
        <f>TB_Parts_Lists[[#This Row],[Quantity Initial]]+ SUMIF(TB_Transactions[Part number],TB_Parts_Lists[[#This Row],[Part Number]],TB_Transactions[Quantity])</f>
        <v>50</v>
      </c>
      <c r="N246" s="200" t="s">
        <v>4593</v>
      </c>
      <c r="O246" s="234">
        <v>5</v>
      </c>
      <c r="P246" s="199">
        <f>TB_Parts_Lists[[#This Row],[Quantity Initial]]*TB_Parts_Lists[[#This Row],[Unit Price AED]]</f>
        <v>250</v>
      </c>
      <c r="Q246" s="199">
        <f>TB_Parts_Lists[[#This Row],[Quantity Total]]*TB_Parts_Lists[[#This Row],[Unit Price AED]]</f>
        <v>250</v>
      </c>
      <c r="S246" s="199" t="s">
        <v>122</v>
      </c>
      <c r="T246" s="199" t="s">
        <v>8680</v>
      </c>
      <c r="U246" s="199" t="s">
        <v>324</v>
      </c>
    </row>
    <row r="247" spans="1:21" s="199" customFormat="1" x14ac:dyDescent="0.25">
      <c r="A247" s="192" t="s">
        <v>6721</v>
      </c>
      <c r="B247" s="203" t="s">
        <v>3330</v>
      </c>
      <c r="C247" s="188" t="s">
        <v>6611</v>
      </c>
      <c r="D247" s="199" t="s">
        <v>8732</v>
      </c>
      <c r="E247" s="188" t="s">
        <v>4913</v>
      </c>
      <c r="F247" s="189" t="s">
        <v>3237</v>
      </c>
      <c r="G247" s="188" t="s">
        <v>6434</v>
      </c>
      <c r="H247" s="199" t="s">
        <v>72</v>
      </c>
      <c r="I247" s="199">
        <v>1</v>
      </c>
      <c r="J247" s="199">
        <v>1</v>
      </c>
      <c r="K247" s="199">
        <v>1</v>
      </c>
      <c r="L247" s="199">
        <v>50</v>
      </c>
      <c r="M247" s="202">
        <f>TB_Parts_Lists[[#This Row],[Quantity Initial]]+ SUMIF(TB_Transactions[Part number],TB_Parts_Lists[[#This Row],[Part Number]],TB_Transactions[Quantity])</f>
        <v>50</v>
      </c>
      <c r="N247" s="200" t="s">
        <v>4593</v>
      </c>
      <c r="O247" s="234">
        <v>5</v>
      </c>
      <c r="P247" s="199">
        <f>TB_Parts_Lists[[#This Row],[Quantity Initial]]*TB_Parts_Lists[[#This Row],[Unit Price AED]]</f>
        <v>250</v>
      </c>
      <c r="Q247" s="199">
        <f>TB_Parts_Lists[[#This Row],[Quantity Total]]*TB_Parts_Lists[[#This Row],[Unit Price AED]]</f>
        <v>250</v>
      </c>
      <c r="S247" s="199" t="s">
        <v>122</v>
      </c>
      <c r="T247" s="199" t="s">
        <v>8680</v>
      </c>
      <c r="U247" s="199" t="s">
        <v>324</v>
      </c>
    </row>
    <row r="248" spans="1:21" s="199" customFormat="1" x14ac:dyDescent="0.25">
      <c r="A248" s="192" t="s">
        <v>6723</v>
      </c>
      <c r="B248" s="203" t="s">
        <v>3338</v>
      </c>
      <c r="C248" s="188" t="s">
        <v>6722</v>
      </c>
      <c r="D248" s="199" t="s">
        <v>8724</v>
      </c>
      <c r="E248" s="188" t="s">
        <v>4914</v>
      </c>
      <c r="F248" s="189" t="s">
        <v>3262</v>
      </c>
      <c r="G248" s="188" t="s">
        <v>6434</v>
      </c>
      <c r="H248" s="199" t="s">
        <v>123</v>
      </c>
      <c r="I248" s="199">
        <v>1</v>
      </c>
      <c r="J248" s="199">
        <v>1</v>
      </c>
      <c r="K248" s="199">
        <v>1</v>
      </c>
      <c r="L248" s="199">
        <v>50</v>
      </c>
      <c r="M248" s="202">
        <f>TB_Parts_Lists[[#This Row],[Quantity Initial]]+ SUMIF(TB_Transactions[Part number],TB_Parts_Lists[[#This Row],[Part Number]],TB_Transactions[Quantity])</f>
        <v>50</v>
      </c>
      <c r="N248" s="200" t="s">
        <v>4593</v>
      </c>
      <c r="O248" s="234">
        <v>5</v>
      </c>
      <c r="P248" s="199">
        <f>TB_Parts_Lists[[#This Row],[Quantity Initial]]*TB_Parts_Lists[[#This Row],[Unit Price AED]]</f>
        <v>250</v>
      </c>
      <c r="Q248" s="199">
        <f>TB_Parts_Lists[[#This Row],[Quantity Total]]*TB_Parts_Lists[[#This Row],[Unit Price AED]]</f>
        <v>250</v>
      </c>
      <c r="S248" s="199" t="s">
        <v>122</v>
      </c>
      <c r="T248" s="199" t="s">
        <v>277</v>
      </c>
      <c r="U248" s="199" t="s">
        <v>276</v>
      </c>
    </row>
    <row r="249" spans="1:21" s="199" customFormat="1" x14ac:dyDescent="0.25">
      <c r="A249" s="192" t="s">
        <v>6724</v>
      </c>
      <c r="B249" s="203" t="s">
        <v>3330</v>
      </c>
      <c r="C249" s="188" t="s">
        <v>6679</v>
      </c>
      <c r="D249" s="188" t="s">
        <v>8724</v>
      </c>
      <c r="E249" s="188" t="s">
        <v>4915</v>
      </c>
      <c r="F249" s="189" t="s">
        <v>3240</v>
      </c>
      <c r="G249" s="188" t="s">
        <v>6434</v>
      </c>
      <c r="H249" s="199" t="s">
        <v>72</v>
      </c>
      <c r="I249" s="199">
        <v>1</v>
      </c>
      <c r="J249" s="199">
        <v>1</v>
      </c>
      <c r="K249" s="199">
        <v>1</v>
      </c>
      <c r="L249" s="199">
        <v>50</v>
      </c>
      <c r="M249" s="202">
        <f>TB_Parts_Lists[[#This Row],[Quantity Initial]]+ SUMIF(TB_Transactions[Part number],TB_Parts_Lists[[#This Row],[Part Number]],TB_Transactions[Quantity])</f>
        <v>50</v>
      </c>
      <c r="N249" s="200" t="s">
        <v>4593</v>
      </c>
      <c r="O249" s="234">
        <v>5</v>
      </c>
      <c r="P249" s="199">
        <f>TB_Parts_Lists[[#This Row],[Quantity Initial]]*TB_Parts_Lists[[#This Row],[Unit Price AED]]</f>
        <v>250</v>
      </c>
      <c r="Q249" s="199">
        <f>TB_Parts_Lists[[#This Row],[Quantity Total]]*TB_Parts_Lists[[#This Row],[Unit Price AED]]</f>
        <v>250</v>
      </c>
      <c r="S249" s="199" t="s">
        <v>122</v>
      </c>
      <c r="T249" s="199" t="s">
        <v>8680</v>
      </c>
      <c r="U249" s="199" t="s">
        <v>324</v>
      </c>
    </row>
    <row r="250" spans="1:21" s="199" customFormat="1" x14ac:dyDescent="0.25">
      <c r="A250" s="192" t="s">
        <v>6725</v>
      </c>
      <c r="B250" s="203" t="s">
        <v>3330</v>
      </c>
      <c r="C250" s="188" t="s">
        <v>6679</v>
      </c>
      <c r="D250" s="188" t="s">
        <v>8724</v>
      </c>
      <c r="E250" s="188" t="s">
        <v>4916</v>
      </c>
      <c r="F250" s="189" t="s">
        <v>3241</v>
      </c>
      <c r="G250" s="188" t="s">
        <v>6434</v>
      </c>
      <c r="H250" s="199" t="s">
        <v>72</v>
      </c>
      <c r="I250" s="199">
        <v>1</v>
      </c>
      <c r="J250" s="199">
        <v>1</v>
      </c>
      <c r="K250" s="199">
        <v>1</v>
      </c>
      <c r="L250" s="199">
        <v>50</v>
      </c>
      <c r="M250" s="202">
        <f>TB_Parts_Lists[[#This Row],[Quantity Initial]]+ SUMIF(TB_Transactions[Part number],TB_Parts_Lists[[#This Row],[Part Number]],TB_Transactions[Quantity])</f>
        <v>50</v>
      </c>
      <c r="N250" s="200" t="s">
        <v>4593</v>
      </c>
      <c r="O250" s="234">
        <v>5</v>
      </c>
      <c r="P250" s="199">
        <f>TB_Parts_Lists[[#This Row],[Quantity Initial]]*TB_Parts_Lists[[#This Row],[Unit Price AED]]</f>
        <v>250</v>
      </c>
      <c r="Q250" s="199">
        <f>TB_Parts_Lists[[#This Row],[Quantity Total]]*TB_Parts_Lists[[#This Row],[Unit Price AED]]</f>
        <v>250</v>
      </c>
      <c r="S250" s="199" t="s">
        <v>122</v>
      </c>
      <c r="T250" s="199" t="s">
        <v>8680</v>
      </c>
      <c r="U250" s="199" t="s">
        <v>324</v>
      </c>
    </row>
    <row r="251" spans="1:21" s="199" customFormat="1" x14ac:dyDescent="0.25">
      <c r="A251" s="192" t="s">
        <v>6726</v>
      </c>
      <c r="B251" s="203" t="s">
        <v>3330</v>
      </c>
      <c r="C251" s="188" t="s">
        <v>3338</v>
      </c>
      <c r="D251" s="188" t="s">
        <v>8724</v>
      </c>
      <c r="E251" s="188" t="s">
        <v>4917</v>
      </c>
      <c r="F251" s="189" t="s">
        <v>3242</v>
      </c>
      <c r="G251" s="188" t="s">
        <v>6434</v>
      </c>
      <c r="H251" s="199" t="s">
        <v>123</v>
      </c>
      <c r="I251" s="199">
        <v>1</v>
      </c>
      <c r="J251" s="199">
        <v>1</v>
      </c>
      <c r="K251" s="199">
        <v>1</v>
      </c>
      <c r="L251" s="199">
        <v>50</v>
      </c>
      <c r="M251" s="202">
        <f>TB_Parts_Lists[[#This Row],[Quantity Initial]]+ SUMIF(TB_Transactions[Part number],TB_Parts_Lists[[#This Row],[Part Number]],TB_Transactions[Quantity])</f>
        <v>50</v>
      </c>
      <c r="N251" s="200" t="s">
        <v>4593</v>
      </c>
      <c r="O251" s="234">
        <v>5</v>
      </c>
      <c r="P251" s="199">
        <f>TB_Parts_Lists[[#This Row],[Quantity Initial]]*TB_Parts_Lists[[#This Row],[Unit Price AED]]</f>
        <v>250</v>
      </c>
      <c r="Q251" s="199">
        <f>TB_Parts_Lists[[#This Row],[Quantity Total]]*TB_Parts_Lists[[#This Row],[Unit Price AED]]</f>
        <v>250</v>
      </c>
      <c r="S251" s="199" t="s">
        <v>122</v>
      </c>
      <c r="T251" s="199" t="s">
        <v>8680</v>
      </c>
      <c r="U251" s="199" t="s">
        <v>324</v>
      </c>
    </row>
    <row r="252" spans="1:21" s="199" customFormat="1" x14ac:dyDescent="0.25">
      <c r="A252" s="192" t="s">
        <v>6727</v>
      </c>
      <c r="B252" s="203" t="s">
        <v>3338</v>
      </c>
      <c r="C252" s="199" t="s">
        <v>6708</v>
      </c>
      <c r="D252" s="199" t="s">
        <v>8723</v>
      </c>
      <c r="E252" s="188" t="s">
        <v>3271</v>
      </c>
      <c r="F252" s="189" t="s">
        <v>3272</v>
      </c>
      <c r="G252" s="199" t="s">
        <v>8253</v>
      </c>
      <c r="H252" s="199" t="s">
        <v>72</v>
      </c>
      <c r="I252" s="199">
        <v>1</v>
      </c>
      <c r="J252" s="199">
        <v>1</v>
      </c>
      <c r="K252" s="199">
        <v>1</v>
      </c>
      <c r="L252" s="199">
        <v>50</v>
      </c>
      <c r="M252" s="202">
        <f>TB_Parts_Lists[[#This Row],[Quantity Initial]]+ SUMIF(TB_Transactions[Part number],TB_Parts_Lists[[#This Row],[Part Number]],TB_Transactions[Quantity])</f>
        <v>50</v>
      </c>
      <c r="N252" s="200" t="s">
        <v>4593</v>
      </c>
      <c r="O252" s="234">
        <v>5</v>
      </c>
      <c r="P252" s="199">
        <f>TB_Parts_Lists[[#This Row],[Quantity Initial]]*TB_Parts_Lists[[#This Row],[Unit Price AED]]</f>
        <v>250</v>
      </c>
      <c r="Q252" s="199">
        <f>TB_Parts_Lists[[#This Row],[Quantity Total]]*TB_Parts_Lists[[#This Row],[Unit Price AED]]</f>
        <v>250</v>
      </c>
      <c r="S252" s="199" t="s">
        <v>8675</v>
      </c>
      <c r="T252" s="199" t="s">
        <v>8675</v>
      </c>
      <c r="U252" s="199" t="s">
        <v>8675</v>
      </c>
    </row>
    <row r="253" spans="1:21" s="199" customFormat="1" x14ac:dyDescent="0.25">
      <c r="A253" s="192" t="s">
        <v>6728</v>
      </c>
      <c r="B253" s="203" t="s">
        <v>3332</v>
      </c>
      <c r="C253" s="199" t="s">
        <v>3358</v>
      </c>
      <c r="D253" s="199" t="s">
        <v>8732</v>
      </c>
      <c r="E253" s="188" t="s">
        <v>4918</v>
      </c>
      <c r="F253" s="189" t="s">
        <v>3208</v>
      </c>
      <c r="G253" s="199" t="s">
        <v>8253</v>
      </c>
      <c r="H253" s="199" t="s">
        <v>72</v>
      </c>
      <c r="I253" s="199">
        <v>1</v>
      </c>
      <c r="J253" s="199">
        <v>1</v>
      </c>
      <c r="K253" s="199">
        <v>1</v>
      </c>
      <c r="L253" s="199">
        <v>50</v>
      </c>
      <c r="M253" s="202">
        <f>TB_Parts_Lists[[#This Row],[Quantity Initial]]+ SUMIF(TB_Transactions[Part number],TB_Parts_Lists[[#This Row],[Part Number]],TB_Transactions[Quantity])</f>
        <v>50</v>
      </c>
      <c r="N253" s="200" t="s">
        <v>4593</v>
      </c>
      <c r="O253" s="234">
        <v>5</v>
      </c>
      <c r="P253" s="199">
        <f>TB_Parts_Lists[[#This Row],[Quantity Initial]]*TB_Parts_Lists[[#This Row],[Unit Price AED]]</f>
        <v>250</v>
      </c>
      <c r="Q253" s="199">
        <f>TB_Parts_Lists[[#This Row],[Quantity Total]]*TB_Parts_Lists[[#This Row],[Unit Price AED]]</f>
        <v>250</v>
      </c>
      <c r="S253" s="199" t="s">
        <v>118</v>
      </c>
      <c r="T253" s="199" t="s">
        <v>1644</v>
      </c>
      <c r="U253" s="199" t="s">
        <v>341</v>
      </c>
    </row>
    <row r="254" spans="1:21" s="199" customFormat="1" x14ac:dyDescent="0.25">
      <c r="A254" s="192" t="s">
        <v>6729</v>
      </c>
      <c r="B254" s="203" t="s">
        <v>3330</v>
      </c>
      <c r="C254" s="188" t="s">
        <v>3338</v>
      </c>
      <c r="D254" s="199" t="s">
        <v>8723</v>
      </c>
      <c r="E254" s="188" t="s">
        <v>4919</v>
      </c>
      <c r="F254" s="189" t="s">
        <v>3205</v>
      </c>
      <c r="G254" s="199" t="s">
        <v>8253</v>
      </c>
      <c r="H254" s="199" t="s">
        <v>52</v>
      </c>
      <c r="I254" s="199">
        <v>1</v>
      </c>
      <c r="J254" s="199">
        <v>1</v>
      </c>
      <c r="K254" s="199">
        <v>1</v>
      </c>
      <c r="L254" s="199">
        <v>50</v>
      </c>
      <c r="M254" s="202">
        <f>TB_Parts_Lists[[#This Row],[Quantity Initial]]+ SUMIF(TB_Transactions[Part number],TB_Parts_Lists[[#This Row],[Part Number]],TB_Transactions[Quantity])</f>
        <v>50</v>
      </c>
      <c r="N254" s="200" t="s">
        <v>4593</v>
      </c>
      <c r="O254" s="234">
        <v>5</v>
      </c>
      <c r="P254" s="199">
        <f>TB_Parts_Lists[[#This Row],[Quantity Initial]]*TB_Parts_Lists[[#This Row],[Unit Price AED]]</f>
        <v>250</v>
      </c>
      <c r="Q254" s="199">
        <f>TB_Parts_Lists[[#This Row],[Quantity Total]]*TB_Parts_Lists[[#This Row],[Unit Price AED]]</f>
        <v>250</v>
      </c>
      <c r="S254" s="199" t="s">
        <v>8675</v>
      </c>
      <c r="T254" s="199" t="s">
        <v>8675</v>
      </c>
      <c r="U254" s="199" t="s">
        <v>8675</v>
      </c>
    </row>
    <row r="255" spans="1:21" s="199" customFormat="1" x14ac:dyDescent="0.25">
      <c r="A255" s="192" t="s">
        <v>6730</v>
      </c>
      <c r="B255" s="203" t="s">
        <v>3330</v>
      </c>
      <c r="C255" s="188" t="s">
        <v>3009</v>
      </c>
      <c r="D255" s="199" t="s">
        <v>8723</v>
      </c>
      <c r="E255" s="188" t="s">
        <v>4920</v>
      </c>
      <c r="F255" s="189" t="s">
        <v>3259</v>
      </c>
      <c r="G255" s="199" t="s">
        <v>8253</v>
      </c>
      <c r="H255" s="199" t="s">
        <v>52</v>
      </c>
      <c r="I255" s="199">
        <v>1</v>
      </c>
      <c r="J255" s="199">
        <v>1</v>
      </c>
      <c r="K255" s="199">
        <v>1</v>
      </c>
      <c r="L255" s="199">
        <v>50</v>
      </c>
      <c r="M255" s="202">
        <f>TB_Parts_Lists[[#This Row],[Quantity Initial]]+ SUMIF(TB_Transactions[Part number],TB_Parts_Lists[[#This Row],[Part Number]],TB_Transactions[Quantity])</f>
        <v>50</v>
      </c>
      <c r="N255" s="200" t="s">
        <v>4593</v>
      </c>
      <c r="O255" s="234">
        <v>5</v>
      </c>
      <c r="P255" s="199">
        <f>TB_Parts_Lists[[#This Row],[Quantity Initial]]*TB_Parts_Lists[[#This Row],[Unit Price AED]]</f>
        <v>250</v>
      </c>
      <c r="Q255" s="199">
        <f>TB_Parts_Lists[[#This Row],[Quantity Total]]*TB_Parts_Lists[[#This Row],[Unit Price AED]]</f>
        <v>250</v>
      </c>
      <c r="S255" s="199" t="s">
        <v>8675</v>
      </c>
      <c r="T255" s="199" t="s">
        <v>8675</v>
      </c>
      <c r="U255" s="199" t="s">
        <v>8675</v>
      </c>
    </row>
    <row r="256" spans="1:21" s="199" customFormat="1" x14ac:dyDescent="0.25">
      <c r="A256" s="192" t="s">
        <v>6731</v>
      </c>
      <c r="B256" s="203" t="s">
        <v>3002</v>
      </c>
      <c r="C256" s="188" t="s">
        <v>3007</v>
      </c>
      <c r="D256" s="199" t="s">
        <v>8723</v>
      </c>
      <c r="E256" s="188" t="s">
        <v>4921</v>
      </c>
      <c r="F256" s="189" t="s">
        <v>3257</v>
      </c>
      <c r="G256" s="199" t="s">
        <v>8253</v>
      </c>
      <c r="H256" s="199" t="s">
        <v>52</v>
      </c>
      <c r="I256" s="199">
        <v>1</v>
      </c>
      <c r="J256" s="199">
        <v>1</v>
      </c>
      <c r="K256" s="199">
        <v>1</v>
      </c>
      <c r="L256" s="199">
        <v>50</v>
      </c>
      <c r="M256" s="202">
        <f>TB_Parts_Lists[[#This Row],[Quantity Initial]]+ SUMIF(TB_Transactions[Part number],TB_Parts_Lists[[#This Row],[Part Number]],TB_Transactions[Quantity])</f>
        <v>50</v>
      </c>
      <c r="N256" s="200" t="s">
        <v>4593</v>
      </c>
      <c r="O256" s="234">
        <v>5</v>
      </c>
      <c r="P256" s="199">
        <f>TB_Parts_Lists[[#This Row],[Quantity Initial]]*TB_Parts_Lists[[#This Row],[Unit Price AED]]</f>
        <v>250</v>
      </c>
      <c r="Q256" s="199">
        <f>TB_Parts_Lists[[#This Row],[Quantity Total]]*TB_Parts_Lists[[#This Row],[Unit Price AED]]</f>
        <v>250</v>
      </c>
      <c r="S256" s="199" t="s">
        <v>8675</v>
      </c>
      <c r="T256" s="199" t="s">
        <v>8675</v>
      </c>
      <c r="U256" s="199" t="s">
        <v>8675</v>
      </c>
    </row>
    <row r="257" spans="1:21" s="199" customFormat="1" x14ac:dyDescent="0.25">
      <c r="A257" s="192" t="s">
        <v>6732</v>
      </c>
      <c r="B257" s="203" t="s">
        <v>3330</v>
      </c>
      <c r="C257" s="188" t="s">
        <v>3009</v>
      </c>
      <c r="D257" s="199" t="s">
        <v>8723</v>
      </c>
      <c r="E257" s="188" t="s">
        <v>4922</v>
      </c>
      <c r="F257" s="189" t="s">
        <v>3258</v>
      </c>
      <c r="G257" s="199" t="s">
        <v>8253</v>
      </c>
      <c r="H257" s="199" t="s">
        <v>52</v>
      </c>
      <c r="I257" s="199">
        <v>1</v>
      </c>
      <c r="J257" s="199">
        <v>1</v>
      </c>
      <c r="K257" s="199">
        <v>1</v>
      </c>
      <c r="L257" s="199">
        <v>50</v>
      </c>
      <c r="M257" s="202">
        <f>TB_Parts_Lists[[#This Row],[Quantity Initial]]+ SUMIF(TB_Transactions[Part number],TB_Parts_Lists[[#This Row],[Part Number]],TB_Transactions[Quantity])</f>
        <v>50</v>
      </c>
      <c r="N257" s="200" t="s">
        <v>4593</v>
      </c>
      <c r="O257" s="234">
        <v>5</v>
      </c>
      <c r="P257" s="199">
        <f>TB_Parts_Lists[[#This Row],[Quantity Initial]]*TB_Parts_Lists[[#This Row],[Unit Price AED]]</f>
        <v>250</v>
      </c>
      <c r="Q257" s="199">
        <f>TB_Parts_Lists[[#This Row],[Quantity Total]]*TB_Parts_Lists[[#This Row],[Unit Price AED]]</f>
        <v>250</v>
      </c>
      <c r="S257" s="199" t="s">
        <v>8675</v>
      </c>
      <c r="T257" s="199" t="s">
        <v>8675</v>
      </c>
      <c r="U257" s="199" t="s">
        <v>8675</v>
      </c>
    </row>
    <row r="258" spans="1:21" s="199" customFormat="1" x14ac:dyDescent="0.25">
      <c r="A258" s="192" t="s">
        <v>6733</v>
      </c>
      <c r="B258" s="203" t="s">
        <v>3002</v>
      </c>
      <c r="C258" s="188" t="s">
        <v>3007</v>
      </c>
      <c r="D258" s="199" t="s">
        <v>8723</v>
      </c>
      <c r="E258" s="188" t="s">
        <v>3007</v>
      </c>
      <c r="F258" s="189" t="s">
        <v>3215</v>
      </c>
      <c r="G258" s="199" t="s">
        <v>8253</v>
      </c>
      <c r="H258" s="199" t="s">
        <v>52</v>
      </c>
      <c r="I258" s="199">
        <v>1</v>
      </c>
      <c r="J258" s="199">
        <v>1</v>
      </c>
      <c r="K258" s="199">
        <v>1</v>
      </c>
      <c r="L258" s="199">
        <v>50</v>
      </c>
      <c r="M258" s="202">
        <f>TB_Parts_Lists[[#This Row],[Quantity Initial]]+ SUMIF(TB_Transactions[Part number],TB_Parts_Lists[[#This Row],[Part Number]],TB_Transactions[Quantity])</f>
        <v>50</v>
      </c>
      <c r="N258" s="200" t="s">
        <v>4593</v>
      </c>
      <c r="O258" s="234">
        <v>5</v>
      </c>
      <c r="P258" s="199">
        <f>TB_Parts_Lists[[#This Row],[Quantity Initial]]*TB_Parts_Lists[[#This Row],[Unit Price AED]]</f>
        <v>250</v>
      </c>
      <c r="Q258" s="199">
        <f>TB_Parts_Lists[[#This Row],[Quantity Total]]*TB_Parts_Lists[[#This Row],[Unit Price AED]]</f>
        <v>250</v>
      </c>
      <c r="S258" s="199" t="s">
        <v>8675</v>
      </c>
      <c r="T258" s="199" t="s">
        <v>8675</v>
      </c>
      <c r="U258" s="199" t="s">
        <v>8675</v>
      </c>
    </row>
    <row r="259" spans="1:21" s="199" customFormat="1" x14ac:dyDescent="0.25">
      <c r="A259" s="192" t="s">
        <v>6734</v>
      </c>
      <c r="B259" s="203" t="s">
        <v>3002</v>
      </c>
      <c r="C259" s="188" t="s">
        <v>3007</v>
      </c>
      <c r="D259" s="199" t="s">
        <v>8723</v>
      </c>
      <c r="E259" s="188" t="s">
        <v>4923</v>
      </c>
      <c r="F259" s="189" t="s">
        <v>3256</v>
      </c>
      <c r="G259" s="199" t="s">
        <v>8253</v>
      </c>
      <c r="H259" s="199" t="s">
        <v>52</v>
      </c>
      <c r="I259" s="199">
        <v>1</v>
      </c>
      <c r="J259" s="199">
        <v>1</v>
      </c>
      <c r="K259" s="199">
        <v>1</v>
      </c>
      <c r="L259" s="199">
        <v>50</v>
      </c>
      <c r="M259" s="202">
        <f>TB_Parts_Lists[[#This Row],[Quantity Initial]]+ SUMIF(TB_Transactions[Part number],TB_Parts_Lists[[#This Row],[Part Number]],TB_Transactions[Quantity])</f>
        <v>50</v>
      </c>
      <c r="N259" s="200" t="s">
        <v>4593</v>
      </c>
      <c r="O259" s="234">
        <v>5</v>
      </c>
      <c r="P259" s="199">
        <f>TB_Parts_Lists[[#This Row],[Quantity Initial]]*TB_Parts_Lists[[#This Row],[Unit Price AED]]</f>
        <v>250</v>
      </c>
      <c r="Q259" s="199">
        <f>TB_Parts_Lists[[#This Row],[Quantity Total]]*TB_Parts_Lists[[#This Row],[Unit Price AED]]</f>
        <v>250</v>
      </c>
      <c r="S259" s="199" t="s">
        <v>8675</v>
      </c>
      <c r="T259" s="199" t="s">
        <v>8675</v>
      </c>
      <c r="U259" s="199" t="s">
        <v>8675</v>
      </c>
    </row>
    <row r="260" spans="1:21" s="199" customFormat="1" x14ac:dyDescent="0.25">
      <c r="A260" s="192" t="s">
        <v>6736</v>
      </c>
      <c r="B260" s="203" t="s">
        <v>3330</v>
      </c>
      <c r="C260" s="199" t="s">
        <v>6735</v>
      </c>
      <c r="D260" s="199" t="s">
        <v>8723</v>
      </c>
      <c r="E260" s="188" t="s">
        <v>1962</v>
      </c>
      <c r="F260" s="189" t="s">
        <v>3265</v>
      </c>
      <c r="G260" s="199" t="s">
        <v>8253</v>
      </c>
      <c r="H260" s="199" t="s">
        <v>72</v>
      </c>
      <c r="I260" s="199">
        <v>1</v>
      </c>
      <c r="J260" s="199">
        <v>1</v>
      </c>
      <c r="K260" s="199">
        <v>1</v>
      </c>
      <c r="L260" s="199">
        <v>50</v>
      </c>
      <c r="M260" s="202">
        <f>TB_Parts_Lists[[#This Row],[Quantity Initial]]+ SUMIF(TB_Transactions[Part number],TB_Parts_Lists[[#This Row],[Part Number]],TB_Transactions[Quantity])</f>
        <v>50</v>
      </c>
      <c r="N260" s="200" t="s">
        <v>4593</v>
      </c>
      <c r="O260" s="234">
        <v>5</v>
      </c>
      <c r="P260" s="199">
        <f>TB_Parts_Lists[[#This Row],[Quantity Initial]]*TB_Parts_Lists[[#This Row],[Unit Price AED]]</f>
        <v>250</v>
      </c>
      <c r="Q260" s="199">
        <f>TB_Parts_Lists[[#This Row],[Quantity Total]]*TB_Parts_Lists[[#This Row],[Unit Price AED]]</f>
        <v>250</v>
      </c>
      <c r="S260" s="199" t="s">
        <v>8675</v>
      </c>
      <c r="T260" s="199" t="s">
        <v>8675</v>
      </c>
      <c r="U260" s="199" t="s">
        <v>8675</v>
      </c>
    </row>
    <row r="261" spans="1:21" s="199" customFormat="1" x14ac:dyDescent="0.25">
      <c r="A261" s="192" t="s">
        <v>6737</v>
      </c>
      <c r="B261" s="203" t="s">
        <v>3330</v>
      </c>
      <c r="C261" s="188" t="s">
        <v>3338</v>
      </c>
      <c r="D261" s="199" t="s">
        <v>8723</v>
      </c>
      <c r="E261" s="188" t="s">
        <v>3275</v>
      </c>
      <c r="F261" s="189" t="s">
        <v>3276</v>
      </c>
      <c r="G261" s="199" t="s">
        <v>8253</v>
      </c>
      <c r="H261" s="199" t="s">
        <v>52</v>
      </c>
      <c r="I261" s="199">
        <v>1</v>
      </c>
      <c r="J261" s="199">
        <v>1</v>
      </c>
      <c r="K261" s="199">
        <v>1</v>
      </c>
      <c r="L261" s="199">
        <v>50</v>
      </c>
      <c r="M261" s="202">
        <f>TB_Parts_Lists[[#This Row],[Quantity Initial]]+ SUMIF(TB_Transactions[Part number],TB_Parts_Lists[[#This Row],[Part Number]],TB_Transactions[Quantity])</f>
        <v>50</v>
      </c>
      <c r="N261" s="200" t="s">
        <v>4593</v>
      </c>
      <c r="O261" s="234">
        <v>5</v>
      </c>
      <c r="P261" s="199">
        <f>TB_Parts_Lists[[#This Row],[Quantity Initial]]*TB_Parts_Lists[[#This Row],[Unit Price AED]]</f>
        <v>250</v>
      </c>
      <c r="Q261" s="199">
        <f>TB_Parts_Lists[[#This Row],[Quantity Total]]*TB_Parts_Lists[[#This Row],[Unit Price AED]]</f>
        <v>250</v>
      </c>
      <c r="S261" s="199" t="s">
        <v>8675</v>
      </c>
      <c r="T261" s="199" t="s">
        <v>8675</v>
      </c>
      <c r="U261" s="199" t="s">
        <v>8675</v>
      </c>
    </row>
    <row r="262" spans="1:21" s="199" customFormat="1" x14ac:dyDescent="0.25">
      <c r="A262" s="192" t="s">
        <v>6738</v>
      </c>
      <c r="B262" s="203" t="s">
        <v>3330</v>
      </c>
      <c r="C262" s="188" t="s">
        <v>3338</v>
      </c>
      <c r="D262" s="188" t="s">
        <v>8724</v>
      </c>
      <c r="E262" s="188" t="s">
        <v>4924</v>
      </c>
      <c r="F262" s="189" t="s">
        <v>3253</v>
      </c>
      <c r="G262" s="199" t="s">
        <v>8253</v>
      </c>
      <c r="H262" s="199" t="s">
        <v>8643</v>
      </c>
      <c r="I262" s="199">
        <v>1</v>
      </c>
      <c r="J262" s="199">
        <v>1</v>
      </c>
      <c r="K262" s="199">
        <v>1</v>
      </c>
      <c r="L262" s="199">
        <v>50</v>
      </c>
      <c r="M262" s="202">
        <f>TB_Parts_Lists[[#This Row],[Quantity Initial]]+ SUMIF(TB_Transactions[Part number],TB_Parts_Lists[[#This Row],[Part Number]],TB_Transactions[Quantity])</f>
        <v>50</v>
      </c>
      <c r="N262" s="200" t="s">
        <v>4593</v>
      </c>
      <c r="O262" s="234">
        <v>5</v>
      </c>
      <c r="P262" s="199">
        <f>TB_Parts_Lists[[#This Row],[Quantity Initial]]*TB_Parts_Lists[[#This Row],[Unit Price AED]]</f>
        <v>250</v>
      </c>
      <c r="Q262" s="199">
        <f>TB_Parts_Lists[[#This Row],[Quantity Total]]*TB_Parts_Lists[[#This Row],[Unit Price AED]]</f>
        <v>250</v>
      </c>
      <c r="S262" s="199" t="s">
        <v>8675</v>
      </c>
      <c r="T262" s="199" t="s">
        <v>8675</v>
      </c>
      <c r="U262" s="199" t="s">
        <v>8675</v>
      </c>
    </row>
    <row r="263" spans="1:21" s="199" customFormat="1" x14ac:dyDescent="0.25">
      <c r="A263" s="192" t="s">
        <v>6739</v>
      </c>
      <c r="B263" s="203" t="s">
        <v>3330</v>
      </c>
      <c r="C263" s="188" t="s">
        <v>3003</v>
      </c>
      <c r="D263" s="199" t="s">
        <v>8723</v>
      </c>
      <c r="E263" s="188" t="s">
        <v>3003</v>
      </c>
      <c r="F263" s="189" t="s">
        <v>3305</v>
      </c>
      <c r="G263" s="199" t="s">
        <v>8253</v>
      </c>
      <c r="H263" s="199" t="s">
        <v>52</v>
      </c>
      <c r="I263" s="199">
        <v>1</v>
      </c>
      <c r="J263" s="199">
        <v>1</v>
      </c>
      <c r="K263" s="199">
        <v>1</v>
      </c>
      <c r="L263" s="199">
        <v>50</v>
      </c>
      <c r="M263" s="202">
        <f>TB_Parts_Lists[[#This Row],[Quantity Initial]]+ SUMIF(TB_Transactions[Part number],TB_Parts_Lists[[#This Row],[Part Number]],TB_Transactions[Quantity])</f>
        <v>50</v>
      </c>
      <c r="N263" s="200" t="s">
        <v>4593</v>
      </c>
      <c r="O263" s="234">
        <v>5</v>
      </c>
      <c r="P263" s="199">
        <f>TB_Parts_Lists[[#This Row],[Quantity Initial]]*TB_Parts_Lists[[#This Row],[Unit Price AED]]</f>
        <v>250</v>
      </c>
      <c r="Q263" s="199">
        <f>TB_Parts_Lists[[#This Row],[Quantity Total]]*TB_Parts_Lists[[#This Row],[Unit Price AED]]</f>
        <v>250</v>
      </c>
      <c r="S263" s="199" t="s">
        <v>8675</v>
      </c>
      <c r="T263" s="199" t="s">
        <v>8675</v>
      </c>
      <c r="U263" s="199" t="s">
        <v>8675</v>
      </c>
    </row>
    <row r="264" spans="1:21" s="199" customFormat="1" x14ac:dyDescent="0.25">
      <c r="A264" s="192" t="s">
        <v>6740</v>
      </c>
      <c r="B264" s="203" t="s">
        <v>3330</v>
      </c>
      <c r="C264" s="199" t="s">
        <v>1836</v>
      </c>
      <c r="D264" s="188" t="s">
        <v>8724</v>
      </c>
      <c r="E264" s="188" t="s">
        <v>3369</v>
      </c>
      <c r="F264" s="189" t="s">
        <v>3211</v>
      </c>
      <c r="G264" s="199" t="s">
        <v>8253</v>
      </c>
      <c r="H264" s="199" t="s">
        <v>52</v>
      </c>
      <c r="I264" s="199">
        <v>1</v>
      </c>
      <c r="J264" s="199">
        <v>1</v>
      </c>
      <c r="K264" s="199">
        <v>1</v>
      </c>
      <c r="L264" s="199">
        <v>50</v>
      </c>
      <c r="M264" s="202">
        <f>TB_Parts_Lists[[#This Row],[Quantity Initial]]+ SUMIF(TB_Transactions[Part number],TB_Parts_Lists[[#This Row],[Part Number]],TB_Transactions[Quantity])</f>
        <v>50</v>
      </c>
      <c r="N264" s="200" t="s">
        <v>4593</v>
      </c>
      <c r="O264" s="234">
        <v>5</v>
      </c>
      <c r="P264" s="199">
        <f>TB_Parts_Lists[[#This Row],[Quantity Initial]]*TB_Parts_Lists[[#This Row],[Unit Price AED]]</f>
        <v>250</v>
      </c>
      <c r="Q264" s="199">
        <f>TB_Parts_Lists[[#This Row],[Quantity Total]]*TB_Parts_Lists[[#This Row],[Unit Price AED]]</f>
        <v>250</v>
      </c>
      <c r="S264" s="199" t="s">
        <v>122</v>
      </c>
      <c r="T264" s="199" t="s">
        <v>1835</v>
      </c>
      <c r="U264" s="199" t="s">
        <v>1834</v>
      </c>
    </row>
    <row r="265" spans="1:21" s="199" customFormat="1" x14ac:dyDescent="0.25">
      <c r="A265" s="192" t="s">
        <v>6742</v>
      </c>
      <c r="B265" s="203" t="s">
        <v>3338</v>
      </c>
      <c r="C265" s="199" t="s">
        <v>6741</v>
      </c>
      <c r="D265" s="199" t="s">
        <v>8724</v>
      </c>
      <c r="E265" s="188" t="s">
        <v>4925</v>
      </c>
      <c r="F265" s="189" t="s">
        <v>3248</v>
      </c>
      <c r="G265" s="199" t="s">
        <v>8253</v>
      </c>
      <c r="H265" s="199" t="s">
        <v>8643</v>
      </c>
      <c r="I265" s="199">
        <v>1</v>
      </c>
      <c r="J265" s="199">
        <v>1</v>
      </c>
      <c r="K265" s="199">
        <v>1</v>
      </c>
      <c r="L265" s="199">
        <v>50</v>
      </c>
      <c r="M265" s="202">
        <f>TB_Parts_Lists[[#This Row],[Quantity Initial]]+ SUMIF(TB_Transactions[Part number],TB_Parts_Lists[[#This Row],[Part Number]],TB_Transactions[Quantity])</f>
        <v>50</v>
      </c>
      <c r="N265" s="200" t="s">
        <v>4593</v>
      </c>
      <c r="O265" s="234">
        <v>5</v>
      </c>
      <c r="P265" s="199">
        <f>TB_Parts_Lists[[#This Row],[Quantity Initial]]*TB_Parts_Lists[[#This Row],[Unit Price AED]]</f>
        <v>250</v>
      </c>
      <c r="Q265" s="199">
        <f>TB_Parts_Lists[[#This Row],[Quantity Total]]*TB_Parts_Lists[[#This Row],[Unit Price AED]]</f>
        <v>250</v>
      </c>
      <c r="S265" s="199" t="s">
        <v>118</v>
      </c>
      <c r="T265" s="199" t="s">
        <v>8675</v>
      </c>
      <c r="U265" s="199" t="s">
        <v>8675</v>
      </c>
    </row>
    <row r="266" spans="1:21" s="199" customFormat="1" x14ac:dyDescent="0.25">
      <c r="A266" s="192" t="s">
        <v>6743</v>
      </c>
      <c r="B266" s="203" t="s">
        <v>3330</v>
      </c>
      <c r="C266" s="188" t="s">
        <v>6704</v>
      </c>
      <c r="D266" s="199" t="s">
        <v>8724</v>
      </c>
      <c r="E266" s="188" t="s">
        <v>4926</v>
      </c>
      <c r="F266" s="189" t="s">
        <v>3249</v>
      </c>
      <c r="G266" s="199" t="s">
        <v>8253</v>
      </c>
      <c r="H266" s="199" t="s">
        <v>8643</v>
      </c>
      <c r="I266" s="199">
        <v>1</v>
      </c>
      <c r="J266" s="199">
        <v>1</v>
      </c>
      <c r="K266" s="199">
        <v>1</v>
      </c>
      <c r="L266" s="199">
        <v>50</v>
      </c>
      <c r="M266" s="202">
        <f>TB_Parts_Lists[[#This Row],[Quantity Initial]]+ SUMIF(TB_Transactions[Part number],TB_Parts_Lists[[#This Row],[Part Number]],TB_Transactions[Quantity])</f>
        <v>50</v>
      </c>
      <c r="N266" s="200" t="s">
        <v>4593</v>
      </c>
      <c r="O266" s="234">
        <v>5</v>
      </c>
      <c r="P266" s="199">
        <f>TB_Parts_Lists[[#This Row],[Quantity Initial]]*TB_Parts_Lists[[#This Row],[Unit Price AED]]</f>
        <v>250</v>
      </c>
      <c r="Q266" s="199">
        <f>TB_Parts_Lists[[#This Row],[Quantity Total]]*TB_Parts_Lists[[#This Row],[Unit Price AED]]</f>
        <v>250</v>
      </c>
      <c r="S266" s="199" t="s">
        <v>118</v>
      </c>
      <c r="T266" s="199" t="s">
        <v>8675</v>
      </c>
      <c r="U266" s="199" t="s">
        <v>8675</v>
      </c>
    </row>
    <row r="267" spans="1:21" s="199" customFormat="1" x14ac:dyDescent="0.25">
      <c r="A267" s="192" t="s">
        <v>6745</v>
      </c>
      <c r="B267" s="203" t="s">
        <v>3330</v>
      </c>
      <c r="C267" s="199" t="s">
        <v>6744</v>
      </c>
      <c r="D267" s="188" t="s">
        <v>8724</v>
      </c>
      <c r="E267" s="188" t="s">
        <v>4927</v>
      </c>
      <c r="F267" s="189" t="s">
        <v>3219</v>
      </c>
      <c r="G267" s="199" t="s">
        <v>8253</v>
      </c>
      <c r="H267" s="199" t="s">
        <v>52</v>
      </c>
      <c r="I267" s="199">
        <v>1</v>
      </c>
      <c r="J267" s="199">
        <v>1</v>
      </c>
      <c r="K267" s="199">
        <v>1</v>
      </c>
      <c r="L267" s="199">
        <v>50</v>
      </c>
      <c r="M267" s="202">
        <f>TB_Parts_Lists[[#This Row],[Quantity Initial]]+ SUMIF(TB_Transactions[Part number],TB_Parts_Lists[[#This Row],[Part Number]],TB_Transactions[Quantity])</f>
        <v>50</v>
      </c>
      <c r="N267" s="200" t="s">
        <v>4593</v>
      </c>
      <c r="O267" s="234">
        <v>5</v>
      </c>
      <c r="P267" s="199">
        <f>TB_Parts_Lists[[#This Row],[Quantity Initial]]*TB_Parts_Lists[[#This Row],[Unit Price AED]]</f>
        <v>250</v>
      </c>
      <c r="Q267" s="199">
        <f>TB_Parts_Lists[[#This Row],[Quantity Total]]*TB_Parts_Lists[[#This Row],[Unit Price AED]]</f>
        <v>250</v>
      </c>
      <c r="S267" s="199" t="s">
        <v>122</v>
      </c>
      <c r="T267" s="199" t="s">
        <v>8675</v>
      </c>
      <c r="U267" s="199" t="s">
        <v>8675</v>
      </c>
    </row>
    <row r="268" spans="1:21" s="199" customFormat="1" x14ac:dyDescent="0.25">
      <c r="A268" s="192" t="s">
        <v>6746</v>
      </c>
      <c r="B268" s="203" t="s">
        <v>3330</v>
      </c>
      <c r="C268" s="188" t="s">
        <v>3009</v>
      </c>
      <c r="D268" s="188" t="s">
        <v>8724</v>
      </c>
      <c r="E268" s="188" t="s">
        <v>4928</v>
      </c>
      <c r="F268" s="189" t="s">
        <v>3220</v>
      </c>
      <c r="G268" s="199" t="s">
        <v>8253</v>
      </c>
      <c r="H268" s="199" t="s">
        <v>48</v>
      </c>
      <c r="I268" s="199">
        <v>1</v>
      </c>
      <c r="J268" s="199">
        <v>1</v>
      </c>
      <c r="K268" s="199">
        <v>1</v>
      </c>
      <c r="L268" s="199">
        <v>50</v>
      </c>
      <c r="M268" s="202">
        <f>TB_Parts_Lists[[#This Row],[Quantity Initial]]+ SUMIF(TB_Transactions[Part number],TB_Parts_Lists[[#This Row],[Part Number]],TB_Transactions[Quantity])</f>
        <v>50</v>
      </c>
      <c r="N268" s="200" t="s">
        <v>4593</v>
      </c>
      <c r="O268" s="234">
        <v>5</v>
      </c>
      <c r="P268" s="199">
        <f>TB_Parts_Lists[[#This Row],[Quantity Initial]]*TB_Parts_Lists[[#This Row],[Unit Price AED]]</f>
        <v>250</v>
      </c>
      <c r="Q268" s="199">
        <f>TB_Parts_Lists[[#This Row],[Quantity Total]]*TB_Parts_Lists[[#This Row],[Unit Price AED]]</f>
        <v>250</v>
      </c>
      <c r="S268" s="199" t="s">
        <v>122</v>
      </c>
      <c r="T268" s="199" t="s">
        <v>8680</v>
      </c>
      <c r="U268" s="199" t="s">
        <v>324</v>
      </c>
    </row>
    <row r="269" spans="1:21" s="199" customFormat="1" x14ac:dyDescent="0.25">
      <c r="A269" s="192" t="s">
        <v>6747</v>
      </c>
      <c r="B269" s="203" t="s">
        <v>3330</v>
      </c>
      <c r="C269" s="199" t="s">
        <v>6672</v>
      </c>
      <c r="D269" s="188" t="s">
        <v>8724</v>
      </c>
      <c r="E269" s="188" t="s">
        <v>4929</v>
      </c>
      <c r="F269" s="189" t="s">
        <v>3221</v>
      </c>
      <c r="G269" s="199" t="s">
        <v>8253</v>
      </c>
      <c r="H269" s="199" t="s">
        <v>72</v>
      </c>
      <c r="I269" s="199">
        <v>1</v>
      </c>
      <c r="J269" s="199">
        <v>1</v>
      </c>
      <c r="K269" s="199">
        <v>1</v>
      </c>
      <c r="L269" s="199">
        <v>50</v>
      </c>
      <c r="M269" s="202">
        <f>TB_Parts_Lists[[#This Row],[Quantity Initial]]+ SUMIF(TB_Transactions[Part number],TB_Parts_Lists[[#This Row],[Part Number]],TB_Transactions[Quantity])</f>
        <v>50</v>
      </c>
      <c r="N269" s="200" t="s">
        <v>4593</v>
      </c>
      <c r="O269" s="234">
        <v>5</v>
      </c>
      <c r="P269" s="199">
        <f>TB_Parts_Lists[[#This Row],[Quantity Initial]]*TB_Parts_Lists[[#This Row],[Unit Price AED]]</f>
        <v>250</v>
      </c>
      <c r="Q269" s="199">
        <f>TB_Parts_Lists[[#This Row],[Quantity Total]]*TB_Parts_Lists[[#This Row],[Unit Price AED]]</f>
        <v>250</v>
      </c>
      <c r="S269" s="199" t="s">
        <v>122</v>
      </c>
      <c r="T269" s="199" t="s">
        <v>8676</v>
      </c>
      <c r="U269" s="199" t="s">
        <v>298</v>
      </c>
    </row>
    <row r="270" spans="1:21" s="199" customFormat="1" x14ac:dyDescent="0.25">
      <c r="A270" s="192" t="s">
        <v>6749</v>
      </c>
      <c r="B270" s="203" t="s">
        <v>3330</v>
      </c>
      <c r="C270" s="188" t="s">
        <v>3338</v>
      </c>
      <c r="D270" s="199" t="s">
        <v>8732</v>
      </c>
      <c r="E270" s="188" t="s">
        <v>3295</v>
      </c>
      <c r="F270" s="189" t="s">
        <v>3296</v>
      </c>
      <c r="G270" s="199" t="s">
        <v>8253</v>
      </c>
      <c r="H270" s="199" t="s">
        <v>8643</v>
      </c>
      <c r="I270" s="199">
        <v>1</v>
      </c>
      <c r="J270" s="199">
        <v>1</v>
      </c>
      <c r="K270" s="199">
        <v>1</v>
      </c>
      <c r="L270" s="199">
        <v>50</v>
      </c>
      <c r="M270" s="202">
        <f>TB_Parts_Lists[[#This Row],[Quantity Initial]]+ SUMIF(TB_Transactions[Part number],TB_Parts_Lists[[#This Row],[Part Number]],TB_Transactions[Quantity])</f>
        <v>50</v>
      </c>
      <c r="N270" s="200" t="s">
        <v>4593</v>
      </c>
      <c r="O270" s="234">
        <v>5</v>
      </c>
      <c r="P270" s="199">
        <f>TB_Parts_Lists[[#This Row],[Quantity Initial]]*TB_Parts_Lists[[#This Row],[Unit Price AED]]</f>
        <v>250</v>
      </c>
      <c r="Q270" s="199">
        <f>TB_Parts_Lists[[#This Row],[Quantity Total]]*TB_Parts_Lists[[#This Row],[Unit Price AED]]</f>
        <v>250</v>
      </c>
      <c r="S270" s="199" t="s">
        <v>118</v>
      </c>
      <c r="T270" s="199" t="s">
        <v>8675</v>
      </c>
      <c r="U270" s="199" t="s">
        <v>8675</v>
      </c>
    </row>
    <row r="271" spans="1:21" s="199" customFormat="1" x14ac:dyDescent="0.25">
      <c r="A271" s="192" t="s">
        <v>6750</v>
      </c>
      <c r="B271" s="203" t="s">
        <v>3330</v>
      </c>
      <c r="C271" s="199" t="s">
        <v>3625</v>
      </c>
      <c r="D271" s="188" t="s">
        <v>8724</v>
      </c>
      <c r="E271" s="188" t="s">
        <v>4930</v>
      </c>
      <c r="F271" s="189" t="s">
        <v>3239</v>
      </c>
      <c r="G271" s="199" t="s">
        <v>8253</v>
      </c>
      <c r="H271" s="199" t="s">
        <v>72</v>
      </c>
      <c r="I271" s="199">
        <v>1</v>
      </c>
      <c r="J271" s="199">
        <v>1</v>
      </c>
      <c r="K271" s="199">
        <v>1</v>
      </c>
      <c r="L271" s="199">
        <v>50</v>
      </c>
      <c r="M271" s="202">
        <f>TB_Parts_Lists[[#This Row],[Quantity Initial]]+ SUMIF(TB_Transactions[Part number],TB_Parts_Lists[[#This Row],[Part Number]],TB_Transactions[Quantity])</f>
        <v>50</v>
      </c>
      <c r="N271" s="200" t="s">
        <v>4593</v>
      </c>
      <c r="O271" s="234">
        <v>5</v>
      </c>
      <c r="P271" s="199">
        <f>TB_Parts_Lists[[#This Row],[Quantity Initial]]*TB_Parts_Lists[[#This Row],[Unit Price AED]]</f>
        <v>250</v>
      </c>
      <c r="Q271" s="199">
        <f>TB_Parts_Lists[[#This Row],[Quantity Total]]*TB_Parts_Lists[[#This Row],[Unit Price AED]]</f>
        <v>250</v>
      </c>
      <c r="S271" s="199" t="s">
        <v>122</v>
      </c>
      <c r="T271" s="199" t="s">
        <v>8680</v>
      </c>
      <c r="U271" s="199" t="s">
        <v>324</v>
      </c>
    </row>
    <row r="272" spans="1:21" s="199" customFormat="1" x14ac:dyDescent="0.25">
      <c r="A272" s="192" t="s">
        <v>6751</v>
      </c>
      <c r="B272" s="201" t="s">
        <v>3337</v>
      </c>
      <c r="C272" s="199" t="s">
        <v>3378</v>
      </c>
      <c r="D272" s="199" t="s">
        <v>8723</v>
      </c>
      <c r="E272" s="188" t="s">
        <v>3283</v>
      </c>
      <c r="F272" s="189" t="s">
        <v>3284</v>
      </c>
      <c r="G272" s="199" t="s">
        <v>8253</v>
      </c>
      <c r="H272" s="199" t="s">
        <v>72</v>
      </c>
      <c r="I272" s="199">
        <v>1</v>
      </c>
      <c r="J272" s="199">
        <v>1</v>
      </c>
      <c r="K272" s="199">
        <v>1</v>
      </c>
      <c r="L272" s="199">
        <v>50</v>
      </c>
      <c r="M272" s="202">
        <f>TB_Parts_Lists[[#This Row],[Quantity Initial]]+ SUMIF(TB_Transactions[Part number],TB_Parts_Lists[[#This Row],[Part Number]],TB_Transactions[Quantity])</f>
        <v>50</v>
      </c>
      <c r="N272" s="200" t="s">
        <v>4593</v>
      </c>
      <c r="O272" s="234">
        <v>5</v>
      </c>
      <c r="P272" s="199">
        <f>TB_Parts_Lists[[#This Row],[Quantity Initial]]*TB_Parts_Lists[[#This Row],[Unit Price AED]]</f>
        <v>250</v>
      </c>
      <c r="Q272" s="199">
        <f>TB_Parts_Lists[[#This Row],[Quantity Total]]*TB_Parts_Lists[[#This Row],[Unit Price AED]]</f>
        <v>250</v>
      </c>
      <c r="S272" s="199" t="s">
        <v>8675</v>
      </c>
      <c r="T272" s="199" t="s">
        <v>8675</v>
      </c>
      <c r="U272" s="199" t="s">
        <v>8675</v>
      </c>
    </row>
    <row r="273" spans="1:21" s="199" customFormat="1" x14ac:dyDescent="0.25">
      <c r="A273" s="192" t="s">
        <v>6752</v>
      </c>
      <c r="B273" s="203" t="s">
        <v>3002</v>
      </c>
      <c r="C273" s="188" t="s">
        <v>3006</v>
      </c>
      <c r="D273" s="199" t="s">
        <v>8723</v>
      </c>
      <c r="E273" s="188" t="s">
        <v>3001</v>
      </c>
      <c r="F273" s="189" t="s">
        <v>3204</v>
      </c>
      <c r="G273" s="199" t="s">
        <v>8254</v>
      </c>
      <c r="H273" s="199" t="s">
        <v>52</v>
      </c>
      <c r="I273" s="199">
        <v>1</v>
      </c>
      <c r="J273" s="199">
        <v>1</v>
      </c>
      <c r="K273" s="199">
        <v>1</v>
      </c>
      <c r="L273" s="199">
        <v>50</v>
      </c>
      <c r="M273" s="202">
        <f>TB_Parts_Lists[[#This Row],[Quantity Initial]]+ SUMIF(TB_Transactions[Part number],TB_Parts_Lists[[#This Row],[Part Number]],TB_Transactions[Quantity])</f>
        <v>50</v>
      </c>
      <c r="N273" s="200" t="s">
        <v>4593</v>
      </c>
      <c r="O273" s="234">
        <v>5</v>
      </c>
      <c r="P273" s="199">
        <f>TB_Parts_Lists[[#This Row],[Quantity Initial]]*TB_Parts_Lists[[#This Row],[Unit Price AED]]</f>
        <v>250</v>
      </c>
      <c r="Q273" s="199">
        <f>TB_Parts_Lists[[#This Row],[Quantity Total]]*TB_Parts_Lists[[#This Row],[Unit Price AED]]</f>
        <v>250</v>
      </c>
      <c r="S273" s="199" t="s">
        <v>8675</v>
      </c>
      <c r="T273" s="199" t="s">
        <v>8675</v>
      </c>
      <c r="U273" s="199" t="s">
        <v>8675</v>
      </c>
    </row>
    <row r="274" spans="1:21" s="199" customFormat="1" x14ac:dyDescent="0.25">
      <c r="A274" s="192" t="s">
        <v>6753</v>
      </c>
      <c r="B274" s="203" t="s">
        <v>3330</v>
      </c>
      <c r="C274" s="188" t="s">
        <v>6704</v>
      </c>
      <c r="D274" s="199" t="s">
        <v>8723</v>
      </c>
      <c r="E274" s="188" t="s">
        <v>3273</v>
      </c>
      <c r="F274" s="189" t="s">
        <v>3274</v>
      </c>
      <c r="G274" s="199" t="s">
        <v>8254</v>
      </c>
      <c r="H274" s="199" t="s">
        <v>72</v>
      </c>
      <c r="I274" s="199">
        <v>1</v>
      </c>
      <c r="J274" s="199">
        <v>1</v>
      </c>
      <c r="K274" s="199">
        <v>1</v>
      </c>
      <c r="L274" s="199">
        <v>50</v>
      </c>
      <c r="M274" s="202">
        <f>TB_Parts_Lists[[#This Row],[Quantity Initial]]+ SUMIF(TB_Transactions[Part number],TB_Parts_Lists[[#This Row],[Part Number]],TB_Transactions[Quantity])</f>
        <v>50</v>
      </c>
      <c r="N274" s="200" t="s">
        <v>4593</v>
      </c>
      <c r="O274" s="234">
        <v>5</v>
      </c>
      <c r="P274" s="199">
        <f>TB_Parts_Lists[[#This Row],[Quantity Initial]]*TB_Parts_Lists[[#This Row],[Unit Price AED]]</f>
        <v>250</v>
      </c>
      <c r="Q274" s="199">
        <f>TB_Parts_Lists[[#This Row],[Quantity Total]]*TB_Parts_Lists[[#This Row],[Unit Price AED]]</f>
        <v>250</v>
      </c>
      <c r="S274" s="199" t="s">
        <v>8675</v>
      </c>
      <c r="T274" s="199" t="s">
        <v>8675</v>
      </c>
      <c r="U274" s="199" t="s">
        <v>8675</v>
      </c>
    </row>
    <row r="275" spans="1:21" s="199" customFormat="1" x14ac:dyDescent="0.25">
      <c r="A275" s="192" t="s">
        <v>6754</v>
      </c>
      <c r="B275" s="203" t="s">
        <v>3330</v>
      </c>
      <c r="C275" s="188" t="s">
        <v>6704</v>
      </c>
      <c r="D275" s="199" t="s">
        <v>8723</v>
      </c>
      <c r="E275" s="188" t="s">
        <v>3297</v>
      </c>
      <c r="F275" s="189" t="s">
        <v>3298</v>
      </c>
      <c r="G275" s="199" t="s">
        <v>8254</v>
      </c>
      <c r="H275" s="199" t="s">
        <v>52</v>
      </c>
      <c r="I275" s="199">
        <v>1</v>
      </c>
      <c r="J275" s="199">
        <v>1</v>
      </c>
      <c r="K275" s="199">
        <v>1</v>
      </c>
      <c r="L275" s="199">
        <v>50</v>
      </c>
      <c r="M275" s="202">
        <f>TB_Parts_Lists[[#This Row],[Quantity Initial]]+ SUMIF(TB_Transactions[Part number],TB_Parts_Lists[[#This Row],[Part Number]],TB_Transactions[Quantity])</f>
        <v>50</v>
      </c>
      <c r="N275" s="200" t="s">
        <v>4593</v>
      </c>
      <c r="O275" s="234">
        <v>5</v>
      </c>
      <c r="P275" s="199">
        <f>TB_Parts_Lists[[#This Row],[Quantity Initial]]*TB_Parts_Lists[[#This Row],[Unit Price AED]]</f>
        <v>250</v>
      </c>
      <c r="Q275" s="199">
        <f>TB_Parts_Lists[[#This Row],[Quantity Total]]*TB_Parts_Lists[[#This Row],[Unit Price AED]]</f>
        <v>250</v>
      </c>
      <c r="S275" s="199" t="s">
        <v>8675</v>
      </c>
      <c r="T275" s="199" t="s">
        <v>8675</v>
      </c>
      <c r="U275" s="199" t="s">
        <v>8675</v>
      </c>
    </row>
    <row r="276" spans="1:21" s="199" customFormat="1" x14ac:dyDescent="0.25">
      <c r="A276" s="192" t="s">
        <v>6755</v>
      </c>
      <c r="B276" s="203" t="s">
        <v>3330</v>
      </c>
      <c r="C276" s="188" t="s">
        <v>6679</v>
      </c>
      <c r="D276" s="188" t="s">
        <v>8724</v>
      </c>
      <c r="E276" s="188" t="s">
        <v>4931</v>
      </c>
      <c r="F276" s="189" t="s">
        <v>3281</v>
      </c>
      <c r="G276" s="199" t="s">
        <v>8254</v>
      </c>
      <c r="H276" s="199" t="s">
        <v>8645</v>
      </c>
      <c r="I276" s="199">
        <v>1</v>
      </c>
      <c r="J276" s="199">
        <v>1</v>
      </c>
      <c r="K276" s="199">
        <v>1</v>
      </c>
      <c r="L276" s="199">
        <v>50</v>
      </c>
      <c r="M276" s="202">
        <f>TB_Parts_Lists[[#This Row],[Quantity Initial]]+ SUMIF(TB_Transactions[Part number],TB_Parts_Lists[[#This Row],[Part Number]],TB_Transactions[Quantity])</f>
        <v>50</v>
      </c>
      <c r="N276" s="200" t="s">
        <v>4593</v>
      </c>
      <c r="O276" s="234">
        <v>5</v>
      </c>
      <c r="P276" s="199">
        <f>TB_Parts_Lists[[#This Row],[Quantity Initial]]*TB_Parts_Lists[[#This Row],[Unit Price AED]]</f>
        <v>250</v>
      </c>
      <c r="Q276" s="199">
        <f>TB_Parts_Lists[[#This Row],[Quantity Total]]*TB_Parts_Lists[[#This Row],[Unit Price AED]]</f>
        <v>250</v>
      </c>
      <c r="S276" s="199" t="s">
        <v>122</v>
      </c>
      <c r="T276" s="199" t="s">
        <v>8681</v>
      </c>
      <c r="U276" s="199" t="s">
        <v>8715</v>
      </c>
    </row>
    <row r="277" spans="1:21" s="199" customFormat="1" x14ac:dyDescent="0.25">
      <c r="A277" s="192" t="s">
        <v>6756</v>
      </c>
      <c r="B277" s="203" t="s">
        <v>3333</v>
      </c>
      <c r="C277" s="188" t="s">
        <v>3223</v>
      </c>
      <c r="D277" s="199" t="s">
        <v>8723</v>
      </c>
      <c r="E277" s="188" t="s">
        <v>4932</v>
      </c>
      <c r="F277" s="189" t="s">
        <v>3225</v>
      </c>
      <c r="G277" s="199" t="s">
        <v>8254</v>
      </c>
      <c r="H277" s="199" t="s">
        <v>52</v>
      </c>
      <c r="I277" s="199">
        <v>1</v>
      </c>
      <c r="J277" s="199">
        <v>1</v>
      </c>
      <c r="K277" s="199">
        <v>1</v>
      </c>
      <c r="L277" s="199">
        <v>50</v>
      </c>
      <c r="M277" s="202">
        <f>TB_Parts_Lists[[#This Row],[Quantity Initial]]+ SUMIF(TB_Transactions[Part number],TB_Parts_Lists[[#This Row],[Part Number]],TB_Transactions[Quantity])</f>
        <v>50</v>
      </c>
      <c r="N277" s="200" t="s">
        <v>4593</v>
      </c>
      <c r="O277" s="234">
        <v>5</v>
      </c>
      <c r="P277" s="199">
        <f>TB_Parts_Lists[[#This Row],[Quantity Initial]]*TB_Parts_Lists[[#This Row],[Unit Price AED]]</f>
        <v>250</v>
      </c>
      <c r="Q277" s="199">
        <f>TB_Parts_Lists[[#This Row],[Quantity Total]]*TB_Parts_Lists[[#This Row],[Unit Price AED]]</f>
        <v>250</v>
      </c>
      <c r="S277" s="199" t="s">
        <v>8675</v>
      </c>
      <c r="T277" s="199" t="s">
        <v>8675</v>
      </c>
      <c r="U277" s="199" t="s">
        <v>8675</v>
      </c>
    </row>
    <row r="278" spans="1:21" s="199" customFormat="1" x14ac:dyDescent="0.25">
      <c r="A278" s="192" t="s">
        <v>6757</v>
      </c>
      <c r="B278" s="203" t="s">
        <v>3330</v>
      </c>
      <c r="C278" s="199" t="s">
        <v>4608</v>
      </c>
      <c r="D278" s="199" t="s">
        <v>8723</v>
      </c>
      <c r="E278" s="188" t="s">
        <v>3306</v>
      </c>
      <c r="F278" s="189" t="s">
        <v>3307</v>
      </c>
      <c r="G278" s="199" t="s">
        <v>8254</v>
      </c>
      <c r="H278" s="199" t="s">
        <v>52</v>
      </c>
      <c r="I278" s="199">
        <v>1</v>
      </c>
      <c r="J278" s="199">
        <v>1</v>
      </c>
      <c r="K278" s="199">
        <v>1</v>
      </c>
      <c r="L278" s="199">
        <v>50</v>
      </c>
      <c r="M278" s="202">
        <f>TB_Parts_Lists[[#This Row],[Quantity Initial]]+ SUMIF(TB_Transactions[Part number],TB_Parts_Lists[[#This Row],[Part Number]],TB_Transactions[Quantity])</f>
        <v>50</v>
      </c>
      <c r="N278" s="200" t="s">
        <v>4593</v>
      </c>
      <c r="O278" s="234">
        <v>5</v>
      </c>
      <c r="P278" s="199">
        <f>TB_Parts_Lists[[#This Row],[Quantity Initial]]*TB_Parts_Lists[[#This Row],[Unit Price AED]]</f>
        <v>250</v>
      </c>
      <c r="Q278" s="199">
        <f>TB_Parts_Lists[[#This Row],[Quantity Total]]*TB_Parts_Lists[[#This Row],[Unit Price AED]]</f>
        <v>250</v>
      </c>
      <c r="S278" s="199" t="s">
        <v>8675</v>
      </c>
      <c r="T278" s="199" t="s">
        <v>8675</v>
      </c>
      <c r="U278" s="199" t="s">
        <v>8675</v>
      </c>
    </row>
    <row r="279" spans="1:21" s="199" customFormat="1" x14ac:dyDescent="0.25">
      <c r="A279" s="192" t="s">
        <v>6758</v>
      </c>
      <c r="B279" s="203" t="s">
        <v>3330</v>
      </c>
      <c r="C279" s="188" t="s">
        <v>6744</v>
      </c>
      <c r="D279" s="188" t="s">
        <v>8724</v>
      </c>
      <c r="E279" s="188" t="s">
        <v>4933</v>
      </c>
      <c r="F279" s="189" t="s">
        <v>3260</v>
      </c>
      <c r="G279" s="199" t="s">
        <v>8254</v>
      </c>
      <c r="H279" s="199" t="s">
        <v>52</v>
      </c>
      <c r="I279" s="199">
        <v>1</v>
      </c>
      <c r="J279" s="199">
        <v>1</v>
      </c>
      <c r="K279" s="199">
        <v>1</v>
      </c>
      <c r="L279" s="199">
        <v>50</v>
      </c>
      <c r="M279" s="202">
        <f>TB_Parts_Lists[[#This Row],[Quantity Initial]]+ SUMIF(TB_Transactions[Part number],TB_Parts_Lists[[#This Row],[Part Number]],TB_Transactions[Quantity])</f>
        <v>50</v>
      </c>
      <c r="N279" s="200" t="s">
        <v>4593</v>
      </c>
      <c r="O279" s="234">
        <v>5</v>
      </c>
      <c r="P279" s="199">
        <f>TB_Parts_Lists[[#This Row],[Quantity Initial]]*TB_Parts_Lists[[#This Row],[Unit Price AED]]</f>
        <v>250</v>
      </c>
      <c r="Q279" s="199">
        <f>TB_Parts_Lists[[#This Row],[Quantity Total]]*TB_Parts_Lists[[#This Row],[Unit Price AED]]</f>
        <v>250</v>
      </c>
      <c r="S279" s="199" t="s">
        <v>8675</v>
      </c>
      <c r="T279" s="199" t="s">
        <v>8675</v>
      </c>
      <c r="U279" s="199" t="s">
        <v>8675</v>
      </c>
    </row>
    <row r="280" spans="1:21" s="199" customFormat="1" x14ac:dyDescent="0.25">
      <c r="A280" s="192" t="s">
        <v>6760</v>
      </c>
      <c r="B280" s="203" t="s">
        <v>3335</v>
      </c>
      <c r="C280" s="199" t="s">
        <v>6759</v>
      </c>
      <c r="D280" s="199" t="s">
        <v>8724</v>
      </c>
      <c r="E280" s="188" t="s">
        <v>3299</v>
      </c>
      <c r="F280" s="189" t="s">
        <v>3300</v>
      </c>
      <c r="G280" s="199" t="s">
        <v>8254</v>
      </c>
      <c r="H280" s="199" t="s">
        <v>52</v>
      </c>
      <c r="I280" s="199">
        <v>1</v>
      </c>
      <c r="J280" s="199">
        <v>1</v>
      </c>
      <c r="K280" s="199">
        <v>1</v>
      </c>
      <c r="L280" s="199">
        <v>50</v>
      </c>
      <c r="M280" s="202">
        <f>TB_Parts_Lists[[#This Row],[Quantity Initial]]+ SUMIF(TB_Transactions[Part number],TB_Parts_Lists[[#This Row],[Part Number]],TB_Transactions[Quantity])</f>
        <v>50</v>
      </c>
      <c r="N280" s="200" t="s">
        <v>4593</v>
      </c>
      <c r="O280" s="234">
        <v>5</v>
      </c>
      <c r="P280" s="199">
        <f>TB_Parts_Lists[[#This Row],[Quantity Initial]]*TB_Parts_Lists[[#This Row],[Unit Price AED]]</f>
        <v>250</v>
      </c>
      <c r="Q280" s="199">
        <f>TB_Parts_Lists[[#This Row],[Quantity Total]]*TB_Parts_Lists[[#This Row],[Unit Price AED]]</f>
        <v>250</v>
      </c>
      <c r="S280" s="199" t="s">
        <v>8675</v>
      </c>
      <c r="T280" s="199" t="s">
        <v>8675</v>
      </c>
      <c r="U280" s="199" t="s">
        <v>8675</v>
      </c>
    </row>
    <row r="281" spans="1:21" s="199" customFormat="1" x14ac:dyDescent="0.25">
      <c r="A281" s="192" t="s">
        <v>6761</v>
      </c>
      <c r="B281" s="203" t="s">
        <v>3333</v>
      </c>
      <c r="C281" s="188" t="s">
        <v>2992</v>
      </c>
      <c r="D281" s="188" t="s">
        <v>8724</v>
      </c>
      <c r="E281" s="188" t="s">
        <v>4934</v>
      </c>
      <c r="F281" s="189" t="s">
        <v>3218</v>
      </c>
      <c r="G281" s="199" t="s">
        <v>8254</v>
      </c>
      <c r="H281" s="199" t="s">
        <v>72</v>
      </c>
      <c r="I281" s="199">
        <v>1</v>
      </c>
      <c r="J281" s="199">
        <v>1</v>
      </c>
      <c r="K281" s="199">
        <v>1</v>
      </c>
      <c r="L281" s="199">
        <v>50</v>
      </c>
      <c r="M281" s="202">
        <f>TB_Parts_Lists[[#This Row],[Quantity Initial]]+ SUMIF(TB_Transactions[Part number],TB_Parts_Lists[[#This Row],[Part Number]],TB_Transactions[Quantity])</f>
        <v>50</v>
      </c>
      <c r="N281" s="200" t="s">
        <v>4593</v>
      </c>
      <c r="O281" s="234">
        <v>5</v>
      </c>
      <c r="P281" s="199">
        <f>TB_Parts_Lists[[#This Row],[Quantity Initial]]*TB_Parts_Lists[[#This Row],[Unit Price AED]]</f>
        <v>250</v>
      </c>
      <c r="Q281" s="199">
        <f>TB_Parts_Lists[[#This Row],[Quantity Total]]*TB_Parts_Lists[[#This Row],[Unit Price AED]]</f>
        <v>250</v>
      </c>
      <c r="S281" s="199" t="s">
        <v>8675</v>
      </c>
      <c r="T281" s="199" t="s">
        <v>8675</v>
      </c>
      <c r="U281" s="199" t="s">
        <v>8675</v>
      </c>
    </row>
    <row r="282" spans="1:21" s="199" customFormat="1" x14ac:dyDescent="0.25">
      <c r="A282" s="192" t="s">
        <v>6762</v>
      </c>
      <c r="B282" s="203" t="s">
        <v>3333</v>
      </c>
      <c r="C282" s="188" t="s">
        <v>2992</v>
      </c>
      <c r="D282" s="199" t="s">
        <v>8723</v>
      </c>
      <c r="E282" s="188" t="s">
        <v>3285</v>
      </c>
      <c r="F282" s="189" t="s">
        <v>3286</v>
      </c>
      <c r="G282" s="199" t="s">
        <v>8254</v>
      </c>
      <c r="H282" s="199" t="s">
        <v>52</v>
      </c>
      <c r="I282" s="199">
        <v>1</v>
      </c>
      <c r="J282" s="199">
        <v>1</v>
      </c>
      <c r="K282" s="199">
        <v>1</v>
      </c>
      <c r="L282" s="199">
        <v>50</v>
      </c>
      <c r="M282" s="202">
        <f>TB_Parts_Lists[[#This Row],[Quantity Initial]]+ SUMIF(TB_Transactions[Part number],TB_Parts_Lists[[#This Row],[Part Number]],TB_Transactions[Quantity])</f>
        <v>50</v>
      </c>
      <c r="N282" s="200" t="s">
        <v>4593</v>
      </c>
      <c r="O282" s="234">
        <v>5</v>
      </c>
      <c r="P282" s="199">
        <f>TB_Parts_Lists[[#This Row],[Quantity Initial]]*TB_Parts_Lists[[#This Row],[Unit Price AED]]</f>
        <v>250</v>
      </c>
      <c r="Q282" s="199">
        <f>TB_Parts_Lists[[#This Row],[Quantity Total]]*TB_Parts_Lists[[#This Row],[Unit Price AED]]</f>
        <v>250</v>
      </c>
      <c r="S282" s="199" t="s">
        <v>8675</v>
      </c>
      <c r="T282" s="199" t="s">
        <v>8675</v>
      </c>
      <c r="U282" s="199" t="s">
        <v>8675</v>
      </c>
    </row>
    <row r="283" spans="1:21" s="199" customFormat="1" x14ac:dyDescent="0.25">
      <c r="A283" s="192" t="s">
        <v>6763</v>
      </c>
      <c r="B283" s="203" t="s">
        <v>3333</v>
      </c>
      <c r="C283" s="188" t="s">
        <v>2992</v>
      </c>
      <c r="D283" s="199" t="s">
        <v>8723</v>
      </c>
      <c r="E283" s="188" t="s">
        <v>4935</v>
      </c>
      <c r="F283" s="189" t="s">
        <v>3261</v>
      </c>
      <c r="G283" s="199" t="s">
        <v>8254</v>
      </c>
      <c r="H283" s="199" t="s">
        <v>72</v>
      </c>
      <c r="I283" s="199">
        <v>1</v>
      </c>
      <c r="J283" s="199">
        <v>1</v>
      </c>
      <c r="K283" s="199">
        <v>1</v>
      </c>
      <c r="L283" s="199">
        <v>50</v>
      </c>
      <c r="M283" s="202">
        <f>TB_Parts_Lists[[#This Row],[Quantity Initial]]+ SUMIF(TB_Transactions[Part number],TB_Parts_Lists[[#This Row],[Part Number]],TB_Transactions[Quantity])</f>
        <v>50</v>
      </c>
      <c r="N283" s="200" t="s">
        <v>4593</v>
      </c>
      <c r="O283" s="234">
        <v>5</v>
      </c>
      <c r="P283" s="199">
        <f>TB_Parts_Lists[[#This Row],[Quantity Initial]]*TB_Parts_Lists[[#This Row],[Unit Price AED]]</f>
        <v>250</v>
      </c>
      <c r="Q283" s="199">
        <f>TB_Parts_Lists[[#This Row],[Quantity Total]]*TB_Parts_Lists[[#This Row],[Unit Price AED]]</f>
        <v>250</v>
      </c>
      <c r="S283" s="199" t="s">
        <v>8675</v>
      </c>
      <c r="T283" s="199" t="s">
        <v>8675</v>
      </c>
      <c r="U283" s="199" t="s">
        <v>8675</v>
      </c>
    </row>
    <row r="284" spans="1:21" s="199" customFormat="1" x14ac:dyDescent="0.25">
      <c r="A284" s="192" t="s">
        <v>6764</v>
      </c>
      <c r="B284" s="203" t="s">
        <v>3333</v>
      </c>
      <c r="C284" s="188" t="s">
        <v>3223</v>
      </c>
      <c r="D284" s="199" t="s">
        <v>8723</v>
      </c>
      <c r="E284" s="188" t="s">
        <v>4936</v>
      </c>
      <c r="F284" s="189" t="s">
        <v>3264</v>
      </c>
      <c r="G284" s="199" t="s">
        <v>8254</v>
      </c>
      <c r="H284" s="199" t="s">
        <v>52</v>
      </c>
      <c r="I284" s="199">
        <v>1</v>
      </c>
      <c r="J284" s="199">
        <v>1</v>
      </c>
      <c r="K284" s="199">
        <v>1</v>
      </c>
      <c r="L284" s="199">
        <v>50</v>
      </c>
      <c r="M284" s="202">
        <f>TB_Parts_Lists[[#This Row],[Quantity Initial]]+ SUMIF(TB_Transactions[Part number],TB_Parts_Lists[[#This Row],[Part Number]],TB_Transactions[Quantity])</f>
        <v>50</v>
      </c>
      <c r="N284" s="200" t="s">
        <v>4593</v>
      </c>
      <c r="O284" s="234">
        <v>5</v>
      </c>
      <c r="P284" s="199">
        <f>TB_Parts_Lists[[#This Row],[Quantity Initial]]*TB_Parts_Lists[[#This Row],[Unit Price AED]]</f>
        <v>250</v>
      </c>
      <c r="Q284" s="199">
        <f>TB_Parts_Lists[[#This Row],[Quantity Total]]*TB_Parts_Lists[[#This Row],[Unit Price AED]]</f>
        <v>250</v>
      </c>
      <c r="S284" s="199" t="s">
        <v>8675</v>
      </c>
      <c r="T284" s="199" t="s">
        <v>8675</v>
      </c>
      <c r="U284" s="199" t="s">
        <v>8675</v>
      </c>
    </row>
    <row r="285" spans="1:21" s="199" customFormat="1" x14ac:dyDescent="0.25">
      <c r="A285" s="192" t="s">
        <v>6765</v>
      </c>
      <c r="B285" s="203" t="s">
        <v>3335</v>
      </c>
      <c r="C285" s="199" t="s">
        <v>6623</v>
      </c>
      <c r="D285" s="199" t="s">
        <v>8724</v>
      </c>
      <c r="E285" s="188" t="s">
        <v>4937</v>
      </c>
      <c r="F285" s="189" t="s">
        <v>3213</v>
      </c>
      <c r="G285" s="199" t="s">
        <v>8254</v>
      </c>
      <c r="H285" s="199" t="s">
        <v>52</v>
      </c>
      <c r="I285" s="199">
        <v>1</v>
      </c>
      <c r="J285" s="199">
        <v>1</v>
      </c>
      <c r="K285" s="199">
        <v>1</v>
      </c>
      <c r="L285" s="199">
        <v>50</v>
      </c>
      <c r="M285" s="202">
        <f>TB_Parts_Lists[[#This Row],[Quantity Initial]]+ SUMIF(TB_Transactions[Part number],TB_Parts_Lists[[#This Row],[Part Number]],TB_Transactions[Quantity])</f>
        <v>50</v>
      </c>
      <c r="N285" s="200" t="s">
        <v>4593</v>
      </c>
      <c r="O285" s="234">
        <v>5</v>
      </c>
      <c r="P285" s="199">
        <f>TB_Parts_Lists[[#This Row],[Quantity Initial]]*TB_Parts_Lists[[#This Row],[Unit Price AED]]</f>
        <v>250</v>
      </c>
      <c r="Q285" s="199">
        <f>TB_Parts_Lists[[#This Row],[Quantity Total]]*TB_Parts_Lists[[#This Row],[Unit Price AED]]</f>
        <v>250</v>
      </c>
      <c r="S285" s="199" t="s">
        <v>118</v>
      </c>
      <c r="T285" s="199" t="s">
        <v>8682</v>
      </c>
      <c r="U285" s="199" t="s">
        <v>119</v>
      </c>
    </row>
    <row r="286" spans="1:21" s="199" customFormat="1" x14ac:dyDescent="0.25">
      <c r="A286" s="192" t="s">
        <v>6766</v>
      </c>
      <c r="B286" s="203" t="s">
        <v>3335</v>
      </c>
      <c r="C286" s="199" t="s">
        <v>3374</v>
      </c>
      <c r="D286" s="188" t="s">
        <v>8724</v>
      </c>
      <c r="E286" s="188" t="s">
        <v>4938</v>
      </c>
      <c r="F286" s="189" t="s">
        <v>3244</v>
      </c>
      <c r="G286" s="199" t="s">
        <v>8254</v>
      </c>
      <c r="H286" s="199" t="s">
        <v>52</v>
      </c>
      <c r="I286" s="199">
        <v>1</v>
      </c>
      <c r="J286" s="199">
        <v>1</v>
      </c>
      <c r="K286" s="199">
        <v>1</v>
      </c>
      <c r="L286" s="199">
        <v>50</v>
      </c>
      <c r="M286" s="202">
        <f>TB_Parts_Lists[[#This Row],[Quantity Initial]]+ SUMIF(TB_Transactions[Part number],TB_Parts_Lists[[#This Row],[Part Number]],TB_Transactions[Quantity])</f>
        <v>50</v>
      </c>
      <c r="N286" s="200" t="s">
        <v>4593</v>
      </c>
      <c r="O286" s="234">
        <v>5</v>
      </c>
      <c r="P286" s="199">
        <f>TB_Parts_Lists[[#This Row],[Quantity Initial]]*TB_Parts_Lists[[#This Row],[Unit Price AED]]</f>
        <v>250</v>
      </c>
      <c r="Q286" s="199">
        <f>TB_Parts_Lists[[#This Row],[Quantity Total]]*TB_Parts_Lists[[#This Row],[Unit Price AED]]</f>
        <v>250</v>
      </c>
      <c r="S286" s="199" t="s">
        <v>122</v>
      </c>
      <c r="T286" s="199" t="s">
        <v>312</v>
      </c>
      <c r="U286" s="199" t="s">
        <v>311</v>
      </c>
    </row>
    <row r="287" spans="1:21" s="199" customFormat="1" x14ac:dyDescent="0.25">
      <c r="A287" s="192" t="s">
        <v>6767</v>
      </c>
      <c r="B287" s="203" t="s">
        <v>3330</v>
      </c>
      <c r="C287" s="188" t="s">
        <v>3338</v>
      </c>
      <c r="D287" s="188" t="s">
        <v>8724</v>
      </c>
      <c r="E287" s="188" t="s">
        <v>4939</v>
      </c>
      <c r="F287" s="189" t="s">
        <v>3263</v>
      </c>
      <c r="G287" s="199" t="s">
        <v>8254</v>
      </c>
      <c r="H287" s="199" t="s">
        <v>62</v>
      </c>
      <c r="I287" s="199">
        <v>1</v>
      </c>
      <c r="J287" s="199">
        <v>1</v>
      </c>
      <c r="K287" s="199">
        <v>1</v>
      </c>
      <c r="L287" s="199">
        <v>50</v>
      </c>
      <c r="M287" s="202">
        <f>TB_Parts_Lists[[#This Row],[Quantity Initial]]+ SUMIF(TB_Transactions[Part number],TB_Parts_Lists[[#This Row],[Part Number]],TB_Transactions[Quantity])</f>
        <v>50</v>
      </c>
      <c r="N287" s="200" t="s">
        <v>4593</v>
      </c>
      <c r="O287" s="234">
        <v>5</v>
      </c>
      <c r="P287" s="199">
        <f>TB_Parts_Lists[[#This Row],[Quantity Initial]]*TB_Parts_Lists[[#This Row],[Unit Price AED]]</f>
        <v>250</v>
      </c>
      <c r="Q287" s="199">
        <f>TB_Parts_Lists[[#This Row],[Quantity Total]]*TB_Parts_Lists[[#This Row],[Unit Price AED]]</f>
        <v>250</v>
      </c>
      <c r="S287" s="199" t="s">
        <v>8675</v>
      </c>
      <c r="T287" s="199" t="s">
        <v>8675</v>
      </c>
      <c r="U287" s="199" t="s">
        <v>8675</v>
      </c>
    </row>
    <row r="288" spans="1:21" s="199" customFormat="1" x14ac:dyDescent="0.25">
      <c r="A288" s="192" t="s">
        <v>6768</v>
      </c>
      <c r="B288" s="203" t="s">
        <v>3330</v>
      </c>
      <c r="C288" s="188" t="s">
        <v>3338</v>
      </c>
      <c r="D288" s="199" t="s">
        <v>8723</v>
      </c>
      <c r="E288" s="188" t="s">
        <v>4940</v>
      </c>
      <c r="F288" s="189" t="s">
        <v>3250</v>
      </c>
      <c r="G288" s="199" t="s">
        <v>8254</v>
      </c>
      <c r="H288" s="199" t="s">
        <v>72</v>
      </c>
      <c r="I288" s="199">
        <v>1</v>
      </c>
      <c r="J288" s="199">
        <v>1</v>
      </c>
      <c r="K288" s="199">
        <v>1</v>
      </c>
      <c r="L288" s="199">
        <v>50</v>
      </c>
      <c r="M288" s="202">
        <f>TB_Parts_Lists[[#This Row],[Quantity Initial]]+ SUMIF(TB_Transactions[Part number],TB_Parts_Lists[[#This Row],[Part Number]],TB_Transactions[Quantity])</f>
        <v>50</v>
      </c>
      <c r="N288" s="200" t="s">
        <v>4593</v>
      </c>
      <c r="O288" s="234">
        <v>5</v>
      </c>
      <c r="P288" s="199">
        <f>TB_Parts_Lists[[#This Row],[Quantity Initial]]*TB_Parts_Lists[[#This Row],[Unit Price AED]]</f>
        <v>250</v>
      </c>
      <c r="Q288" s="199">
        <f>TB_Parts_Lists[[#This Row],[Quantity Total]]*TB_Parts_Lists[[#This Row],[Unit Price AED]]</f>
        <v>250</v>
      </c>
      <c r="S288" s="199" t="s">
        <v>8675</v>
      </c>
      <c r="T288" s="199" t="s">
        <v>8675</v>
      </c>
      <c r="U288" s="199" t="s">
        <v>8675</v>
      </c>
    </row>
    <row r="289" spans="1:21" s="199" customFormat="1" x14ac:dyDescent="0.25">
      <c r="A289" s="192" t="s">
        <v>6769</v>
      </c>
      <c r="B289" s="203" t="s">
        <v>3002</v>
      </c>
      <c r="C289" s="188" t="s">
        <v>3006</v>
      </c>
      <c r="D289" s="188" t="s">
        <v>8723</v>
      </c>
      <c r="E289" s="188" t="s">
        <v>3291</v>
      </c>
      <c r="F289" s="189" t="s">
        <v>3292</v>
      </c>
      <c r="G289" s="199" t="s">
        <v>8255</v>
      </c>
      <c r="H289" s="199" t="s">
        <v>52</v>
      </c>
      <c r="I289" s="199">
        <v>1</v>
      </c>
      <c r="J289" s="199">
        <v>1</v>
      </c>
      <c r="K289" s="199">
        <v>1</v>
      </c>
      <c r="L289" s="199">
        <v>50</v>
      </c>
      <c r="M289" s="202">
        <f>TB_Parts_Lists[[#This Row],[Quantity Initial]]+ SUMIF(TB_Transactions[Part number],TB_Parts_Lists[[#This Row],[Part Number]],TB_Transactions[Quantity])</f>
        <v>50</v>
      </c>
      <c r="N289" s="200" t="s">
        <v>4593</v>
      </c>
      <c r="O289" s="234">
        <v>5</v>
      </c>
      <c r="P289" s="199">
        <f>TB_Parts_Lists[[#This Row],[Quantity Initial]]*TB_Parts_Lists[[#This Row],[Unit Price AED]]</f>
        <v>250</v>
      </c>
      <c r="Q289" s="199">
        <f>TB_Parts_Lists[[#This Row],[Quantity Total]]*TB_Parts_Lists[[#This Row],[Unit Price AED]]</f>
        <v>250</v>
      </c>
      <c r="S289" s="199" t="s">
        <v>8675</v>
      </c>
      <c r="T289" s="199" t="s">
        <v>8675</v>
      </c>
      <c r="U289" s="199" t="s">
        <v>8675</v>
      </c>
    </row>
    <row r="290" spans="1:21" s="199" customFormat="1" x14ac:dyDescent="0.25">
      <c r="A290" s="192" t="s">
        <v>6771</v>
      </c>
      <c r="B290" s="203" t="s">
        <v>3330</v>
      </c>
      <c r="C290" s="199" t="s">
        <v>6770</v>
      </c>
      <c r="D290" s="188" t="s">
        <v>8724</v>
      </c>
      <c r="E290" s="188" t="s">
        <v>4941</v>
      </c>
      <c r="F290" s="189" t="s">
        <v>3245</v>
      </c>
      <c r="G290" s="199" t="s">
        <v>8255</v>
      </c>
      <c r="H290" s="199" t="s">
        <v>8638</v>
      </c>
      <c r="I290" s="199">
        <v>1</v>
      </c>
      <c r="J290" s="199">
        <v>1</v>
      </c>
      <c r="K290" s="199">
        <v>1</v>
      </c>
      <c r="L290" s="199">
        <v>50</v>
      </c>
      <c r="M290" s="202">
        <f>TB_Parts_Lists[[#This Row],[Quantity Initial]]+ SUMIF(TB_Transactions[Part number],TB_Parts_Lists[[#This Row],[Part Number]],TB_Transactions[Quantity])</f>
        <v>50</v>
      </c>
      <c r="N290" s="200" t="s">
        <v>4593</v>
      </c>
      <c r="O290" s="234">
        <v>5</v>
      </c>
      <c r="P290" s="199">
        <f>TB_Parts_Lists[[#This Row],[Quantity Initial]]*TB_Parts_Lists[[#This Row],[Unit Price AED]]</f>
        <v>250</v>
      </c>
      <c r="Q290" s="199">
        <f>TB_Parts_Lists[[#This Row],[Quantity Total]]*TB_Parts_Lists[[#This Row],[Unit Price AED]]</f>
        <v>250</v>
      </c>
      <c r="S290" s="199" t="s">
        <v>118</v>
      </c>
      <c r="T290" s="199" t="s">
        <v>8675</v>
      </c>
      <c r="U290" s="199" t="s">
        <v>8675</v>
      </c>
    </row>
    <row r="291" spans="1:21" s="199" customFormat="1" x14ac:dyDescent="0.25">
      <c r="A291" s="192" t="s">
        <v>6772</v>
      </c>
      <c r="B291" s="203" t="s">
        <v>3330</v>
      </c>
      <c r="C291" s="188" t="s">
        <v>3003</v>
      </c>
      <c r="D291" s="188" t="s">
        <v>8724</v>
      </c>
      <c r="E291" s="188" t="s">
        <v>4942</v>
      </c>
      <c r="F291" s="189" t="s">
        <v>3246</v>
      </c>
      <c r="G291" s="199" t="s">
        <v>8255</v>
      </c>
      <c r="H291" s="199" t="s">
        <v>8638</v>
      </c>
      <c r="I291" s="199">
        <v>1</v>
      </c>
      <c r="J291" s="199">
        <v>1</v>
      </c>
      <c r="K291" s="199">
        <v>1</v>
      </c>
      <c r="L291" s="199">
        <v>50</v>
      </c>
      <c r="M291" s="202">
        <f>TB_Parts_Lists[[#This Row],[Quantity Initial]]+ SUMIF(TB_Transactions[Part number],TB_Parts_Lists[[#This Row],[Part Number]],TB_Transactions[Quantity])</f>
        <v>50</v>
      </c>
      <c r="N291" s="200" t="s">
        <v>4593</v>
      </c>
      <c r="O291" s="234">
        <v>5</v>
      </c>
      <c r="P291" s="199">
        <f>TB_Parts_Lists[[#This Row],[Quantity Initial]]*TB_Parts_Lists[[#This Row],[Unit Price AED]]</f>
        <v>250</v>
      </c>
      <c r="Q291" s="199">
        <f>TB_Parts_Lists[[#This Row],[Quantity Total]]*TB_Parts_Lists[[#This Row],[Unit Price AED]]</f>
        <v>250</v>
      </c>
      <c r="S291" s="199" t="s">
        <v>118</v>
      </c>
      <c r="T291" s="199" t="s">
        <v>8675</v>
      </c>
      <c r="U291" s="199" t="s">
        <v>8675</v>
      </c>
    </row>
    <row r="292" spans="1:21" s="199" customFormat="1" x14ac:dyDescent="0.25">
      <c r="A292" s="192" t="s">
        <v>6773</v>
      </c>
      <c r="B292" s="203" t="s">
        <v>3330</v>
      </c>
      <c r="C292" s="199" t="s">
        <v>4150</v>
      </c>
      <c r="D292" s="188" t="s">
        <v>8724</v>
      </c>
      <c r="E292" s="188" t="s">
        <v>4943</v>
      </c>
      <c r="F292" s="189" t="s">
        <v>3206</v>
      </c>
      <c r="G292" s="199" t="s">
        <v>8255</v>
      </c>
      <c r="H292" s="199" t="s">
        <v>191</v>
      </c>
      <c r="I292" s="199">
        <v>1</v>
      </c>
      <c r="J292" s="199">
        <v>1</v>
      </c>
      <c r="K292" s="199">
        <v>1</v>
      </c>
      <c r="L292" s="199">
        <v>50</v>
      </c>
      <c r="M292" s="202">
        <f>TB_Parts_Lists[[#This Row],[Quantity Initial]]+ SUMIF(TB_Transactions[Part number],TB_Parts_Lists[[#This Row],[Part Number]],TB_Transactions[Quantity])</f>
        <v>50</v>
      </c>
      <c r="N292" s="200" t="s">
        <v>4593</v>
      </c>
      <c r="O292" s="234">
        <v>5</v>
      </c>
      <c r="P292" s="199">
        <f>TB_Parts_Lists[[#This Row],[Quantity Initial]]*TB_Parts_Lists[[#This Row],[Unit Price AED]]</f>
        <v>250</v>
      </c>
      <c r="Q292" s="199">
        <f>TB_Parts_Lists[[#This Row],[Quantity Total]]*TB_Parts_Lists[[#This Row],[Unit Price AED]]</f>
        <v>250</v>
      </c>
      <c r="S292" s="199" t="s">
        <v>118</v>
      </c>
      <c r="T292" s="199" t="s">
        <v>8683</v>
      </c>
      <c r="U292" s="199" t="s">
        <v>1006</v>
      </c>
    </row>
    <row r="293" spans="1:21" s="199" customFormat="1" x14ac:dyDescent="0.25">
      <c r="A293" s="192" t="s">
        <v>6774</v>
      </c>
      <c r="B293" s="203" t="s">
        <v>3335</v>
      </c>
      <c r="C293" s="188" t="s">
        <v>6623</v>
      </c>
      <c r="D293" s="188" t="s">
        <v>8724</v>
      </c>
      <c r="E293" s="188" t="s">
        <v>4944</v>
      </c>
      <c r="F293" s="189" t="s">
        <v>4599</v>
      </c>
      <c r="G293" s="199" t="s">
        <v>8255</v>
      </c>
      <c r="H293" s="199" t="s">
        <v>52</v>
      </c>
      <c r="I293" s="199">
        <v>1</v>
      </c>
      <c r="J293" s="199">
        <v>1</v>
      </c>
      <c r="K293" s="199">
        <v>1</v>
      </c>
      <c r="L293" s="199">
        <v>50</v>
      </c>
      <c r="M293" s="202">
        <f>TB_Parts_Lists[[#This Row],[Quantity Initial]]+ SUMIF(TB_Transactions[Part number],TB_Parts_Lists[[#This Row],[Part Number]],TB_Transactions[Quantity])</f>
        <v>50</v>
      </c>
      <c r="N293" s="200" t="s">
        <v>4593</v>
      </c>
      <c r="O293" s="234">
        <v>5</v>
      </c>
      <c r="P293" s="199">
        <f>TB_Parts_Lists[[#This Row],[Quantity Initial]]*TB_Parts_Lists[[#This Row],[Unit Price AED]]</f>
        <v>250</v>
      </c>
      <c r="Q293" s="199">
        <f>TB_Parts_Lists[[#This Row],[Quantity Total]]*TB_Parts_Lists[[#This Row],[Unit Price AED]]</f>
        <v>250</v>
      </c>
      <c r="S293" s="199" t="s">
        <v>118</v>
      </c>
      <c r="T293" s="199" t="s">
        <v>8682</v>
      </c>
      <c r="U293" s="199" t="s">
        <v>119</v>
      </c>
    </row>
    <row r="294" spans="1:21" s="199" customFormat="1" x14ac:dyDescent="0.25">
      <c r="A294" s="192" t="s">
        <v>6775</v>
      </c>
      <c r="B294" s="203" t="s">
        <v>3335</v>
      </c>
      <c r="C294" s="188" t="s">
        <v>6623</v>
      </c>
      <c r="D294" s="188" t="s">
        <v>8724</v>
      </c>
      <c r="E294" s="188" t="s">
        <v>4945</v>
      </c>
      <c r="F294" s="189" t="s">
        <v>4600</v>
      </c>
      <c r="G294" s="199" t="s">
        <v>8255</v>
      </c>
      <c r="H294" s="199" t="s">
        <v>52</v>
      </c>
      <c r="I294" s="199">
        <v>1</v>
      </c>
      <c r="J294" s="199">
        <v>1</v>
      </c>
      <c r="K294" s="199">
        <v>1</v>
      </c>
      <c r="L294" s="199">
        <v>50</v>
      </c>
      <c r="M294" s="202">
        <f>TB_Parts_Lists[[#This Row],[Quantity Initial]]+ SUMIF(TB_Transactions[Part number],TB_Parts_Lists[[#This Row],[Part Number]],TB_Transactions[Quantity])</f>
        <v>50</v>
      </c>
      <c r="N294" s="200" t="s">
        <v>4593</v>
      </c>
      <c r="O294" s="234">
        <v>5</v>
      </c>
      <c r="P294" s="199">
        <f>TB_Parts_Lists[[#This Row],[Quantity Initial]]*TB_Parts_Lists[[#This Row],[Unit Price AED]]</f>
        <v>250</v>
      </c>
      <c r="Q294" s="199">
        <f>TB_Parts_Lists[[#This Row],[Quantity Total]]*TB_Parts_Lists[[#This Row],[Unit Price AED]]</f>
        <v>250</v>
      </c>
      <c r="S294" s="199" t="s">
        <v>118</v>
      </c>
      <c r="T294" s="199" t="s">
        <v>8682</v>
      </c>
      <c r="U294" s="199" t="s">
        <v>119</v>
      </c>
    </row>
    <row r="295" spans="1:21" s="199" customFormat="1" x14ac:dyDescent="0.25">
      <c r="A295" s="192" t="s">
        <v>6776</v>
      </c>
      <c r="B295" s="203" t="s">
        <v>3330</v>
      </c>
      <c r="C295" s="188" t="s">
        <v>4150</v>
      </c>
      <c r="D295" s="188" t="s">
        <v>8724</v>
      </c>
      <c r="E295" s="188" t="s">
        <v>4946</v>
      </c>
      <c r="F295" s="189" t="s">
        <v>4601</v>
      </c>
      <c r="G295" s="199" t="s">
        <v>8255</v>
      </c>
      <c r="H295" s="199" t="s">
        <v>191</v>
      </c>
      <c r="I295" s="199">
        <v>1</v>
      </c>
      <c r="J295" s="199">
        <v>1</v>
      </c>
      <c r="K295" s="199">
        <v>1</v>
      </c>
      <c r="L295" s="199">
        <v>50</v>
      </c>
      <c r="M295" s="202">
        <f>TB_Parts_Lists[[#This Row],[Quantity Initial]]+ SUMIF(TB_Transactions[Part number],TB_Parts_Lists[[#This Row],[Part Number]],TB_Transactions[Quantity])</f>
        <v>50</v>
      </c>
      <c r="N295" s="200" t="s">
        <v>4593</v>
      </c>
      <c r="O295" s="234">
        <v>5</v>
      </c>
      <c r="P295" s="199">
        <f>TB_Parts_Lists[[#This Row],[Quantity Initial]]*TB_Parts_Lists[[#This Row],[Unit Price AED]]</f>
        <v>250</v>
      </c>
      <c r="Q295" s="199">
        <f>TB_Parts_Lists[[#This Row],[Quantity Total]]*TB_Parts_Lists[[#This Row],[Unit Price AED]]</f>
        <v>250</v>
      </c>
      <c r="S295" s="199" t="s">
        <v>118</v>
      </c>
      <c r="T295" s="199" t="s">
        <v>8683</v>
      </c>
      <c r="U295" s="199" t="s">
        <v>1006</v>
      </c>
    </row>
    <row r="296" spans="1:21" s="199" customFormat="1" x14ac:dyDescent="0.25">
      <c r="A296" s="192" t="s">
        <v>6777</v>
      </c>
      <c r="B296" s="203" t="s">
        <v>3330</v>
      </c>
      <c r="C296" s="188" t="s">
        <v>4150</v>
      </c>
      <c r="D296" s="188" t="s">
        <v>8724</v>
      </c>
      <c r="E296" s="188" t="s">
        <v>4947</v>
      </c>
      <c r="F296" s="189" t="s">
        <v>4602</v>
      </c>
      <c r="G296" s="199" t="s">
        <v>8255</v>
      </c>
      <c r="H296" s="199" t="s">
        <v>191</v>
      </c>
      <c r="I296" s="199">
        <v>1</v>
      </c>
      <c r="J296" s="199">
        <v>1</v>
      </c>
      <c r="K296" s="199">
        <v>1</v>
      </c>
      <c r="L296" s="199">
        <v>50</v>
      </c>
      <c r="M296" s="202">
        <f>TB_Parts_Lists[[#This Row],[Quantity Initial]]+ SUMIF(TB_Transactions[Part number],TB_Parts_Lists[[#This Row],[Part Number]],TB_Transactions[Quantity])</f>
        <v>50</v>
      </c>
      <c r="N296" s="200" t="s">
        <v>4593</v>
      </c>
      <c r="O296" s="234">
        <v>5</v>
      </c>
      <c r="P296" s="199">
        <f>TB_Parts_Lists[[#This Row],[Quantity Initial]]*TB_Parts_Lists[[#This Row],[Unit Price AED]]</f>
        <v>250</v>
      </c>
      <c r="Q296" s="199">
        <f>TB_Parts_Lists[[#This Row],[Quantity Total]]*TB_Parts_Lists[[#This Row],[Unit Price AED]]</f>
        <v>250</v>
      </c>
      <c r="S296" s="199" t="s">
        <v>118</v>
      </c>
      <c r="T296" s="199" t="s">
        <v>8683</v>
      </c>
      <c r="U296" s="199" t="s">
        <v>1006</v>
      </c>
    </row>
    <row r="297" spans="1:21" s="199" customFormat="1" x14ac:dyDescent="0.25">
      <c r="A297" s="192" t="s">
        <v>6778</v>
      </c>
      <c r="B297" s="203" t="s">
        <v>3335</v>
      </c>
      <c r="C297" s="199" t="s">
        <v>3368</v>
      </c>
      <c r="D297" s="199" t="s">
        <v>8732</v>
      </c>
      <c r="E297" s="188" t="s">
        <v>4948</v>
      </c>
      <c r="F297" s="189" t="s">
        <v>4610</v>
      </c>
      <c r="G297" s="199" t="s">
        <v>8255</v>
      </c>
      <c r="H297" s="199" t="s">
        <v>52</v>
      </c>
      <c r="I297" s="199">
        <v>1</v>
      </c>
      <c r="J297" s="199">
        <v>1</v>
      </c>
      <c r="K297" s="199">
        <v>1</v>
      </c>
      <c r="L297" s="199">
        <v>50</v>
      </c>
      <c r="M297" s="202">
        <f>TB_Parts_Lists[[#This Row],[Quantity Initial]]+ SUMIF(TB_Transactions[Part number],TB_Parts_Lists[[#This Row],[Part Number]],TB_Transactions[Quantity])</f>
        <v>50</v>
      </c>
      <c r="N297" s="200" t="s">
        <v>4593</v>
      </c>
      <c r="O297" s="234">
        <v>5</v>
      </c>
      <c r="P297" s="199">
        <f>TB_Parts_Lists[[#This Row],[Quantity Initial]]*TB_Parts_Lists[[#This Row],[Unit Price AED]]</f>
        <v>250</v>
      </c>
      <c r="Q297" s="199">
        <f>TB_Parts_Lists[[#This Row],[Quantity Total]]*TB_Parts_Lists[[#This Row],[Unit Price AED]]</f>
        <v>250</v>
      </c>
      <c r="S297" s="199" t="s">
        <v>122</v>
      </c>
      <c r="T297" s="199" t="s">
        <v>312</v>
      </c>
      <c r="U297" s="199" t="s">
        <v>311</v>
      </c>
    </row>
    <row r="298" spans="1:21" s="199" customFormat="1" x14ac:dyDescent="0.25">
      <c r="A298" s="192" t="s">
        <v>6780</v>
      </c>
      <c r="B298" s="203" t="s">
        <v>3329</v>
      </c>
      <c r="C298" s="199" t="s">
        <v>6779</v>
      </c>
      <c r="D298" s="199" t="s">
        <v>8724</v>
      </c>
      <c r="E298" s="188" t="s">
        <v>4949</v>
      </c>
      <c r="F298" s="189" t="s">
        <v>3393</v>
      </c>
      <c r="G298" s="199" t="s">
        <v>8256</v>
      </c>
      <c r="H298" s="199" t="s">
        <v>72</v>
      </c>
      <c r="I298" s="199">
        <v>1</v>
      </c>
      <c r="J298" s="199">
        <v>1</v>
      </c>
      <c r="K298" s="199">
        <v>1</v>
      </c>
      <c r="L298" s="199">
        <v>50</v>
      </c>
      <c r="M298" s="202">
        <f>TB_Parts_Lists[[#This Row],[Quantity Initial]]+ SUMIF(TB_Transactions[Part number],TB_Parts_Lists[[#This Row],[Part Number]],TB_Transactions[Quantity])</f>
        <v>50</v>
      </c>
      <c r="N298" s="200" t="s">
        <v>4593</v>
      </c>
      <c r="O298" s="234">
        <v>5</v>
      </c>
      <c r="P298" s="199">
        <f>TB_Parts_Lists[[#This Row],[Quantity Initial]]*TB_Parts_Lists[[#This Row],[Unit Price AED]]</f>
        <v>250</v>
      </c>
      <c r="Q298" s="199">
        <f>TB_Parts_Lists[[#This Row],[Quantity Total]]*TB_Parts_Lists[[#This Row],[Unit Price AED]]</f>
        <v>250</v>
      </c>
      <c r="S298" s="199" t="s">
        <v>118</v>
      </c>
      <c r="T298" s="199" t="s">
        <v>8684</v>
      </c>
      <c r="U298" s="199" t="s">
        <v>611</v>
      </c>
    </row>
    <row r="299" spans="1:21" s="199" customFormat="1" x14ac:dyDescent="0.25">
      <c r="A299" s="192" t="s">
        <v>6781</v>
      </c>
      <c r="B299" s="203" t="s">
        <v>3331</v>
      </c>
      <c r="C299" s="188" t="s">
        <v>6652</v>
      </c>
      <c r="D299" s="199" t="s">
        <v>8724</v>
      </c>
      <c r="E299" s="188" t="s">
        <v>4950</v>
      </c>
      <c r="F299" s="189" t="s">
        <v>3394</v>
      </c>
      <c r="G299" s="199" t="s">
        <v>8256</v>
      </c>
      <c r="H299" s="199" t="s">
        <v>72</v>
      </c>
      <c r="I299" s="199">
        <v>1</v>
      </c>
      <c r="J299" s="199">
        <v>1</v>
      </c>
      <c r="K299" s="199">
        <v>1</v>
      </c>
      <c r="L299" s="199">
        <v>50</v>
      </c>
      <c r="M299" s="202">
        <f>TB_Parts_Lists[[#This Row],[Quantity Initial]]+ SUMIF(TB_Transactions[Part number],TB_Parts_Lists[[#This Row],[Part Number]],TB_Transactions[Quantity])</f>
        <v>50</v>
      </c>
      <c r="N299" s="200" t="s">
        <v>4593</v>
      </c>
      <c r="O299" s="234">
        <v>5</v>
      </c>
      <c r="P299" s="199">
        <f>TB_Parts_Lists[[#This Row],[Quantity Initial]]*TB_Parts_Lists[[#This Row],[Unit Price AED]]</f>
        <v>250</v>
      </c>
      <c r="Q299" s="199">
        <f>TB_Parts_Lists[[#This Row],[Quantity Total]]*TB_Parts_Lists[[#This Row],[Unit Price AED]]</f>
        <v>250</v>
      </c>
      <c r="S299" s="199" t="s">
        <v>118</v>
      </c>
      <c r="T299" s="199" t="s">
        <v>8685</v>
      </c>
      <c r="U299" s="199" t="s">
        <v>230</v>
      </c>
    </row>
    <row r="300" spans="1:21" s="199" customFormat="1" x14ac:dyDescent="0.25">
      <c r="A300" s="192" t="s">
        <v>6782</v>
      </c>
      <c r="B300" s="203" t="s">
        <v>3329</v>
      </c>
      <c r="C300" s="188" t="s">
        <v>6779</v>
      </c>
      <c r="D300" s="199" t="s">
        <v>8724</v>
      </c>
      <c r="E300" s="188" t="s">
        <v>4951</v>
      </c>
      <c r="F300" s="189" t="s">
        <v>3395</v>
      </c>
      <c r="G300" s="199" t="s">
        <v>8256</v>
      </c>
      <c r="H300" s="199" t="s">
        <v>72</v>
      </c>
      <c r="I300" s="199">
        <v>1</v>
      </c>
      <c r="J300" s="199">
        <v>1</v>
      </c>
      <c r="K300" s="199">
        <v>1</v>
      </c>
      <c r="L300" s="199">
        <v>50</v>
      </c>
      <c r="M300" s="202">
        <f>TB_Parts_Lists[[#This Row],[Quantity Initial]]+ SUMIF(TB_Transactions[Part number],TB_Parts_Lists[[#This Row],[Part Number]],TB_Transactions[Quantity])</f>
        <v>50</v>
      </c>
      <c r="N300" s="200" t="s">
        <v>4593</v>
      </c>
      <c r="O300" s="234">
        <v>5</v>
      </c>
      <c r="P300" s="199">
        <f>TB_Parts_Lists[[#This Row],[Quantity Initial]]*TB_Parts_Lists[[#This Row],[Unit Price AED]]</f>
        <v>250</v>
      </c>
      <c r="Q300" s="199">
        <f>TB_Parts_Lists[[#This Row],[Quantity Total]]*TB_Parts_Lists[[#This Row],[Unit Price AED]]</f>
        <v>250</v>
      </c>
      <c r="S300" s="199" t="s">
        <v>118</v>
      </c>
      <c r="T300" s="199" t="s">
        <v>8684</v>
      </c>
      <c r="U300" s="199" t="s">
        <v>611</v>
      </c>
    </row>
    <row r="301" spans="1:21" s="199" customFormat="1" x14ac:dyDescent="0.25">
      <c r="A301" s="192" t="s">
        <v>6783</v>
      </c>
      <c r="B301" s="203" t="s">
        <v>3329</v>
      </c>
      <c r="C301" s="199" t="s">
        <v>3347</v>
      </c>
      <c r="D301" s="199" t="s">
        <v>8732</v>
      </c>
      <c r="E301" s="188" t="s">
        <v>4952</v>
      </c>
      <c r="F301" s="189" t="s">
        <v>3396</v>
      </c>
      <c r="G301" s="199" t="s">
        <v>8256</v>
      </c>
      <c r="H301" s="199" t="s">
        <v>72</v>
      </c>
      <c r="I301" s="199">
        <v>1</v>
      </c>
      <c r="J301" s="199">
        <v>1</v>
      </c>
      <c r="K301" s="199">
        <v>1</v>
      </c>
      <c r="L301" s="199">
        <v>50</v>
      </c>
      <c r="M301" s="202">
        <f>TB_Parts_Lists[[#This Row],[Quantity Initial]]+ SUMIF(TB_Transactions[Part number],TB_Parts_Lists[[#This Row],[Part Number]],TB_Transactions[Quantity])</f>
        <v>50</v>
      </c>
      <c r="N301" s="200" t="s">
        <v>4593</v>
      </c>
      <c r="O301" s="234">
        <v>5</v>
      </c>
      <c r="P301" s="199">
        <f>TB_Parts_Lists[[#This Row],[Quantity Initial]]*TB_Parts_Lists[[#This Row],[Unit Price AED]]</f>
        <v>250</v>
      </c>
      <c r="Q301" s="199">
        <f>TB_Parts_Lists[[#This Row],[Quantity Total]]*TB_Parts_Lists[[#This Row],[Unit Price AED]]</f>
        <v>250</v>
      </c>
      <c r="S301" s="199" t="s">
        <v>118</v>
      </c>
      <c r="T301" s="199" t="s">
        <v>8686</v>
      </c>
      <c r="U301" s="199" t="s">
        <v>1317</v>
      </c>
    </row>
    <row r="302" spans="1:21" s="199" customFormat="1" x14ac:dyDescent="0.25">
      <c r="A302" s="192" t="s">
        <v>6784</v>
      </c>
      <c r="B302" s="203" t="s">
        <v>3329</v>
      </c>
      <c r="C302" s="199" t="s">
        <v>3346</v>
      </c>
      <c r="D302" s="199" t="s">
        <v>8723</v>
      </c>
      <c r="E302" s="188" t="s">
        <v>3538</v>
      </c>
      <c r="F302" s="189" t="s">
        <v>3397</v>
      </c>
      <c r="G302" s="199" t="s">
        <v>8256</v>
      </c>
      <c r="H302" s="199" t="s">
        <v>72</v>
      </c>
      <c r="I302" s="199">
        <v>1</v>
      </c>
      <c r="J302" s="199">
        <v>1</v>
      </c>
      <c r="K302" s="199">
        <v>1</v>
      </c>
      <c r="L302" s="199">
        <v>50</v>
      </c>
      <c r="M302" s="202">
        <f>TB_Parts_Lists[[#This Row],[Quantity Initial]]+ SUMIF(TB_Transactions[Part number],TB_Parts_Lists[[#This Row],[Part Number]],TB_Transactions[Quantity])</f>
        <v>50</v>
      </c>
      <c r="N302" s="200" t="s">
        <v>4593</v>
      </c>
      <c r="O302" s="234">
        <v>5</v>
      </c>
      <c r="P302" s="199">
        <f>TB_Parts_Lists[[#This Row],[Quantity Initial]]*TB_Parts_Lists[[#This Row],[Unit Price AED]]</f>
        <v>250</v>
      </c>
      <c r="Q302" s="199">
        <f>TB_Parts_Lists[[#This Row],[Quantity Total]]*TB_Parts_Lists[[#This Row],[Unit Price AED]]</f>
        <v>250</v>
      </c>
      <c r="S302" s="199" t="s">
        <v>8675</v>
      </c>
      <c r="T302" s="199" t="s">
        <v>8675</v>
      </c>
      <c r="U302" s="199" t="s">
        <v>8675</v>
      </c>
    </row>
    <row r="303" spans="1:21" s="199" customFormat="1" x14ac:dyDescent="0.25">
      <c r="A303" s="192" t="s">
        <v>6785</v>
      </c>
      <c r="B303" s="203" t="s">
        <v>3329</v>
      </c>
      <c r="C303" s="199" t="s">
        <v>3338</v>
      </c>
      <c r="D303" s="199" t="s">
        <v>8723</v>
      </c>
      <c r="E303" s="188" t="s">
        <v>3539</v>
      </c>
      <c r="F303" s="189" t="s">
        <v>3398</v>
      </c>
      <c r="G303" s="199" t="s">
        <v>8256</v>
      </c>
      <c r="H303" s="199" t="s">
        <v>72</v>
      </c>
      <c r="I303" s="199">
        <v>1</v>
      </c>
      <c r="J303" s="199">
        <v>1</v>
      </c>
      <c r="K303" s="199">
        <v>1</v>
      </c>
      <c r="L303" s="199">
        <v>50</v>
      </c>
      <c r="M303" s="202">
        <f>TB_Parts_Lists[[#This Row],[Quantity Initial]]+ SUMIF(TB_Transactions[Part number],TB_Parts_Lists[[#This Row],[Part Number]],TB_Transactions[Quantity])</f>
        <v>50</v>
      </c>
      <c r="N303" s="200" t="s">
        <v>4593</v>
      </c>
      <c r="O303" s="234">
        <v>5</v>
      </c>
      <c r="P303" s="199">
        <f>TB_Parts_Lists[[#This Row],[Quantity Initial]]*TB_Parts_Lists[[#This Row],[Unit Price AED]]</f>
        <v>250</v>
      </c>
      <c r="Q303" s="199">
        <f>TB_Parts_Lists[[#This Row],[Quantity Total]]*TB_Parts_Lists[[#This Row],[Unit Price AED]]</f>
        <v>250</v>
      </c>
      <c r="S303" s="199" t="s">
        <v>8675</v>
      </c>
      <c r="T303" s="199" t="s">
        <v>8675</v>
      </c>
      <c r="U303" s="199" t="s">
        <v>8675</v>
      </c>
    </row>
    <row r="304" spans="1:21" s="199" customFormat="1" x14ac:dyDescent="0.25">
      <c r="A304" s="192" t="s">
        <v>6786</v>
      </c>
      <c r="B304" s="203" t="s">
        <v>3329</v>
      </c>
      <c r="C304" s="199" t="s">
        <v>3343</v>
      </c>
      <c r="D304" s="199" t="s">
        <v>8723</v>
      </c>
      <c r="E304" s="188" t="s">
        <v>3540</v>
      </c>
      <c r="F304" s="189" t="s">
        <v>3399</v>
      </c>
      <c r="G304" s="199" t="s">
        <v>8256</v>
      </c>
      <c r="H304" s="199" t="s">
        <v>72</v>
      </c>
      <c r="I304" s="199">
        <v>1</v>
      </c>
      <c r="J304" s="199">
        <v>1</v>
      </c>
      <c r="K304" s="199">
        <v>1</v>
      </c>
      <c r="L304" s="199">
        <v>50</v>
      </c>
      <c r="M304" s="202">
        <f>TB_Parts_Lists[[#This Row],[Quantity Initial]]+ SUMIF(TB_Transactions[Part number],TB_Parts_Lists[[#This Row],[Part Number]],TB_Transactions[Quantity])</f>
        <v>50</v>
      </c>
      <c r="N304" s="200" t="s">
        <v>4593</v>
      </c>
      <c r="O304" s="234">
        <v>5</v>
      </c>
      <c r="P304" s="199">
        <f>TB_Parts_Lists[[#This Row],[Quantity Initial]]*TB_Parts_Lists[[#This Row],[Unit Price AED]]</f>
        <v>250</v>
      </c>
      <c r="Q304" s="199">
        <f>TB_Parts_Lists[[#This Row],[Quantity Total]]*TB_Parts_Lists[[#This Row],[Unit Price AED]]</f>
        <v>250</v>
      </c>
      <c r="S304" s="199" t="s">
        <v>8675</v>
      </c>
      <c r="T304" s="199" t="s">
        <v>8675</v>
      </c>
      <c r="U304" s="199" t="s">
        <v>8675</v>
      </c>
    </row>
    <row r="305" spans="1:21" s="199" customFormat="1" x14ac:dyDescent="0.25">
      <c r="A305" s="192" t="s">
        <v>6787</v>
      </c>
      <c r="B305" s="203" t="s">
        <v>3329</v>
      </c>
      <c r="C305" s="188" t="s">
        <v>3346</v>
      </c>
      <c r="D305" s="199" t="s">
        <v>8723</v>
      </c>
      <c r="E305" s="188" t="s">
        <v>4953</v>
      </c>
      <c r="F305" s="189" t="s">
        <v>3400</v>
      </c>
      <c r="G305" s="199" t="s">
        <v>8256</v>
      </c>
      <c r="H305" s="199" t="s">
        <v>72</v>
      </c>
      <c r="I305" s="199">
        <v>1</v>
      </c>
      <c r="J305" s="199">
        <v>1</v>
      </c>
      <c r="K305" s="199">
        <v>1</v>
      </c>
      <c r="L305" s="199">
        <v>50</v>
      </c>
      <c r="M305" s="202">
        <f>TB_Parts_Lists[[#This Row],[Quantity Initial]]+ SUMIF(TB_Transactions[Part number],TB_Parts_Lists[[#This Row],[Part Number]],TB_Transactions[Quantity])</f>
        <v>50</v>
      </c>
      <c r="N305" s="200" t="s">
        <v>4593</v>
      </c>
      <c r="O305" s="234">
        <v>5</v>
      </c>
      <c r="P305" s="199">
        <f>TB_Parts_Lists[[#This Row],[Quantity Initial]]*TB_Parts_Lists[[#This Row],[Unit Price AED]]</f>
        <v>250</v>
      </c>
      <c r="Q305" s="199">
        <f>TB_Parts_Lists[[#This Row],[Quantity Total]]*TB_Parts_Lists[[#This Row],[Unit Price AED]]</f>
        <v>250</v>
      </c>
      <c r="S305" s="199" t="s">
        <v>8675</v>
      </c>
      <c r="T305" s="199" t="s">
        <v>8675</v>
      </c>
      <c r="U305" s="199" t="s">
        <v>8675</v>
      </c>
    </row>
    <row r="306" spans="1:21" s="199" customFormat="1" x14ac:dyDescent="0.25">
      <c r="A306" s="192" t="s">
        <v>6788</v>
      </c>
      <c r="B306" s="203" t="s">
        <v>3329</v>
      </c>
      <c r="C306" s="199" t="s">
        <v>3348</v>
      </c>
      <c r="D306" s="199" t="s">
        <v>8724</v>
      </c>
      <c r="E306" s="188" t="s">
        <v>4954</v>
      </c>
      <c r="F306" s="189" t="s">
        <v>3401</v>
      </c>
      <c r="G306" s="199" t="s">
        <v>8256</v>
      </c>
      <c r="H306" s="199" t="s">
        <v>72</v>
      </c>
      <c r="I306" s="199">
        <v>1</v>
      </c>
      <c r="J306" s="199">
        <v>1</v>
      </c>
      <c r="K306" s="199">
        <v>1</v>
      </c>
      <c r="L306" s="199">
        <v>50</v>
      </c>
      <c r="M306" s="202">
        <f>TB_Parts_Lists[[#This Row],[Quantity Initial]]+ SUMIF(TB_Transactions[Part number],TB_Parts_Lists[[#This Row],[Part Number]],TB_Transactions[Quantity])</f>
        <v>50</v>
      </c>
      <c r="N306" s="200" t="s">
        <v>4593</v>
      </c>
      <c r="O306" s="234">
        <v>5</v>
      </c>
      <c r="P306" s="199">
        <f>TB_Parts_Lists[[#This Row],[Quantity Initial]]*TB_Parts_Lists[[#This Row],[Unit Price AED]]</f>
        <v>250</v>
      </c>
      <c r="Q306" s="199">
        <f>TB_Parts_Lists[[#This Row],[Quantity Total]]*TB_Parts_Lists[[#This Row],[Unit Price AED]]</f>
        <v>250</v>
      </c>
      <c r="S306" s="199" t="s">
        <v>118</v>
      </c>
      <c r="T306" s="199" t="s">
        <v>8684</v>
      </c>
      <c r="U306" s="199" t="s">
        <v>611</v>
      </c>
    </row>
    <row r="307" spans="1:21" s="199" customFormat="1" x14ac:dyDescent="0.25">
      <c r="A307" s="192" t="s">
        <v>6789</v>
      </c>
      <c r="B307" s="203" t="s">
        <v>3331</v>
      </c>
      <c r="C307" s="188" t="s">
        <v>6652</v>
      </c>
      <c r="D307" s="199" t="s">
        <v>8724</v>
      </c>
      <c r="E307" s="188" t="s">
        <v>8747</v>
      </c>
      <c r="F307" s="189" t="s">
        <v>3402</v>
      </c>
      <c r="G307" s="199" t="s">
        <v>8256</v>
      </c>
      <c r="H307" s="199" t="s">
        <v>72</v>
      </c>
      <c r="I307" s="199">
        <v>1</v>
      </c>
      <c r="J307" s="199">
        <v>1</v>
      </c>
      <c r="K307" s="199">
        <v>1</v>
      </c>
      <c r="L307" s="199">
        <v>50</v>
      </c>
      <c r="M307" s="202">
        <f>TB_Parts_Lists[[#This Row],[Quantity Initial]]+ SUMIF(TB_Transactions[Part number],TB_Parts_Lists[[#This Row],[Part Number]],TB_Transactions[Quantity])</f>
        <v>50</v>
      </c>
      <c r="N307" s="200" t="s">
        <v>4593</v>
      </c>
      <c r="O307" s="234">
        <v>5</v>
      </c>
      <c r="P307" s="199">
        <f>TB_Parts_Lists[[#This Row],[Quantity Initial]]*TB_Parts_Lists[[#This Row],[Unit Price AED]]</f>
        <v>250</v>
      </c>
      <c r="Q307" s="199">
        <f>TB_Parts_Lists[[#This Row],[Quantity Total]]*TB_Parts_Lists[[#This Row],[Unit Price AED]]</f>
        <v>250</v>
      </c>
      <c r="S307" s="199" t="s">
        <v>118</v>
      </c>
      <c r="T307" s="199" t="s">
        <v>8685</v>
      </c>
      <c r="U307" s="199" t="s">
        <v>230</v>
      </c>
    </row>
    <row r="308" spans="1:21" s="199" customFormat="1" x14ac:dyDescent="0.25">
      <c r="A308" s="192" t="s">
        <v>6790</v>
      </c>
      <c r="B308" s="203" t="s">
        <v>3329</v>
      </c>
      <c r="C308" s="188" t="s">
        <v>3347</v>
      </c>
      <c r="D308" s="199" t="s">
        <v>8724</v>
      </c>
      <c r="E308" s="188" t="s">
        <v>3541</v>
      </c>
      <c r="F308" s="189" t="s">
        <v>3403</v>
      </c>
      <c r="G308" s="199" t="s">
        <v>8256</v>
      </c>
      <c r="H308" s="199" t="s">
        <v>72</v>
      </c>
      <c r="I308" s="199">
        <v>1</v>
      </c>
      <c r="J308" s="199">
        <v>1</v>
      </c>
      <c r="K308" s="199">
        <v>1</v>
      </c>
      <c r="L308" s="199">
        <v>50</v>
      </c>
      <c r="M308" s="202">
        <f>TB_Parts_Lists[[#This Row],[Quantity Initial]]+ SUMIF(TB_Transactions[Part number],TB_Parts_Lists[[#This Row],[Part Number]],TB_Transactions[Quantity])</f>
        <v>50</v>
      </c>
      <c r="N308" s="200" t="s">
        <v>4593</v>
      </c>
      <c r="O308" s="234">
        <v>5</v>
      </c>
      <c r="P308" s="199">
        <f>TB_Parts_Lists[[#This Row],[Quantity Initial]]*TB_Parts_Lists[[#This Row],[Unit Price AED]]</f>
        <v>250</v>
      </c>
      <c r="Q308" s="199">
        <f>TB_Parts_Lists[[#This Row],[Quantity Total]]*TB_Parts_Lists[[#This Row],[Unit Price AED]]</f>
        <v>250</v>
      </c>
      <c r="S308" s="199" t="s">
        <v>118</v>
      </c>
      <c r="T308" s="199" t="s">
        <v>8675</v>
      </c>
      <c r="U308" s="199" t="s">
        <v>8675</v>
      </c>
    </row>
    <row r="309" spans="1:21" s="199" customFormat="1" x14ac:dyDescent="0.25">
      <c r="A309" s="192" t="s">
        <v>6791</v>
      </c>
      <c r="B309" s="203" t="s">
        <v>3329</v>
      </c>
      <c r="C309" s="188" t="s">
        <v>3338</v>
      </c>
      <c r="D309" s="199" t="s">
        <v>8724</v>
      </c>
      <c r="E309" s="188" t="s">
        <v>4955</v>
      </c>
      <c r="F309" s="189" t="s">
        <v>3404</v>
      </c>
      <c r="G309" s="199" t="s">
        <v>8256</v>
      </c>
      <c r="H309" s="199" t="s">
        <v>72</v>
      </c>
      <c r="I309" s="199">
        <v>1</v>
      </c>
      <c r="J309" s="199">
        <v>1</v>
      </c>
      <c r="K309" s="199">
        <v>1</v>
      </c>
      <c r="L309" s="199">
        <v>50</v>
      </c>
      <c r="M309" s="202">
        <f>TB_Parts_Lists[[#This Row],[Quantity Initial]]+ SUMIF(TB_Transactions[Part number],TB_Parts_Lists[[#This Row],[Part Number]],TB_Transactions[Quantity])</f>
        <v>50</v>
      </c>
      <c r="N309" s="200" t="s">
        <v>4593</v>
      </c>
      <c r="O309" s="234">
        <v>5</v>
      </c>
      <c r="P309" s="199">
        <f>TB_Parts_Lists[[#This Row],[Quantity Initial]]*TB_Parts_Lists[[#This Row],[Unit Price AED]]</f>
        <v>250</v>
      </c>
      <c r="Q309" s="199">
        <f>TB_Parts_Lists[[#This Row],[Quantity Total]]*TB_Parts_Lists[[#This Row],[Unit Price AED]]</f>
        <v>250</v>
      </c>
      <c r="S309" s="199" t="s">
        <v>118</v>
      </c>
      <c r="T309" s="199" t="s">
        <v>8684</v>
      </c>
      <c r="U309" s="199" t="s">
        <v>611</v>
      </c>
    </row>
    <row r="310" spans="1:21" s="199" customFormat="1" x14ac:dyDescent="0.25">
      <c r="A310" s="192" t="s">
        <v>6792</v>
      </c>
      <c r="B310" s="203" t="s">
        <v>3329</v>
      </c>
      <c r="C310" s="188" t="s">
        <v>6779</v>
      </c>
      <c r="D310" s="199" t="s">
        <v>8732</v>
      </c>
      <c r="E310" s="188" t="s">
        <v>3380</v>
      </c>
      <c r="F310" s="189" t="s">
        <v>3405</v>
      </c>
      <c r="G310" s="199" t="s">
        <v>8256</v>
      </c>
      <c r="H310" s="199" t="s">
        <v>72</v>
      </c>
      <c r="I310" s="199">
        <v>1</v>
      </c>
      <c r="J310" s="199">
        <v>1</v>
      </c>
      <c r="K310" s="199">
        <v>1</v>
      </c>
      <c r="L310" s="199">
        <v>50</v>
      </c>
      <c r="M310" s="202">
        <f>TB_Parts_Lists[[#This Row],[Quantity Initial]]+ SUMIF(TB_Transactions[Part number],TB_Parts_Lists[[#This Row],[Part Number]],TB_Transactions[Quantity])</f>
        <v>50</v>
      </c>
      <c r="N310" s="200" t="s">
        <v>4593</v>
      </c>
      <c r="O310" s="234">
        <v>5</v>
      </c>
      <c r="P310" s="199">
        <f>TB_Parts_Lists[[#This Row],[Quantity Initial]]*TB_Parts_Lists[[#This Row],[Unit Price AED]]</f>
        <v>250</v>
      </c>
      <c r="Q310" s="199">
        <f>TB_Parts_Lists[[#This Row],[Quantity Total]]*TB_Parts_Lists[[#This Row],[Unit Price AED]]</f>
        <v>250</v>
      </c>
      <c r="S310" s="199" t="s">
        <v>118</v>
      </c>
      <c r="T310" s="199" t="s">
        <v>145</v>
      </c>
      <c r="U310" s="199" t="s">
        <v>448</v>
      </c>
    </row>
    <row r="311" spans="1:21" s="199" customFormat="1" x14ac:dyDescent="0.25">
      <c r="A311" s="192" t="s">
        <v>6793</v>
      </c>
      <c r="B311" s="203" t="s">
        <v>3329</v>
      </c>
      <c r="C311" s="188" t="s">
        <v>3348</v>
      </c>
      <c r="D311" s="199" t="s">
        <v>8723</v>
      </c>
      <c r="E311" s="188" t="s">
        <v>4956</v>
      </c>
      <c r="F311" s="189" t="s">
        <v>3406</v>
      </c>
      <c r="G311" s="199" t="s">
        <v>8256</v>
      </c>
      <c r="H311" s="199" t="s">
        <v>72</v>
      </c>
      <c r="I311" s="199">
        <v>1</v>
      </c>
      <c r="J311" s="199">
        <v>1</v>
      </c>
      <c r="K311" s="199">
        <v>1</v>
      </c>
      <c r="L311" s="199">
        <v>50</v>
      </c>
      <c r="M311" s="202">
        <f>TB_Parts_Lists[[#This Row],[Quantity Initial]]+ SUMIF(TB_Transactions[Part number],TB_Parts_Lists[[#This Row],[Part Number]],TB_Transactions[Quantity])</f>
        <v>50</v>
      </c>
      <c r="N311" s="200" t="s">
        <v>4593</v>
      </c>
      <c r="O311" s="234">
        <v>5</v>
      </c>
      <c r="P311" s="199">
        <f>TB_Parts_Lists[[#This Row],[Quantity Initial]]*TB_Parts_Lists[[#This Row],[Unit Price AED]]</f>
        <v>250</v>
      </c>
      <c r="Q311" s="199">
        <f>TB_Parts_Lists[[#This Row],[Quantity Total]]*TB_Parts_Lists[[#This Row],[Unit Price AED]]</f>
        <v>250</v>
      </c>
      <c r="S311" s="199" t="s">
        <v>8675</v>
      </c>
      <c r="T311" s="199" t="s">
        <v>8675</v>
      </c>
      <c r="U311" s="199" t="s">
        <v>8675</v>
      </c>
    </row>
    <row r="312" spans="1:21" s="199" customFormat="1" x14ac:dyDescent="0.25">
      <c r="A312" s="192" t="s">
        <v>6794</v>
      </c>
      <c r="B312" s="203" t="s">
        <v>3329</v>
      </c>
      <c r="C312" s="188" t="s">
        <v>3346</v>
      </c>
      <c r="D312" s="199" t="s">
        <v>8723</v>
      </c>
      <c r="E312" s="188" t="s">
        <v>4611</v>
      </c>
      <c r="F312" s="189" t="s">
        <v>3407</v>
      </c>
      <c r="G312" s="199" t="s">
        <v>8256</v>
      </c>
      <c r="H312" s="199" t="s">
        <v>72</v>
      </c>
      <c r="I312" s="199">
        <v>1</v>
      </c>
      <c r="J312" s="199">
        <v>1</v>
      </c>
      <c r="K312" s="199">
        <v>1</v>
      </c>
      <c r="L312" s="199">
        <v>50</v>
      </c>
      <c r="M312" s="202">
        <f>TB_Parts_Lists[[#This Row],[Quantity Initial]]+ SUMIF(TB_Transactions[Part number],TB_Parts_Lists[[#This Row],[Part Number]],TB_Transactions[Quantity])</f>
        <v>50</v>
      </c>
      <c r="N312" s="200" t="s">
        <v>4593</v>
      </c>
      <c r="O312" s="234">
        <v>5</v>
      </c>
      <c r="P312" s="199">
        <f>TB_Parts_Lists[[#This Row],[Quantity Initial]]*TB_Parts_Lists[[#This Row],[Unit Price AED]]</f>
        <v>250</v>
      </c>
      <c r="Q312" s="199">
        <f>TB_Parts_Lists[[#This Row],[Quantity Total]]*TB_Parts_Lists[[#This Row],[Unit Price AED]]</f>
        <v>250</v>
      </c>
      <c r="S312" s="199" t="s">
        <v>8675</v>
      </c>
      <c r="T312" s="199" t="s">
        <v>8675</v>
      </c>
      <c r="U312" s="199" t="s">
        <v>8675</v>
      </c>
    </row>
    <row r="313" spans="1:21" s="199" customFormat="1" x14ac:dyDescent="0.25">
      <c r="A313" s="192" t="s">
        <v>6795</v>
      </c>
      <c r="B313" s="203" t="s">
        <v>3329</v>
      </c>
      <c r="C313" s="188" t="s">
        <v>3348</v>
      </c>
      <c r="D313" s="199" t="s">
        <v>8723</v>
      </c>
      <c r="E313" s="188" t="s">
        <v>4612</v>
      </c>
      <c r="F313" s="189" t="s">
        <v>4613</v>
      </c>
      <c r="G313" s="199" t="s">
        <v>8256</v>
      </c>
      <c r="H313" s="199" t="s">
        <v>72</v>
      </c>
      <c r="I313" s="199">
        <v>1</v>
      </c>
      <c r="J313" s="199">
        <v>1</v>
      </c>
      <c r="K313" s="199">
        <v>1</v>
      </c>
      <c r="L313" s="199">
        <v>50</v>
      </c>
      <c r="M313" s="202">
        <f>TB_Parts_Lists[[#This Row],[Quantity Initial]]+ SUMIF(TB_Transactions[Part number],TB_Parts_Lists[[#This Row],[Part Number]],TB_Transactions[Quantity])</f>
        <v>50</v>
      </c>
      <c r="N313" s="200" t="s">
        <v>4593</v>
      </c>
      <c r="O313" s="234">
        <v>5</v>
      </c>
      <c r="P313" s="199">
        <f>TB_Parts_Lists[[#This Row],[Quantity Initial]]*TB_Parts_Lists[[#This Row],[Unit Price AED]]</f>
        <v>250</v>
      </c>
      <c r="Q313" s="199">
        <f>TB_Parts_Lists[[#This Row],[Quantity Total]]*TB_Parts_Lists[[#This Row],[Unit Price AED]]</f>
        <v>250</v>
      </c>
      <c r="S313" s="199" t="s">
        <v>8675</v>
      </c>
      <c r="T313" s="199" t="s">
        <v>8675</v>
      </c>
      <c r="U313" s="199" t="s">
        <v>8675</v>
      </c>
    </row>
    <row r="314" spans="1:21" s="199" customFormat="1" x14ac:dyDescent="0.25">
      <c r="A314" s="192" t="s">
        <v>6796</v>
      </c>
      <c r="B314" s="203" t="s">
        <v>3329</v>
      </c>
      <c r="C314" s="188" t="s">
        <v>3346</v>
      </c>
      <c r="D314" s="199" t="s">
        <v>8723</v>
      </c>
      <c r="E314" s="188" t="s">
        <v>3542</v>
      </c>
      <c r="F314" s="189" t="s">
        <v>3408</v>
      </c>
      <c r="G314" s="199" t="s">
        <v>8256</v>
      </c>
      <c r="H314" s="199" t="s">
        <v>72</v>
      </c>
      <c r="I314" s="199">
        <v>1</v>
      </c>
      <c r="J314" s="199">
        <v>1</v>
      </c>
      <c r="K314" s="199">
        <v>1</v>
      </c>
      <c r="L314" s="199">
        <v>50</v>
      </c>
      <c r="M314" s="202">
        <f>TB_Parts_Lists[[#This Row],[Quantity Initial]]+ SUMIF(TB_Transactions[Part number],TB_Parts_Lists[[#This Row],[Part Number]],TB_Transactions[Quantity])</f>
        <v>50</v>
      </c>
      <c r="N314" s="200" t="s">
        <v>4593</v>
      </c>
      <c r="O314" s="234">
        <v>5</v>
      </c>
      <c r="P314" s="199">
        <f>TB_Parts_Lists[[#This Row],[Quantity Initial]]*TB_Parts_Lists[[#This Row],[Unit Price AED]]</f>
        <v>250</v>
      </c>
      <c r="Q314" s="199">
        <f>TB_Parts_Lists[[#This Row],[Quantity Total]]*TB_Parts_Lists[[#This Row],[Unit Price AED]]</f>
        <v>250</v>
      </c>
      <c r="S314" s="199" t="s">
        <v>8675</v>
      </c>
      <c r="T314" s="199" t="s">
        <v>8675</v>
      </c>
      <c r="U314" s="199" t="s">
        <v>8675</v>
      </c>
    </row>
    <row r="315" spans="1:21" s="199" customFormat="1" x14ac:dyDescent="0.25">
      <c r="A315" s="192" t="s">
        <v>6797</v>
      </c>
      <c r="B315" s="203" t="s">
        <v>3329</v>
      </c>
      <c r="C315" s="188" t="s">
        <v>3348</v>
      </c>
      <c r="D315" s="199" t="s">
        <v>8732</v>
      </c>
      <c r="E315" s="188" t="s">
        <v>4957</v>
      </c>
      <c r="F315" s="189" t="s">
        <v>3409</v>
      </c>
      <c r="G315" s="199" t="s">
        <v>8256</v>
      </c>
      <c r="H315" s="199" t="s">
        <v>72</v>
      </c>
      <c r="I315" s="199">
        <v>1</v>
      </c>
      <c r="J315" s="199">
        <v>1</v>
      </c>
      <c r="K315" s="199">
        <v>1</v>
      </c>
      <c r="L315" s="199">
        <v>50</v>
      </c>
      <c r="M315" s="202">
        <f>TB_Parts_Lists[[#This Row],[Quantity Initial]]+ SUMIF(TB_Transactions[Part number],TB_Parts_Lists[[#This Row],[Part Number]],TB_Transactions[Quantity])</f>
        <v>50</v>
      </c>
      <c r="N315" s="200" t="s">
        <v>4593</v>
      </c>
      <c r="O315" s="234">
        <v>5</v>
      </c>
      <c r="P315" s="199">
        <f>TB_Parts_Lists[[#This Row],[Quantity Initial]]*TB_Parts_Lists[[#This Row],[Unit Price AED]]</f>
        <v>250</v>
      </c>
      <c r="Q315" s="199">
        <f>TB_Parts_Lists[[#This Row],[Quantity Total]]*TB_Parts_Lists[[#This Row],[Unit Price AED]]</f>
        <v>250</v>
      </c>
      <c r="S315" s="199" t="s">
        <v>118</v>
      </c>
      <c r="T315" s="199" t="s">
        <v>8684</v>
      </c>
      <c r="U315" s="199" t="s">
        <v>611</v>
      </c>
    </row>
    <row r="316" spans="1:21" s="199" customFormat="1" x14ac:dyDescent="0.25">
      <c r="A316" s="192" t="s">
        <v>6798</v>
      </c>
      <c r="B316" s="203" t="s">
        <v>3329</v>
      </c>
      <c r="C316" s="188" t="s">
        <v>3348</v>
      </c>
      <c r="D316" s="199" t="s">
        <v>8724</v>
      </c>
      <c r="E316" s="188" t="s">
        <v>4958</v>
      </c>
      <c r="F316" s="189" t="s">
        <v>5954</v>
      </c>
      <c r="G316" s="199" t="s">
        <v>8256</v>
      </c>
      <c r="H316" s="199" t="s">
        <v>72</v>
      </c>
      <c r="I316" s="199">
        <v>1</v>
      </c>
      <c r="J316" s="199">
        <v>1</v>
      </c>
      <c r="K316" s="199">
        <v>1</v>
      </c>
      <c r="L316" s="199">
        <v>50</v>
      </c>
      <c r="M316" s="202">
        <f>TB_Parts_Lists[[#This Row],[Quantity Initial]]+ SUMIF(TB_Transactions[Part number],TB_Parts_Lists[[#This Row],[Part Number]],TB_Transactions[Quantity])</f>
        <v>50</v>
      </c>
      <c r="N316" s="200" t="s">
        <v>4593</v>
      </c>
      <c r="O316" s="234">
        <v>5</v>
      </c>
      <c r="P316" s="199">
        <f>TB_Parts_Lists[[#This Row],[Quantity Initial]]*TB_Parts_Lists[[#This Row],[Unit Price AED]]</f>
        <v>250</v>
      </c>
      <c r="Q316" s="199">
        <f>TB_Parts_Lists[[#This Row],[Quantity Total]]*TB_Parts_Lists[[#This Row],[Unit Price AED]]</f>
        <v>250</v>
      </c>
      <c r="S316" s="199" t="s">
        <v>118</v>
      </c>
      <c r="T316" s="199" t="s">
        <v>8684</v>
      </c>
      <c r="U316" s="199" t="s">
        <v>611</v>
      </c>
    </row>
    <row r="317" spans="1:21" s="199" customFormat="1" x14ac:dyDescent="0.25">
      <c r="A317" s="192" t="s">
        <v>6800</v>
      </c>
      <c r="B317" s="203" t="s">
        <v>3329</v>
      </c>
      <c r="C317" s="199" t="s">
        <v>6799</v>
      </c>
      <c r="D317" s="199" t="s">
        <v>8723</v>
      </c>
      <c r="E317" s="188" t="s">
        <v>4959</v>
      </c>
      <c r="F317" s="189" t="s">
        <v>3410</v>
      </c>
      <c r="G317" s="199" t="s">
        <v>8256</v>
      </c>
      <c r="H317" s="199" t="s">
        <v>72</v>
      </c>
      <c r="I317" s="199">
        <v>1</v>
      </c>
      <c r="J317" s="199">
        <v>1</v>
      </c>
      <c r="K317" s="199">
        <v>1</v>
      </c>
      <c r="L317" s="199">
        <v>50</v>
      </c>
      <c r="M317" s="202">
        <f>TB_Parts_Lists[[#This Row],[Quantity Initial]]+ SUMIF(TB_Transactions[Part number],TB_Parts_Lists[[#This Row],[Part Number]],TB_Transactions[Quantity])</f>
        <v>50</v>
      </c>
      <c r="N317" s="200" t="s">
        <v>4593</v>
      </c>
      <c r="O317" s="234">
        <v>5</v>
      </c>
      <c r="P317" s="199">
        <f>TB_Parts_Lists[[#This Row],[Quantity Initial]]*TB_Parts_Lists[[#This Row],[Unit Price AED]]</f>
        <v>250</v>
      </c>
      <c r="Q317" s="199">
        <f>TB_Parts_Lists[[#This Row],[Quantity Total]]*TB_Parts_Lists[[#This Row],[Unit Price AED]]</f>
        <v>250</v>
      </c>
      <c r="S317" s="199" t="s">
        <v>8675</v>
      </c>
      <c r="T317" s="199" t="s">
        <v>8675</v>
      </c>
      <c r="U317" s="199" t="s">
        <v>8675</v>
      </c>
    </row>
    <row r="318" spans="1:21" s="199" customFormat="1" x14ac:dyDescent="0.25">
      <c r="A318" s="192" t="s">
        <v>6801</v>
      </c>
      <c r="B318" s="203" t="s">
        <v>3329</v>
      </c>
      <c r="C318" s="188" t="s">
        <v>3338</v>
      </c>
      <c r="D318" s="199" t="s">
        <v>8724</v>
      </c>
      <c r="E318" s="188" t="s">
        <v>3543</v>
      </c>
      <c r="F318" s="189" t="s">
        <v>3411</v>
      </c>
      <c r="G318" s="199" t="s">
        <v>8256</v>
      </c>
      <c r="H318" s="199" t="s">
        <v>72</v>
      </c>
      <c r="I318" s="199">
        <v>1</v>
      </c>
      <c r="J318" s="199">
        <v>1</v>
      </c>
      <c r="K318" s="199">
        <v>1</v>
      </c>
      <c r="L318" s="199">
        <v>50</v>
      </c>
      <c r="M318" s="202">
        <f>TB_Parts_Lists[[#This Row],[Quantity Initial]]+ SUMIF(TB_Transactions[Part number],TB_Parts_Lists[[#This Row],[Part Number]],TB_Transactions[Quantity])</f>
        <v>50</v>
      </c>
      <c r="N318" s="200" t="s">
        <v>4593</v>
      </c>
      <c r="O318" s="234">
        <v>5</v>
      </c>
      <c r="P318" s="199">
        <f>TB_Parts_Lists[[#This Row],[Quantity Initial]]*TB_Parts_Lists[[#This Row],[Unit Price AED]]</f>
        <v>250</v>
      </c>
      <c r="Q318" s="199">
        <f>TB_Parts_Lists[[#This Row],[Quantity Total]]*TB_Parts_Lists[[#This Row],[Unit Price AED]]</f>
        <v>250</v>
      </c>
      <c r="S318" s="199" t="s">
        <v>8675</v>
      </c>
      <c r="T318" s="199" t="s">
        <v>8675</v>
      </c>
      <c r="U318" s="199" t="s">
        <v>8675</v>
      </c>
    </row>
    <row r="319" spans="1:21" s="199" customFormat="1" x14ac:dyDescent="0.25">
      <c r="A319" s="192" t="s">
        <v>6802</v>
      </c>
      <c r="B319" s="203" t="s">
        <v>3329</v>
      </c>
      <c r="C319" s="199" t="s">
        <v>3344</v>
      </c>
      <c r="D319" s="199" t="s">
        <v>8723</v>
      </c>
      <c r="E319" s="188" t="s">
        <v>4960</v>
      </c>
      <c r="F319" s="189" t="s">
        <v>3412</v>
      </c>
      <c r="G319" s="199" t="s">
        <v>8256</v>
      </c>
      <c r="H319" s="199" t="s">
        <v>72</v>
      </c>
      <c r="I319" s="199">
        <v>1</v>
      </c>
      <c r="J319" s="199">
        <v>1</v>
      </c>
      <c r="K319" s="199">
        <v>1</v>
      </c>
      <c r="L319" s="199">
        <v>50</v>
      </c>
      <c r="M319" s="202">
        <f>TB_Parts_Lists[[#This Row],[Quantity Initial]]+ SUMIF(TB_Transactions[Part number],TB_Parts_Lists[[#This Row],[Part Number]],TB_Transactions[Quantity])</f>
        <v>50</v>
      </c>
      <c r="N319" s="200" t="s">
        <v>4593</v>
      </c>
      <c r="O319" s="234">
        <v>5</v>
      </c>
      <c r="P319" s="199">
        <f>TB_Parts_Lists[[#This Row],[Quantity Initial]]*TB_Parts_Lists[[#This Row],[Unit Price AED]]</f>
        <v>250</v>
      </c>
      <c r="Q319" s="199">
        <f>TB_Parts_Lists[[#This Row],[Quantity Total]]*TB_Parts_Lists[[#This Row],[Unit Price AED]]</f>
        <v>250</v>
      </c>
      <c r="S319" s="199" t="s">
        <v>8675</v>
      </c>
      <c r="T319" s="199" t="s">
        <v>8675</v>
      </c>
      <c r="U319" s="199" t="s">
        <v>8675</v>
      </c>
    </row>
    <row r="320" spans="1:21" s="199" customFormat="1" x14ac:dyDescent="0.25">
      <c r="A320" s="192" t="s">
        <v>6803</v>
      </c>
      <c r="B320" s="203" t="s">
        <v>3329</v>
      </c>
      <c r="C320" s="188" t="s">
        <v>3348</v>
      </c>
      <c r="D320" s="199" t="s">
        <v>8723</v>
      </c>
      <c r="E320" s="188" t="s">
        <v>3544</v>
      </c>
      <c r="F320" s="189" t="s">
        <v>3413</v>
      </c>
      <c r="G320" s="199" t="s">
        <v>8256</v>
      </c>
      <c r="H320" s="199" t="s">
        <v>72</v>
      </c>
      <c r="I320" s="199">
        <v>1</v>
      </c>
      <c r="J320" s="199">
        <v>1</v>
      </c>
      <c r="K320" s="199">
        <v>1</v>
      </c>
      <c r="L320" s="199">
        <v>50</v>
      </c>
      <c r="M320" s="202">
        <f>TB_Parts_Lists[[#This Row],[Quantity Initial]]+ SUMIF(TB_Transactions[Part number],TB_Parts_Lists[[#This Row],[Part Number]],TB_Transactions[Quantity])</f>
        <v>50</v>
      </c>
      <c r="N320" s="200" t="s">
        <v>4593</v>
      </c>
      <c r="O320" s="234">
        <v>5</v>
      </c>
      <c r="P320" s="199">
        <f>TB_Parts_Lists[[#This Row],[Quantity Initial]]*TB_Parts_Lists[[#This Row],[Unit Price AED]]</f>
        <v>250</v>
      </c>
      <c r="Q320" s="199">
        <f>TB_Parts_Lists[[#This Row],[Quantity Total]]*TB_Parts_Lists[[#This Row],[Unit Price AED]]</f>
        <v>250</v>
      </c>
      <c r="S320" s="199" t="s">
        <v>8675</v>
      </c>
      <c r="T320" s="199" t="s">
        <v>8675</v>
      </c>
      <c r="U320" s="199" t="s">
        <v>8675</v>
      </c>
    </row>
    <row r="321" spans="1:21" s="199" customFormat="1" x14ac:dyDescent="0.25">
      <c r="A321" s="192" t="s">
        <v>6805</v>
      </c>
      <c r="B321" s="203" t="s">
        <v>3329</v>
      </c>
      <c r="C321" s="199" t="s">
        <v>6804</v>
      </c>
      <c r="D321" s="199" t="s">
        <v>8723</v>
      </c>
      <c r="E321" s="188" t="s">
        <v>3545</v>
      </c>
      <c r="F321" s="189" t="s">
        <v>3414</v>
      </c>
      <c r="G321" s="199" t="s">
        <v>8256</v>
      </c>
      <c r="H321" s="199" t="s">
        <v>72</v>
      </c>
      <c r="I321" s="199">
        <v>1</v>
      </c>
      <c r="J321" s="199">
        <v>1</v>
      </c>
      <c r="K321" s="199">
        <v>1</v>
      </c>
      <c r="L321" s="199">
        <v>50</v>
      </c>
      <c r="M321" s="202">
        <f>TB_Parts_Lists[[#This Row],[Quantity Initial]]+ SUMIF(TB_Transactions[Part number],TB_Parts_Lists[[#This Row],[Part Number]],TB_Transactions[Quantity])</f>
        <v>50</v>
      </c>
      <c r="N321" s="200" t="s">
        <v>4593</v>
      </c>
      <c r="O321" s="234">
        <v>5</v>
      </c>
      <c r="P321" s="199">
        <f>TB_Parts_Lists[[#This Row],[Quantity Initial]]*TB_Parts_Lists[[#This Row],[Unit Price AED]]</f>
        <v>250</v>
      </c>
      <c r="Q321" s="199">
        <f>TB_Parts_Lists[[#This Row],[Quantity Total]]*TB_Parts_Lists[[#This Row],[Unit Price AED]]</f>
        <v>250</v>
      </c>
      <c r="S321" s="199" t="s">
        <v>8675</v>
      </c>
      <c r="T321" s="199" t="s">
        <v>8675</v>
      </c>
      <c r="U321" s="199" t="s">
        <v>8675</v>
      </c>
    </row>
    <row r="322" spans="1:21" s="199" customFormat="1" x14ac:dyDescent="0.25">
      <c r="A322" s="192" t="s">
        <v>6806</v>
      </c>
      <c r="B322" s="203" t="s">
        <v>3329</v>
      </c>
      <c r="C322" s="188" t="s">
        <v>6804</v>
      </c>
      <c r="D322" s="199" t="s">
        <v>8723</v>
      </c>
      <c r="E322" s="188" t="s">
        <v>4961</v>
      </c>
      <c r="F322" s="189" t="s">
        <v>3415</v>
      </c>
      <c r="G322" s="199" t="s">
        <v>8256</v>
      </c>
      <c r="H322" s="199" t="s">
        <v>72</v>
      </c>
      <c r="I322" s="199">
        <v>1</v>
      </c>
      <c r="J322" s="199">
        <v>1</v>
      </c>
      <c r="K322" s="199">
        <v>1</v>
      </c>
      <c r="L322" s="199">
        <v>50</v>
      </c>
      <c r="M322" s="202">
        <f>TB_Parts_Lists[[#This Row],[Quantity Initial]]+ SUMIF(TB_Transactions[Part number],TB_Parts_Lists[[#This Row],[Part Number]],TB_Transactions[Quantity])</f>
        <v>50</v>
      </c>
      <c r="N322" s="200" t="s">
        <v>4593</v>
      </c>
      <c r="O322" s="234">
        <v>5</v>
      </c>
      <c r="P322" s="199">
        <f>TB_Parts_Lists[[#This Row],[Quantity Initial]]*TB_Parts_Lists[[#This Row],[Unit Price AED]]</f>
        <v>250</v>
      </c>
      <c r="Q322" s="199">
        <f>TB_Parts_Lists[[#This Row],[Quantity Total]]*TB_Parts_Lists[[#This Row],[Unit Price AED]]</f>
        <v>250</v>
      </c>
      <c r="S322" s="199" t="s">
        <v>8675</v>
      </c>
      <c r="T322" s="199" t="s">
        <v>8675</v>
      </c>
      <c r="U322" s="199" t="s">
        <v>8675</v>
      </c>
    </row>
    <row r="323" spans="1:21" s="199" customFormat="1" x14ac:dyDescent="0.25">
      <c r="A323" s="192" t="s">
        <v>6807</v>
      </c>
      <c r="B323" s="203" t="s">
        <v>3329</v>
      </c>
      <c r="C323" s="188" t="s">
        <v>3347</v>
      </c>
      <c r="D323" s="199" t="s">
        <v>8732</v>
      </c>
      <c r="E323" s="188" t="s">
        <v>3546</v>
      </c>
      <c r="F323" s="189" t="s">
        <v>3416</v>
      </c>
      <c r="G323" s="199" t="s">
        <v>8256</v>
      </c>
      <c r="H323" s="199" t="s">
        <v>72</v>
      </c>
      <c r="I323" s="199">
        <v>1</v>
      </c>
      <c r="J323" s="199">
        <v>1</v>
      </c>
      <c r="K323" s="199">
        <v>1</v>
      </c>
      <c r="L323" s="199">
        <v>50</v>
      </c>
      <c r="M323" s="202">
        <f>TB_Parts_Lists[[#This Row],[Quantity Initial]]+ SUMIF(TB_Transactions[Part number],TB_Parts_Lists[[#This Row],[Part Number]],TB_Transactions[Quantity])</f>
        <v>50</v>
      </c>
      <c r="N323" s="200" t="s">
        <v>4593</v>
      </c>
      <c r="O323" s="234">
        <v>5</v>
      </c>
      <c r="P323" s="199">
        <f>TB_Parts_Lists[[#This Row],[Quantity Initial]]*TB_Parts_Lists[[#This Row],[Unit Price AED]]</f>
        <v>250</v>
      </c>
      <c r="Q323" s="199">
        <f>TB_Parts_Lists[[#This Row],[Quantity Total]]*TB_Parts_Lists[[#This Row],[Unit Price AED]]</f>
        <v>250</v>
      </c>
      <c r="S323" s="199" t="s">
        <v>118</v>
      </c>
      <c r="T323" s="199" t="s">
        <v>8684</v>
      </c>
      <c r="U323" s="199" t="s">
        <v>611</v>
      </c>
    </row>
    <row r="324" spans="1:21" s="199" customFormat="1" x14ac:dyDescent="0.25">
      <c r="A324" s="192" t="s">
        <v>6808</v>
      </c>
      <c r="B324" s="203" t="s">
        <v>3329</v>
      </c>
      <c r="C324" s="188" t="s">
        <v>3347</v>
      </c>
      <c r="D324" s="199" t="s">
        <v>8724</v>
      </c>
      <c r="E324" s="188" t="s">
        <v>4962</v>
      </c>
      <c r="F324" s="189" t="s">
        <v>3417</v>
      </c>
      <c r="G324" s="199" t="s">
        <v>8256</v>
      </c>
      <c r="H324" s="199" t="s">
        <v>8640</v>
      </c>
      <c r="I324" s="199">
        <v>1</v>
      </c>
      <c r="J324" s="199">
        <v>1</v>
      </c>
      <c r="K324" s="199">
        <v>1</v>
      </c>
      <c r="L324" s="199">
        <v>50</v>
      </c>
      <c r="M324" s="202">
        <f>TB_Parts_Lists[[#This Row],[Quantity Initial]]+ SUMIF(TB_Transactions[Part number],TB_Parts_Lists[[#This Row],[Part Number]],TB_Transactions[Quantity])</f>
        <v>50</v>
      </c>
      <c r="N324" s="200" t="s">
        <v>4593</v>
      </c>
      <c r="O324" s="234">
        <v>5</v>
      </c>
      <c r="P324" s="199">
        <f>TB_Parts_Lists[[#This Row],[Quantity Initial]]*TB_Parts_Lists[[#This Row],[Unit Price AED]]</f>
        <v>250</v>
      </c>
      <c r="Q324" s="199">
        <f>TB_Parts_Lists[[#This Row],[Quantity Total]]*TB_Parts_Lists[[#This Row],[Unit Price AED]]</f>
        <v>250</v>
      </c>
      <c r="S324" s="199" t="s">
        <v>118</v>
      </c>
      <c r="T324" s="199" t="s">
        <v>8675</v>
      </c>
      <c r="U324" s="199" t="s">
        <v>8675</v>
      </c>
    </row>
    <row r="325" spans="1:21" s="199" customFormat="1" x14ac:dyDescent="0.25">
      <c r="A325" s="192" t="s">
        <v>6809</v>
      </c>
      <c r="B325" s="203" t="s">
        <v>3329</v>
      </c>
      <c r="C325" s="188" t="s">
        <v>3344</v>
      </c>
      <c r="D325" s="199" t="s">
        <v>8723</v>
      </c>
      <c r="E325" s="188" t="s">
        <v>4963</v>
      </c>
      <c r="F325" s="189" t="s">
        <v>3418</v>
      </c>
      <c r="G325" s="199" t="s">
        <v>8256</v>
      </c>
      <c r="H325" s="199" t="s">
        <v>72</v>
      </c>
      <c r="I325" s="199">
        <v>1</v>
      </c>
      <c r="J325" s="199">
        <v>1</v>
      </c>
      <c r="K325" s="199">
        <v>1</v>
      </c>
      <c r="L325" s="199">
        <v>50</v>
      </c>
      <c r="M325" s="202">
        <f>TB_Parts_Lists[[#This Row],[Quantity Initial]]+ SUMIF(TB_Transactions[Part number],TB_Parts_Lists[[#This Row],[Part Number]],TB_Transactions[Quantity])</f>
        <v>50</v>
      </c>
      <c r="N325" s="200" t="s">
        <v>4593</v>
      </c>
      <c r="O325" s="234">
        <v>5</v>
      </c>
      <c r="P325" s="199">
        <f>TB_Parts_Lists[[#This Row],[Quantity Initial]]*TB_Parts_Lists[[#This Row],[Unit Price AED]]</f>
        <v>250</v>
      </c>
      <c r="Q325" s="199">
        <f>TB_Parts_Lists[[#This Row],[Quantity Total]]*TB_Parts_Lists[[#This Row],[Unit Price AED]]</f>
        <v>250</v>
      </c>
      <c r="S325" s="199" t="s">
        <v>8675</v>
      </c>
      <c r="T325" s="199" t="s">
        <v>8675</v>
      </c>
      <c r="U325" s="199" t="s">
        <v>8675</v>
      </c>
    </row>
    <row r="326" spans="1:21" s="199" customFormat="1" x14ac:dyDescent="0.25">
      <c r="A326" s="192" t="s">
        <v>6810</v>
      </c>
      <c r="B326" s="203" t="s">
        <v>3329</v>
      </c>
      <c r="C326" s="188" t="s">
        <v>6779</v>
      </c>
      <c r="D326" s="199" t="s">
        <v>8724</v>
      </c>
      <c r="E326" s="188" t="s">
        <v>4964</v>
      </c>
      <c r="F326" s="189" t="s">
        <v>3419</v>
      </c>
      <c r="G326" s="199" t="s">
        <v>8256</v>
      </c>
      <c r="H326" s="199" t="s">
        <v>72</v>
      </c>
      <c r="I326" s="199">
        <v>1</v>
      </c>
      <c r="J326" s="199">
        <v>1</v>
      </c>
      <c r="K326" s="199">
        <v>1</v>
      </c>
      <c r="L326" s="199">
        <v>50</v>
      </c>
      <c r="M326" s="202">
        <f>TB_Parts_Lists[[#This Row],[Quantity Initial]]+ SUMIF(TB_Transactions[Part number],TB_Parts_Lists[[#This Row],[Part Number]],TB_Transactions[Quantity])</f>
        <v>50</v>
      </c>
      <c r="N326" s="200" t="s">
        <v>4593</v>
      </c>
      <c r="O326" s="234">
        <v>5</v>
      </c>
      <c r="P326" s="199">
        <f>TB_Parts_Lists[[#This Row],[Quantity Initial]]*TB_Parts_Lists[[#This Row],[Unit Price AED]]</f>
        <v>250</v>
      </c>
      <c r="Q326" s="199">
        <f>TB_Parts_Lists[[#This Row],[Quantity Total]]*TB_Parts_Lists[[#This Row],[Unit Price AED]]</f>
        <v>250</v>
      </c>
      <c r="S326" s="199" t="s">
        <v>118</v>
      </c>
      <c r="T326" s="199" t="s">
        <v>8684</v>
      </c>
      <c r="U326" s="199" t="s">
        <v>611</v>
      </c>
    </row>
    <row r="327" spans="1:21" s="199" customFormat="1" x14ac:dyDescent="0.25">
      <c r="A327" s="192" t="s">
        <v>6812</v>
      </c>
      <c r="B327" s="203" t="s">
        <v>3329</v>
      </c>
      <c r="C327" s="188" t="s">
        <v>3338</v>
      </c>
      <c r="D327" s="199" t="s">
        <v>8723</v>
      </c>
      <c r="E327" s="188" t="s">
        <v>4965</v>
      </c>
      <c r="F327" s="189" t="s">
        <v>3420</v>
      </c>
      <c r="G327" s="199" t="s">
        <v>8256</v>
      </c>
      <c r="H327" s="199" t="s">
        <v>72</v>
      </c>
      <c r="I327" s="199">
        <v>1</v>
      </c>
      <c r="J327" s="199">
        <v>1</v>
      </c>
      <c r="K327" s="199">
        <v>1</v>
      </c>
      <c r="L327" s="199">
        <v>50</v>
      </c>
      <c r="M327" s="202">
        <f>TB_Parts_Lists[[#This Row],[Quantity Initial]]+ SUMIF(TB_Transactions[Part number],TB_Parts_Lists[[#This Row],[Part Number]],TB_Transactions[Quantity])</f>
        <v>50</v>
      </c>
      <c r="N327" s="200" t="s">
        <v>4593</v>
      </c>
      <c r="O327" s="234">
        <v>5</v>
      </c>
      <c r="P327" s="199">
        <f>TB_Parts_Lists[[#This Row],[Quantity Initial]]*TB_Parts_Lists[[#This Row],[Unit Price AED]]</f>
        <v>250</v>
      </c>
      <c r="Q327" s="199">
        <f>TB_Parts_Lists[[#This Row],[Quantity Total]]*TB_Parts_Lists[[#This Row],[Unit Price AED]]</f>
        <v>250</v>
      </c>
      <c r="S327" s="199" t="s">
        <v>8675</v>
      </c>
      <c r="T327" s="199" t="s">
        <v>8675</v>
      </c>
      <c r="U327" s="199" t="s">
        <v>8675</v>
      </c>
    </row>
    <row r="328" spans="1:21" s="199" customFormat="1" x14ac:dyDescent="0.25">
      <c r="A328" s="192" t="s">
        <v>6813</v>
      </c>
      <c r="B328" s="203" t="s">
        <v>3329</v>
      </c>
      <c r="C328" s="199" t="s">
        <v>6811</v>
      </c>
      <c r="D328" s="199" t="s">
        <v>8723</v>
      </c>
      <c r="E328" s="188" t="s">
        <v>4966</v>
      </c>
      <c r="F328" s="189" t="s">
        <v>3421</v>
      </c>
      <c r="G328" s="199" t="s">
        <v>8256</v>
      </c>
      <c r="H328" s="199" t="s">
        <v>72</v>
      </c>
      <c r="I328" s="199">
        <v>1</v>
      </c>
      <c r="J328" s="199">
        <v>1</v>
      </c>
      <c r="K328" s="199">
        <v>1</v>
      </c>
      <c r="L328" s="199">
        <v>50</v>
      </c>
      <c r="M328" s="202">
        <f>TB_Parts_Lists[[#This Row],[Quantity Initial]]+ SUMIF(TB_Transactions[Part number],TB_Parts_Lists[[#This Row],[Part Number]],TB_Transactions[Quantity])</f>
        <v>50</v>
      </c>
      <c r="N328" s="200" t="s">
        <v>4593</v>
      </c>
      <c r="O328" s="234">
        <v>5</v>
      </c>
      <c r="P328" s="199">
        <f>TB_Parts_Lists[[#This Row],[Quantity Initial]]*TB_Parts_Lists[[#This Row],[Unit Price AED]]</f>
        <v>250</v>
      </c>
      <c r="Q328" s="199">
        <f>TB_Parts_Lists[[#This Row],[Quantity Total]]*TB_Parts_Lists[[#This Row],[Unit Price AED]]</f>
        <v>250</v>
      </c>
      <c r="S328" s="199" t="s">
        <v>8675</v>
      </c>
      <c r="T328" s="199" t="s">
        <v>8675</v>
      </c>
      <c r="U328" s="199" t="s">
        <v>8675</v>
      </c>
    </row>
    <row r="329" spans="1:21" s="199" customFormat="1" x14ac:dyDescent="0.25">
      <c r="A329" s="192" t="s">
        <v>6814</v>
      </c>
      <c r="B329" s="203" t="s">
        <v>3329</v>
      </c>
      <c r="C329" s="188" t="s">
        <v>3344</v>
      </c>
      <c r="D329" s="199" t="s">
        <v>8724</v>
      </c>
      <c r="E329" s="188" t="s">
        <v>4967</v>
      </c>
      <c r="F329" s="189" t="s">
        <v>4614</v>
      </c>
      <c r="G329" s="199" t="s">
        <v>8256</v>
      </c>
      <c r="H329" s="199" t="s">
        <v>72</v>
      </c>
      <c r="I329" s="199">
        <v>1</v>
      </c>
      <c r="J329" s="199">
        <v>1</v>
      </c>
      <c r="K329" s="199">
        <v>1</v>
      </c>
      <c r="L329" s="199">
        <v>50</v>
      </c>
      <c r="M329" s="202">
        <f>TB_Parts_Lists[[#This Row],[Quantity Initial]]+ SUMIF(TB_Transactions[Part number],TB_Parts_Lists[[#This Row],[Part Number]],TB_Transactions[Quantity])</f>
        <v>50</v>
      </c>
      <c r="N329" s="200" t="s">
        <v>4593</v>
      </c>
      <c r="O329" s="234">
        <v>5</v>
      </c>
      <c r="P329" s="199">
        <f>TB_Parts_Lists[[#This Row],[Quantity Initial]]*TB_Parts_Lists[[#This Row],[Unit Price AED]]</f>
        <v>250</v>
      </c>
      <c r="Q329" s="199">
        <f>TB_Parts_Lists[[#This Row],[Quantity Total]]*TB_Parts_Lists[[#This Row],[Unit Price AED]]</f>
        <v>250</v>
      </c>
      <c r="S329" s="199" t="s">
        <v>118</v>
      </c>
      <c r="T329" s="199" t="s">
        <v>8675</v>
      </c>
      <c r="U329" s="199" t="s">
        <v>8675</v>
      </c>
    </row>
    <row r="330" spans="1:21" s="199" customFormat="1" x14ac:dyDescent="0.25">
      <c r="A330" s="192" t="s">
        <v>6815</v>
      </c>
      <c r="B330" s="203" t="s">
        <v>3329</v>
      </c>
      <c r="C330" s="188" t="s">
        <v>3348</v>
      </c>
      <c r="D330" s="199" t="s">
        <v>8724</v>
      </c>
      <c r="E330" s="188" t="s">
        <v>4968</v>
      </c>
      <c r="F330" s="189" t="s">
        <v>4615</v>
      </c>
      <c r="G330" s="199" t="s">
        <v>8256</v>
      </c>
      <c r="H330" s="199" t="s">
        <v>72</v>
      </c>
      <c r="I330" s="199">
        <v>1</v>
      </c>
      <c r="J330" s="199">
        <v>1</v>
      </c>
      <c r="K330" s="199">
        <v>1</v>
      </c>
      <c r="L330" s="199">
        <v>50</v>
      </c>
      <c r="M330" s="202">
        <f>TB_Parts_Lists[[#This Row],[Quantity Initial]]+ SUMIF(TB_Transactions[Part number],TB_Parts_Lists[[#This Row],[Part Number]],TB_Transactions[Quantity])</f>
        <v>50</v>
      </c>
      <c r="N330" s="200" t="s">
        <v>4593</v>
      </c>
      <c r="O330" s="234">
        <v>5</v>
      </c>
      <c r="P330" s="199">
        <f>TB_Parts_Lists[[#This Row],[Quantity Initial]]*TB_Parts_Lists[[#This Row],[Unit Price AED]]</f>
        <v>250</v>
      </c>
      <c r="Q330" s="199">
        <f>TB_Parts_Lists[[#This Row],[Quantity Total]]*TB_Parts_Lists[[#This Row],[Unit Price AED]]</f>
        <v>250</v>
      </c>
      <c r="S330" s="199" t="s">
        <v>118</v>
      </c>
      <c r="T330" s="199" t="s">
        <v>8684</v>
      </c>
      <c r="U330" s="199" t="s">
        <v>611</v>
      </c>
    </row>
    <row r="331" spans="1:21" s="199" customFormat="1" x14ac:dyDescent="0.25">
      <c r="A331" s="192" t="s">
        <v>6816</v>
      </c>
      <c r="B331" s="203" t="s">
        <v>3329</v>
      </c>
      <c r="C331" s="188" t="s">
        <v>3347</v>
      </c>
      <c r="D331" s="199" t="s">
        <v>8723</v>
      </c>
      <c r="E331" s="188" t="s">
        <v>4969</v>
      </c>
      <c r="F331" s="189" t="s">
        <v>3422</v>
      </c>
      <c r="G331" s="199" t="s">
        <v>8256</v>
      </c>
      <c r="H331" s="199" t="s">
        <v>72</v>
      </c>
      <c r="I331" s="199">
        <v>1</v>
      </c>
      <c r="J331" s="199">
        <v>1</v>
      </c>
      <c r="K331" s="199">
        <v>1</v>
      </c>
      <c r="L331" s="199">
        <v>50</v>
      </c>
      <c r="M331" s="202">
        <f>TB_Parts_Lists[[#This Row],[Quantity Initial]]+ SUMIF(TB_Transactions[Part number],TB_Parts_Lists[[#This Row],[Part Number]],TB_Transactions[Quantity])</f>
        <v>50</v>
      </c>
      <c r="N331" s="200" t="s">
        <v>4593</v>
      </c>
      <c r="O331" s="234">
        <v>5</v>
      </c>
      <c r="P331" s="199">
        <f>TB_Parts_Lists[[#This Row],[Quantity Initial]]*TB_Parts_Lists[[#This Row],[Unit Price AED]]</f>
        <v>250</v>
      </c>
      <c r="Q331" s="199">
        <f>TB_Parts_Lists[[#This Row],[Quantity Total]]*TB_Parts_Lists[[#This Row],[Unit Price AED]]</f>
        <v>250</v>
      </c>
      <c r="S331" s="199" t="s">
        <v>8675</v>
      </c>
      <c r="T331" s="199" t="s">
        <v>8675</v>
      </c>
      <c r="U331" s="199" t="s">
        <v>8675</v>
      </c>
    </row>
    <row r="332" spans="1:21" s="199" customFormat="1" x14ac:dyDescent="0.25">
      <c r="A332" s="192" t="s">
        <v>6817</v>
      </c>
      <c r="B332" s="203" t="s">
        <v>3329</v>
      </c>
      <c r="C332" s="188" t="s">
        <v>3347</v>
      </c>
      <c r="D332" s="199" t="s">
        <v>8723</v>
      </c>
      <c r="E332" s="188" t="s">
        <v>4970</v>
      </c>
      <c r="F332" s="189" t="s">
        <v>3423</v>
      </c>
      <c r="G332" s="199" t="s">
        <v>8256</v>
      </c>
      <c r="H332" s="199" t="s">
        <v>72</v>
      </c>
      <c r="I332" s="199">
        <v>1</v>
      </c>
      <c r="J332" s="199">
        <v>1</v>
      </c>
      <c r="K332" s="199">
        <v>1</v>
      </c>
      <c r="L332" s="199">
        <v>50</v>
      </c>
      <c r="M332" s="202">
        <f>TB_Parts_Lists[[#This Row],[Quantity Initial]]+ SUMIF(TB_Transactions[Part number],TB_Parts_Lists[[#This Row],[Part Number]],TB_Transactions[Quantity])</f>
        <v>50</v>
      </c>
      <c r="N332" s="200" t="s">
        <v>4593</v>
      </c>
      <c r="O332" s="234">
        <v>5</v>
      </c>
      <c r="P332" s="199">
        <f>TB_Parts_Lists[[#This Row],[Quantity Initial]]*TB_Parts_Lists[[#This Row],[Unit Price AED]]</f>
        <v>250</v>
      </c>
      <c r="Q332" s="199">
        <f>TB_Parts_Lists[[#This Row],[Quantity Total]]*TB_Parts_Lists[[#This Row],[Unit Price AED]]</f>
        <v>250</v>
      </c>
      <c r="S332" s="199" t="s">
        <v>8675</v>
      </c>
      <c r="T332" s="199" t="s">
        <v>8675</v>
      </c>
      <c r="U332" s="199" t="s">
        <v>8675</v>
      </c>
    </row>
    <row r="333" spans="1:21" s="199" customFormat="1" x14ac:dyDescent="0.25">
      <c r="A333" s="192" t="s">
        <v>6818</v>
      </c>
      <c r="B333" s="203" t="s">
        <v>3329</v>
      </c>
      <c r="C333" s="188" t="s">
        <v>3338</v>
      </c>
      <c r="D333" s="199" t="s">
        <v>8723</v>
      </c>
      <c r="E333" s="188" t="s">
        <v>3381</v>
      </c>
      <c r="F333" s="189" t="s">
        <v>3424</v>
      </c>
      <c r="G333" s="199" t="s">
        <v>8256</v>
      </c>
      <c r="H333" s="199" t="s">
        <v>72</v>
      </c>
      <c r="I333" s="199">
        <v>1</v>
      </c>
      <c r="J333" s="199">
        <v>1</v>
      </c>
      <c r="K333" s="199">
        <v>1</v>
      </c>
      <c r="L333" s="199">
        <v>50</v>
      </c>
      <c r="M333" s="202">
        <f>TB_Parts_Lists[[#This Row],[Quantity Initial]]+ SUMIF(TB_Transactions[Part number],TB_Parts_Lists[[#This Row],[Part Number]],TB_Transactions[Quantity])</f>
        <v>50</v>
      </c>
      <c r="N333" s="200" t="s">
        <v>4593</v>
      </c>
      <c r="O333" s="234">
        <v>5</v>
      </c>
      <c r="P333" s="199">
        <f>TB_Parts_Lists[[#This Row],[Quantity Initial]]*TB_Parts_Lists[[#This Row],[Unit Price AED]]</f>
        <v>250</v>
      </c>
      <c r="Q333" s="199">
        <f>TB_Parts_Lists[[#This Row],[Quantity Total]]*TB_Parts_Lists[[#This Row],[Unit Price AED]]</f>
        <v>250</v>
      </c>
      <c r="S333" s="199" t="s">
        <v>8675</v>
      </c>
      <c r="T333" s="199" t="s">
        <v>8675</v>
      </c>
      <c r="U333" s="199" t="s">
        <v>8675</v>
      </c>
    </row>
    <row r="334" spans="1:21" s="199" customFormat="1" x14ac:dyDescent="0.25">
      <c r="A334" s="192" t="s">
        <v>6819</v>
      </c>
      <c r="B334" s="203" t="s">
        <v>3329</v>
      </c>
      <c r="C334" s="199" t="s">
        <v>5277</v>
      </c>
      <c r="D334" s="199" t="s">
        <v>8723</v>
      </c>
      <c r="E334" s="188" t="s">
        <v>3382</v>
      </c>
      <c r="F334" s="189" t="s">
        <v>3425</v>
      </c>
      <c r="G334" s="199" t="s">
        <v>8256</v>
      </c>
      <c r="H334" s="199" t="s">
        <v>72</v>
      </c>
      <c r="I334" s="199">
        <v>1</v>
      </c>
      <c r="J334" s="199">
        <v>1</v>
      </c>
      <c r="K334" s="199">
        <v>1</v>
      </c>
      <c r="L334" s="199">
        <v>50</v>
      </c>
      <c r="M334" s="202">
        <f>TB_Parts_Lists[[#This Row],[Quantity Initial]]+ SUMIF(TB_Transactions[Part number],TB_Parts_Lists[[#This Row],[Part Number]],TB_Transactions[Quantity])</f>
        <v>50</v>
      </c>
      <c r="N334" s="200" t="s">
        <v>4593</v>
      </c>
      <c r="O334" s="234">
        <v>5</v>
      </c>
      <c r="P334" s="199">
        <f>TB_Parts_Lists[[#This Row],[Quantity Initial]]*TB_Parts_Lists[[#This Row],[Unit Price AED]]</f>
        <v>250</v>
      </c>
      <c r="Q334" s="199">
        <f>TB_Parts_Lists[[#This Row],[Quantity Total]]*TB_Parts_Lists[[#This Row],[Unit Price AED]]</f>
        <v>250</v>
      </c>
      <c r="S334" s="199" t="s">
        <v>8675</v>
      </c>
      <c r="T334" s="199" t="s">
        <v>8675</v>
      </c>
      <c r="U334" s="199" t="s">
        <v>8675</v>
      </c>
    </row>
    <row r="335" spans="1:21" s="199" customFormat="1" x14ac:dyDescent="0.25">
      <c r="A335" s="192" t="s">
        <v>6822</v>
      </c>
      <c r="B335" s="203" t="s">
        <v>3329</v>
      </c>
      <c r="C335" s="199" t="s">
        <v>6820</v>
      </c>
      <c r="D335" s="199" t="s">
        <v>8724</v>
      </c>
      <c r="E335" s="188" t="s">
        <v>3547</v>
      </c>
      <c r="F335" s="189" t="s">
        <v>3426</v>
      </c>
      <c r="G335" s="199" t="s">
        <v>8256</v>
      </c>
      <c r="H335" s="199" t="s">
        <v>72</v>
      </c>
      <c r="I335" s="199">
        <v>1</v>
      </c>
      <c r="J335" s="199">
        <v>1</v>
      </c>
      <c r="K335" s="199">
        <v>1</v>
      </c>
      <c r="L335" s="199">
        <v>50</v>
      </c>
      <c r="M335" s="202">
        <f>TB_Parts_Lists[[#This Row],[Quantity Initial]]+ SUMIF(TB_Transactions[Part number],TB_Parts_Lists[[#This Row],[Part Number]],TB_Transactions[Quantity])</f>
        <v>50</v>
      </c>
      <c r="N335" s="200" t="s">
        <v>4593</v>
      </c>
      <c r="O335" s="234">
        <v>5</v>
      </c>
      <c r="P335" s="199">
        <f>TB_Parts_Lists[[#This Row],[Quantity Initial]]*TB_Parts_Lists[[#This Row],[Unit Price AED]]</f>
        <v>250</v>
      </c>
      <c r="Q335" s="199">
        <f>TB_Parts_Lists[[#This Row],[Quantity Total]]*TB_Parts_Lists[[#This Row],[Unit Price AED]]</f>
        <v>250</v>
      </c>
      <c r="S335" s="199" t="s">
        <v>118</v>
      </c>
      <c r="T335" s="199" t="s">
        <v>8675</v>
      </c>
      <c r="U335" s="199" t="s">
        <v>8675</v>
      </c>
    </row>
    <row r="336" spans="1:21" s="199" customFormat="1" x14ac:dyDescent="0.25">
      <c r="A336" s="192" t="s">
        <v>6823</v>
      </c>
      <c r="B336" s="203" t="s">
        <v>3329</v>
      </c>
      <c r="C336" s="188" t="s">
        <v>6820</v>
      </c>
      <c r="D336" s="199" t="s">
        <v>8724</v>
      </c>
      <c r="E336" s="188" t="s">
        <v>3548</v>
      </c>
      <c r="F336" s="189" t="s">
        <v>3427</v>
      </c>
      <c r="G336" s="199" t="s">
        <v>8256</v>
      </c>
      <c r="H336" s="199" t="s">
        <v>72</v>
      </c>
      <c r="I336" s="199">
        <v>1</v>
      </c>
      <c r="J336" s="199">
        <v>1</v>
      </c>
      <c r="K336" s="199">
        <v>1</v>
      </c>
      <c r="L336" s="199">
        <v>50</v>
      </c>
      <c r="M336" s="202">
        <f>TB_Parts_Lists[[#This Row],[Quantity Initial]]+ SUMIF(TB_Transactions[Part number],TB_Parts_Lists[[#This Row],[Part Number]],TB_Transactions[Quantity])</f>
        <v>50</v>
      </c>
      <c r="N336" s="200" t="s">
        <v>4593</v>
      </c>
      <c r="O336" s="234">
        <v>5</v>
      </c>
      <c r="P336" s="199">
        <f>TB_Parts_Lists[[#This Row],[Quantity Initial]]*TB_Parts_Lists[[#This Row],[Unit Price AED]]</f>
        <v>250</v>
      </c>
      <c r="Q336" s="199">
        <f>TB_Parts_Lists[[#This Row],[Quantity Total]]*TB_Parts_Lists[[#This Row],[Unit Price AED]]</f>
        <v>250</v>
      </c>
      <c r="S336" s="199" t="s">
        <v>118</v>
      </c>
      <c r="T336" s="199" t="s">
        <v>8675</v>
      </c>
      <c r="U336" s="199" t="s">
        <v>8675</v>
      </c>
    </row>
    <row r="337" spans="1:21" s="199" customFormat="1" x14ac:dyDescent="0.25">
      <c r="A337" s="192" t="s">
        <v>6824</v>
      </c>
      <c r="B337" s="203" t="s">
        <v>3329</v>
      </c>
      <c r="C337" s="188" t="s">
        <v>6820</v>
      </c>
      <c r="D337" s="199" t="s">
        <v>8723</v>
      </c>
      <c r="E337" s="188" t="s">
        <v>4971</v>
      </c>
      <c r="F337" s="189" t="s">
        <v>5955</v>
      </c>
      <c r="G337" s="199" t="s">
        <v>8256</v>
      </c>
      <c r="H337" s="199" t="s">
        <v>72</v>
      </c>
      <c r="I337" s="199">
        <v>1</v>
      </c>
      <c r="J337" s="199">
        <v>1</v>
      </c>
      <c r="K337" s="199">
        <v>1</v>
      </c>
      <c r="L337" s="199">
        <v>50</v>
      </c>
      <c r="M337" s="202">
        <f>TB_Parts_Lists[[#This Row],[Quantity Initial]]+ SUMIF(TB_Transactions[Part number],TB_Parts_Lists[[#This Row],[Part Number]],TB_Transactions[Quantity])</f>
        <v>50</v>
      </c>
      <c r="N337" s="200" t="s">
        <v>4593</v>
      </c>
      <c r="O337" s="234">
        <v>5</v>
      </c>
      <c r="P337" s="199">
        <f>TB_Parts_Lists[[#This Row],[Quantity Initial]]*TB_Parts_Lists[[#This Row],[Unit Price AED]]</f>
        <v>250</v>
      </c>
      <c r="Q337" s="199">
        <f>TB_Parts_Lists[[#This Row],[Quantity Total]]*TB_Parts_Lists[[#This Row],[Unit Price AED]]</f>
        <v>250</v>
      </c>
      <c r="S337" s="199" t="s">
        <v>118</v>
      </c>
      <c r="T337" s="199" t="s">
        <v>8675</v>
      </c>
      <c r="U337" s="199" t="s">
        <v>8675</v>
      </c>
    </row>
    <row r="338" spans="1:21" s="199" customFormat="1" x14ac:dyDescent="0.25">
      <c r="A338" s="192" t="s">
        <v>6825</v>
      </c>
      <c r="B338" s="203" t="s">
        <v>3329</v>
      </c>
      <c r="C338" s="188" t="s">
        <v>6820</v>
      </c>
      <c r="D338" s="199" t="s">
        <v>8723</v>
      </c>
      <c r="E338" s="188" t="s">
        <v>3383</v>
      </c>
      <c r="F338" s="189" t="s">
        <v>3428</v>
      </c>
      <c r="G338" s="199" t="s">
        <v>8256</v>
      </c>
      <c r="H338" s="199" t="s">
        <v>72</v>
      </c>
      <c r="I338" s="199">
        <v>1</v>
      </c>
      <c r="J338" s="199">
        <v>1</v>
      </c>
      <c r="K338" s="199">
        <v>1</v>
      </c>
      <c r="L338" s="199">
        <v>50</v>
      </c>
      <c r="M338" s="202">
        <f>TB_Parts_Lists[[#This Row],[Quantity Initial]]+ SUMIF(TB_Transactions[Part number],TB_Parts_Lists[[#This Row],[Part Number]],TB_Transactions[Quantity])</f>
        <v>50</v>
      </c>
      <c r="N338" s="200" t="s">
        <v>4593</v>
      </c>
      <c r="O338" s="234">
        <v>5</v>
      </c>
      <c r="P338" s="199">
        <f>TB_Parts_Lists[[#This Row],[Quantity Initial]]*TB_Parts_Lists[[#This Row],[Unit Price AED]]</f>
        <v>250</v>
      </c>
      <c r="Q338" s="199">
        <f>TB_Parts_Lists[[#This Row],[Quantity Total]]*TB_Parts_Lists[[#This Row],[Unit Price AED]]</f>
        <v>250</v>
      </c>
      <c r="S338" s="199" t="s">
        <v>8675</v>
      </c>
      <c r="T338" s="199" t="s">
        <v>8675</v>
      </c>
      <c r="U338" s="199" t="s">
        <v>8675</v>
      </c>
    </row>
    <row r="339" spans="1:21" s="199" customFormat="1" x14ac:dyDescent="0.25">
      <c r="A339" s="192" t="s">
        <v>6826</v>
      </c>
      <c r="B339" s="203" t="s">
        <v>3329</v>
      </c>
      <c r="C339" s="188" t="s">
        <v>3346</v>
      </c>
      <c r="D339" s="199" t="s">
        <v>8723</v>
      </c>
      <c r="E339" s="188" t="s">
        <v>4972</v>
      </c>
      <c r="F339" s="189" t="s">
        <v>3429</v>
      </c>
      <c r="G339" s="199" t="s">
        <v>8256</v>
      </c>
      <c r="H339" s="199" t="s">
        <v>72</v>
      </c>
      <c r="I339" s="199">
        <v>1</v>
      </c>
      <c r="J339" s="199">
        <v>1</v>
      </c>
      <c r="K339" s="199">
        <v>1</v>
      </c>
      <c r="L339" s="199">
        <v>50</v>
      </c>
      <c r="M339" s="202">
        <f>TB_Parts_Lists[[#This Row],[Quantity Initial]]+ SUMIF(TB_Transactions[Part number],TB_Parts_Lists[[#This Row],[Part Number]],TB_Transactions[Quantity])</f>
        <v>50</v>
      </c>
      <c r="N339" s="200" t="s">
        <v>4593</v>
      </c>
      <c r="O339" s="234">
        <v>5</v>
      </c>
      <c r="P339" s="199">
        <f>TB_Parts_Lists[[#This Row],[Quantity Initial]]*TB_Parts_Lists[[#This Row],[Unit Price AED]]</f>
        <v>250</v>
      </c>
      <c r="Q339" s="199">
        <f>TB_Parts_Lists[[#This Row],[Quantity Total]]*TB_Parts_Lists[[#This Row],[Unit Price AED]]</f>
        <v>250</v>
      </c>
      <c r="S339" s="199" t="s">
        <v>8675</v>
      </c>
      <c r="T339" s="199" t="s">
        <v>8675</v>
      </c>
      <c r="U339" s="199" t="s">
        <v>8675</v>
      </c>
    </row>
    <row r="340" spans="1:21" s="199" customFormat="1" x14ac:dyDescent="0.25">
      <c r="A340" s="192" t="s">
        <v>6827</v>
      </c>
      <c r="B340" s="203" t="s">
        <v>3329</v>
      </c>
      <c r="C340" s="188" t="s">
        <v>3347</v>
      </c>
      <c r="D340" s="199" t="s">
        <v>8723</v>
      </c>
      <c r="E340" s="188" t="s">
        <v>4973</v>
      </c>
      <c r="F340" s="189" t="s">
        <v>3430</v>
      </c>
      <c r="G340" s="199" t="s">
        <v>8256</v>
      </c>
      <c r="H340" s="199" t="s">
        <v>72</v>
      </c>
      <c r="I340" s="199">
        <v>1</v>
      </c>
      <c r="J340" s="199">
        <v>1</v>
      </c>
      <c r="K340" s="199">
        <v>1</v>
      </c>
      <c r="L340" s="199">
        <v>50</v>
      </c>
      <c r="M340" s="202">
        <f>TB_Parts_Lists[[#This Row],[Quantity Initial]]+ SUMIF(TB_Transactions[Part number],TB_Parts_Lists[[#This Row],[Part Number]],TB_Transactions[Quantity])</f>
        <v>50</v>
      </c>
      <c r="N340" s="200" t="s">
        <v>4593</v>
      </c>
      <c r="O340" s="234">
        <v>5</v>
      </c>
      <c r="P340" s="199">
        <f>TB_Parts_Lists[[#This Row],[Quantity Initial]]*TB_Parts_Lists[[#This Row],[Unit Price AED]]</f>
        <v>250</v>
      </c>
      <c r="Q340" s="199">
        <f>TB_Parts_Lists[[#This Row],[Quantity Total]]*TB_Parts_Lists[[#This Row],[Unit Price AED]]</f>
        <v>250</v>
      </c>
      <c r="S340" s="199" t="s">
        <v>8675</v>
      </c>
      <c r="T340" s="199" t="s">
        <v>8675</v>
      </c>
      <c r="U340" s="199" t="s">
        <v>8675</v>
      </c>
    </row>
    <row r="341" spans="1:21" s="199" customFormat="1" x14ac:dyDescent="0.25">
      <c r="A341" s="192" t="s">
        <v>6828</v>
      </c>
      <c r="B341" s="203" t="s">
        <v>3329</v>
      </c>
      <c r="C341" s="188" t="s">
        <v>3347</v>
      </c>
      <c r="D341" s="199" t="s">
        <v>8723</v>
      </c>
      <c r="E341" s="188" t="s">
        <v>4974</v>
      </c>
      <c r="F341" s="189" t="s">
        <v>3431</v>
      </c>
      <c r="G341" s="199" t="s">
        <v>8256</v>
      </c>
      <c r="H341" s="199" t="s">
        <v>72</v>
      </c>
      <c r="I341" s="199">
        <v>1</v>
      </c>
      <c r="J341" s="199">
        <v>1</v>
      </c>
      <c r="K341" s="199">
        <v>1</v>
      </c>
      <c r="L341" s="199">
        <v>50</v>
      </c>
      <c r="M341" s="202">
        <f>TB_Parts_Lists[[#This Row],[Quantity Initial]]+ SUMIF(TB_Transactions[Part number],TB_Parts_Lists[[#This Row],[Part Number]],TB_Transactions[Quantity])</f>
        <v>50</v>
      </c>
      <c r="N341" s="200" t="s">
        <v>4593</v>
      </c>
      <c r="O341" s="234">
        <v>5</v>
      </c>
      <c r="P341" s="199">
        <f>TB_Parts_Lists[[#This Row],[Quantity Initial]]*TB_Parts_Lists[[#This Row],[Unit Price AED]]</f>
        <v>250</v>
      </c>
      <c r="Q341" s="199">
        <f>TB_Parts_Lists[[#This Row],[Quantity Total]]*TB_Parts_Lists[[#This Row],[Unit Price AED]]</f>
        <v>250</v>
      </c>
      <c r="S341" s="199" t="s">
        <v>8675</v>
      </c>
      <c r="T341" s="199" t="s">
        <v>8675</v>
      </c>
      <c r="U341" s="199" t="s">
        <v>8675</v>
      </c>
    </row>
    <row r="342" spans="1:21" s="199" customFormat="1" x14ac:dyDescent="0.25">
      <c r="A342" s="192" t="s">
        <v>6829</v>
      </c>
      <c r="B342" s="203" t="s">
        <v>3329</v>
      </c>
      <c r="C342" s="188" t="s">
        <v>3344</v>
      </c>
      <c r="D342" s="199" t="s">
        <v>8723</v>
      </c>
      <c r="E342" s="188" t="s">
        <v>3549</v>
      </c>
      <c r="F342" s="189" t="s">
        <v>3432</v>
      </c>
      <c r="G342" s="199" t="s">
        <v>8256</v>
      </c>
      <c r="H342" s="199" t="s">
        <v>72</v>
      </c>
      <c r="I342" s="199">
        <v>1</v>
      </c>
      <c r="J342" s="199">
        <v>1</v>
      </c>
      <c r="K342" s="199">
        <v>1</v>
      </c>
      <c r="L342" s="199">
        <v>50</v>
      </c>
      <c r="M342" s="202">
        <f>TB_Parts_Lists[[#This Row],[Quantity Initial]]+ SUMIF(TB_Transactions[Part number],TB_Parts_Lists[[#This Row],[Part Number]],TB_Transactions[Quantity])</f>
        <v>50</v>
      </c>
      <c r="N342" s="200" t="s">
        <v>4593</v>
      </c>
      <c r="O342" s="234">
        <v>5</v>
      </c>
      <c r="P342" s="199">
        <f>TB_Parts_Lists[[#This Row],[Quantity Initial]]*TB_Parts_Lists[[#This Row],[Unit Price AED]]</f>
        <v>250</v>
      </c>
      <c r="Q342" s="199">
        <f>TB_Parts_Lists[[#This Row],[Quantity Total]]*TB_Parts_Lists[[#This Row],[Unit Price AED]]</f>
        <v>250</v>
      </c>
      <c r="S342" s="199" t="s">
        <v>8675</v>
      </c>
      <c r="T342" s="199" t="s">
        <v>8675</v>
      </c>
      <c r="U342" s="199" t="s">
        <v>8675</v>
      </c>
    </row>
    <row r="343" spans="1:21" s="199" customFormat="1" x14ac:dyDescent="0.25">
      <c r="A343" s="192" t="s">
        <v>6830</v>
      </c>
      <c r="B343" s="203" t="s">
        <v>3329</v>
      </c>
      <c r="C343" s="188" t="s">
        <v>3344</v>
      </c>
      <c r="D343" s="199" t="s">
        <v>8724</v>
      </c>
      <c r="E343" s="188" t="s">
        <v>3550</v>
      </c>
      <c r="F343" s="189" t="s">
        <v>3433</v>
      </c>
      <c r="G343" s="199" t="s">
        <v>8256</v>
      </c>
      <c r="H343" s="199" t="s">
        <v>72</v>
      </c>
      <c r="I343" s="199">
        <v>1</v>
      </c>
      <c r="J343" s="199">
        <v>1</v>
      </c>
      <c r="K343" s="199">
        <v>1</v>
      </c>
      <c r="L343" s="199">
        <v>50</v>
      </c>
      <c r="M343" s="202">
        <f>TB_Parts_Lists[[#This Row],[Quantity Initial]]+ SUMIF(TB_Transactions[Part number],TB_Parts_Lists[[#This Row],[Part Number]],TB_Transactions[Quantity])</f>
        <v>50</v>
      </c>
      <c r="N343" s="200" t="s">
        <v>4593</v>
      </c>
      <c r="O343" s="234">
        <v>5</v>
      </c>
      <c r="P343" s="199">
        <f>TB_Parts_Lists[[#This Row],[Quantity Initial]]*TB_Parts_Lists[[#This Row],[Unit Price AED]]</f>
        <v>250</v>
      </c>
      <c r="Q343" s="199">
        <f>TB_Parts_Lists[[#This Row],[Quantity Total]]*TB_Parts_Lists[[#This Row],[Unit Price AED]]</f>
        <v>250</v>
      </c>
      <c r="S343" s="199" t="s">
        <v>118</v>
      </c>
      <c r="T343" s="199" t="s">
        <v>8675</v>
      </c>
      <c r="U343" s="199" t="s">
        <v>8675</v>
      </c>
    </row>
    <row r="344" spans="1:21" s="199" customFormat="1" x14ac:dyDescent="0.25">
      <c r="A344" s="192" t="s">
        <v>6831</v>
      </c>
      <c r="B344" s="203" t="s">
        <v>3329</v>
      </c>
      <c r="C344" s="188" t="s">
        <v>3344</v>
      </c>
      <c r="D344" s="199" t="s">
        <v>8724</v>
      </c>
      <c r="E344" s="188" t="s">
        <v>3551</v>
      </c>
      <c r="F344" s="189" t="s">
        <v>3434</v>
      </c>
      <c r="G344" s="199" t="s">
        <v>8256</v>
      </c>
      <c r="H344" s="199" t="s">
        <v>72</v>
      </c>
      <c r="I344" s="199">
        <v>1</v>
      </c>
      <c r="J344" s="199">
        <v>1</v>
      </c>
      <c r="K344" s="199">
        <v>1</v>
      </c>
      <c r="L344" s="199">
        <v>50</v>
      </c>
      <c r="M344" s="202">
        <f>TB_Parts_Lists[[#This Row],[Quantity Initial]]+ SUMIF(TB_Transactions[Part number],TB_Parts_Lists[[#This Row],[Part Number]],TB_Transactions[Quantity])</f>
        <v>50</v>
      </c>
      <c r="N344" s="200" t="s">
        <v>4593</v>
      </c>
      <c r="O344" s="234">
        <v>5</v>
      </c>
      <c r="P344" s="199">
        <f>TB_Parts_Lists[[#This Row],[Quantity Initial]]*TB_Parts_Lists[[#This Row],[Unit Price AED]]</f>
        <v>250</v>
      </c>
      <c r="Q344" s="199">
        <f>TB_Parts_Lists[[#This Row],[Quantity Total]]*TB_Parts_Lists[[#This Row],[Unit Price AED]]</f>
        <v>250</v>
      </c>
      <c r="S344" s="199" t="s">
        <v>118</v>
      </c>
      <c r="T344" s="199" t="s">
        <v>8675</v>
      </c>
      <c r="U344" s="199" t="s">
        <v>8675</v>
      </c>
    </row>
    <row r="345" spans="1:21" s="199" customFormat="1" x14ac:dyDescent="0.25">
      <c r="A345" s="192" t="s">
        <v>6832</v>
      </c>
      <c r="B345" s="203" t="s">
        <v>3329</v>
      </c>
      <c r="C345" s="188" t="s">
        <v>3344</v>
      </c>
      <c r="D345" s="199" t="s">
        <v>8724</v>
      </c>
      <c r="E345" s="188" t="s">
        <v>3552</v>
      </c>
      <c r="F345" s="189" t="s">
        <v>3435</v>
      </c>
      <c r="G345" s="199" t="s">
        <v>8256</v>
      </c>
      <c r="H345" s="199" t="s">
        <v>72</v>
      </c>
      <c r="I345" s="199">
        <v>1</v>
      </c>
      <c r="J345" s="199">
        <v>1</v>
      </c>
      <c r="K345" s="199">
        <v>1</v>
      </c>
      <c r="L345" s="199">
        <v>50</v>
      </c>
      <c r="M345" s="202">
        <f>TB_Parts_Lists[[#This Row],[Quantity Initial]]+ SUMIF(TB_Transactions[Part number],TB_Parts_Lists[[#This Row],[Part Number]],TB_Transactions[Quantity])</f>
        <v>50</v>
      </c>
      <c r="N345" s="200" t="s">
        <v>4593</v>
      </c>
      <c r="O345" s="234">
        <v>5</v>
      </c>
      <c r="P345" s="199">
        <f>TB_Parts_Lists[[#This Row],[Quantity Initial]]*TB_Parts_Lists[[#This Row],[Unit Price AED]]</f>
        <v>250</v>
      </c>
      <c r="Q345" s="199">
        <f>TB_Parts_Lists[[#This Row],[Quantity Total]]*TB_Parts_Lists[[#This Row],[Unit Price AED]]</f>
        <v>250</v>
      </c>
      <c r="S345" s="199" t="s">
        <v>118</v>
      </c>
      <c r="T345" s="199" t="s">
        <v>8675</v>
      </c>
      <c r="U345" s="199" t="s">
        <v>8675</v>
      </c>
    </row>
    <row r="346" spans="1:21" s="199" customFormat="1" x14ac:dyDescent="0.25">
      <c r="A346" s="192" t="s">
        <v>6833</v>
      </c>
      <c r="B346" s="203" t="s">
        <v>3329</v>
      </c>
      <c r="C346" s="188" t="s">
        <v>3344</v>
      </c>
      <c r="D346" s="199" t="s">
        <v>8724</v>
      </c>
      <c r="E346" s="188" t="s">
        <v>3553</v>
      </c>
      <c r="F346" s="189" t="s">
        <v>3436</v>
      </c>
      <c r="G346" s="199" t="s">
        <v>8256</v>
      </c>
      <c r="H346" s="199" t="s">
        <v>72</v>
      </c>
      <c r="I346" s="199">
        <v>1</v>
      </c>
      <c r="J346" s="199">
        <v>1</v>
      </c>
      <c r="K346" s="199">
        <v>1</v>
      </c>
      <c r="L346" s="199">
        <v>50</v>
      </c>
      <c r="M346" s="202">
        <f>TB_Parts_Lists[[#This Row],[Quantity Initial]]+ SUMIF(TB_Transactions[Part number],TB_Parts_Lists[[#This Row],[Part Number]],TB_Transactions[Quantity])</f>
        <v>50</v>
      </c>
      <c r="N346" s="200" t="s">
        <v>4593</v>
      </c>
      <c r="O346" s="234">
        <v>5</v>
      </c>
      <c r="P346" s="199">
        <f>TB_Parts_Lists[[#This Row],[Quantity Initial]]*TB_Parts_Lists[[#This Row],[Unit Price AED]]</f>
        <v>250</v>
      </c>
      <c r="Q346" s="199">
        <f>TB_Parts_Lists[[#This Row],[Quantity Total]]*TB_Parts_Lists[[#This Row],[Unit Price AED]]</f>
        <v>250</v>
      </c>
      <c r="S346" s="199" t="s">
        <v>118</v>
      </c>
      <c r="T346" s="199" t="s">
        <v>8675</v>
      </c>
      <c r="U346" s="199" t="s">
        <v>8675</v>
      </c>
    </row>
    <row r="347" spans="1:21" s="199" customFormat="1" x14ac:dyDescent="0.25">
      <c r="A347" s="192" t="s">
        <v>6834</v>
      </c>
      <c r="B347" s="203" t="s">
        <v>3329</v>
      </c>
      <c r="C347" s="188" t="s">
        <v>3346</v>
      </c>
      <c r="D347" s="199" t="s">
        <v>8724</v>
      </c>
      <c r="E347" s="188" t="s">
        <v>3554</v>
      </c>
      <c r="F347" s="189" t="s">
        <v>3437</v>
      </c>
      <c r="G347" s="199" t="s">
        <v>8256</v>
      </c>
      <c r="H347" s="199" t="s">
        <v>72</v>
      </c>
      <c r="I347" s="199">
        <v>1</v>
      </c>
      <c r="J347" s="199">
        <v>1</v>
      </c>
      <c r="K347" s="199">
        <v>1</v>
      </c>
      <c r="L347" s="199">
        <v>50</v>
      </c>
      <c r="M347" s="202">
        <f>TB_Parts_Lists[[#This Row],[Quantity Initial]]+ SUMIF(TB_Transactions[Part number],TB_Parts_Lists[[#This Row],[Part Number]],TB_Transactions[Quantity])</f>
        <v>50</v>
      </c>
      <c r="N347" s="200" t="s">
        <v>4593</v>
      </c>
      <c r="O347" s="234">
        <v>5</v>
      </c>
      <c r="P347" s="199">
        <f>TB_Parts_Lists[[#This Row],[Quantity Initial]]*TB_Parts_Lists[[#This Row],[Unit Price AED]]</f>
        <v>250</v>
      </c>
      <c r="Q347" s="199">
        <f>TB_Parts_Lists[[#This Row],[Quantity Total]]*TB_Parts_Lists[[#This Row],[Unit Price AED]]</f>
        <v>250</v>
      </c>
      <c r="S347" s="199" t="s">
        <v>118</v>
      </c>
      <c r="T347" s="199" t="s">
        <v>8675</v>
      </c>
      <c r="U347" s="199" t="s">
        <v>8675</v>
      </c>
    </row>
    <row r="348" spans="1:21" s="199" customFormat="1" x14ac:dyDescent="0.25">
      <c r="A348" s="192" t="s">
        <v>6835</v>
      </c>
      <c r="B348" s="203" t="s">
        <v>3329</v>
      </c>
      <c r="C348" s="188" t="s">
        <v>3346</v>
      </c>
      <c r="D348" s="199" t="s">
        <v>8724</v>
      </c>
      <c r="E348" s="188" t="s">
        <v>3555</v>
      </c>
      <c r="F348" s="189" t="s">
        <v>3438</v>
      </c>
      <c r="G348" s="199" t="s">
        <v>8256</v>
      </c>
      <c r="H348" s="199" t="s">
        <v>72</v>
      </c>
      <c r="I348" s="199">
        <v>1</v>
      </c>
      <c r="J348" s="199">
        <v>1</v>
      </c>
      <c r="K348" s="199">
        <v>1</v>
      </c>
      <c r="L348" s="199">
        <v>50</v>
      </c>
      <c r="M348" s="202">
        <f>TB_Parts_Lists[[#This Row],[Quantity Initial]]+ SUMIF(TB_Transactions[Part number],TB_Parts_Lists[[#This Row],[Part Number]],TB_Transactions[Quantity])</f>
        <v>50</v>
      </c>
      <c r="N348" s="200" t="s">
        <v>4593</v>
      </c>
      <c r="O348" s="234">
        <v>5</v>
      </c>
      <c r="P348" s="199">
        <f>TB_Parts_Lists[[#This Row],[Quantity Initial]]*TB_Parts_Lists[[#This Row],[Unit Price AED]]</f>
        <v>250</v>
      </c>
      <c r="Q348" s="199">
        <f>TB_Parts_Lists[[#This Row],[Quantity Total]]*TB_Parts_Lists[[#This Row],[Unit Price AED]]</f>
        <v>250</v>
      </c>
      <c r="S348" s="199" t="s">
        <v>118</v>
      </c>
      <c r="T348" s="199" t="s">
        <v>8675</v>
      </c>
      <c r="U348" s="199" t="s">
        <v>8675</v>
      </c>
    </row>
    <row r="349" spans="1:21" s="199" customFormat="1" x14ac:dyDescent="0.25">
      <c r="A349" s="192" t="s">
        <v>6836</v>
      </c>
      <c r="B349" s="203" t="s">
        <v>3329</v>
      </c>
      <c r="C349" s="188" t="s">
        <v>3346</v>
      </c>
      <c r="D349" s="199" t="s">
        <v>8724</v>
      </c>
      <c r="E349" s="188" t="s">
        <v>3556</v>
      </c>
      <c r="F349" s="189" t="s">
        <v>3439</v>
      </c>
      <c r="G349" s="199" t="s">
        <v>8256</v>
      </c>
      <c r="H349" s="199" t="s">
        <v>72</v>
      </c>
      <c r="I349" s="199">
        <v>1</v>
      </c>
      <c r="J349" s="199">
        <v>1</v>
      </c>
      <c r="K349" s="199">
        <v>1</v>
      </c>
      <c r="L349" s="199">
        <v>50</v>
      </c>
      <c r="M349" s="202">
        <f>TB_Parts_Lists[[#This Row],[Quantity Initial]]+ SUMIF(TB_Transactions[Part number],TB_Parts_Lists[[#This Row],[Part Number]],TB_Transactions[Quantity])</f>
        <v>50</v>
      </c>
      <c r="N349" s="200" t="s">
        <v>4593</v>
      </c>
      <c r="O349" s="234">
        <v>5</v>
      </c>
      <c r="P349" s="199">
        <f>TB_Parts_Lists[[#This Row],[Quantity Initial]]*TB_Parts_Lists[[#This Row],[Unit Price AED]]</f>
        <v>250</v>
      </c>
      <c r="Q349" s="199">
        <f>TB_Parts_Lists[[#This Row],[Quantity Total]]*TB_Parts_Lists[[#This Row],[Unit Price AED]]</f>
        <v>250</v>
      </c>
      <c r="S349" s="199" t="s">
        <v>118</v>
      </c>
      <c r="T349" s="199" t="s">
        <v>8675</v>
      </c>
      <c r="U349" s="199" t="s">
        <v>8675</v>
      </c>
    </row>
    <row r="350" spans="1:21" s="199" customFormat="1" x14ac:dyDescent="0.25">
      <c r="A350" s="192" t="s">
        <v>6837</v>
      </c>
      <c r="B350" s="203" t="s">
        <v>3329</v>
      </c>
      <c r="C350" s="188" t="s">
        <v>3346</v>
      </c>
      <c r="D350" s="199" t="s">
        <v>8724</v>
      </c>
      <c r="E350" s="188" t="s">
        <v>3557</v>
      </c>
      <c r="F350" s="189" t="s">
        <v>3440</v>
      </c>
      <c r="G350" s="199" t="s">
        <v>8256</v>
      </c>
      <c r="H350" s="199" t="s">
        <v>72</v>
      </c>
      <c r="I350" s="199">
        <v>1</v>
      </c>
      <c r="J350" s="199">
        <v>1</v>
      </c>
      <c r="K350" s="199">
        <v>1</v>
      </c>
      <c r="L350" s="199">
        <v>50</v>
      </c>
      <c r="M350" s="202">
        <f>TB_Parts_Lists[[#This Row],[Quantity Initial]]+ SUMIF(TB_Transactions[Part number],TB_Parts_Lists[[#This Row],[Part Number]],TB_Transactions[Quantity])</f>
        <v>50</v>
      </c>
      <c r="N350" s="200" t="s">
        <v>4593</v>
      </c>
      <c r="O350" s="234">
        <v>5</v>
      </c>
      <c r="P350" s="199">
        <f>TB_Parts_Lists[[#This Row],[Quantity Initial]]*TB_Parts_Lists[[#This Row],[Unit Price AED]]</f>
        <v>250</v>
      </c>
      <c r="Q350" s="199">
        <f>TB_Parts_Lists[[#This Row],[Quantity Total]]*TB_Parts_Lists[[#This Row],[Unit Price AED]]</f>
        <v>250</v>
      </c>
      <c r="S350" s="199" t="s">
        <v>118</v>
      </c>
      <c r="T350" s="199" t="s">
        <v>8675</v>
      </c>
      <c r="U350" s="199" t="s">
        <v>8675</v>
      </c>
    </row>
    <row r="351" spans="1:21" s="199" customFormat="1" x14ac:dyDescent="0.25">
      <c r="A351" s="192" t="s">
        <v>6838</v>
      </c>
      <c r="B351" s="203" t="s">
        <v>3329</v>
      </c>
      <c r="C351" s="188" t="s">
        <v>3343</v>
      </c>
      <c r="D351" s="199" t="s">
        <v>8732</v>
      </c>
      <c r="E351" s="188" t="s">
        <v>4975</v>
      </c>
      <c r="F351" s="189" t="s">
        <v>3441</v>
      </c>
      <c r="G351" s="199" t="s">
        <v>8257</v>
      </c>
      <c r="H351" s="199" t="s">
        <v>62</v>
      </c>
      <c r="I351" s="199">
        <v>1</v>
      </c>
      <c r="J351" s="199">
        <v>1</v>
      </c>
      <c r="K351" s="199">
        <v>1</v>
      </c>
      <c r="L351" s="199">
        <v>50</v>
      </c>
      <c r="M351" s="202">
        <f>TB_Parts_Lists[[#This Row],[Quantity Initial]]+ SUMIF(TB_Transactions[Part number],TB_Parts_Lists[[#This Row],[Part Number]],TB_Transactions[Quantity])</f>
        <v>50</v>
      </c>
      <c r="N351" s="200" t="s">
        <v>4593</v>
      </c>
      <c r="O351" s="234">
        <v>5</v>
      </c>
      <c r="P351" s="199">
        <f>TB_Parts_Lists[[#This Row],[Quantity Initial]]*TB_Parts_Lists[[#This Row],[Unit Price AED]]</f>
        <v>250</v>
      </c>
      <c r="Q351" s="199">
        <f>TB_Parts_Lists[[#This Row],[Quantity Total]]*TB_Parts_Lists[[#This Row],[Unit Price AED]]</f>
        <v>250</v>
      </c>
      <c r="S351" s="199" t="s">
        <v>118</v>
      </c>
      <c r="T351" s="199" t="s">
        <v>8675</v>
      </c>
      <c r="U351" s="199" t="s">
        <v>8675</v>
      </c>
    </row>
    <row r="352" spans="1:21" s="199" customFormat="1" x14ac:dyDescent="0.25">
      <c r="A352" s="192" t="s">
        <v>6839</v>
      </c>
      <c r="B352" s="203" t="s">
        <v>3329</v>
      </c>
      <c r="C352" s="188" t="s">
        <v>3343</v>
      </c>
      <c r="D352" s="199" t="s">
        <v>8724</v>
      </c>
      <c r="E352" s="188" t="s">
        <v>4976</v>
      </c>
      <c r="F352" s="189" t="s">
        <v>3442</v>
      </c>
      <c r="G352" s="199" t="s">
        <v>8257</v>
      </c>
      <c r="H352" s="199" t="s">
        <v>72</v>
      </c>
      <c r="I352" s="199">
        <v>1</v>
      </c>
      <c r="J352" s="199">
        <v>1</v>
      </c>
      <c r="K352" s="199">
        <v>1</v>
      </c>
      <c r="L352" s="199">
        <v>50</v>
      </c>
      <c r="M352" s="202">
        <f>TB_Parts_Lists[[#This Row],[Quantity Initial]]+ SUMIF(TB_Transactions[Part number],TB_Parts_Lists[[#This Row],[Part Number]],TB_Transactions[Quantity])</f>
        <v>50</v>
      </c>
      <c r="N352" s="200" t="s">
        <v>4593</v>
      </c>
      <c r="O352" s="234">
        <v>5</v>
      </c>
      <c r="P352" s="199">
        <f>TB_Parts_Lists[[#This Row],[Quantity Initial]]*TB_Parts_Lists[[#This Row],[Unit Price AED]]</f>
        <v>250</v>
      </c>
      <c r="Q352" s="199">
        <f>TB_Parts_Lists[[#This Row],[Quantity Total]]*TB_Parts_Lists[[#This Row],[Unit Price AED]]</f>
        <v>250</v>
      </c>
      <c r="S352" s="199" t="s">
        <v>118</v>
      </c>
      <c r="T352" s="199" t="s">
        <v>8675</v>
      </c>
      <c r="U352" s="199" t="s">
        <v>8675</v>
      </c>
    </row>
    <row r="353" spans="1:21" s="199" customFormat="1" x14ac:dyDescent="0.25">
      <c r="A353" s="192" t="s">
        <v>6840</v>
      </c>
      <c r="B353" s="203" t="s">
        <v>3329</v>
      </c>
      <c r="C353" s="188" t="s">
        <v>3343</v>
      </c>
      <c r="D353" s="199" t="s">
        <v>8724</v>
      </c>
      <c r="E353" s="188" t="s">
        <v>4977</v>
      </c>
      <c r="F353" s="189" t="s">
        <v>3443</v>
      </c>
      <c r="G353" s="199" t="s">
        <v>8257</v>
      </c>
      <c r="H353" s="199" t="s">
        <v>72</v>
      </c>
      <c r="I353" s="199">
        <v>1</v>
      </c>
      <c r="J353" s="199">
        <v>1</v>
      </c>
      <c r="K353" s="199">
        <v>1</v>
      </c>
      <c r="L353" s="199">
        <v>50</v>
      </c>
      <c r="M353" s="202">
        <f>TB_Parts_Lists[[#This Row],[Quantity Initial]]+ SUMIF(TB_Transactions[Part number],TB_Parts_Lists[[#This Row],[Part Number]],TB_Transactions[Quantity])</f>
        <v>50</v>
      </c>
      <c r="N353" s="200" t="s">
        <v>4593</v>
      </c>
      <c r="O353" s="234">
        <v>5</v>
      </c>
      <c r="P353" s="199">
        <f>TB_Parts_Lists[[#This Row],[Quantity Initial]]*TB_Parts_Lists[[#This Row],[Unit Price AED]]</f>
        <v>250</v>
      </c>
      <c r="Q353" s="199">
        <f>TB_Parts_Lists[[#This Row],[Quantity Total]]*TB_Parts_Lists[[#This Row],[Unit Price AED]]</f>
        <v>250</v>
      </c>
      <c r="S353" s="199" t="s">
        <v>118</v>
      </c>
      <c r="T353" s="199" t="s">
        <v>8675</v>
      </c>
      <c r="U353" s="199" t="s">
        <v>8675</v>
      </c>
    </row>
    <row r="354" spans="1:21" s="199" customFormat="1" x14ac:dyDescent="0.25">
      <c r="A354" s="192" t="s">
        <v>6841</v>
      </c>
      <c r="B354" s="203" t="s">
        <v>3329</v>
      </c>
      <c r="C354" s="188" t="s">
        <v>3343</v>
      </c>
      <c r="D354" s="199" t="s">
        <v>8724</v>
      </c>
      <c r="E354" s="188" t="s">
        <v>4978</v>
      </c>
      <c r="F354" s="189" t="s">
        <v>3444</v>
      </c>
      <c r="G354" s="199" t="s">
        <v>8257</v>
      </c>
      <c r="H354" s="199" t="s">
        <v>72</v>
      </c>
      <c r="I354" s="199">
        <v>1</v>
      </c>
      <c r="J354" s="199">
        <v>1</v>
      </c>
      <c r="K354" s="199">
        <v>1</v>
      </c>
      <c r="L354" s="199">
        <v>50</v>
      </c>
      <c r="M354" s="202">
        <f>TB_Parts_Lists[[#This Row],[Quantity Initial]]+ SUMIF(TB_Transactions[Part number],TB_Parts_Lists[[#This Row],[Part Number]],TB_Transactions[Quantity])</f>
        <v>50</v>
      </c>
      <c r="N354" s="200" t="s">
        <v>4593</v>
      </c>
      <c r="O354" s="234">
        <v>5</v>
      </c>
      <c r="P354" s="199">
        <f>TB_Parts_Lists[[#This Row],[Quantity Initial]]*TB_Parts_Lists[[#This Row],[Unit Price AED]]</f>
        <v>250</v>
      </c>
      <c r="Q354" s="199">
        <f>TB_Parts_Lists[[#This Row],[Quantity Total]]*TB_Parts_Lists[[#This Row],[Unit Price AED]]</f>
        <v>250</v>
      </c>
      <c r="S354" s="199" t="s">
        <v>118</v>
      </c>
      <c r="T354" s="199" t="s">
        <v>8675</v>
      </c>
      <c r="U354" s="199" t="s">
        <v>8675</v>
      </c>
    </row>
    <row r="355" spans="1:21" s="199" customFormat="1" x14ac:dyDescent="0.25">
      <c r="A355" s="192" t="s">
        <v>6842</v>
      </c>
      <c r="B355" s="203" t="s">
        <v>3329</v>
      </c>
      <c r="C355" s="188" t="s">
        <v>3343</v>
      </c>
      <c r="D355" s="199" t="s">
        <v>8724</v>
      </c>
      <c r="E355" s="188" t="s">
        <v>4979</v>
      </c>
      <c r="F355" s="189" t="s">
        <v>3445</v>
      </c>
      <c r="G355" s="199" t="s">
        <v>8257</v>
      </c>
      <c r="H355" s="199" t="s">
        <v>72</v>
      </c>
      <c r="I355" s="199">
        <v>1</v>
      </c>
      <c r="J355" s="199">
        <v>1</v>
      </c>
      <c r="K355" s="199">
        <v>1</v>
      </c>
      <c r="L355" s="199">
        <v>50</v>
      </c>
      <c r="M355" s="202">
        <f>TB_Parts_Lists[[#This Row],[Quantity Initial]]+ SUMIF(TB_Transactions[Part number],TB_Parts_Lists[[#This Row],[Part Number]],TB_Transactions[Quantity])</f>
        <v>50</v>
      </c>
      <c r="N355" s="200" t="s">
        <v>4593</v>
      </c>
      <c r="O355" s="234">
        <v>5</v>
      </c>
      <c r="P355" s="199">
        <f>TB_Parts_Lists[[#This Row],[Quantity Initial]]*TB_Parts_Lists[[#This Row],[Unit Price AED]]</f>
        <v>250</v>
      </c>
      <c r="Q355" s="199">
        <f>TB_Parts_Lists[[#This Row],[Quantity Total]]*TB_Parts_Lists[[#This Row],[Unit Price AED]]</f>
        <v>250</v>
      </c>
      <c r="S355" s="199" t="s">
        <v>118</v>
      </c>
      <c r="T355" s="199" t="s">
        <v>8675</v>
      </c>
      <c r="U355" s="199" t="s">
        <v>8675</v>
      </c>
    </row>
    <row r="356" spans="1:21" s="199" customFormat="1" x14ac:dyDescent="0.25">
      <c r="A356" s="192" t="s">
        <v>6843</v>
      </c>
      <c r="B356" s="203" t="s">
        <v>3329</v>
      </c>
      <c r="C356" s="188" t="s">
        <v>3343</v>
      </c>
      <c r="D356" s="199" t="s">
        <v>8724</v>
      </c>
      <c r="E356" s="188" t="s">
        <v>4980</v>
      </c>
      <c r="F356" s="189" t="s">
        <v>3446</v>
      </c>
      <c r="G356" s="199" t="s">
        <v>8257</v>
      </c>
      <c r="H356" s="199" t="s">
        <v>72</v>
      </c>
      <c r="I356" s="199">
        <v>1</v>
      </c>
      <c r="J356" s="199">
        <v>1</v>
      </c>
      <c r="K356" s="199">
        <v>1</v>
      </c>
      <c r="L356" s="199">
        <v>50</v>
      </c>
      <c r="M356" s="202">
        <f>TB_Parts_Lists[[#This Row],[Quantity Initial]]+ SUMIF(TB_Transactions[Part number],TB_Parts_Lists[[#This Row],[Part Number]],TB_Transactions[Quantity])</f>
        <v>50</v>
      </c>
      <c r="N356" s="200" t="s">
        <v>4593</v>
      </c>
      <c r="O356" s="234">
        <v>5</v>
      </c>
      <c r="P356" s="199">
        <f>TB_Parts_Lists[[#This Row],[Quantity Initial]]*TB_Parts_Lists[[#This Row],[Unit Price AED]]</f>
        <v>250</v>
      </c>
      <c r="Q356" s="199">
        <f>TB_Parts_Lists[[#This Row],[Quantity Total]]*TB_Parts_Lists[[#This Row],[Unit Price AED]]</f>
        <v>250</v>
      </c>
      <c r="S356" s="199" t="s">
        <v>118</v>
      </c>
      <c r="T356" s="199" t="s">
        <v>8675</v>
      </c>
      <c r="U356" s="199" t="s">
        <v>8675</v>
      </c>
    </row>
    <row r="357" spans="1:21" s="199" customFormat="1" x14ac:dyDescent="0.25">
      <c r="A357" s="192" t="s">
        <v>6844</v>
      </c>
      <c r="B357" s="203" t="s">
        <v>3329</v>
      </c>
      <c r="C357" s="188" t="s">
        <v>3343</v>
      </c>
      <c r="D357" s="199" t="s">
        <v>8724</v>
      </c>
      <c r="E357" s="188" t="s">
        <v>4981</v>
      </c>
      <c r="F357" s="189" t="s">
        <v>3447</v>
      </c>
      <c r="G357" s="199" t="s">
        <v>8257</v>
      </c>
      <c r="H357" s="199" t="s">
        <v>72</v>
      </c>
      <c r="I357" s="199">
        <v>1</v>
      </c>
      <c r="J357" s="199">
        <v>1</v>
      </c>
      <c r="K357" s="199">
        <v>1</v>
      </c>
      <c r="L357" s="199">
        <v>50</v>
      </c>
      <c r="M357" s="202">
        <f>TB_Parts_Lists[[#This Row],[Quantity Initial]]+ SUMIF(TB_Transactions[Part number],TB_Parts_Lists[[#This Row],[Part Number]],TB_Transactions[Quantity])</f>
        <v>50</v>
      </c>
      <c r="N357" s="200" t="s">
        <v>4593</v>
      </c>
      <c r="O357" s="234">
        <v>5</v>
      </c>
      <c r="P357" s="199">
        <f>TB_Parts_Lists[[#This Row],[Quantity Initial]]*TB_Parts_Lists[[#This Row],[Unit Price AED]]</f>
        <v>250</v>
      </c>
      <c r="Q357" s="199">
        <f>TB_Parts_Lists[[#This Row],[Quantity Total]]*TB_Parts_Lists[[#This Row],[Unit Price AED]]</f>
        <v>250</v>
      </c>
      <c r="S357" s="199" t="s">
        <v>118</v>
      </c>
      <c r="T357" s="199" t="s">
        <v>8675</v>
      </c>
      <c r="U357" s="199" t="s">
        <v>8675</v>
      </c>
    </row>
    <row r="358" spans="1:21" s="199" customFormat="1" x14ac:dyDescent="0.25">
      <c r="A358" s="192" t="s">
        <v>6845</v>
      </c>
      <c r="B358" s="203" t="s">
        <v>3329</v>
      </c>
      <c r="C358" s="188" t="s">
        <v>3343</v>
      </c>
      <c r="D358" s="199" t="s">
        <v>8732</v>
      </c>
      <c r="E358" s="188" t="s">
        <v>4982</v>
      </c>
      <c r="F358" s="189" t="s">
        <v>3448</v>
      </c>
      <c r="G358" s="199" t="s">
        <v>8257</v>
      </c>
      <c r="H358" s="199" t="s">
        <v>72</v>
      </c>
      <c r="I358" s="199">
        <v>1</v>
      </c>
      <c r="J358" s="199">
        <v>1</v>
      </c>
      <c r="K358" s="199">
        <v>1</v>
      </c>
      <c r="L358" s="199">
        <v>50</v>
      </c>
      <c r="M358" s="202">
        <f>TB_Parts_Lists[[#This Row],[Quantity Initial]]+ SUMIF(TB_Transactions[Part number],TB_Parts_Lists[[#This Row],[Part Number]],TB_Transactions[Quantity])</f>
        <v>50</v>
      </c>
      <c r="N358" s="200" t="s">
        <v>4593</v>
      </c>
      <c r="O358" s="234">
        <v>5</v>
      </c>
      <c r="P358" s="199">
        <f>TB_Parts_Lists[[#This Row],[Quantity Initial]]*TB_Parts_Lists[[#This Row],[Unit Price AED]]</f>
        <v>250</v>
      </c>
      <c r="Q358" s="199">
        <f>TB_Parts_Lists[[#This Row],[Quantity Total]]*TB_Parts_Lists[[#This Row],[Unit Price AED]]</f>
        <v>250</v>
      </c>
      <c r="S358" s="199" t="s">
        <v>118</v>
      </c>
      <c r="T358" s="199" t="s">
        <v>8675</v>
      </c>
      <c r="U358" s="199" t="s">
        <v>8675</v>
      </c>
    </row>
    <row r="359" spans="1:21" s="199" customFormat="1" x14ac:dyDescent="0.25">
      <c r="A359" s="192" t="s">
        <v>6846</v>
      </c>
      <c r="B359" s="203" t="s">
        <v>3329</v>
      </c>
      <c r="C359" s="188" t="s">
        <v>3343</v>
      </c>
      <c r="D359" s="199" t="s">
        <v>8724</v>
      </c>
      <c r="E359" s="188" t="s">
        <v>4983</v>
      </c>
      <c r="F359" s="189" t="s">
        <v>3449</v>
      </c>
      <c r="G359" s="199" t="s">
        <v>8257</v>
      </c>
      <c r="H359" s="199" t="s">
        <v>72</v>
      </c>
      <c r="I359" s="199">
        <v>1</v>
      </c>
      <c r="J359" s="199">
        <v>1</v>
      </c>
      <c r="K359" s="199">
        <v>1</v>
      </c>
      <c r="L359" s="199">
        <v>50</v>
      </c>
      <c r="M359" s="202">
        <f>TB_Parts_Lists[[#This Row],[Quantity Initial]]+ SUMIF(TB_Transactions[Part number],TB_Parts_Lists[[#This Row],[Part Number]],TB_Transactions[Quantity])</f>
        <v>50</v>
      </c>
      <c r="N359" s="200" t="s">
        <v>4593</v>
      </c>
      <c r="O359" s="234">
        <v>5</v>
      </c>
      <c r="P359" s="199">
        <f>TB_Parts_Lists[[#This Row],[Quantity Initial]]*TB_Parts_Lists[[#This Row],[Unit Price AED]]</f>
        <v>250</v>
      </c>
      <c r="Q359" s="199">
        <f>TB_Parts_Lists[[#This Row],[Quantity Total]]*TB_Parts_Lists[[#This Row],[Unit Price AED]]</f>
        <v>250</v>
      </c>
      <c r="S359" s="199" t="s">
        <v>118</v>
      </c>
      <c r="T359" s="199" t="s">
        <v>8675</v>
      </c>
      <c r="U359" s="199" t="s">
        <v>8675</v>
      </c>
    </row>
    <row r="360" spans="1:21" s="199" customFormat="1" x14ac:dyDescent="0.25">
      <c r="A360" s="192" t="s">
        <v>6847</v>
      </c>
      <c r="B360" s="203" t="s">
        <v>3329</v>
      </c>
      <c r="C360" s="188" t="s">
        <v>3343</v>
      </c>
      <c r="D360" s="199" t="s">
        <v>8724</v>
      </c>
      <c r="E360" s="188" t="s">
        <v>4984</v>
      </c>
      <c r="F360" s="189" t="s">
        <v>3450</v>
      </c>
      <c r="G360" s="199" t="s">
        <v>8257</v>
      </c>
      <c r="H360" s="199" t="s">
        <v>72</v>
      </c>
      <c r="I360" s="199">
        <v>1</v>
      </c>
      <c r="J360" s="199">
        <v>1</v>
      </c>
      <c r="K360" s="199">
        <v>1</v>
      </c>
      <c r="L360" s="199">
        <v>50</v>
      </c>
      <c r="M360" s="202">
        <f>TB_Parts_Lists[[#This Row],[Quantity Initial]]+ SUMIF(TB_Transactions[Part number],TB_Parts_Lists[[#This Row],[Part Number]],TB_Transactions[Quantity])</f>
        <v>50</v>
      </c>
      <c r="N360" s="200" t="s">
        <v>4593</v>
      </c>
      <c r="O360" s="234">
        <v>5</v>
      </c>
      <c r="P360" s="199">
        <f>TB_Parts_Lists[[#This Row],[Quantity Initial]]*TB_Parts_Lists[[#This Row],[Unit Price AED]]</f>
        <v>250</v>
      </c>
      <c r="Q360" s="199">
        <f>TB_Parts_Lists[[#This Row],[Quantity Total]]*TB_Parts_Lists[[#This Row],[Unit Price AED]]</f>
        <v>250</v>
      </c>
      <c r="S360" s="199" t="s">
        <v>118</v>
      </c>
      <c r="T360" s="199" t="s">
        <v>8675</v>
      </c>
      <c r="U360" s="199" t="s">
        <v>8675</v>
      </c>
    </row>
    <row r="361" spans="1:21" s="199" customFormat="1" x14ac:dyDescent="0.25">
      <c r="A361" s="192" t="s">
        <v>6848</v>
      </c>
      <c r="B361" s="203" t="s">
        <v>3329</v>
      </c>
      <c r="C361" s="188" t="s">
        <v>3343</v>
      </c>
      <c r="D361" s="199" t="s">
        <v>8724</v>
      </c>
      <c r="E361" s="188" t="s">
        <v>4985</v>
      </c>
      <c r="F361" s="189" t="s">
        <v>3451</v>
      </c>
      <c r="G361" s="199" t="s">
        <v>8257</v>
      </c>
      <c r="H361" s="199" t="s">
        <v>72</v>
      </c>
      <c r="I361" s="199">
        <v>1</v>
      </c>
      <c r="J361" s="199">
        <v>1</v>
      </c>
      <c r="K361" s="199">
        <v>1</v>
      </c>
      <c r="L361" s="199">
        <v>50</v>
      </c>
      <c r="M361" s="202">
        <f>TB_Parts_Lists[[#This Row],[Quantity Initial]]+ SUMIF(TB_Transactions[Part number],TB_Parts_Lists[[#This Row],[Part Number]],TB_Transactions[Quantity])</f>
        <v>50</v>
      </c>
      <c r="N361" s="200" t="s">
        <v>4593</v>
      </c>
      <c r="O361" s="234">
        <v>5</v>
      </c>
      <c r="P361" s="199">
        <f>TB_Parts_Lists[[#This Row],[Quantity Initial]]*TB_Parts_Lists[[#This Row],[Unit Price AED]]</f>
        <v>250</v>
      </c>
      <c r="Q361" s="199">
        <f>TB_Parts_Lists[[#This Row],[Quantity Total]]*TB_Parts_Lists[[#This Row],[Unit Price AED]]</f>
        <v>250</v>
      </c>
      <c r="S361" s="199" t="s">
        <v>118</v>
      </c>
      <c r="T361" s="199" t="s">
        <v>8675</v>
      </c>
      <c r="U361" s="199" t="s">
        <v>8675</v>
      </c>
    </row>
    <row r="362" spans="1:21" s="199" customFormat="1" x14ac:dyDescent="0.25">
      <c r="A362" s="192" t="s">
        <v>6849</v>
      </c>
      <c r="B362" s="203" t="s">
        <v>3329</v>
      </c>
      <c r="C362" s="188" t="s">
        <v>3343</v>
      </c>
      <c r="D362" s="199" t="s">
        <v>8724</v>
      </c>
      <c r="E362" s="188" t="s">
        <v>4986</v>
      </c>
      <c r="F362" s="189" t="s">
        <v>3452</v>
      </c>
      <c r="G362" s="199" t="s">
        <v>8257</v>
      </c>
      <c r="H362" s="199" t="s">
        <v>72</v>
      </c>
      <c r="I362" s="199">
        <v>1</v>
      </c>
      <c r="J362" s="199">
        <v>1</v>
      </c>
      <c r="K362" s="199">
        <v>1</v>
      </c>
      <c r="L362" s="199">
        <v>50</v>
      </c>
      <c r="M362" s="202">
        <f>TB_Parts_Lists[[#This Row],[Quantity Initial]]+ SUMIF(TB_Transactions[Part number],TB_Parts_Lists[[#This Row],[Part Number]],TB_Transactions[Quantity])</f>
        <v>50</v>
      </c>
      <c r="N362" s="200" t="s">
        <v>4593</v>
      </c>
      <c r="O362" s="234">
        <v>5</v>
      </c>
      <c r="P362" s="199">
        <f>TB_Parts_Lists[[#This Row],[Quantity Initial]]*TB_Parts_Lists[[#This Row],[Unit Price AED]]</f>
        <v>250</v>
      </c>
      <c r="Q362" s="199">
        <f>TB_Parts_Lists[[#This Row],[Quantity Total]]*TB_Parts_Lists[[#This Row],[Unit Price AED]]</f>
        <v>250</v>
      </c>
      <c r="S362" s="199" t="s">
        <v>118</v>
      </c>
      <c r="T362" s="199" t="s">
        <v>8675</v>
      </c>
      <c r="U362" s="199" t="s">
        <v>8675</v>
      </c>
    </row>
    <row r="363" spans="1:21" s="199" customFormat="1" x14ac:dyDescent="0.25">
      <c r="A363" s="192" t="s">
        <v>6850</v>
      </c>
      <c r="B363" s="203" t="s">
        <v>3329</v>
      </c>
      <c r="C363" s="188" t="s">
        <v>3343</v>
      </c>
      <c r="D363" s="199" t="s">
        <v>8724</v>
      </c>
      <c r="E363" s="188" t="s">
        <v>4987</v>
      </c>
      <c r="F363" s="189" t="s">
        <v>3453</v>
      </c>
      <c r="G363" s="199" t="s">
        <v>8257</v>
      </c>
      <c r="H363" s="199" t="s">
        <v>72</v>
      </c>
      <c r="I363" s="199">
        <v>1</v>
      </c>
      <c r="J363" s="199">
        <v>1</v>
      </c>
      <c r="K363" s="199">
        <v>1</v>
      </c>
      <c r="L363" s="199">
        <v>50</v>
      </c>
      <c r="M363" s="202">
        <f>TB_Parts_Lists[[#This Row],[Quantity Initial]]+ SUMIF(TB_Transactions[Part number],TB_Parts_Lists[[#This Row],[Part Number]],TB_Transactions[Quantity])</f>
        <v>50</v>
      </c>
      <c r="N363" s="200" t="s">
        <v>4593</v>
      </c>
      <c r="O363" s="234">
        <v>5</v>
      </c>
      <c r="P363" s="199">
        <f>TB_Parts_Lists[[#This Row],[Quantity Initial]]*TB_Parts_Lists[[#This Row],[Unit Price AED]]</f>
        <v>250</v>
      </c>
      <c r="Q363" s="199">
        <f>TB_Parts_Lists[[#This Row],[Quantity Total]]*TB_Parts_Lists[[#This Row],[Unit Price AED]]</f>
        <v>250</v>
      </c>
      <c r="S363" s="199" t="s">
        <v>118</v>
      </c>
      <c r="T363" s="199" t="s">
        <v>8675</v>
      </c>
      <c r="U363" s="199" t="s">
        <v>8675</v>
      </c>
    </row>
    <row r="364" spans="1:21" s="199" customFormat="1" x14ac:dyDescent="0.25">
      <c r="A364" s="192" t="s">
        <v>6851</v>
      </c>
      <c r="B364" s="203" t="s">
        <v>3329</v>
      </c>
      <c r="C364" s="188" t="s">
        <v>3343</v>
      </c>
      <c r="D364" s="199" t="s">
        <v>8724</v>
      </c>
      <c r="E364" s="188" t="s">
        <v>4988</v>
      </c>
      <c r="F364" s="189" t="s">
        <v>3454</v>
      </c>
      <c r="G364" s="199" t="s">
        <v>8257</v>
      </c>
      <c r="H364" s="199" t="s">
        <v>123</v>
      </c>
      <c r="I364" s="199">
        <v>1</v>
      </c>
      <c r="J364" s="199">
        <v>1</v>
      </c>
      <c r="K364" s="199">
        <v>1</v>
      </c>
      <c r="L364" s="199">
        <v>50</v>
      </c>
      <c r="M364" s="202">
        <f>TB_Parts_Lists[[#This Row],[Quantity Initial]]+ SUMIF(TB_Transactions[Part number],TB_Parts_Lists[[#This Row],[Part Number]],TB_Transactions[Quantity])</f>
        <v>50</v>
      </c>
      <c r="N364" s="200" t="s">
        <v>4593</v>
      </c>
      <c r="O364" s="234">
        <v>5</v>
      </c>
      <c r="P364" s="199">
        <f>TB_Parts_Lists[[#This Row],[Quantity Initial]]*TB_Parts_Lists[[#This Row],[Unit Price AED]]</f>
        <v>250</v>
      </c>
      <c r="Q364" s="199">
        <f>TB_Parts_Lists[[#This Row],[Quantity Total]]*TB_Parts_Lists[[#This Row],[Unit Price AED]]</f>
        <v>250</v>
      </c>
      <c r="S364" s="199" t="s">
        <v>118</v>
      </c>
      <c r="T364" s="199" t="s">
        <v>8675</v>
      </c>
      <c r="U364" s="199" t="s">
        <v>8675</v>
      </c>
    </row>
    <row r="365" spans="1:21" s="199" customFormat="1" x14ac:dyDescent="0.25">
      <c r="A365" s="192" t="s">
        <v>6852</v>
      </c>
      <c r="B365" s="203" t="s">
        <v>3329</v>
      </c>
      <c r="C365" s="188" t="s">
        <v>3343</v>
      </c>
      <c r="D365" s="199" t="s">
        <v>8724</v>
      </c>
      <c r="E365" s="188" t="s">
        <v>4989</v>
      </c>
      <c r="F365" s="189" t="s">
        <v>3455</v>
      </c>
      <c r="G365" s="199" t="s">
        <v>8257</v>
      </c>
      <c r="H365" s="199" t="s">
        <v>72</v>
      </c>
      <c r="I365" s="199">
        <v>1</v>
      </c>
      <c r="J365" s="199">
        <v>1</v>
      </c>
      <c r="K365" s="199">
        <v>1</v>
      </c>
      <c r="L365" s="199">
        <v>50</v>
      </c>
      <c r="M365" s="202">
        <f>TB_Parts_Lists[[#This Row],[Quantity Initial]]+ SUMIF(TB_Transactions[Part number],TB_Parts_Lists[[#This Row],[Part Number]],TB_Transactions[Quantity])</f>
        <v>50</v>
      </c>
      <c r="N365" s="200" t="s">
        <v>4593</v>
      </c>
      <c r="O365" s="234">
        <v>5</v>
      </c>
      <c r="P365" s="199">
        <f>TB_Parts_Lists[[#This Row],[Quantity Initial]]*TB_Parts_Lists[[#This Row],[Unit Price AED]]</f>
        <v>250</v>
      </c>
      <c r="Q365" s="199">
        <f>TB_Parts_Lists[[#This Row],[Quantity Total]]*TB_Parts_Lists[[#This Row],[Unit Price AED]]</f>
        <v>250</v>
      </c>
      <c r="S365" s="199" t="s">
        <v>118</v>
      </c>
      <c r="T365" s="199" t="s">
        <v>8675</v>
      </c>
      <c r="U365" s="199" t="s">
        <v>8675</v>
      </c>
    </row>
    <row r="366" spans="1:21" s="199" customFormat="1" x14ac:dyDescent="0.25">
      <c r="A366" s="192" t="s">
        <v>6853</v>
      </c>
      <c r="B366" s="203" t="s">
        <v>3329</v>
      </c>
      <c r="C366" s="188" t="s">
        <v>3343</v>
      </c>
      <c r="D366" s="199" t="s">
        <v>8724</v>
      </c>
      <c r="E366" s="188" t="s">
        <v>4990</v>
      </c>
      <c r="F366" s="189" t="s">
        <v>3456</v>
      </c>
      <c r="G366" s="199" t="s">
        <v>8257</v>
      </c>
      <c r="H366" s="199" t="s">
        <v>72</v>
      </c>
      <c r="I366" s="199">
        <v>1</v>
      </c>
      <c r="J366" s="199">
        <v>1</v>
      </c>
      <c r="K366" s="199">
        <v>1</v>
      </c>
      <c r="L366" s="199">
        <v>50</v>
      </c>
      <c r="M366" s="202">
        <f>TB_Parts_Lists[[#This Row],[Quantity Initial]]+ SUMIF(TB_Transactions[Part number],TB_Parts_Lists[[#This Row],[Part Number]],TB_Transactions[Quantity])</f>
        <v>50</v>
      </c>
      <c r="N366" s="200" t="s">
        <v>4593</v>
      </c>
      <c r="O366" s="234">
        <v>5</v>
      </c>
      <c r="P366" s="199">
        <f>TB_Parts_Lists[[#This Row],[Quantity Initial]]*TB_Parts_Lists[[#This Row],[Unit Price AED]]</f>
        <v>250</v>
      </c>
      <c r="Q366" s="199">
        <f>TB_Parts_Lists[[#This Row],[Quantity Total]]*TB_Parts_Lists[[#This Row],[Unit Price AED]]</f>
        <v>250</v>
      </c>
      <c r="S366" s="199" t="s">
        <v>118</v>
      </c>
      <c r="T366" s="199" t="s">
        <v>8675</v>
      </c>
      <c r="U366" s="199" t="s">
        <v>8675</v>
      </c>
    </row>
    <row r="367" spans="1:21" s="199" customFormat="1" x14ac:dyDescent="0.25">
      <c r="A367" s="192" t="s">
        <v>6854</v>
      </c>
      <c r="B367" s="203" t="s">
        <v>3329</v>
      </c>
      <c r="C367" s="188" t="s">
        <v>3343</v>
      </c>
      <c r="D367" s="199" t="s">
        <v>8724</v>
      </c>
      <c r="E367" s="188" t="s">
        <v>4991</v>
      </c>
      <c r="F367" s="189" t="s">
        <v>3457</v>
      </c>
      <c r="G367" s="199" t="s">
        <v>8257</v>
      </c>
      <c r="H367" s="199" t="s">
        <v>72</v>
      </c>
      <c r="I367" s="199">
        <v>1</v>
      </c>
      <c r="J367" s="199">
        <v>1</v>
      </c>
      <c r="K367" s="199">
        <v>1</v>
      </c>
      <c r="L367" s="199">
        <v>50</v>
      </c>
      <c r="M367" s="202">
        <f>TB_Parts_Lists[[#This Row],[Quantity Initial]]+ SUMIF(TB_Transactions[Part number],TB_Parts_Lists[[#This Row],[Part Number]],TB_Transactions[Quantity])</f>
        <v>50</v>
      </c>
      <c r="N367" s="200" t="s">
        <v>4593</v>
      </c>
      <c r="O367" s="234">
        <v>5</v>
      </c>
      <c r="P367" s="199">
        <f>TB_Parts_Lists[[#This Row],[Quantity Initial]]*TB_Parts_Lists[[#This Row],[Unit Price AED]]</f>
        <v>250</v>
      </c>
      <c r="Q367" s="199">
        <f>TB_Parts_Lists[[#This Row],[Quantity Total]]*TB_Parts_Lists[[#This Row],[Unit Price AED]]</f>
        <v>250</v>
      </c>
      <c r="S367" s="199" t="s">
        <v>118</v>
      </c>
      <c r="T367" s="199" t="s">
        <v>8675</v>
      </c>
      <c r="U367" s="199" t="s">
        <v>8675</v>
      </c>
    </row>
    <row r="368" spans="1:21" s="199" customFormat="1" x14ac:dyDescent="0.25">
      <c r="A368" s="192" t="s">
        <v>6855</v>
      </c>
      <c r="B368" s="203" t="s">
        <v>3329</v>
      </c>
      <c r="C368" s="188" t="s">
        <v>3343</v>
      </c>
      <c r="D368" s="199" t="s">
        <v>8724</v>
      </c>
      <c r="E368" s="188" t="s">
        <v>4992</v>
      </c>
      <c r="F368" s="189" t="s">
        <v>3458</v>
      </c>
      <c r="G368" s="199" t="s">
        <v>8257</v>
      </c>
      <c r="H368" s="199" t="s">
        <v>72</v>
      </c>
      <c r="I368" s="199">
        <v>1</v>
      </c>
      <c r="J368" s="199">
        <v>1</v>
      </c>
      <c r="K368" s="199">
        <v>1</v>
      </c>
      <c r="L368" s="199">
        <v>50</v>
      </c>
      <c r="M368" s="202">
        <f>TB_Parts_Lists[[#This Row],[Quantity Initial]]+ SUMIF(TB_Transactions[Part number],TB_Parts_Lists[[#This Row],[Part Number]],TB_Transactions[Quantity])</f>
        <v>50</v>
      </c>
      <c r="N368" s="200" t="s">
        <v>4593</v>
      </c>
      <c r="O368" s="234">
        <v>5</v>
      </c>
      <c r="P368" s="199">
        <f>TB_Parts_Lists[[#This Row],[Quantity Initial]]*TB_Parts_Lists[[#This Row],[Unit Price AED]]</f>
        <v>250</v>
      </c>
      <c r="Q368" s="199">
        <f>TB_Parts_Lists[[#This Row],[Quantity Total]]*TB_Parts_Lists[[#This Row],[Unit Price AED]]</f>
        <v>250</v>
      </c>
      <c r="S368" s="199" t="s">
        <v>118</v>
      </c>
      <c r="T368" s="199" t="s">
        <v>8675</v>
      </c>
      <c r="U368" s="199" t="s">
        <v>8675</v>
      </c>
    </row>
    <row r="369" spans="1:21" s="199" customFormat="1" x14ac:dyDescent="0.25">
      <c r="A369" s="192" t="s">
        <v>6856</v>
      </c>
      <c r="B369" s="203" t="s">
        <v>3329</v>
      </c>
      <c r="C369" s="188" t="s">
        <v>3343</v>
      </c>
      <c r="D369" s="199" t="s">
        <v>8724</v>
      </c>
      <c r="E369" s="188" t="s">
        <v>4993</v>
      </c>
      <c r="F369" s="189" t="s">
        <v>3459</v>
      </c>
      <c r="G369" s="199" t="s">
        <v>8257</v>
      </c>
      <c r="H369" s="199" t="s">
        <v>72</v>
      </c>
      <c r="I369" s="199">
        <v>1</v>
      </c>
      <c r="J369" s="199">
        <v>1</v>
      </c>
      <c r="K369" s="199">
        <v>1</v>
      </c>
      <c r="L369" s="199">
        <v>50</v>
      </c>
      <c r="M369" s="202">
        <f>TB_Parts_Lists[[#This Row],[Quantity Initial]]+ SUMIF(TB_Transactions[Part number],TB_Parts_Lists[[#This Row],[Part Number]],TB_Transactions[Quantity])</f>
        <v>50</v>
      </c>
      <c r="N369" s="200" t="s">
        <v>4593</v>
      </c>
      <c r="O369" s="234">
        <v>5</v>
      </c>
      <c r="P369" s="199">
        <f>TB_Parts_Lists[[#This Row],[Quantity Initial]]*TB_Parts_Lists[[#This Row],[Unit Price AED]]</f>
        <v>250</v>
      </c>
      <c r="Q369" s="199">
        <f>TB_Parts_Lists[[#This Row],[Quantity Total]]*TB_Parts_Lists[[#This Row],[Unit Price AED]]</f>
        <v>250</v>
      </c>
      <c r="S369" s="199" t="s">
        <v>118</v>
      </c>
      <c r="T369" s="199" t="s">
        <v>8675</v>
      </c>
      <c r="U369" s="199" t="s">
        <v>8675</v>
      </c>
    </row>
    <row r="370" spans="1:21" s="199" customFormat="1" x14ac:dyDescent="0.25">
      <c r="A370" s="192" t="s">
        <v>6857</v>
      </c>
      <c r="B370" s="203" t="s">
        <v>3329</v>
      </c>
      <c r="C370" s="188" t="s">
        <v>3343</v>
      </c>
      <c r="D370" s="199" t="s">
        <v>8724</v>
      </c>
      <c r="E370" s="188" t="s">
        <v>4994</v>
      </c>
      <c r="F370" s="189" t="s">
        <v>3460</v>
      </c>
      <c r="G370" s="199" t="s">
        <v>8257</v>
      </c>
      <c r="H370" s="199" t="s">
        <v>72</v>
      </c>
      <c r="I370" s="199">
        <v>1</v>
      </c>
      <c r="J370" s="199">
        <v>1</v>
      </c>
      <c r="K370" s="199">
        <v>1</v>
      </c>
      <c r="L370" s="199">
        <v>50</v>
      </c>
      <c r="M370" s="202">
        <f>TB_Parts_Lists[[#This Row],[Quantity Initial]]+ SUMIF(TB_Transactions[Part number],TB_Parts_Lists[[#This Row],[Part Number]],TB_Transactions[Quantity])</f>
        <v>50</v>
      </c>
      <c r="N370" s="200" t="s">
        <v>4593</v>
      </c>
      <c r="O370" s="234">
        <v>5</v>
      </c>
      <c r="P370" s="199">
        <f>TB_Parts_Lists[[#This Row],[Quantity Initial]]*TB_Parts_Lists[[#This Row],[Unit Price AED]]</f>
        <v>250</v>
      </c>
      <c r="Q370" s="199">
        <f>TB_Parts_Lists[[#This Row],[Quantity Total]]*TB_Parts_Lists[[#This Row],[Unit Price AED]]</f>
        <v>250</v>
      </c>
      <c r="S370" s="199" t="s">
        <v>118</v>
      </c>
      <c r="T370" s="199" t="s">
        <v>8675</v>
      </c>
      <c r="U370" s="199" t="s">
        <v>8675</v>
      </c>
    </row>
    <row r="371" spans="1:21" s="199" customFormat="1" x14ac:dyDescent="0.25">
      <c r="A371" s="192" t="s">
        <v>6858</v>
      </c>
      <c r="B371" s="203" t="s">
        <v>3329</v>
      </c>
      <c r="C371" s="188" t="s">
        <v>3343</v>
      </c>
      <c r="D371" s="199" t="s">
        <v>8724</v>
      </c>
      <c r="E371" s="188" t="s">
        <v>4995</v>
      </c>
      <c r="F371" s="189" t="s">
        <v>3461</v>
      </c>
      <c r="G371" s="199" t="s">
        <v>8257</v>
      </c>
      <c r="H371" s="199" t="s">
        <v>72</v>
      </c>
      <c r="I371" s="199">
        <v>1</v>
      </c>
      <c r="J371" s="199">
        <v>1</v>
      </c>
      <c r="K371" s="199">
        <v>1</v>
      </c>
      <c r="L371" s="199">
        <v>50</v>
      </c>
      <c r="M371" s="202">
        <f>TB_Parts_Lists[[#This Row],[Quantity Initial]]+ SUMIF(TB_Transactions[Part number],TB_Parts_Lists[[#This Row],[Part Number]],TB_Transactions[Quantity])</f>
        <v>50</v>
      </c>
      <c r="N371" s="200" t="s">
        <v>4593</v>
      </c>
      <c r="O371" s="234">
        <v>5</v>
      </c>
      <c r="P371" s="199">
        <f>TB_Parts_Lists[[#This Row],[Quantity Initial]]*TB_Parts_Lists[[#This Row],[Unit Price AED]]</f>
        <v>250</v>
      </c>
      <c r="Q371" s="199">
        <f>TB_Parts_Lists[[#This Row],[Quantity Total]]*TB_Parts_Lists[[#This Row],[Unit Price AED]]</f>
        <v>250</v>
      </c>
      <c r="S371" s="199" t="s">
        <v>118</v>
      </c>
      <c r="T371" s="199" t="s">
        <v>8675</v>
      </c>
      <c r="U371" s="199" t="s">
        <v>8675</v>
      </c>
    </row>
    <row r="372" spans="1:21" s="199" customFormat="1" x14ac:dyDescent="0.25">
      <c r="A372" s="192" t="s">
        <v>6859</v>
      </c>
      <c r="B372" s="203" t="s">
        <v>3329</v>
      </c>
      <c r="C372" s="188" t="s">
        <v>3343</v>
      </c>
      <c r="D372" s="199" t="s">
        <v>8724</v>
      </c>
      <c r="E372" s="188" t="s">
        <v>4996</v>
      </c>
      <c r="F372" s="189" t="s">
        <v>3462</v>
      </c>
      <c r="G372" s="199" t="s">
        <v>8257</v>
      </c>
      <c r="H372" s="199" t="s">
        <v>72</v>
      </c>
      <c r="I372" s="199">
        <v>1</v>
      </c>
      <c r="J372" s="199">
        <v>1</v>
      </c>
      <c r="K372" s="199">
        <v>1</v>
      </c>
      <c r="L372" s="199">
        <v>50</v>
      </c>
      <c r="M372" s="202">
        <f>TB_Parts_Lists[[#This Row],[Quantity Initial]]+ SUMIF(TB_Transactions[Part number],TB_Parts_Lists[[#This Row],[Part Number]],TB_Transactions[Quantity])</f>
        <v>50</v>
      </c>
      <c r="N372" s="200" t="s">
        <v>4593</v>
      </c>
      <c r="O372" s="234">
        <v>5</v>
      </c>
      <c r="P372" s="199">
        <f>TB_Parts_Lists[[#This Row],[Quantity Initial]]*TB_Parts_Lists[[#This Row],[Unit Price AED]]</f>
        <v>250</v>
      </c>
      <c r="Q372" s="199">
        <f>TB_Parts_Lists[[#This Row],[Quantity Total]]*TB_Parts_Lists[[#This Row],[Unit Price AED]]</f>
        <v>250</v>
      </c>
      <c r="S372" s="199" t="s">
        <v>118</v>
      </c>
      <c r="T372" s="199" t="s">
        <v>8675</v>
      </c>
      <c r="U372" s="199" t="s">
        <v>8675</v>
      </c>
    </row>
    <row r="373" spans="1:21" s="199" customFormat="1" x14ac:dyDescent="0.25">
      <c r="A373" s="192" t="s">
        <v>6860</v>
      </c>
      <c r="B373" s="203" t="s">
        <v>3329</v>
      </c>
      <c r="C373" s="199" t="s">
        <v>4617</v>
      </c>
      <c r="D373" s="199" t="s">
        <v>8732</v>
      </c>
      <c r="E373" s="188" t="s">
        <v>4997</v>
      </c>
      <c r="F373" s="189" t="s">
        <v>3463</v>
      </c>
      <c r="G373" s="199" t="s">
        <v>8257</v>
      </c>
      <c r="H373" s="199" t="s">
        <v>72</v>
      </c>
      <c r="I373" s="199">
        <v>1</v>
      </c>
      <c r="J373" s="199">
        <v>1</v>
      </c>
      <c r="K373" s="199">
        <v>1</v>
      </c>
      <c r="L373" s="199">
        <v>50</v>
      </c>
      <c r="M373" s="202">
        <f>TB_Parts_Lists[[#This Row],[Quantity Initial]]+ SUMIF(TB_Transactions[Part number],TB_Parts_Lists[[#This Row],[Part Number]],TB_Transactions[Quantity])</f>
        <v>50</v>
      </c>
      <c r="N373" s="200" t="s">
        <v>4593</v>
      </c>
      <c r="O373" s="234">
        <v>5</v>
      </c>
      <c r="P373" s="199">
        <f>TB_Parts_Lists[[#This Row],[Quantity Initial]]*TB_Parts_Lists[[#This Row],[Unit Price AED]]</f>
        <v>250</v>
      </c>
      <c r="Q373" s="199">
        <f>TB_Parts_Lists[[#This Row],[Quantity Total]]*TB_Parts_Lists[[#This Row],[Unit Price AED]]</f>
        <v>250</v>
      </c>
      <c r="S373" s="199" t="s">
        <v>118</v>
      </c>
      <c r="T373" s="199" t="s">
        <v>8687</v>
      </c>
      <c r="U373" s="199" t="s">
        <v>1453</v>
      </c>
    </row>
    <row r="374" spans="1:21" s="199" customFormat="1" x14ac:dyDescent="0.25">
      <c r="A374" s="192" t="s">
        <v>6861</v>
      </c>
      <c r="B374" s="203" t="s">
        <v>3329</v>
      </c>
      <c r="C374" s="188" t="s">
        <v>3343</v>
      </c>
      <c r="D374" s="199" t="s">
        <v>8724</v>
      </c>
      <c r="E374" s="188" t="s">
        <v>4998</v>
      </c>
      <c r="F374" s="189" t="s">
        <v>3464</v>
      </c>
      <c r="G374" s="199" t="s">
        <v>8257</v>
      </c>
      <c r="H374" s="199" t="s">
        <v>72</v>
      </c>
      <c r="I374" s="199">
        <v>1</v>
      </c>
      <c r="J374" s="199">
        <v>1</v>
      </c>
      <c r="K374" s="199">
        <v>1</v>
      </c>
      <c r="L374" s="199">
        <v>50</v>
      </c>
      <c r="M374" s="202">
        <f>TB_Parts_Lists[[#This Row],[Quantity Initial]]+ SUMIF(TB_Transactions[Part number],TB_Parts_Lists[[#This Row],[Part Number]],TB_Transactions[Quantity])</f>
        <v>50</v>
      </c>
      <c r="N374" s="200" t="s">
        <v>4593</v>
      </c>
      <c r="O374" s="234">
        <v>5</v>
      </c>
      <c r="P374" s="199">
        <f>TB_Parts_Lists[[#This Row],[Quantity Initial]]*TB_Parts_Lists[[#This Row],[Unit Price AED]]</f>
        <v>250</v>
      </c>
      <c r="Q374" s="199">
        <f>TB_Parts_Lists[[#This Row],[Quantity Total]]*TB_Parts_Lists[[#This Row],[Unit Price AED]]</f>
        <v>250</v>
      </c>
      <c r="S374" s="199" t="s">
        <v>118</v>
      </c>
      <c r="T374" s="199" t="s">
        <v>8675</v>
      </c>
      <c r="U374" s="199" t="s">
        <v>8675</v>
      </c>
    </row>
    <row r="375" spans="1:21" s="199" customFormat="1" x14ac:dyDescent="0.25">
      <c r="A375" s="192" t="s">
        <v>6862</v>
      </c>
      <c r="B375" s="203" t="s">
        <v>3329</v>
      </c>
      <c r="C375" s="188" t="s">
        <v>3343</v>
      </c>
      <c r="D375" s="199" t="s">
        <v>8724</v>
      </c>
      <c r="E375" s="188" t="s">
        <v>4999</v>
      </c>
      <c r="F375" s="189" t="s">
        <v>3465</v>
      </c>
      <c r="G375" s="199" t="s">
        <v>8257</v>
      </c>
      <c r="H375" s="199" t="s">
        <v>72</v>
      </c>
      <c r="I375" s="199">
        <v>1</v>
      </c>
      <c r="J375" s="199">
        <v>1</v>
      </c>
      <c r="K375" s="199">
        <v>1</v>
      </c>
      <c r="L375" s="199">
        <v>50</v>
      </c>
      <c r="M375" s="202">
        <f>TB_Parts_Lists[[#This Row],[Quantity Initial]]+ SUMIF(TB_Transactions[Part number],TB_Parts_Lists[[#This Row],[Part Number]],TB_Transactions[Quantity])</f>
        <v>50</v>
      </c>
      <c r="N375" s="200" t="s">
        <v>4593</v>
      </c>
      <c r="O375" s="234">
        <v>5</v>
      </c>
      <c r="P375" s="199">
        <f>TB_Parts_Lists[[#This Row],[Quantity Initial]]*TB_Parts_Lists[[#This Row],[Unit Price AED]]</f>
        <v>250</v>
      </c>
      <c r="Q375" s="199">
        <f>TB_Parts_Lists[[#This Row],[Quantity Total]]*TB_Parts_Lists[[#This Row],[Unit Price AED]]</f>
        <v>250</v>
      </c>
      <c r="S375" s="199" t="s">
        <v>118</v>
      </c>
      <c r="T375" s="199" t="s">
        <v>8675</v>
      </c>
      <c r="U375" s="199" t="s">
        <v>8675</v>
      </c>
    </row>
    <row r="376" spans="1:21" s="199" customFormat="1" x14ac:dyDescent="0.25">
      <c r="A376" s="192" t="s">
        <v>6863</v>
      </c>
      <c r="B376" s="203" t="s">
        <v>3329</v>
      </c>
      <c r="C376" s="188" t="s">
        <v>3347</v>
      </c>
      <c r="D376" s="199" t="s">
        <v>8723</v>
      </c>
      <c r="E376" s="188" t="s">
        <v>5000</v>
      </c>
      <c r="F376" s="189" t="s">
        <v>3466</v>
      </c>
      <c r="G376" s="199" t="s">
        <v>8257</v>
      </c>
      <c r="H376" s="199" t="s">
        <v>72</v>
      </c>
      <c r="I376" s="199">
        <v>1</v>
      </c>
      <c r="J376" s="199">
        <v>1</v>
      </c>
      <c r="K376" s="199">
        <v>1</v>
      </c>
      <c r="L376" s="199">
        <v>50</v>
      </c>
      <c r="M376" s="202">
        <f>TB_Parts_Lists[[#This Row],[Quantity Initial]]+ SUMIF(TB_Transactions[Part number],TB_Parts_Lists[[#This Row],[Part Number]],TB_Transactions[Quantity])</f>
        <v>50</v>
      </c>
      <c r="N376" s="200" t="s">
        <v>4593</v>
      </c>
      <c r="O376" s="234">
        <v>5</v>
      </c>
      <c r="P376" s="199">
        <f>TB_Parts_Lists[[#This Row],[Quantity Initial]]*TB_Parts_Lists[[#This Row],[Unit Price AED]]</f>
        <v>250</v>
      </c>
      <c r="Q376" s="199">
        <f>TB_Parts_Lists[[#This Row],[Quantity Total]]*TB_Parts_Lists[[#This Row],[Unit Price AED]]</f>
        <v>250</v>
      </c>
      <c r="S376" s="199" t="s">
        <v>8675</v>
      </c>
      <c r="T376" s="199" t="s">
        <v>8675</v>
      </c>
      <c r="U376" s="199" t="s">
        <v>8675</v>
      </c>
    </row>
    <row r="377" spans="1:21" s="199" customFormat="1" x14ac:dyDescent="0.25">
      <c r="A377" s="192" t="s">
        <v>6864</v>
      </c>
      <c r="B377" s="203" t="s">
        <v>3331</v>
      </c>
      <c r="C377" s="188" t="s">
        <v>6652</v>
      </c>
      <c r="D377" s="199" t="s">
        <v>8724</v>
      </c>
      <c r="E377" s="188" t="s">
        <v>5001</v>
      </c>
      <c r="F377" s="189" t="s">
        <v>3467</v>
      </c>
      <c r="G377" s="199" t="s">
        <v>8257</v>
      </c>
      <c r="H377" s="199" t="s">
        <v>72</v>
      </c>
      <c r="I377" s="199">
        <v>1</v>
      </c>
      <c r="J377" s="199">
        <v>1</v>
      </c>
      <c r="K377" s="199">
        <v>1</v>
      </c>
      <c r="L377" s="199">
        <v>50</v>
      </c>
      <c r="M377" s="202">
        <f>TB_Parts_Lists[[#This Row],[Quantity Initial]]+ SUMIF(TB_Transactions[Part number],TB_Parts_Lists[[#This Row],[Part Number]],TB_Transactions[Quantity])</f>
        <v>50</v>
      </c>
      <c r="N377" s="200" t="s">
        <v>4593</v>
      </c>
      <c r="O377" s="234">
        <v>5</v>
      </c>
      <c r="P377" s="199">
        <f>TB_Parts_Lists[[#This Row],[Quantity Initial]]*TB_Parts_Lists[[#This Row],[Unit Price AED]]</f>
        <v>250</v>
      </c>
      <c r="Q377" s="199">
        <f>TB_Parts_Lists[[#This Row],[Quantity Total]]*TB_Parts_Lists[[#This Row],[Unit Price AED]]</f>
        <v>250</v>
      </c>
      <c r="S377" s="199" t="s">
        <v>8675</v>
      </c>
      <c r="T377" s="199" t="s">
        <v>8675</v>
      </c>
      <c r="U377" s="199" t="s">
        <v>8675</v>
      </c>
    </row>
    <row r="378" spans="1:21" s="199" customFormat="1" x14ac:dyDescent="0.25">
      <c r="A378" s="192" t="s">
        <v>6865</v>
      </c>
      <c r="B378" s="203" t="s">
        <v>3329</v>
      </c>
      <c r="C378" s="188" t="s">
        <v>3343</v>
      </c>
      <c r="D378" s="199" t="s">
        <v>8724</v>
      </c>
      <c r="E378" s="188" t="s">
        <v>5002</v>
      </c>
      <c r="F378" s="189" t="s">
        <v>3468</v>
      </c>
      <c r="G378" s="199" t="s">
        <v>8257</v>
      </c>
      <c r="H378" s="199" t="s">
        <v>72</v>
      </c>
      <c r="I378" s="199">
        <v>1</v>
      </c>
      <c r="J378" s="199">
        <v>1</v>
      </c>
      <c r="K378" s="199">
        <v>1</v>
      </c>
      <c r="L378" s="199">
        <v>50</v>
      </c>
      <c r="M378" s="202">
        <f>TB_Parts_Lists[[#This Row],[Quantity Initial]]+ SUMIF(TB_Transactions[Part number],TB_Parts_Lists[[#This Row],[Part Number]],TB_Transactions[Quantity])</f>
        <v>50</v>
      </c>
      <c r="N378" s="200" t="s">
        <v>4593</v>
      </c>
      <c r="O378" s="234">
        <v>5</v>
      </c>
      <c r="P378" s="199">
        <f>TB_Parts_Lists[[#This Row],[Quantity Initial]]*TB_Parts_Lists[[#This Row],[Unit Price AED]]</f>
        <v>250</v>
      </c>
      <c r="Q378" s="199">
        <f>TB_Parts_Lists[[#This Row],[Quantity Total]]*TB_Parts_Lists[[#This Row],[Unit Price AED]]</f>
        <v>250</v>
      </c>
      <c r="S378" s="199" t="s">
        <v>8675</v>
      </c>
      <c r="T378" s="199" t="s">
        <v>8675</v>
      </c>
      <c r="U378" s="199" t="s">
        <v>8675</v>
      </c>
    </row>
    <row r="379" spans="1:21" s="199" customFormat="1" x14ac:dyDescent="0.25">
      <c r="A379" s="192" t="s">
        <v>6866</v>
      </c>
      <c r="B379" s="203" t="s">
        <v>3329</v>
      </c>
      <c r="C379" s="188" t="s">
        <v>3347</v>
      </c>
      <c r="D379" s="199" t="s">
        <v>8724</v>
      </c>
      <c r="E379" s="188" t="s">
        <v>5003</v>
      </c>
      <c r="F379" s="189" t="s">
        <v>3469</v>
      </c>
      <c r="G379" s="199" t="s">
        <v>8257</v>
      </c>
      <c r="H379" s="199" t="s">
        <v>72</v>
      </c>
      <c r="I379" s="199">
        <v>1</v>
      </c>
      <c r="J379" s="199">
        <v>1</v>
      </c>
      <c r="K379" s="199">
        <v>1</v>
      </c>
      <c r="L379" s="199">
        <v>50</v>
      </c>
      <c r="M379" s="202">
        <f>TB_Parts_Lists[[#This Row],[Quantity Initial]]+ SUMIF(TB_Transactions[Part number],TB_Parts_Lists[[#This Row],[Part Number]],TB_Transactions[Quantity])</f>
        <v>50</v>
      </c>
      <c r="N379" s="200" t="s">
        <v>4593</v>
      </c>
      <c r="O379" s="234">
        <v>5</v>
      </c>
      <c r="P379" s="199">
        <f>TB_Parts_Lists[[#This Row],[Quantity Initial]]*TB_Parts_Lists[[#This Row],[Unit Price AED]]</f>
        <v>250</v>
      </c>
      <c r="Q379" s="199">
        <f>TB_Parts_Lists[[#This Row],[Quantity Total]]*TB_Parts_Lists[[#This Row],[Unit Price AED]]</f>
        <v>250</v>
      </c>
      <c r="S379" s="199" t="s">
        <v>8675</v>
      </c>
      <c r="T379" s="199" t="s">
        <v>8675</v>
      </c>
      <c r="U379" s="199" t="s">
        <v>8675</v>
      </c>
    </row>
    <row r="380" spans="1:21" s="199" customFormat="1" x14ac:dyDescent="0.25">
      <c r="A380" s="192" t="s">
        <v>6867</v>
      </c>
      <c r="B380" s="203" t="s">
        <v>3329</v>
      </c>
      <c r="C380" s="188" t="s">
        <v>4617</v>
      </c>
      <c r="D380" s="199" t="s">
        <v>8732</v>
      </c>
      <c r="E380" s="188" t="s">
        <v>5004</v>
      </c>
      <c r="F380" s="189" t="s">
        <v>3470</v>
      </c>
      <c r="G380" s="199" t="s">
        <v>8257</v>
      </c>
      <c r="H380" s="199" t="s">
        <v>72</v>
      </c>
      <c r="I380" s="199">
        <v>1</v>
      </c>
      <c r="J380" s="199">
        <v>1</v>
      </c>
      <c r="K380" s="199">
        <v>1</v>
      </c>
      <c r="L380" s="199">
        <v>50</v>
      </c>
      <c r="M380" s="202">
        <f>TB_Parts_Lists[[#This Row],[Quantity Initial]]+ SUMIF(TB_Transactions[Part number],TB_Parts_Lists[[#This Row],[Part Number]],TB_Transactions[Quantity])</f>
        <v>50</v>
      </c>
      <c r="N380" s="200" t="s">
        <v>4593</v>
      </c>
      <c r="O380" s="234">
        <v>5</v>
      </c>
      <c r="P380" s="199">
        <f>TB_Parts_Lists[[#This Row],[Quantity Initial]]*TB_Parts_Lists[[#This Row],[Unit Price AED]]</f>
        <v>250</v>
      </c>
      <c r="Q380" s="199">
        <f>TB_Parts_Lists[[#This Row],[Quantity Total]]*TB_Parts_Lists[[#This Row],[Unit Price AED]]</f>
        <v>250</v>
      </c>
      <c r="S380" s="199" t="s">
        <v>118</v>
      </c>
      <c r="T380" s="199" t="s">
        <v>8687</v>
      </c>
      <c r="U380" s="199" t="s">
        <v>1453</v>
      </c>
    </row>
    <row r="381" spans="1:21" s="199" customFormat="1" x14ac:dyDescent="0.25">
      <c r="A381" s="192" t="s">
        <v>6868</v>
      </c>
      <c r="B381" s="203" t="s">
        <v>3329</v>
      </c>
      <c r="C381" s="188" t="s">
        <v>4617</v>
      </c>
      <c r="D381" s="199" t="s">
        <v>8724</v>
      </c>
      <c r="E381" s="188" t="s">
        <v>3384</v>
      </c>
      <c r="F381" s="189" t="s">
        <v>3471</v>
      </c>
      <c r="G381" s="199" t="s">
        <v>8257</v>
      </c>
      <c r="H381" s="199" t="s">
        <v>72</v>
      </c>
      <c r="I381" s="199">
        <v>1</v>
      </c>
      <c r="J381" s="199">
        <v>1</v>
      </c>
      <c r="K381" s="199">
        <v>1</v>
      </c>
      <c r="L381" s="199">
        <v>50</v>
      </c>
      <c r="M381" s="202">
        <f>TB_Parts_Lists[[#This Row],[Quantity Initial]]+ SUMIF(TB_Transactions[Part number],TB_Parts_Lists[[#This Row],[Part Number]],TB_Transactions[Quantity])</f>
        <v>50</v>
      </c>
      <c r="N381" s="200" t="s">
        <v>4593</v>
      </c>
      <c r="O381" s="234">
        <v>5</v>
      </c>
      <c r="P381" s="199">
        <f>TB_Parts_Lists[[#This Row],[Quantity Initial]]*TB_Parts_Lists[[#This Row],[Unit Price AED]]</f>
        <v>250</v>
      </c>
      <c r="Q381" s="199">
        <f>TB_Parts_Lists[[#This Row],[Quantity Total]]*TB_Parts_Lists[[#This Row],[Unit Price AED]]</f>
        <v>250</v>
      </c>
      <c r="S381" s="199" t="s">
        <v>118</v>
      </c>
      <c r="T381" s="199" t="s">
        <v>8675</v>
      </c>
      <c r="U381" s="199" t="s">
        <v>8675</v>
      </c>
    </row>
    <row r="382" spans="1:21" s="199" customFormat="1" x14ac:dyDescent="0.25">
      <c r="A382" s="192" t="s">
        <v>6869</v>
      </c>
      <c r="B382" s="203" t="s">
        <v>3329</v>
      </c>
      <c r="C382" s="188" t="s">
        <v>6779</v>
      </c>
      <c r="D382" s="199" t="s">
        <v>8724</v>
      </c>
      <c r="E382" s="188" t="s">
        <v>5005</v>
      </c>
      <c r="F382" s="189" t="s">
        <v>3472</v>
      </c>
      <c r="G382" s="199" t="s">
        <v>8257</v>
      </c>
      <c r="H382" s="199" t="s">
        <v>2185</v>
      </c>
      <c r="I382" s="199">
        <v>1</v>
      </c>
      <c r="J382" s="199">
        <v>1</v>
      </c>
      <c r="K382" s="199">
        <v>1</v>
      </c>
      <c r="L382" s="199">
        <v>50</v>
      </c>
      <c r="M382" s="202">
        <f>TB_Parts_Lists[[#This Row],[Quantity Initial]]+ SUMIF(TB_Transactions[Part number],TB_Parts_Lists[[#This Row],[Part Number]],TB_Transactions[Quantity])</f>
        <v>50</v>
      </c>
      <c r="N382" s="200" t="s">
        <v>4593</v>
      </c>
      <c r="O382" s="234">
        <v>5</v>
      </c>
      <c r="P382" s="199">
        <f>TB_Parts_Lists[[#This Row],[Quantity Initial]]*TB_Parts_Lists[[#This Row],[Unit Price AED]]</f>
        <v>250</v>
      </c>
      <c r="Q382" s="199">
        <f>TB_Parts_Lists[[#This Row],[Quantity Total]]*TB_Parts_Lists[[#This Row],[Unit Price AED]]</f>
        <v>250</v>
      </c>
      <c r="S382" s="199" t="s">
        <v>118</v>
      </c>
      <c r="T382" s="199" t="s">
        <v>8675</v>
      </c>
      <c r="U382" s="199" t="s">
        <v>8675</v>
      </c>
    </row>
    <row r="383" spans="1:21" s="199" customFormat="1" x14ac:dyDescent="0.25">
      <c r="A383" s="192" t="s">
        <v>6870</v>
      </c>
      <c r="B383" s="203" t="s">
        <v>3329</v>
      </c>
      <c r="C383" s="188" t="s">
        <v>4617</v>
      </c>
      <c r="D383" s="199" t="s">
        <v>8732</v>
      </c>
      <c r="E383" s="188" t="s">
        <v>5006</v>
      </c>
      <c r="F383" s="189" t="s">
        <v>3473</v>
      </c>
      <c r="G383" s="199" t="s">
        <v>8257</v>
      </c>
      <c r="H383" s="199" t="s">
        <v>72</v>
      </c>
      <c r="I383" s="199">
        <v>1</v>
      </c>
      <c r="J383" s="199">
        <v>1</v>
      </c>
      <c r="K383" s="199">
        <v>1</v>
      </c>
      <c r="L383" s="199">
        <v>50</v>
      </c>
      <c r="M383" s="202">
        <f>TB_Parts_Lists[[#This Row],[Quantity Initial]]+ SUMIF(TB_Transactions[Part number],TB_Parts_Lists[[#This Row],[Part Number]],TB_Transactions[Quantity])</f>
        <v>50</v>
      </c>
      <c r="N383" s="200" t="s">
        <v>4593</v>
      </c>
      <c r="O383" s="234">
        <v>5</v>
      </c>
      <c r="P383" s="199">
        <f>TB_Parts_Lists[[#This Row],[Quantity Initial]]*TB_Parts_Lists[[#This Row],[Unit Price AED]]</f>
        <v>250</v>
      </c>
      <c r="Q383" s="199">
        <f>TB_Parts_Lists[[#This Row],[Quantity Total]]*TB_Parts_Lists[[#This Row],[Unit Price AED]]</f>
        <v>250</v>
      </c>
      <c r="S383" s="199" t="s">
        <v>118</v>
      </c>
      <c r="T383" s="199" t="s">
        <v>8687</v>
      </c>
      <c r="U383" s="199" t="s">
        <v>1453</v>
      </c>
    </row>
    <row r="384" spans="1:21" s="199" customFormat="1" x14ac:dyDescent="0.25">
      <c r="A384" s="192" t="s">
        <v>6871</v>
      </c>
      <c r="B384" s="203" t="s">
        <v>3329</v>
      </c>
      <c r="C384" s="188" t="s">
        <v>4617</v>
      </c>
      <c r="D384" s="199" t="s">
        <v>8724</v>
      </c>
      <c r="E384" s="188" t="s">
        <v>5007</v>
      </c>
      <c r="F384" s="189" t="s">
        <v>4618</v>
      </c>
      <c r="G384" s="199" t="s">
        <v>8257</v>
      </c>
      <c r="H384" s="199" t="s">
        <v>72</v>
      </c>
      <c r="I384" s="199">
        <v>1</v>
      </c>
      <c r="J384" s="199">
        <v>1</v>
      </c>
      <c r="K384" s="199">
        <v>1</v>
      </c>
      <c r="L384" s="199">
        <v>50</v>
      </c>
      <c r="M384" s="202">
        <f>TB_Parts_Lists[[#This Row],[Quantity Initial]]+ SUMIF(TB_Transactions[Part number],TB_Parts_Lists[[#This Row],[Part Number]],TB_Transactions[Quantity])</f>
        <v>50</v>
      </c>
      <c r="N384" s="200" t="s">
        <v>4593</v>
      </c>
      <c r="O384" s="234">
        <v>5</v>
      </c>
      <c r="P384" s="199">
        <f>TB_Parts_Lists[[#This Row],[Quantity Initial]]*TB_Parts_Lists[[#This Row],[Unit Price AED]]</f>
        <v>250</v>
      </c>
      <c r="Q384" s="199">
        <f>TB_Parts_Lists[[#This Row],[Quantity Total]]*TB_Parts_Lists[[#This Row],[Unit Price AED]]</f>
        <v>250</v>
      </c>
      <c r="S384" s="199" t="s">
        <v>118</v>
      </c>
      <c r="T384" s="199" t="s">
        <v>8675</v>
      </c>
      <c r="U384" s="199" t="s">
        <v>8675</v>
      </c>
    </row>
    <row r="385" spans="1:21" s="199" customFormat="1" x14ac:dyDescent="0.25">
      <c r="A385" s="192" t="s">
        <v>6872</v>
      </c>
      <c r="B385" s="203" t="s">
        <v>3329</v>
      </c>
      <c r="C385" s="188" t="s">
        <v>3379</v>
      </c>
      <c r="D385" s="199" t="s">
        <v>8723</v>
      </c>
      <c r="E385" s="188" t="s">
        <v>5008</v>
      </c>
      <c r="F385" s="189" t="s">
        <v>3474</v>
      </c>
      <c r="G385" s="199" t="s">
        <v>8257</v>
      </c>
      <c r="H385" s="199" t="s">
        <v>72</v>
      </c>
      <c r="I385" s="199">
        <v>1</v>
      </c>
      <c r="J385" s="199">
        <v>1</v>
      </c>
      <c r="K385" s="199">
        <v>1</v>
      </c>
      <c r="L385" s="199">
        <v>50</v>
      </c>
      <c r="M385" s="202">
        <f>TB_Parts_Lists[[#This Row],[Quantity Initial]]+ SUMIF(TB_Transactions[Part number],TB_Parts_Lists[[#This Row],[Part Number]],TB_Transactions[Quantity])</f>
        <v>50</v>
      </c>
      <c r="N385" s="200" t="s">
        <v>4593</v>
      </c>
      <c r="O385" s="234">
        <v>5</v>
      </c>
      <c r="P385" s="199">
        <f>TB_Parts_Lists[[#This Row],[Quantity Initial]]*TB_Parts_Lists[[#This Row],[Unit Price AED]]</f>
        <v>250</v>
      </c>
      <c r="Q385" s="199">
        <f>TB_Parts_Lists[[#This Row],[Quantity Total]]*TB_Parts_Lists[[#This Row],[Unit Price AED]]</f>
        <v>250</v>
      </c>
      <c r="S385" s="199" t="s">
        <v>8675</v>
      </c>
      <c r="T385" s="199" t="s">
        <v>8675</v>
      </c>
      <c r="U385" s="199" t="s">
        <v>8675</v>
      </c>
    </row>
    <row r="386" spans="1:21" s="199" customFormat="1" x14ac:dyDescent="0.25">
      <c r="A386" s="192" t="s">
        <v>6873</v>
      </c>
      <c r="B386" s="203" t="s">
        <v>3329</v>
      </c>
      <c r="C386" s="188" t="s">
        <v>3343</v>
      </c>
      <c r="D386" s="199" t="s">
        <v>8724</v>
      </c>
      <c r="E386" s="188" t="s">
        <v>5009</v>
      </c>
      <c r="F386" s="189" t="s">
        <v>3475</v>
      </c>
      <c r="G386" s="199" t="s">
        <v>8257</v>
      </c>
      <c r="H386" s="199" t="s">
        <v>72</v>
      </c>
      <c r="I386" s="199">
        <v>1</v>
      </c>
      <c r="J386" s="199">
        <v>1</v>
      </c>
      <c r="K386" s="199">
        <v>1</v>
      </c>
      <c r="L386" s="199">
        <v>50</v>
      </c>
      <c r="M386" s="202">
        <f>TB_Parts_Lists[[#This Row],[Quantity Initial]]+ SUMIF(TB_Transactions[Part number],TB_Parts_Lists[[#This Row],[Part Number]],TB_Transactions[Quantity])</f>
        <v>50</v>
      </c>
      <c r="N386" s="200" t="s">
        <v>4593</v>
      </c>
      <c r="O386" s="234">
        <v>5</v>
      </c>
      <c r="P386" s="199">
        <f>TB_Parts_Lists[[#This Row],[Quantity Initial]]*TB_Parts_Lists[[#This Row],[Unit Price AED]]</f>
        <v>250</v>
      </c>
      <c r="Q386" s="199">
        <f>TB_Parts_Lists[[#This Row],[Quantity Total]]*TB_Parts_Lists[[#This Row],[Unit Price AED]]</f>
        <v>250</v>
      </c>
      <c r="S386" s="199" t="s">
        <v>8675</v>
      </c>
      <c r="T386" s="199" t="s">
        <v>8675</v>
      </c>
      <c r="U386" s="199" t="s">
        <v>8675</v>
      </c>
    </row>
    <row r="387" spans="1:21" s="199" customFormat="1" x14ac:dyDescent="0.25">
      <c r="A387" s="192" t="s">
        <v>6874</v>
      </c>
      <c r="B387" s="203" t="s">
        <v>3329</v>
      </c>
      <c r="C387" s="188" t="s">
        <v>3345</v>
      </c>
      <c r="D387" s="199" t="s">
        <v>8724</v>
      </c>
      <c r="E387" s="188" t="s">
        <v>5010</v>
      </c>
      <c r="F387" s="189" t="s">
        <v>4619</v>
      </c>
      <c r="G387" s="199" t="s">
        <v>8257</v>
      </c>
      <c r="H387" s="199" t="s">
        <v>72</v>
      </c>
      <c r="I387" s="199">
        <v>1</v>
      </c>
      <c r="J387" s="199">
        <v>1</v>
      </c>
      <c r="K387" s="199">
        <v>1</v>
      </c>
      <c r="L387" s="199">
        <v>50</v>
      </c>
      <c r="M387" s="202">
        <f>TB_Parts_Lists[[#This Row],[Quantity Initial]]+ SUMIF(TB_Transactions[Part number],TB_Parts_Lists[[#This Row],[Part Number]],TB_Transactions[Quantity])</f>
        <v>50</v>
      </c>
      <c r="N387" s="200" t="s">
        <v>4593</v>
      </c>
      <c r="O387" s="234">
        <v>5</v>
      </c>
      <c r="P387" s="199">
        <f>TB_Parts_Lists[[#This Row],[Quantity Initial]]*TB_Parts_Lists[[#This Row],[Unit Price AED]]</f>
        <v>250</v>
      </c>
      <c r="Q387" s="199">
        <f>TB_Parts_Lists[[#This Row],[Quantity Total]]*TB_Parts_Lists[[#This Row],[Unit Price AED]]</f>
        <v>250</v>
      </c>
      <c r="S387" s="199" t="s">
        <v>8675</v>
      </c>
      <c r="T387" s="199" t="s">
        <v>8675</v>
      </c>
      <c r="U387" s="199" t="s">
        <v>8675</v>
      </c>
    </row>
    <row r="388" spans="1:21" s="199" customFormat="1" x14ac:dyDescent="0.25">
      <c r="A388" s="192" t="s">
        <v>6875</v>
      </c>
      <c r="B388" s="203" t="s">
        <v>3329</v>
      </c>
      <c r="C388" s="188" t="s">
        <v>3343</v>
      </c>
      <c r="D388" s="199" t="s">
        <v>8724</v>
      </c>
      <c r="E388" s="188" t="s">
        <v>5011</v>
      </c>
      <c r="F388" s="189" t="s">
        <v>3476</v>
      </c>
      <c r="G388" s="199" t="s">
        <v>8257</v>
      </c>
      <c r="H388" s="199" t="s">
        <v>72</v>
      </c>
      <c r="I388" s="199">
        <v>1</v>
      </c>
      <c r="J388" s="199">
        <v>1</v>
      </c>
      <c r="K388" s="199">
        <v>1</v>
      </c>
      <c r="L388" s="199">
        <v>50</v>
      </c>
      <c r="M388" s="202">
        <f>TB_Parts_Lists[[#This Row],[Quantity Initial]]+ SUMIF(TB_Transactions[Part number],TB_Parts_Lists[[#This Row],[Part Number]],TB_Transactions[Quantity])</f>
        <v>50</v>
      </c>
      <c r="N388" s="200" t="s">
        <v>4593</v>
      </c>
      <c r="O388" s="234">
        <v>5</v>
      </c>
      <c r="P388" s="199">
        <f>TB_Parts_Lists[[#This Row],[Quantity Initial]]*TB_Parts_Lists[[#This Row],[Unit Price AED]]</f>
        <v>250</v>
      </c>
      <c r="Q388" s="199">
        <f>TB_Parts_Lists[[#This Row],[Quantity Total]]*TB_Parts_Lists[[#This Row],[Unit Price AED]]</f>
        <v>250</v>
      </c>
      <c r="S388" s="199" t="s">
        <v>8675</v>
      </c>
      <c r="T388" s="199" t="s">
        <v>8675</v>
      </c>
      <c r="U388" s="199" t="s">
        <v>8675</v>
      </c>
    </row>
    <row r="389" spans="1:21" s="199" customFormat="1" x14ac:dyDescent="0.25">
      <c r="A389" s="192" t="s">
        <v>6876</v>
      </c>
      <c r="B389" s="203" t="s">
        <v>3329</v>
      </c>
      <c r="C389" s="188" t="s">
        <v>3343</v>
      </c>
      <c r="D389" s="199" t="s">
        <v>8724</v>
      </c>
      <c r="E389" s="188" t="s">
        <v>5012</v>
      </c>
      <c r="F389" s="189" t="s">
        <v>3477</v>
      </c>
      <c r="G389" s="199" t="s">
        <v>8257</v>
      </c>
      <c r="H389" s="199" t="s">
        <v>72</v>
      </c>
      <c r="I389" s="199">
        <v>1</v>
      </c>
      <c r="J389" s="199">
        <v>1</v>
      </c>
      <c r="K389" s="199">
        <v>1</v>
      </c>
      <c r="L389" s="199">
        <v>50</v>
      </c>
      <c r="M389" s="202">
        <f>TB_Parts_Lists[[#This Row],[Quantity Initial]]+ SUMIF(TB_Transactions[Part number],TB_Parts_Lists[[#This Row],[Part Number]],TB_Transactions[Quantity])</f>
        <v>50</v>
      </c>
      <c r="N389" s="200" t="s">
        <v>4593</v>
      </c>
      <c r="O389" s="234">
        <v>5</v>
      </c>
      <c r="P389" s="199">
        <f>TB_Parts_Lists[[#This Row],[Quantity Initial]]*TB_Parts_Lists[[#This Row],[Unit Price AED]]</f>
        <v>250</v>
      </c>
      <c r="Q389" s="199">
        <f>TB_Parts_Lists[[#This Row],[Quantity Total]]*TB_Parts_Lists[[#This Row],[Unit Price AED]]</f>
        <v>250</v>
      </c>
      <c r="S389" s="199" t="s">
        <v>8675</v>
      </c>
      <c r="T389" s="199" t="s">
        <v>8675</v>
      </c>
      <c r="U389" s="199" t="s">
        <v>8675</v>
      </c>
    </row>
    <row r="390" spans="1:21" s="199" customFormat="1" x14ac:dyDescent="0.25">
      <c r="A390" s="192" t="s">
        <v>6877</v>
      </c>
      <c r="B390" s="203" t="s">
        <v>3329</v>
      </c>
      <c r="C390" s="188" t="s">
        <v>3343</v>
      </c>
      <c r="D390" s="199" t="s">
        <v>8724</v>
      </c>
      <c r="E390" s="188" t="s">
        <v>5013</v>
      </c>
      <c r="F390" s="189" t="s">
        <v>3478</v>
      </c>
      <c r="G390" s="199" t="s">
        <v>8257</v>
      </c>
      <c r="H390" s="199" t="s">
        <v>72</v>
      </c>
      <c r="I390" s="199">
        <v>1</v>
      </c>
      <c r="J390" s="199">
        <v>1</v>
      </c>
      <c r="K390" s="199">
        <v>1</v>
      </c>
      <c r="L390" s="199">
        <v>50</v>
      </c>
      <c r="M390" s="202">
        <f>TB_Parts_Lists[[#This Row],[Quantity Initial]]+ SUMIF(TB_Transactions[Part number],TB_Parts_Lists[[#This Row],[Part Number]],TB_Transactions[Quantity])</f>
        <v>50</v>
      </c>
      <c r="N390" s="200" t="s">
        <v>4593</v>
      </c>
      <c r="O390" s="234">
        <v>5</v>
      </c>
      <c r="P390" s="199">
        <f>TB_Parts_Lists[[#This Row],[Quantity Initial]]*TB_Parts_Lists[[#This Row],[Unit Price AED]]</f>
        <v>250</v>
      </c>
      <c r="Q390" s="199">
        <f>TB_Parts_Lists[[#This Row],[Quantity Total]]*TB_Parts_Lists[[#This Row],[Unit Price AED]]</f>
        <v>250</v>
      </c>
      <c r="S390" s="199" t="s">
        <v>8675</v>
      </c>
      <c r="T390" s="199" t="s">
        <v>8675</v>
      </c>
      <c r="U390" s="199" t="s">
        <v>8675</v>
      </c>
    </row>
    <row r="391" spans="1:21" s="199" customFormat="1" x14ac:dyDescent="0.25">
      <c r="A391" s="192" t="s">
        <v>6878</v>
      </c>
      <c r="B391" s="203" t="s">
        <v>3329</v>
      </c>
      <c r="C391" s="188" t="s">
        <v>3343</v>
      </c>
      <c r="D391" s="199" t="s">
        <v>8724</v>
      </c>
      <c r="E391" s="188" t="s">
        <v>5014</v>
      </c>
      <c r="F391" s="189" t="s">
        <v>3479</v>
      </c>
      <c r="G391" s="199" t="s">
        <v>8257</v>
      </c>
      <c r="H391" s="199" t="s">
        <v>72</v>
      </c>
      <c r="I391" s="199">
        <v>1</v>
      </c>
      <c r="J391" s="199">
        <v>1</v>
      </c>
      <c r="K391" s="199">
        <v>1</v>
      </c>
      <c r="L391" s="199">
        <v>50</v>
      </c>
      <c r="M391" s="202">
        <f>TB_Parts_Lists[[#This Row],[Quantity Initial]]+ SUMIF(TB_Transactions[Part number],TB_Parts_Lists[[#This Row],[Part Number]],TB_Transactions[Quantity])</f>
        <v>50</v>
      </c>
      <c r="N391" s="200" t="s">
        <v>4593</v>
      </c>
      <c r="O391" s="234">
        <v>5</v>
      </c>
      <c r="P391" s="199">
        <f>TB_Parts_Lists[[#This Row],[Quantity Initial]]*TB_Parts_Lists[[#This Row],[Unit Price AED]]</f>
        <v>250</v>
      </c>
      <c r="Q391" s="199">
        <f>TB_Parts_Lists[[#This Row],[Quantity Total]]*TB_Parts_Lists[[#This Row],[Unit Price AED]]</f>
        <v>250</v>
      </c>
      <c r="S391" s="199" t="s">
        <v>8675</v>
      </c>
      <c r="T391" s="199" t="s">
        <v>8675</v>
      </c>
      <c r="U391" s="199" t="s">
        <v>8675</v>
      </c>
    </row>
    <row r="392" spans="1:21" s="199" customFormat="1" x14ac:dyDescent="0.25">
      <c r="A392" s="192" t="s">
        <v>6879</v>
      </c>
      <c r="B392" s="203" t="s">
        <v>3329</v>
      </c>
      <c r="C392" s="188" t="s">
        <v>3343</v>
      </c>
      <c r="D392" s="199" t="s">
        <v>8724</v>
      </c>
      <c r="E392" s="188" t="s">
        <v>5015</v>
      </c>
      <c r="F392" s="189" t="s">
        <v>3480</v>
      </c>
      <c r="G392" s="199" t="s">
        <v>8257</v>
      </c>
      <c r="H392" s="199" t="s">
        <v>72</v>
      </c>
      <c r="I392" s="199">
        <v>1</v>
      </c>
      <c r="J392" s="199">
        <v>1</v>
      </c>
      <c r="K392" s="199">
        <v>1</v>
      </c>
      <c r="L392" s="199">
        <v>50</v>
      </c>
      <c r="M392" s="202">
        <f>TB_Parts_Lists[[#This Row],[Quantity Initial]]+ SUMIF(TB_Transactions[Part number],TB_Parts_Lists[[#This Row],[Part Number]],TB_Transactions[Quantity])</f>
        <v>50</v>
      </c>
      <c r="N392" s="200" t="s">
        <v>4593</v>
      </c>
      <c r="O392" s="234">
        <v>5</v>
      </c>
      <c r="P392" s="199">
        <f>TB_Parts_Lists[[#This Row],[Quantity Initial]]*TB_Parts_Lists[[#This Row],[Unit Price AED]]</f>
        <v>250</v>
      </c>
      <c r="Q392" s="199">
        <f>TB_Parts_Lists[[#This Row],[Quantity Total]]*TB_Parts_Lists[[#This Row],[Unit Price AED]]</f>
        <v>250</v>
      </c>
      <c r="S392" s="199" t="s">
        <v>118</v>
      </c>
      <c r="T392" s="199" t="s">
        <v>8688</v>
      </c>
      <c r="U392" s="199" t="s">
        <v>8675</v>
      </c>
    </row>
    <row r="393" spans="1:21" s="199" customFormat="1" x14ac:dyDescent="0.25">
      <c r="A393" s="192" t="s">
        <v>6880</v>
      </c>
      <c r="B393" s="203" t="s">
        <v>3329</v>
      </c>
      <c r="C393" s="188" t="s">
        <v>4617</v>
      </c>
      <c r="D393" s="199" t="s">
        <v>8724</v>
      </c>
      <c r="E393" s="188" t="s">
        <v>5016</v>
      </c>
      <c r="F393" s="189" t="s">
        <v>4702</v>
      </c>
      <c r="G393" s="199" t="s">
        <v>8257</v>
      </c>
      <c r="H393" s="199" t="s">
        <v>72</v>
      </c>
      <c r="I393" s="199">
        <v>1</v>
      </c>
      <c r="J393" s="199">
        <v>1</v>
      </c>
      <c r="K393" s="199">
        <v>1</v>
      </c>
      <c r="L393" s="199">
        <v>50</v>
      </c>
      <c r="M393" s="202">
        <f>TB_Parts_Lists[[#This Row],[Quantity Initial]]+ SUMIF(TB_Transactions[Part number],TB_Parts_Lists[[#This Row],[Part Number]],TB_Transactions[Quantity])</f>
        <v>50</v>
      </c>
      <c r="N393" s="200" t="s">
        <v>4593</v>
      </c>
      <c r="O393" s="234">
        <v>5</v>
      </c>
      <c r="P393" s="199">
        <f>TB_Parts_Lists[[#This Row],[Quantity Initial]]*TB_Parts_Lists[[#This Row],[Unit Price AED]]</f>
        <v>250</v>
      </c>
      <c r="Q393" s="199">
        <f>TB_Parts_Lists[[#This Row],[Quantity Total]]*TB_Parts_Lists[[#This Row],[Unit Price AED]]</f>
        <v>250</v>
      </c>
      <c r="S393" s="199" t="s">
        <v>8675</v>
      </c>
      <c r="T393" s="199" t="s">
        <v>8675</v>
      </c>
      <c r="U393" s="199" t="s">
        <v>8675</v>
      </c>
    </row>
    <row r="394" spans="1:21" s="199" customFormat="1" x14ac:dyDescent="0.25">
      <c r="A394" s="192" t="s">
        <v>6881</v>
      </c>
      <c r="B394" s="203" t="s">
        <v>3329</v>
      </c>
      <c r="C394" s="188" t="s">
        <v>3343</v>
      </c>
      <c r="D394" s="199" t="s">
        <v>8724</v>
      </c>
      <c r="E394" s="188" t="s">
        <v>5017</v>
      </c>
      <c r="F394" s="189" t="s">
        <v>4703</v>
      </c>
      <c r="G394" s="199" t="s">
        <v>8257</v>
      </c>
      <c r="H394" s="199" t="s">
        <v>72</v>
      </c>
      <c r="I394" s="199">
        <v>1</v>
      </c>
      <c r="J394" s="199">
        <v>1</v>
      </c>
      <c r="K394" s="199">
        <v>1</v>
      </c>
      <c r="L394" s="199">
        <v>50</v>
      </c>
      <c r="M394" s="202">
        <f>TB_Parts_Lists[[#This Row],[Quantity Initial]]+ SUMIF(TB_Transactions[Part number],TB_Parts_Lists[[#This Row],[Part Number]],TB_Transactions[Quantity])</f>
        <v>50</v>
      </c>
      <c r="N394" s="200" t="s">
        <v>4593</v>
      </c>
      <c r="O394" s="234">
        <v>5</v>
      </c>
      <c r="P394" s="199">
        <f>TB_Parts_Lists[[#This Row],[Quantity Initial]]*TB_Parts_Lists[[#This Row],[Unit Price AED]]</f>
        <v>250</v>
      </c>
      <c r="Q394" s="199">
        <f>TB_Parts_Lists[[#This Row],[Quantity Total]]*TB_Parts_Lists[[#This Row],[Unit Price AED]]</f>
        <v>250</v>
      </c>
      <c r="S394" s="199" t="s">
        <v>8675</v>
      </c>
      <c r="T394" s="199" t="s">
        <v>8675</v>
      </c>
      <c r="U394" s="199" t="s">
        <v>8675</v>
      </c>
    </row>
    <row r="395" spans="1:21" s="199" customFormat="1" x14ac:dyDescent="0.25">
      <c r="A395" s="192" t="s">
        <v>6882</v>
      </c>
      <c r="B395" s="203" t="s">
        <v>3329</v>
      </c>
      <c r="C395" s="188" t="s">
        <v>6779</v>
      </c>
      <c r="D395" s="199" t="s">
        <v>8724</v>
      </c>
      <c r="E395" s="188" t="s">
        <v>5018</v>
      </c>
      <c r="F395" s="189" t="s">
        <v>3481</v>
      </c>
      <c r="G395" s="199" t="s">
        <v>8258</v>
      </c>
      <c r="H395" s="199" t="s">
        <v>72</v>
      </c>
      <c r="I395" s="199">
        <v>1</v>
      </c>
      <c r="J395" s="199">
        <v>1</v>
      </c>
      <c r="K395" s="199">
        <v>1</v>
      </c>
      <c r="L395" s="199">
        <v>50</v>
      </c>
      <c r="M395" s="202">
        <f>TB_Parts_Lists[[#This Row],[Quantity Initial]]+ SUMIF(TB_Transactions[Part number],TB_Parts_Lists[[#This Row],[Part Number]],TB_Transactions[Quantity])</f>
        <v>50</v>
      </c>
      <c r="N395" s="200" t="s">
        <v>4593</v>
      </c>
      <c r="O395" s="234">
        <v>5</v>
      </c>
      <c r="P395" s="199">
        <f>TB_Parts_Lists[[#This Row],[Quantity Initial]]*TB_Parts_Lists[[#This Row],[Unit Price AED]]</f>
        <v>250</v>
      </c>
      <c r="Q395" s="199">
        <f>TB_Parts_Lists[[#This Row],[Quantity Total]]*TB_Parts_Lists[[#This Row],[Unit Price AED]]</f>
        <v>250</v>
      </c>
      <c r="S395" s="199" t="s">
        <v>118</v>
      </c>
      <c r="T395" s="199" t="s">
        <v>8684</v>
      </c>
      <c r="U395" s="199" t="s">
        <v>611</v>
      </c>
    </row>
    <row r="396" spans="1:21" s="199" customFormat="1" x14ac:dyDescent="0.25">
      <c r="A396" s="192" t="s">
        <v>6883</v>
      </c>
      <c r="B396" s="203" t="s">
        <v>3329</v>
      </c>
      <c r="C396" s="188" t="s">
        <v>3379</v>
      </c>
      <c r="D396" s="199" t="s">
        <v>8724</v>
      </c>
      <c r="E396" s="188" t="s">
        <v>3379</v>
      </c>
      <c r="F396" s="189" t="s">
        <v>3482</v>
      </c>
      <c r="G396" s="199" t="s">
        <v>8258</v>
      </c>
      <c r="H396" s="199" t="s">
        <v>72</v>
      </c>
      <c r="I396" s="199">
        <v>1</v>
      </c>
      <c r="J396" s="199">
        <v>1</v>
      </c>
      <c r="K396" s="199">
        <v>1</v>
      </c>
      <c r="L396" s="199">
        <v>50</v>
      </c>
      <c r="M396" s="202">
        <f>TB_Parts_Lists[[#This Row],[Quantity Initial]]+ SUMIF(TB_Transactions[Part number],TB_Parts_Lists[[#This Row],[Part Number]],TB_Transactions[Quantity])</f>
        <v>50</v>
      </c>
      <c r="N396" s="200" t="s">
        <v>4593</v>
      </c>
      <c r="O396" s="234">
        <v>5</v>
      </c>
      <c r="P396" s="199">
        <f>TB_Parts_Lists[[#This Row],[Quantity Initial]]*TB_Parts_Lists[[#This Row],[Unit Price AED]]</f>
        <v>250</v>
      </c>
      <c r="Q396" s="199">
        <f>TB_Parts_Lists[[#This Row],[Quantity Total]]*TB_Parts_Lists[[#This Row],[Unit Price AED]]</f>
        <v>250</v>
      </c>
      <c r="S396" s="199" t="s">
        <v>118</v>
      </c>
      <c r="T396" s="199" t="s">
        <v>8675</v>
      </c>
      <c r="U396" s="199" t="s">
        <v>8675</v>
      </c>
    </row>
    <row r="397" spans="1:21" s="199" customFormat="1" x14ac:dyDescent="0.25">
      <c r="A397" s="192" t="s">
        <v>6884</v>
      </c>
      <c r="B397" s="203" t="s">
        <v>3329</v>
      </c>
      <c r="C397" s="188" t="s">
        <v>3379</v>
      </c>
      <c r="D397" s="199" t="s">
        <v>8724</v>
      </c>
      <c r="E397" s="188" t="s">
        <v>5019</v>
      </c>
      <c r="F397" s="189" t="s">
        <v>3483</v>
      </c>
      <c r="G397" s="199" t="s">
        <v>8258</v>
      </c>
      <c r="H397" s="199" t="s">
        <v>72</v>
      </c>
      <c r="I397" s="199">
        <v>1</v>
      </c>
      <c r="J397" s="199">
        <v>1</v>
      </c>
      <c r="K397" s="199">
        <v>1</v>
      </c>
      <c r="L397" s="199">
        <v>50</v>
      </c>
      <c r="M397" s="202">
        <f>TB_Parts_Lists[[#This Row],[Quantity Initial]]+ SUMIF(TB_Transactions[Part number],TB_Parts_Lists[[#This Row],[Part Number]],TB_Transactions[Quantity])</f>
        <v>50</v>
      </c>
      <c r="N397" s="200" t="s">
        <v>4593</v>
      </c>
      <c r="O397" s="234">
        <v>5</v>
      </c>
      <c r="P397" s="199">
        <f>TB_Parts_Lists[[#This Row],[Quantity Initial]]*TB_Parts_Lists[[#This Row],[Unit Price AED]]</f>
        <v>250</v>
      </c>
      <c r="Q397" s="199">
        <f>TB_Parts_Lists[[#This Row],[Quantity Total]]*TB_Parts_Lists[[#This Row],[Unit Price AED]]</f>
        <v>250</v>
      </c>
      <c r="S397" s="199" t="s">
        <v>118</v>
      </c>
      <c r="T397" s="199" t="s">
        <v>8675</v>
      </c>
      <c r="U397" s="199" t="s">
        <v>8675</v>
      </c>
    </row>
    <row r="398" spans="1:21" s="199" customFormat="1" x14ac:dyDescent="0.25">
      <c r="A398" s="192" t="s">
        <v>6885</v>
      </c>
      <c r="B398" s="203" t="s">
        <v>3329</v>
      </c>
      <c r="C398" s="188" t="s">
        <v>3379</v>
      </c>
      <c r="D398" s="199" t="s">
        <v>8724</v>
      </c>
      <c r="E398" s="188" t="s">
        <v>5020</v>
      </c>
      <c r="F398" s="189" t="s">
        <v>3484</v>
      </c>
      <c r="G398" s="199" t="s">
        <v>8258</v>
      </c>
      <c r="H398" s="199" t="s">
        <v>72</v>
      </c>
      <c r="I398" s="199">
        <v>1</v>
      </c>
      <c r="J398" s="199">
        <v>1</v>
      </c>
      <c r="K398" s="199">
        <v>1</v>
      </c>
      <c r="L398" s="199">
        <v>50</v>
      </c>
      <c r="M398" s="202">
        <f>TB_Parts_Lists[[#This Row],[Quantity Initial]]+ SUMIF(TB_Transactions[Part number],TB_Parts_Lists[[#This Row],[Part Number]],TB_Transactions[Quantity])</f>
        <v>50</v>
      </c>
      <c r="N398" s="200" t="s">
        <v>4593</v>
      </c>
      <c r="O398" s="234">
        <v>5</v>
      </c>
      <c r="P398" s="199">
        <f>TB_Parts_Lists[[#This Row],[Quantity Initial]]*TB_Parts_Lists[[#This Row],[Unit Price AED]]</f>
        <v>250</v>
      </c>
      <c r="Q398" s="199">
        <f>TB_Parts_Lists[[#This Row],[Quantity Total]]*TB_Parts_Lists[[#This Row],[Unit Price AED]]</f>
        <v>250</v>
      </c>
      <c r="S398" s="199" t="s">
        <v>118</v>
      </c>
      <c r="T398" s="199" t="s">
        <v>8675</v>
      </c>
      <c r="U398" s="199" t="s">
        <v>8675</v>
      </c>
    </row>
    <row r="399" spans="1:21" s="199" customFormat="1" x14ac:dyDescent="0.25">
      <c r="A399" s="192" t="s">
        <v>6886</v>
      </c>
      <c r="B399" s="203" t="s">
        <v>3329</v>
      </c>
      <c r="C399" s="199" t="s">
        <v>3008</v>
      </c>
      <c r="D399" s="199" t="s">
        <v>8724</v>
      </c>
      <c r="E399" s="188" t="s">
        <v>3558</v>
      </c>
      <c r="F399" s="189" t="s">
        <v>3485</v>
      </c>
      <c r="G399" s="199" t="s">
        <v>8258</v>
      </c>
      <c r="H399" s="199" t="s">
        <v>72</v>
      </c>
      <c r="I399" s="199">
        <v>1</v>
      </c>
      <c r="J399" s="199">
        <v>1</v>
      </c>
      <c r="K399" s="199">
        <v>1</v>
      </c>
      <c r="L399" s="199">
        <v>50</v>
      </c>
      <c r="M399" s="202">
        <f>TB_Parts_Lists[[#This Row],[Quantity Initial]]+ SUMIF(TB_Transactions[Part number],TB_Parts_Lists[[#This Row],[Part Number]],TB_Transactions[Quantity])</f>
        <v>50</v>
      </c>
      <c r="N399" s="200" t="s">
        <v>4593</v>
      </c>
      <c r="O399" s="234">
        <v>5</v>
      </c>
      <c r="P399" s="199">
        <f>TB_Parts_Lists[[#This Row],[Quantity Initial]]*TB_Parts_Lists[[#This Row],[Unit Price AED]]</f>
        <v>250</v>
      </c>
      <c r="Q399" s="199">
        <f>TB_Parts_Lists[[#This Row],[Quantity Total]]*TB_Parts_Lists[[#This Row],[Unit Price AED]]</f>
        <v>250</v>
      </c>
      <c r="S399" s="199" t="s">
        <v>118</v>
      </c>
      <c r="T399" s="199" t="s">
        <v>8675</v>
      </c>
      <c r="U399" s="199" t="s">
        <v>8675</v>
      </c>
    </row>
    <row r="400" spans="1:21" s="199" customFormat="1" x14ac:dyDescent="0.25">
      <c r="A400" s="192" t="s">
        <v>6887</v>
      </c>
      <c r="B400" s="203" t="s">
        <v>3329</v>
      </c>
      <c r="C400" s="188" t="s">
        <v>5277</v>
      </c>
      <c r="D400" s="199" t="s">
        <v>8724</v>
      </c>
      <c r="E400" s="188" t="s">
        <v>5021</v>
      </c>
      <c r="F400" s="189" t="s">
        <v>3486</v>
      </c>
      <c r="G400" s="199" t="s">
        <v>8258</v>
      </c>
      <c r="H400" s="199" t="s">
        <v>72</v>
      </c>
      <c r="I400" s="199">
        <v>1</v>
      </c>
      <c r="J400" s="199">
        <v>1</v>
      </c>
      <c r="K400" s="199">
        <v>1</v>
      </c>
      <c r="L400" s="199">
        <v>50</v>
      </c>
      <c r="M400" s="202">
        <f>TB_Parts_Lists[[#This Row],[Quantity Initial]]+ SUMIF(TB_Transactions[Part number],TB_Parts_Lists[[#This Row],[Part Number]],TB_Transactions[Quantity])</f>
        <v>50</v>
      </c>
      <c r="N400" s="200" t="s">
        <v>4593</v>
      </c>
      <c r="O400" s="234">
        <v>5</v>
      </c>
      <c r="P400" s="199">
        <f>TB_Parts_Lists[[#This Row],[Quantity Initial]]*TB_Parts_Lists[[#This Row],[Unit Price AED]]</f>
        <v>250</v>
      </c>
      <c r="Q400" s="199">
        <f>TB_Parts_Lists[[#This Row],[Quantity Total]]*TB_Parts_Lists[[#This Row],[Unit Price AED]]</f>
        <v>250</v>
      </c>
      <c r="S400" s="199" t="s">
        <v>118</v>
      </c>
      <c r="T400" s="199" t="s">
        <v>8675</v>
      </c>
      <c r="U400" s="199" t="s">
        <v>8675</v>
      </c>
    </row>
    <row r="401" spans="1:21" s="199" customFormat="1" x14ac:dyDescent="0.25">
      <c r="A401" s="192" t="s">
        <v>6888</v>
      </c>
      <c r="B401" s="203" t="s">
        <v>3329</v>
      </c>
      <c r="C401" s="188" t="s">
        <v>3379</v>
      </c>
      <c r="D401" s="199" t="s">
        <v>8724</v>
      </c>
      <c r="E401" s="188" t="s">
        <v>5022</v>
      </c>
      <c r="F401" s="189" t="s">
        <v>3487</v>
      </c>
      <c r="G401" s="199" t="s">
        <v>8258</v>
      </c>
      <c r="H401" s="199" t="s">
        <v>72</v>
      </c>
      <c r="I401" s="199">
        <v>1</v>
      </c>
      <c r="J401" s="199">
        <v>1</v>
      </c>
      <c r="K401" s="199">
        <v>1</v>
      </c>
      <c r="L401" s="199">
        <v>50</v>
      </c>
      <c r="M401" s="202">
        <f>TB_Parts_Lists[[#This Row],[Quantity Initial]]+ SUMIF(TB_Transactions[Part number],TB_Parts_Lists[[#This Row],[Part Number]],TB_Transactions[Quantity])</f>
        <v>50</v>
      </c>
      <c r="N401" s="200" t="s">
        <v>4593</v>
      </c>
      <c r="O401" s="234">
        <v>5</v>
      </c>
      <c r="P401" s="199">
        <f>TB_Parts_Lists[[#This Row],[Quantity Initial]]*TB_Parts_Lists[[#This Row],[Unit Price AED]]</f>
        <v>250</v>
      </c>
      <c r="Q401" s="199">
        <f>TB_Parts_Lists[[#This Row],[Quantity Total]]*TB_Parts_Lists[[#This Row],[Unit Price AED]]</f>
        <v>250</v>
      </c>
      <c r="S401" s="199" t="s">
        <v>118</v>
      </c>
      <c r="T401" s="199" t="s">
        <v>8675</v>
      </c>
      <c r="U401" s="199" t="s">
        <v>8675</v>
      </c>
    </row>
    <row r="402" spans="1:21" s="199" customFormat="1" x14ac:dyDescent="0.25">
      <c r="A402" s="192" t="s">
        <v>6889</v>
      </c>
      <c r="B402" s="203" t="s">
        <v>3329</v>
      </c>
      <c r="C402" s="199" t="s">
        <v>3008</v>
      </c>
      <c r="D402" s="199" t="s">
        <v>8724</v>
      </c>
      <c r="E402" s="188" t="s">
        <v>5023</v>
      </c>
      <c r="F402" s="189" t="s">
        <v>3488</v>
      </c>
      <c r="G402" s="199" t="s">
        <v>8258</v>
      </c>
      <c r="H402" s="199" t="s">
        <v>72</v>
      </c>
      <c r="I402" s="199">
        <v>1</v>
      </c>
      <c r="J402" s="199">
        <v>1</v>
      </c>
      <c r="K402" s="199">
        <v>1</v>
      </c>
      <c r="L402" s="199">
        <v>50</v>
      </c>
      <c r="M402" s="202">
        <f>TB_Parts_Lists[[#This Row],[Quantity Initial]]+ SUMIF(TB_Transactions[Part number],TB_Parts_Lists[[#This Row],[Part Number]],TB_Transactions[Quantity])</f>
        <v>50</v>
      </c>
      <c r="N402" s="200" t="s">
        <v>4593</v>
      </c>
      <c r="O402" s="234">
        <v>5</v>
      </c>
      <c r="P402" s="199">
        <f>TB_Parts_Lists[[#This Row],[Quantity Initial]]*TB_Parts_Lists[[#This Row],[Unit Price AED]]</f>
        <v>250</v>
      </c>
      <c r="Q402" s="199">
        <f>TB_Parts_Lists[[#This Row],[Quantity Total]]*TB_Parts_Lists[[#This Row],[Unit Price AED]]</f>
        <v>250</v>
      </c>
      <c r="S402" s="199" t="s">
        <v>118</v>
      </c>
      <c r="T402" s="199" t="s">
        <v>8675</v>
      </c>
      <c r="U402" s="199" t="s">
        <v>8675</v>
      </c>
    </row>
    <row r="403" spans="1:21" s="199" customFormat="1" x14ac:dyDescent="0.25">
      <c r="A403" s="192" t="s">
        <v>6890</v>
      </c>
      <c r="B403" s="203" t="s">
        <v>3329</v>
      </c>
      <c r="C403" s="199" t="s">
        <v>3008</v>
      </c>
      <c r="D403" s="199" t="s">
        <v>8724</v>
      </c>
      <c r="E403" s="188" t="s">
        <v>5024</v>
      </c>
      <c r="F403" s="189" t="s">
        <v>3489</v>
      </c>
      <c r="G403" s="199" t="s">
        <v>8258</v>
      </c>
      <c r="H403" s="199" t="s">
        <v>72</v>
      </c>
      <c r="I403" s="199">
        <v>1</v>
      </c>
      <c r="J403" s="199">
        <v>1</v>
      </c>
      <c r="K403" s="199">
        <v>1</v>
      </c>
      <c r="L403" s="199">
        <v>50</v>
      </c>
      <c r="M403" s="202">
        <f>TB_Parts_Lists[[#This Row],[Quantity Initial]]+ SUMIF(TB_Transactions[Part number],TB_Parts_Lists[[#This Row],[Part Number]],TB_Transactions[Quantity])</f>
        <v>50</v>
      </c>
      <c r="N403" s="200" t="s">
        <v>4593</v>
      </c>
      <c r="O403" s="234">
        <v>5</v>
      </c>
      <c r="P403" s="199">
        <f>TB_Parts_Lists[[#This Row],[Quantity Initial]]*TB_Parts_Lists[[#This Row],[Unit Price AED]]</f>
        <v>250</v>
      </c>
      <c r="Q403" s="199">
        <f>TB_Parts_Lists[[#This Row],[Quantity Total]]*TB_Parts_Lists[[#This Row],[Unit Price AED]]</f>
        <v>250</v>
      </c>
      <c r="S403" s="199" t="s">
        <v>118</v>
      </c>
      <c r="T403" s="199" t="s">
        <v>8675</v>
      </c>
      <c r="U403" s="199" t="s">
        <v>8675</v>
      </c>
    </row>
    <row r="404" spans="1:21" s="199" customFormat="1" x14ac:dyDescent="0.25">
      <c r="A404" s="192" t="s">
        <v>6891</v>
      </c>
      <c r="B404" s="203" t="s">
        <v>3329</v>
      </c>
      <c r="C404" s="188" t="s">
        <v>3348</v>
      </c>
      <c r="D404" s="199" t="s">
        <v>8723</v>
      </c>
      <c r="E404" s="188" t="s">
        <v>5025</v>
      </c>
      <c r="F404" s="189" t="s">
        <v>3490</v>
      </c>
      <c r="G404" s="199" t="s">
        <v>8258</v>
      </c>
      <c r="H404" s="199" t="s">
        <v>72</v>
      </c>
      <c r="I404" s="199">
        <v>1</v>
      </c>
      <c r="J404" s="199">
        <v>1</v>
      </c>
      <c r="K404" s="199">
        <v>1</v>
      </c>
      <c r="L404" s="199">
        <v>50</v>
      </c>
      <c r="M404" s="202">
        <f>TB_Parts_Lists[[#This Row],[Quantity Initial]]+ SUMIF(TB_Transactions[Part number],TB_Parts_Lists[[#This Row],[Part Number]],TB_Transactions[Quantity])</f>
        <v>50</v>
      </c>
      <c r="N404" s="200" t="s">
        <v>4593</v>
      </c>
      <c r="O404" s="234">
        <v>5</v>
      </c>
      <c r="P404" s="199">
        <f>TB_Parts_Lists[[#This Row],[Quantity Initial]]*TB_Parts_Lists[[#This Row],[Unit Price AED]]</f>
        <v>250</v>
      </c>
      <c r="Q404" s="199">
        <f>TB_Parts_Lists[[#This Row],[Quantity Total]]*TB_Parts_Lists[[#This Row],[Unit Price AED]]</f>
        <v>250</v>
      </c>
      <c r="S404" s="199" t="s">
        <v>118</v>
      </c>
      <c r="T404" s="199" t="s">
        <v>8684</v>
      </c>
      <c r="U404" s="199" t="s">
        <v>611</v>
      </c>
    </row>
    <row r="405" spans="1:21" s="199" customFormat="1" x14ac:dyDescent="0.25">
      <c r="A405" s="192" t="s">
        <v>6892</v>
      </c>
      <c r="B405" s="203" t="s">
        <v>3329</v>
      </c>
      <c r="C405" s="199" t="s">
        <v>3008</v>
      </c>
      <c r="D405" s="199" t="s">
        <v>8724</v>
      </c>
      <c r="E405" s="188" t="s">
        <v>5026</v>
      </c>
      <c r="F405" s="189" t="s">
        <v>3491</v>
      </c>
      <c r="G405" s="199" t="s">
        <v>8258</v>
      </c>
      <c r="H405" s="199" t="s">
        <v>72</v>
      </c>
      <c r="I405" s="199">
        <v>1</v>
      </c>
      <c r="J405" s="199">
        <v>1</v>
      </c>
      <c r="K405" s="199">
        <v>1</v>
      </c>
      <c r="L405" s="199">
        <v>50</v>
      </c>
      <c r="M405" s="202">
        <f>TB_Parts_Lists[[#This Row],[Quantity Initial]]+ SUMIF(TB_Transactions[Part number],TB_Parts_Lists[[#This Row],[Part Number]],TB_Transactions[Quantity])</f>
        <v>50</v>
      </c>
      <c r="N405" s="200" t="s">
        <v>4593</v>
      </c>
      <c r="O405" s="234">
        <v>5</v>
      </c>
      <c r="P405" s="199">
        <f>TB_Parts_Lists[[#This Row],[Quantity Initial]]*TB_Parts_Lists[[#This Row],[Unit Price AED]]</f>
        <v>250</v>
      </c>
      <c r="Q405" s="199">
        <f>TB_Parts_Lists[[#This Row],[Quantity Total]]*TB_Parts_Lists[[#This Row],[Unit Price AED]]</f>
        <v>250</v>
      </c>
      <c r="S405" s="199" t="s">
        <v>118</v>
      </c>
      <c r="T405" s="199" t="s">
        <v>8675</v>
      </c>
      <c r="U405" s="199" t="s">
        <v>8675</v>
      </c>
    </row>
    <row r="406" spans="1:21" s="199" customFormat="1" x14ac:dyDescent="0.25">
      <c r="A406" s="192" t="s">
        <v>6893</v>
      </c>
      <c r="B406" s="203" t="s">
        <v>3329</v>
      </c>
      <c r="C406" s="188" t="s">
        <v>3347</v>
      </c>
      <c r="D406" s="199" t="s">
        <v>8723</v>
      </c>
      <c r="E406" s="188" t="s">
        <v>5027</v>
      </c>
      <c r="F406" s="189" t="s">
        <v>3492</v>
      </c>
      <c r="G406" s="199" t="s">
        <v>8258</v>
      </c>
      <c r="H406" s="199" t="s">
        <v>72</v>
      </c>
      <c r="I406" s="199">
        <v>1</v>
      </c>
      <c r="J406" s="199">
        <v>1</v>
      </c>
      <c r="K406" s="199">
        <v>1</v>
      </c>
      <c r="L406" s="199">
        <v>50</v>
      </c>
      <c r="M406" s="202">
        <f>TB_Parts_Lists[[#This Row],[Quantity Initial]]+ SUMIF(TB_Transactions[Part number],TB_Parts_Lists[[#This Row],[Part Number]],TB_Transactions[Quantity])</f>
        <v>50</v>
      </c>
      <c r="N406" s="200" t="s">
        <v>4593</v>
      </c>
      <c r="O406" s="234">
        <v>5</v>
      </c>
      <c r="P406" s="199">
        <f>TB_Parts_Lists[[#This Row],[Quantity Initial]]*TB_Parts_Lists[[#This Row],[Unit Price AED]]</f>
        <v>250</v>
      </c>
      <c r="Q406" s="199">
        <f>TB_Parts_Lists[[#This Row],[Quantity Total]]*TB_Parts_Lists[[#This Row],[Unit Price AED]]</f>
        <v>250</v>
      </c>
      <c r="S406" s="199" t="s">
        <v>8675</v>
      </c>
      <c r="T406" s="199" t="s">
        <v>8675</v>
      </c>
      <c r="U406" s="199" t="s">
        <v>8675</v>
      </c>
    </row>
    <row r="407" spans="1:21" s="199" customFormat="1" x14ac:dyDescent="0.25">
      <c r="A407" s="192" t="s">
        <v>6894</v>
      </c>
      <c r="B407" s="203" t="s">
        <v>3329</v>
      </c>
      <c r="C407" s="188" t="s">
        <v>3379</v>
      </c>
      <c r="D407" s="199" t="s">
        <v>8723</v>
      </c>
      <c r="E407" s="188" t="s">
        <v>3385</v>
      </c>
      <c r="F407" s="189" t="s">
        <v>3493</v>
      </c>
      <c r="G407" s="199" t="s">
        <v>8258</v>
      </c>
      <c r="H407" s="199" t="s">
        <v>72</v>
      </c>
      <c r="I407" s="199">
        <v>1</v>
      </c>
      <c r="J407" s="199">
        <v>1</v>
      </c>
      <c r="K407" s="199">
        <v>1</v>
      </c>
      <c r="L407" s="199">
        <v>50</v>
      </c>
      <c r="M407" s="202">
        <f>TB_Parts_Lists[[#This Row],[Quantity Initial]]+ SUMIF(TB_Transactions[Part number],TB_Parts_Lists[[#This Row],[Part Number]],TB_Transactions[Quantity])</f>
        <v>50</v>
      </c>
      <c r="N407" s="200" t="s">
        <v>4593</v>
      </c>
      <c r="O407" s="234">
        <v>5</v>
      </c>
      <c r="P407" s="199">
        <f>TB_Parts_Lists[[#This Row],[Quantity Initial]]*TB_Parts_Lists[[#This Row],[Unit Price AED]]</f>
        <v>250</v>
      </c>
      <c r="Q407" s="199">
        <f>TB_Parts_Lists[[#This Row],[Quantity Total]]*TB_Parts_Lists[[#This Row],[Unit Price AED]]</f>
        <v>250</v>
      </c>
      <c r="S407" s="199" t="s">
        <v>8675</v>
      </c>
      <c r="T407" s="199" t="s">
        <v>8675</v>
      </c>
      <c r="U407" s="199" t="s">
        <v>8675</v>
      </c>
    </row>
    <row r="408" spans="1:21" s="199" customFormat="1" x14ac:dyDescent="0.25">
      <c r="A408" s="192" t="s">
        <v>6895</v>
      </c>
      <c r="B408" s="203" t="s">
        <v>3329</v>
      </c>
      <c r="C408" s="188" t="s">
        <v>3379</v>
      </c>
      <c r="D408" s="199" t="s">
        <v>8724</v>
      </c>
      <c r="E408" s="188" t="s">
        <v>5028</v>
      </c>
      <c r="F408" s="189" t="s">
        <v>3494</v>
      </c>
      <c r="G408" s="199" t="s">
        <v>8258</v>
      </c>
      <c r="H408" s="199" t="s">
        <v>72</v>
      </c>
      <c r="I408" s="199">
        <v>1</v>
      </c>
      <c r="J408" s="199">
        <v>1</v>
      </c>
      <c r="K408" s="199">
        <v>1</v>
      </c>
      <c r="L408" s="199">
        <v>50</v>
      </c>
      <c r="M408" s="202">
        <f>TB_Parts_Lists[[#This Row],[Quantity Initial]]+ SUMIF(TB_Transactions[Part number],TB_Parts_Lists[[#This Row],[Part Number]],TB_Transactions[Quantity])</f>
        <v>50</v>
      </c>
      <c r="N408" s="200" t="s">
        <v>4593</v>
      </c>
      <c r="O408" s="234">
        <v>5</v>
      </c>
      <c r="P408" s="199">
        <f>TB_Parts_Lists[[#This Row],[Quantity Initial]]*TB_Parts_Lists[[#This Row],[Unit Price AED]]</f>
        <v>250</v>
      </c>
      <c r="Q408" s="199">
        <f>TB_Parts_Lists[[#This Row],[Quantity Total]]*TB_Parts_Lists[[#This Row],[Unit Price AED]]</f>
        <v>250</v>
      </c>
      <c r="S408" s="199" t="s">
        <v>8675</v>
      </c>
      <c r="T408" s="199" t="s">
        <v>8675</v>
      </c>
      <c r="U408" s="199" t="s">
        <v>8675</v>
      </c>
    </row>
    <row r="409" spans="1:21" s="199" customFormat="1" x14ac:dyDescent="0.25">
      <c r="A409" s="192" t="s">
        <v>6896</v>
      </c>
      <c r="B409" s="203" t="s">
        <v>3329</v>
      </c>
      <c r="C409" s="188" t="s">
        <v>3379</v>
      </c>
      <c r="D409" s="199" t="s">
        <v>8724</v>
      </c>
      <c r="E409" s="188" t="s">
        <v>5029</v>
      </c>
      <c r="F409" s="189" t="s">
        <v>3495</v>
      </c>
      <c r="G409" s="199" t="s">
        <v>8258</v>
      </c>
      <c r="H409" s="199" t="s">
        <v>72</v>
      </c>
      <c r="I409" s="199">
        <v>1</v>
      </c>
      <c r="J409" s="199">
        <v>1</v>
      </c>
      <c r="K409" s="199">
        <v>1</v>
      </c>
      <c r="L409" s="199">
        <v>50</v>
      </c>
      <c r="M409" s="202">
        <f>TB_Parts_Lists[[#This Row],[Quantity Initial]]+ SUMIF(TB_Transactions[Part number],TB_Parts_Lists[[#This Row],[Part Number]],TB_Transactions[Quantity])</f>
        <v>50</v>
      </c>
      <c r="N409" s="200" t="s">
        <v>4593</v>
      </c>
      <c r="O409" s="234">
        <v>5</v>
      </c>
      <c r="P409" s="199">
        <f>TB_Parts_Lists[[#This Row],[Quantity Initial]]*TB_Parts_Lists[[#This Row],[Unit Price AED]]</f>
        <v>250</v>
      </c>
      <c r="Q409" s="199">
        <f>TB_Parts_Lists[[#This Row],[Quantity Total]]*TB_Parts_Lists[[#This Row],[Unit Price AED]]</f>
        <v>250</v>
      </c>
      <c r="S409" s="199" t="s">
        <v>8675</v>
      </c>
      <c r="T409" s="199" t="s">
        <v>8675</v>
      </c>
      <c r="U409" s="199" t="s">
        <v>8675</v>
      </c>
    </row>
    <row r="410" spans="1:21" s="199" customFormat="1" x14ac:dyDescent="0.25">
      <c r="A410" s="192" t="s">
        <v>6897</v>
      </c>
      <c r="B410" s="203" t="s">
        <v>3329</v>
      </c>
      <c r="C410" s="188" t="s">
        <v>3008</v>
      </c>
      <c r="D410" s="199" t="s">
        <v>8732</v>
      </c>
      <c r="E410" s="188" t="s">
        <v>5030</v>
      </c>
      <c r="F410" s="189" t="s">
        <v>3496</v>
      </c>
      <c r="G410" s="199" t="s">
        <v>8258</v>
      </c>
      <c r="H410" s="199" t="s">
        <v>72</v>
      </c>
      <c r="I410" s="199">
        <v>1</v>
      </c>
      <c r="J410" s="199">
        <v>1</v>
      </c>
      <c r="K410" s="199">
        <v>1</v>
      </c>
      <c r="L410" s="199">
        <v>50</v>
      </c>
      <c r="M410" s="202">
        <f>TB_Parts_Lists[[#This Row],[Quantity Initial]]+ SUMIF(TB_Transactions[Part number],TB_Parts_Lists[[#This Row],[Part Number]],TB_Transactions[Quantity])</f>
        <v>50</v>
      </c>
      <c r="N410" s="200" t="s">
        <v>4593</v>
      </c>
      <c r="O410" s="234">
        <v>5</v>
      </c>
      <c r="P410" s="199">
        <f>TB_Parts_Lists[[#This Row],[Quantity Initial]]*TB_Parts_Lists[[#This Row],[Unit Price AED]]</f>
        <v>250</v>
      </c>
      <c r="Q410" s="199">
        <f>TB_Parts_Lists[[#This Row],[Quantity Total]]*TB_Parts_Lists[[#This Row],[Unit Price AED]]</f>
        <v>250</v>
      </c>
      <c r="S410" s="199" t="s">
        <v>8675</v>
      </c>
      <c r="T410" s="199" t="s">
        <v>8675</v>
      </c>
      <c r="U410" s="199" t="s">
        <v>8675</v>
      </c>
    </row>
    <row r="411" spans="1:21" s="199" customFormat="1" x14ac:dyDescent="0.25">
      <c r="A411" s="192" t="s">
        <v>6898</v>
      </c>
      <c r="B411" s="203" t="s">
        <v>3329</v>
      </c>
      <c r="C411" s="188" t="s">
        <v>3346</v>
      </c>
      <c r="D411" s="199" t="s">
        <v>8724</v>
      </c>
      <c r="E411" s="188" t="s">
        <v>5031</v>
      </c>
      <c r="F411" s="189" t="s">
        <v>3497</v>
      </c>
      <c r="G411" s="199" t="s">
        <v>8258</v>
      </c>
      <c r="H411" s="199" t="s">
        <v>72</v>
      </c>
      <c r="I411" s="199">
        <v>1</v>
      </c>
      <c r="J411" s="199">
        <v>1</v>
      </c>
      <c r="K411" s="199">
        <v>1</v>
      </c>
      <c r="L411" s="199">
        <v>50</v>
      </c>
      <c r="M411" s="202">
        <f>TB_Parts_Lists[[#This Row],[Quantity Initial]]+ SUMIF(TB_Transactions[Part number],TB_Parts_Lists[[#This Row],[Part Number]],TB_Transactions[Quantity])</f>
        <v>50</v>
      </c>
      <c r="N411" s="200" t="s">
        <v>4593</v>
      </c>
      <c r="O411" s="234">
        <v>5</v>
      </c>
      <c r="P411" s="199">
        <f>TB_Parts_Lists[[#This Row],[Quantity Initial]]*TB_Parts_Lists[[#This Row],[Unit Price AED]]</f>
        <v>250</v>
      </c>
      <c r="Q411" s="199">
        <f>TB_Parts_Lists[[#This Row],[Quantity Total]]*TB_Parts_Lists[[#This Row],[Unit Price AED]]</f>
        <v>250</v>
      </c>
      <c r="S411" s="199" t="s">
        <v>8675</v>
      </c>
      <c r="T411" s="199" t="s">
        <v>8675</v>
      </c>
      <c r="U411" s="199" t="s">
        <v>8675</v>
      </c>
    </row>
    <row r="412" spans="1:21" s="199" customFormat="1" x14ac:dyDescent="0.25">
      <c r="A412" s="192" t="s">
        <v>6900</v>
      </c>
      <c r="B412" s="203" t="s">
        <v>3329</v>
      </c>
      <c r="C412" s="199" t="s">
        <v>6899</v>
      </c>
      <c r="D412" s="199" t="s">
        <v>8724</v>
      </c>
      <c r="E412" s="188" t="s">
        <v>3559</v>
      </c>
      <c r="F412" s="189" t="s">
        <v>3498</v>
      </c>
      <c r="G412" s="199" t="s">
        <v>8258</v>
      </c>
      <c r="H412" s="199" t="s">
        <v>72</v>
      </c>
      <c r="I412" s="199">
        <v>1</v>
      </c>
      <c r="J412" s="199">
        <v>1</v>
      </c>
      <c r="K412" s="199">
        <v>1</v>
      </c>
      <c r="L412" s="199">
        <v>50</v>
      </c>
      <c r="M412" s="202">
        <f>TB_Parts_Lists[[#This Row],[Quantity Initial]]+ SUMIF(TB_Transactions[Part number],TB_Parts_Lists[[#This Row],[Part Number]],TB_Transactions[Quantity])</f>
        <v>50</v>
      </c>
      <c r="N412" s="200" t="s">
        <v>4593</v>
      </c>
      <c r="O412" s="234">
        <v>5</v>
      </c>
      <c r="P412" s="199">
        <f>TB_Parts_Lists[[#This Row],[Quantity Initial]]*TB_Parts_Lists[[#This Row],[Unit Price AED]]</f>
        <v>250</v>
      </c>
      <c r="Q412" s="199">
        <f>TB_Parts_Lists[[#This Row],[Quantity Total]]*TB_Parts_Lists[[#This Row],[Unit Price AED]]</f>
        <v>250</v>
      </c>
      <c r="S412" s="199" t="s">
        <v>8675</v>
      </c>
      <c r="T412" s="199" t="s">
        <v>8675</v>
      </c>
      <c r="U412" s="199" t="s">
        <v>8675</v>
      </c>
    </row>
    <row r="413" spans="1:21" s="199" customFormat="1" x14ac:dyDescent="0.25">
      <c r="A413" s="192" t="s">
        <v>6901</v>
      </c>
      <c r="B413" s="203" t="s">
        <v>3329</v>
      </c>
      <c r="C413" s="188" t="s">
        <v>3379</v>
      </c>
      <c r="D413" s="199" t="s">
        <v>8732</v>
      </c>
      <c r="E413" s="188" t="s">
        <v>5032</v>
      </c>
      <c r="F413" s="189" t="s">
        <v>3499</v>
      </c>
      <c r="G413" s="199" t="s">
        <v>8258</v>
      </c>
      <c r="H413" s="199" t="s">
        <v>72</v>
      </c>
      <c r="I413" s="199">
        <v>1</v>
      </c>
      <c r="J413" s="199">
        <v>1</v>
      </c>
      <c r="K413" s="199">
        <v>1</v>
      </c>
      <c r="L413" s="199">
        <v>50</v>
      </c>
      <c r="M413" s="202">
        <f>TB_Parts_Lists[[#This Row],[Quantity Initial]]+ SUMIF(TB_Transactions[Part number],TB_Parts_Lists[[#This Row],[Part Number]],TB_Transactions[Quantity])</f>
        <v>50</v>
      </c>
      <c r="N413" s="200" t="s">
        <v>4593</v>
      </c>
      <c r="O413" s="234">
        <v>5</v>
      </c>
      <c r="P413" s="199">
        <f>TB_Parts_Lists[[#This Row],[Quantity Initial]]*TB_Parts_Lists[[#This Row],[Unit Price AED]]</f>
        <v>250</v>
      </c>
      <c r="Q413" s="199">
        <f>TB_Parts_Lists[[#This Row],[Quantity Total]]*TB_Parts_Lists[[#This Row],[Unit Price AED]]</f>
        <v>250</v>
      </c>
      <c r="S413" s="199" t="s">
        <v>8675</v>
      </c>
      <c r="T413" s="199" t="s">
        <v>8675</v>
      </c>
      <c r="U413" s="199" t="s">
        <v>8675</v>
      </c>
    </row>
    <row r="414" spans="1:21" s="199" customFormat="1" x14ac:dyDescent="0.25">
      <c r="A414" s="192" t="s">
        <v>6902</v>
      </c>
      <c r="B414" s="203" t="s">
        <v>3329</v>
      </c>
      <c r="C414" s="188" t="s">
        <v>3379</v>
      </c>
      <c r="D414" s="199" t="s">
        <v>8732</v>
      </c>
      <c r="E414" s="188" t="s">
        <v>5033</v>
      </c>
      <c r="F414" s="189" t="s">
        <v>3500</v>
      </c>
      <c r="G414" s="199" t="s">
        <v>8258</v>
      </c>
      <c r="H414" s="199" t="s">
        <v>72</v>
      </c>
      <c r="I414" s="199">
        <v>1</v>
      </c>
      <c r="J414" s="199">
        <v>1</v>
      </c>
      <c r="K414" s="199">
        <v>1</v>
      </c>
      <c r="L414" s="199">
        <v>50</v>
      </c>
      <c r="M414" s="202">
        <f>TB_Parts_Lists[[#This Row],[Quantity Initial]]+ SUMIF(TB_Transactions[Part number],TB_Parts_Lists[[#This Row],[Part Number]],TB_Transactions[Quantity])</f>
        <v>50</v>
      </c>
      <c r="N414" s="200" t="s">
        <v>4593</v>
      </c>
      <c r="O414" s="234">
        <v>5</v>
      </c>
      <c r="P414" s="199">
        <f>TB_Parts_Lists[[#This Row],[Quantity Initial]]*TB_Parts_Lists[[#This Row],[Unit Price AED]]</f>
        <v>250</v>
      </c>
      <c r="Q414" s="199">
        <f>TB_Parts_Lists[[#This Row],[Quantity Total]]*TB_Parts_Lists[[#This Row],[Unit Price AED]]</f>
        <v>250</v>
      </c>
      <c r="S414" s="199" t="s">
        <v>8675</v>
      </c>
      <c r="T414" s="199" t="s">
        <v>8675</v>
      </c>
      <c r="U414" s="199" t="s">
        <v>8675</v>
      </c>
    </row>
    <row r="415" spans="1:21" s="199" customFormat="1" x14ac:dyDescent="0.25">
      <c r="A415" s="192" t="s">
        <v>6903</v>
      </c>
      <c r="B415" s="203" t="s">
        <v>3329</v>
      </c>
      <c r="C415" s="188" t="s">
        <v>3379</v>
      </c>
      <c r="D415" s="199" t="s">
        <v>8732</v>
      </c>
      <c r="E415" s="188" t="s">
        <v>5034</v>
      </c>
      <c r="F415" s="189" t="s">
        <v>3501</v>
      </c>
      <c r="G415" s="199" t="s">
        <v>8258</v>
      </c>
      <c r="H415" s="199" t="s">
        <v>72</v>
      </c>
      <c r="I415" s="199">
        <v>1</v>
      </c>
      <c r="J415" s="199">
        <v>1</v>
      </c>
      <c r="K415" s="199">
        <v>1</v>
      </c>
      <c r="L415" s="199">
        <v>50</v>
      </c>
      <c r="M415" s="202">
        <f>TB_Parts_Lists[[#This Row],[Quantity Initial]]+ SUMIF(TB_Transactions[Part number],TB_Parts_Lists[[#This Row],[Part Number]],TB_Transactions[Quantity])</f>
        <v>50</v>
      </c>
      <c r="N415" s="200" t="s">
        <v>4593</v>
      </c>
      <c r="O415" s="234">
        <v>5</v>
      </c>
      <c r="P415" s="199">
        <f>TB_Parts_Lists[[#This Row],[Quantity Initial]]*TB_Parts_Lists[[#This Row],[Unit Price AED]]</f>
        <v>250</v>
      </c>
      <c r="Q415" s="199">
        <f>TB_Parts_Lists[[#This Row],[Quantity Total]]*TB_Parts_Lists[[#This Row],[Unit Price AED]]</f>
        <v>250</v>
      </c>
      <c r="S415" s="199" t="s">
        <v>8675</v>
      </c>
      <c r="T415" s="199" t="s">
        <v>8675</v>
      </c>
      <c r="U415" s="199" t="s">
        <v>8675</v>
      </c>
    </row>
    <row r="416" spans="1:21" s="199" customFormat="1" x14ac:dyDescent="0.25">
      <c r="A416" s="192" t="s">
        <v>6904</v>
      </c>
      <c r="B416" s="203" t="s">
        <v>3329</v>
      </c>
      <c r="C416" s="188" t="s">
        <v>3379</v>
      </c>
      <c r="D416" s="199" t="s">
        <v>8732</v>
      </c>
      <c r="E416" s="188" t="s">
        <v>5035</v>
      </c>
      <c r="F416" s="189" t="s">
        <v>3502</v>
      </c>
      <c r="G416" s="199" t="s">
        <v>8258</v>
      </c>
      <c r="H416" s="199" t="s">
        <v>72</v>
      </c>
      <c r="I416" s="199">
        <v>1</v>
      </c>
      <c r="J416" s="199">
        <v>1</v>
      </c>
      <c r="K416" s="199">
        <v>1</v>
      </c>
      <c r="L416" s="199">
        <v>50</v>
      </c>
      <c r="M416" s="202">
        <f>TB_Parts_Lists[[#This Row],[Quantity Initial]]+ SUMIF(TB_Transactions[Part number],TB_Parts_Lists[[#This Row],[Part Number]],TB_Transactions[Quantity])</f>
        <v>50</v>
      </c>
      <c r="N416" s="200" t="s">
        <v>4593</v>
      </c>
      <c r="O416" s="234">
        <v>5</v>
      </c>
      <c r="P416" s="199">
        <f>TB_Parts_Lists[[#This Row],[Quantity Initial]]*TB_Parts_Lists[[#This Row],[Unit Price AED]]</f>
        <v>250</v>
      </c>
      <c r="Q416" s="199">
        <f>TB_Parts_Lists[[#This Row],[Quantity Total]]*TB_Parts_Lists[[#This Row],[Unit Price AED]]</f>
        <v>250</v>
      </c>
      <c r="S416" s="199" t="s">
        <v>8675</v>
      </c>
      <c r="T416" s="199" t="s">
        <v>8675</v>
      </c>
      <c r="U416" s="199" t="s">
        <v>8675</v>
      </c>
    </row>
    <row r="417" spans="1:21" s="199" customFormat="1" x14ac:dyDescent="0.25">
      <c r="A417" s="192" t="s">
        <v>6905</v>
      </c>
      <c r="B417" s="203" t="s">
        <v>3329</v>
      </c>
      <c r="C417" s="188" t="s">
        <v>3379</v>
      </c>
      <c r="D417" s="199" t="s">
        <v>8732</v>
      </c>
      <c r="E417" s="188" t="s">
        <v>3386</v>
      </c>
      <c r="F417" s="189" t="s">
        <v>3503</v>
      </c>
      <c r="G417" s="199" t="s">
        <v>8258</v>
      </c>
      <c r="H417" s="199" t="s">
        <v>72</v>
      </c>
      <c r="I417" s="199">
        <v>1</v>
      </c>
      <c r="J417" s="199">
        <v>1</v>
      </c>
      <c r="K417" s="199">
        <v>1</v>
      </c>
      <c r="L417" s="199">
        <v>50</v>
      </c>
      <c r="M417" s="202">
        <f>TB_Parts_Lists[[#This Row],[Quantity Initial]]+ SUMIF(TB_Transactions[Part number],TB_Parts_Lists[[#This Row],[Part Number]],TB_Transactions[Quantity])</f>
        <v>50</v>
      </c>
      <c r="N417" s="200" t="s">
        <v>4593</v>
      </c>
      <c r="O417" s="234">
        <v>5</v>
      </c>
      <c r="P417" s="199">
        <f>TB_Parts_Lists[[#This Row],[Quantity Initial]]*TB_Parts_Lists[[#This Row],[Unit Price AED]]</f>
        <v>250</v>
      </c>
      <c r="Q417" s="199">
        <f>TB_Parts_Lists[[#This Row],[Quantity Total]]*TB_Parts_Lists[[#This Row],[Unit Price AED]]</f>
        <v>250</v>
      </c>
      <c r="S417" s="199" t="s">
        <v>8675</v>
      </c>
      <c r="T417" s="199" t="s">
        <v>8675</v>
      </c>
      <c r="U417" s="199" t="s">
        <v>8675</v>
      </c>
    </row>
    <row r="418" spans="1:21" s="199" customFormat="1" x14ac:dyDescent="0.25">
      <c r="A418" s="192" t="s">
        <v>6906</v>
      </c>
      <c r="B418" s="203" t="s">
        <v>3329</v>
      </c>
      <c r="C418" s="188" t="s">
        <v>3347</v>
      </c>
      <c r="D418" s="199" t="s">
        <v>8724</v>
      </c>
      <c r="E418" s="188" t="s">
        <v>5036</v>
      </c>
      <c r="F418" s="189" t="s">
        <v>5956</v>
      </c>
      <c r="G418" s="199" t="s">
        <v>8258</v>
      </c>
      <c r="H418" s="199" t="s">
        <v>157</v>
      </c>
      <c r="I418" s="199">
        <v>1</v>
      </c>
      <c r="J418" s="199">
        <v>1</v>
      </c>
      <c r="K418" s="199">
        <v>1</v>
      </c>
      <c r="L418" s="199">
        <v>50</v>
      </c>
      <c r="M418" s="202">
        <f>TB_Parts_Lists[[#This Row],[Quantity Initial]]+ SUMIF(TB_Transactions[Part number],TB_Parts_Lists[[#This Row],[Part Number]],TB_Transactions[Quantity])</f>
        <v>50</v>
      </c>
      <c r="N418" s="200" t="s">
        <v>4593</v>
      </c>
      <c r="O418" s="234">
        <v>5</v>
      </c>
      <c r="P418" s="199">
        <f>TB_Parts_Lists[[#This Row],[Quantity Initial]]*TB_Parts_Lists[[#This Row],[Unit Price AED]]</f>
        <v>250</v>
      </c>
      <c r="Q418" s="199">
        <f>TB_Parts_Lists[[#This Row],[Quantity Total]]*TB_Parts_Lists[[#This Row],[Unit Price AED]]</f>
        <v>250</v>
      </c>
      <c r="S418" s="199" t="s">
        <v>8675</v>
      </c>
      <c r="T418" s="199" t="s">
        <v>8675</v>
      </c>
      <c r="U418" s="199" t="s">
        <v>8675</v>
      </c>
    </row>
    <row r="419" spans="1:21" s="199" customFormat="1" x14ac:dyDescent="0.25">
      <c r="A419" s="192" t="s">
        <v>6907</v>
      </c>
      <c r="B419" s="203" t="s">
        <v>3329</v>
      </c>
      <c r="C419" s="188" t="s">
        <v>3008</v>
      </c>
      <c r="D419" s="199" t="s">
        <v>8732</v>
      </c>
      <c r="E419" s="188" t="s">
        <v>5037</v>
      </c>
      <c r="F419" s="189" t="s">
        <v>3504</v>
      </c>
      <c r="G419" s="199" t="s">
        <v>8258</v>
      </c>
      <c r="H419" s="199">
        <v>214</v>
      </c>
      <c r="I419" s="199">
        <v>1</v>
      </c>
      <c r="J419" s="199">
        <v>1</v>
      </c>
      <c r="K419" s="199">
        <v>1</v>
      </c>
      <c r="L419" s="199">
        <v>50</v>
      </c>
      <c r="M419" s="202">
        <f>TB_Parts_Lists[[#This Row],[Quantity Initial]]+ SUMIF(TB_Transactions[Part number],TB_Parts_Lists[[#This Row],[Part Number]],TB_Transactions[Quantity])</f>
        <v>50</v>
      </c>
      <c r="N419" s="200" t="s">
        <v>4593</v>
      </c>
      <c r="O419" s="234">
        <v>5</v>
      </c>
      <c r="P419" s="199">
        <f>TB_Parts_Lists[[#This Row],[Quantity Initial]]*TB_Parts_Lists[[#This Row],[Unit Price AED]]</f>
        <v>250</v>
      </c>
      <c r="Q419" s="199">
        <f>TB_Parts_Lists[[#This Row],[Quantity Total]]*TB_Parts_Lists[[#This Row],[Unit Price AED]]</f>
        <v>250</v>
      </c>
      <c r="S419" s="199" t="s">
        <v>8675</v>
      </c>
      <c r="T419" s="199" t="s">
        <v>8675</v>
      </c>
      <c r="U419" s="199" t="s">
        <v>8675</v>
      </c>
    </row>
    <row r="420" spans="1:21" s="199" customFormat="1" x14ac:dyDescent="0.25">
      <c r="A420" s="192" t="s">
        <v>6908</v>
      </c>
      <c r="B420" s="203" t="s">
        <v>3329</v>
      </c>
      <c r="C420" s="188" t="s">
        <v>3338</v>
      </c>
      <c r="D420" s="199" t="s">
        <v>8723</v>
      </c>
      <c r="E420" s="188" t="s">
        <v>5038</v>
      </c>
      <c r="F420" s="189" t="s">
        <v>3505</v>
      </c>
      <c r="G420" s="199" t="s">
        <v>8258</v>
      </c>
      <c r="H420" s="199" t="s">
        <v>72</v>
      </c>
      <c r="I420" s="199">
        <v>1</v>
      </c>
      <c r="J420" s="199">
        <v>1</v>
      </c>
      <c r="K420" s="199">
        <v>1</v>
      </c>
      <c r="L420" s="199">
        <v>50</v>
      </c>
      <c r="M420" s="202">
        <f>TB_Parts_Lists[[#This Row],[Quantity Initial]]+ SUMIF(TB_Transactions[Part number],TB_Parts_Lists[[#This Row],[Part Number]],TB_Transactions[Quantity])</f>
        <v>50</v>
      </c>
      <c r="N420" s="200" t="s">
        <v>4593</v>
      </c>
      <c r="O420" s="234">
        <v>5</v>
      </c>
      <c r="P420" s="199">
        <f>TB_Parts_Lists[[#This Row],[Quantity Initial]]*TB_Parts_Lists[[#This Row],[Unit Price AED]]</f>
        <v>250</v>
      </c>
      <c r="Q420" s="199">
        <f>TB_Parts_Lists[[#This Row],[Quantity Total]]*TB_Parts_Lists[[#This Row],[Unit Price AED]]</f>
        <v>250</v>
      </c>
      <c r="S420" s="199" t="s">
        <v>8675</v>
      </c>
      <c r="T420" s="199" t="s">
        <v>8675</v>
      </c>
      <c r="U420" s="199" t="s">
        <v>8675</v>
      </c>
    </row>
    <row r="421" spans="1:21" s="199" customFormat="1" x14ac:dyDescent="0.25">
      <c r="A421" s="192" t="s">
        <v>6909</v>
      </c>
      <c r="B421" s="203" t="s">
        <v>3329</v>
      </c>
      <c r="C421" s="188" t="s">
        <v>6899</v>
      </c>
      <c r="D421" s="199" t="s">
        <v>8724</v>
      </c>
      <c r="E421" s="188" t="s">
        <v>5039</v>
      </c>
      <c r="F421" s="189" t="s">
        <v>5957</v>
      </c>
      <c r="G421" s="199" t="s">
        <v>8258</v>
      </c>
      <c r="H421" s="199" t="s">
        <v>72</v>
      </c>
      <c r="I421" s="199">
        <v>1</v>
      </c>
      <c r="J421" s="199">
        <v>1</v>
      </c>
      <c r="K421" s="199">
        <v>1</v>
      </c>
      <c r="L421" s="199">
        <v>50</v>
      </c>
      <c r="M421" s="202">
        <f>TB_Parts_Lists[[#This Row],[Quantity Initial]]+ SUMIF(TB_Transactions[Part number],TB_Parts_Lists[[#This Row],[Part Number]],TB_Transactions[Quantity])</f>
        <v>50</v>
      </c>
      <c r="N421" s="200" t="s">
        <v>4593</v>
      </c>
      <c r="O421" s="234">
        <v>5</v>
      </c>
      <c r="P421" s="199">
        <f>TB_Parts_Lists[[#This Row],[Quantity Initial]]*TB_Parts_Lists[[#This Row],[Unit Price AED]]</f>
        <v>250</v>
      </c>
      <c r="Q421" s="199">
        <f>TB_Parts_Lists[[#This Row],[Quantity Total]]*TB_Parts_Lists[[#This Row],[Unit Price AED]]</f>
        <v>250</v>
      </c>
      <c r="S421" s="199" t="s">
        <v>8675</v>
      </c>
      <c r="T421" s="199" t="s">
        <v>8675</v>
      </c>
      <c r="U421" s="199" t="s">
        <v>8675</v>
      </c>
    </row>
    <row r="422" spans="1:21" s="199" customFormat="1" x14ac:dyDescent="0.25">
      <c r="A422" s="192" t="s">
        <v>6910</v>
      </c>
      <c r="B422" s="203" t="s">
        <v>3329</v>
      </c>
      <c r="C422" s="188" t="s">
        <v>3347</v>
      </c>
      <c r="D422" s="199" t="s">
        <v>8724</v>
      </c>
      <c r="E422" s="188" t="s">
        <v>5040</v>
      </c>
      <c r="F422" s="189" t="s">
        <v>5958</v>
      </c>
      <c r="G422" s="199" t="s">
        <v>8258</v>
      </c>
      <c r="H422" s="199" t="s">
        <v>72</v>
      </c>
      <c r="I422" s="199">
        <v>1</v>
      </c>
      <c r="J422" s="199">
        <v>1</v>
      </c>
      <c r="K422" s="199">
        <v>1</v>
      </c>
      <c r="L422" s="199">
        <v>50</v>
      </c>
      <c r="M422" s="202">
        <f>TB_Parts_Lists[[#This Row],[Quantity Initial]]+ SUMIF(TB_Transactions[Part number],TB_Parts_Lists[[#This Row],[Part Number]],TB_Transactions[Quantity])</f>
        <v>50</v>
      </c>
      <c r="N422" s="200" t="s">
        <v>4593</v>
      </c>
      <c r="O422" s="234">
        <v>5</v>
      </c>
      <c r="P422" s="199">
        <f>TB_Parts_Lists[[#This Row],[Quantity Initial]]*TB_Parts_Lists[[#This Row],[Unit Price AED]]</f>
        <v>250</v>
      </c>
      <c r="Q422" s="199">
        <f>TB_Parts_Lists[[#This Row],[Quantity Total]]*TB_Parts_Lists[[#This Row],[Unit Price AED]]</f>
        <v>250</v>
      </c>
      <c r="S422" s="199" t="s">
        <v>8675</v>
      </c>
      <c r="T422" s="199" t="s">
        <v>8675</v>
      </c>
      <c r="U422" s="199" t="s">
        <v>8675</v>
      </c>
    </row>
    <row r="423" spans="1:21" s="199" customFormat="1" x14ac:dyDescent="0.25">
      <c r="A423" s="192" t="s">
        <v>6911</v>
      </c>
      <c r="B423" s="203" t="s">
        <v>3329</v>
      </c>
      <c r="C423" s="188" t="s">
        <v>3344</v>
      </c>
      <c r="D423" s="199" t="s">
        <v>8723</v>
      </c>
      <c r="E423" s="188" t="s">
        <v>5041</v>
      </c>
      <c r="F423" s="189" t="s">
        <v>5959</v>
      </c>
      <c r="G423" s="199" t="s">
        <v>8258</v>
      </c>
      <c r="H423" s="199" t="s">
        <v>72</v>
      </c>
      <c r="I423" s="199">
        <v>1</v>
      </c>
      <c r="J423" s="199">
        <v>1</v>
      </c>
      <c r="K423" s="199">
        <v>1</v>
      </c>
      <c r="L423" s="199">
        <v>50</v>
      </c>
      <c r="M423" s="202">
        <f>TB_Parts_Lists[[#This Row],[Quantity Initial]]+ SUMIF(TB_Transactions[Part number],TB_Parts_Lists[[#This Row],[Part Number]],TB_Transactions[Quantity])</f>
        <v>50</v>
      </c>
      <c r="N423" s="200" t="s">
        <v>4593</v>
      </c>
      <c r="O423" s="234">
        <v>5</v>
      </c>
      <c r="P423" s="199">
        <f>TB_Parts_Lists[[#This Row],[Quantity Initial]]*TB_Parts_Lists[[#This Row],[Unit Price AED]]</f>
        <v>250</v>
      </c>
      <c r="Q423" s="199">
        <f>TB_Parts_Lists[[#This Row],[Quantity Total]]*TB_Parts_Lists[[#This Row],[Unit Price AED]]</f>
        <v>250</v>
      </c>
      <c r="S423" s="199" t="s">
        <v>8675</v>
      </c>
      <c r="T423" s="199" t="s">
        <v>8675</v>
      </c>
      <c r="U423" s="199" t="s">
        <v>8675</v>
      </c>
    </row>
    <row r="424" spans="1:21" s="199" customFormat="1" x14ac:dyDescent="0.25">
      <c r="A424" s="192" t="s">
        <v>6912</v>
      </c>
      <c r="B424" s="203" t="s">
        <v>3329</v>
      </c>
      <c r="C424" s="188" t="s">
        <v>3348</v>
      </c>
      <c r="D424" s="199" t="s">
        <v>8724</v>
      </c>
      <c r="E424" s="188" t="s">
        <v>6426</v>
      </c>
      <c r="F424" s="189" t="s">
        <v>5960</v>
      </c>
      <c r="G424" s="199" t="s">
        <v>8258</v>
      </c>
      <c r="H424" s="199" t="s">
        <v>72</v>
      </c>
      <c r="I424" s="199">
        <v>1</v>
      </c>
      <c r="J424" s="199">
        <v>1</v>
      </c>
      <c r="K424" s="199">
        <v>1</v>
      </c>
      <c r="L424" s="199">
        <v>50</v>
      </c>
      <c r="M424" s="202">
        <f>TB_Parts_Lists[[#This Row],[Quantity Initial]]+ SUMIF(TB_Transactions[Part number],TB_Parts_Lists[[#This Row],[Part Number]],TB_Transactions[Quantity])</f>
        <v>50</v>
      </c>
      <c r="N424" s="200" t="s">
        <v>4593</v>
      </c>
      <c r="O424" s="234">
        <v>5</v>
      </c>
      <c r="P424" s="199">
        <f>TB_Parts_Lists[[#This Row],[Quantity Initial]]*TB_Parts_Lists[[#This Row],[Unit Price AED]]</f>
        <v>250</v>
      </c>
      <c r="Q424" s="199">
        <f>TB_Parts_Lists[[#This Row],[Quantity Total]]*TB_Parts_Lists[[#This Row],[Unit Price AED]]</f>
        <v>250</v>
      </c>
      <c r="S424" s="199" t="s">
        <v>118</v>
      </c>
      <c r="T424" s="199" t="s">
        <v>8684</v>
      </c>
      <c r="U424" s="199" t="s">
        <v>611</v>
      </c>
    </row>
    <row r="425" spans="1:21" s="199" customFormat="1" x14ac:dyDescent="0.25">
      <c r="A425" s="192" t="s">
        <v>6913</v>
      </c>
      <c r="B425" s="203" t="s">
        <v>3329</v>
      </c>
      <c r="C425" s="188" t="s">
        <v>3346</v>
      </c>
      <c r="D425" s="199" t="s">
        <v>8723</v>
      </c>
      <c r="E425" s="188" t="s">
        <v>5042</v>
      </c>
      <c r="F425" s="189" t="s">
        <v>5961</v>
      </c>
      <c r="G425" s="199" t="s">
        <v>8258</v>
      </c>
      <c r="H425" s="199" t="s">
        <v>72</v>
      </c>
      <c r="I425" s="199">
        <v>1</v>
      </c>
      <c r="J425" s="199">
        <v>1</v>
      </c>
      <c r="K425" s="199">
        <v>1</v>
      </c>
      <c r="L425" s="199">
        <v>50</v>
      </c>
      <c r="M425" s="202">
        <f>TB_Parts_Lists[[#This Row],[Quantity Initial]]+ SUMIF(TB_Transactions[Part number],TB_Parts_Lists[[#This Row],[Part Number]],TB_Transactions[Quantity])</f>
        <v>50</v>
      </c>
      <c r="N425" s="200" t="s">
        <v>4593</v>
      </c>
      <c r="O425" s="234">
        <v>5</v>
      </c>
      <c r="P425" s="199">
        <f>TB_Parts_Lists[[#This Row],[Quantity Initial]]*TB_Parts_Lists[[#This Row],[Unit Price AED]]</f>
        <v>250</v>
      </c>
      <c r="Q425" s="199">
        <f>TB_Parts_Lists[[#This Row],[Quantity Total]]*TB_Parts_Lists[[#This Row],[Unit Price AED]]</f>
        <v>250</v>
      </c>
      <c r="S425" s="199" t="s">
        <v>8675</v>
      </c>
      <c r="T425" s="199" t="s">
        <v>8675</v>
      </c>
      <c r="U425" s="199" t="s">
        <v>8675</v>
      </c>
    </row>
    <row r="426" spans="1:21" s="199" customFormat="1" x14ac:dyDescent="0.25">
      <c r="A426" s="192" t="s">
        <v>6914</v>
      </c>
      <c r="B426" s="203" t="s">
        <v>3329</v>
      </c>
      <c r="C426" s="188" t="s">
        <v>4617</v>
      </c>
      <c r="D426" s="199" t="s">
        <v>8724</v>
      </c>
      <c r="E426" s="188" t="s">
        <v>5043</v>
      </c>
      <c r="F426" s="189" t="s">
        <v>5962</v>
      </c>
      <c r="G426" s="199" t="s">
        <v>8258</v>
      </c>
      <c r="H426" s="199" t="s">
        <v>72</v>
      </c>
      <c r="I426" s="199">
        <v>1</v>
      </c>
      <c r="J426" s="199">
        <v>1</v>
      </c>
      <c r="K426" s="199">
        <v>1</v>
      </c>
      <c r="L426" s="199">
        <v>50</v>
      </c>
      <c r="M426" s="202">
        <f>TB_Parts_Lists[[#This Row],[Quantity Initial]]+ SUMIF(TB_Transactions[Part number],TB_Parts_Lists[[#This Row],[Part Number]],TB_Transactions[Quantity])</f>
        <v>50</v>
      </c>
      <c r="N426" s="200" t="s">
        <v>4593</v>
      </c>
      <c r="O426" s="234">
        <v>5</v>
      </c>
      <c r="P426" s="199">
        <f>TB_Parts_Lists[[#This Row],[Quantity Initial]]*TB_Parts_Lists[[#This Row],[Unit Price AED]]</f>
        <v>250</v>
      </c>
      <c r="Q426" s="199">
        <f>TB_Parts_Lists[[#This Row],[Quantity Total]]*TB_Parts_Lists[[#This Row],[Unit Price AED]]</f>
        <v>250</v>
      </c>
      <c r="S426" s="199" t="s">
        <v>8675</v>
      </c>
      <c r="T426" s="199" t="s">
        <v>8675</v>
      </c>
      <c r="U426" s="199" t="s">
        <v>8675</v>
      </c>
    </row>
    <row r="427" spans="1:21" s="199" customFormat="1" x14ac:dyDescent="0.25">
      <c r="A427" s="192" t="s">
        <v>6916</v>
      </c>
      <c r="B427" s="203" t="s">
        <v>3329</v>
      </c>
      <c r="C427" s="199" t="s">
        <v>6915</v>
      </c>
      <c r="D427" s="199" t="s">
        <v>8724</v>
      </c>
      <c r="E427" s="188" t="s">
        <v>5044</v>
      </c>
      <c r="F427" s="189" t="s">
        <v>5963</v>
      </c>
      <c r="G427" s="199" t="s">
        <v>8258</v>
      </c>
      <c r="H427" s="199" t="s">
        <v>72</v>
      </c>
      <c r="I427" s="199">
        <v>1</v>
      </c>
      <c r="J427" s="199">
        <v>1</v>
      </c>
      <c r="K427" s="199">
        <v>1</v>
      </c>
      <c r="L427" s="199">
        <v>50</v>
      </c>
      <c r="M427" s="202">
        <f>TB_Parts_Lists[[#This Row],[Quantity Initial]]+ SUMIF(TB_Transactions[Part number],TB_Parts_Lists[[#This Row],[Part Number]],TB_Transactions[Quantity])</f>
        <v>50</v>
      </c>
      <c r="N427" s="200" t="s">
        <v>4593</v>
      </c>
      <c r="O427" s="234">
        <v>5</v>
      </c>
      <c r="P427" s="199">
        <f>TB_Parts_Lists[[#This Row],[Quantity Initial]]*TB_Parts_Lists[[#This Row],[Unit Price AED]]</f>
        <v>250</v>
      </c>
      <c r="Q427" s="199">
        <f>TB_Parts_Lists[[#This Row],[Quantity Total]]*TB_Parts_Lists[[#This Row],[Unit Price AED]]</f>
        <v>250</v>
      </c>
      <c r="S427" s="199" t="s">
        <v>8675</v>
      </c>
      <c r="T427" s="199" t="s">
        <v>8675</v>
      </c>
      <c r="U427" s="199" t="s">
        <v>8675</v>
      </c>
    </row>
    <row r="428" spans="1:21" s="199" customFormat="1" x14ac:dyDescent="0.25">
      <c r="A428" s="192" t="s">
        <v>6917</v>
      </c>
      <c r="B428" s="203" t="s">
        <v>3329</v>
      </c>
      <c r="C428" s="199" t="s">
        <v>6915</v>
      </c>
      <c r="D428" s="199" t="s">
        <v>8724</v>
      </c>
      <c r="E428" s="188" t="s">
        <v>5045</v>
      </c>
      <c r="F428" s="189" t="s">
        <v>3506</v>
      </c>
      <c r="G428" s="199" t="s">
        <v>8258</v>
      </c>
      <c r="H428" s="199" t="s">
        <v>72</v>
      </c>
      <c r="I428" s="199">
        <v>1</v>
      </c>
      <c r="J428" s="199">
        <v>1</v>
      </c>
      <c r="K428" s="199">
        <v>1</v>
      </c>
      <c r="L428" s="199">
        <v>50</v>
      </c>
      <c r="M428" s="202">
        <f>TB_Parts_Lists[[#This Row],[Quantity Initial]]+ SUMIF(TB_Transactions[Part number],TB_Parts_Lists[[#This Row],[Part Number]],TB_Transactions[Quantity])</f>
        <v>50</v>
      </c>
      <c r="N428" s="200" t="s">
        <v>4593</v>
      </c>
      <c r="O428" s="234">
        <v>5</v>
      </c>
      <c r="P428" s="199">
        <f>TB_Parts_Lists[[#This Row],[Quantity Initial]]*TB_Parts_Lists[[#This Row],[Unit Price AED]]</f>
        <v>250</v>
      </c>
      <c r="Q428" s="199">
        <f>TB_Parts_Lists[[#This Row],[Quantity Total]]*TB_Parts_Lists[[#This Row],[Unit Price AED]]</f>
        <v>250</v>
      </c>
      <c r="S428" s="199" t="s">
        <v>8675</v>
      </c>
      <c r="T428" s="199" t="s">
        <v>8675</v>
      </c>
      <c r="U428" s="199" t="s">
        <v>8675</v>
      </c>
    </row>
    <row r="429" spans="1:21" s="199" customFormat="1" x14ac:dyDescent="0.25">
      <c r="A429" s="192" t="s">
        <v>6918</v>
      </c>
      <c r="B429" s="203" t="s">
        <v>3329</v>
      </c>
      <c r="C429" s="199" t="s">
        <v>6915</v>
      </c>
      <c r="D429" s="199" t="s">
        <v>8724</v>
      </c>
      <c r="E429" s="188" t="s">
        <v>5046</v>
      </c>
      <c r="F429" s="189" t="s">
        <v>3507</v>
      </c>
      <c r="G429" s="199" t="s">
        <v>8258</v>
      </c>
      <c r="H429" s="199" t="s">
        <v>72</v>
      </c>
      <c r="I429" s="199">
        <v>1</v>
      </c>
      <c r="J429" s="199">
        <v>1</v>
      </c>
      <c r="K429" s="199">
        <v>1</v>
      </c>
      <c r="L429" s="199">
        <v>50</v>
      </c>
      <c r="M429" s="202">
        <f>TB_Parts_Lists[[#This Row],[Quantity Initial]]+ SUMIF(TB_Transactions[Part number],TB_Parts_Lists[[#This Row],[Part Number]],TB_Transactions[Quantity])</f>
        <v>50</v>
      </c>
      <c r="N429" s="200" t="s">
        <v>4593</v>
      </c>
      <c r="O429" s="234">
        <v>5</v>
      </c>
      <c r="P429" s="199">
        <f>TB_Parts_Lists[[#This Row],[Quantity Initial]]*TB_Parts_Lists[[#This Row],[Unit Price AED]]</f>
        <v>250</v>
      </c>
      <c r="Q429" s="199">
        <f>TB_Parts_Lists[[#This Row],[Quantity Total]]*TB_Parts_Lists[[#This Row],[Unit Price AED]]</f>
        <v>250</v>
      </c>
      <c r="S429" s="199" t="s">
        <v>8675</v>
      </c>
      <c r="T429" s="199" t="s">
        <v>8675</v>
      </c>
      <c r="U429" s="199" t="s">
        <v>8675</v>
      </c>
    </row>
    <row r="430" spans="1:21" s="199" customFormat="1" x14ac:dyDescent="0.25">
      <c r="A430" s="192" t="s">
        <v>6919</v>
      </c>
      <c r="B430" s="203" t="s">
        <v>3329</v>
      </c>
      <c r="C430" s="199" t="s">
        <v>6915</v>
      </c>
      <c r="D430" s="199" t="s">
        <v>8724</v>
      </c>
      <c r="E430" s="188" t="s">
        <v>5047</v>
      </c>
      <c r="F430" s="189" t="s">
        <v>3508</v>
      </c>
      <c r="G430" s="199" t="s">
        <v>8258</v>
      </c>
      <c r="H430" s="199" t="s">
        <v>72</v>
      </c>
      <c r="I430" s="199">
        <v>1</v>
      </c>
      <c r="J430" s="199">
        <v>1</v>
      </c>
      <c r="K430" s="199">
        <v>1</v>
      </c>
      <c r="L430" s="199">
        <v>50</v>
      </c>
      <c r="M430" s="202">
        <f>TB_Parts_Lists[[#This Row],[Quantity Initial]]+ SUMIF(TB_Transactions[Part number],TB_Parts_Lists[[#This Row],[Part Number]],TB_Transactions[Quantity])</f>
        <v>50</v>
      </c>
      <c r="N430" s="200" t="s">
        <v>4593</v>
      </c>
      <c r="O430" s="234">
        <v>5</v>
      </c>
      <c r="P430" s="199">
        <f>TB_Parts_Lists[[#This Row],[Quantity Initial]]*TB_Parts_Lists[[#This Row],[Unit Price AED]]</f>
        <v>250</v>
      </c>
      <c r="Q430" s="199">
        <f>TB_Parts_Lists[[#This Row],[Quantity Total]]*TB_Parts_Lists[[#This Row],[Unit Price AED]]</f>
        <v>250</v>
      </c>
      <c r="S430" s="199" t="s">
        <v>8675</v>
      </c>
      <c r="T430" s="199" t="s">
        <v>8675</v>
      </c>
      <c r="U430" s="199" t="s">
        <v>8675</v>
      </c>
    </row>
    <row r="431" spans="1:21" s="199" customFormat="1" x14ac:dyDescent="0.25">
      <c r="A431" s="192" t="s">
        <v>6920</v>
      </c>
      <c r="B431" s="203" t="s">
        <v>3329</v>
      </c>
      <c r="C431" s="188" t="s">
        <v>3347</v>
      </c>
      <c r="D431" s="199" t="s">
        <v>8723</v>
      </c>
      <c r="E431" s="188" t="s">
        <v>5048</v>
      </c>
      <c r="F431" s="189" t="s">
        <v>3509</v>
      </c>
      <c r="G431" s="199" t="s">
        <v>8258</v>
      </c>
      <c r="H431" s="199" t="s">
        <v>72</v>
      </c>
      <c r="I431" s="199">
        <v>1</v>
      </c>
      <c r="J431" s="199">
        <v>1</v>
      </c>
      <c r="K431" s="199">
        <v>1</v>
      </c>
      <c r="L431" s="199">
        <v>50</v>
      </c>
      <c r="M431" s="202">
        <f>TB_Parts_Lists[[#This Row],[Quantity Initial]]+ SUMIF(TB_Transactions[Part number],TB_Parts_Lists[[#This Row],[Part Number]],TB_Transactions[Quantity])</f>
        <v>50</v>
      </c>
      <c r="N431" s="200" t="s">
        <v>4593</v>
      </c>
      <c r="O431" s="234">
        <v>5</v>
      </c>
      <c r="P431" s="199">
        <f>TB_Parts_Lists[[#This Row],[Quantity Initial]]*TB_Parts_Lists[[#This Row],[Unit Price AED]]</f>
        <v>250</v>
      </c>
      <c r="Q431" s="199">
        <f>TB_Parts_Lists[[#This Row],[Quantity Total]]*TB_Parts_Lists[[#This Row],[Unit Price AED]]</f>
        <v>250</v>
      </c>
      <c r="S431" s="199" t="s">
        <v>8675</v>
      </c>
      <c r="T431" s="199" t="s">
        <v>8675</v>
      </c>
      <c r="U431" s="199" t="s">
        <v>8675</v>
      </c>
    </row>
    <row r="432" spans="1:21" s="199" customFormat="1" x14ac:dyDescent="0.25">
      <c r="A432" s="192" t="s">
        <v>6921</v>
      </c>
      <c r="B432" s="203" t="s">
        <v>3329</v>
      </c>
      <c r="C432" s="188" t="s">
        <v>6915</v>
      </c>
      <c r="D432" s="199" t="s">
        <v>8724</v>
      </c>
      <c r="E432" s="188" t="s">
        <v>5049</v>
      </c>
      <c r="F432" s="189" t="s">
        <v>5964</v>
      </c>
      <c r="G432" s="199" t="s">
        <v>8258</v>
      </c>
      <c r="H432" s="199" t="s">
        <v>72</v>
      </c>
      <c r="I432" s="199">
        <v>1</v>
      </c>
      <c r="J432" s="199">
        <v>1</v>
      </c>
      <c r="K432" s="199">
        <v>1</v>
      </c>
      <c r="L432" s="199">
        <v>50</v>
      </c>
      <c r="M432" s="202">
        <f>TB_Parts_Lists[[#This Row],[Quantity Initial]]+ SUMIF(TB_Transactions[Part number],TB_Parts_Lists[[#This Row],[Part Number]],TB_Transactions[Quantity])</f>
        <v>50</v>
      </c>
      <c r="N432" s="200" t="s">
        <v>4593</v>
      </c>
      <c r="O432" s="234">
        <v>5</v>
      </c>
      <c r="P432" s="199">
        <f>TB_Parts_Lists[[#This Row],[Quantity Initial]]*TB_Parts_Lists[[#This Row],[Unit Price AED]]</f>
        <v>250</v>
      </c>
      <c r="Q432" s="199">
        <f>TB_Parts_Lists[[#This Row],[Quantity Total]]*TB_Parts_Lists[[#This Row],[Unit Price AED]]</f>
        <v>250</v>
      </c>
      <c r="S432" s="199" t="s">
        <v>8675</v>
      </c>
      <c r="T432" s="199" t="s">
        <v>8675</v>
      </c>
      <c r="U432" s="199" t="s">
        <v>8675</v>
      </c>
    </row>
    <row r="433" spans="1:21" s="199" customFormat="1" x14ac:dyDescent="0.25">
      <c r="A433" s="192" t="s">
        <v>6922</v>
      </c>
      <c r="B433" s="203" t="s">
        <v>3329</v>
      </c>
      <c r="C433" s="188" t="s">
        <v>3348</v>
      </c>
      <c r="D433" s="199" t="s">
        <v>8724</v>
      </c>
      <c r="E433" s="188" t="s">
        <v>5050</v>
      </c>
      <c r="F433" s="189" t="s">
        <v>5965</v>
      </c>
      <c r="G433" s="199" t="s">
        <v>8258</v>
      </c>
      <c r="H433" s="199" t="s">
        <v>72</v>
      </c>
      <c r="I433" s="199">
        <v>1</v>
      </c>
      <c r="J433" s="199">
        <v>1</v>
      </c>
      <c r="K433" s="199">
        <v>1</v>
      </c>
      <c r="L433" s="199">
        <v>50</v>
      </c>
      <c r="M433" s="202">
        <f>TB_Parts_Lists[[#This Row],[Quantity Initial]]+ SUMIF(TB_Transactions[Part number],TB_Parts_Lists[[#This Row],[Part Number]],TB_Transactions[Quantity])</f>
        <v>50</v>
      </c>
      <c r="N433" s="200" t="s">
        <v>4593</v>
      </c>
      <c r="O433" s="234">
        <v>5</v>
      </c>
      <c r="P433" s="199">
        <f>TB_Parts_Lists[[#This Row],[Quantity Initial]]*TB_Parts_Lists[[#This Row],[Unit Price AED]]</f>
        <v>250</v>
      </c>
      <c r="Q433" s="199">
        <f>TB_Parts_Lists[[#This Row],[Quantity Total]]*TB_Parts_Lists[[#This Row],[Unit Price AED]]</f>
        <v>250</v>
      </c>
      <c r="S433" s="199" t="s">
        <v>118</v>
      </c>
      <c r="T433" s="199" t="s">
        <v>8684</v>
      </c>
      <c r="U433" s="199" t="s">
        <v>611</v>
      </c>
    </row>
    <row r="434" spans="1:21" s="199" customFormat="1" x14ac:dyDescent="0.25">
      <c r="A434" s="192" t="s">
        <v>6923</v>
      </c>
      <c r="B434" s="203" t="s">
        <v>6619</v>
      </c>
      <c r="C434" s="188" t="s">
        <v>6748</v>
      </c>
      <c r="D434" s="199" t="s">
        <v>8724</v>
      </c>
      <c r="E434" s="188" t="s">
        <v>5051</v>
      </c>
      <c r="F434" s="189" t="s">
        <v>5966</v>
      </c>
      <c r="G434" s="199" t="s">
        <v>8258</v>
      </c>
      <c r="H434" s="199" t="s">
        <v>72</v>
      </c>
      <c r="I434" s="199">
        <v>1</v>
      </c>
      <c r="J434" s="199">
        <v>1</v>
      </c>
      <c r="K434" s="199">
        <v>1</v>
      </c>
      <c r="L434" s="199">
        <v>50</v>
      </c>
      <c r="M434" s="202">
        <f>TB_Parts_Lists[[#This Row],[Quantity Initial]]+ SUMIF(TB_Transactions[Part number],TB_Parts_Lists[[#This Row],[Part Number]],TB_Transactions[Quantity])</f>
        <v>50</v>
      </c>
      <c r="N434" s="200" t="s">
        <v>4593</v>
      </c>
      <c r="O434" s="234">
        <v>5</v>
      </c>
      <c r="P434" s="199">
        <f>TB_Parts_Lists[[#This Row],[Quantity Initial]]*TB_Parts_Lists[[#This Row],[Unit Price AED]]</f>
        <v>250</v>
      </c>
      <c r="Q434" s="199">
        <f>TB_Parts_Lists[[#This Row],[Quantity Total]]*TB_Parts_Lists[[#This Row],[Unit Price AED]]</f>
        <v>250</v>
      </c>
      <c r="S434" s="199" t="s">
        <v>8675</v>
      </c>
      <c r="T434" s="199" t="s">
        <v>8675</v>
      </c>
      <c r="U434" s="199" t="s">
        <v>8675</v>
      </c>
    </row>
    <row r="435" spans="1:21" s="199" customFormat="1" x14ac:dyDescent="0.25">
      <c r="A435" s="192" t="s">
        <v>6924</v>
      </c>
      <c r="B435" s="203" t="s">
        <v>3329</v>
      </c>
      <c r="C435" s="188" t="s">
        <v>6915</v>
      </c>
      <c r="D435" s="199" t="s">
        <v>8732</v>
      </c>
      <c r="E435" s="188" t="s">
        <v>5052</v>
      </c>
      <c r="F435" s="189" t="s">
        <v>5967</v>
      </c>
      <c r="G435" s="199" t="s">
        <v>8258</v>
      </c>
      <c r="H435" s="199" t="s">
        <v>72</v>
      </c>
      <c r="I435" s="199">
        <v>1</v>
      </c>
      <c r="J435" s="199">
        <v>1</v>
      </c>
      <c r="K435" s="199">
        <v>1</v>
      </c>
      <c r="L435" s="199">
        <v>50</v>
      </c>
      <c r="M435" s="202">
        <f>TB_Parts_Lists[[#This Row],[Quantity Initial]]+ SUMIF(TB_Transactions[Part number],TB_Parts_Lists[[#This Row],[Part Number]],TB_Transactions[Quantity])</f>
        <v>50</v>
      </c>
      <c r="N435" s="200" t="s">
        <v>4593</v>
      </c>
      <c r="O435" s="234">
        <v>5</v>
      </c>
      <c r="P435" s="199">
        <f>TB_Parts_Lists[[#This Row],[Quantity Initial]]*TB_Parts_Lists[[#This Row],[Unit Price AED]]</f>
        <v>250</v>
      </c>
      <c r="Q435" s="199">
        <f>TB_Parts_Lists[[#This Row],[Quantity Total]]*TB_Parts_Lists[[#This Row],[Unit Price AED]]</f>
        <v>250</v>
      </c>
      <c r="S435" s="199" t="s">
        <v>8675</v>
      </c>
      <c r="T435" s="199" t="s">
        <v>8675</v>
      </c>
      <c r="U435" s="199" t="s">
        <v>8675</v>
      </c>
    </row>
    <row r="436" spans="1:21" s="199" customFormat="1" x14ac:dyDescent="0.25">
      <c r="A436" s="192" t="s">
        <v>6925</v>
      </c>
      <c r="B436" s="203" t="s">
        <v>3329</v>
      </c>
      <c r="C436" s="188" t="s">
        <v>3348</v>
      </c>
      <c r="D436" s="199" t="s">
        <v>8724</v>
      </c>
      <c r="E436" s="188" t="s">
        <v>5053</v>
      </c>
      <c r="F436" s="189" t="s">
        <v>5968</v>
      </c>
      <c r="G436" s="199" t="s">
        <v>8258</v>
      </c>
      <c r="H436" s="199" t="s">
        <v>72</v>
      </c>
      <c r="I436" s="199">
        <v>1</v>
      </c>
      <c r="J436" s="199">
        <v>1</v>
      </c>
      <c r="K436" s="199">
        <v>1</v>
      </c>
      <c r="L436" s="199">
        <v>50</v>
      </c>
      <c r="M436" s="202">
        <f>TB_Parts_Lists[[#This Row],[Quantity Initial]]+ SUMIF(TB_Transactions[Part number],TB_Parts_Lists[[#This Row],[Part Number]],TB_Transactions[Quantity])</f>
        <v>50</v>
      </c>
      <c r="N436" s="200" t="s">
        <v>4593</v>
      </c>
      <c r="O436" s="234">
        <v>5</v>
      </c>
      <c r="P436" s="199">
        <f>TB_Parts_Lists[[#This Row],[Quantity Initial]]*TB_Parts_Lists[[#This Row],[Unit Price AED]]</f>
        <v>250</v>
      </c>
      <c r="Q436" s="199">
        <f>TB_Parts_Lists[[#This Row],[Quantity Total]]*TB_Parts_Lists[[#This Row],[Unit Price AED]]</f>
        <v>250</v>
      </c>
      <c r="S436" s="199" t="s">
        <v>8675</v>
      </c>
      <c r="T436" s="199" t="s">
        <v>8675</v>
      </c>
      <c r="U436" s="199" t="s">
        <v>8675</v>
      </c>
    </row>
    <row r="437" spans="1:21" s="199" customFormat="1" x14ac:dyDescent="0.25">
      <c r="A437" s="192" t="s">
        <v>6926</v>
      </c>
      <c r="B437" s="203" t="s">
        <v>3329</v>
      </c>
      <c r="C437" s="188" t="s">
        <v>3347</v>
      </c>
      <c r="D437" s="199" t="s">
        <v>8724</v>
      </c>
      <c r="E437" s="188" t="s">
        <v>5054</v>
      </c>
      <c r="F437" s="189" t="s">
        <v>5969</v>
      </c>
      <c r="G437" s="199" t="s">
        <v>8258</v>
      </c>
      <c r="H437" s="199" t="s">
        <v>72</v>
      </c>
      <c r="I437" s="199">
        <v>1</v>
      </c>
      <c r="J437" s="199">
        <v>1</v>
      </c>
      <c r="K437" s="199">
        <v>1</v>
      </c>
      <c r="L437" s="199">
        <v>50</v>
      </c>
      <c r="M437" s="202">
        <f>TB_Parts_Lists[[#This Row],[Quantity Initial]]+ SUMIF(TB_Transactions[Part number],TB_Parts_Lists[[#This Row],[Part Number]],TB_Transactions[Quantity])</f>
        <v>50</v>
      </c>
      <c r="N437" s="200" t="s">
        <v>4593</v>
      </c>
      <c r="O437" s="234">
        <v>5</v>
      </c>
      <c r="P437" s="199">
        <f>TB_Parts_Lists[[#This Row],[Quantity Initial]]*TB_Parts_Lists[[#This Row],[Unit Price AED]]</f>
        <v>250</v>
      </c>
      <c r="Q437" s="199">
        <f>TB_Parts_Lists[[#This Row],[Quantity Total]]*TB_Parts_Lists[[#This Row],[Unit Price AED]]</f>
        <v>250</v>
      </c>
      <c r="S437" s="199" t="s">
        <v>8675</v>
      </c>
      <c r="T437" s="199" t="s">
        <v>8675</v>
      </c>
      <c r="U437" s="199" t="s">
        <v>8675</v>
      </c>
    </row>
    <row r="438" spans="1:21" s="199" customFormat="1" x14ac:dyDescent="0.25">
      <c r="A438" s="192" t="s">
        <v>6927</v>
      </c>
      <c r="B438" s="203" t="s">
        <v>3329</v>
      </c>
      <c r="C438" s="188" t="s">
        <v>3346</v>
      </c>
      <c r="D438" s="199" t="s">
        <v>8724</v>
      </c>
      <c r="E438" s="188" t="s">
        <v>5055</v>
      </c>
      <c r="F438" s="189" t="s">
        <v>5970</v>
      </c>
      <c r="G438" s="199" t="s">
        <v>8258</v>
      </c>
      <c r="H438" s="199" t="s">
        <v>72</v>
      </c>
      <c r="I438" s="199">
        <v>1</v>
      </c>
      <c r="J438" s="199">
        <v>1</v>
      </c>
      <c r="K438" s="199">
        <v>1</v>
      </c>
      <c r="L438" s="199">
        <v>50</v>
      </c>
      <c r="M438" s="202">
        <f>TB_Parts_Lists[[#This Row],[Quantity Initial]]+ SUMIF(TB_Transactions[Part number],TB_Parts_Lists[[#This Row],[Part Number]],TB_Transactions[Quantity])</f>
        <v>50</v>
      </c>
      <c r="N438" s="200" t="s">
        <v>4593</v>
      </c>
      <c r="O438" s="234">
        <v>5</v>
      </c>
      <c r="P438" s="199">
        <f>TB_Parts_Lists[[#This Row],[Quantity Initial]]*TB_Parts_Lists[[#This Row],[Unit Price AED]]</f>
        <v>250</v>
      </c>
      <c r="Q438" s="199">
        <f>TB_Parts_Lists[[#This Row],[Quantity Total]]*TB_Parts_Lists[[#This Row],[Unit Price AED]]</f>
        <v>250</v>
      </c>
      <c r="S438" s="199" t="s">
        <v>8675</v>
      </c>
      <c r="T438" s="199" t="s">
        <v>8675</v>
      </c>
      <c r="U438" s="199" t="s">
        <v>8675</v>
      </c>
    </row>
    <row r="439" spans="1:21" s="199" customFormat="1" x14ac:dyDescent="0.25">
      <c r="A439" s="192" t="s">
        <v>6928</v>
      </c>
      <c r="B439" s="203" t="s">
        <v>3329</v>
      </c>
      <c r="C439" s="188" t="s">
        <v>3346</v>
      </c>
      <c r="D439" s="199" t="s">
        <v>8724</v>
      </c>
      <c r="E439" s="188" t="s">
        <v>5056</v>
      </c>
      <c r="F439" s="189" t="s">
        <v>5971</v>
      </c>
      <c r="G439" s="199" t="s">
        <v>8258</v>
      </c>
      <c r="H439" s="199" t="s">
        <v>72</v>
      </c>
      <c r="I439" s="199">
        <v>1</v>
      </c>
      <c r="J439" s="199">
        <v>1</v>
      </c>
      <c r="K439" s="199">
        <v>1</v>
      </c>
      <c r="L439" s="199">
        <v>50</v>
      </c>
      <c r="M439" s="202">
        <f>TB_Parts_Lists[[#This Row],[Quantity Initial]]+ SUMIF(TB_Transactions[Part number],TB_Parts_Lists[[#This Row],[Part Number]],TB_Transactions[Quantity])</f>
        <v>50</v>
      </c>
      <c r="N439" s="200" t="s">
        <v>4593</v>
      </c>
      <c r="O439" s="234">
        <v>5</v>
      </c>
      <c r="P439" s="199">
        <f>TB_Parts_Lists[[#This Row],[Quantity Initial]]*TB_Parts_Lists[[#This Row],[Unit Price AED]]</f>
        <v>250</v>
      </c>
      <c r="Q439" s="199">
        <f>TB_Parts_Lists[[#This Row],[Quantity Total]]*TB_Parts_Lists[[#This Row],[Unit Price AED]]</f>
        <v>250</v>
      </c>
      <c r="S439" s="199" t="s">
        <v>8675</v>
      </c>
      <c r="T439" s="199" t="s">
        <v>8675</v>
      </c>
      <c r="U439" s="199" t="s">
        <v>8675</v>
      </c>
    </row>
    <row r="440" spans="1:21" s="199" customFormat="1" x14ac:dyDescent="0.25">
      <c r="A440" s="192" t="s">
        <v>6929</v>
      </c>
      <c r="B440" s="203" t="s">
        <v>3329</v>
      </c>
      <c r="C440" s="188" t="s">
        <v>3346</v>
      </c>
      <c r="D440" s="199" t="s">
        <v>8724</v>
      </c>
      <c r="E440" s="188" t="s">
        <v>5057</v>
      </c>
      <c r="F440" s="189" t="s">
        <v>5972</v>
      </c>
      <c r="G440" s="199" t="s">
        <v>8258</v>
      </c>
      <c r="H440" s="199" t="s">
        <v>72</v>
      </c>
      <c r="I440" s="199">
        <v>1</v>
      </c>
      <c r="J440" s="199">
        <v>1</v>
      </c>
      <c r="K440" s="199">
        <v>1</v>
      </c>
      <c r="L440" s="199">
        <v>50</v>
      </c>
      <c r="M440" s="202">
        <f>TB_Parts_Lists[[#This Row],[Quantity Initial]]+ SUMIF(TB_Transactions[Part number],TB_Parts_Lists[[#This Row],[Part Number]],TB_Transactions[Quantity])</f>
        <v>50</v>
      </c>
      <c r="N440" s="200" t="s">
        <v>4593</v>
      </c>
      <c r="O440" s="234">
        <v>5</v>
      </c>
      <c r="P440" s="199">
        <f>TB_Parts_Lists[[#This Row],[Quantity Initial]]*TB_Parts_Lists[[#This Row],[Unit Price AED]]</f>
        <v>250</v>
      </c>
      <c r="Q440" s="199">
        <f>TB_Parts_Lists[[#This Row],[Quantity Total]]*TB_Parts_Lists[[#This Row],[Unit Price AED]]</f>
        <v>250</v>
      </c>
      <c r="S440" s="199" t="s">
        <v>118</v>
      </c>
      <c r="T440" s="199" t="s">
        <v>8689</v>
      </c>
      <c r="U440" s="199" t="s">
        <v>8675</v>
      </c>
    </row>
    <row r="441" spans="1:21" s="199" customFormat="1" x14ac:dyDescent="0.25">
      <c r="A441" s="192" t="s">
        <v>6930</v>
      </c>
      <c r="B441" s="203" t="s">
        <v>3329</v>
      </c>
      <c r="C441" s="188" t="s">
        <v>3347</v>
      </c>
      <c r="D441" s="199" t="s">
        <v>8724</v>
      </c>
      <c r="E441" s="188" t="s">
        <v>5058</v>
      </c>
      <c r="F441" s="189" t="s">
        <v>5973</v>
      </c>
      <c r="G441" s="199" t="s">
        <v>8258</v>
      </c>
      <c r="H441" s="199" t="s">
        <v>72</v>
      </c>
      <c r="I441" s="199">
        <v>1</v>
      </c>
      <c r="J441" s="199">
        <v>1</v>
      </c>
      <c r="K441" s="199">
        <v>1</v>
      </c>
      <c r="L441" s="199">
        <v>50</v>
      </c>
      <c r="M441" s="202">
        <f>TB_Parts_Lists[[#This Row],[Quantity Initial]]+ SUMIF(TB_Transactions[Part number],TB_Parts_Lists[[#This Row],[Part Number]],TB_Transactions[Quantity])</f>
        <v>50</v>
      </c>
      <c r="N441" s="200" t="s">
        <v>4593</v>
      </c>
      <c r="O441" s="234">
        <v>5</v>
      </c>
      <c r="P441" s="199">
        <f>TB_Parts_Lists[[#This Row],[Quantity Initial]]*TB_Parts_Lists[[#This Row],[Unit Price AED]]</f>
        <v>250</v>
      </c>
      <c r="Q441" s="199">
        <f>TB_Parts_Lists[[#This Row],[Quantity Total]]*TB_Parts_Lists[[#This Row],[Unit Price AED]]</f>
        <v>250</v>
      </c>
      <c r="S441" s="199" t="s">
        <v>8675</v>
      </c>
      <c r="T441" s="199" t="s">
        <v>8675</v>
      </c>
      <c r="U441" s="199" t="s">
        <v>8675</v>
      </c>
    </row>
    <row r="442" spans="1:21" s="199" customFormat="1" x14ac:dyDescent="0.25">
      <c r="A442" s="192" t="s">
        <v>6931</v>
      </c>
      <c r="B442" s="203" t="s">
        <v>3329</v>
      </c>
      <c r="C442" s="188" t="s">
        <v>3348</v>
      </c>
      <c r="D442" s="199" t="s">
        <v>8724</v>
      </c>
      <c r="E442" s="188" t="s">
        <v>5059</v>
      </c>
      <c r="F442" s="189" t="s">
        <v>5974</v>
      </c>
      <c r="G442" s="199" t="s">
        <v>8258</v>
      </c>
      <c r="H442" s="199" t="s">
        <v>72</v>
      </c>
      <c r="I442" s="199">
        <v>1</v>
      </c>
      <c r="J442" s="199">
        <v>1</v>
      </c>
      <c r="K442" s="199">
        <v>1</v>
      </c>
      <c r="L442" s="199">
        <v>50</v>
      </c>
      <c r="M442" s="202">
        <f>TB_Parts_Lists[[#This Row],[Quantity Initial]]+ SUMIF(TB_Transactions[Part number],TB_Parts_Lists[[#This Row],[Part Number]],TB_Transactions[Quantity])</f>
        <v>50</v>
      </c>
      <c r="N442" s="200" t="s">
        <v>4593</v>
      </c>
      <c r="O442" s="234">
        <v>5</v>
      </c>
      <c r="P442" s="199">
        <f>TB_Parts_Lists[[#This Row],[Quantity Initial]]*TB_Parts_Lists[[#This Row],[Unit Price AED]]</f>
        <v>250</v>
      </c>
      <c r="Q442" s="199">
        <f>TB_Parts_Lists[[#This Row],[Quantity Total]]*TB_Parts_Lists[[#This Row],[Unit Price AED]]</f>
        <v>250</v>
      </c>
      <c r="S442" s="199" t="s">
        <v>8675</v>
      </c>
      <c r="T442" s="199" t="s">
        <v>8675</v>
      </c>
      <c r="U442" s="199" t="s">
        <v>8675</v>
      </c>
    </row>
    <row r="443" spans="1:21" s="199" customFormat="1" x14ac:dyDescent="0.25">
      <c r="A443" s="192" t="s">
        <v>6932</v>
      </c>
      <c r="B443" s="203" t="s">
        <v>3329</v>
      </c>
      <c r="C443" s="188" t="s">
        <v>3379</v>
      </c>
      <c r="D443" s="199" t="s">
        <v>8732</v>
      </c>
      <c r="E443" s="188" t="s">
        <v>5060</v>
      </c>
      <c r="F443" s="189" t="s">
        <v>3510</v>
      </c>
      <c r="G443" s="199" t="s">
        <v>8259</v>
      </c>
      <c r="H443" s="199" t="s">
        <v>72</v>
      </c>
      <c r="I443" s="199">
        <v>1</v>
      </c>
      <c r="J443" s="199">
        <v>1</v>
      </c>
      <c r="K443" s="199">
        <v>1</v>
      </c>
      <c r="L443" s="199">
        <v>50</v>
      </c>
      <c r="M443" s="202">
        <f>TB_Parts_Lists[[#This Row],[Quantity Initial]]+ SUMIF(TB_Transactions[Part number],TB_Parts_Lists[[#This Row],[Part Number]],TB_Transactions[Quantity])</f>
        <v>50</v>
      </c>
      <c r="N443" s="200" t="s">
        <v>4593</v>
      </c>
      <c r="O443" s="234">
        <v>5</v>
      </c>
      <c r="P443" s="199">
        <f>TB_Parts_Lists[[#This Row],[Quantity Initial]]*TB_Parts_Lists[[#This Row],[Unit Price AED]]</f>
        <v>250</v>
      </c>
      <c r="Q443" s="199">
        <f>TB_Parts_Lists[[#This Row],[Quantity Total]]*TB_Parts_Lists[[#This Row],[Unit Price AED]]</f>
        <v>250</v>
      </c>
      <c r="S443" s="199" t="s">
        <v>118</v>
      </c>
      <c r="T443" s="199" t="s">
        <v>8675</v>
      </c>
      <c r="U443" s="199" t="s">
        <v>8675</v>
      </c>
    </row>
    <row r="444" spans="1:21" s="199" customFormat="1" x14ac:dyDescent="0.25">
      <c r="A444" s="192" t="s">
        <v>6933</v>
      </c>
      <c r="B444" s="203" t="s">
        <v>3329</v>
      </c>
      <c r="C444" s="188" t="s">
        <v>3379</v>
      </c>
      <c r="D444" s="199" t="s">
        <v>8723</v>
      </c>
      <c r="E444" s="188" t="s">
        <v>5061</v>
      </c>
      <c r="F444" s="189" t="s">
        <v>4704</v>
      </c>
      <c r="G444" s="199" t="s">
        <v>8259</v>
      </c>
      <c r="H444" s="199" t="s">
        <v>72</v>
      </c>
      <c r="I444" s="199">
        <v>1</v>
      </c>
      <c r="J444" s="199">
        <v>1</v>
      </c>
      <c r="K444" s="199">
        <v>1</v>
      </c>
      <c r="L444" s="199">
        <v>50</v>
      </c>
      <c r="M444" s="202">
        <f>TB_Parts_Lists[[#This Row],[Quantity Initial]]+ SUMIF(TB_Transactions[Part number],TB_Parts_Lists[[#This Row],[Part Number]],TB_Transactions[Quantity])</f>
        <v>50</v>
      </c>
      <c r="N444" s="200" t="s">
        <v>4593</v>
      </c>
      <c r="O444" s="234">
        <v>5</v>
      </c>
      <c r="P444" s="199">
        <f>TB_Parts_Lists[[#This Row],[Quantity Initial]]*TB_Parts_Lists[[#This Row],[Unit Price AED]]</f>
        <v>250</v>
      </c>
      <c r="Q444" s="199">
        <f>TB_Parts_Lists[[#This Row],[Quantity Total]]*TB_Parts_Lists[[#This Row],[Unit Price AED]]</f>
        <v>250</v>
      </c>
      <c r="S444" s="199" t="s">
        <v>8675</v>
      </c>
      <c r="T444" s="199" t="s">
        <v>8675</v>
      </c>
      <c r="U444" s="199" t="s">
        <v>8675</v>
      </c>
    </row>
    <row r="445" spans="1:21" s="199" customFormat="1" x14ac:dyDescent="0.25">
      <c r="A445" s="192" t="s">
        <v>6934</v>
      </c>
      <c r="B445" s="203" t="s">
        <v>3329</v>
      </c>
      <c r="C445" s="188" t="s">
        <v>3338</v>
      </c>
      <c r="D445" s="199" t="s">
        <v>8723</v>
      </c>
      <c r="E445" s="188" t="s">
        <v>3387</v>
      </c>
      <c r="F445" s="189" t="s">
        <v>3511</v>
      </c>
      <c r="G445" s="199" t="s">
        <v>8259</v>
      </c>
      <c r="H445" s="199" t="s">
        <v>72</v>
      </c>
      <c r="I445" s="199">
        <v>1</v>
      </c>
      <c r="J445" s="199">
        <v>1</v>
      </c>
      <c r="K445" s="199">
        <v>1</v>
      </c>
      <c r="L445" s="199">
        <v>50</v>
      </c>
      <c r="M445" s="202">
        <f>TB_Parts_Lists[[#This Row],[Quantity Initial]]+ SUMIF(TB_Transactions[Part number],TB_Parts_Lists[[#This Row],[Part Number]],TB_Transactions[Quantity])</f>
        <v>50</v>
      </c>
      <c r="N445" s="200" t="s">
        <v>4593</v>
      </c>
      <c r="O445" s="234">
        <v>5</v>
      </c>
      <c r="P445" s="199">
        <f>TB_Parts_Lists[[#This Row],[Quantity Initial]]*TB_Parts_Lists[[#This Row],[Unit Price AED]]</f>
        <v>250</v>
      </c>
      <c r="Q445" s="199">
        <f>TB_Parts_Lists[[#This Row],[Quantity Total]]*TB_Parts_Lists[[#This Row],[Unit Price AED]]</f>
        <v>250</v>
      </c>
      <c r="S445" s="199" t="s">
        <v>8675</v>
      </c>
      <c r="T445" s="199" t="s">
        <v>8675</v>
      </c>
      <c r="U445" s="199" t="s">
        <v>8675</v>
      </c>
    </row>
    <row r="446" spans="1:21" s="199" customFormat="1" x14ac:dyDescent="0.25">
      <c r="A446" s="192" t="s">
        <v>6935</v>
      </c>
      <c r="B446" s="203" t="s">
        <v>3329</v>
      </c>
      <c r="C446" s="188" t="s">
        <v>3338</v>
      </c>
      <c r="D446" s="199" t="s">
        <v>8723</v>
      </c>
      <c r="E446" s="188" t="s">
        <v>3387</v>
      </c>
      <c r="F446" s="189" t="s">
        <v>3512</v>
      </c>
      <c r="G446" s="199" t="s">
        <v>8259</v>
      </c>
      <c r="H446" s="199" t="s">
        <v>72</v>
      </c>
      <c r="I446" s="199">
        <v>1</v>
      </c>
      <c r="J446" s="199">
        <v>1</v>
      </c>
      <c r="K446" s="199">
        <v>1</v>
      </c>
      <c r="L446" s="199">
        <v>50</v>
      </c>
      <c r="M446" s="202">
        <f>TB_Parts_Lists[[#This Row],[Quantity Initial]]+ SUMIF(TB_Transactions[Part number],TB_Parts_Lists[[#This Row],[Part Number]],TB_Transactions[Quantity])</f>
        <v>50</v>
      </c>
      <c r="N446" s="200" t="s">
        <v>4593</v>
      </c>
      <c r="O446" s="234">
        <v>5</v>
      </c>
      <c r="P446" s="199">
        <f>TB_Parts_Lists[[#This Row],[Quantity Initial]]*TB_Parts_Lists[[#This Row],[Unit Price AED]]</f>
        <v>250</v>
      </c>
      <c r="Q446" s="199">
        <f>TB_Parts_Lists[[#This Row],[Quantity Total]]*TB_Parts_Lists[[#This Row],[Unit Price AED]]</f>
        <v>250</v>
      </c>
      <c r="S446" s="199" t="s">
        <v>8675</v>
      </c>
      <c r="T446" s="199" t="s">
        <v>8675</v>
      </c>
      <c r="U446" s="199" t="s">
        <v>8675</v>
      </c>
    </row>
    <row r="447" spans="1:21" s="199" customFormat="1" x14ac:dyDescent="0.25">
      <c r="A447" s="192" t="s">
        <v>6936</v>
      </c>
      <c r="B447" s="203" t="s">
        <v>3329</v>
      </c>
      <c r="C447" s="188" t="s">
        <v>6899</v>
      </c>
      <c r="D447" s="199" t="s">
        <v>8723</v>
      </c>
      <c r="E447" s="188" t="s">
        <v>5062</v>
      </c>
      <c r="F447" s="189" t="s">
        <v>3513</v>
      </c>
      <c r="G447" s="199" t="s">
        <v>8259</v>
      </c>
      <c r="H447" s="199" t="s">
        <v>72</v>
      </c>
      <c r="I447" s="199">
        <v>1</v>
      </c>
      <c r="J447" s="199">
        <v>1</v>
      </c>
      <c r="K447" s="199">
        <v>1</v>
      </c>
      <c r="L447" s="199">
        <v>50</v>
      </c>
      <c r="M447" s="202">
        <f>TB_Parts_Lists[[#This Row],[Quantity Initial]]+ SUMIF(TB_Transactions[Part number],TB_Parts_Lists[[#This Row],[Part Number]],TB_Transactions[Quantity])</f>
        <v>50</v>
      </c>
      <c r="N447" s="200" t="s">
        <v>4593</v>
      </c>
      <c r="O447" s="234">
        <v>5</v>
      </c>
      <c r="P447" s="199">
        <f>TB_Parts_Lists[[#This Row],[Quantity Initial]]*TB_Parts_Lists[[#This Row],[Unit Price AED]]</f>
        <v>250</v>
      </c>
      <c r="Q447" s="199">
        <f>TB_Parts_Lists[[#This Row],[Quantity Total]]*TB_Parts_Lists[[#This Row],[Unit Price AED]]</f>
        <v>250</v>
      </c>
      <c r="S447" s="199" t="s">
        <v>8675</v>
      </c>
      <c r="T447" s="199" t="s">
        <v>8675</v>
      </c>
      <c r="U447" s="199" t="s">
        <v>8675</v>
      </c>
    </row>
    <row r="448" spans="1:21" s="199" customFormat="1" x14ac:dyDescent="0.25">
      <c r="A448" s="192" t="s">
        <v>6937</v>
      </c>
      <c r="B448" s="203" t="s">
        <v>3329</v>
      </c>
      <c r="C448" s="188" t="s">
        <v>6799</v>
      </c>
      <c r="D448" s="199" t="s">
        <v>8732</v>
      </c>
      <c r="E448" s="188" t="s">
        <v>5063</v>
      </c>
      <c r="F448" s="189" t="s">
        <v>3514</v>
      </c>
      <c r="G448" s="199" t="s">
        <v>8259</v>
      </c>
      <c r="H448" s="199" t="s">
        <v>72</v>
      </c>
      <c r="I448" s="199">
        <v>1</v>
      </c>
      <c r="J448" s="199">
        <v>1</v>
      </c>
      <c r="K448" s="199">
        <v>1</v>
      </c>
      <c r="L448" s="199">
        <v>50</v>
      </c>
      <c r="M448" s="202">
        <f>TB_Parts_Lists[[#This Row],[Quantity Initial]]+ SUMIF(TB_Transactions[Part number],TB_Parts_Lists[[#This Row],[Part Number]],TB_Transactions[Quantity])</f>
        <v>50</v>
      </c>
      <c r="N448" s="200" t="s">
        <v>4593</v>
      </c>
      <c r="O448" s="234">
        <v>5</v>
      </c>
      <c r="P448" s="199">
        <f>TB_Parts_Lists[[#This Row],[Quantity Initial]]*TB_Parts_Lists[[#This Row],[Unit Price AED]]</f>
        <v>250</v>
      </c>
      <c r="Q448" s="199">
        <f>TB_Parts_Lists[[#This Row],[Quantity Total]]*TB_Parts_Lists[[#This Row],[Unit Price AED]]</f>
        <v>250</v>
      </c>
      <c r="S448" s="199" t="s">
        <v>8675</v>
      </c>
      <c r="T448" s="199" t="s">
        <v>8675</v>
      </c>
      <c r="U448" s="199" t="s">
        <v>8675</v>
      </c>
    </row>
    <row r="449" spans="1:21" s="199" customFormat="1" x14ac:dyDescent="0.25">
      <c r="A449" s="192" t="s">
        <v>6938</v>
      </c>
      <c r="B449" s="203" t="s">
        <v>3329</v>
      </c>
      <c r="C449" s="188" t="s">
        <v>6799</v>
      </c>
      <c r="D449" s="199" t="s">
        <v>8732</v>
      </c>
      <c r="E449" s="188" t="s">
        <v>5064</v>
      </c>
      <c r="F449" s="189" t="s">
        <v>3515</v>
      </c>
      <c r="G449" s="199" t="s">
        <v>8259</v>
      </c>
      <c r="H449" s="199" t="s">
        <v>72</v>
      </c>
      <c r="I449" s="199">
        <v>1</v>
      </c>
      <c r="J449" s="199">
        <v>1</v>
      </c>
      <c r="K449" s="199">
        <v>1</v>
      </c>
      <c r="L449" s="199">
        <v>50</v>
      </c>
      <c r="M449" s="202">
        <f>TB_Parts_Lists[[#This Row],[Quantity Initial]]+ SUMIF(TB_Transactions[Part number],TB_Parts_Lists[[#This Row],[Part Number]],TB_Transactions[Quantity])</f>
        <v>50</v>
      </c>
      <c r="N449" s="200" t="s">
        <v>4593</v>
      </c>
      <c r="O449" s="234">
        <v>5</v>
      </c>
      <c r="P449" s="199">
        <f>TB_Parts_Lists[[#This Row],[Quantity Initial]]*TB_Parts_Lists[[#This Row],[Unit Price AED]]</f>
        <v>250</v>
      </c>
      <c r="Q449" s="199">
        <f>TB_Parts_Lists[[#This Row],[Quantity Total]]*TB_Parts_Lists[[#This Row],[Unit Price AED]]</f>
        <v>250</v>
      </c>
      <c r="S449" s="199" t="s">
        <v>8675</v>
      </c>
      <c r="T449" s="199" t="s">
        <v>8675</v>
      </c>
      <c r="U449" s="199" t="s">
        <v>8675</v>
      </c>
    </row>
    <row r="450" spans="1:21" s="199" customFormat="1" x14ac:dyDescent="0.25">
      <c r="A450" s="192" t="s">
        <v>6939</v>
      </c>
      <c r="B450" s="203" t="s">
        <v>3329</v>
      </c>
      <c r="C450" s="188" t="s">
        <v>6799</v>
      </c>
      <c r="D450" s="199" t="s">
        <v>8732</v>
      </c>
      <c r="E450" s="188" t="s">
        <v>3388</v>
      </c>
      <c r="F450" s="189" t="s">
        <v>3516</v>
      </c>
      <c r="G450" s="199" t="s">
        <v>8259</v>
      </c>
      <c r="H450" s="199" t="s">
        <v>72</v>
      </c>
      <c r="I450" s="199">
        <v>1</v>
      </c>
      <c r="J450" s="199">
        <v>1</v>
      </c>
      <c r="K450" s="199">
        <v>1</v>
      </c>
      <c r="L450" s="199">
        <v>50</v>
      </c>
      <c r="M450" s="202">
        <f>TB_Parts_Lists[[#This Row],[Quantity Initial]]+ SUMIF(TB_Transactions[Part number],TB_Parts_Lists[[#This Row],[Part Number]],TB_Transactions[Quantity])</f>
        <v>50</v>
      </c>
      <c r="N450" s="200" t="s">
        <v>4593</v>
      </c>
      <c r="O450" s="234">
        <v>5</v>
      </c>
      <c r="P450" s="199">
        <f>TB_Parts_Lists[[#This Row],[Quantity Initial]]*TB_Parts_Lists[[#This Row],[Unit Price AED]]</f>
        <v>250</v>
      </c>
      <c r="Q450" s="199">
        <f>TB_Parts_Lists[[#This Row],[Quantity Total]]*TB_Parts_Lists[[#This Row],[Unit Price AED]]</f>
        <v>250</v>
      </c>
      <c r="S450" s="199" t="s">
        <v>8675</v>
      </c>
      <c r="T450" s="199" t="s">
        <v>8675</v>
      </c>
      <c r="U450" s="199" t="s">
        <v>8675</v>
      </c>
    </row>
    <row r="451" spans="1:21" s="199" customFormat="1" x14ac:dyDescent="0.25">
      <c r="A451" s="192" t="s">
        <v>6941</v>
      </c>
      <c r="B451" s="203" t="s">
        <v>3329</v>
      </c>
      <c r="C451" s="199" t="s">
        <v>6940</v>
      </c>
      <c r="D451" s="199" t="s">
        <v>8732</v>
      </c>
      <c r="E451" s="188" t="s">
        <v>3389</v>
      </c>
      <c r="F451" s="189" t="s">
        <v>3517</v>
      </c>
      <c r="G451" s="199" t="s">
        <v>8259</v>
      </c>
      <c r="H451" s="199" t="s">
        <v>72</v>
      </c>
      <c r="I451" s="199">
        <v>1</v>
      </c>
      <c r="J451" s="199">
        <v>1</v>
      </c>
      <c r="K451" s="199">
        <v>1</v>
      </c>
      <c r="L451" s="199">
        <v>50</v>
      </c>
      <c r="M451" s="202">
        <f>TB_Parts_Lists[[#This Row],[Quantity Initial]]+ SUMIF(TB_Transactions[Part number],TB_Parts_Lists[[#This Row],[Part Number]],TB_Transactions[Quantity])</f>
        <v>50</v>
      </c>
      <c r="N451" s="200" t="s">
        <v>4593</v>
      </c>
      <c r="O451" s="234">
        <v>5</v>
      </c>
      <c r="P451" s="199">
        <f>TB_Parts_Lists[[#This Row],[Quantity Initial]]*TB_Parts_Lists[[#This Row],[Unit Price AED]]</f>
        <v>250</v>
      </c>
      <c r="Q451" s="199">
        <f>TB_Parts_Lists[[#This Row],[Quantity Total]]*TB_Parts_Lists[[#This Row],[Unit Price AED]]</f>
        <v>250</v>
      </c>
      <c r="S451" s="199" t="s">
        <v>8675</v>
      </c>
      <c r="T451" s="199" t="s">
        <v>8675</v>
      </c>
      <c r="U451" s="199" t="s">
        <v>8675</v>
      </c>
    </row>
    <row r="452" spans="1:21" s="199" customFormat="1" x14ac:dyDescent="0.25">
      <c r="A452" s="192" t="s">
        <v>6942</v>
      </c>
      <c r="B452" s="203" t="s">
        <v>3329</v>
      </c>
      <c r="C452" s="188" t="s">
        <v>5277</v>
      </c>
      <c r="D452" s="199" t="s">
        <v>8732</v>
      </c>
      <c r="E452" s="188" t="s">
        <v>3390</v>
      </c>
      <c r="F452" s="189" t="s">
        <v>3518</v>
      </c>
      <c r="G452" s="199" t="s">
        <v>8259</v>
      </c>
      <c r="H452" s="199" t="s">
        <v>72</v>
      </c>
      <c r="I452" s="199">
        <v>1</v>
      </c>
      <c r="J452" s="199">
        <v>1</v>
      </c>
      <c r="K452" s="199">
        <v>1</v>
      </c>
      <c r="L452" s="199">
        <v>50</v>
      </c>
      <c r="M452" s="202">
        <f>TB_Parts_Lists[[#This Row],[Quantity Initial]]+ SUMIF(TB_Transactions[Part number],TB_Parts_Lists[[#This Row],[Part Number]],TB_Transactions[Quantity])</f>
        <v>50</v>
      </c>
      <c r="N452" s="200" t="s">
        <v>4593</v>
      </c>
      <c r="O452" s="234">
        <v>5</v>
      </c>
      <c r="P452" s="199">
        <f>TB_Parts_Lists[[#This Row],[Quantity Initial]]*TB_Parts_Lists[[#This Row],[Unit Price AED]]</f>
        <v>250</v>
      </c>
      <c r="Q452" s="199">
        <f>TB_Parts_Lists[[#This Row],[Quantity Total]]*TB_Parts_Lists[[#This Row],[Unit Price AED]]</f>
        <v>250</v>
      </c>
      <c r="S452" s="199" t="s">
        <v>8675</v>
      </c>
      <c r="T452" s="199" t="s">
        <v>8675</v>
      </c>
      <c r="U452" s="199" t="s">
        <v>8675</v>
      </c>
    </row>
    <row r="453" spans="1:21" s="199" customFormat="1" x14ac:dyDescent="0.25">
      <c r="A453" s="192" t="s">
        <v>6943</v>
      </c>
      <c r="B453" s="203" t="s">
        <v>3329</v>
      </c>
      <c r="C453" s="188" t="s">
        <v>6940</v>
      </c>
      <c r="D453" s="199" t="s">
        <v>8732</v>
      </c>
      <c r="E453" s="188" t="s">
        <v>5065</v>
      </c>
      <c r="F453" s="189" t="s">
        <v>3519</v>
      </c>
      <c r="G453" s="199" t="s">
        <v>8259</v>
      </c>
      <c r="H453" s="199" t="s">
        <v>72</v>
      </c>
      <c r="I453" s="199">
        <v>1</v>
      </c>
      <c r="J453" s="199">
        <v>1</v>
      </c>
      <c r="K453" s="199">
        <v>1</v>
      </c>
      <c r="L453" s="199">
        <v>50</v>
      </c>
      <c r="M453" s="202">
        <f>TB_Parts_Lists[[#This Row],[Quantity Initial]]+ SUMIF(TB_Transactions[Part number],TB_Parts_Lists[[#This Row],[Part Number]],TB_Transactions[Quantity])</f>
        <v>50</v>
      </c>
      <c r="N453" s="200" t="s">
        <v>4593</v>
      </c>
      <c r="O453" s="234">
        <v>5</v>
      </c>
      <c r="P453" s="199">
        <f>TB_Parts_Lists[[#This Row],[Quantity Initial]]*TB_Parts_Lists[[#This Row],[Unit Price AED]]</f>
        <v>250</v>
      </c>
      <c r="Q453" s="199">
        <f>TB_Parts_Lists[[#This Row],[Quantity Total]]*TB_Parts_Lists[[#This Row],[Unit Price AED]]</f>
        <v>250</v>
      </c>
      <c r="S453" s="199" t="s">
        <v>8675</v>
      </c>
      <c r="T453" s="199" t="s">
        <v>8675</v>
      </c>
      <c r="U453" s="199" t="s">
        <v>8675</v>
      </c>
    </row>
    <row r="454" spans="1:21" s="199" customFormat="1" x14ac:dyDescent="0.25">
      <c r="A454" s="192" t="s">
        <v>6944</v>
      </c>
      <c r="B454" s="203" t="s">
        <v>3329</v>
      </c>
      <c r="C454" s="188" t="s">
        <v>3379</v>
      </c>
      <c r="D454" s="199" t="s">
        <v>8732</v>
      </c>
      <c r="E454" s="188" t="s">
        <v>5066</v>
      </c>
      <c r="F454" s="189" t="s">
        <v>3520</v>
      </c>
      <c r="G454" s="199" t="s">
        <v>8259</v>
      </c>
      <c r="H454" s="199" t="s">
        <v>72</v>
      </c>
      <c r="I454" s="199">
        <v>1</v>
      </c>
      <c r="J454" s="199">
        <v>1</v>
      </c>
      <c r="K454" s="199">
        <v>1</v>
      </c>
      <c r="L454" s="199">
        <v>50</v>
      </c>
      <c r="M454" s="202">
        <f>TB_Parts_Lists[[#This Row],[Quantity Initial]]+ SUMIF(TB_Transactions[Part number],TB_Parts_Lists[[#This Row],[Part Number]],TB_Transactions[Quantity])</f>
        <v>50</v>
      </c>
      <c r="N454" s="200" t="s">
        <v>4593</v>
      </c>
      <c r="O454" s="234">
        <v>5</v>
      </c>
      <c r="P454" s="199">
        <f>TB_Parts_Lists[[#This Row],[Quantity Initial]]*TB_Parts_Lists[[#This Row],[Unit Price AED]]</f>
        <v>250</v>
      </c>
      <c r="Q454" s="199">
        <f>TB_Parts_Lists[[#This Row],[Quantity Total]]*TB_Parts_Lists[[#This Row],[Unit Price AED]]</f>
        <v>250</v>
      </c>
      <c r="S454" s="199" t="s">
        <v>8675</v>
      </c>
      <c r="T454" s="199" t="s">
        <v>8675</v>
      </c>
      <c r="U454" s="199" t="s">
        <v>8675</v>
      </c>
    </row>
    <row r="455" spans="1:21" s="199" customFormat="1" x14ac:dyDescent="0.25">
      <c r="A455" s="192" t="s">
        <v>6945</v>
      </c>
      <c r="B455" s="203" t="s">
        <v>3329</v>
      </c>
      <c r="C455" s="188" t="s">
        <v>6899</v>
      </c>
      <c r="D455" s="188" t="s">
        <v>8724</v>
      </c>
      <c r="E455" s="188" t="s">
        <v>5067</v>
      </c>
      <c r="F455" s="189" t="s">
        <v>3521</v>
      </c>
      <c r="G455" s="199" t="s">
        <v>8259</v>
      </c>
      <c r="H455" s="188" t="s">
        <v>72</v>
      </c>
      <c r="I455" s="199">
        <v>1</v>
      </c>
      <c r="J455" s="199">
        <v>1</v>
      </c>
      <c r="K455" s="199">
        <v>1</v>
      </c>
      <c r="L455" s="199">
        <v>50</v>
      </c>
      <c r="M455" s="202">
        <f>TB_Parts_Lists[[#This Row],[Quantity Initial]]+ SUMIF(TB_Transactions[Part number],TB_Parts_Lists[[#This Row],[Part Number]],TB_Transactions[Quantity])</f>
        <v>50</v>
      </c>
      <c r="N455" s="200" t="s">
        <v>4593</v>
      </c>
      <c r="O455" s="234">
        <v>5</v>
      </c>
      <c r="P455" s="199">
        <f>TB_Parts_Lists[[#This Row],[Quantity Initial]]*TB_Parts_Lists[[#This Row],[Unit Price AED]]</f>
        <v>250</v>
      </c>
      <c r="Q455" s="199">
        <f>TB_Parts_Lists[[#This Row],[Quantity Total]]*TB_Parts_Lists[[#This Row],[Unit Price AED]]</f>
        <v>250</v>
      </c>
      <c r="S455" s="188" t="s">
        <v>8675</v>
      </c>
      <c r="T455" s="188" t="s">
        <v>8675</v>
      </c>
      <c r="U455" s="188" t="s">
        <v>8675</v>
      </c>
    </row>
    <row r="456" spans="1:21" s="199" customFormat="1" x14ac:dyDescent="0.25">
      <c r="A456" s="192" t="s">
        <v>6946</v>
      </c>
      <c r="B456" s="203" t="s">
        <v>3329</v>
      </c>
      <c r="C456" s="188" t="s">
        <v>6899</v>
      </c>
      <c r="D456" s="199" t="s">
        <v>8724</v>
      </c>
      <c r="E456" s="188" t="s">
        <v>5068</v>
      </c>
      <c r="F456" s="189" t="s">
        <v>3522</v>
      </c>
      <c r="G456" s="199" t="s">
        <v>8259</v>
      </c>
      <c r="H456" s="199" t="s">
        <v>72</v>
      </c>
      <c r="I456" s="199">
        <v>1</v>
      </c>
      <c r="J456" s="199">
        <v>1</v>
      </c>
      <c r="K456" s="199">
        <v>1</v>
      </c>
      <c r="L456" s="199">
        <v>50</v>
      </c>
      <c r="M456" s="202">
        <f>TB_Parts_Lists[[#This Row],[Quantity Initial]]+ SUMIF(TB_Transactions[Part number],TB_Parts_Lists[[#This Row],[Part Number]],TB_Transactions[Quantity])</f>
        <v>50</v>
      </c>
      <c r="N456" s="200" t="s">
        <v>4593</v>
      </c>
      <c r="O456" s="234">
        <v>5</v>
      </c>
      <c r="P456" s="199">
        <f>TB_Parts_Lists[[#This Row],[Quantity Initial]]*TB_Parts_Lists[[#This Row],[Unit Price AED]]</f>
        <v>250</v>
      </c>
      <c r="Q456" s="199">
        <f>TB_Parts_Lists[[#This Row],[Quantity Total]]*TB_Parts_Lists[[#This Row],[Unit Price AED]]</f>
        <v>250</v>
      </c>
      <c r="S456" s="199" t="s">
        <v>8675</v>
      </c>
      <c r="T456" s="199" t="s">
        <v>8675</v>
      </c>
      <c r="U456" s="199" t="s">
        <v>8675</v>
      </c>
    </row>
    <row r="457" spans="1:21" s="199" customFormat="1" x14ac:dyDescent="0.25">
      <c r="A457" s="192" t="s">
        <v>6947</v>
      </c>
      <c r="B457" s="203" t="s">
        <v>3329</v>
      </c>
      <c r="C457" s="188" t="s">
        <v>6899</v>
      </c>
      <c r="D457" s="199" t="s">
        <v>8724</v>
      </c>
      <c r="E457" s="188" t="s">
        <v>5069</v>
      </c>
      <c r="F457" s="189" t="s">
        <v>3523</v>
      </c>
      <c r="G457" s="199" t="s">
        <v>8259</v>
      </c>
      <c r="H457" s="199" t="s">
        <v>72</v>
      </c>
      <c r="I457" s="199">
        <v>1</v>
      </c>
      <c r="J457" s="199">
        <v>1</v>
      </c>
      <c r="K457" s="199">
        <v>1</v>
      </c>
      <c r="L457" s="199">
        <v>50</v>
      </c>
      <c r="M457" s="202">
        <f>TB_Parts_Lists[[#This Row],[Quantity Initial]]+ SUMIF(TB_Transactions[Part number],TB_Parts_Lists[[#This Row],[Part Number]],TB_Transactions[Quantity])</f>
        <v>50</v>
      </c>
      <c r="N457" s="200" t="s">
        <v>4593</v>
      </c>
      <c r="O457" s="234">
        <v>5</v>
      </c>
      <c r="P457" s="199">
        <f>TB_Parts_Lists[[#This Row],[Quantity Initial]]*TB_Parts_Lists[[#This Row],[Unit Price AED]]</f>
        <v>250</v>
      </c>
      <c r="Q457" s="199">
        <f>TB_Parts_Lists[[#This Row],[Quantity Total]]*TB_Parts_Lists[[#This Row],[Unit Price AED]]</f>
        <v>250</v>
      </c>
      <c r="S457" s="199" t="s">
        <v>8675</v>
      </c>
      <c r="T457" s="199" t="s">
        <v>8675</v>
      </c>
      <c r="U457" s="199" t="s">
        <v>8675</v>
      </c>
    </row>
    <row r="458" spans="1:21" s="199" customFormat="1" x14ac:dyDescent="0.25">
      <c r="A458" s="192" t="s">
        <v>6948</v>
      </c>
      <c r="B458" s="203" t="s">
        <v>3329</v>
      </c>
      <c r="C458" s="188" t="s">
        <v>6899</v>
      </c>
      <c r="D458" s="199" t="s">
        <v>8732</v>
      </c>
      <c r="E458" s="188" t="s">
        <v>5070</v>
      </c>
      <c r="F458" s="189" t="s">
        <v>3524</v>
      </c>
      <c r="G458" s="199" t="s">
        <v>8259</v>
      </c>
      <c r="H458" s="199" t="s">
        <v>72</v>
      </c>
      <c r="I458" s="199">
        <v>1</v>
      </c>
      <c r="J458" s="199">
        <v>1</v>
      </c>
      <c r="K458" s="199">
        <v>1</v>
      </c>
      <c r="L458" s="199">
        <v>50</v>
      </c>
      <c r="M458" s="202">
        <f>TB_Parts_Lists[[#This Row],[Quantity Initial]]+ SUMIF(TB_Transactions[Part number],TB_Parts_Lists[[#This Row],[Part Number]],TB_Transactions[Quantity])</f>
        <v>50</v>
      </c>
      <c r="N458" s="200" t="s">
        <v>4593</v>
      </c>
      <c r="O458" s="234">
        <v>5</v>
      </c>
      <c r="P458" s="199">
        <f>TB_Parts_Lists[[#This Row],[Quantity Initial]]*TB_Parts_Lists[[#This Row],[Unit Price AED]]</f>
        <v>250</v>
      </c>
      <c r="Q458" s="199">
        <f>TB_Parts_Lists[[#This Row],[Quantity Total]]*TB_Parts_Lists[[#This Row],[Unit Price AED]]</f>
        <v>250</v>
      </c>
      <c r="S458" s="199" t="s">
        <v>8675</v>
      </c>
      <c r="T458" s="199" t="s">
        <v>8675</v>
      </c>
      <c r="U458" s="199" t="s">
        <v>8675</v>
      </c>
    </row>
    <row r="459" spans="1:21" s="199" customFormat="1" x14ac:dyDescent="0.25">
      <c r="A459" s="192" t="s">
        <v>6950</v>
      </c>
      <c r="B459" s="203" t="s">
        <v>3329</v>
      </c>
      <c r="C459" s="199" t="s">
        <v>6949</v>
      </c>
      <c r="D459" s="199" t="s">
        <v>8732</v>
      </c>
      <c r="E459" s="188" t="s">
        <v>5071</v>
      </c>
      <c r="F459" s="189" t="s">
        <v>3525</v>
      </c>
      <c r="G459" s="199" t="s">
        <v>8259</v>
      </c>
      <c r="H459" s="199" t="s">
        <v>72</v>
      </c>
      <c r="I459" s="199">
        <v>1</v>
      </c>
      <c r="J459" s="199">
        <v>1</v>
      </c>
      <c r="K459" s="199">
        <v>1</v>
      </c>
      <c r="L459" s="199">
        <v>50</v>
      </c>
      <c r="M459" s="202">
        <f>TB_Parts_Lists[[#This Row],[Quantity Initial]]+ SUMIF(TB_Transactions[Part number],TB_Parts_Lists[[#This Row],[Part Number]],TB_Transactions[Quantity])</f>
        <v>50</v>
      </c>
      <c r="N459" s="200" t="s">
        <v>4593</v>
      </c>
      <c r="O459" s="234">
        <v>5</v>
      </c>
      <c r="P459" s="199">
        <f>TB_Parts_Lists[[#This Row],[Quantity Initial]]*TB_Parts_Lists[[#This Row],[Unit Price AED]]</f>
        <v>250</v>
      </c>
      <c r="Q459" s="199">
        <f>TB_Parts_Lists[[#This Row],[Quantity Total]]*TB_Parts_Lists[[#This Row],[Unit Price AED]]</f>
        <v>250</v>
      </c>
      <c r="S459" s="199" t="s">
        <v>8675</v>
      </c>
      <c r="T459" s="199" t="s">
        <v>8675</v>
      </c>
      <c r="U459" s="199" t="s">
        <v>8675</v>
      </c>
    </row>
    <row r="460" spans="1:21" s="199" customFormat="1" x14ac:dyDescent="0.25">
      <c r="A460" s="192" t="s">
        <v>6951</v>
      </c>
      <c r="B460" s="203" t="s">
        <v>3329</v>
      </c>
      <c r="C460" s="199" t="s">
        <v>6949</v>
      </c>
      <c r="D460" s="199" t="s">
        <v>8732</v>
      </c>
      <c r="E460" s="188" t="s">
        <v>5072</v>
      </c>
      <c r="F460" s="189" t="s">
        <v>3526</v>
      </c>
      <c r="G460" s="199" t="s">
        <v>8259</v>
      </c>
      <c r="H460" s="199" t="s">
        <v>72</v>
      </c>
      <c r="I460" s="199">
        <v>1</v>
      </c>
      <c r="J460" s="199">
        <v>1</v>
      </c>
      <c r="K460" s="199">
        <v>1</v>
      </c>
      <c r="L460" s="199">
        <v>50</v>
      </c>
      <c r="M460" s="202">
        <f>TB_Parts_Lists[[#This Row],[Quantity Initial]]+ SUMIF(TB_Transactions[Part number],TB_Parts_Lists[[#This Row],[Part Number]],TB_Transactions[Quantity])</f>
        <v>50</v>
      </c>
      <c r="N460" s="200" t="s">
        <v>4593</v>
      </c>
      <c r="O460" s="234">
        <v>5</v>
      </c>
      <c r="P460" s="199">
        <f>TB_Parts_Lists[[#This Row],[Quantity Initial]]*TB_Parts_Lists[[#This Row],[Unit Price AED]]</f>
        <v>250</v>
      </c>
      <c r="Q460" s="199">
        <f>TB_Parts_Lists[[#This Row],[Quantity Total]]*TB_Parts_Lists[[#This Row],[Unit Price AED]]</f>
        <v>250</v>
      </c>
      <c r="S460" s="199" t="s">
        <v>8675</v>
      </c>
      <c r="T460" s="199" t="s">
        <v>8675</v>
      </c>
      <c r="U460" s="199" t="s">
        <v>8675</v>
      </c>
    </row>
    <row r="461" spans="1:21" s="199" customFormat="1" x14ac:dyDescent="0.25">
      <c r="A461" s="192" t="s">
        <v>6952</v>
      </c>
      <c r="B461" s="203" t="s">
        <v>3329</v>
      </c>
      <c r="C461" s="199" t="s">
        <v>6949</v>
      </c>
      <c r="D461" s="199" t="s">
        <v>8732</v>
      </c>
      <c r="E461" s="188" t="s">
        <v>3391</v>
      </c>
      <c r="F461" s="189" t="s">
        <v>3527</v>
      </c>
      <c r="G461" s="199" t="s">
        <v>8259</v>
      </c>
      <c r="H461" s="199" t="s">
        <v>72</v>
      </c>
      <c r="I461" s="199">
        <v>1</v>
      </c>
      <c r="J461" s="199">
        <v>1</v>
      </c>
      <c r="K461" s="199">
        <v>1</v>
      </c>
      <c r="L461" s="199">
        <v>50</v>
      </c>
      <c r="M461" s="202">
        <f>TB_Parts_Lists[[#This Row],[Quantity Initial]]+ SUMIF(TB_Transactions[Part number],TB_Parts_Lists[[#This Row],[Part Number]],TB_Transactions[Quantity])</f>
        <v>50</v>
      </c>
      <c r="N461" s="200" t="s">
        <v>4593</v>
      </c>
      <c r="O461" s="234">
        <v>5</v>
      </c>
      <c r="P461" s="199">
        <f>TB_Parts_Lists[[#This Row],[Quantity Initial]]*TB_Parts_Lists[[#This Row],[Unit Price AED]]</f>
        <v>250</v>
      </c>
      <c r="Q461" s="199">
        <f>TB_Parts_Lists[[#This Row],[Quantity Total]]*TB_Parts_Lists[[#This Row],[Unit Price AED]]</f>
        <v>250</v>
      </c>
      <c r="S461" s="199" t="s">
        <v>8675</v>
      </c>
      <c r="T461" s="199" t="s">
        <v>8675</v>
      </c>
      <c r="U461" s="199" t="s">
        <v>8675</v>
      </c>
    </row>
    <row r="462" spans="1:21" s="199" customFormat="1" x14ac:dyDescent="0.25">
      <c r="A462" s="192" t="s">
        <v>6953</v>
      </c>
      <c r="B462" s="203" t="s">
        <v>3329</v>
      </c>
      <c r="C462" s="188" t="s">
        <v>6899</v>
      </c>
      <c r="D462" s="199" t="s">
        <v>8732</v>
      </c>
      <c r="E462" s="188" t="s">
        <v>5073</v>
      </c>
      <c r="F462" s="189" t="s">
        <v>3528</v>
      </c>
      <c r="G462" s="199" t="s">
        <v>8259</v>
      </c>
      <c r="H462" s="199" t="s">
        <v>72</v>
      </c>
      <c r="I462" s="199">
        <v>1</v>
      </c>
      <c r="J462" s="199">
        <v>1</v>
      </c>
      <c r="K462" s="199">
        <v>1</v>
      </c>
      <c r="L462" s="199">
        <v>50</v>
      </c>
      <c r="M462" s="202">
        <f>TB_Parts_Lists[[#This Row],[Quantity Initial]]+ SUMIF(TB_Transactions[Part number],TB_Parts_Lists[[#This Row],[Part Number]],TB_Transactions[Quantity])</f>
        <v>50</v>
      </c>
      <c r="N462" s="200" t="s">
        <v>4593</v>
      </c>
      <c r="O462" s="234">
        <v>5</v>
      </c>
      <c r="P462" s="199">
        <f>TB_Parts_Lists[[#This Row],[Quantity Initial]]*TB_Parts_Lists[[#This Row],[Unit Price AED]]</f>
        <v>250</v>
      </c>
      <c r="Q462" s="199">
        <f>TB_Parts_Lists[[#This Row],[Quantity Total]]*TB_Parts_Lists[[#This Row],[Unit Price AED]]</f>
        <v>250</v>
      </c>
      <c r="S462" s="199" t="s">
        <v>8675</v>
      </c>
      <c r="T462" s="199" t="s">
        <v>8675</v>
      </c>
      <c r="U462" s="199" t="s">
        <v>8675</v>
      </c>
    </row>
    <row r="463" spans="1:21" s="199" customFormat="1" x14ac:dyDescent="0.25">
      <c r="A463" s="192" t="s">
        <v>6954</v>
      </c>
      <c r="B463" s="203" t="s">
        <v>3329</v>
      </c>
      <c r="C463" s="188" t="s">
        <v>6899</v>
      </c>
      <c r="D463" s="199" t="s">
        <v>8724</v>
      </c>
      <c r="E463" s="188" t="s">
        <v>5074</v>
      </c>
      <c r="F463" s="189" t="s">
        <v>3529</v>
      </c>
      <c r="G463" s="199" t="s">
        <v>8259</v>
      </c>
      <c r="H463" s="199" t="s">
        <v>72</v>
      </c>
      <c r="I463" s="199">
        <v>1</v>
      </c>
      <c r="J463" s="199">
        <v>1</v>
      </c>
      <c r="K463" s="199">
        <v>1</v>
      </c>
      <c r="L463" s="199">
        <v>50</v>
      </c>
      <c r="M463" s="202">
        <f>TB_Parts_Lists[[#This Row],[Quantity Initial]]+ SUMIF(TB_Transactions[Part number],TB_Parts_Lists[[#This Row],[Part Number]],TB_Transactions[Quantity])</f>
        <v>50</v>
      </c>
      <c r="N463" s="200" t="s">
        <v>4593</v>
      </c>
      <c r="O463" s="234">
        <v>5</v>
      </c>
      <c r="P463" s="199">
        <f>TB_Parts_Lists[[#This Row],[Quantity Initial]]*TB_Parts_Lists[[#This Row],[Unit Price AED]]</f>
        <v>250</v>
      </c>
      <c r="Q463" s="199">
        <f>TB_Parts_Lists[[#This Row],[Quantity Total]]*TB_Parts_Lists[[#This Row],[Unit Price AED]]</f>
        <v>250</v>
      </c>
      <c r="S463" s="199" t="s">
        <v>8675</v>
      </c>
      <c r="T463" s="199" t="s">
        <v>8675</v>
      </c>
      <c r="U463" s="199" t="s">
        <v>8675</v>
      </c>
    </row>
    <row r="464" spans="1:21" s="199" customFormat="1" x14ac:dyDescent="0.25">
      <c r="A464" s="192" t="s">
        <v>6955</v>
      </c>
      <c r="B464" s="203" t="s">
        <v>3329</v>
      </c>
      <c r="C464" s="188" t="s">
        <v>6899</v>
      </c>
      <c r="D464" s="199" t="s">
        <v>8732</v>
      </c>
      <c r="E464" s="188" t="s">
        <v>5075</v>
      </c>
      <c r="F464" s="189" t="s">
        <v>3530</v>
      </c>
      <c r="G464" s="199" t="s">
        <v>8259</v>
      </c>
      <c r="H464" s="199" t="s">
        <v>72</v>
      </c>
      <c r="I464" s="199">
        <v>1</v>
      </c>
      <c r="J464" s="199">
        <v>1</v>
      </c>
      <c r="K464" s="199">
        <v>1</v>
      </c>
      <c r="L464" s="199">
        <v>50</v>
      </c>
      <c r="M464" s="202">
        <f>TB_Parts_Lists[[#This Row],[Quantity Initial]]+ SUMIF(TB_Transactions[Part number],TB_Parts_Lists[[#This Row],[Part Number]],TB_Transactions[Quantity])</f>
        <v>50</v>
      </c>
      <c r="N464" s="200" t="s">
        <v>4593</v>
      </c>
      <c r="O464" s="234">
        <v>5</v>
      </c>
      <c r="P464" s="199">
        <f>TB_Parts_Lists[[#This Row],[Quantity Initial]]*TB_Parts_Lists[[#This Row],[Unit Price AED]]</f>
        <v>250</v>
      </c>
      <c r="Q464" s="199">
        <f>TB_Parts_Lists[[#This Row],[Quantity Total]]*TB_Parts_Lists[[#This Row],[Unit Price AED]]</f>
        <v>250</v>
      </c>
      <c r="S464" s="199" t="s">
        <v>8675</v>
      </c>
      <c r="T464" s="199" t="s">
        <v>8675</v>
      </c>
      <c r="U464" s="199" t="s">
        <v>8675</v>
      </c>
    </row>
    <row r="465" spans="1:21" s="199" customFormat="1" x14ac:dyDescent="0.25">
      <c r="A465" s="192" t="s">
        <v>6956</v>
      </c>
      <c r="B465" s="203" t="s">
        <v>3329</v>
      </c>
      <c r="C465" s="199" t="s">
        <v>3342</v>
      </c>
      <c r="D465" s="199" t="s">
        <v>8724</v>
      </c>
      <c r="E465" s="188" t="s">
        <v>3560</v>
      </c>
      <c r="F465" s="189" t="s">
        <v>3531</v>
      </c>
      <c r="G465" s="199" t="s">
        <v>8259</v>
      </c>
      <c r="H465" s="199" t="s">
        <v>72</v>
      </c>
      <c r="I465" s="199">
        <v>1</v>
      </c>
      <c r="J465" s="199">
        <v>1</v>
      </c>
      <c r="K465" s="199">
        <v>1</v>
      </c>
      <c r="L465" s="199">
        <v>50</v>
      </c>
      <c r="M465" s="202">
        <f>TB_Parts_Lists[[#This Row],[Quantity Initial]]+ SUMIF(TB_Transactions[Part number],TB_Parts_Lists[[#This Row],[Part Number]],TB_Transactions[Quantity])</f>
        <v>50</v>
      </c>
      <c r="N465" s="200" t="s">
        <v>4593</v>
      </c>
      <c r="O465" s="234">
        <v>5</v>
      </c>
      <c r="P465" s="199">
        <f>TB_Parts_Lists[[#This Row],[Quantity Initial]]*TB_Parts_Lists[[#This Row],[Unit Price AED]]</f>
        <v>250</v>
      </c>
      <c r="Q465" s="199">
        <f>TB_Parts_Lists[[#This Row],[Quantity Total]]*TB_Parts_Lists[[#This Row],[Unit Price AED]]</f>
        <v>250</v>
      </c>
      <c r="S465" s="199" t="s">
        <v>8675</v>
      </c>
      <c r="T465" s="199" t="s">
        <v>8675</v>
      </c>
      <c r="U465" s="199" t="s">
        <v>8675</v>
      </c>
    </row>
    <row r="466" spans="1:21" s="199" customFormat="1" x14ac:dyDescent="0.25">
      <c r="A466" s="192" t="s">
        <v>6957</v>
      </c>
      <c r="B466" s="203" t="s">
        <v>3329</v>
      </c>
      <c r="C466" s="188" t="s">
        <v>6799</v>
      </c>
      <c r="D466" s="199" t="s">
        <v>8732</v>
      </c>
      <c r="E466" s="188" t="s">
        <v>5076</v>
      </c>
      <c r="F466" s="189" t="s">
        <v>3532</v>
      </c>
      <c r="G466" s="199" t="s">
        <v>8259</v>
      </c>
      <c r="H466" s="199" t="s">
        <v>72</v>
      </c>
      <c r="I466" s="199">
        <v>1</v>
      </c>
      <c r="J466" s="199">
        <v>1</v>
      </c>
      <c r="K466" s="199">
        <v>1</v>
      </c>
      <c r="L466" s="199">
        <v>50</v>
      </c>
      <c r="M466" s="202">
        <f>TB_Parts_Lists[[#This Row],[Quantity Initial]]+ SUMIF(TB_Transactions[Part number],TB_Parts_Lists[[#This Row],[Part Number]],TB_Transactions[Quantity])</f>
        <v>50</v>
      </c>
      <c r="N466" s="200" t="s">
        <v>4593</v>
      </c>
      <c r="O466" s="234">
        <v>5</v>
      </c>
      <c r="P466" s="199">
        <f>TB_Parts_Lists[[#This Row],[Quantity Initial]]*TB_Parts_Lists[[#This Row],[Unit Price AED]]</f>
        <v>250</v>
      </c>
      <c r="Q466" s="199">
        <f>TB_Parts_Lists[[#This Row],[Quantity Total]]*TB_Parts_Lists[[#This Row],[Unit Price AED]]</f>
        <v>250</v>
      </c>
      <c r="S466" s="199" t="s">
        <v>8675</v>
      </c>
      <c r="T466" s="199" t="s">
        <v>8675</v>
      </c>
      <c r="U466" s="199" t="s">
        <v>8675</v>
      </c>
    </row>
    <row r="467" spans="1:21" s="199" customFormat="1" x14ac:dyDescent="0.25">
      <c r="A467" s="196" t="s">
        <v>6958</v>
      </c>
      <c r="B467" s="203" t="s">
        <v>3329</v>
      </c>
      <c r="C467" s="188" t="s">
        <v>6899</v>
      </c>
      <c r="D467" s="199" t="s">
        <v>8724</v>
      </c>
      <c r="E467" s="188" t="s">
        <v>3561</v>
      </c>
      <c r="F467" s="189" t="s">
        <v>3533</v>
      </c>
      <c r="G467" s="199" t="s">
        <v>8259</v>
      </c>
      <c r="H467" s="199" t="s">
        <v>72</v>
      </c>
      <c r="I467" s="199">
        <v>1</v>
      </c>
      <c r="J467" s="199">
        <v>1</v>
      </c>
      <c r="K467" s="199">
        <v>1</v>
      </c>
      <c r="L467" s="199">
        <v>50</v>
      </c>
      <c r="M467" s="202">
        <f>TB_Parts_Lists[[#This Row],[Quantity Initial]]+ SUMIF(TB_Transactions[Part number],TB_Parts_Lists[[#This Row],[Part Number]],TB_Transactions[Quantity])</f>
        <v>50</v>
      </c>
      <c r="N467" s="200" t="s">
        <v>4593</v>
      </c>
      <c r="O467" s="234">
        <v>5</v>
      </c>
      <c r="P467" s="199">
        <f>TB_Parts_Lists[[#This Row],[Quantity Initial]]*TB_Parts_Lists[[#This Row],[Unit Price AED]]</f>
        <v>250</v>
      </c>
      <c r="Q467" s="199">
        <f>TB_Parts_Lists[[#This Row],[Quantity Total]]*TB_Parts_Lists[[#This Row],[Unit Price AED]]</f>
        <v>250</v>
      </c>
      <c r="S467" s="199" t="s">
        <v>8675</v>
      </c>
      <c r="T467" s="199" t="s">
        <v>8675</v>
      </c>
      <c r="U467" s="199" t="s">
        <v>8675</v>
      </c>
    </row>
    <row r="468" spans="1:21" s="199" customFormat="1" x14ac:dyDescent="0.25">
      <c r="A468" s="192" t="s">
        <v>6959</v>
      </c>
      <c r="B468" s="203" t="s">
        <v>3329</v>
      </c>
      <c r="C468" s="188" t="s">
        <v>3344</v>
      </c>
      <c r="D468" s="199" t="s">
        <v>8724</v>
      </c>
      <c r="E468" s="188" t="s">
        <v>5077</v>
      </c>
      <c r="F468" s="189" t="s">
        <v>3534</v>
      </c>
      <c r="G468" s="199" t="s">
        <v>8259</v>
      </c>
      <c r="H468" s="199" t="s">
        <v>72</v>
      </c>
      <c r="I468" s="199">
        <v>1</v>
      </c>
      <c r="J468" s="199">
        <v>1</v>
      </c>
      <c r="K468" s="199">
        <v>1</v>
      </c>
      <c r="L468" s="199">
        <v>50</v>
      </c>
      <c r="M468" s="202">
        <f>TB_Parts_Lists[[#This Row],[Quantity Initial]]+ SUMIF(TB_Transactions[Part number],TB_Parts_Lists[[#This Row],[Part Number]],TB_Transactions[Quantity])</f>
        <v>50</v>
      </c>
      <c r="N468" s="200" t="s">
        <v>4593</v>
      </c>
      <c r="O468" s="234">
        <v>5</v>
      </c>
      <c r="P468" s="199">
        <f>TB_Parts_Lists[[#This Row],[Quantity Initial]]*TB_Parts_Lists[[#This Row],[Unit Price AED]]</f>
        <v>250</v>
      </c>
      <c r="Q468" s="199">
        <f>TB_Parts_Lists[[#This Row],[Quantity Total]]*TB_Parts_Lists[[#This Row],[Unit Price AED]]</f>
        <v>250</v>
      </c>
      <c r="S468" s="199" t="s">
        <v>8675</v>
      </c>
      <c r="T468" s="199" t="s">
        <v>8675</v>
      </c>
      <c r="U468" s="199" t="s">
        <v>8675</v>
      </c>
    </row>
    <row r="469" spans="1:21" s="199" customFormat="1" x14ac:dyDescent="0.25">
      <c r="A469" s="192" t="s">
        <v>6960</v>
      </c>
      <c r="B469" s="203" t="s">
        <v>3329</v>
      </c>
      <c r="C469" s="188" t="s">
        <v>6899</v>
      </c>
      <c r="D469" s="199" t="s">
        <v>8724</v>
      </c>
      <c r="E469" s="188" t="s">
        <v>5078</v>
      </c>
      <c r="F469" s="189" t="s">
        <v>3535</v>
      </c>
      <c r="G469" s="199" t="s">
        <v>8259</v>
      </c>
      <c r="H469" s="199" t="s">
        <v>72</v>
      </c>
      <c r="I469" s="199">
        <v>1</v>
      </c>
      <c r="J469" s="199">
        <v>1</v>
      </c>
      <c r="K469" s="199">
        <v>1</v>
      </c>
      <c r="L469" s="199">
        <v>50</v>
      </c>
      <c r="M469" s="202">
        <f>TB_Parts_Lists[[#This Row],[Quantity Initial]]+ SUMIF(TB_Transactions[Part number],TB_Parts_Lists[[#This Row],[Part Number]],TB_Transactions[Quantity])</f>
        <v>50</v>
      </c>
      <c r="N469" s="200" t="s">
        <v>4593</v>
      </c>
      <c r="O469" s="234">
        <v>5</v>
      </c>
      <c r="P469" s="199">
        <f>TB_Parts_Lists[[#This Row],[Quantity Initial]]*TB_Parts_Lists[[#This Row],[Unit Price AED]]</f>
        <v>250</v>
      </c>
      <c r="Q469" s="199">
        <f>TB_Parts_Lists[[#This Row],[Quantity Total]]*TB_Parts_Lists[[#This Row],[Unit Price AED]]</f>
        <v>250</v>
      </c>
      <c r="S469" s="199" t="s">
        <v>8675</v>
      </c>
      <c r="T469" s="199" t="s">
        <v>8675</v>
      </c>
      <c r="U469" s="199" t="s">
        <v>8675</v>
      </c>
    </row>
    <row r="470" spans="1:21" s="199" customFormat="1" x14ac:dyDescent="0.25">
      <c r="A470" s="192" t="s">
        <v>6961</v>
      </c>
      <c r="B470" s="203" t="s">
        <v>3329</v>
      </c>
      <c r="C470" s="188" t="s">
        <v>5277</v>
      </c>
      <c r="D470" s="199" t="s">
        <v>8732</v>
      </c>
      <c r="E470" s="188" t="s">
        <v>3562</v>
      </c>
      <c r="F470" s="189" t="s">
        <v>3536</v>
      </c>
      <c r="G470" s="199" t="s">
        <v>8259</v>
      </c>
      <c r="H470" s="199" t="s">
        <v>72</v>
      </c>
      <c r="I470" s="199">
        <v>1</v>
      </c>
      <c r="J470" s="199">
        <v>1</v>
      </c>
      <c r="K470" s="199">
        <v>1</v>
      </c>
      <c r="L470" s="199">
        <v>50</v>
      </c>
      <c r="M470" s="202">
        <f>TB_Parts_Lists[[#This Row],[Quantity Initial]]+ SUMIF(TB_Transactions[Part number],TB_Parts_Lists[[#This Row],[Part Number]],TB_Transactions[Quantity])</f>
        <v>50</v>
      </c>
      <c r="N470" s="200" t="s">
        <v>4593</v>
      </c>
      <c r="O470" s="234">
        <v>5</v>
      </c>
      <c r="P470" s="199">
        <f>TB_Parts_Lists[[#This Row],[Quantity Initial]]*TB_Parts_Lists[[#This Row],[Unit Price AED]]</f>
        <v>250</v>
      </c>
      <c r="Q470" s="199">
        <f>TB_Parts_Lists[[#This Row],[Quantity Total]]*TB_Parts_Lists[[#This Row],[Unit Price AED]]</f>
        <v>250</v>
      </c>
      <c r="S470" s="199" t="s">
        <v>8675</v>
      </c>
      <c r="T470" s="199" t="s">
        <v>8675</v>
      </c>
      <c r="U470" s="199" t="s">
        <v>8675</v>
      </c>
    </row>
    <row r="471" spans="1:21" s="199" customFormat="1" x14ac:dyDescent="0.25">
      <c r="A471" s="192" t="s">
        <v>6962</v>
      </c>
      <c r="B471" s="203" t="s">
        <v>3329</v>
      </c>
      <c r="C471" s="188" t="s">
        <v>5277</v>
      </c>
      <c r="D471" s="199" t="s">
        <v>8732</v>
      </c>
      <c r="E471" s="188" t="s">
        <v>3392</v>
      </c>
      <c r="F471" s="189" t="s">
        <v>3537</v>
      </c>
      <c r="G471" s="199" t="s">
        <v>8259</v>
      </c>
      <c r="H471" s="199" t="s">
        <v>72</v>
      </c>
      <c r="I471" s="199">
        <v>1</v>
      </c>
      <c r="J471" s="199">
        <v>1</v>
      </c>
      <c r="K471" s="199">
        <v>1</v>
      </c>
      <c r="L471" s="199">
        <v>50</v>
      </c>
      <c r="M471" s="202">
        <f>TB_Parts_Lists[[#This Row],[Quantity Initial]]+ SUMIF(TB_Transactions[Part number],TB_Parts_Lists[[#This Row],[Part Number]],TB_Transactions[Quantity])</f>
        <v>50</v>
      </c>
      <c r="N471" s="200" t="s">
        <v>4593</v>
      </c>
      <c r="O471" s="234">
        <v>5</v>
      </c>
      <c r="P471" s="199">
        <f>TB_Parts_Lists[[#This Row],[Quantity Initial]]*TB_Parts_Lists[[#This Row],[Unit Price AED]]</f>
        <v>250</v>
      </c>
      <c r="Q471" s="199">
        <f>TB_Parts_Lists[[#This Row],[Quantity Total]]*TB_Parts_Lists[[#This Row],[Unit Price AED]]</f>
        <v>250</v>
      </c>
      <c r="S471" s="199" t="s">
        <v>8675</v>
      </c>
      <c r="T471" s="199" t="s">
        <v>8675</v>
      </c>
      <c r="U471" s="199" t="s">
        <v>8675</v>
      </c>
    </row>
    <row r="472" spans="1:21" s="199" customFormat="1" x14ac:dyDescent="0.25">
      <c r="A472" s="192" t="s">
        <v>6963</v>
      </c>
      <c r="B472" s="203" t="s">
        <v>3329</v>
      </c>
      <c r="C472" s="188" t="s">
        <v>6899</v>
      </c>
      <c r="D472" s="199" t="s">
        <v>8732</v>
      </c>
      <c r="E472" s="188" t="s">
        <v>5079</v>
      </c>
      <c r="F472" s="189" t="s">
        <v>4620</v>
      </c>
      <c r="G472" s="199" t="s">
        <v>8259</v>
      </c>
      <c r="H472" s="199" t="s">
        <v>72</v>
      </c>
      <c r="I472" s="199">
        <v>1</v>
      </c>
      <c r="J472" s="199">
        <v>1</v>
      </c>
      <c r="K472" s="199">
        <v>1</v>
      </c>
      <c r="L472" s="199">
        <v>50</v>
      </c>
      <c r="M472" s="202">
        <f>TB_Parts_Lists[[#This Row],[Quantity Initial]]+ SUMIF(TB_Transactions[Part number],TB_Parts_Lists[[#This Row],[Part Number]],TB_Transactions[Quantity])</f>
        <v>50</v>
      </c>
      <c r="N472" s="200" t="s">
        <v>4593</v>
      </c>
      <c r="O472" s="234">
        <v>5</v>
      </c>
      <c r="P472" s="199">
        <f>TB_Parts_Lists[[#This Row],[Quantity Initial]]*TB_Parts_Lists[[#This Row],[Unit Price AED]]</f>
        <v>250</v>
      </c>
      <c r="Q472" s="199">
        <f>TB_Parts_Lists[[#This Row],[Quantity Total]]*TB_Parts_Lists[[#This Row],[Unit Price AED]]</f>
        <v>250</v>
      </c>
      <c r="S472" s="199" t="s">
        <v>8675</v>
      </c>
      <c r="T472" s="199" t="s">
        <v>8675</v>
      </c>
      <c r="U472" s="199" t="s">
        <v>8675</v>
      </c>
    </row>
    <row r="473" spans="1:21" s="199" customFormat="1" x14ac:dyDescent="0.25">
      <c r="A473" s="192" t="s">
        <v>6964</v>
      </c>
      <c r="B473" s="203" t="s">
        <v>3329</v>
      </c>
      <c r="C473" s="188" t="s">
        <v>6940</v>
      </c>
      <c r="D473" s="199" t="s">
        <v>8724</v>
      </c>
      <c r="E473" s="188" t="s">
        <v>5080</v>
      </c>
      <c r="F473" s="189" t="s">
        <v>5975</v>
      </c>
      <c r="G473" s="199" t="s">
        <v>8259</v>
      </c>
      <c r="H473" s="199" t="s">
        <v>72</v>
      </c>
      <c r="I473" s="199">
        <v>1</v>
      </c>
      <c r="J473" s="199">
        <v>1</v>
      </c>
      <c r="K473" s="199">
        <v>1</v>
      </c>
      <c r="L473" s="199">
        <v>50</v>
      </c>
      <c r="M473" s="202">
        <f>TB_Parts_Lists[[#This Row],[Quantity Initial]]+ SUMIF(TB_Transactions[Part number],TB_Parts_Lists[[#This Row],[Part Number]],TB_Transactions[Quantity])</f>
        <v>50</v>
      </c>
      <c r="N473" s="200" t="s">
        <v>4593</v>
      </c>
      <c r="O473" s="234">
        <v>5</v>
      </c>
      <c r="P473" s="199">
        <f>TB_Parts_Lists[[#This Row],[Quantity Initial]]*TB_Parts_Lists[[#This Row],[Unit Price AED]]</f>
        <v>250</v>
      </c>
      <c r="Q473" s="199">
        <f>TB_Parts_Lists[[#This Row],[Quantity Total]]*TB_Parts_Lists[[#This Row],[Unit Price AED]]</f>
        <v>250</v>
      </c>
      <c r="S473" s="199" t="s">
        <v>8675</v>
      </c>
      <c r="T473" s="199" t="s">
        <v>8675</v>
      </c>
      <c r="U473" s="199" t="s">
        <v>8675</v>
      </c>
    </row>
    <row r="474" spans="1:21" s="199" customFormat="1" x14ac:dyDescent="0.25">
      <c r="A474" s="192" t="s">
        <v>6965</v>
      </c>
      <c r="B474" s="203" t="s">
        <v>3329</v>
      </c>
      <c r="C474" s="188" t="s">
        <v>6820</v>
      </c>
      <c r="D474" s="199" t="s">
        <v>8724</v>
      </c>
      <c r="E474" s="188" t="s">
        <v>5081</v>
      </c>
      <c r="F474" s="189" t="s">
        <v>5976</v>
      </c>
      <c r="G474" s="199" t="s">
        <v>8259</v>
      </c>
      <c r="H474" s="199" t="s">
        <v>72</v>
      </c>
      <c r="I474" s="199">
        <v>1</v>
      </c>
      <c r="J474" s="199">
        <v>1</v>
      </c>
      <c r="K474" s="199">
        <v>1</v>
      </c>
      <c r="L474" s="199">
        <v>50</v>
      </c>
      <c r="M474" s="202">
        <f>TB_Parts_Lists[[#This Row],[Quantity Initial]]+ SUMIF(TB_Transactions[Part number],TB_Parts_Lists[[#This Row],[Part Number]],TB_Transactions[Quantity])</f>
        <v>50</v>
      </c>
      <c r="N474" s="200" t="s">
        <v>4593</v>
      </c>
      <c r="O474" s="234">
        <v>5</v>
      </c>
      <c r="P474" s="199">
        <f>TB_Parts_Lists[[#This Row],[Quantity Initial]]*TB_Parts_Lists[[#This Row],[Unit Price AED]]</f>
        <v>250</v>
      </c>
      <c r="Q474" s="199">
        <f>TB_Parts_Lists[[#This Row],[Quantity Total]]*TB_Parts_Lists[[#This Row],[Unit Price AED]]</f>
        <v>250</v>
      </c>
      <c r="S474" s="199" t="s">
        <v>8675</v>
      </c>
      <c r="T474" s="199" t="s">
        <v>8675</v>
      </c>
      <c r="U474" s="199" t="s">
        <v>8675</v>
      </c>
    </row>
    <row r="475" spans="1:21" s="199" customFormat="1" x14ac:dyDescent="0.25">
      <c r="A475" s="192" t="s">
        <v>6967</v>
      </c>
      <c r="B475" s="203" t="s">
        <v>3329</v>
      </c>
      <c r="C475" s="199" t="s">
        <v>6966</v>
      </c>
      <c r="D475" s="199" t="s">
        <v>8724</v>
      </c>
      <c r="E475" s="188" t="s">
        <v>5082</v>
      </c>
      <c r="F475" s="189" t="s">
        <v>5977</v>
      </c>
      <c r="G475" s="199" t="s">
        <v>8259</v>
      </c>
      <c r="H475" s="199" t="s">
        <v>72</v>
      </c>
      <c r="I475" s="199">
        <v>1</v>
      </c>
      <c r="J475" s="199">
        <v>1</v>
      </c>
      <c r="K475" s="199">
        <v>1</v>
      </c>
      <c r="L475" s="199">
        <v>50</v>
      </c>
      <c r="M475" s="202">
        <f>TB_Parts_Lists[[#This Row],[Quantity Initial]]+ SUMIF(TB_Transactions[Part number],TB_Parts_Lists[[#This Row],[Part Number]],TB_Transactions[Quantity])</f>
        <v>50</v>
      </c>
      <c r="N475" s="200" t="s">
        <v>4593</v>
      </c>
      <c r="O475" s="234">
        <v>5</v>
      </c>
      <c r="P475" s="199">
        <f>TB_Parts_Lists[[#This Row],[Quantity Initial]]*TB_Parts_Lists[[#This Row],[Unit Price AED]]</f>
        <v>250</v>
      </c>
      <c r="Q475" s="199">
        <f>TB_Parts_Lists[[#This Row],[Quantity Total]]*TB_Parts_Lists[[#This Row],[Unit Price AED]]</f>
        <v>250</v>
      </c>
      <c r="S475" s="199" t="s">
        <v>8675</v>
      </c>
      <c r="T475" s="199" t="s">
        <v>8675</v>
      </c>
      <c r="U475" s="199" t="s">
        <v>8675</v>
      </c>
    </row>
    <row r="476" spans="1:21" s="199" customFormat="1" x14ac:dyDescent="0.25">
      <c r="A476" s="192" t="s">
        <v>6968</v>
      </c>
      <c r="B476" s="203" t="s">
        <v>3329</v>
      </c>
      <c r="C476" s="188" t="s">
        <v>3338</v>
      </c>
      <c r="D476" s="199" t="s">
        <v>8724</v>
      </c>
      <c r="E476" s="188" t="s">
        <v>5083</v>
      </c>
      <c r="F476" s="189" t="s">
        <v>5978</v>
      </c>
      <c r="G476" s="199" t="s">
        <v>8259</v>
      </c>
      <c r="H476" s="199" t="s">
        <v>72</v>
      </c>
      <c r="I476" s="199">
        <v>1</v>
      </c>
      <c r="J476" s="199">
        <v>1</v>
      </c>
      <c r="K476" s="199">
        <v>1</v>
      </c>
      <c r="L476" s="199">
        <v>50</v>
      </c>
      <c r="M476" s="202">
        <f>TB_Parts_Lists[[#This Row],[Quantity Initial]]+ SUMIF(TB_Transactions[Part number],TB_Parts_Lists[[#This Row],[Part Number]],TB_Transactions[Quantity])</f>
        <v>50</v>
      </c>
      <c r="N476" s="200" t="s">
        <v>4593</v>
      </c>
      <c r="O476" s="234">
        <v>5</v>
      </c>
      <c r="P476" s="199">
        <f>TB_Parts_Lists[[#This Row],[Quantity Initial]]*TB_Parts_Lists[[#This Row],[Unit Price AED]]</f>
        <v>250</v>
      </c>
      <c r="Q476" s="199">
        <f>TB_Parts_Lists[[#This Row],[Quantity Total]]*TB_Parts_Lists[[#This Row],[Unit Price AED]]</f>
        <v>250</v>
      </c>
      <c r="S476" s="199" t="s">
        <v>8675</v>
      </c>
      <c r="T476" s="199" t="s">
        <v>8675</v>
      </c>
      <c r="U476" s="199" t="s">
        <v>8675</v>
      </c>
    </row>
    <row r="477" spans="1:21" s="199" customFormat="1" x14ac:dyDescent="0.25">
      <c r="A477" s="192" t="s">
        <v>6969</v>
      </c>
      <c r="B477" s="203" t="s">
        <v>3329</v>
      </c>
      <c r="C477" s="188" t="s">
        <v>3338</v>
      </c>
      <c r="D477" s="199" t="s">
        <v>8724</v>
      </c>
      <c r="E477" s="188" t="s">
        <v>5084</v>
      </c>
      <c r="F477" s="189" t="s">
        <v>5979</v>
      </c>
      <c r="G477" s="199" t="s">
        <v>8259</v>
      </c>
      <c r="H477" s="199" t="s">
        <v>72</v>
      </c>
      <c r="I477" s="199">
        <v>1</v>
      </c>
      <c r="J477" s="199">
        <v>1</v>
      </c>
      <c r="K477" s="199">
        <v>1</v>
      </c>
      <c r="L477" s="199">
        <v>50</v>
      </c>
      <c r="M477" s="202">
        <f>TB_Parts_Lists[[#This Row],[Quantity Initial]]+ SUMIF(TB_Transactions[Part number],TB_Parts_Lists[[#This Row],[Part Number]],TB_Transactions[Quantity])</f>
        <v>50</v>
      </c>
      <c r="N477" s="200" t="s">
        <v>4593</v>
      </c>
      <c r="O477" s="234">
        <v>5</v>
      </c>
      <c r="P477" s="199">
        <f>TB_Parts_Lists[[#This Row],[Quantity Initial]]*TB_Parts_Lists[[#This Row],[Unit Price AED]]</f>
        <v>250</v>
      </c>
      <c r="Q477" s="199">
        <f>TB_Parts_Lists[[#This Row],[Quantity Total]]*TB_Parts_Lists[[#This Row],[Unit Price AED]]</f>
        <v>250</v>
      </c>
      <c r="S477" s="199" t="s">
        <v>8675</v>
      </c>
      <c r="T477" s="199" t="s">
        <v>8675</v>
      </c>
      <c r="U477" s="199" t="s">
        <v>8675</v>
      </c>
    </row>
    <row r="478" spans="1:21" s="199" customFormat="1" x14ac:dyDescent="0.25">
      <c r="A478" s="192" t="s">
        <v>6970</v>
      </c>
      <c r="B478" s="203" t="s">
        <v>3329</v>
      </c>
      <c r="C478" s="188" t="s">
        <v>3338</v>
      </c>
      <c r="D478" s="199" t="s">
        <v>8724</v>
      </c>
      <c r="E478" s="188" t="s">
        <v>5085</v>
      </c>
      <c r="F478" s="189" t="s">
        <v>5980</v>
      </c>
      <c r="G478" s="199" t="s">
        <v>8259</v>
      </c>
      <c r="H478" s="199" t="s">
        <v>72</v>
      </c>
      <c r="I478" s="199">
        <v>1</v>
      </c>
      <c r="J478" s="199">
        <v>1</v>
      </c>
      <c r="K478" s="199">
        <v>1</v>
      </c>
      <c r="L478" s="199">
        <v>50</v>
      </c>
      <c r="M478" s="202">
        <f>TB_Parts_Lists[[#This Row],[Quantity Initial]]+ SUMIF(TB_Transactions[Part number],TB_Parts_Lists[[#This Row],[Part Number]],TB_Transactions[Quantity])</f>
        <v>50</v>
      </c>
      <c r="N478" s="200" t="s">
        <v>4593</v>
      </c>
      <c r="O478" s="234">
        <v>5</v>
      </c>
      <c r="P478" s="199">
        <f>TB_Parts_Lists[[#This Row],[Quantity Initial]]*TB_Parts_Lists[[#This Row],[Unit Price AED]]</f>
        <v>250</v>
      </c>
      <c r="Q478" s="199">
        <f>TB_Parts_Lists[[#This Row],[Quantity Total]]*TB_Parts_Lists[[#This Row],[Unit Price AED]]</f>
        <v>250</v>
      </c>
      <c r="S478" s="199" t="s">
        <v>8675</v>
      </c>
      <c r="T478" s="199" t="s">
        <v>8675</v>
      </c>
      <c r="U478" s="213" t="s">
        <v>8675</v>
      </c>
    </row>
    <row r="479" spans="1:21" s="199" customFormat="1" x14ac:dyDescent="0.25">
      <c r="A479" s="192" t="s">
        <v>6971</v>
      </c>
      <c r="B479" s="201" t="s">
        <v>3332</v>
      </c>
      <c r="C479" s="199" t="s">
        <v>3357</v>
      </c>
      <c r="D479" s="199" t="s">
        <v>8732</v>
      </c>
      <c r="E479" s="188" t="s">
        <v>5086</v>
      </c>
      <c r="F479" s="189" t="s">
        <v>3576</v>
      </c>
      <c r="G479" s="199" t="s">
        <v>8260</v>
      </c>
      <c r="H479" s="199" t="s">
        <v>72</v>
      </c>
      <c r="I479" s="199">
        <v>1</v>
      </c>
      <c r="J479" s="199">
        <v>1</v>
      </c>
      <c r="K479" s="199">
        <v>1</v>
      </c>
      <c r="L479" s="199">
        <v>50</v>
      </c>
      <c r="M479" s="202">
        <f>TB_Parts_Lists[[#This Row],[Quantity Initial]]+ SUMIF(TB_Transactions[Part number],TB_Parts_Lists[[#This Row],[Part Number]],TB_Transactions[Quantity])</f>
        <v>50</v>
      </c>
      <c r="N479" s="200" t="s">
        <v>4593</v>
      </c>
      <c r="O479" s="234">
        <v>5</v>
      </c>
      <c r="P479" s="199">
        <f>TB_Parts_Lists[[#This Row],[Quantity Initial]]*TB_Parts_Lists[[#This Row],[Unit Price AED]]</f>
        <v>250</v>
      </c>
      <c r="Q479" s="199">
        <f>TB_Parts_Lists[[#This Row],[Quantity Total]]*TB_Parts_Lists[[#This Row],[Unit Price AED]]</f>
        <v>250</v>
      </c>
      <c r="S479" s="199" t="s">
        <v>118</v>
      </c>
      <c r="T479" s="199" t="s">
        <v>8691</v>
      </c>
      <c r="U479" s="199" t="s">
        <v>8716</v>
      </c>
    </row>
    <row r="480" spans="1:21" s="199" customFormat="1" x14ac:dyDescent="0.25">
      <c r="A480" s="192" t="s">
        <v>6972</v>
      </c>
      <c r="B480" s="201" t="s">
        <v>3332</v>
      </c>
      <c r="C480" s="199" t="s">
        <v>3357</v>
      </c>
      <c r="D480" s="199" t="s">
        <v>8732</v>
      </c>
      <c r="E480" s="188" t="s">
        <v>5087</v>
      </c>
      <c r="F480" s="189" t="s">
        <v>3577</v>
      </c>
      <c r="G480" s="199" t="s">
        <v>8260</v>
      </c>
      <c r="H480" s="199" t="s">
        <v>72</v>
      </c>
      <c r="I480" s="199">
        <v>1</v>
      </c>
      <c r="J480" s="199">
        <v>1</v>
      </c>
      <c r="K480" s="199">
        <v>1</v>
      </c>
      <c r="L480" s="199">
        <v>50</v>
      </c>
      <c r="M480" s="202">
        <f>TB_Parts_Lists[[#This Row],[Quantity Initial]]+ SUMIF(TB_Transactions[Part number],TB_Parts_Lists[[#This Row],[Part Number]],TB_Transactions[Quantity])</f>
        <v>50</v>
      </c>
      <c r="N480" s="200" t="s">
        <v>4593</v>
      </c>
      <c r="O480" s="234">
        <v>5</v>
      </c>
      <c r="P480" s="199">
        <f>TB_Parts_Lists[[#This Row],[Quantity Initial]]*TB_Parts_Lists[[#This Row],[Unit Price AED]]</f>
        <v>250</v>
      </c>
      <c r="Q480" s="199">
        <f>TB_Parts_Lists[[#This Row],[Quantity Total]]*TB_Parts_Lists[[#This Row],[Unit Price AED]]</f>
        <v>250</v>
      </c>
      <c r="S480" s="199" t="s">
        <v>118</v>
      </c>
      <c r="T480" s="199" t="s">
        <v>8691</v>
      </c>
      <c r="U480" s="199" t="s">
        <v>8716</v>
      </c>
    </row>
    <row r="481" spans="1:21" s="199" customFormat="1" x14ac:dyDescent="0.25">
      <c r="A481" s="192" t="s">
        <v>6973</v>
      </c>
      <c r="B481" s="201" t="s">
        <v>3332</v>
      </c>
      <c r="C481" s="199" t="s">
        <v>3357</v>
      </c>
      <c r="D481" s="199" t="s">
        <v>8723</v>
      </c>
      <c r="E481" s="188" t="s">
        <v>3620</v>
      </c>
      <c r="F481" s="189" t="s">
        <v>3578</v>
      </c>
      <c r="G481" s="199" t="s">
        <v>8260</v>
      </c>
      <c r="H481" s="199" t="s">
        <v>8642</v>
      </c>
      <c r="I481" s="199">
        <v>1</v>
      </c>
      <c r="J481" s="199">
        <v>1</v>
      </c>
      <c r="K481" s="199">
        <v>1</v>
      </c>
      <c r="L481" s="199">
        <v>50</v>
      </c>
      <c r="M481" s="202">
        <f>TB_Parts_Lists[[#This Row],[Quantity Initial]]+ SUMIF(TB_Transactions[Part number],TB_Parts_Lists[[#This Row],[Part Number]],TB_Transactions[Quantity])</f>
        <v>50</v>
      </c>
      <c r="N481" s="200" t="s">
        <v>4593</v>
      </c>
      <c r="O481" s="234">
        <v>5</v>
      </c>
      <c r="P481" s="199">
        <f>TB_Parts_Lists[[#This Row],[Quantity Initial]]*TB_Parts_Lists[[#This Row],[Unit Price AED]]</f>
        <v>250</v>
      </c>
      <c r="Q481" s="199">
        <f>TB_Parts_Lists[[#This Row],[Quantity Total]]*TB_Parts_Lists[[#This Row],[Unit Price AED]]</f>
        <v>250</v>
      </c>
      <c r="S481" s="199" t="s">
        <v>118</v>
      </c>
      <c r="T481" s="199" t="s">
        <v>8691</v>
      </c>
      <c r="U481" s="199" t="s">
        <v>8716</v>
      </c>
    </row>
    <row r="482" spans="1:21" s="199" customFormat="1" x14ac:dyDescent="0.25">
      <c r="A482" s="192" t="s">
        <v>6974</v>
      </c>
      <c r="B482" s="201" t="s">
        <v>3332</v>
      </c>
      <c r="C482" s="199" t="s">
        <v>3357</v>
      </c>
      <c r="D482" s="188" t="s">
        <v>8724</v>
      </c>
      <c r="E482" s="188" t="s">
        <v>5088</v>
      </c>
      <c r="F482" s="189" t="s">
        <v>3579</v>
      </c>
      <c r="G482" s="199" t="s">
        <v>8260</v>
      </c>
      <c r="H482" s="199" t="s">
        <v>72</v>
      </c>
      <c r="I482" s="199">
        <v>1</v>
      </c>
      <c r="J482" s="199">
        <v>1</v>
      </c>
      <c r="K482" s="199">
        <v>1</v>
      </c>
      <c r="L482" s="199">
        <v>50</v>
      </c>
      <c r="M482" s="202">
        <f>TB_Parts_Lists[[#This Row],[Quantity Initial]]+ SUMIF(TB_Transactions[Part number],TB_Parts_Lists[[#This Row],[Part Number]],TB_Transactions[Quantity])</f>
        <v>50</v>
      </c>
      <c r="N482" s="200" t="s">
        <v>4593</v>
      </c>
      <c r="O482" s="234">
        <v>5</v>
      </c>
      <c r="P482" s="199">
        <f>TB_Parts_Lists[[#This Row],[Quantity Initial]]*TB_Parts_Lists[[#This Row],[Unit Price AED]]</f>
        <v>250</v>
      </c>
      <c r="Q482" s="199">
        <f>TB_Parts_Lists[[#This Row],[Quantity Total]]*TB_Parts_Lists[[#This Row],[Unit Price AED]]</f>
        <v>250</v>
      </c>
      <c r="S482" s="199" t="s">
        <v>8675</v>
      </c>
      <c r="T482" s="199" t="s">
        <v>8675</v>
      </c>
      <c r="U482" s="199" t="s">
        <v>8675</v>
      </c>
    </row>
    <row r="483" spans="1:21" s="199" customFormat="1" x14ac:dyDescent="0.25">
      <c r="A483" s="192" t="s">
        <v>6975</v>
      </c>
      <c r="B483" s="201" t="s">
        <v>3332</v>
      </c>
      <c r="C483" s="199" t="s">
        <v>3357</v>
      </c>
      <c r="D483" s="188" t="s">
        <v>8724</v>
      </c>
      <c r="E483" s="188" t="s">
        <v>5089</v>
      </c>
      <c r="F483" s="189" t="s">
        <v>3580</v>
      </c>
      <c r="G483" s="199" t="s">
        <v>8260</v>
      </c>
      <c r="H483" s="199" t="s">
        <v>123</v>
      </c>
      <c r="I483" s="199">
        <v>1</v>
      </c>
      <c r="J483" s="199">
        <v>1</v>
      </c>
      <c r="K483" s="199">
        <v>1</v>
      </c>
      <c r="L483" s="199">
        <v>50</v>
      </c>
      <c r="M483" s="202">
        <f>TB_Parts_Lists[[#This Row],[Quantity Initial]]+ SUMIF(TB_Transactions[Part number],TB_Parts_Lists[[#This Row],[Part Number]],TB_Transactions[Quantity])</f>
        <v>50</v>
      </c>
      <c r="N483" s="200" t="s">
        <v>4593</v>
      </c>
      <c r="O483" s="234">
        <v>5</v>
      </c>
      <c r="P483" s="199">
        <f>TB_Parts_Lists[[#This Row],[Quantity Initial]]*TB_Parts_Lists[[#This Row],[Unit Price AED]]</f>
        <v>250</v>
      </c>
      <c r="Q483" s="199">
        <f>TB_Parts_Lists[[#This Row],[Quantity Total]]*TB_Parts_Lists[[#This Row],[Unit Price AED]]</f>
        <v>250</v>
      </c>
      <c r="S483" s="199" t="s">
        <v>118</v>
      </c>
      <c r="T483" s="199" t="s">
        <v>8691</v>
      </c>
      <c r="U483" s="199" t="s">
        <v>8716</v>
      </c>
    </row>
    <row r="484" spans="1:21" s="199" customFormat="1" x14ac:dyDescent="0.25">
      <c r="A484" s="192" t="s">
        <v>6976</v>
      </c>
      <c r="B484" s="201" t="s">
        <v>3332</v>
      </c>
      <c r="C484" s="199" t="s">
        <v>3357</v>
      </c>
      <c r="D484" s="199" t="s">
        <v>8723</v>
      </c>
      <c r="E484" s="188" t="s">
        <v>5090</v>
      </c>
      <c r="F484" s="189" t="s">
        <v>3581</v>
      </c>
      <c r="G484" s="199" t="s">
        <v>8260</v>
      </c>
      <c r="H484" s="199" t="s">
        <v>8642</v>
      </c>
      <c r="I484" s="199">
        <v>1</v>
      </c>
      <c r="J484" s="199">
        <v>1</v>
      </c>
      <c r="K484" s="199">
        <v>1</v>
      </c>
      <c r="L484" s="199">
        <v>50</v>
      </c>
      <c r="M484" s="202">
        <f>TB_Parts_Lists[[#This Row],[Quantity Initial]]+ SUMIF(TB_Transactions[Part number],TB_Parts_Lists[[#This Row],[Part Number]],TB_Transactions[Quantity])</f>
        <v>50</v>
      </c>
      <c r="N484" s="200" t="s">
        <v>4593</v>
      </c>
      <c r="O484" s="234">
        <v>5</v>
      </c>
      <c r="P484" s="199">
        <f>TB_Parts_Lists[[#This Row],[Quantity Initial]]*TB_Parts_Lists[[#This Row],[Unit Price AED]]</f>
        <v>250</v>
      </c>
      <c r="Q484" s="199">
        <f>TB_Parts_Lists[[#This Row],[Quantity Total]]*TB_Parts_Lists[[#This Row],[Unit Price AED]]</f>
        <v>250</v>
      </c>
      <c r="S484" s="199" t="s">
        <v>8675</v>
      </c>
      <c r="T484" s="199" t="s">
        <v>8675</v>
      </c>
      <c r="U484" s="199" t="s">
        <v>8675</v>
      </c>
    </row>
    <row r="485" spans="1:21" s="199" customFormat="1" x14ac:dyDescent="0.25">
      <c r="A485" s="192" t="s">
        <v>6977</v>
      </c>
      <c r="B485" s="201" t="s">
        <v>3332</v>
      </c>
      <c r="C485" s="199" t="s">
        <v>3357</v>
      </c>
      <c r="D485" s="199" t="s">
        <v>8723</v>
      </c>
      <c r="E485" s="188" t="s">
        <v>5091</v>
      </c>
      <c r="F485" s="189" t="s">
        <v>3582</v>
      </c>
      <c r="G485" s="199" t="s">
        <v>8260</v>
      </c>
      <c r="H485" s="199" t="s">
        <v>8642</v>
      </c>
      <c r="I485" s="199">
        <v>1</v>
      </c>
      <c r="J485" s="199">
        <v>1</v>
      </c>
      <c r="K485" s="199">
        <v>1</v>
      </c>
      <c r="L485" s="199">
        <v>50</v>
      </c>
      <c r="M485" s="202">
        <f>TB_Parts_Lists[[#This Row],[Quantity Initial]]+ SUMIF(TB_Transactions[Part number],TB_Parts_Lists[[#This Row],[Part Number]],TB_Transactions[Quantity])</f>
        <v>50</v>
      </c>
      <c r="N485" s="200" t="s">
        <v>4593</v>
      </c>
      <c r="O485" s="234">
        <v>5</v>
      </c>
      <c r="P485" s="199">
        <f>TB_Parts_Lists[[#This Row],[Quantity Initial]]*TB_Parts_Lists[[#This Row],[Unit Price AED]]</f>
        <v>250</v>
      </c>
      <c r="Q485" s="199">
        <f>TB_Parts_Lists[[#This Row],[Quantity Total]]*TB_Parts_Lists[[#This Row],[Unit Price AED]]</f>
        <v>250</v>
      </c>
      <c r="S485" s="199" t="s">
        <v>8675</v>
      </c>
      <c r="T485" s="199" t="s">
        <v>8675</v>
      </c>
      <c r="U485" s="199" t="s">
        <v>8675</v>
      </c>
    </row>
    <row r="486" spans="1:21" s="199" customFormat="1" x14ac:dyDescent="0.25">
      <c r="A486" s="192" t="s">
        <v>6978</v>
      </c>
      <c r="B486" s="201" t="s">
        <v>3332</v>
      </c>
      <c r="C486" s="199" t="s">
        <v>3357</v>
      </c>
      <c r="D486" s="188" t="s">
        <v>8724</v>
      </c>
      <c r="E486" s="188" t="s">
        <v>5092</v>
      </c>
      <c r="F486" s="189" t="s">
        <v>4621</v>
      </c>
      <c r="G486" s="199" t="s">
        <v>8260</v>
      </c>
      <c r="H486" s="199" t="s">
        <v>53</v>
      </c>
      <c r="I486" s="199">
        <v>1</v>
      </c>
      <c r="J486" s="199">
        <v>1</v>
      </c>
      <c r="K486" s="199">
        <v>1</v>
      </c>
      <c r="L486" s="199">
        <v>50</v>
      </c>
      <c r="M486" s="202">
        <f>TB_Parts_Lists[[#This Row],[Quantity Initial]]+ SUMIF(TB_Transactions[Part number],TB_Parts_Lists[[#This Row],[Part Number]],TB_Transactions[Quantity])</f>
        <v>50</v>
      </c>
      <c r="N486" s="200" t="s">
        <v>4593</v>
      </c>
      <c r="O486" s="234">
        <v>5</v>
      </c>
      <c r="P486" s="199">
        <f>TB_Parts_Lists[[#This Row],[Quantity Initial]]*TB_Parts_Lists[[#This Row],[Unit Price AED]]</f>
        <v>250</v>
      </c>
      <c r="Q486" s="199">
        <f>TB_Parts_Lists[[#This Row],[Quantity Total]]*TB_Parts_Lists[[#This Row],[Unit Price AED]]</f>
        <v>250</v>
      </c>
      <c r="S486" s="199" t="s">
        <v>8675</v>
      </c>
      <c r="T486" s="199" t="s">
        <v>8675</v>
      </c>
      <c r="U486" s="199" t="s">
        <v>8675</v>
      </c>
    </row>
    <row r="487" spans="1:21" s="199" customFormat="1" x14ac:dyDescent="0.25">
      <c r="A487" s="192" t="s">
        <v>6979</v>
      </c>
      <c r="B487" s="201" t="s">
        <v>3332</v>
      </c>
      <c r="C487" s="199" t="s">
        <v>3357</v>
      </c>
      <c r="D487" s="199" t="s">
        <v>8723</v>
      </c>
      <c r="E487" s="188" t="s">
        <v>3563</v>
      </c>
      <c r="F487" s="189" t="s">
        <v>3583</v>
      </c>
      <c r="G487" s="199" t="s">
        <v>8260</v>
      </c>
      <c r="H487" s="199" t="s">
        <v>8642</v>
      </c>
      <c r="I487" s="199">
        <v>1</v>
      </c>
      <c r="J487" s="199">
        <v>1</v>
      </c>
      <c r="K487" s="199">
        <v>1</v>
      </c>
      <c r="L487" s="199">
        <v>50</v>
      </c>
      <c r="M487" s="202">
        <f>TB_Parts_Lists[[#This Row],[Quantity Initial]]+ SUMIF(TB_Transactions[Part number],TB_Parts_Lists[[#This Row],[Part Number]],TB_Transactions[Quantity])</f>
        <v>50</v>
      </c>
      <c r="N487" s="200" t="s">
        <v>4593</v>
      </c>
      <c r="O487" s="234">
        <v>5</v>
      </c>
      <c r="P487" s="199">
        <f>TB_Parts_Lists[[#This Row],[Quantity Initial]]*TB_Parts_Lists[[#This Row],[Unit Price AED]]</f>
        <v>250</v>
      </c>
      <c r="Q487" s="199">
        <f>TB_Parts_Lists[[#This Row],[Quantity Total]]*TB_Parts_Lists[[#This Row],[Unit Price AED]]</f>
        <v>250</v>
      </c>
      <c r="S487" s="199" t="s">
        <v>8675</v>
      </c>
      <c r="T487" s="199" t="s">
        <v>8675</v>
      </c>
      <c r="U487" s="199" t="s">
        <v>8675</v>
      </c>
    </row>
    <row r="488" spans="1:21" s="199" customFormat="1" x14ac:dyDescent="0.25">
      <c r="A488" s="192" t="s">
        <v>6980</v>
      </c>
      <c r="B488" s="201" t="s">
        <v>3332</v>
      </c>
      <c r="C488" s="199" t="s">
        <v>3357</v>
      </c>
      <c r="D488" s="199" t="s">
        <v>8723</v>
      </c>
      <c r="E488" s="188" t="s">
        <v>5093</v>
      </c>
      <c r="F488" s="189" t="s">
        <v>3584</v>
      </c>
      <c r="G488" s="199" t="s">
        <v>8260</v>
      </c>
      <c r="H488" s="199" t="s">
        <v>8642</v>
      </c>
      <c r="I488" s="199">
        <v>1</v>
      </c>
      <c r="J488" s="199">
        <v>1</v>
      </c>
      <c r="K488" s="199">
        <v>1</v>
      </c>
      <c r="L488" s="199">
        <v>50</v>
      </c>
      <c r="M488" s="202">
        <f>TB_Parts_Lists[[#This Row],[Quantity Initial]]+ SUMIF(TB_Transactions[Part number],TB_Parts_Lists[[#This Row],[Part Number]],TB_Transactions[Quantity])</f>
        <v>50</v>
      </c>
      <c r="N488" s="200" t="s">
        <v>4593</v>
      </c>
      <c r="O488" s="234">
        <v>5</v>
      </c>
      <c r="P488" s="199">
        <f>TB_Parts_Lists[[#This Row],[Quantity Initial]]*TB_Parts_Lists[[#This Row],[Unit Price AED]]</f>
        <v>250</v>
      </c>
      <c r="Q488" s="199">
        <f>TB_Parts_Lists[[#This Row],[Quantity Total]]*TB_Parts_Lists[[#This Row],[Unit Price AED]]</f>
        <v>250</v>
      </c>
      <c r="S488" s="199" t="s">
        <v>8675</v>
      </c>
      <c r="T488" s="199" t="s">
        <v>8675</v>
      </c>
      <c r="U488" s="199" t="s">
        <v>8675</v>
      </c>
    </row>
    <row r="489" spans="1:21" s="199" customFormat="1" x14ac:dyDescent="0.25">
      <c r="A489" s="192" t="s">
        <v>6981</v>
      </c>
      <c r="B489" s="201" t="s">
        <v>3332</v>
      </c>
      <c r="C489" s="199" t="s">
        <v>3357</v>
      </c>
      <c r="D489" s="188" t="s">
        <v>8724</v>
      </c>
      <c r="E489" s="188" t="s">
        <v>5094</v>
      </c>
      <c r="F489" s="189" t="s">
        <v>3585</v>
      </c>
      <c r="G489" s="199" t="s">
        <v>8261</v>
      </c>
      <c r="H489" s="199" t="s">
        <v>51</v>
      </c>
      <c r="I489" s="199">
        <v>1</v>
      </c>
      <c r="J489" s="199">
        <v>1</v>
      </c>
      <c r="K489" s="199">
        <v>1</v>
      </c>
      <c r="L489" s="199">
        <v>50</v>
      </c>
      <c r="M489" s="202">
        <f>TB_Parts_Lists[[#This Row],[Quantity Initial]]+ SUMIF(TB_Transactions[Part number],TB_Parts_Lists[[#This Row],[Part Number]],TB_Transactions[Quantity])</f>
        <v>50</v>
      </c>
      <c r="N489" s="200" t="s">
        <v>4593</v>
      </c>
      <c r="O489" s="234">
        <v>5</v>
      </c>
      <c r="P489" s="199">
        <f>TB_Parts_Lists[[#This Row],[Quantity Initial]]*TB_Parts_Lists[[#This Row],[Unit Price AED]]</f>
        <v>250</v>
      </c>
      <c r="Q489" s="199">
        <f>TB_Parts_Lists[[#This Row],[Quantity Total]]*TB_Parts_Lists[[#This Row],[Unit Price AED]]</f>
        <v>250</v>
      </c>
      <c r="S489" s="199" t="s">
        <v>118</v>
      </c>
      <c r="T489" s="199" t="s">
        <v>8691</v>
      </c>
      <c r="U489" s="199" t="s">
        <v>8716</v>
      </c>
    </row>
    <row r="490" spans="1:21" s="199" customFormat="1" x14ac:dyDescent="0.25">
      <c r="A490" s="192" t="s">
        <v>6982</v>
      </c>
      <c r="B490" s="201" t="s">
        <v>3332</v>
      </c>
      <c r="C490" s="199" t="s">
        <v>3357</v>
      </c>
      <c r="D490" s="188" t="s">
        <v>8724</v>
      </c>
      <c r="E490" s="188" t="s">
        <v>5095</v>
      </c>
      <c r="F490" s="189" t="s">
        <v>3586</v>
      </c>
      <c r="G490" s="199" t="s">
        <v>8261</v>
      </c>
      <c r="H490" s="199" t="s">
        <v>2185</v>
      </c>
      <c r="I490" s="199">
        <v>1</v>
      </c>
      <c r="J490" s="199">
        <v>1</v>
      </c>
      <c r="K490" s="199">
        <v>1</v>
      </c>
      <c r="L490" s="199">
        <v>50</v>
      </c>
      <c r="M490" s="202">
        <f>TB_Parts_Lists[[#This Row],[Quantity Initial]]+ SUMIF(TB_Transactions[Part number],TB_Parts_Lists[[#This Row],[Part Number]],TB_Transactions[Quantity])</f>
        <v>50</v>
      </c>
      <c r="N490" s="200" t="s">
        <v>4593</v>
      </c>
      <c r="O490" s="234">
        <v>5</v>
      </c>
      <c r="P490" s="199">
        <f>TB_Parts_Lists[[#This Row],[Quantity Initial]]*TB_Parts_Lists[[#This Row],[Unit Price AED]]</f>
        <v>250</v>
      </c>
      <c r="Q490" s="199">
        <f>TB_Parts_Lists[[#This Row],[Quantity Total]]*TB_Parts_Lists[[#This Row],[Unit Price AED]]</f>
        <v>250</v>
      </c>
      <c r="S490" s="199" t="s">
        <v>118</v>
      </c>
      <c r="T490" s="199" t="s">
        <v>8691</v>
      </c>
      <c r="U490" s="199" t="s">
        <v>8716</v>
      </c>
    </row>
    <row r="491" spans="1:21" s="199" customFormat="1" x14ac:dyDescent="0.25">
      <c r="A491" s="192" t="s">
        <v>6983</v>
      </c>
      <c r="B491" s="201" t="s">
        <v>3332</v>
      </c>
      <c r="C491" s="199" t="s">
        <v>3357</v>
      </c>
      <c r="D491" s="188" t="s">
        <v>8723</v>
      </c>
      <c r="E491" s="188" t="s">
        <v>5096</v>
      </c>
      <c r="F491" s="189" t="s">
        <v>5981</v>
      </c>
      <c r="G491" s="199" t="s">
        <v>8261</v>
      </c>
      <c r="H491" s="188" t="s">
        <v>8642</v>
      </c>
      <c r="I491" s="199">
        <v>1</v>
      </c>
      <c r="J491" s="199">
        <v>1</v>
      </c>
      <c r="K491" s="199">
        <v>1</v>
      </c>
      <c r="L491" s="199">
        <v>50</v>
      </c>
      <c r="M491" s="202">
        <f>TB_Parts_Lists[[#This Row],[Quantity Initial]]+ SUMIF(TB_Transactions[Part number],TB_Parts_Lists[[#This Row],[Part Number]],TB_Transactions[Quantity])</f>
        <v>50</v>
      </c>
      <c r="N491" s="200" t="s">
        <v>4593</v>
      </c>
      <c r="O491" s="234">
        <v>5</v>
      </c>
      <c r="P491" s="199">
        <f>TB_Parts_Lists[[#This Row],[Quantity Initial]]*TB_Parts_Lists[[#This Row],[Unit Price AED]]</f>
        <v>250</v>
      </c>
      <c r="Q491" s="199">
        <f>TB_Parts_Lists[[#This Row],[Quantity Total]]*TB_Parts_Lists[[#This Row],[Unit Price AED]]</f>
        <v>250</v>
      </c>
      <c r="S491" s="188" t="s">
        <v>8675</v>
      </c>
      <c r="T491" s="188" t="s">
        <v>8675</v>
      </c>
      <c r="U491" s="188" t="s">
        <v>8675</v>
      </c>
    </row>
    <row r="492" spans="1:21" s="199" customFormat="1" x14ac:dyDescent="0.25">
      <c r="A492" s="192" t="s">
        <v>6984</v>
      </c>
      <c r="B492" s="201" t="s">
        <v>3332</v>
      </c>
      <c r="C492" s="199" t="s">
        <v>3357</v>
      </c>
      <c r="D492" s="188" t="s">
        <v>8724</v>
      </c>
      <c r="E492" s="188" t="s">
        <v>5097</v>
      </c>
      <c r="F492" s="189" t="s">
        <v>4705</v>
      </c>
      <c r="G492" s="199" t="s">
        <v>8261</v>
      </c>
      <c r="H492" s="199" t="s">
        <v>8646</v>
      </c>
      <c r="I492" s="199">
        <v>1</v>
      </c>
      <c r="J492" s="199">
        <v>1</v>
      </c>
      <c r="K492" s="199">
        <v>1</v>
      </c>
      <c r="L492" s="199">
        <v>50</v>
      </c>
      <c r="M492" s="202">
        <f>TB_Parts_Lists[[#This Row],[Quantity Initial]]+ SUMIF(TB_Transactions[Part number],TB_Parts_Lists[[#This Row],[Part Number]],TB_Transactions[Quantity])</f>
        <v>50</v>
      </c>
      <c r="N492" s="200" t="s">
        <v>4593</v>
      </c>
      <c r="O492" s="234">
        <v>5</v>
      </c>
      <c r="P492" s="199">
        <f>TB_Parts_Lists[[#This Row],[Quantity Initial]]*TB_Parts_Lists[[#This Row],[Unit Price AED]]</f>
        <v>250</v>
      </c>
      <c r="Q492" s="199">
        <f>TB_Parts_Lists[[#This Row],[Quantity Total]]*TB_Parts_Lists[[#This Row],[Unit Price AED]]</f>
        <v>250</v>
      </c>
      <c r="S492" s="199" t="s">
        <v>118</v>
      </c>
      <c r="T492" s="199" t="s">
        <v>8691</v>
      </c>
      <c r="U492" s="199" t="s">
        <v>8716</v>
      </c>
    </row>
    <row r="493" spans="1:21" s="199" customFormat="1" x14ac:dyDescent="0.25">
      <c r="A493" s="192" t="s">
        <v>6985</v>
      </c>
      <c r="B493" s="201" t="s">
        <v>3332</v>
      </c>
      <c r="C493" s="199" t="s">
        <v>3357</v>
      </c>
      <c r="D493" s="199" t="s">
        <v>8723</v>
      </c>
      <c r="E493" s="188" t="s">
        <v>3564</v>
      </c>
      <c r="F493" s="189" t="s">
        <v>3587</v>
      </c>
      <c r="G493" s="199" t="s">
        <v>8261</v>
      </c>
      <c r="H493" s="199" t="s">
        <v>8642</v>
      </c>
      <c r="I493" s="199">
        <v>1</v>
      </c>
      <c r="J493" s="199">
        <v>1</v>
      </c>
      <c r="K493" s="199">
        <v>1</v>
      </c>
      <c r="L493" s="199">
        <v>50</v>
      </c>
      <c r="M493" s="202">
        <f>TB_Parts_Lists[[#This Row],[Quantity Initial]]+ SUMIF(TB_Transactions[Part number],TB_Parts_Lists[[#This Row],[Part Number]],TB_Transactions[Quantity])</f>
        <v>50</v>
      </c>
      <c r="N493" s="200" t="s">
        <v>4593</v>
      </c>
      <c r="O493" s="234">
        <v>5</v>
      </c>
      <c r="P493" s="199">
        <f>TB_Parts_Lists[[#This Row],[Quantity Initial]]*TB_Parts_Lists[[#This Row],[Unit Price AED]]</f>
        <v>250</v>
      </c>
      <c r="Q493" s="199">
        <f>TB_Parts_Lists[[#This Row],[Quantity Total]]*TB_Parts_Lists[[#This Row],[Unit Price AED]]</f>
        <v>250</v>
      </c>
      <c r="S493" s="199" t="s">
        <v>8675</v>
      </c>
      <c r="T493" s="199" t="s">
        <v>8675</v>
      </c>
      <c r="U493" s="199" t="s">
        <v>8675</v>
      </c>
    </row>
    <row r="494" spans="1:21" s="199" customFormat="1" x14ac:dyDescent="0.25">
      <c r="A494" s="192" t="s">
        <v>6986</v>
      </c>
      <c r="B494" s="203" t="s">
        <v>3332</v>
      </c>
      <c r="C494" s="188" t="s">
        <v>3355</v>
      </c>
      <c r="D494" s="188" t="s">
        <v>8724</v>
      </c>
      <c r="E494" s="188" t="s">
        <v>5098</v>
      </c>
      <c r="F494" s="189" t="s">
        <v>4622</v>
      </c>
      <c r="G494" s="199" t="s">
        <v>8261</v>
      </c>
      <c r="H494" s="199" t="s">
        <v>8641</v>
      </c>
      <c r="I494" s="199">
        <v>1</v>
      </c>
      <c r="J494" s="199">
        <v>1</v>
      </c>
      <c r="K494" s="199">
        <v>1</v>
      </c>
      <c r="L494" s="199">
        <v>50</v>
      </c>
      <c r="M494" s="202">
        <f>TB_Parts_Lists[[#This Row],[Quantity Initial]]+ SUMIF(TB_Transactions[Part number],TB_Parts_Lists[[#This Row],[Part Number]],TB_Transactions[Quantity])</f>
        <v>50</v>
      </c>
      <c r="N494" s="200" t="s">
        <v>4593</v>
      </c>
      <c r="O494" s="234">
        <v>5</v>
      </c>
      <c r="P494" s="199">
        <f>TB_Parts_Lists[[#This Row],[Quantity Initial]]*TB_Parts_Lists[[#This Row],[Unit Price AED]]</f>
        <v>250</v>
      </c>
      <c r="Q494" s="199">
        <f>TB_Parts_Lists[[#This Row],[Quantity Total]]*TB_Parts_Lists[[#This Row],[Unit Price AED]]</f>
        <v>250</v>
      </c>
      <c r="S494" s="199" t="s">
        <v>118</v>
      </c>
      <c r="T494" s="199" t="s">
        <v>8691</v>
      </c>
      <c r="U494" s="199" t="s">
        <v>8716</v>
      </c>
    </row>
    <row r="495" spans="1:21" s="199" customFormat="1" x14ac:dyDescent="0.25">
      <c r="A495" s="192" t="s">
        <v>6987</v>
      </c>
      <c r="B495" s="201" t="s">
        <v>3332</v>
      </c>
      <c r="C495" s="199" t="s">
        <v>3357</v>
      </c>
      <c r="D495" s="188" t="s">
        <v>8724</v>
      </c>
      <c r="E495" s="188" t="s">
        <v>5099</v>
      </c>
      <c r="F495" s="189" t="s">
        <v>3588</v>
      </c>
      <c r="G495" s="199" t="s">
        <v>8261</v>
      </c>
      <c r="H495" s="199" t="s">
        <v>53</v>
      </c>
      <c r="I495" s="199">
        <v>1</v>
      </c>
      <c r="J495" s="199">
        <v>1</v>
      </c>
      <c r="K495" s="199">
        <v>1</v>
      </c>
      <c r="L495" s="199">
        <v>50</v>
      </c>
      <c r="M495" s="202">
        <f>TB_Parts_Lists[[#This Row],[Quantity Initial]]+ SUMIF(TB_Transactions[Part number],TB_Parts_Lists[[#This Row],[Part Number]],TB_Transactions[Quantity])</f>
        <v>50</v>
      </c>
      <c r="N495" s="200" t="s">
        <v>4593</v>
      </c>
      <c r="O495" s="234">
        <v>5</v>
      </c>
      <c r="P495" s="199">
        <f>TB_Parts_Lists[[#This Row],[Quantity Initial]]*TB_Parts_Lists[[#This Row],[Unit Price AED]]</f>
        <v>250</v>
      </c>
      <c r="Q495" s="199">
        <f>TB_Parts_Lists[[#This Row],[Quantity Total]]*TB_Parts_Lists[[#This Row],[Unit Price AED]]</f>
        <v>250</v>
      </c>
      <c r="S495" s="199" t="s">
        <v>8675</v>
      </c>
      <c r="T495" s="199" t="s">
        <v>8675</v>
      </c>
      <c r="U495" s="199" t="s">
        <v>8675</v>
      </c>
    </row>
    <row r="496" spans="1:21" s="199" customFormat="1" x14ac:dyDescent="0.25">
      <c r="A496" s="192" t="s">
        <v>6988</v>
      </c>
      <c r="B496" s="201" t="s">
        <v>3332</v>
      </c>
      <c r="C496" s="199" t="s">
        <v>3357</v>
      </c>
      <c r="D496" s="199" t="s">
        <v>8723</v>
      </c>
      <c r="E496" s="188" t="s">
        <v>3621</v>
      </c>
      <c r="F496" s="189" t="s">
        <v>3589</v>
      </c>
      <c r="G496" s="199" t="s">
        <v>8261</v>
      </c>
      <c r="H496" s="199" t="s">
        <v>8642</v>
      </c>
      <c r="I496" s="199">
        <v>1</v>
      </c>
      <c r="J496" s="199">
        <v>1</v>
      </c>
      <c r="K496" s="199">
        <v>1</v>
      </c>
      <c r="L496" s="199">
        <v>50</v>
      </c>
      <c r="M496" s="202">
        <f>TB_Parts_Lists[[#This Row],[Quantity Initial]]+ SUMIF(TB_Transactions[Part number],TB_Parts_Lists[[#This Row],[Part Number]],TB_Transactions[Quantity])</f>
        <v>50</v>
      </c>
      <c r="N496" s="200" t="s">
        <v>4593</v>
      </c>
      <c r="O496" s="234">
        <v>5</v>
      </c>
      <c r="P496" s="199">
        <f>TB_Parts_Lists[[#This Row],[Quantity Initial]]*TB_Parts_Lists[[#This Row],[Unit Price AED]]</f>
        <v>250</v>
      </c>
      <c r="Q496" s="199">
        <f>TB_Parts_Lists[[#This Row],[Quantity Total]]*TB_Parts_Lists[[#This Row],[Unit Price AED]]</f>
        <v>250</v>
      </c>
      <c r="S496" s="199" t="s">
        <v>8675</v>
      </c>
      <c r="T496" s="199" t="s">
        <v>8675</v>
      </c>
      <c r="U496" s="199" t="s">
        <v>8675</v>
      </c>
    </row>
    <row r="497" spans="1:21" s="199" customFormat="1" x14ac:dyDescent="0.25">
      <c r="A497" s="192" t="s">
        <v>6989</v>
      </c>
      <c r="B497" s="201" t="s">
        <v>3332</v>
      </c>
      <c r="C497" s="199" t="s">
        <v>3357</v>
      </c>
      <c r="D497" s="199" t="s">
        <v>8723</v>
      </c>
      <c r="E497" s="188" t="s">
        <v>5100</v>
      </c>
      <c r="F497" s="189" t="s">
        <v>3590</v>
      </c>
      <c r="G497" s="199" t="s">
        <v>8261</v>
      </c>
      <c r="H497" s="199" t="s">
        <v>8642</v>
      </c>
      <c r="I497" s="199">
        <v>1</v>
      </c>
      <c r="J497" s="199">
        <v>1</v>
      </c>
      <c r="K497" s="199">
        <v>1</v>
      </c>
      <c r="L497" s="199">
        <v>50</v>
      </c>
      <c r="M497" s="202">
        <f>TB_Parts_Lists[[#This Row],[Quantity Initial]]+ SUMIF(TB_Transactions[Part number],TB_Parts_Lists[[#This Row],[Part Number]],TB_Transactions[Quantity])</f>
        <v>50</v>
      </c>
      <c r="N497" s="200" t="s">
        <v>4593</v>
      </c>
      <c r="O497" s="234">
        <v>5</v>
      </c>
      <c r="P497" s="199">
        <f>TB_Parts_Lists[[#This Row],[Quantity Initial]]*TB_Parts_Lists[[#This Row],[Unit Price AED]]</f>
        <v>250</v>
      </c>
      <c r="Q497" s="199">
        <f>TB_Parts_Lists[[#This Row],[Quantity Total]]*TB_Parts_Lists[[#This Row],[Unit Price AED]]</f>
        <v>250</v>
      </c>
      <c r="S497" s="199" t="s">
        <v>8675</v>
      </c>
      <c r="T497" s="199" t="s">
        <v>8675</v>
      </c>
      <c r="U497" s="199" t="s">
        <v>8675</v>
      </c>
    </row>
    <row r="498" spans="1:21" s="199" customFormat="1" x14ac:dyDescent="0.25">
      <c r="A498" s="192" t="s">
        <v>6990</v>
      </c>
      <c r="B498" s="201" t="s">
        <v>3332</v>
      </c>
      <c r="C498" s="199" t="s">
        <v>3357</v>
      </c>
      <c r="D498" s="188" t="s">
        <v>8724</v>
      </c>
      <c r="E498" s="188" t="s">
        <v>5101</v>
      </c>
      <c r="F498" s="189" t="s">
        <v>4623</v>
      </c>
      <c r="G498" s="199" t="s">
        <v>8261</v>
      </c>
      <c r="H498" s="199" t="s">
        <v>2185</v>
      </c>
      <c r="I498" s="199">
        <v>1</v>
      </c>
      <c r="J498" s="199">
        <v>1</v>
      </c>
      <c r="K498" s="199">
        <v>1</v>
      </c>
      <c r="L498" s="199">
        <v>50</v>
      </c>
      <c r="M498" s="202">
        <f>TB_Parts_Lists[[#This Row],[Quantity Initial]]+ SUMIF(TB_Transactions[Part number],TB_Parts_Lists[[#This Row],[Part Number]],TB_Transactions[Quantity])</f>
        <v>50</v>
      </c>
      <c r="N498" s="200" t="s">
        <v>4593</v>
      </c>
      <c r="O498" s="234">
        <v>5</v>
      </c>
      <c r="P498" s="199">
        <f>TB_Parts_Lists[[#This Row],[Quantity Initial]]*TB_Parts_Lists[[#This Row],[Unit Price AED]]</f>
        <v>250</v>
      </c>
      <c r="Q498" s="199">
        <f>TB_Parts_Lists[[#This Row],[Quantity Total]]*TB_Parts_Lists[[#This Row],[Unit Price AED]]</f>
        <v>250</v>
      </c>
      <c r="S498" s="199" t="s">
        <v>118</v>
      </c>
      <c r="T498" s="199" t="s">
        <v>8691</v>
      </c>
      <c r="U498" s="199" t="s">
        <v>8716</v>
      </c>
    </row>
    <row r="499" spans="1:21" s="199" customFormat="1" x14ac:dyDescent="0.25">
      <c r="A499" s="192" t="s">
        <v>6991</v>
      </c>
      <c r="B499" s="201" t="s">
        <v>3332</v>
      </c>
      <c r="C499" s="199" t="s">
        <v>3357</v>
      </c>
      <c r="D499" s="199" t="s">
        <v>8723</v>
      </c>
      <c r="E499" s="188" t="s">
        <v>4666</v>
      </c>
      <c r="F499" s="189" t="s">
        <v>4624</v>
      </c>
      <c r="G499" s="199" t="s">
        <v>8261</v>
      </c>
      <c r="H499" s="199" t="s">
        <v>8642</v>
      </c>
      <c r="I499" s="199">
        <v>1</v>
      </c>
      <c r="J499" s="199">
        <v>1</v>
      </c>
      <c r="K499" s="199">
        <v>1</v>
      </c>
      <c r="L499" s="199">
        <v>50</v>
      </c>
      <c r="M499" s="202">
        <f>TB_Parts_Lists[[#This Row],[Quantity Initial]]+ SUMIF(TB_Transactions[Part number],TB_Parts_Lists[[#This Row],[Part Number]],TB_Transactions[Quantity])</f>
        <v>50</v>
      </c>
      <c r="N499" s="200" t="s">
        <v>4593</v>
      </c>
      <c r="O499" s="234">
        <v>5</v>
      </c>
      <c r="P499" s="199">
        <f>TB_Parts_Lists[[#This Row],[Quantity Initial]]*TB_Parts_Lists[[#This Row],[Unit Price AED]]</f>
        <v>250</v>
      </c>
      <c r="Q499" s="199">
        <f>TB_Parts_Lists[[#This Row],[Quantity Total]]*TB_Parts_Lists[[#This Row],[Unit Price AED]]</f>
        <v>250</v>
      </c>
      <c r="S499" s="199" t="s">
        <v>8675</v>
      </c>
      <c r="T499" s="199" t="s">
        <v>8675</v>
      </c>
      <c r="U499" s="199" t="s">
        <v>8675</v>
      </c>
    </row>
    <row r="500" spans="1:21" s="199" customFormat="1" x14ac:dyDescent="0.25">
      <c r="A500" s="192" t="s">
        <v>6992</v>
      </c>
      <c r="B500" s="201" t="s">
        <v>3332</v>
      </c>
      <c r="C500" s="199" t="s">
        <v>3357</v>
      </c>
      <c r="D500" s="199" t="s">
        <v>8723</v>
      </c>
      <c r="E500" s="188" t="s">
        <v>3357</v>
      </c>
      <c r="F500" s="189" t="s">
        <v>3591</v>
      </c>
      <c r="G500" s="199" t="s">
        <v>8261</v>
      </c>
      <c r="H500" s="199" t="s">
        <v>8642</v>
      </c>
      <c r="I500" s="199">
        <v>1</v>
      </c>
      <c r="J500" s="199">
        <v>1</v>
      </c>
      <c r="K500" s="199">
        <v>1</v>
      </c>
      <c r="L500" s="199">
        <v>50</v>
      </c>
      <c r="M500" s="202">
        <f>TB_Parts_Lists[[#This Row],[Quantity Initial]]+ SUMIF(TB_Transactions[Part number],TB_Parts_Lists[[#This Row],[Part Number]],TB_Transactions[Quantity])</f>
        <v>50</v>
      </c>
      <c r="N500" s="200" t="s">
        <v>4593</v>
      </c>
      <c r="O500" s="234">
        <v>5</v>
      </c>
      <c r="P500" s="199">
        <f>TB_Parts_Lists[[#This Row],[Quantity Initial]]*TB_Parts_Lists[[#This Row],[Unit Price AED]]</f>
        <v>250</v>
      </c>
      <c r="Q500" s="199">
        <f>TB_Parts_Lists[[#This Row],[Quantity Total]]*TB_Parts_Lists[[#This Row],[Unit Price AED]]</f>
        <v>250</v>
      </c>
      <c r="S500" s="199" t="s">
        <v>8675</v>
      </c>
      <c r="T500" s="199" t="s">
        <v>8675</v>
      </c>
      <c r="U500" s="199" t="s">
        <v>8675</v>
      </c>
    </row>
    <row r="501" spans="1:21" s="199" customFormat="1" x14ac:dyDescent="0.25">
      <c r="A501" s="192" t="s">
        <v>6993</v>
      </c>
      <c r="B501" s="201" t="s">
        <v>3332</v>
      </c>
      <c r="C501" s="199" t="s">
        <v>3357</v>
      </c>
      <c r="D501" s="199" t="s">
        <v>8732</v>
      </c>
      <c r="E501" s="188" t="s">
        <v>5102</v>
      </c>
      <c r="F501" s="189" t="s">
        <v>5982</v>
      </c>
      <c r="G501" s="199" t="s">
        <v>8261</v>
      </c>
      <c r="H501" s="199" t="s">
        <v>74</v>
      </c>
      <c r="I501" s="199">
        <v>1</v>
      </c>
      <c r="J501" s="199">
        <v>1</v>
      </c>
      <c r="K501" s="199">
        <v>1</v>
      </c>
      <c r="L501" s="199">
        <v>50</v>
      </c>
      <c r="M501" s="202">
        <f>TB_Parts_Lists[[#This Row],[Quantity Initial]]+ SUMIF(TB_Transactions[Part number],TB_Parts_Lists[[#This Row],[Part Number]],TB_Transactions[Quantity])</f>
        <v>50</v>
      </c>
      <c r="N501" s="200" t="s">
        <v>4593</v>
      </c>
      <c r="O501" s="234">
        <v>5</v>
      </c>
      <c r="P501" s="199">
        <f>TB_Parts_Lists[[#This Row],[Quantity Initial]]*TB_Parts_Lists[[#This Row],[Unit Price AED]]</f>
        <v>250</v>
      </c>
      <c r="Q501" s="199">
        <f>TB_Parts_Lists[[#This Row],[Quantity Total]]*TB_Parts_Lists[[#This Row],[Unit Price AED]]</f>
        <v>250</v>
      </c>
      <c r="S501" s="199" t="s">
        <v>118</v>
      </c>
      <c r="T501" s="199" t="s">
        <v>8691</v>
      </c>
      <c r="U501" s="199" t="s">
        <v>8716</v>
      </c>
    </row>
    <row r="502" spans="1:21" s="199" customFormat="1" x14ac:dyDescent="0.25">
      <c r="A502" s="192" t="s">
        <v>6994</v>
      </c>
      <c r="B502" s="201" t="s">
        <v>3332</v>
      </c>
      <c r="C502" s="199" t="s">
        <v>3357</v>
      </c>
      <c r="D502" s="199" t="s">
        <v>8732</v>
      </c>
      <c r="E502" s="188" t="s">
        <v>5103</v>
      </c>
      <c r="F502" s="189" t="s">
        <v>3592</v>
      </c>
      <c r="G502" s="199" t="s">
        <v>8261</v>
      </c>
      <c r="H502" s="199" t="s">
        <v>72</v>
      </c>
      <c r="I502" s="199">
        <v>1</v>
      </c>
      <c r="J502" s="199">
        <v>1</v>
      </c>
      <c r="K502" s="199">
        <v>1</v>
      </c>
      <c r="L502" s="199">
        <v>50</v>
      </c>
      <c r="M502" s="202">
        <f>TB_Parts_Lists[[#This Row],[Quantity Initial]]+ SUMIF(TB_Transactions[Part number],TB_Parts_Lists[[#This Row],[Part Number]],TB_Transactions[Quantity])</f>
        <v>50</v>
      </c>
      <c r="N502" s="200" t="s">
        <v>4593</v>
      </c>
      <c r="O502" s="234">
        <v>5</v>
      </c>
      <c r="P502" s="199">
        <f>TB_Parts_Lists[[#This Row],[Quantity Initial]]*TB_Parts_Lists[[#This Row],[Unit Price AED]]</f>
        <v>250</v>
      </c>
      <c r="Q502" s="199">
        <f>TB_Parts_Lists[[#This Row],[Quantity Total]]*TB_Parts_Lists[[#This Row],[Unit Price AED]]</f>
        <v>250</v>
      </c>
      <c r="S502" s="199" t="s">
        <v>118</v>
      </c>
      <c r="T502" s="199" t="s">
        <v>8691</v>
      </c>
      <c r="U502" s="199" t="s">
        <v>8716</v>
      </c>
    </row>
    <row r="503" spans="1:21" s="199" customFormat="1" x14ac:dyDescent="0.25">
      <c r="A503" s="192" t="s">
        <v>6995</v>
      </c>
      <c r="B503" s="201" t="s">
        <v>3332</v>
      </c>
      <c r="C503" s="199" t="s">
        <v>3357</v>
      </c>
      <c r="D503" s="188" t="s">
        <v>8724</v>
      </c>
      <c r="E503" s="188" t="s">
        <v>5104</v>
      </c>
      <c r="F503" s="189" t="s">
        <v>5983</v>
      </c>
      <c r="G503" s="199" t="s">
        <v>8261</v>
      </c>
      <c r="H503" s="199" t="s">
        <v>51</v>
      </c>
      <c r="I503" s="199">
        <v>1</v>
      </c>
      <c r="J503" s="199">
        <v>1</v>
      </c>
      <c r="K503" s="199">
        <v>1</v>
      </c>
      <c r="L503" s="199">
        <v>50</v>
      </c>
      <c r="M503" s="202">
        <f>TB_Parts_Lists[[#This Row],[Quantity Initial]]+ SUMIF(TB_Transactions[Part number],TB_Parts_Lists[[#This Row],[Part Number]],TB_Transactions[Quantity])</f>
        <v>50</v>
      </c>
      <c r="N503" s="200" t="s">
        <v>4593</v>
      </c>
      <c r="O503" s="234">
        <v>5</v>
      </c>
      <c r="P503" s="199">
        <f>TB_Parts_Lists[[#This Row],[Quantity Initial]]*TB_Parts_Lists[[#This Row],[Unit Price AED]]</f>
        <v>250</v>
      </c>
      <c r="Q503" s="199">
        <f>TB_Parts_Lists[[#This Row],[Quantity Total]]*TB_Parts_Lists[[#This Row],[Unit Price AED]]</f>
        <v>250</v>
      </c>
      <c r="S503" s="199" t="s">
        <v>118</v>
      </c>
      <c r="T503" s="199" t="s">
        <v>8691</v>
      </c>
      <c r="U503" s="199" t="s">
        <v>8716</v>
      </c>
    </row>
    <row r="504" spans="1:21" s="199" customFormat="1" x14ac:dyDescent="0.25">
      <c r="A504" s="192" t="s">
        <v>6996</v>
      </c>
      <c r="B504" s="203" t="s">
        <v>3331</v>
      </c>
      <c r="C504" s="199" t="s">
        <v>6675</v>
      </c>
      <c r="D504" s="188" t="s">
        <v>8724</v>
      </c>
      <c r="E504" s="188" t="s">
        <v>5105</v>
      </c>
      <c r="F504" s="189" t="s">
        <v>3593</v>
      </c>
      <c r="G504" s="199" t="s">
        <v>8262</v>
      </c>
      <c r="H504" s="199" t="s">
        <v>156</v>
      </c>
      <c r="I504" s="199">
        <v>1</v>
      </c>
      <c r="J504" s="199">
        <v>1</v>
      </c>
      <c r="K504" s="199">
        <v>1</v>
      </c>
      <c r="L504" s="199">
        <v>50</v>
      </c>
      <c r="M504" s="202">
        <f>TB_Parts_Lists[[#This Row],[Quantity Initial]]+ SUMIF(TB_Transactions[Part number],TB_Parts_Lists[[#This Row],[Part Number]],TB_Transactions[Quantity])</f>
        <v>50</v>
      </c>
      <c r="N504" s="200" t="s">
        <v>4593</v>
      </c>
      <c r="O504" s="234">
        <v>5</v>
      </c>
      <c r="P504" s="199">
        <f>TB_Parts_Lists[[#This Row],[Quantity Initial]]*TB_Parts_Lists[[#This Row],[Unit Price AED]]</f>
        <v>250</v>
      </c>
      <c r="Q504" s="199">
        <f>TB_Parts_Lists[[#This Row],[Quantity Total]]*TB_Parts_Lists[[#This Row],[Unit Price AED]]</f>
        <v>250</v>
      </c>
      <c r="S504" s="199" t="s">
        <v>118</v>
      </c>
      <c r="T504" s="199" t="s">
        <v>8685</v>
      </c>
      <c r="U504" s="199" t="s">
        <v>230</v>
      </c>
    </row>
    <row r="505" spans="1:21" s="199" customFormat="1" x14ac:dyDescent="0.25">
      <c r="A505" s="192" t="s">
        <v>6997</v>
      </c>
      <c r="B505" s="203" t="s">
        <v>3331</v>
      </c>
      <c r="C505" s="188" t="s">
        <v>6675</v>
      </c>
      <c r="D505" s="188" t="s">
        <v>8724</v>
      </c>
      <c r="E505" s="188" t="s">
        <v>5106</v>
      </c>
      <c r="F505" s="189" t="s">
        <v>3594</v>
      </c>
      <c r="G505" s="199" t="s">
        <v>8262</v>
      </c>
      <c r="H505" s="199" t="s">
        <v>156</v>
      </c>
      <c r="I505" s="199">
        <v>1</v>
      </c>
      <c r="J505" s="199">
        <v>1</v>
      </c>
      <c r="K505" s="199">
        <v>1</v>
      </c>
      <c r="L505" s="199">
        <v>50</v>
      </c>
      <c r="M505" s="202">
        <f>TB_Parts_Lists[[#This Row],[Quantity Initial]]+ SUMIF(TB_Transactions[Part number],TB_Parts_Lists[[#This Row],[Part Number]],TB_Transactions[Quantity])</f>
        <v>50</v>
      </c>
      <c r="N505" s="200" t="s">
        <v>4593</v>
      </c>
      <c r="O505" s="234">
        <v>5</v>
      </c>
      <c r="P505" s="199">
        <f>TB_Parts_Lists[[#This Row],[Quantity Initial]]*TB_Parts_Lists[[#This Row],[Unit Price AED]]</f>
        <v>250</v>
      </c>
      <c r="Q505" s="199">
        <f>TB_Parts_Lists[[#This Row],[Quantity Total]]*TB_Parts_Lists[[#This Row],[Unit Price AED]]</f>
        <v>250</v>
      </c>
      <c r="S505" s="199" t="s">
        <v>118</v>
      </c>
      <c r="T505" s="199" t="s">
        <v>8685</v>
      </c>
      <c r="U505" s="199" t="s">
        <v>230</v>
      </c>
    </row>
    <row r="506" spans="1:21" s="199" customFormat="1" x14ac:dyDescent="0.25">
      <c r="A506" s="192" t="s">
        <v>6998</v>
      </c>
      <c r="B506" s="203" t="s">
        <v>3331</v>
      </c>
      <c r="C506" s="188" t="s">
        <v>6672</v>
      </c>
      <c r="D506" s="199" t="s">
        <v>8723</v>
      </c>
      <c r="E506" s="188" t="s">
        <v>3565</v>
      </c>
      <c r="F506" s="189" t="s">
        <v>3595</v>
      </c>
      <c r="G506" s="199" t="s">
        <v>8262</v>
      </c>
      <c r="H506" s="199" t="s">
        <v>8642</v>
      </c>
      <c r="I506" s="199">
        <v>1</v>
      </c>
      <c r="J506" s="199">
        <v>1</v>
      </c>
      <c r="K506" s="199">
        <v>1</v>
      </c>
      <c r="L506" s="199">
        <v>50</v>
      </c>
      <c r="M506" s="202">
        <f>TB_Parts_Lists[[#This Row],[Quantity Initial]]+ SUMIF(TB_Transactions[Part number],TB_Parts_Lists[[#This Row],[Part Number]],TB_Transactions[Quantity])</f>
        <v>50</v>
      </c>
      <c r="N506" s="200" t="s">
        <v>4593</v>
      </c>
      <c r="O506" s="234">
        <v>5</v>
      </c>
      <c r="P506" s="199">
        <f>TB_Parts_Lists[[#This Row],[Quantity Initial]]*TB_Parts_Lists[[#This Row],[Unit Price AED]]</f>
        <v>250</v>
      </c>
      <c r="Q506" s="199">
        <f>TB_Parts_Lists[[#This Row],[Quantity Total]]*TB_Parts_Lists[[#This Row],[Unit Price AED]]</f>
        <v>250</v>
      </c>
      <c r="S506" s="199" t="s">
        <v>8675</v>
      </c>
      <c r="T506" s="199" t="s">
        <v>8675</v>
      </c>
      <c r="U506" s="199" t="s">
        <v>8675</v>
      </c>
    </row>
    <row r="507" spans="1:21" s="199" customFormat="1" x14ac:dyDescent="0.25">
      <c r="A507" s="192" t="s">
        <v>6999</v>
      </c>
      <c r="B507" s="203" t="s">
        <v>3330</v>
      </c>
      <c r="C507" s="188" t="s">
        <v>3625</v>
      </c>
      <c r="D507" s="199" t="s">
        <v>8723</v>
      </c>
      <c r="E507" s="188" t="s">
        <v>3566</v>
      </c>
      <c r="F507" s="189" t="s">
        <v>3596</v>
      </c>
      <c r="G507" s="199" t="s">
        <v>8262</v>
      </c>
      <c r="H507" s="199" t="s">
        <v>8642</v>
      </c>
      <c r="I507" s="199">
        <v>1</v>
      </c>
      <c r="J507" s="199">
        <v>1</v>
      </c>
      <c r="K507" s="199">
        <v>1</v>
      </c>
      <c r="L507" s="199">
        <v>50</v>
      </c>
      <c r="M507" s="202">
        <f>TB_Parts_Lists[[#This Row],[Quantity Initial]]+ SUMIF(TB_Transactions[Part number],TB_Parts_Lists[[#This Row],[Part Number]],TB_Transactions[Quantity])</f>
        <v>50</v>
      </c>
      <c r="N507" s="200" t="s">
        <v>4593</v>
      </c>
      <c r="O507" s="234">
        <v>5</v>
      </c>
      <c r="P507" s="199">
        <f>TB_Parts_Lists[[#This Row],[Quantity Initial]]*TB_Parts_Lists[[#This Row],[Unit Price AED]]</f>
        <v>250</v>
      </c>
      <c r="Q507" s="199">
        <f>TB_Parts_Lists[[#This Row],[Quantity Total]]*TB_Parts_Lists[[#This Row],[Unit Price AED]]</f>
        <v>250</v>
      </c>
      <c r="S507" s="199" t="s">
        <v>8675</v>
      </c>
      <c r="T507" s="199" t="s">
        <v>8675</v>
      </c>
      <c r="U507" s="199" t="s">
        <v>8675</v>
      </c>
    </row>
    <row r="508" spans="1:21" s="199" customFormat="1" x14ac:dyDescent="0.25">
      <c r="A508" s="192" t="s">
        <v>7000</v>
      </c>
      <c r="B508" s="203" t="s">
        <v>3330</v>
      </c>
      <c r="C508" s="188" t="s">
        <v>3338</v>
      </c>
      <c r="D508" s="199" t="s">
        <v>8723</v>
      </c>
      <c r="E508" s="188" t="s">
        <v>3567</v>
      </c>
      <c r="F508" s="189" t="s">
        <v>3597</v>
      </c>
      <c r="G508" s="199" t="s">
        <v>8262</v>
      </c>
      <c r="H508" s="199" t="s">
        <v>8642</v>
      </c>
      <c r="I508" s="199">
        <v>1</v>
      </c>
      <c r="J508" s="199">
        <v>1</v>
      </c>
      <c r="K508" s="199">
        <v>1</v>
      </c>
      <c r="L508" s="199">
        <v>50</v>
      </c>
      <c r="M508" s="202">
        <f>TB_Parts_Lists[[#This Row],[Quantity Initial]]+ SUMIF(TB_Transactions[Part number],TB_Parts_Lists[[#This Row],[Part Number]],TB_Transactions[Quantity])</f>
        <v>50</v>
      </c>
      <c r="N508" s="200" t="s">
        <v>4593</v>
      </c>
      <c r="O508" s="234">
        <v>5</v>
      </c>
      <c r="P508" s="199">
        <f>TB_Parts_Lists[[#This Row],[Quantity Initial]]*TB_Parts_Lists[[#This Row],[Unit Price AED]]</f>
        <v>250</v>
      </c>
      <c r="Q508" s="199">
        <f>TB_Parts_Lists[[#This Row],[Quantity Total]]*TB_Parts_Lists[[#This Row],[Unit Price AED]]</f>
        <v>250</v>
      </c>
      <c r="S508" s="199" t="s">
        <v>8675</v>
      </c>
      <c r="T508" s="199" t="s">
        <v>8675</v>
      </c>
      <c r="U508" s="199" t="s">
        <v>8675</v>
      </c>
    </row>
    <row r="509" spans="1:21" s="199" customFormat="1" x14ac:dyDescent="0.25">
      <c r="A509" s="192" t="s">
        <v>7001</v>
      </c>
      <c r="B509" s="203" t="s">
        <v>3331</v>
      </c>
      <c r="C509" s="199" t="s">
        <v>6671</v>
      </c>
      <c r="D509" s="199" t="s">
        <v>8723</v>
      </c>
      <c r="E509" s="188" t="s">
        <v>3622</v>
      </c>
      <c r="F509" s="189" t="s">
        <v>3598</v>
      </c>
      <c r="G509" s="199" t="s">
        <v>8262</v>
      </c>
      <c r="H509" s="199" t="s">
        <v>8642</v>
      </c>
      <c r="I509" s="199">
        <v>1</v>
      </c>
      <c r="J509" s="199">
        <v>1</v>
      </c>
      <c r="K509" s="199">
        <v>1</v>
      </c>
      <c r="L509" s="199">
        <v>50</v>
      </c>
      <c r="M509" s="202">
        <f>TB_Parts_Lists[[#This Row],[Quantity Initial]]+ SUMIF(TB_Transactions[Part number],TB_Parts_Lists[[#This Row],[Part Number]],TB_Transactions[Quantity])</f>
        <v>50</v>
      </c>
      <c r="N509" s="200" t="s">
        <v>4593</v>
      </c>
      <c r="O509" s="234">
        <v>5</v>
      </c>
      <c r="P509" s="199">
        <f>TB_Parts_Lists[[#This Row],[Quantity Initial]]*TB_Parts_Lists[[#This Row],[Unit Price AED]]</f>
        <v>250</v>
      </c>
      <c r="Q509" s="199">
        <f>TB_Parts_Lists[[#This Row],[Quantity Total]]*TB_Parts_Lists[[#This Row],[Unit Price AED]]</f>
        <v>250</v>
      </c>
      <c r="S509" s="199" t="s">
        <v>8675</v>
      </c>
      <c r="T509" s="199" t="s">
        <v>8675</v>
      </c>
      <c r="U509" s="199" t="s">
        <v>8675</v>
      </c>
    </row>
    <row r="510" spans="1:21" s="199" customFormat="1" x14ac:dyDescent="0.25">
      <c r="A510" s="192" t="s">
        <v>7003</v>
      </c>
      <c r="B510" s="203" t="s">
        <v>3331</v>
      </c>
      <c r="C510" s="199" t="s">
        <v>7002</v>
      </c>
      <c r="D510" s="188" t="s">
        <v>8724</v>
      </c>
      <c r="E510" s="188" t="s">
        <v>5107</v>
      </c>
      <c r="F510" s="189" t="s">
        <v>3599</v>
      </c>
      <c r="G510" s="199" t="s">
        <v>8262</v>
      </c>
      <c r="H510" s="199" t="s">
        <v>123</v>
      </c>
      <c r="I510" s="199">
        <v>1</v>
      </c>
      <c r="J510" s="199">
        <v>1</v>
      </c>
      <c r="K510" s="199">
        <v>1</v>
      </c>
      <c r="L510" s="199">
        <v>50</v>
      </c>
      <c r="M510" s="202">
        <f>TB_Parts_Lists[[#This Row],[Quantity Initial]]+ SUMIF(TB_Transactions[Part number],TB_Parts_Lists[[#This Row],[Part Number]],TB_Transactions[Quantity])</f>
        <v>50</v>
      </c>
      <c r="N510" s="200" t="s">
        <v>4593</v>
      </c>
      <c r="O510" s="234">
        <v>5</v>
      </c>
      <c r="P510" s="199">
        <f>TB_Parts_Lists[[#This Row],[Quantity Initial]]*TB_Parts_Lists[[#This Row],[Unit Price AED]]</f>
        <v>250</v>
      </c>
      <c r="Q510" s="199">
        <f>TB_Parts_Lists[[#This Row],[Quantity Total]]*TB_Parts_Lists[[#This Row],[Unit Price AED]]</f>
        <v>250</v>
      </c>
      <c r="S510" s="199" t="s">
        <v>118</v>
      </c>
      <c r="T510" s="199" t="s">
        <v>8685</v>
      </c>
      <c r="U510" s="199" t="s">
        <v>230</v>
      </c>
    </row>
    <row r="511" spans="1:21" s="199" customFormat="1" x14ac:dyDescent="0.25">
      <c r="A511" s="192" t="s">
        <v>7004</v>
      </c>
      <c r="B511" s="203" t="s">
        <v>3331</v>
      </c>
      <c r="C511" s="199" t="s">
        <v>7002</v>
      </c>
      <c r="D511" s="188" t="s">
        <v>8724</v>
      </c>
      <c r="E511" s="188" t="s">
        <v>5108</v>
      </c>
      <c r="F511" s="189" t="s">
        <v>3600</v>
      </c>
      <c r="G511" s="199" t="s">
        <v>8262</v>
      </c>
      <c r="H511" s="199" t="s">
        <v>123</v>
      </c>
      <c r="I511" s="199">
        <v>1</v>
      </c>
      <c r="J511" s="199">
        <v>1</v>
      </c>
      <c r="K511" s="199">
        <v>1</v>
      </c>
      <c r="L511" s="199">
        <v>50</v>
      </c>
      <c r="M511" s="202">
        <f>TB_Parts_Lists[[#This Row],[Quantity Initial]]+ SUMIF(TB_Transactions[Part number],TB_Parts_Lists[[#This Row],[Part Number]],TB_Transactions[Quantity])</f>
        <v>50</v>
      </c>
      <c r="N511" s="200" t="s">
        <v>4593</v>
      </c>
      <c r="O511" s="234">
        <v>5</v>
      </c>
      <c r="P511" s="199">
        <f>TB_Parts_Lists[[#This Row],[Quantity Initial]]*TB_Parts_Lists[[#This Row],[Unit Price AED]]</f>
        <v>250</v>
      </c>
      <c r="Q511" s="199">
        <f>TB_Parts_Lists[[#This Row],[Quantity Total]]*TB_Parts_Lists[[#This Row],[Unit Price AED]]</f>
        <v>250</v>
      </c>
      <c r="S511" s="199" t="s">
        <v>118</v>
      </c>
      <c r="T511" s="199" t="s">
        <v>8685</v>
      </c>
      <c r="U511" s="199" t="s">
        <v>230</v>
      </c>
    </row>
    <row r="512" spans="1:21" s="199" customFormat="1" x14ac:dyDescent="0.25">
      <c r="A512" s="192" t="s">
        <v>7005</v>
      </c>
      <c r="B512" s="203" t="s">
        <v>3331</v>
      </c>
      <c r="C512" s="199" t="s">
        <v>7002</v>
      </c>
      <c r="D512" s="188" t="s">
        <v>8724</v>
      </c>
      <c r="E512" s="188" t="s">
        <v>5109</v>
      </c>
      <c r="F512" s="189" t="s">
        <v>3601</v>
      </c>
      <c r="G512" s="199" t="s">
        <v>8262</v>
      </c>
      <c r="H512" s="199" t="s">
        <v>123</v>
      </c>
      <c r="I512" s="199">
        <v>1</v>
      </c>
      <c r="J512" s="199">
        <v>1</v>
      </c>
      <c r="K512" s="199">
        <v>1</v>
      </c>
      <c r="L512" s="199">
        <v>50</v>
      </c>
      <c r="M512" s="202">
        <f>TB_Parts_Lists[[#This Row],[Quantity Initial]]+ SUMIF(TB_Transactions[Part number],TB_Parts_Lists[[#This Row],[Part Number]],TB_Transactions[Quantity])</f>
        <v>50</v>
      </c>
      <c r="N512" s="200" t="s">
        <v>4593</v>
      </c>
      <c r="O512" s="234">
        <v>5</v>
      </c>
      <c r="P512" s="199">
        <f>TB_Parts_Lists[[#This Row],[Quantity Initial]]*TB_Parts_Lists[[#This Row],[Unit Price AED]]</f>
        <v>250</v>
      </c>
      <c r="Q512" s="199">
        <f>TB_Parts_Lists[[#This Row],[Quantity Total]]*TB_Parts_Lists[[#This Row],[Unit Price AED]]</f>
        <v>250</v>
      </c>
      <c r="S512" s="199" t="s">
        <v>118</v>
      </c>
      <c r="T512" s="199" t="s">
        <v>8685</v>
      </c>
      <c r="U512" s="199" t="s">
        <v>230</v>
      </c>
    </row>
    <row r="513" spans="1:21" s="199" customFormat="1" x14ac:dyDescent="0.25">
      <c r="A513" s="192" t="s">
        <v>7006</v>
      </c>
      <c r="B513" s="203" t="s">
        <v>3331</v>
      </c>
      <c r="C513" s="199" t="s">
        <v>7002</v>
      </c>
      <c r="D513" s="188" t="s">
        <v>8724</v>
      </c>
      <c r="E513" s="188" t="s">
        <v>5109</v>
      </c>
      <c r="F513" s="189" t="s">
        <v>3602</v>
      </c>
      <c r="G513" s="199" t="s">
        <v>8262</v>
      </c>
      <c r="H513" s="199" t="s">
        <v>123</v>
      </c>
      <c r="I513" s="199">
        <v>1</v>
      </c>
      <c r="J513" s="199">
        <v>1</v>
      </c>
      <c r="K513" s="199">
        <v>1</v>
      </c>
      <c r="L513" s="199">
        <v>50</v>
      </c>
      <c r="M513" s="202">
        <f>TB_Parts_Lists[[#This Row],[Quantity Initial]]+ SUMIF(TB_Transactions[Part number],TB_Parts_Lists[[#This Row],[Part Number]],TB_Transactions[Quantity])</f>
        <v>50</v>
      </c>
      <c r="N513" s="200" t="s">
        <v>4593</v>
      </c>
      <c r="O513" s="234">
        <v>5</v>
      </c>
      <c r="P513" s="199">
        <f>TB_Parts_Lists[[#This Row],[Quantity Initial]]*TB_Parts_Lists[[#This Row],[Unit Price AED]]</f>
        <v>250</v>
      </c>
      <c r="Q513" s="199">
        <f>TB_Parts_Lists[[#This Row],[Quantity Total]]*TB_Parts_Lists[[#This Row],[Unit Price AED]]</f>
        <v>250</v>
      </c>
      <c r="S513" s="199" t="s">
        <v>118</v>
      </c>
      <c r="T513" s="199" t="s">
        <v>8685</v>
      </c>
      <c r="U513" s="199" t="s">
        <v>230</v>
      </c>
    </row>
    <row r="514" spans="1:21" s="199" customFormat="1" x14ac:dyDescent="0.25">
      <c r="A514" s="192" t="s">
        <v>7007</v>
      </c>
      <c r="B514" s="203" t="s">
        <v>3331</v>
      </c>
      <c r="C514" s="199" t="s">
        <v>7002</v>
      </c>
      <c r="D514" s="188" t="s">
        <v>8724</v>
      </c>
      <c r="E514" s="188" t="s">
        <v>5110</v>
      </c>
      <c r="F514" s="189" t="s">
        <v>3603</v>
      </c>
      <c r="G514" s="199" t="s">
        <v>8262</v>
      </c>
      <c r="H514" s="199" t="s">
        <v>72</v>
      </c>
      <c r="I514" s="199">
        <v>1</v>
      </c>
      <c r="J514" s="199">
        <v>1</v>
      </c>
      <c r="K514" s="199">
        <v>1</v>
      </c>
      <c r="L514" s="199">
        <v>50</v>
      </c>
      <c r="M514" s="202">
        <f>TB_Parts_Lists[[#This Row],[Quantity Initial]]+ SUMIF(TB_Transactions[Part number],TB_Parts_Lists[[#This Row],[Part Number]],TB_Transactions[Quantity])</f>
        <v>50</v>
      </c>
      <c r="N514" s="200" t="s">
        <v>4593</v>
      </c>
      <c r="O514" s="234">
        <v>5</v>
      </c>
      <c r="P514" s="199">
        <f>TB_Parts_Lists[[#This Row],[Quantity Initial]]*TB_Parts_Lists[[#This Row],[Unit Price AED]]</f>
        <v>250</v>
      </c>
      <c r="Q514" s="199">
        <f>TB_Parts_Lists[[#This Row],[Quantity Total]]*TB_Parts_Lists[[#This Row],[Unit Price AED]]</f>
        <v>250</v>
      </c>
      <c r="S514" s="199" t="s">
        <v>118</v>
      </c>
      <c r="T514" s="199" t="s">
        <v>8685</v>
      </c>
      <c r="U514" s="199" t="s">
        <v>230</v>
      </c>
    </row>
    <row r="515" spans="1:21" s="199" customFormat="1" x14ac:dyDescent="0.25">
      <c r="A515" s="192" t="s">
        <v>7008</v>
      </c>
      <c r="B515" s="203" t="s">
        <v>3331</v>
      </c>
      <c r="C515" s="188" t="s">
        <v>6675</v>
      </c>
      <c r="D515" s="188" t="s">
        <v>8724</v>
      </c>
      <c r="E515" s="188" t="s">
        <v>5111</v>
      </c>
      <c r="F515" s="189" t="s">
        <v>3604</v>
      </c>
      <c r="G515" s="199" t="s">
        <v>8262</v>
      </c>
      <c r="H515" s="199" t="s">
        <v>8647</v>
      </c>
      <c r="I515" s="199">
        <v>1</v>
      </c>
      <c r="J515" s="199">
        <v>1</v>
      </c>
      <c r="K515" s="199">
        <v>1</v>
      </c>
      <c r="L515" s="199">
        <v>50</v>
      </c>
      <c r="M515" s="202">
        <f>TB_Parts_Lists[[#This Row],[Quantity Initial]]+ SUMIF(TB_Transactions[Part number],TB_Parts_Lists[[#This Row],[Part Number]],TB_Transactions[Quantity])</f>
        <v>50</v>
      </c>
      <c r="N515" s="200" t="s">
        <v>4593</v>
      </c>
      <c r="O515" s="234">
        <v>5</v>
      </c>
      <c r="P515" s="199">
        <f>TB_Parts_Lists[[#This Row],[Quantity Initial]]*TB_Parts_Lists[[#This Row],[Unit Price AED]]</f>
        <v>250</v>
      </c>
      <c r="Q515" s="199">
        <f>TB_Parts_Lists[[#This Row],[Quantity Total]]*TB_Parts_Lists[[#This Row],[Unit Price AED]]</f>
        <v>250</v>
      </c>
      <c r="S515" s="199" t="s">
        <v>118</v>
      </c>
      <c r="T515" s="199" t="s">
        <v>8685</v>
      </c>
      <c r="U515" s="199" t="s">
        <v>230</v>
      </c>
    </row>
    <row r="516" spans="1:21" s="199" customFormat="1" x14ac:dyDescent="0.25">
      <c r="A516" s="192" t="s">
        <v>7009</v>
      </c>
      <c r="B516" s="201" t="s">
        <v>4605</v>
      </c>
      <c r="C516" s="188" t="s">
        <v>3338</v>
      </c>
      <c r="D516" s="199" t="s">
        <v>8723</v>
      </c>
      <c r="E516" s="188" t="s">
        <v>3568</v>
      </c>
      <c r="F516" s="189" t="s">
        <v>3605</v>
      </c>
      <c r="G516" s="199" t="s">
        <v>8262</v>
      </c>
      <c r="H516" s="199" t="s">
        <v>72</v>
      </c>
      <c r="I516" s="199">
        <v>1</v>
      </c>
      <c r="J516" s="199">
        <v>1</v>
      </c>
      <c r="K516" s="199">
        <v>1</v>
      </c>
      <c r="L516" s="199">
        <v>50</v>
      </c>
      <c r="M516" s="202">
        <f>TB_Parts_Lists[[#This Row],[Quantity Initial]]+ SUMIF(TB_Transactions[Part number],TB_Parts_Lists[[#This Row],[Part Number]],TB_Transactions[Quantity])</f>
        <v>50</v>
      </c>
      <c r="N516" s="200" t="s">
        <v>4593</v>
      </c>
      <c r="O516" s="234">
        <v>5</v>
      </c>
      <c r="P516" s="199">
        <f>TB_Parts_Lists[[#This Row],[Quantity Initial]]*TB_Parts_Lists[[#This Row],[Unit Price AED]]</f>
        <v>250</v>
      </c>
      <c r="Q516" s="199">
        <f>TB_Parts_Lists[[#This Row],[Quantity Total]]*TB_Parts_Lists[[#This Row],[Unit Price AED]]</f>
        <v>250</v>
      </c>
      <c r="S516" s="199" t="s">
        <v>8675</v>
      </c>
      <c r="T516" s="199" t="s">
        <v>8675</v>
      </c>
      <c r="U516" s="199" t="s">
        <v>8675</v>
      </c>
    </row>
    <row r="517" spans="1:21" s="199" customFormat="1" x14ac:dyDescent="0.25">
      <c r="A517" s="192" t="s">
        <v>7010</v>
      </c>
      <c r="B517" s="204" t="s">
        <v>3331</v>
      </c>
      <c r="C517" s="190" t="s">
        <v>6671</v>
      </c>
      <c r="D517" s="188" t="s">
        <v>8724</v>
      </c>
      <c r="E517" s="188" t="s">
        <v>5112</v>
      </c>
      <c r="F517" s="189" t="s">
        <v>3606</v>
      </c>
      <c r="G517" s="199" t="s">
        <v>8262</v>
      </c>
      <c r="H517" s="199" t="s">
        <v>72</v>
      </c>
      <c r="I517" s="199">
        <v>1</v>
      </c>
      <c r="J517" s="199">
        <v>1</v>
      </c>
      <c r="K517" s="199">
        <v>1</v>
      </c>
      <c r="L517" s="199">
        <v>50</v>
      </c>
      <c r="M517" s="206">
        <f>TB_Parts_Lists[[#This Row],[Quantity Initial]]+ SUMIF(TB_Transactions[Part number],TB_Parts_Lists[[#This Row],[Part Number]],TB_Transactions[Quantity])</f>
        <v>50</v>
      </c>
      <c r="N517" s="200" t="s">
        <v>4593</v>
      </c>
      <c r="O517" s="234">
        <v>5</v>
      </c>
      <c r="P517" s="199">
        <f>TB_Parts_Lists[[#This Row],[Quantity Initial]]*TB_Parts_Lists[[#This Row],[Unit Price AED]]</f>
        <v>250</v>
      </c>
      <c r="Q517" s="199">
        <f>TB_Parts_Lists[[#This Row],[Quantity Total]]*TB_Parts_Lists[[#This Row],[Unit Price AED]]</f>
        <v>250</v>
      </c>
      <c r="R517" s="205"/>
      <c r="S517" s="199" t="s">
        <v>118</v>
      </c>
      <c r="T517" s="199" t="s">
        <v>8685</v>
      </c>
      <c r="U517" s="199" t="s">
        <v>230</v>
      </c>
    </row>
    <row r="518" spans="1:21" s="199" customFormat="1" x14ac:dyDescent="0.25">
      <c r="A518" s="192" t="s">
        <v>7012</v>
      </c>
      <c r="B518" s="201" t="s">
        <v>3337</v>
      </c>
      <c r="C518" s="199" t="s">
        <v>7011</v>
      </c>
      <c r="D518" s="199" t="s">
        <v>8732</v>
      </c>
      <c r="E518" s="188" t="s">
        <v>5113</v>
      </c>
      <c r="F518" s="189" t="s">
        <v>3607</v>
      </c>
      <c r="G518" s="199" t="s">
        <v>8262</v>
      </c>
      <c r="H518" s="199" t="s">
        <v>8648</v>
      </c>
      <c r="I518" s="199">
        <v>1</v>
      </c>
      <c r="J518" s="199">
        <v>1</v>
      </c>
      <c r="K518" s="199">
        <v>1</v>
      </c>
      <c r="L518" s="199">
        <v>50</v>
      </c>
      <c r="M518" s="202">
        <f>TB_Parts_Lists[[#This Row],[Quantity Initial]]+ SUMIF(TB_Transactions[Part number],TB_Parts_Lists[[#This Row],[Part Number]],TB_Transactions[Quantity])</f>
        <v>50</v>
      </c>
      <c r="N518" s="200" t="s">
        <v>4593</v>
      </c>
      <c r="O518" s="234">
        <v>5</v>
      </c>
      <c r="P518" s="199">
        <f>TB_Parts_Lists[[#This Row],[Quantity Initial]]*TB_Parts_Lists[[#This Row],[Unit Price AED]]</f>
        <v>250</v>
      </c>
      <c r="Q518" s="199">
        <f>TB_Parts_Lists[[#This Row],[Quantity Total]]*TB_Parts_Lists[[#This Row],[Unit Price AED]]</f>
        <v>250</v>
      </c>
      <c r="S518" s="199" t="s">
        <v>118</v>
      </c>
      <c r="T518" s="199" t="s">
        <v>8711</v>
      </c>
      <c r="U518" s="199" t="s">
        <v>8717</v>
      </c>
    </row>
    <row r="519" spans="1:21" s="199" customFormat="1" x14ac:dyDescent="0.25">
      <c r="A519" s="192" t="s">
        <v>7013</v>
      </c>
      <c r="B519" s="203" t="s">
        <v>3330</v>
      </c>
      <c r="C519" s="199" t="s">
        <v>6679</v>
      </c>
      <c r="D519" s="188" t="s">
        <v>8724</v>
      </c>
      <c r="E519" s="188" t="s">
        <v>5114</v>
      </c>
      <c r="F519" s="189" t="s">
        <v>3608</v>
      </c>
      <c r="G519" s="199" t="s">
        <v>8262</v>
      </c>
      <c r="H519" s="199" t="s">
        <v>72</v>
      </c>
      <c r="I519" s="199">
        <v>1</v>
      </c>
      <c r="J519" s="199">
        <v>1</v>
      </c>
      <c r="K519" s="199">
        <v>1</v>
      </c>
      <c r="L519" s="199">
        <v>50</v>
      </c>
      <c r="M519" s="202">
        <f>TB_Parts_Lists[[#This Row],[Quantity Initial]]+ SUMIF(TB_Transactions[Part number],TB_Parts_Lists[[#This Row],[Part Number]],TB_Transactions[Quantity])</f>
        <v>50</v>
      </c>
      <c r="N519" s="200" t="s">
        <v>4593</v>
      </c>
      <c r="O519" s="234">
        <v>5</v>
      </c>
      <c r="P519" s="199">
        <f>TB_Parts_Lists[[#This Row],[Quantity Initial]]*TB_Parts_Lists[[#This Row],[Unit Price AED]]</f>
        <v>250</v>
      </c>
      <c r="Q519" s="199">
        <f>TB_Parts_Lists[[#This Row],[Quantity Total]]*TB_Parts_Lists[[#This Row],[Unit Price AED]]</f>
        <v>250</v>
      </c>
      <c r="S519" s="199" t="s">
        <v>118</v>
      </c>
      <c r="T519" s="199" t="s">
        <v>8685</v>
      </c>
      <c r="U519" s="199" t="s">
        <v>230</v>
      </c>
    </row>
    <row r="520" spans="1:21" s="199" customFormat="1" x14ac:dyDescent="0.25">
      <c r="A520" s="192" t="s">
        <v>7014</v>
      </c>
      <c r="B520" s="203" t="s">
        <v>3330</v>
      </c>
      <c r="C520" s="199" t="s">
        <v>6679</v>
      </c>
      <c r="D520" s="188" t="s">
        <v>8724</v>
      </c>
      <c r="E520" s="188" t="s">
        <v>5115</v>
      </c>
      <c r="F520" s="189" t="s">
        <v>3609</v>
      </c>
      <c r="G520" s="199" t="s">
        <v>8262</v>
      </c>
      <c r="H520" s="199" t="s">
        <v>72</v>
      </c>
      <c r="I520" s="199">
        <v>1</v>
      </c>
      <c r="J520" s="199">
        <v>1</v>
      </c>
      <c r="K520" s="199">
        <v>1</v>
      </c>
      <c r="L520" s="199">
        <v>50</v>
      </c>
      <c r="M520" s="202">
        <f>TB_Parts_Lists[[#This Row],[Quantity Initial]]+ SUMIF(TB_Transactions[Part number],TB_Parts_Lists[[#This Row],[Part Number]],TB_Transactions[Quantity])</f>
        <v>50</v>
      </c>
      <c r="N520" s="200" t="s">
        <v>4593</v>
      </c>
      <c r="O520" s="234">
        <v>5</v>
      </c>
      <c r="P520" s="199">
        <f>TB_Parts_Lists[[#This Row],[Quantity Initial]]*TB_Parts_Lists[[#This Row],[Unit Price AED]]</f>
        <v>250</v>
      </c>
      <c r="Q520" s="199">
        <f>TB_Parts_Lists[[#This Row],[Quantity Total]]*TB_Parts_Lists[[#This Row],[Unit Price AED]]</f>
        <v>250</v>
      </c>
      <c r="S520" s="199" t="s">
        <v>118</v>
      </c>
      <c r="T520" s="199" t="s">
        <v>8685</v>
      </c>
      <c r="U520" s="199" t="s">
        <v>230</v>
      </c>
    </row>
    <row r="521" spans="1:21" s="199" customFormat="1" x14ac:dyDescent="0.25">
      <c r="A521" s="192" t="s">
        <v>7016</v>
      </c>
      <c r="B521" s="203" t="s">
        <v>4605</v>
      </c>
      <c r="C521" s="199" t="s">
        <v>7015</v>
      </c>
      <c r="D521" s="188" t="s">
        <v>8724</v>
      </c>
      <c r="E521" s="188" t="s">
        <v>5116</v>
      </c>
      <c r="F521" s="189" t="s">
        <v>3610</v>
      </c>
      <c r="G521" s="199" t="s">
        <v>8262</v>
      </c>
      <c r="H521" s="199" t="s">
        <v>72</v>
      </c>
      <c r="I521" s="199">
        <v>1</v>
      </c>
      <c r="J521" s="199">
        <v>1</v>
      </c>
      <c r="K521" s="199">
        <v>1</v>
      </c>
      <c r="L521" s="199">
        <v>50</v>
      </c>
      <c r="M521" s="202">
        <f>TB_Parts_Lists[[#This Row],[Quantity Initial]]+ SUMIF(TB_Transactions[Part number],TB_Parts_Lists[[#This Row],[Part Number]],TB_Transactions[Quantity])</f>
        <v>50</v>
      </c>
      <c r="N521" s="200" t="s">
        <v>4593</v>
      </c>
      <c r="O521" s="234">
        <v>5</v>
      </c>
      <c r="P521" s="199">
        <f>TB_Parts_Lists[[#This Row],[Quantity Initial]]*TB_Parts_Lists[[#This Row],[Unit Price AED]]</f>
        <v>250</v>
      </c>
      <c r="Q521" s="199">
        <f>TB_Parts_Lists[[#This Row],[Quantity Total]]*TB_Parts_Lists[[#This Row],[Unit Price AED]]</f>
        <v>250</v>
      </c>
      <c r="S521" s="199" t="s">
        <v>118</v>
      </c>
      <c r="T521" s="199" t="s">
        <v>8712</v>
      </c>
      <c r="U521" s="199" t="s">
        <v>8718</v>
      </c>
    </row>
    <row r="522" spans="1:21" s="199" customFormat="1" x14ac:dyDescent="0.25">
      <c r="A522" s="192" t="s">
        <v>7018</v>
      </c>
      <c r="B522" s="201" t="s">
        <v>3338</v>
      </c>
      <c r="C522" s="199" t="s">
        <v>7017</v>
      </c>
      <c r="D522" s="199" t="s">
        <v>8732</v>
      </c>
      <c r="E522" s="188" t="s">
        <v>5117</v>
      </c>
      <c r="F522" s="189" t="s">
        <v>5984</v>
      </c>
      <c r="G522" s="199" t="s">
        <v>8263</v>
      </c>
      <c r="H522" s="199" t="s">
        <v>8649</v>
      </c>
      <c r="I522" s="199">
        <v>1</v>
      </c>
      <c r="J522" s="199">
        <v>1</v>
      </c>
      <c r="K522" s="199">
        <v>1</v>
      </c>
      <c r="L522" s="199">
        <v>50</v>
      </c>
      <c r="M522" s="202">
        <f>TB_Parts_Lists[[#This Row],[Quantity Initial]]+ SUMIF(TB_Transactions[Part number],TB_Parts_Lists[[#This Row],[Part Number]],TB_Transactions[Quantity])</f>
        <v>50</v>
      </c>
      <c r="N522" s="200" t="s">
        <v>4593</v>
      </c>
      <c r="O522" s="234">
        <v>5</v>
      </c>
      <c r="P522" s="199">
        <f>TB_Parts_Lists[[#This Row],[Quantity Initial]]*TB_Parts_Lists[[#This Row],[Unit Price AED]]</f>
        <v>250</v>
      </c>
      <c r="Q522" s="199">
        <f>TB_Parts_Lists[[#This Row],[Quantity Total]]*TB_Parts_Lists[[#This Row],[Unit Price AED]]</f>
        <v>250</v>
      </c>
      <c r="S522" s="199" t="s">
        <v>118</v>
      </c>
      <c r="T522" s="199" t="s">
        <v>8675</v>
      </c>
      <c r="U522" s="199" t="s">
        <v>8675</v>
      </c>
    </row>
    <row r="523" spans="1:21" s="199" customFormat="1" x14ac:dyDescent="0.25">
      <c r="A523" s="192" t="s">
        <v>7019</v>
      </c>
      <c r="B523" s="201" t="s">
        <v>3338</v>
      </c>
      <c r="C523" s="199" t="s">
        <v>6722</v>
      </c>
      <c r="D523" s="199" t="s">
        <v>8732</v>
      </c>
      <c r="E523" s="188" t="s">
        <v>3569</v>
      </c>
      <c r="F523" s="189" t="s">
        <v>3611</v>
      </c>
      <c r="G523" s="199" t="s">
        <v>8263</v>
      </c>
      <c r="H523" s="199" t="s">
        <v>72</v>
      </c>
      <c r="I523" s="199">
        <v>1</v>
      </c>
      <c r="J523" s="199">
        <v>1</v>
      </c>
      <c r="K523" s="199">
        <v>1</v>
      </c>
      <c r="L523" s="199">
        <v>50</v>
      </c>
      <c r="M523" s="202">
        <f>TB_Parts_Lists[[#This Row],[Quantity Initial]]+ SUMIF(TB_Transactions[Part number],TB_Parts_Lists[[#This Row],[Part Number]],TB_Transactions[Quantity])</f>
        <v>50</v>
      </c>
      <c r="N523" s="200" t="s">
        <v>4593</v>
      </c>
      <c r="O523" s="234">
        <v>5</v>
      </c>
      <c r="P523" s="199">
        <f>TB_Parts_Lists[[#This Row],[Quantity Initial]]*TB_Parts_Lists[[#This Row],[Unit Price AED]]</f>
        <v>250</v>
      </c>
      <c r="Q523" s="199">
        <f>TB_Parts_Lists[[#This Row],[Quantity Total]]*TB_Parts_Lists[[#This Row],[Unit Price AED]]</f>
        <v>250</v>
      </c>
      <c r="S523" s="199" t="s">
        <v>118</v>
      </c>
      <c r="T523" s="199" t="s">
        <v>8675</v>
      </c>
      <c r="U523" s="199" t="s">
        <v>8675</v>
      </c>
    </row>
    <row r="524" spans="1:21" s="199" customFormat="1" x14ac:dyDescent="0.25">
      <c r="A524" s="192" t="s">
        <v>7020</v>
      </c>
      <c r="B524" s="201" t="s">
        <v>3338</v>
      </c>
      <c r="C524" s="199" t="s">
        <v>6722</v>
      </c>
      <c r="D524" s="199" t="s">
        <v>8732</v>
      </c>
      <c r="E524" s="188" t="s">
        <v>3570</v>
      </c>
      <c r="F524" s="189" t="s">
        <v>3612</v>
      </c>
      <c r="G524" s="199" t="s">
        <v>8263</v>
      </c>
      <c r="H524" s="199" t="s">
        <v>72</v>
      </c>
      <c r="I524" s="199">
        <v>1</v>
      </c>
      <c r="J524" s="199">
        <v>1</v>
      </c>
      <c r="K524" s="199">
        <v>1</v>
      </c>
      <c r="L524" s="199">
        <v>50</v>
      </c>
      <c r="M524" s="202">
        <f>TB_Parts_Lists[[#This Row],[Quantity Initial]]+ SUMIF(TB_Transactions[Part number],TB_Parts_Lists[[#This Row],[Part Number]],TB_Transactions[Quantity])</f>
        <v>50</v>
      </c>
      <c r="N524" s="200" t="s">
        <v>4593</v>
      </c>
      <c r="O524" s="234">
        <v>5</v>
      </c>
      <c r="P524" s="199">
        <f>TB_Parts_Lists[[#This Row],[Quantity Initial]]*TB_Parts_Lists[[#This Row],[Unit Price AED]]</f>
        <v>250</v>
      </c>
      <c r="Q524" s="199">
        <f>TB_Parts_Lists[[#This Row],[Quantity Total]]*TB_Parts_Lists[[#This Row],[Unit Price AED]]</f>
        <v>250</v>
      </c>
      <c r="S524" s="199" t="s">
        <v>118</v>
      </c>
      <c r="T524" s="199" t="s">
        <v>8675</v>
      </c>
      <c r="U524" s="199" t="s">
        <v>8675</v>
      </c>
    </row>
    <row r="525" spans="1:21" s="199" customFormat="1" x14ac:dyDescent="0.25">
      <c r="A525" s="192" t="s">
        <v>7021</v>
      </c>
      <c r="B525" s="201" t="s">
        <v>3330</v>
      </c>
      <c r="C525" s="199" t="s">
        <v>3338</v>
      </c>
      <c r="D525" s="199" t="s">
        <v>8723</v>
      </c>
      <c r="E525" s="188" t="s">
        <v>3571</v>
      </c>
      <c r="F525" s="189" t="s">
        <v>3613</v>
      </c>
      <c r="G525" s="199" t="s">
        <v>8263</v>
      </c>
      <c r="H525" s="199" t="s">
        <v>72</v>
      </c>
      <c r="I525" s="199">
        <v>1</v>
      </c>
      <c r="J525" s="199">
        <v>1</v>
      </c>
      <c r="K525" s="199">
        <v>1</v>
      </c>
      <c r="L525" s="199">
        <v>50</v>
      </c>
      <c r="M525" s="202">
        <f>TB_Parts_Lists[[#This Row],[Quantity Initial]]+ SUMIF(TB_Transactions[Part number],TB_Parts_Lists[[#This Row],[Part Number]],TB_Transactions[Quantity])</f>
        <v>50</v>
      </c>
      <c r="N525" s="200" t="s">
        <v>4593</v>
      </c>
      <c r="O525" s="234">
        <v>5</v>
      </c>
      <c r="P525" s="199">
        <f>TB_Parts_Lists[[#This Row],[Quantity Initial]]*TB_Parts_Lists[[#This Row],[Unit Price AED]]</f>
        <v>250</v>
      </c>
      <c r="Q525" s="199">
        <f>TB_Parts_Lists[[#This Row],[Quantity Total]]*TB_Parts_Lists[[#This Row],[Unit Price AED]]</f>
        <v>250</v>
      </c>
      <c r="S525" s="199" t="s">
        <v>8675</v>
      </c>
      <c r="T525" s="199" t="s">
        <v>8675</v>
      </c>
      <c r="U525" s="199" t="s">
        <v>8675</v>
      </c>
    </row>
    <row r="526" spans="1:21" s="199" customFormat="1" x14ac:dyDescent="0.25">
      <c r="A526" s="192" t="s">
        <v>7022</v>
      </c>
      <c r="B526" s="201" t="s">
        <v>3338</v>
      </c>
      <c r="C526" s="199" t="s">
        <v>6722</v>
      </c>
      <c r="D526" s="199" t="s">
        <v>8732</v>
      </c>
      <c r="E526" s="188" t="s">
        <v>5118</v>
      </c>
      <c r="F526" s="189" t="s">
        <v>3614</v>
      </c>
      <c r="G526" s="199" t="s">
        <v>8263</v>
      </c>
      <c r="H526" s="199" t="s">
        <v>72</v>
      </c>
      <c r="I526" s="199">
        <v>1</v>
      </c>
      <c r="J526" s="199">
        <v>1</v>
      </c>
      <c r="K526" s="199">
        <v>1</v>
      </c>
      <c r="L526" s="199">
        <v>50</v>
      </c>
      <c r="M526" s="202">
        <f>TB_Parts_Lists[[#This Row],[Quantity Initial]]+ SUMIF(TB_Transactions[Part number],TB_Parts_Lists[[#This Row],[Part Number]],TB_Transactions[Quantity])</f>
        <v>50</v>
      </c>
      <c r="N526" s="200" t="s">
        <v>4593</v>
      </c>
      <c r="O526" s="234">
        <v>5</v>
      </c>
      <c r="P526" s="199">
        <f>TB_Parts_Lists[[#This Row],[Quantity Initial]]*TB_Parts_Lists[[#This Row],[Unit Price AED]]</f>
        <v>250</v>
      </c>
      <c r="Q526" s="199">
        <f>TB_Parts_Lists[[#This Row],[Quantity Total]]*TB_Parts_Lists[[#This Row],[Unit Price AED]]</f>
        <v>250</v>
      </c>
      <c r="S526" s="199" t="s">
        <v>118</v>
      </c>
      <c r="T526" s="199" t="s">
        <v>8675</v>
      </c>
      <c r="U526" s="199" t="s">
        <v>8675</v>
      </c>
    </row>
    <row r="527" spans="1:21" s="199" customFormat="1" x14ac:dyDescent="0.25">
      <c r="A527" s="192" t="s">
        <v>7023</v>
      </c>
      <c r="B527" s="201" t="s">
        <v>3330</v>
      </c>
      <c r="C527" s="199" t="s">
        <v>3338</v>
      </c>
      <c r="D527" s="188" t="s">
        <v>8724</v>
      </c>
      <c r="E527" s="188" t="s">
        <v>3572</v>
      </c>
      <c r="F527" s="189" t="s">
        <v>3615</v>
      </c>
      <c r="G527" s="199" t="s">
        <v>8263</v>
      </c>
      <c r="H527" s="199" t="s">
        <v>72</v>
      </c>
      <c r="I527" s="199">
        <v>1</v>
      </c>
      <c r="J527" s="199">
        <v>1</v>
      </c>
      <c r="K527" s="199">
        <v>1</v>
      </c>
      <c r="L527" s="199">
        <v>50</v>
      </c>
      <c r="M527" s="202">
        <f>TB_Parts_Lists[[#This Row],[Quantity Initial]]+ SUMIF(TB_Transactions[Part number],TB_Parts_Lists[[#This Row],[Part Number]],TB_Transactions[Quantity])</f>
        <v>50</v>
      </c>
      <c r="N527" s="200" t="s">
        <v>4593</v>
      </c>
      <c r="O527" s="234">
        <v>5</v>
      </c>
      <c r="P527" s="199">
        <f>TB_Parts_Lists[[#This Row],[Quantity Initial]]*TB_Parts_Lists[[#This Row],[Unit Price AED]]</f>
        <v>250</v>
      </c>
      <c r="Q527" s="199">
        <f>TB_Parts_Lists[[#This Row],[Quantity Total]]*TB_Parts_Lists[[#This Row],[Unit Price AED]]</f>
        <v>250</v>
      </c>
      <c r="S527" s="199" t="s">
        <v>118</v>
      </c>
      <c r="T527" s="199" t="s">
        <v>8675</v>
      </c>
      <c r="U527" s="199" t="s">
        <v>8675</v>
      </c>
    </row>
    <row r="528" spans="1:21" s="199" customFormat="1" x14ac:dyDescent="0.25">
      <c r="A528" s="192" t="s">
        <v>7024</v>
      </c>
      <c r="B528" s="201" t="s">
        <v>3338</v>
      </c>
      <c r="C528" s="199" t="s">
        <v>6722</v>
      </c>
      <c r="D528" s="199" t="s">
        <v>8732</v>
      </c>
      <c r="E528" s="188" t="s">
        <v>3623</v>
      </c>
      <c r="F528" s="189" t="s">
        <v>3616</v>
      </c>
      <c r="G528" s="199" t="s">
        <v>8263</v>
      </c>
      <c r="H528" s="199" t="s">
        <v>72</v>
      </c>
      <c r="I528" s="199">
        <v>1</v>
      </c>
      <c r="J528" s="199">
        <v>1</v>
      </c>
      <c r="K528" s="199">
        <v>1</v>
      </c>
      <c r="L528" s="199">
        <v>50</v>
      </c>
      <c r="M528" s="202">
        <f>TB_Parts_Lists[[#This Row],[Quantity Initial]]+ SUMIF(TB_Transactions[Part number],TB_Parts_Lists[[#This Row],[Part Number]],TB_Transactions[Quantity])</f>
        <v>50</v>
      </c>
      <c r="N528" s="200" t="s">
        <v>4593</v>
      </c>
      <c r="O528" s="234">
        <v>5</v>
      </c>
      <c r="P528" s="199">
        <f>TB_Parts_Lists[[#This Row],[Quantity Initial]]*TB_Parts_Lists[[#This Row],[Unit Price AED]]</f>
        <v>250</v>
      </c>
      <c r="Q528" s="199">
        <f>TB_Parts_Lists[[#This Row],[Quantity Total]]*TB_Parts_Lists[[#This Row],[Unit Price AED]]</f>
        <v>250</v>
      </c>
      <c r="S528" s="199" t="s">
        <v>118</v>
      </c>
      <c r="T528" s="199" t="s">
        <v>8675</v>
      </c>
      <c r="U528" s="199" t="s">
        <v>8675</v>
      </c>
    </row>
    <row r="529" spans="1:21" s="199" customFormat="1" x14ac:dyDescent="0.25">
      <c r="A529" s="192" t="s">
        <v>7025</v>
      </c>
      <c r="B529" s="201" t="s">
        <v>3341</v>
      </c>
      <c r="C529" s="199" t="s">
        <v>4301</v>
      </c>
      <c r="D529" s="199" t="s">
        <v>8732</v>
      </c>
      <c r="E529" s="188" t="s">
        <v>3573</v>
      </c>
      <c r="F529" s="189" t="s">
        <v>3617</v>
      </c>
      <c r="G529" s="199" t="s">
        <v>8264</v>
      </c>
      <c r="H529" s="199" t="s">
        <v>8650</v>
      </c>
      <c r="I529" s="199">
        <v>1</v>
      </c>
      <c r="J529" s="199">
        <v>1</v>
      </c>
      <c r="K529" s="199">
        <v>1</v>
      </c>
      <c r="L529" s="199">
        <v>50</v>
      </c>
      <c r="M529" s="202">
        <f>TB_Parts_Lists[[#This Row],[Quantity Initial]]+ SUMIF(TB_Transactions[Part number],TB_Parts_Lists[[#This Row],[Part Number]],TB_Transactions[Quantity])</f>
        <v>50</v>
      </c>
      <c r="N529" s="200" t="s">
        <v>4593</v>
      </c>
      <c r="O529" s="234">
        <v>5</v>
      </c>
      <c r="P529" s="199">
        <f>TB_Parts_Lists[[#This Row],[Quantity Initial]]*TB_Parts_Lists[[#This Row],[Unit Price AED]]</f>
        <v>250</v>
      </c>
      <c r="Q529" s="199">
        <f>TB_Parts_Lists[[#This Row],[Quantity Total]]*TB_Parts_Lists[[#This Row],[Unit Price AED]]</f>
        <v>250</v>
      </c>
      <c r="S529" s="199" t="s">
        <v>118</v>
      </c>
      <c r="T529" s="199" t="s">
        <v>8713</v>
      </c>
      <c r="U529" s="199" t="s">
        <v>909</v>
      </c>
    </row>
    <row r="530" spans="1:21" s="199" customFormat="1" x14ac:dyDescent="0.25">
      <c r="A530" s="192" t="s">
        <v>7026</v>
      </c>
      <c r="B530" s="201" t="s">
        <v>3341</v>
      </c>
      <c r="C530" s="199" t="s">
        <v>4301</v>
      </c>
      <c r="D530" s="199" t="s">
        <v>8732</v>
      </c>
      <c r="E530" s="188" t="s">
        <v>3574</v>
      </c>
      <c r="F530" s="189" t="s">
        <v>3618</v>
      </c>
      <c r="G530" s="199" t="s">
        <v>8264</v>
      </c>
      <c r="H530" s="199" t="s">
        <v>8650</v>
      </c>
      <c r="I530" s="199">
        <v>1</v>
      </c>
      <c r="J530" s="199">
        <v>1</v>
      </c>
      <c r="K530" s="199">
        <v>1</v>
      </c>
      <c r="L530" s="199">
        <v>50</v>
      </c>
      <c r="M530" s="202">
        <f>TB_Parts_Lists[[#This Row],[Quantity Initial]]+ SUMIF(TB_Transactions[Part number],TB_Parts_Lists[[#This Row],[Part Number]],TB_Transactions[Quantity])</f>
        <v>50</v>
      </c>
      <c r="N530" s="200" t="s">
        <v>4593</v>
      </c>
      <c r="O530" s="234">
        <v>5</v>
      </c>
      <c r="P530" s="199">
        <f>TB_Parts_Lists[[#This Row],[Quantity Initial]]*TB_Parts_Lists[[#This Row],[Unit Price AED]]</f>
        <v>250</v>
      </c>
      <c r="Q530" s="199">
        <f>TB_Parts_Lists[[#This Row],[Quantity Total]]*TB_Parts_Lists[[#This Row],[Unit Price AED]]</f>
        <v>250</v>
      </c>
      <c r="S530" s="199" t="s">
        <v>118</v>
      </c>
      <c r="T530" s="199" t="s">
        <v>8713</v>
      </c>
      <c r="U530" s="199" t="s">
        <v>909</v>
      </c>
    </row>
    <row r="531" spans="1:21" s="199" customFormat="1" x14ac:dyDescent="0.25">
      <c r="A531" s="192" t="s">
        <v>7027</v>
      </c>
      <c r="B531" s="201" t="s">
        <v>3341</v>
      </c>
      <c r="C531" s="199" t="s">
        <v>4301</v>
      </c>
      <c r="D531" s="199" t="s">
        <v>8732</v>
      </c>
      <c r="E531" s="188" t="s">
        <v>3575</v>
      </c>
      <c r="F531" s="189" t="s">
        <v>3619</v>
      </c>
      <c r="G531" s="199" t="s">
        <v>8264</v>
      </c>
      <c r="H531" s="199" t="s">
        <v>8650</v>
      </c>
      <c r="I531" s="199">
        <v>1</v>
      </c>
      <c r="J531" s="199">
        <v>1</v>
      </c>
      <c r="K531" s="199">
        <v>1</v>
      </c>
      <c r="L531" s="199">
        <v>50</v>
      </c>
      <c r="M531" s="202">
        <f>TB_Parts_Lists[[#This Row],[Quantity Initial]]+ SUMIF(TB_Transactions[Part number],TB_Parts_Lists[[#This Row],[Part Number]],TB_Transactions[Quantity])</f>
        <v>50</v>
      </c>
      <c r="N531" s="200" t="s">
        <v>4593</v>
      </c>
      <c r="O531" s="234">
        <v>5</v>
      </c>
      <c r="P531" s="199">
        <f>TB_Parts_Lists[[#This Row],[Quantity Initial]]*TB_Parts_Lists[[#This Row],[Unit Price AED]]</f>
        <v>250</v>
      </c>
      <c r="Q531" s="199">
        <f>TB_Parts_Lists[[#This Row],[Quantity Total]]*TB_Parts_Lists[[#This Row],[Unit Price AED]]</f>
        <v>250</v>
      </c>
      <c r="S531" s="199" t="s">
        <v>118</v>
      </c>
      <c r="T531" s="199" t="s">
        <v>8713</v>
      </c>
      <c r="U531" s="199" t="s">
        <v>909</v>
      </c>
    </row>
    <row r="532" spans="1:21" s="199" customFormat="1" x14ac:dyDescent="0.25">
      <c r="A532" s="192" t="s">
        <v>7028</v>
      </c>
      <c r="B532" s="201" t="s">
        <v>3330</v>
      </c>
      <c r="C532" s="199" t="s">
        <v>3338</v>
      </c>
      <c r="D532" s="199" t="s">
        <v>8723</v>
      </c>
      <c r="E532" s="188" t="s">
        <v>3624</v>
      </c>
      <c r="F532" s="189" t="s">
        <v>3641</v>
      </c>
      <c r="G532" s="199" t="s">
        <v>8265</v>
      </c>
      <c r="H532" s="199" t="s">
        <v>55</v>
      </c>
      <c r="I532" s="199">
        <v>1</v>
      </c>
      <c r="J532" s="199">
        <v>1</v>
      </c>
      <c r="K532" s="199">
        <v>1</v>
      </c>
      <c r="L532" s="199">
        <v>50</v>
      </c>
      <c r="M532" s="202">
        <f>TB_Parts_Lists[[#This Row],[Quantity Initial]]+ SUMIF(TB_Transactions[Part number],TB_Parts_Lists[[#This Row],[Part Number]],TB_Transactions[Quantity])</f>
        <v>50</v>
      </c>
      <c r="N532" s="200" t="s">
        <v>4593</v>
      </c>
      <c r="O532" s="234">
        <v>5</v>
      </c>
      <c r="P532" s="199">
        <f>TB_Parts_Lists[[#This Row],[Quantity Initial]]*TB_Parts_Lists[[#This Row],[Unit Price AED]]</f>
        <v>250</v>
      </c>
      <c r="Q532" s="199">
        <f>TB_Parts_Lists[[#This Row],[Quantity Total]]*TB_Parts_Lists[[#This Row],[Unit Price AED]]</f>
        <v>250</v>
      </c>
      <c r="S532" s="199" t="s">
        <v>8675</v>
      </c>
      <c r="T532" s="199" t="s">
        <v>8675</v>
      </c>
      <c r="U532" s="199" t="s">
        <v>8675</v>
      </c>
    </row>
    <row r="533" spans="1:21" s="199" customFormat="1" x14ac:dyDescent="0.25">
      <c r="A533" s="192" t="s">
        <v>7029</v>
      </c>
      <c r="B533" s="201" t="s">
        <v>3330</v>
      </c>
      <c r="C533" s="199" t="s">
        <v>3625</v>
      </c>
      <c r="D533" s="199" t="s">
        <v>8723</v>
      </c>
      <c r="E533" s="188" t="s">
        <v>3625</v>
      </c>
      <c r="F533" s="189" t="s">
        <v>3642</v>
      </c>
      <c r="G533" s="199" t="s">
        <v>8265</v>
      </c>
      <c r="H533" s="199" t="s">
        <v>55</v>
      </c>
      <c r="I533" s="199">
        <v>1</v>
      </c>
      <c r="J533" s="199">
        <v>1</v>
      </c>
      <c r="K533" s="199">
        <v>1</v>
      </c>
      <c r="L533" s="199">
        <v>50</v>
      </c>
      <c r="M533" s="202">
        <f>TB_Parts_Lists[[#This Row],[Quantity Initial]]+ SUMIF(TB_Transactions[Part number],TB_Parts_Lists[[#This Row],[Part Number]],TB_Transactions[Quantity])</f>
        <v>50</v>
      </c>
      <c r="N533" s="200" t="s">
        <v>4593</v>
      </c>
      <c r="O533" s="234">
        <v>5</v>
      </c>
      <c r="P533" s="199">
        <f>TB_Parts_Lists[[#This Row],[Quantity Initial]]*TB_Parts_Lists[[#This Row],[Unit Price AED]]</f>
        <v>250</v>
      </c>
      <c r="Q533" s="199">
        <f>TB_Parts_Lists[[#This Row],[Quantity Total]]*TB_Parts_Lists[[#This Row],[Unit Price AED]]</f>
        <v>250</v>
      </c>
      <c r="S533" s="199" t="s">
        <v>8675</v>
      </c>
      <c r="T533" s="199" t="s">
        <v>8675</v>
      </c>
      <c r="U533" s="199" t="s">
        <v>8675</v>
      </c>
    </row>
    <row r="534" spans="1:21" s="199" customFormat="1" x14ac:dyDescent="0.25">
      <c r="A534" s="192" t="s">
        <v>7030</v>
      </c>
      <c r="B534" s="201" t="s">
        <v>3330</v>
      </c>
      <c r="C534" s="199" t="s">
        <v>6672</v>
      </c>
      <c r="D534" s="188" t="s">
        <v>8724</v>
      </c>
      <c r="E534" s="188" t="s">
        <v>5119</v>
      </c>
      <c r="F534" s="189" t="s">
        <v>5985</v>
      </c>
      <c r="G534" s="199" t="s">
        <v>8265</v>
      </c>
      <c r="H534" s="199" t="s">
        <v>8651</v>
      </c>
      <c r="I534" s="199">
        <v>1</v>
      </c>
      <c r="J534" s="199">
        <v>1</v>
      </c>
      <c r="K534" s="199">
        <v>1</v>
      </c>
      <c r="L534" s="199">
        <v>50</v>
      </c>
      <c r="M534" s="202">
        <f>TB_Parts_Lists[[#This Row],[Quantity Initial]]+ SUMIF(TB_Transactions[Part number],TB_Parts_Lists[[#This Row],[Part Number]],TB_Transactions[Quantity])</f>
        <v>50</v>
      </c>
      <c r="N534" s="200" t="s">
        <v>4593</v>
      </c>
      <c r="O534" s="234">
        <v>5</v>
      </c>
      <c r="P534" s="199">
        <f>TB_Parts_Lists[[#This Row],[Quantity Initial]]*TB_Parts_Lists[[#This Row],[Unit Price AED]]</f>
        <v>250</v>
      </c>
      <c r="Q534" s="199">
        <f>TB_Parts_Lists[[#This Row],[Quantity Total]]*TB_Parts_Lists[[#This Row],[Unit Price AED]]</f>
        <v>250</v>
      </c>
      <c r="S534" s="199" t="s">
        <v>118</v>
      </c>
      <c r="T534" s="199" t="s">
        <v>8690</v>
      </c>
      <c r="U534" s="199" t="s">
        <v>705</v>
      </c>
    </row>
    <row r="535" spans="1:21" s="199" customFormat="1" x14ac:dyDescent="0.25">
      <c r="A535" s="192" t="s">
        <v>7031</v>
      </c>
      <c r="B535" s="201" t="s">
        <v>3330</v>
      </c>
      <c r="C535" s="199" t="s">
        <v>3338</v>
      </c>
      <c r="D535" s="199" t="s">
        <v>8723</v>
      </c>
      <c r="E535" s="188" t="s">
        <v>3626</v>
      </c>
      <c r="F535" s="189" t="s">
        <v>3643</v>
      </c>
      <c r="G535" s="199" t="s">
        <v>8265</v>
      </c>
      <c r="H535" s="199" t="s">
        <v>55</v>
      </c>
      <c r="I535" s="199">
        <v>1</v>
      </c>
      <c r="J535" s="199">
        <v>1</v>
      </c>
      <c r="K535" s="199">
        <v>1</v>
      </c>
      <c r="L535" s="199">
        <v>50</v>
      </c>
      <c r="M535" s="202">
        <f>TB_Parts_Lists[[#This Row],[Quantity Initial]]+ SUMIF(TB_Transactions[Part number],TB_Parts_Lists[[#This Row],[Part Number]],TB_Transactions[Quantity])</f>
        <v>50</v>
      </c>
      <c r="N535" s="200" t="s">
        <v>4593</v>
      </c>
      <c r="O535" s="234">
        <v>5</v>
      </c>
      <c r="P535" s="199">
        <f>TB_Parts_Lists[[#This Row],[Quantity Initial]]*TB_Parts_Lists[[#This Row],[Unit Price AED]]</f>
        <v>250</v>
      </c>
      <c r="Q535" s="199">
        <f>TB_Parts_Lists[[#This Row],[Quantity Total]]*TB_Parts_Lists[[#This Row],[Unit Price AED]]</f>
        <v>250</v>
      </c>
      <c r="S535" s="199" t="s">
        <v>8675</v>
      </c>
      <c r="T535" s="199" t="s">
        <v>8675</v>
      </c>
      <c r="U535" s="199" t="s">
        <v>8675</v>
      </c>
    </row>
    <row r="536" spans="1:21" s="199" customFormat="1" x14ac:dyDescent="0.25">
      <c r="A536" s="192" t="s">
        <v>7032</v>
      </c>
      <c r="B536" s="201" t="s">
        <v>3002</v>
      </c>
      <c r="C536" s="199" t="s">
        <v>3006</v>
      </c>
      <c r="D536" s="199" t="s">
        <v>8723</v>
      </c>
      <c r="E536" s="188" t="s">
        <v>5120</v>
      </c>
      <c r="F536" s="189" t="s">
        <v>3644</v>
      </c>
      <c r="G536" s="199" t="s">
        <v>8265</v>
      </c>
      <c r="H536" s="199" t="s">
        <v>55</v>
      </c>
      <c r="I536" s="199">
        <v>1</v>
      </c>
      <c r="J536" s="199">
        <v>1</v>
      </c>
      <c r="K536" s="199">
        <v>1</v>
      </c>
      <c r="L536" s="199">
        <v>50</v>
      </c>
      <c r="M536" s="202">
        <f>TB_Parts_Lists[[#This Row],[Quantity Initial]]+ SUMIF(TB_Transactions[Part number],TB_Parts_Lists[[#This Row],[Part Number]],TB_Transactions[Quantity])</f>
        <v>50</v>
      </c>
      <c r="N536" s="200" t="s">
        <v>4593</v>
      </c>
      <c r="O536" s="234">
        <v>5</v>
      </c>
      <c r="P536" s="199">
        <f>TB_Parts_Lists[[#This Row],[Quantity Initial]]*TB_Parts_Lists[[#This Row],[Unit Price AED]]</f>
        <v>250</v>
      </c>
      <c r="Q536" s="199">
        <f>TB_Parts_Lists[[#This Row],[Quantity Total]]*TB_Parts_Lists[[#This Row],[Unit Price AED]]</f>
        <v>250</v>
      </c>
      <c r="S536" s="199" t="s">
        <v>8675</v>
      </c>
      <c r="T536" s="199" t="s">
        <v>8675</v>
      </c>
      <c r="U536" s="199" t="s">
        <v>8675</v>
      </c>
    </row>
    <row r="537" spans="1:21" s="199" customFormat="1" x14ac:dyDescent="0.25">
      <c r="A537" s="192" t="s">
        <v>7033</v>
      </c>
      <c r="B537" s="201" t="s">
        <v>6619</v>
      </c>
      <c r="C537" s="199" t="s">
        <v>161</v>
      </c>
      <c r="D537" s="199" t="s">
        <v>8723</v>
      </c>
      <c r="E537" s="188" t="s">
        <v>3627</v>
      </c>
      <c r="F537" s="189" t="s">
        <v>3645</v>
      </c>
      <c r="G537" s="199" t="s">
        <v>8265</v>
      </c>
      <c r="H537" s="199" t="s">
        <v>55</v>
      </c>
      <c r="I537" s="199">
        <v>1</v>
      </c>
      <c r="J537" s="199">
        <v>1</v>
      </c>
      <c r="K537" s="199">
        <v>1</v>
      </c>
      <c r="L537" s="199">
        <v>50</v>
      </c>
      <c r="M537" s="202">
        <f>TB_Parts_Lists[[#This Row],[Quantity Initial]]+ SUMIF(TB_Transactions[Part number],TB_Parts_Lists[[#This Row],[Part Number]],TB_Transactions[Quantity])</f>
        <v>50</v>
      </c>
      <c r="N537" s="200" t="s">
        <v>4593</v>
      </c>
      <c r="O537" s="234">
        <v>5</v>
      </c>
      <c r="P537" s="199">
        <f>TB_Parts_Lists[[#This Row],[Quantity Initial]]*TB_Parts_Lists[[#This Row],[Unit Price AED]]</f>
        <v>250</v>
      </c>
      <c r="Q537" s="199">
        <f>TB_Parts_Lists[[#This Row],[Quantity Total]]*TB_Parts_Lists[[#This Row],[Unit Price AED]]</f>
        <v>250</v>
      </c>
      <c r="S537" s="199" t="s">
        <v>8675</v>
      </c>
      <c r="T537" s="199" t="s">
        <v>8675</v>
      </c>
      <c r="U537" s="199" t="s">
        <v>8675</v>
      </c>
    </row>
    <row r="538" spans="1:21" s="199" customFormat="1" x14ac:dyDescent="0.25">
      <c r="A538" s="192" t="s">
        <v>7034</v>
      </c>
      <c r="B538" s="201" t="s">
        <v>6619</v>
      </c>
      <c r="C538" s="199" t="s">
        <v>6620</v>
      </c>
      <c r="D538" s="199" t="s">
        <v>8723</v>
      </c>
      <c r="E538" s="188" t="s">
        <v>5121</v>
      </c>
      <c r="F538" s="189" t="s">
        <v>3646</v>
      </c>
      <c r="G538" s="199" t="s">
        <v>8265</v>
      </c>
      <c r="H538" s="199" t="s">
        <v>55</v>
      </c>
      <c r="I538" s="199">
        <v>1</v>
      </c>
      <c r="J538" s="199">
        <v>1</v>
      </c>
      <c r="K538" s="199">
        <v>1</v>
      </c>
      <c r="L538" s="199">
        <v>50</v>
      </c>
      <c r="M538" s="202">
        <f>TB_Parts_Lists[[#This Row],[Quantity Initial]]+ SUMIF(TB_Transactions[Part number],TB_Parts_Lists[[#This Row],[Part Number]],TB_Transactions[Quantity])</f>
        <v>50</v>
      </c>
      <c r="N538" s="200" t="s">
        <v>4593</v>
      </c>
      <c r="O538" s="234">
        <v>5</v>
      </c>
      <c r="P538" s="199">
        <f>TB_Parts_Lists[[#This Row],[Quantity Initial]]*TB_Parts_Lists[[#This Row],[Unit Price AED]]</f>
        <v>250</v>
      </c>
      <c r="Q538" s="199">
        <f>TB_Parts_Lists[[#This Row],[Quantity Total]]*TB_Parts_Lists[[#This Row],[Unit Price AED]]</f>
        <v>250</v>
      </c>
      <c r="S538" s="199" t="s">
        <v>8675</v>
      </c>
      <c r="T538" s="199" t="s">
        <v>8675</v>
      </c>
      <c r="U538" s="199" t="s">
        <v>8675</v>
      </c>
    </row>
    <row r="539" spans="1:21" s="199" customFormat="1" x14ac:dyDescent="0.25">
      <c r="A539" s="192" t="s">
        <v>7035</v>
      </c>
      <c r="B539" s="201" t="s">
        <v>3330</v>
      </c>
      <c r="C539" s="199" t="s">
        <v>3338</v>
      </c>
      <c r="D539" s="199" t="s">
        <v>8723</v>
      </c>
      <c r="E539" s="188" t="s">
        <v>3725</v>
      </c>
      <c r="F539" s="189" t="s">
        <v>3647</v>
      </c>
      <c r="G539" s="199" t="s">
        <v>8265</v>
      </c>
      <c r="H539" s="199" t="s">
        <v>55</v>
      </c>
      <c r="I539" s="199">
        <v>1</v>
      </c>
      <c r="J539" s="199">
        <v>1</v>
      </c>
      <c r="K539" s="199">
        <v>1</v>
      </c>
      <c r="L539" s="199">
        <v>50</v>
      </c>
      <c r="M539" s="202">
        <f>TB_Parts_Lists[[#This Row],[Quantity Initial]]+ SUMIF(TB_Transactions[Part number],TB_Parts_Lists[[#This Row],[Part Number]],TB_Transactions[Quantity])</f>
        <v>50</v>
      </c>
      <c r="N539" s="200" t="s">
        <v>4593</v>
      </c>
      <c r="O539" s="234">
        <v>5</v>
      </c>
      <c r="P539" s="199">
        <f>TB_Parts_Lists[[#This Row],[Quantity Initial]]*TB_Parts_Lists[[#This Row],[Unit Price AED]]</f>
        <v>250</v>
      </c>
      <c r="Q539" s="199">
        <f>TB_Parts_Lists[[#This Row],[Quantity Total]]*TB_Parts_Lists[[#This Row],[Unit Price AED]]</f>
        <v>250</v>
      </c>
      <c r="S539" s="199" t="s">
        <v>8675</v>
      </c>
      <c r="T539" s="199" t="s">
        <v>8675</v>
      </c>
      <c r="U539" s="199" t="s">
        <v>8675</v>
      </c>
    </row>
    <row r="540" spans="1:21" s="199" customFormat="1" x14ac:dyDescent="0.25">
      <c r="A540" s="192" t="s">
        <v>7036</v>
      </c>
      <c r="B540" s="201" t="s">
        <v>3330</v>
      </c>
      <c r="C540" s="199" t="s">
        <v>3338</v>
      </c>
      <c r="D540" s="199" t="s">
        <v>8723</v>
      </c>
      <c r="E540" s="188" t="s">
        <v>3726</v>
      </c>
      <c r="F540" s="189" t="s">
        <v>3648</v>
      </c>
      <c r="G540" s="199" t="s">
        <v>8265</v>
      </c>
      <c r="H540" s="199" t="s">
        <v>55</v>
      </c>
      <c r="I540" s="199">
        <v>1</v>
      </c>
      <c r="J540" s="199">
        <v>1</v>
      </c>
      <c r="K540" s="199">
        <v>1</v>
      </c>
      <c r="L540" s="199">
        <v>50</v>
      </c>
      <c r="M540" s="202">
        <f>TB_Parts_Lists[[#This Row],[Quantity Initial]]+ SUMIF(TB_Transactions[Part number],TB_Parts_Lists[[#This Row],[Part Number]],TB_Transactions[Quantity])</f>
        <v>50</v>
      </c>
      <c r="N540" s="200" t="s">
        <v>4593</v>
      </c>
      <c r="O540" s="234">
        <v>5</v>
      </c>
      <c r="P540" s="199">
        <f>TB_Parts_Lists[[#This Row],[Quantity Initial]]*TB_Parts_Lists[[#This Row],[Unit Price AED]]</f>
        <v>250</v>
      </c>
      <c r="Q540" s="199">
        <f>TB_Parts_Lists[[#This Row],[Quantity Total]]*TB_Parts_Lists[[#This Row],[Unit Price AED]]</f>
        <v>250</v>
      </c>
      <c r="S540" s="199" t="s">
        <v>8675</v>
      </c>
      <c r="T540" s="199" t="s">
        <v>8675</v>
      </c>
      <c r="U540" s="199" t="s">
        <v>8675</v>
      </c>
    </row>
    <row r="541" spans="1:21" s="199" customFormat="1" x14ac:dyDescent="0.25">
      <c r="A541" s="192" t="s">
        <v>7037</v>
      </c>
      <c r="B541" s="201" t="s">
        <v>3330</v>
      </c>
      <c r="C541" s="199" t="s">
        <v>3338</v>
      </c>
      <c r="D541" s="199" t="s">
        <v>8723</v>
      </c>
      <c r="E541" s="188" t="s">
        <v>3727</v>
      </c>
      <c r="F541" s="189" t="s">
        <v>3649</v>
      </c>
      <c r="G541" s="199" t="s">
        <v>8265</v>
      </c>
      <c r="H541" s="199" t="s">
        <v>55</v>
      </c>
      <c r="I541" s="199">
        <v>1</v>
      </c>
      <c r="J541" s="199">
        <v>1</v>
      </c>
      <c r="K541" s="199">
        <v>1</v>
      </c>
      <c r="L541" s="199">
        <v>50</v>
      </c>
      <c r="M541" s="202">
        <f>TB_Parts_Lists[[#This Row],[Quantity Initial]]+ SUMIF(TB_Transactions[Part number],TB_Parts_Lists[[#This Row],[Part Number]],TB_Transactions[Quantity])</f>
        <v>50</v>
      </c>
      <c r="N541" s="200" t="s">
        <v>4593</v>
      </c>
      <c r="O541" s="234">
        <v>5</v>
      </c>
      <c r="P541" s="199">
        <f>TB_Parts_Lists[[#This Row],[Quantity Initial]]*TB_Parts_Lists[[#This Row],[Unit Price AED]]</f>
        <v>250</v>
      </c>
      <c r="Q541" s="199">
        <f>TB_Parts_Lists[[#This Row],[Quantity Total]]*TB_Parts_Lists[[#This Row],[Unit Price AED]]</f>
        <v>250</v>
      </c>
      <c r="S541" s="199" t="s">
        <v>8675</v>
      </c>
      <c r="T541" s="199" t="s">
        <v>8675</v>
      </c>
      <c r="U541" s="199" t="s">
        <v>8675</v>
      </c>
    </row>
    <row r="542" spans="1:21" s="199" customFormat="1" x14ac:dyDescent="0.25">
      <c r="A542" s="192" t="s">
        <v>7038</v>
      </c>
      <c r="B542" s="201" t="s">
        <v>3330</v>
      </c>
      <c r="C542" s="199" t="s">
        <v>4090</v>
      </c>
      <c r="D542" s="199" t="s">
        <v>8723</v>
      </c>
      <c r="E542" s="188" t="s">
        <v>3728</v>
      </c>
      <c r="F542" s="189" t="s">
        <v>3650</v>
      </c>
      <c r="G542" s="199" t="s">
        <v>8265</v>
      </c>
      <c r="H542" s="199" t="s">
        <v>55</v>
      </c>
      <c r="I542" s="199">
        <v>1</v>
      </c>
      <c r="J542" s="199">
        <v>1</v>
      </c>
      <c r="K542" s="199">
        <v>1</v>
      </c>
      <c r="L542" s="199">
        <v>50</v>
      </c>
      <c r="M542" s="202">
        <f>TB_Parts_Lists[[#This Row],[Quantity Initial]]+ SUMIF(TB_Transactions[Part number],TB_Parts_Lists[[#This Row],[Part Number]],TB_Transactions[Quantity])</f>
        <v>50</v>
      </c>
      <c r="N542" s="200" t="s">
        <v>4593</v>
      </c>
      <c r="O542" s="234">
        <v>5</v>
      </c>
      <c r="P542" s="199">
        <f>TB_Parts_Lists[[#This Row],[Quantity Initial]]*TB_Parts_Lists[[#This Row],[Unit Price AED]]</f>
        <v>250</v>
      </c>
      <c r="Q542" s="199">
        <f>TB_Parts_Lists[[#This Row],[Quantity Total]]*TB_Parts_Lists[[#This Row],[Unit Price AED]]</f>
        <v>250</v>
      </c>
      <c r="S542" s="199" t="s">
        <v>8675</v>
      </c>
      <c r="T542" s="199" t="s">
        <v>8675</v>
      </c>
      <c r="U542" s="199" t="s">
        <v>8675</v>
      </c>
    </row>
    <row r="543" spans="1:21" s="199" customFormat="1" x14ac:dyDescent="0.25">
      <c r="A543" s="192" t="s">
        <v>7039</v>
      </c>
      <c r="B543" s="201" t="s">
        <v>6619</v>
      </c>
      <c r="C543" s="199" t="s">
        <v>161</v>
      </c>
      <c r="D543" s="199" t="s">
        <v>8723</v>
      </c>
      <c r="E543" s="188" t="s">
        <v>3729</v>
      </c>
      <c r="F543" s="189" t="s">
        <v>3651</v>
      </c>
      <c r="G543" s="199" t="s">
        <v>8265</v>
      </c>
      <c r="H543" s="199" t="s">
        <v>55</v>
      </c>
      <c r="I543" s="199">
        <v>1</v>
      </c>
      <c r="J543" s="199">
        <v>1</v>
      </c>
      <c r="K543" s="199">
        <v>1</v>
      </c>
      <c r="L543" s="199">
        <v>50</v>
      </c>
      <c r="M543" s="202">
        <f>TB_Parts_Lists[[#This Row],[Quantity Initial]]+ SUMIF(TB_Transactions[Part number],TB_Parts_Lists[[#This Row],[Part Number]],TB_Transactions[Quantity])</f>
        <v>50</v>
      </c>
      <c r="N543" s="200" t="s">
        <v>4593</v>
      </c>
      <c r="O543" s="234">
        <v>5</v>
      </c>
      <c r="P543" s="199">
        <f>TB_Parts_Lists[[#This Row],[Quantity Initial]]*TB_Parts_Lists[[#This Row],[Unit Price AED]]</f>
        <v>250</v>
      </c>
      <c r="Q543" s="199">
        <f>TB_Parts_Lists[[#This Row],[Quantity Total]]*TB_Parts_Lists[[#This Row],[Unit Price AED]]</f>
        <v>250</v>
      </c>
      <c r="S543" s="199" t="s">
        <v>8675</v>
      </c>
      <c r="T543" s="199" t="s">
        <v>8675</v>
      </c>
      <c r="U543" s="199" t="s">
        <v>8675</v>
      </c>
    </row>
    <row r="544" spans="1:21" s="199" customFormat="1" x14ac:dyDescent="0.25">
      <c r="A544" s="192" t="s">
        <v>7040</v>
      </c>
      <c r="B544" s="201" t="s">
        <v>3330</v>
      </c>
      <c r="C544" s="199" t="s">
        <v>3338</v>
      </c>
      <c r="D544" s="199" t="s">
        <v>8723</v>
      </c>
      <c r="E544" s="188" t="s">
        <v>3730</v>
      </c>
      <c r="F544" s="189" t="s">
        <v>3652</v>
      </c>
      <c r="G544" s="199" t="s">
        <v>8265</v>
      </c>
      <c r="H544" s="199" t="s">
        <v>55</v>
      </c>
      <c r="I544" s="199">
        <v>1</v>
      </c>
      <c r="J544" s="199">
        <v>1</v>
      </c>
      <c r="K544" s="199">
        <v>1</v>
      </c>
      <c r="L544" s="199">
        <v>50</v>
      </c>
      <c r="M544" s="202">
        <f>TB_Parts_Lists[[#This Row],[Quantity Initial]]+ SUMIF(TB_Transactions[Part number],TB_Parts_Lists[[#This Row],[Part Number]],TB_Transactions[Quantity])</f>
        <v>50</v>
      </c>
      <c r="N544" s="200" t="s">
        <v>4593</v>
      </c>
      <c r="O544" s="234">
        <v>5</v>
      </c>
      <c r="P544" s="199">
        <f>TB_Parts_Lists[[#This Row],[Quantity Initial]]*TB_Parts_Lists[[#This Row],[Unit Price AED]]</f>
        <v>250</v>
      </c>
      <c r="Q544" s="199">
        <f>TB_Parts_Lists[[#This Row],[Quantity Total]]*TB_Parts_Lists[[#This Row],[Unit Price AED]]</f>
        <v>250</v>
      </c>
      <c r="S544" s="199" t="s">
        <v>8675</v>
      </c>
      <c r="T544" s="199" t="s">
        <v>8675</v>
      </c>
      <c r="U544" s="199" t="s">
        <v>8675</v>
      </c>
    </row>
    <row r="545" spans="1:21" s="199" customFormat="1" x14ac:dyDescent="0.25">
      <c r="A545" s="192" t="s">
        <v>7041</v>
      </c>
      <c r="B545" s="201" t="s">
        <v>3330</v>
      </c>
      <c r="C545" s="199" t="s">
        <v>3338</v>
      </c>
      <c r="D545" s="199" t="s">
        <v>8723</v>
      </c>
      <c r="E545" s="188" t="s">
        <v>3628</v>
      </c>
      <c r="F545" s="189" t="s">
        <v>3653</v>
      </c>
      <c r="G545" s="199" t="s">
        <v>8265</v>
      </c>
      <c r="H545" s="199" t="s">
        <v>55</v>
      </c>
      <c r="I545" s="199">
        <v>1</v>
      </c>
      <c r="J545" s="199">
        <v>1</v>
      </c>
      <c r="K545" s="199">
        <v>1</v>
      </c>
      <c r="L545" s="199">
        <v>50</v>
      </c>
      <c r="M545" s="202">
        <f>TB_Parts_Lists[[#This Row],[Quantity Initial]]+ SUMIF(TB_Transactions[Part number],TB_Parts_Lists[[#This Row],[Part Number]],TB_Transactions[Quantity])</f>
        <v>50</v>
      </c>
      <c r="N545" s="200" t="s">
        <v>4593</v>
      </c>
      <c r="O545" s="234">
        <v>5</v>
      </c>
      <c r="P545" s="199">
        <f>TB_Parts_Lists[[#This Row],[Quantity Initial]]*TB_Parts_Lists[[#This Row],[Unit Price AED]]</f>
        <v>250</v>
      </c>
      <c r="Q545" s="199">
        <f>TB_Parts_Lists[[#This Row],[Quantity Total]]*TB_Parts_Lists[[#This Row],[Unit Price AED]]</f>
        <v>250</v>
      </c>
      <c r="S545" s="199" t="s">
        <v>8675</v>
      </c>
      <c r="T545" s="199" t="s">
        <v>8675</v>
      </c>
      <c r="U545" s="199" t="s">
        <v>8675</v>
      </c>
    </row>
    <row r="546" spans="1:21" s="199" customFormat="1" x14ac:dyDescent="0.25">
      <c r="A546" s="192" t="s">
        <v>7042</v>
      </c>
      <c r="B546" s="201" t="s">
        <v>6619</v>
      </c>
      <c r="C546" s="199" t="s">
        <v>3629</v>
      </c>
      <c r="D546" s="199" t="s">
        <v>8723</v>
      </c>
      <c r="E546" s="188" t="s">
        <v>3731</v>
      </c>
      <c r="F546" s="189" t="s">
        <v>3654</v>
      </c>
      <c r="G546" s="199" t="s">
        <v>8265</v>
      </c>
      <c r="H546" s="199" t="s">
        <v>55</v>
      </c>
      <c r="I546" s="199">
        <v>1</v>
      </c>
      <c r="J546" s="199">
        <v>1</v>
      </c>
      <c r="K546" s="199">
        <v>1</v>
      </c>
      <c r="L546" s="199">
        <v>50</v>
      </c>
      <c r="M546" s="202">
        <f>TB_Parts_Lists[[#This Row],[Quantity Initial]]+ SUMIF(TB_Transactions[Part number],TB_Parts_Lists[[#This Row],[Part Number]],TB_Transactions[Quantity])</f>
        <v>50</v>
      </c>
      <c r="N546" s="200" t="s">
        <v>4593</v>
      </c>
      <c r="O546" s="234">
        <v>5</v>
      </c>
      <c r="P546" s="199">
        <f>TB_Parts_Lists[[#This Row],[Quantity Initial]]*TB_Parts_Lists[[#This Row],[Unit Price AED]]</f>
        <v>250</v>
      </c>
      <c r="Q546" s="199">
        <f>TB_Parts_Lists[[#This Row],[Quantity Total]]*TB_Parts_Lists[[#This Row],[Unit Price AED]]</f>
        <v>250</v>
      </c>
      <c r="S546" s="199" t="s">
        <v>8675</v>
      </c>
      <c r="T546" s="199" t="s">
        <v>8675</v>
      </c>
      <c r="U546" s="199" t="s">
        <v>8675</v>
      </c>
    </row>
    <row r="547" spans="1:21" s="199" customFormat="1" x14ac:dyDescent="0.25">
      <c r="A547" s="192" t="s">
        <v>7043</v>
      </c>
      <c r="B547" s="201" t="s">
        <v>3330</v>
      </c>
      <c r="C547" s="199" t="s">
        <v>3338</v>
      </c>
      <c r="D547" s="199" t="s">
        <v>8723</v>
      </c>
      <c r="E547" s="188" t="s">
        <v>3732</v>
      </c>
      <c r="F547" s="189" t="s">
        <v>3655</v>
      </c>
      <c r="G547" s="199" t="s">
        <v>8265</v>
      </c>
      <c r="H547" s="199" t="s">
        <v>55</v>
      </c>
      <c r="I547" s="199">
        <v>1</v>
      </c>
      <c r="J547" s="199">
        <v>1</v>
      </c>
      <c r="K547" s="199">
        <v>1</v>
      </c>
      <c r="L547" s="199">
        <v>50</v>
      </c>
      <c r="M547" s="202">
        <f>TB_Parts_Lists[[#This Row],[Quantity Initial]]+ SUMIF(TB_Transactions[Part number],TB_Parts_Lists[[#This Row],[Part Number]],TB_Transactions[Quantity])</f>
        <v>50</v>
      </c>
      <c r="N547" s="200" t="s">
        <v>4593</v>
      </c>
      <c r="O547" s="234">
        <v>5</v>
      </c>
      <c r="P547" s="199">
        <f>TB_Parts_Lists[[#This Row],[Quantity Initial]]*TB_Parts_Lists[[#This Row],[Unit Price AED]]</f>
        <v>250</v>
      </c>
      <c r="Q547" s="199">
        <f>TB_Parts_Lists[[#This Row],[Quantity Total]]*TB_Parts_Lists[[#This Row],[Unit Price AED]]</f>
        <v>250</v>
      </c>
      <c r="S547" s="199" t="s">
        <v>8675</v>
      </c>
      <c r="T547" s="199" t="s">
        <v>8675</v>
      </c>
      <c r="U547" s="199" t="s">
        <v>8675</v>
      </c>
    </row>
    <row r="548" spans="1:21" s="199" customFormat="1" x14ac:dyDescent="0.25">
      <c r="A548" s="192" t="s">
        <v>7044</v>
      </c>
      <c r="B548" s="201" t="s">
        <v>3330</v>
      </c>
      <c r="C548" s="199" t="s">
        <v>3338</v>
      </c>
      <c r="D548" s="199" t="s">
        <v>8723</v>
      </c>
      <c r="E548" s="188" t="s">
        <v>3733</v>
      </c>
      <c r="F548" s="189" t="s">
        <v>3656</v>
      </c>
      <c r="G548" s="199" t="s">
        <v>8265</v>
      </c>
      <c r="H548" s="199" t="s">
        <v>55</v>
      </c>
      <c r="I548" s="199">
        <v>1</v>
      </c>
      <c r="J548" s="199">
        <v>1</v>
      </c>
      <c r="K548" s="199">
        <v>1</v>
      </c>
      <c r="L548" s="199">
        <v>50</v>
      </c>
      <c r="M548" s="202">
        <f>TB_Parts_Lists[[#This Row],[Quantity Initial]]+ SUMIF(TB_Transactions[Part number],TB_Parts_Lists[[#This Row],[Part Number]],TB_Transactions[Quantity])</f>
        <v>50</v>
      </c>
      <c r="N548" s="200" t="s">
        <v>4593</v>
      </c>
      <c r="O548" s="234">
        <v>5</v>
      </c>
      <c r="P548" s="199">
        <f>TB_Parts_Lists[[#This Row],[Quantity Initial]]*TB_Parts_Lists[[#This Row],[Unit Price AED]]</f>
        <v>250</v>
      </c>
      <c r="Q548" s="199">
        <f>TB_Parts_Lists[[#This Row],[Quantity Total]]*TB_Parts_Lists[[#This Row],[Unit Price AED]]</f>
        <v>250</v>
      </c>
      <c r="S548" s="199" t="s">
        <v>8675</v>
      </c>
      <c r="T548" s="199" t="s">
        <v>8675</v>
      </c>
      <c r="U548" s="199" t="s">
        <v>8675</v>
      </c>
    </row>
    <row r="549" spans="1:21" s="199" customFormat="1" x14ac:dyDescent="0.25">
      <c r="A549" s="192" t="s">
        <v>7045</v>
      </c>
      <c r="B549" s="201" t="s">
        <v>3330</v>
      </c>
      <c r="C549" s="199" t="s">
        <v>3338</v>
      </c>
      <c r="D549" s="199" t="s">
        <v>8723</v>
      </c>
      <c r="E549" s="188" t="s">
        <v>5122</v>
      </c>
      <c r="F549" s="189" t="s">
        <v>3657</v>
      </c>
      <c r="G549" s="199" t="s">
        <v>8265</v>
      </c>
      <c r="H549" s="199" t="s">
        <v>55</v>
      </c>
      <c r="I549" s="199">
        <v>1</v>
      </c>
      <c r="J549" s="199">
        <v>1</v>
      </c>
      <c r="K549" s="199">
        <v>1</v>
      </c>
      <c r="L549" s="199">
        <v>50</v>
      </c>
      <c r="M549" s="202">
        <f>TB_Parts_Lists[[#This Row],[Quantity Initial]]+ SUMIF(TB_Transactions[Part number],TB_Parts_Lists[[#This Row],[Part Number]],TB_Transactions[Quantity])</f>
        <v>50</v>
      </c>
      <c r="N549" s="200" t="s">
        <v>4593</v>
      </c>
      <c r="O549" s="234">
        <v>5</v>
      </c>
      <c r="P549" s="199">
        <f>TB_Parts_Lists[[#This Row],[Quantity Initial]]*TB_Parts_Lists[[#This Row],[Unit Price AED]]</f>
        <v>250</v>
      </c>
      <c r="Q549" s="199">
        <f>TB_Parts_Lists[[#This Row],[Quantity Total]]*TB_Parts_Lists[[#This Row],[Unit Price AED]]</f>
        <v>250</v>
      </c>
      <c r="S549" s="199" t="s">
        <v>8675</v>
      </c>
      <c r="T549" s="199" t="s">
        <v>8675</v>
      </c>
      <c r="U549" s="199" t="s">
        <v>8675</v>
      </c>
    </row>
    <row r="550" spans="1:21" s="199" customFormat="1" x14ac:dyDescent="0.25">
      <c r="A550" s="192" t="s">
        <v>7046</v>
      </c>
      <c r="B550" s="201" t="s">
        <v>3330</v>
      </c>
      <c r="C550" s="199" t="s">
        <v>3338</v>
      </c>
      <c r="D550" s="188" t="s">
        <v>8724</v>
      </c>
      <c r="E550" s="188" t="s">
        <v>3734</v>
      </c>
      <c r="F550" s="189" t="s">
        <v>3658</v>
      </c>
      <c r="G550" s="199" t="s">
        <v>8266</v>
      </c>
      <c r="H550" s="199">
        <v>214</v>
      </c>
      <c r="I550" s="199">
        <v>1</v>
      </c>
      <c r="J550" s="199">
        <v>1</v>
      </c>
      <c r="K550" s="199">
        <v>1</v>
      </c>
      <c r="L550" s="199">
        <v>50</v>
      </c>
      <c r="M550" s="202">
        <f>TB_Parts_Lists[[#This Row],[Quantity Initial]]+ SUMIF(TB_Transactions[Part number],TB_Parts_Lists[[#This Row],[Part Number]],TB_Transactions[Quantity])</f>
        <v>50</v>
      </c>
      <c r="N550" s="200" t="s">
        <v>4593</v>
      </c>
      <c r="O550" s="234">
        <v>5</v>
      </c>
      <c r="P550" s="199">
        <f>TB_Parts_Lists[[#This Row],[Quantity Initial]]*TB_Parts_Lists[[#This Row],[Unit Price AED]]</f>
        <v>250</v>
      </c>
      <c r="Q550" s="199">
        <f>TB_Parts_Lists[[#This Row],[Quantity Total]]*TB_Parts_Lists[[#This Row],[Unit Price AED]]</f>
        <v>250</v>
      </c>
      <c r="S550" s="199" t="s">
        <v>8675</v>
      </c>
      <c r="T550" s="199" t="s">
        <v>8675</v>
      </c>
      <c r="U550" s="199" t="s">
        <v>8675</v>
      </c>
    </row>
    <row r="551" spans="1:21" s="199" customFormat="1" x14ac:dyDescent="0.25">
      <c r="A551" s="192" t="s">
        <v>7048</v>
      </c>
      <c r="B551" s="201" t="s">
        <v>3330</v>
      </c>
      <c r="C551" s="199" t="s">
        <v>7047</v>
      </c>
      <c r="D551" s="199" t="s">
        <v>8723</v>
      </c>
      <c r="E551" s="188" t="s">
        <v>7047</v>
      </c>
      <c r="F551" s="189" t="s">
        <v>3659</v>
      </c>
      <c r="G551" s="199" t="s">
        <v>8266</v>
      </c>
      <c r="H551" s="199" t="s">
        <v>55</v>
      </c>
      <c r="I551" s="199">
        <v>1</v>
      </c>
      <c r="J551" s="199">
        <v>1</v>
      </c>
      <c r="K551" s="199">
        <v>1</v>
      </c>
      <c r="L551" s="199">
        <v>50</v>
      </c>
      <c r="M551" s="202">
        <f>TB_Parts_Lists[[#This Row],[Quantity Initial]]+ SUMIF(TB_Transactions[Part number],TB_Parts_Lists[[#This Row],[Part Number]],TB_Transactions[Quantity])</f>
        <v>50</v>
      </c>
      <c r="N551" s="200" t="s">
        <v>4593</v>
      </c>
      <c r="O551" s="234">
        <v>5</v>
      </c>
      <c r="P551" s="199">
        <f>TB_Parts_Lists[[#This Row],[Quantity Initial]]*TB_Parts_Lists[[#This Row],[Unit Price AED]]</f>
        <v>250</v>
      </c>
      <c r="Q551" s="199">
        <f>TB_Parts_Lists[[#This Row],[Quantity Total]]*TB_Parts_Lists[[#This Row],[Unit Price AED]]</f>
        <v>250</v>
      </c>
      <c r="S551" s="199" t="s">
        <v>8675</v>
      </c>
      <c r="T551" s="199" t="s">
        <v>8675</v>
      </c>
      <c r="U551" s="199" t="s">
        <v>8675</v>
      </c>
    </row>
    <row r="552" spans="1:21" s="199" customFormat="1" x14ac:dyDescent="0.25">
      <c r="A552" s="192" t="s">
        <v>7049</v>
      </c>
      <c r="B552" s="201" t="s">
        <v>3330</v>
      </c>
      <c r="C552" s="199" t="s">
        <v>3338</v>
      </c>
      <c r="D552" s="188" t="s">
        <v>8724</v>
      </c>
      <c r="E552" s="188" t="s">
        <v>3735</v>
      </c>
      <c r="F552" s="189" t="s">
        <v>3660</v>
      </c>
      <c r="G552" s="199" t="s">
        <v>8266</v>
      </c>
      <c r="H552" s="199" t="s">
        <v>55</v>
      </c>
      <c r="I552" s="199">
        <v>1</v>
      </c>
      <c r="J552" s="199">
        <v>1</v>
      </c>
      <c r="K552" s="199">
        <v>1</v>
      </c>
      <c r="L552" s="199">
        <v>50</v>
      </c>
      <c r="M552" s="202">
        <f>TB_Parts_Lists[[#This Row],[Quantity Initial]]+ SUMIF(TB_Transactions[Part number],TB_Parts_Lists[[#This Row],[Part Number]],TB_Transactions[Quantity])</f>
        <v>50</v>
      </c>
      <c r="N552" s="200" t="s">
        <v>4593</v>
      </c>
      <c r="O552" s="234">
        <v>5</v>
      </c>
      <c r="P552" s="199">
        <f>TB_Parts_Lists[[#This Row],[Quantity Initial]]*TB_Parts_Lists[[#This Row],[Unit Price AED]]</f>
        <v>250</v>
      </c>
      <c r="Q552" s="199">
        <f>TB_Parts_Lists[[#This Row],[Quantity Total]]*TB_Parts_Lists[[#This Row],[Unit Price AED]]</f>
        <v>250</v>
      </c>
      <c r="S552" s="199" t="s">
        <v>118</v>
      </c>
      <c r="T552" s="199" t="s">
        <v>127</v>
      </c>
      <c r="U552" s="199" t="s">
        <v>502</v>
      </c>
    </row>
    <row r="553" spans="1:21" s="199" customFormat="1" x14ac:dyDescent="0.25">
      <c r="A553" s="192" t="s">
        <v>7050</v>
      </c>
      <c r="B553" s="201" t="s">
        <v>3330</v>
      </c>
      <c r="C553" s="199" t="s">
        <v>3338</v>
      </c>
      <c r="D553" s="188" t="s">
        <v>8724</v>
      </c>
      <c r="E553" s="188" t="s">
        <v>3736</v>
      </c>
      <c r="F553" s="189" t="s">
        <v>3661</v>
      </c>
      <c r="G553" s="199" t="s">
        <v>8266</v>
      </c>
      <c r="H553" s="199" t="s">
        <v>55</v>
      </c>
      <c r="I553" s="199">
        <v>1</v>
      </c>
      <c r="J553" s="199">
        <v>1</v>
      </c>
      <c r="K553" s="199">
        <v>1</v>
      </c>
      <c r="L553" s="199">
        <v>50</v>
      </c>
      <c r="M553" s="202">
        <f>TB_Parts_Lists[[#This Row],[Quantity Initial]]+ SUMIF(TB_Transactions[Part number],TB_Parts_Lists[[#This Row],[Part Number]],TB_Transactions[Quantity])</f>
        <v>50</v>
      </c>
      <c r="N553" s="200" t="s">
        <v>4593</v>
      </c>
      <c r="O553" s="234">
        <v>5</v>
      </c>
      <c r="P553" s="199">
        <f>TB_Parts_Lists[[#This Row],[Quantity Initial]]*TB_Parts_Lists[[#This Row],[Unit Price AED]]</f>
        <v>250</v>
      </c>
      <c r="Q553" s="199">
        <f>TB_Parts_Lists[[#This Row],[Quantity Total]]*TB_Parts_Lists[[#This Row],[Unit Price AED]]</f>
        <v>250</v>
      </c>
      <c r="S553" s="199" t="s">
        <v>118</v>
      </c>
      <c r="T553" s="199" t="s">
        <v>127</v>
      </c>
      <c r="U553" s="199" t="s">
        <v>502</v>
      </c>
    </row>
    <row r="554" spans="1:21" s="199" customFormat="1" x14ac:dyDescent="0.25">
      <c r="A554" s="192" t="s">
        <v>7051</v>
      </c>
      <c r="B554" s="201" t="s">
        <v>3330</v>
      </c>
      <c r="C554" s="199" t="s">
        <v>3338</v>
      </c>
      <c r="D554" s="199" t="s">
        <v>8723</v>
      </c>
      <c r="E554" s="188" t="s">
        <v>3630</v>
      </c>
      <c r="F554" s="189" t="s">
        <v>3662</v>
      </c>
      <c r="G554" s="199" t="s">
        <v>8266</v>
      </c>
      <c r="H554" s="199" t="s">
        <v>55</v>
      </c>
      <c r="I554" s="199">
        <v>1</v>
      </c>
      <c r="J554" s="199">
        <v>1</v>
      </c>
      <c r="K554" s="199">
        <v>1</v>
      </c>
      <c r="L554" s="199">
        <v>50</v>
      </c>
      <c r="M554" s="202">
        <f>TB_Parts_Lists[[#This Row],[Quantity Initial]]+ SUMIF(TB_Transactions[Part number],TB_Parts_Lists[[#This Row],[Part Number]],TB_Transactions[Quantity])</f>
        <v>50</v>
      </c>
      <c r="N554" s="200" t="s">
        <v>4593</v>
      </c>
      <c r="O554" s="234">
        <v>5</v>
      </c>
      <c r="P554" s="199">
        <f>TB_Parts_Lists[[#This Row],[Quantity Initial]]*TB_Parts_Lists[[#This Row],[Unit Price AED]]</f>
        <v>250</v>
      </c>
      <c r="Q554" s="199">
        <f>TB_Parts_Lists[[#This Row],[Quantity Total]]*TB_Parts_Lists[[#This Row],[Unit Price AED]]</f>
        <v>250</v>
      </c>
      <c r="S554" s="199" t="s">
        <v>8675</v>
      </c>
      <c r="T554" s="199" t="s">
        <v>8675</v>
      </c>
      <c r="U554" s="199" t="s">
        <v>8675</v>
      </c>
    </row>
    <row r="555" spans="1:21" s="199" customFormat="1" x14ac:dyDescent="0.25">
      <c r="A555" s="192" t="s">
        <v>7052</v>
      </c>
      <c r="B555" s="201" t="s">
        <v>3330</v>
      </c>
      <c r="C555" s="199" t="s">
        <v>3338</v>
      </c>
      <c r="D555" s="188" t="s">
        <v>8724</v>
      </c>
      <c r="E555" s="188" t="s">
        <v>5123</v>
      </c>
      <c r="F555" s="189" t="s">
        <v>5986</v>
      </c>
      <c r="G555" s="199" t="s">
        <v>8266</v>
      </c>
      <c r="H555" s="199">
        <v>214</v>
      </c>
      <c r="I555" s="199">
        <v>1</v>
      </c>
      <c r="J555" s="199">
        <v>1</v>
      </c>
      <c r="K555" s="199">
        <v>1</v>
      </c>
      <c r="L555" s="199">
        <v>50</v>
      </c>
      <c r="M555" s="202">
        <f>TB_Parts_Lists[[#This Row],[Quantity Initial]]+ SUMIF(TB_Transactions[Part number],TB_Parts_Lists[[#This Row],[Part Number]],TB_Transactions[Quantity])</f>
        <v>50</v>
      </c>
      <c r="N555" s="200" t="s">
        <v>4593</v>
      </c>
      <c r="O555" s="234">
        <v>5</v>
      </c>
      <c r="P555" s="199">
        <f>TB_Parts_Lists[[#This Row],[Quantity Initial]]*TB_Parts_Lists[[#This Row],[Unit Price AED]]</f>
        <v>250</v>
      </c>
      <c r="Q555" s="199">
        <f>TB_Parts_Lists[[#This Row],[Quantity Total]]*TB_Parts_Lists[[#This Row],[Unit Price AED]]</f>
        <v>250</v>
      </c>
      <c r="S555" s="199" t="s">
        <v>122</v>
      </c>
      <c r="T555" s="199" t="s">
        <v>8676</v>
      </c>
      <c r="U555" s="199" t="s">
        <v>298</v>
      </c>
    </row>
    <row r="556" spans="1:21" s="199" customFormat="1" x14ac:dyDescent="0.25">
      <c r="A556" s="192" t="s">
        <v>7053</v>
      </c>
      <c r="B556" s="201" t="s">
        <v>3330</v>
      </c>
      <c r="C556" s="199" t="s">
        <v>3338</v>
      </c>
      <c r="D556" s="188" t="s">
        <v>8724</v>
      </c>
      <c r="E556" s="188" t="s">
        <v>3737</v>
      </c>
      <c r="F556" s="189" t="s">
        <v>3663</v>
      </c>
      <c r="G556" s="199" t="s">
        <v>8266</v>
      </c>
      <c r="H556" s="199">
        <v>214</v>
      </c>
      <c r="I556" s="199">
        <v>1</v>
      </c>
      <c r="J556" s="199">
        <v>1</v>
      </c>
      <c r="K556" s="199">
        <v>1</v>
      </c>
      <c r="L556" s="199">
        <v>50</v>
      </c>
      <c r="M556" s="202">
        <f>TB_Parts_Lists[[#This Row],[Quantity Initial]]+ SUMIF(TB_Transactions[Part number],TB_Parts_Lists[[#This Row],[Part Number]],TB_Transactions[Quantity])</f>
        <v>50</v>
      </c>
      <c r="N556" s="200" t="s">
        <v>4593</v>
      </c>
      <c r="O556" s="234">
        <v>5</v>
      </c>
      <c r="P556" s="199">
        <f>TB_Parts_Lists[[#This Row],[Quantity Initial]]*TB_Parts_Lists[[#This Row],[Unit Price AED]]</f>
        <v>250</v>
      </c>
      <c r="Q556" s="199">
        <f>TB_Parts_Lists[[#This Row],[Quantity Total]]*TB_Parts_Lists[[#This Row],[Unit Price AED]]</f>
        <v>250</v>
      </c>
      <c r="S556" s="199" t="s">
        <v>8675</v>
      </c>
      <c r="T556" s="199" t="s">
        <v>8675</v>
      </c>
      <c r="U556" s="199" t="s">
        <v>8675</v>
      </c>
    </row>
    <row r="557" spans="1:21" s="199" customFormat="1" x14ac:dyDescent="0.25">
      <c r="A557" s="192" t="s">
        <v>7054</v>
      </c>
      <c r="B557" s="201" t="s">
        <v>3330</v>
      </c>
      <c r="C557" s="199" t="s">
        <v>4608</v>
      </c>
      <c r="D557" s="188" t="s">
        <v>8724</v>
      </c>
      <c r="E557" s="188" t="s">
        <v>5124</v>
      </c>
      <c r="F557" s="189" t="s">
        <v>3664</v>
      </c>
      <c r="G557" s="199" t="s">
        <v>8266</v>
      </c>
      <c r="H557" s="199">
        <v>214</v>
      </c>
      <c r="I557" s="199">
        <v>1</v>
      </c>
      <c r="J557" s="199">
        <v>1</v>
      </c>
      <c r="K557" s="199">
        <v>1</v>
      </c>
      <c r="L557" s="199">
        <v>50</v>
      </c>
      <c r="M557" s="202">
        <f>TB_Parts_Lists[[#This Row],[Quantity Initial]]+ SUMIF(TB_Transactions[Part number],TB_Parts_Lists[[#This Row],[Part Number]],TB_Transactions[Quantity])</f>
        <v>50</v>
      </c>
      <c r="N557" s="200" t="s">
        <v>4593</v>
      </c>
      <c r="O557" s="234">
        <v>5</v>
      </c>
      <c r="P557" s="199">
        <f>TB_Parts_Lists[[#This Row],[Quantity Initial]]*TB_Parts_Lists[[#This Row],[Unit Price AED]]</f>
        <v>250</v>
      </c>
      <c r="Q557" s="199">
        <f>TB_Parts_Lists[[#This Row],[Quantity Total]]*TB_Parts_Lists[[#This Row],[Unit Price AED]]</f>
        <v>250</v>
      </c>
      <c r="S557" s="199" t="s">
        <v>8675</v>
      </c>
      <c r="T557" s="199" t="s">
        <v>8675</v>
      </c>
      <c r="U557" s="199" t="s">
        <v>8675</v>
      </c>
    </row>
    <row r="558" spans="1:21" s="199" customFormat="1" x14ac:dyDescent="0.25">
      <c r="A558" s="192" t="s">
        <v>7055</v>
      </c>
      <c r="B558" s="201" t="s">
        <v>3330</v>
      </c>
      <c r="C558" s="199" t="s">
        <v>3338</v>
      </c>
      <c r="D558" s="199" t="s">
        <v>8723</v>
      </c>
      <c r="E558" s="188" t="s">
        <v>5125</v>
      </c>
      <c r="F558" s="189" t="s">
        <v>3665</v>
      </c>
      <c r="G558" s="199" t="s">
        <v>8266</v>
      </c>
      <c r="H558" s="199" t="s">
        <v>55</v>
      </c>
      <c r="I558" s="199">
        <v>1</v>
      </c>
      <c r="J558" s="199">
        <v>1</v>
      </c>
      <c r="K558" s="199">
        <v>1</v>
      </c>
      <c r="L558" s="199">
        <v>50</v>
      </c>
      <c r="M558" s="202">
        <f>TB_Parts_Lists[[#This Row],[Quantity Initial]]+ SUMIF(TB_Transactions[Part number],TB_Parts_Lists[[#This Row],[Part Number]],TB_Transactions[Quantity])</f>
        <v>50</v>
      </c>
      <c r="N558" s="200" t="s">
        <v>4593</v>
      </c>
      <c r="O558" s="234">
        <v>5</v>
      </c>
      <c r="P558" s="199">
        <f>TB_Parts_Lists[[#This Row],[Quantity Initial]]*TB_Parts_Lists[[#This Row],[Unit Price AED]]</f>
        <v>250</v>
      </c>
      <c r="Q558" s="199">
        <f>TB_Parts_Lists[[#This Row],[Quantity Total]]*TB_Parts_Lists[[#This Row],[Unit Price AED]]</f>
        <v>250</v>
      </c>
      <c r="S558" s="199" t="s">
        <v>8675</v>
      </c>
      <c r="T558" s="199" t="s">
        <v>8675</v>
      </c>
      <c r="U558" s="199" t="s">
        <v>8675</v>
      </c>
    </row>
    <row r="559" spans="1:21" s="199" customFormat="1" x14ac:dyDescent="0.25">
      <c r="A559" s="192" t="s">
        <v>7056</v>
      </c>
      <c r="B559" s="201" t="s">
        <v>3330</v>
      </c>
      <c r="C559" s="199" t="s">
        <v>3338</v>
      </c>
      <c r="D559" s="199" t="s">
        <v>8723</v>
      </c>
      <c r="E559" s="188" t="s">
        <v>3738</v>
      </c>
      <c r="F559" s="189" t="s">
        <v>3666</v>
      </c>
      <c r="G559" s="199" t="s">
        <v>8266</v>
      </c>
      <c r="H559" s="199" t="s">
        <v>55</v>
      </c>
      <c r="I559" s="199">
        <v>1</v>
      </c>
      <c r="J559" s="199">
        <v>1</v>
      </c>
      <c r="K559" s="199">
        <v>1</v>
      </c>
      <c r="L559" s="199">
        <v>50</v>
      </c>
      <c r="M559" s="202">
        <f>TB_Parts_Lists[[#This Row],[Quantity Initial]]+ SUMIF(TB_Transactions[Part number],TB_Parts_Lists[[#This Row],[Part Number]],TB_Transactions[Quantity])</f>
        <v>50</v>
      </c>
      <c r="N559" s="200" t="s">
        <v>4593</v>
      </c>
      <c r="O559" s="234">
        <v>5</v>
      </c>
      <c r="P559" s="199">
        <f>TB_Parts_Lists[[#This Row],[Quantity Initial]]*TB_Parts_Lists[[#This Row],[Unit Price AED]]</f>
        <v>250</v>
      </c>
      <c r="Q559" s="199">
        <f>TB_Parts_Lists[[#This Row],[Quantity Total]]*TB_Parts_Lists[[#This Row],[Unit Price AED]]</f>
        <v>250</v>
      </c>
      <c r="S559" s="199" t="s">
        <v>8675</v>
      </c>
      <c r="T559" s="199" t="s">
        <v>8675</v>
      </c>
      <c r="U559" s="199" t="s">
        <v>8675</v>
      </c>
    </row>
    <row r="560" spans="1:21" s="199" customFormat="1" x14ac:dyDescent="0.25">
      <c r="A560" s="192" t="s">
        <v>7057</v>
      </c>
      <c r="B560" s="201" t="s">
        <v>6619</v>
      </c>
      <c r="C560" s="199" t="s">
        <v>161</v>
      </c>
      <c r="D560" s="188" t="s">
        <v>8724</v>
      </c>
      <c r="E560" s="188" t="s">
        <v>3631</v>
      </c>
      <c r="F560" s="189" t="s">
        <v>3667</v>
      </c>
      <c r="G560" s="199" t="s">
        <v>8266</v>
      </c>
      <c r="H560" s="199">
        <v>214</v>
      </c>
      <c r="I560" s="199">
        <v>1</v>
      </c>
      <c r="J560" s="199">
        <v>1</v>
      </c>
      <c r="K560" s="199">
        <v>1</v>
      </c>
      <c r="L560" s="199">
        <v>50</v>
      </c>
      <c r="M560" s="202">
        <f>TB_Parts_Lists[[#This Row],[Quantity Initial]]+ SUMIF(TB_Transactions[Part number],TB_Parts_Lists[[#This Row],[Part Number]],TB_Transactions[Quantity])</f>
        <v>50</v>
      </c>
      <c r="N560" s="200" t="s">
        <v>4593</v>
      </c>
      <c r="O560" s="234">
        <v>5</v>
      </c>
      <c r="P560" s="199">
        <f>TB_Parts_Lists[[#This Row],[Quantity Initial]]*TB_Parts_Lists[[#This Row],[Unit Price AED]]</f>
        <v>250</v>
      </c>
      <c r="Q560" s="199">
        <f>TB_Parts_Lists[[#This Row],[Quantity Total]]*TB_Parts_Lists[[#This Row],[Unit Price AED]]</f>
        <v>250</v>
      </c>
      <c r="S560" s="199" t="s">
        <v>8675</v>
      </c>
      <c r="T560" s="199" t="s">
        <v>8675</v>
      </c>
      <c r="U560" s="199" t="s">
        <v>8675</v>
      </c>
    </row>
    <row r="561" spans="1:21" s="199" customFormat="1" x14ac:dyDescent="0.25">
      <c r="A561" s="192" t="s">
        <v>7058</v>
      </c>
      <c r="B561" s="201" t="s">
        <v>3330</v>
      </c>
      <c r="C561" s="199" t="s">
        <v>3338</v>
      </c>
      <c r="D561" s="188" t="s">
        <v>8724</v>
      </c>
      <c r="E561" s="188" t="s">
        <v>3739</v>
      </c>
      <c r="F561" s="189" t="s">
        <v>3668</v>
      </c>
      <c r="G561" s="199" t="s">
        <v>8266</v>
      </c>
      <c r="H561" s="199">
        <v>214</v>
      </c>
      <c r="I561" s="199">
        <v>1</v>
      </c>
      <c r="J561" s="199">
        <v>1</v>
      </c>
      <c r="K561" s="199">
        <v>1</v>
      </c>
      <c r="L561" s="199">
        <v>50</v>
      </c>
      <c r="M561" s="202">
        <f>TB_Parts_Lists[[#This Row],[Quantity Initial]]+ SUMIF(TB_Transactions[Part number],TB_Parts_Lists[[#This Row],[Part Number]],TB_Transactions[Quantity])</f>
        <v>50</v>
      </c>
      <c r="N561" s="200" t="s">
        <v>4593</v>
      </c>
      <c r="O561" s="234">
        <v>5</v>
      </c>
      <c r="P561" s="199">
        <f>TB_Parts_Lists[[#This Row],[Quantity Initial]]*TB_Parts_Lists[[#This Row],[Unit Price AED]]</f>
        <v>250</v>
      </c>
      <c r="Q561" s="199">
        <f>TB_Parts_Lists[[#This Row],[Quantity Total]]*TB_Parts_Lists[[#This Row],[Unit Price AED]]</f>
        <v>250</v>
      </c>
      <c r="S561" s="199" t="s">
        <v>8675</v>
      </c>
      <c r="T561" s="199" t="s">
        <v>8675</v>
      </c>
      <c r="U561" s="199" t="s">
        <v>8675</v>
      </c>
    </row>
    <row r="562" spans="1:21" s="199" customFormat="1" x14ac:dyDescent="0.25">
      <c r="A562" s="192" t="s">
        <v>7059</v>
      </c>
      <c r="B562" s="201" t="s">
        <v>6619</v>
      </c>
      <c r="C562" s="199" t="s">
        <v>3629</v>
      </c>
      <c r="D562" s="188" t="s">
        <v>8724</v>
      </c>
      <c r="E562" s="188" t="s">
        <v>3740</v>
      </c>
      <c r="F562" s="189" t="s">
        <v>3669</v>
      </c>
      <c r="G562" s="199" t="s">
        <v>8266</v>
      </c>
      <c r="H562" s="199">
        <v>214</v>
      </c>
      <c r="I562" s="199">
        <v>1</v>
      </c>
      <c r="J562" s="199">
        <v>1</v>
      </c>
      <c r="K562" s="199">
        <v>1</v>
      </c>
      <c r="L562" s="199">
        <v>50</v>
      </c>
      <c r="M562" s="202">
        <f>TB_Parts_Lists[[#This Row],[Quantity Initial]]+ SUMIF(TB_Transactions[Part number],TB_Parts_Lists[[#This Row],[Part Number]],TB_Transactions[Quantity])</f>
        <v>50</v>
      </c>
      <c r="N562" s="200" t="s">
        <v>4593</v>
      </c>
      <c r="O562" s="234">
        <v>5</v>
      </c>
      <c r="P562" s="199">
        <f>TB_Parts_Lists[[#This Row],[Quantity Initial]]*TB_Parts_Lists[[#This Row],[Unit Price AED]]</f>
        <v>250</v>
      </c>
      <c r="Q562" s="199">
        <f>TB_Parts_Lists[[#This Row],[Quantity Total]]*TB_Parts_Lists[[#This Row],[Unit Price AED]]</f>
        <v>250</v>
      </c>
      <c r="S562" s="199" t="s">
        <v>8675</v>
      </c>
      <c r="T562" s="199" t="s">
        <v>8675</v>
      </c>
      <c r="U562" s="199" t="s">
        <v>8675</v>
      </c>
    </row>
    <row r="563" spans="1:21" s="199" customFormat="1" x14ac:dyDescent="0.25">
      <c r="A563" s="192" t="s">
        <v>7060</v>
      </c>
      <c r="B563" s="201" t="s">
        <v>3330</v>
      </c>
      <c r="C563" s="199" t="s">
        <v>3338</v>
      </c>
      <c r="D563" s="188" t="s">
        <v>8724</v>
      </c>
      <c r="E563" s="188" t="s">
        <v>3741</v>
      </c>
      <c r="F563" s="189" t="s">
        <v>3670</v>
      </c>
      <c r="G563" s="199" t="s">
        <v>8266</v>
      </c>
      <c r="H563" s="199">
        <v>214</v>
      </c>
      <c r="I563" s="199">
        <v>1</v>
      </c>
      <c r="J563" s="199">
        <v>1</v>
      </c>
      <c r="K563" s="199">
        <v>1</v>
      </c>
      <c r="L563" s="199">
        <v>50</v>
      </c>
      <c r="M563" s="202">
        <f>TB_Parts_Lists[[#This Row],[Quantity Initial]]+ SUMIF(TB_Transactions[Part number],TB_Parts_Lists[[#This Row],[Part Number]],TB_Transactions[Quantity])</f>
        <v>50</v>
      </c>
      <c r="N563" s="200" t="s">
        <v>4593</v>
      </c>
      <c r="O563" s="234">
        <v>5</v>
      </c>
      <c r="P563" s="199">
        <f>TB_Parts_Lists[[#This Row],[Quantity Initial]]*TB_Parts_Lists[[#This Row],[Unit Price AED]]</f>
        <v>250</v>
      </c>
      <c r="Q563" s="199">
        <f>TB_Parts_Lists[[#This Row],[Quantity Total]]*TB_Parts_Lists[[#This Row],[Unit Price AED]]</f>
        <v>250</v>
      </c>
      <c r="S563" s="199" t="s">
        <v>122</v>
      </c>
      <c r="T563" s="199" t="s">
        <v>8676</v>
      </c>
      <c r="U563" s="199" t="s">
        <v>298</v>
      </c>
    </row>
    <row r="564" spans="1:21" s="199" customFormat="1" x14ac:dyDescent="0.25">
      <c r="A564" s="192" t="s">
        <v>7061</v>
      </c>
      <c r="B564" s="201" t="s">
        <v>3330</v>
      </c>
      <c r="C564" s="199" t="s">
        <v>3338</v>
      </c>
      <c r="D564" s="188" t="s">
        <v>8724</v>
      </c>
      <c r="E564" s="188" t="s">
        <v>5126</v>
      </c>
      <c r="F564" s="189" t="s">
        <v>3671</v>
      </c>
      <c r="G564" s="199" t="s">
        <v>8266</v>
      </c>
      <c r="H564" s="199">
        <v>214</v>
      </c>
      <c r="I564" s="199">
        <v>1</v>
      </c>
      <c r="J564" s="199">
        <v>1</v>
      </c>
      <c r="K564" s="199">
        <v>1</v>
      </c>
      <c r="L564" s="199">
        <v>50</v>
      </c>
      <c r="M564" s="202">
        <f>TB_Parts_Lists[[#This Row],[Quantity Initial]]+ SUMIF(TB_Transactions[Part number],TB_Parts_Lists[[#This Row],[Part Number]],TB_Transactions[Quantity])</f>
        <v>50</v>
      </c>
      <c r="N564" s="200" t="s">
        <v>4593</v>
      </c>
      <c r="O564" s="234">
        <v>5</v>
      </c>
      <c r="P564" s="199">
        <f>TB_Parts_Lists[[#This Row],[Quantity Initial]]*TB_Parts_Lists[[#This Row],[Unit Price AED]]</f>
        <v>250</v>
      </c>
      <c r="Q564" s="199">
        <f>TB_Parts_Lists[[#This Row],[Quantity Total]]*TB_Parts_Lists[[#This Row],[Unit Price AED]]</f>
        <v>250</v>
      </c>
      <c r="S564" s="199" t="s">
        <v>122</v>
      </c>
      <c r="T564" s="199" t="s">
        <v>8676</v>
      </c>
      <c r="U564" s="199" t="s">
        <v>298</v>
      </c>
    </row>
    <row r="565" spans="1:21" s="199" customFormat="1" x14ac:dyDescent="0.25">
      <c r="A565" s="192" t="s">
        <v>7062</v>
      </c>
      <c r="B565" s="201" t="s">
        <v>6619</v>
      </c>
      <c r="C565" s="199" t="s">
        <v>161</v>
      </c>
      <c r="D565" s="188" t="s">
        <v>8724</v>
      </c>
      <c r="E565" s="188" t="s">
        <v>3742</v>
      </c>
      <c r="F565" s="189" t="s">
        <v>3672</v>
      </c>
      <c r="G565" s="199" t="s">
        <v>8266</v>
      </c>
      <c r="H565" s="199">
        <v>214</v>
      </c>
      <c r="I565" s="199">
        <v>1</v>
      </c>
      <c r="J565" s="199">
        <v>1</v>
      </c>
      <c r="K565" s="199">
        <v>1</v>
      </c>
      <c r="L565" s="199">
        <v>50</v>
      </c>
      <c r="M565" s="202">
        <f>TB_Parts_Lists[[#This Row],[Quantity Initial]]+ SUMIF(TB_Transactions[Part number],TB_Parts_Lists[[#This Row],[Part Number]],TB_Transactions[Quantity])</f>
        <v>50</v>
      </c>
      <c r="N565" s="200" t="s">
        <v>4593</v>
      </c>
      <c r="O565" s="234">
        <v>5</v>
      </c>
      <c r="P565" s="199">
        <f>TB_Parts_Lists[[#This Row],[Quantity Initial]]*TB_Parts_Lists[[#This Row],[Unit Price AED]]</f>
        <v>250</v>
      </c>
      <c r="Q565" s="199">
        <f>TB_Parts_Lists[[#This Row],[Quantity Total]]*TB_Parts_Lists[[#This Row],[Unit Price AED]]</f>
        <v>250</v>
      </c>
      <c r="S565" s="199" t="s">
        <v>122</v>
      </c>
      <c r="T565" s="199" t="s">
        <v>8676</v>
      </c>
      <c r="U565" s="199" t="s">
        <v>298</v>
      </c>
    </row>
    <row r="566" spans="1:21" s="199" customFormat="1" x14ac:dyDescent="0.25">
      <c r="A566" s="192" t="s">
        <v>7063</v>
      </c>
      <c r="B566" s="201" t="s">
        <v>3330</v>
      </c>
      <c r="C566" s="199" t="s">
        <v>3338</v>
      </c>
      <c r="D566" s="188" t="s">
        <v>8724</v>
      </c>
      <c r="E566" s="188" t="s">
        <v>3743</v>
      </c>
      <c r="F566" s="189" t="s">
        <v>3673</v>
      </c>
      <c r="G566" s="199" t="s">
        <v>8266</v>
      </c>
      <c r="H566" s="199">
        <v>214</v>
      </c>
      <c r="I566" s="199">
        <v>1</v>
      </c>
      <c r="J566" s="199">
        <v>1</v>
      </c>
      <c r="K566" s="199">
        <v>1</v>
      </c>
      <c r="L566" s="199">
        <v>50</v>
      </c>
      <c r="M566" s="202">
        <f>TB_Parts_Lists[[#This Row],[Quantity Initial]]+ SUMIF(TB_Transactions[Part number],TB_Parts_Lists[[#This Row],[Part Number]],TB_Transactions[Quantity])</f>
        <v>50</v>
      </c>
      <c r="N566" s="200" t="s">
        <v>4593</v>
      </c>
      <c r="O566" s="234">
        <v>5</v>
      </c>
      <c r="P566" s="199">
        <f>TB_Parts_Lists[[#This Row],[Quantity Initial]]*TB_Parts_Lists[[#This Row],[Unit Price AED]]</f>
        <v>250</v>
      </c>
      <c r="Q566" s="199">
        <f>TB_Parts_Lists[[#This Row],[Quantity Total]]*TB_Parts_Lists[[#This Row],[Unit Price AED]]</f>
        <v>250</v>
      </c>
      <c r="S566" s="199" t="s">
        <v>122</v>
      </c>
      <c r="T566" s="199" t="s">
        <v>8676</v>
      </c>
      <c r="U566" s="199" t="s">
        <v>298</v>
      </c>
    </row>
    <row r="567" spans="1:21" s="199" customFormat="1" x14ac:dyDescent="0.25">
      <c r="A567" s="192" t="s">
        <v>7064</v>
      </c>
      <c r="B567" s="201" t="s">
        <v>3330</v>
      </c>
      <c r="C567" s="199" t="s">
        <v>3338</v>
      </c>
      <c r="D567" s="188" t="s">
        <v>8724</v>
      </c>
      <c r="E567" s="188" t="s">
        <v>3744</v>
      </c>
      <c r="F567" s="189" t="s">
        <v>3674</v>
      </c>
      <c r="G567" s="199" t="s">
        <v>8266</v>
      </c>
      <c r="H567" s="199">
        <v>214</v>
      </c>
      <c r="I567" s="199">
        <v>1</v>
      </c>
      <c r="J567" s="199">
        <v>1</v>
      </c>
      <c r="K567" s="199">
        <v>1</v>
      </c>
      <c r="L567" s="199">
        <v>50</v>
      </c>
      <c r="M567" s="202">
        <f>TB_Parts_Lists[[#This Row],[Quantity Initial]]+ SUMIF(TB_Transactions[Part number],TB_Parts_Lists[[#This Row],[Part Number]],TB_Transactions[Quantity])</f>
        <v>50</v>
      </c>
      <c r="N567" s="200" t="s">
        <v>4593</v>
      </c>
      <c r="O567" s="234">
        <v>5</v>
      </c>
      <c r="P567" s="199">
        <f>TB_Parts_Lists[[#This Row],[Quantity Initial]]*TB_Parts_Lists[[#This Row],[Unit Price AED]]</f>
        <v>250</v>
      </c>
      <c r="Q567" s="199">
        <f>TB_Parts_Lists[[#This Row],[Quantity Total]]*TB_Parts_Lists[[#This Row],[Unit Price AED]]</f>
        <v>250</v>
      </c>
      <c r="S567" s="199" t="s">
        <v>122</v>
      </c>
      <c r="T567" s="199" t="s">
        <v>8676</v>
      </c>
      <c r="U567" s="199" t="s">
        <v>298</v>
      </c>
    </row>
    <row r="568" spans="1:21" s="199" customFormat="1" x14ac:dyDescent="0.25">
      <c r="A568" s="192" t="s">
        <v>7065</v>
      </c>
      <c r="B568" s="201" t="s">
        <v>3330</v>
      </c>
      <c r="C568" s="199" t="s">
        <v>3338</v>
      </c>
      <c r="D568" s="188" t="s">
        <v>8724</v>
      </c>
      <c r="E568" s="188" t="s">
        <v>3632</v>
      </c>
      <c r="F568" s="189" t="s">
        <v>3675</v>
      </c>
      <c r="G568" s="199" t="s">
        <v>8266</v>
      </c>
      <c r="H568" s="199">
        <v>214</v>
      </c>
      <c r="I568" s="199">
        <v>1</v>
      </c>
      <c r="J568" s="199">
        <v>1</v>
      </c>
      <c r="K568" s="199">
        <v>1</v>
      </c>
      <c r="L568" s="199">
        <v>50</v>
      </c>
      <c r="M568" s="202">
        <f>TB_Parts_Lists[[#This Row],[Quantity Initial]]+ SUMIF(TB_Transactions[Part number],TB_Parts_Lists[[#This Row],[Part Number]],TB_Transactions[Quantity])</f>
        <v>50</v>
      </c>
      <c r="N568" s="200" t="s">
        <v>4593</v>
      </c>
      <c r="O568" s="234">
        <v>5</v>
      </c>
      <c r="P568" s="199">
        <f>TB_Parts_Lists[[#This Row],[Quantity Initial]]*TB_Parts_Lists[[#This Row],[Unit Price AED]]</f>
        <v>250</v>
      </c>
      <c r="Q568" s="199">
        <f>TB_Parts_Lists[[#This Row],[Quantity Total]]*TB_Parts_Lists[[#This Row],[Unit Price AED]]</f>
        <v>250</v>
      </c>
      <c r="S568" s="199" t="s">
        <v>8675</v>
      </c>
      <c r="T568" s="199" t="s">
        <v>8675</v>
      </c>
      <c r="U568" s="199" t="s">
        <v>8675</v>
      </c>
    </row>
    <row r="569" spans="1:21" s="199" customFormat="1" x14ac:dyDescent="0.25">
      <c r="A569" s="192" t="s">
        <v>7067</v>
      </c>
      <c r="B569" s="201" t="s">
        <v>3330</v>
      </c>
      <c r="C569" s="199" t="s">
        <v>7066</v>
      </c>
      <c r="D569" s="188" t="s">
        <v>8724</v>
      </c>
      <c r="E569" s="188" t="s">
        <v>3745</v>
      </c>
      <c r="F569" s="189" t="s">
        <v>3676</v>
      </c>
      <c r="G569" s="199" t="s">
        <v>8266</v>
      </c>
      <c r="H569" s="199">
        <v>214</v>
      </c>
      <c r="I569" s="199">
        <v>1</v>
      </c>
      <c r="J569" s="199">
        <v>1</v>
      </c>
      <c r="K569" s="199">
        <v>1</v>
      </c>
      <c r="L569" s="199">
        <v>50</v>
      </c>
      <c r="M569" s="202">
        <f>TB_Parts_Lists[[#This Row],[Quantity Initial]]+ SUMIF(TB_Transactions[Part number],TB_Parts_Lists[[#This Row],[Part Number]],TB_Transactions[Quantity])</f>
        <v>50</v>
      </c>
      <c r="N569" s="200" t="s">
        <v>4593</v>
      </c>
      <c r="O569" s="234">
        <v>5</v>
      </c>
      <c r="P569" s="199">
        <f>TB_Parts_Lists[[#This Row],[Quantity Initial]]*TB_Parts_Lists[[#This Row],[Unit Price AED]]</f>
        <v>250</v>
      </c>
      <c r="Q569" s="199">
        <f>TB_Parts_Lists[[#This Row],[Quantity Total]]*TB_Parts_Lists[[#This Row],[Unit Price AED]]</f>
        <v>250</v>
      </c>
      <c r="S569" s="199" t="s">
        <v>8675</v>
      </c>
      <c r="T569" s="199" t="s">
        <v>8675</v>
      </c>
      <c r="U569" s="199" t="s">
        <v>8675</v>
      </c>
    </row>
    <row r="570" spans="1:21" s="199" customFormat="1" x14ac:dyDescent="0.25">
      <c r="A570" s="192" t="s">
        <v>7068</v>
      </c>
      <c r="B570" s="201" t="s">
        <v>6619</v>
      </c>
      <c r="C570" s="199" t="s">
        <v>161</v>
      </c>
      <c r="D570" s="188" t="s">
        <v>8724</v>
      </c>
      <c r="E570" s="188" t="s">
        <v>3633</v>
      </c>
      <c r="F570" s="189" t="s">
        <v>3677</v>
      </c>
      <c r="G570" s="199" t="s">
        <v>8266</v>
      </c>
      <c r="H570" s="199">
        <v>214</v>
      </c>
      <c r="I570" s="199">
        <v>1</v>
      </c>
      <c r="J570" s="199">
        <v>1</v>
      </c>
      <c r="K570" s="199">
        <v>1</v>
      </c>
      <c r="L570" s="199">
        <v>50</v>
      </c>
      <c r="M570" s="202">
        <f>TB_Parts_Lists[[#This Row],[Quantity Initial]]+ SUMIF(TB_Transactions[Part number],TB_Parts_Lists[[#This Row],[Part Number]],TB_Transactions[Quantity])</f>
        <v>50</v>
      </c>
      <c r="N570" s="200" t="s">
        <v>4593</v>
      </c>
      <c r="O570" s="234">
        <v>5</v>
      </c>
      <c r="P570" s="199">
        <f>TB_Parts_Lists[[#This Row],[Quantity Initial]]*TB_Parts_Lists[[#This Row],[Unit Price AED]]</f>
        <v>250</v>
      </c>
      <c r="Q570" s="199">
        <f>TB_Parts_Lists[[#This Row],[Quantity Total]]*TB_Parts_Lists[[#This Row],[Unit Price AED]]</f>
        <v>250</v>
      </c>
      <c r="S570" s="199" t="s">
        <v>8675</v>
      </c>
      <c r="T570" s="199" t="s">
        <v>8675</v>
      </c>
      <c r="U570" s="199" t="s">
        <v>8675</v>
      </c>
    </row>
    <row r="571" spans="1:21" s="199" customFormat="1" x14ac:dyDescent="0.25">
      <c r="A571" s="192" t="s">
        <v>7069</v>
      </c>
      <c r="B571" s="201" t="s">
        <v>3329</v>
      </c>
      <c r="C571" s="199" t="s">
        <v>5277</v>
      </c>
      <c r="D571" s="188" t="s">
        <v>8724</v>
      </c>
      <c r="E571" s="188" t="s">
        <v>3634</v>
      </c>
      <c r="F571" s="189" t="s">
        <v>3678</v>
      </c>
      <c r="G571" s="199" t="s">
        <v>8266</v>
      </c>
      <c r="H571" s="199">
        <v>214</v>
      </c>
      <c r="I571" s="199">
        <v>1</v>
      </c>
      <c r="J571" s="199">
        <v>1</v>
      </c>
      <c r="K571" s="199">
        <v>1</v>
      </c>
      <c r="L571" s="199">
        <v>50</v>
      </c>
      <c r="M571" s="202">
        <f>TB_Parts_Lists[[#This Row],[Quantity Initial]]+ SUMIF(TB_Transactions[Part number],TB_Parts_Lists[[#This Row],[Part Number]],TB_Transactions[Quantity])</f>
        <v>50</v>
      </c>
      <c r="N571" s="200" t="s">
        <v>4593</v>
      </c>
      <c r="O571" s="234">
        <v>5</v>
      </c>
      <c r="P571" s="199">
        <f>TB_Parts_Lists[[#This Row],[Quantity Initial]]*TB_Parts_Lists[[#This Row],[Unit Price AED]]</f>
        <v>250</v>
      </c>
      <c r="Q571" s="199">
        <f>TB_Parts_Lists[[#This Row],[Quantity Total]]*TB_Parts_Lists[[#This Row],[Unit Price AED]]</f>
        <v>250</v>
      </c>
      <c r="S571" s="199" t="s">
        <v>8675</v>
      </c>
      <c r="T571" s="199" t="s">
        <v>8675</v>
      </c>
      <c r="U571" s="199" t="s">
        <v>8675</v>
      </c>
    </row>
    <row r="572" spans="1:21" s="199" customFormat="1" x14ac:dyDescent="0.25">
      <c r="A572" s="192" t="s">
        <v>7070</v>
      </c>
      <c r="B572" s="201" t="s">
        <v>3330</v>
      </c>
      <c r="C572" s="199" t="s">
        <v>3338</v>
      </c>
      <c r="D572" s="188" t="s">
        <v>8724</v>
      </c>
      <c r="E572" s="188" t="s">
        <v>5127</v>
      </c>
      <c r="F572" s="189" t="s">
        <v>3679</v>
      </c>
      <c r="G572" s="199" t="s">
        <v>8266</v>
      </c>
      <c r="H572" s="199">
        <v>214</v>
      </c>
      <c r="I572" s="199">
        <v>1</v>
      </c>
      <c r="J572" s="199">
        <v>1</v>
      </c>
      <c r="K572" s="199">
        <v>1</v>
      </c>
      <c r="L572" s="199">
        <v>50</v>
      </c>
      <c r="M572" s="202">
        <f>TB_Parts_Lists[[#This Row],[Quantity Initial]]+ SUMIF(TB_Transactions[Part number],TB_Parts_Lists[[#This Row],[Part Number]],TB_Transactions[Quantity])</f>
        <v>50</v>
      </c>
      <c r="N572" s="200" t="s">
        <v>4593</v>
      </c>
      <c r="O572" s="234">
        <v>5</v>
      </c>
      <c r="P572" s="199">
        <f>TB_Parts_Lists[[#This Row],[Quantity Initial]]*TB_Parts_Lists[[#This Row],[Unit Price AED]]</f>
        <v>250</v>
      </c>
      <c r="Q572" s="199">
        <f>TB_Parts_Lists[[#This Row],[Quantity Total]]*TB_Parts_Lists[[#This Row],[Unit Price AED]]</f>
        <v>250</v>
      </c>
      <c r="S572" s="199" t="s">
        <v>122</v>
      </c>
      <c r="T572" s="199" t="s">
        <v>8676</v>
      </c>
      <c r="U572" s="199" t="s">
        <v>298</v>
      </c>
    </row>
    <row r="573" spans="1:21" s="199" customFormat="1" x14ac:dyDescent="0.25">
      <c r="A573" s="192" t="s">
        <v>7071</v>
      </c>
      <c r="B573" s="201" t="s">
        <v>3330</v>
      </c>
      <c r="C573" s="199" t="s">
        <v>3338</v>
      </c>
      <c r="D573" s="188" t="s">
        <v>8724</v>
      </c>
      <c r="E573" s="188" t="s">
        <v>3746</v>
      </c>
      <c r="F573" s="189" t="s">
        <v>3680</v>
      </c>
      <c r="G573" s="199" t="s">
        <v>8266</v>
      </c>
      <c r="H573" s="199">
        <v>214</v>
      </c>
      <c r="I573" s="199">
        <v>1</v>
      </c>
      <c r="J573" s="199">
        <v>1</v>
      </c>
      <c r="K573" s="199">
        <v>1</v>
      </c>
      <c r="L573" s="199">
        <v>50</v>
      </c>
      <c r="M573" s="202">
        <f>TB_Parts_Lists[[#This Row],[Quantity Initial]]+ SUMIF(TB_Transactions[Part number],TB_Parts_Lists[[#This Row],[Part Number]],TB_Transactions[Quantity])</f>
        <v>50</v>
      </c>
      <c r="N573" s="200" t="s">
        <v>4593</v>
      </c>
      <c r="O573" s="234">
        <v>5</v>
      </c>
      <c r="P573" s="199">
        <f>TB_Parts_Lists[[#This Row],[Quantity Initial]]*TB_Parts_Lists[[#This Row],[Unit Price AED]]</f>
        <v>250</v>
      </c>
      <c r="Q573" s="199">
        <f>TB_Parts_Lists[[#This Row],[Quantity Total]]*TB_Parts_Lists[[#This Row],[Unit Price AED]]</f>
        <v>250</v>
      </c>
      <c r="S573" s="199" t="s">
        <v>122</v>
      </c>
      <c r="T573" s="199" t="s">
        <v>8676</v>
      </c>
      <c r="U573" s="199" t="s">
        <v>298</v>
      </c>
    </row>
    <row r="574" spans="1:21" s="199" customFormat="1" x14ac:dyDescent="0.25">
      <c r="A574" s="192" t="s">
        <v>7072</v>
      </c>
      <c r="B574" s="201" t="s">
        <v>6619</v>
      </c>
      <c r="C574" s="199" t="s">
        <v>3629</v>
      </c>
      <c r="D574" s="188" t="s">
        <v>8724</v>
      </c>
      <c r="E574" s="188" t="s">
        <v>3629</v>
      </c>
      <c r="F574" s="189" t="s">
        <v>3681</v>
      </c>
      <c r="G574" s="199" t="s">
        <v>8266</v>
      </c>
      <c r="H574" s="199">
        <v>214</v>
      </c>
      <c r="I574" s="199">
        <v>1</v>
      </c>
      <c r="J574" s="199">
        <v>1</v>
      </c>
      <c r="K574" s="199">
        <v>1</v>
      </c>
      <c r="L574" s="199">
        <v>50</v>
      </c>
      <c r="M574" s="202">
        <f>TB_Parts_Lists[[#This Row],[Quantity Initial]]+ SUMIF(TB_Transactions[Part number],TB_Parts_Lists[[#This Row],[Part Number]],TB_Transactions[Quantity])</f>
        <v>50</v>
      </c>
      <c r="N574" s="200" t="s">
        <v>4593</v>
      </c>
      <c r="O574" s="234">
        <v>5</v>
      </c>
      <c r="P574" s="199">
        <f>TB_Parts_Lists[[#This Row],[Quantity Initial]]*TB_Parts_Lists[[#This Row],[Unit Price AED]]</f>
        <v>250</v>
      </c>
      <c r="Q574" s="199">
        <f>TB_Parts_Lists[[#This Row],[Quantity Total]]*TB_Parts_Lists[[#This Row],[Unit Price AED]]</f>
        <v>250</v>
      </c>
      <c r="S574" s="199" t="s">
        <v>8675</v>
      </c>
      <c r="T574" s="199" t="s">
        <v>8675</v>
      </c>
      <c r="U574" s="199" t="s">
        <v>8675</v>
      </c>
    </row>
    <row r="575" spans="1:21" s="199" customFormat="1" x14ac:dyDescent="0.25">
      <c r="A575" s="192" t="s">
        <v>7073</v>
      </c>
      <c r="B575" s="201" t="s">
        <v>3330</v>
      </c>
      <c r="C575" s="199" t="s">
        <v>3338</v>
      </c>
      <c r="D575" s="188" t="s">
        <v>8724</v>
      </c>
      <c r="E575" s="188" t="s">
        <v>3747</v>
      </c>
      <c r="F575" s="189" t="s">
        <v>3682</v>
      </c>
      <c r="G575" s="199" t="s">
        <v>8266</v>
      </c>
      <c r="H575" s="199">
        <v>214</v>
      </c>
      <c r="I575" s="199">
        <v>1</v>
      </c>
      <c r="J575" s="199">
        <v>1</v>
      </c>
      <c r="K575" s="199">
        <v>1</v>
      </c>
      <c r="L575" s="199">
        <v>50</v>
      </c>
      <c r="M575" s="202">
        <f>TB_Parts_Lists[[#This Row],[Quantity Initial]]+ SUMIF(TB_Transactions[Part number],TB_Parts_Lists[[#This Row],[Part Number]],TB_Transactions[Quantity])</f>
        <v>50</v>
      </c>
      <c r="N575" s="200" t="s">
        <v>4593</v>
      </c>
      <c r="O575" s="234">
        <v>5</v>
      </c>
      <c r="P575" s="199">
        <f>TB_Parts_Lists[[#This Row],[Quantity Initial]]*TB_Parts_Lists[[#This Row],[Unit Price AED]]</f>
        <v>250</v>
      </c>
      <c r="Q575" s="199">
        <f>TB_Parts_Lists[[#This Row],[Quantity Total]]*TB_Parts_Lists[[#This Row],[Unit Price AED]]</f>
        <v>250</v>
      </c>
      <c r="S575" s="199" t="s">
        <v>122</v>
      </c>
      <c r="T575" s="199" t="s">
        <v>8676</v>
      </c>
      <c r="U575" s="199" t="s">
        <v>298</v>
      </c>
    </row>
    <row r="576" spans="1:21" s="199" customFormat="1" x14ac:dyDescent="0.25">
      <c r="A576" s="192" t="s">
        <v>7074</v>
      </c>
      <c r="B576" s="201" t="s">
        <v>3330</v>
      </c>
      <c r="C576" s="199" t="s">
        <v>3338</v>
      </c>
      <c r="D576" s="188" t="s">
        <v>8724</v>
      </c>
      <c r="E576" s="188" t="s">
        <v>3748</v>
      </c>
      <c r="F576" s="189" t="s">
        <v>3683</v>
      </c>
      <c r="G576" s="199" t="s">
        <v>8266</v>
      </c>
      <c r="H576" s="199">
        <v>214</v>
      </c>
      <c r="I576" s="199">
        <v>1</v>
      </c>
      <c r="J576" s="199">
        <v>1</v>
      </c>
      <c r="K576" s="199">
        <v>1</v>
      </c>
      <c r="L576" s="199">
        <v>50</v>
      </c>
      <c r="M576" s="202">
        <f>TB_Parts_Lists[[#This Row],[Quantity Initial]]+ SUMIF(TB_Transactions[Part number],TB_Parts_Lists[[#This Row],[Part Number]],TB_Transactions[Quantity])</f>
        <v>50</v>
      </c>
      <c r="N576" s="200" t="s">
        <v>4593</v>
      </c>
      <c r="O576" s="234">
        <v>5</v>
      </c>
      <c r="P576" s="199">
        <f>TB_Parts_Lists[[#This Row],[Quantity Initial]]*TB_Parts_Lists[[#This Row],[Unit Price AED]]</f>
        <v>250</v>
      </c>
      <c r="Q576" s="199">
        <f>TB_Parts_Lists[[#This Row],[Quantity Total]]*TB_Parts_Lists[[#This Row],[Unit Price AED]]</f>
        <v>250</v>
      </c>
      <c r="S576" s="199" t="s">
        <v>122</v>
      </c>
      <c r="T576" s="199" t="s">
        <v>8676</v>
      </c>
      <c r="U576" s="199" t="s">
        <v>298</v>
      </c>
    </row>
    <row r="577" spans="1:21" s="199" customFormat="1" x14ac:dyDescent="0.25">
      <c r="A577" s="192" t="s">
        <v>7075</v>
      </c>
      <c r="B577" s="201" t="s">
        <v>3332</v>
      </c>
      <c r="C577" s="199" t="s">
        <v>3356</v>
      </c>
      <c r="D577" s="199" t="s">
        <v>8724</v>
      </c>
      <c r="E577" s="188" t="s">
        <v>5128</v>
      </c>
      <c r="F577" s="189" t="s">
        <v>3684</v>
      </c>
      <c r="G577" s="199" t="s">
        <v>8267</v>
      </c>
      <c r="H577" s="199" t="s">
        <v>62</v>
      </c>
      <c r="I577" s="199">
        <v>1</v>
      </c>
      <c r="J577" s="199">
        <v>1</v>
      </c>
      <c r="K577" s="199">
        <v>1</v>
      </c>
      <c r="L577" s="199">
        <v>50</v>
      </c>
      <c r="M577" s="202">
        <f>TB_Parts_Lists[[#This Row],[Quantity Initial]]+ SUMIF(TB_Transactions[Part number],TB_Parts_Lists[[#This Row],[Part Number]],TB_Transactions[Quantity])</f>
        <v>50</v>
      </c>
      <c r="N577" s="200" t="s">
        <v>4593</v>
      </c>
      <c r="O577" s="234">
        <v>5</v>
      </c>
      <c r="P577" s="199">
        <f>TB_Parts_Lists[[#This Row],[Quantity Initial]]*TB_Parts_Lists[[#This Row],[Unit Price AED]]</f>
        <v>250</v>
      </c>
      <c r="Q577" s="199">
        <f>TB_Parts_Lists[[#This Row],[Quantity Total]]*TB_Parts_Lists[[#This Row],[Unit Price AED]]</f>
        <v>250</v>
      </c>
      <c r="S577" s="199" t="s">
        <v>118</v>
      </c>
      <c r="T577" s="199" t="s">
        <v>8691</v>
      </c>
      <c r="U577" s="199" t="s">
        <v>8716</v>
      </c>
    </row>
    <row r="578" spans="1:21" s="199" customFormat="1" x14ac:dyDescent="0.25">
      <c r="A578" s="192" t="s">
        <v>7076</v>
      </c>
      <c r="B578" s="201" t="s">
        <v>3332</v>
      </c>
      <c r="C578" s="199" t="s">
        <v>3356</v>
      </c>
      <c r="D578" s="199" t="s">
        <v>8724</v>
      </c>
      <c r="E578" s="188" t="s">
        <v>5129</v>
      </c>
      <c r="F578" s="189" t="s">
        <v>5987</v>
      </c>
      <c r="G578" s="199" t="s">
        <v>8267</v>
      </c>
      <c r="H578" s="199" t="s">
        <v>62</v>
      </c>
      <c r="I578" s="199">
        <v>1</v>
      </c>
      <c r="J578" s="199">
        <v>1</v>
      </c>
      <c r="K578" s="199">
        <v>1</v>
      </c>
      <c r="L578" s="199">
        <v>50</v>
      </c>
      <c r="M578" s="202">
        <f>TB_Parts_Lists[[#This Row],[Quantity Initial]]+ SUMIF(TB_Transactions[Part number],TB_Parts_Lists[[#This Row],[Part Number]],TB_Transactions[Quantity])</f>
        <v>50</v>
      </c>
      <c r="N578" s="200" t="s">
        <v>4593</v>
      </c>
      <c r="O578" s="234">
        <v>5</v>
      </c>
      <c r="P578" s="199">
        <f>TB_Parts_Lists[[#This Row],[Quantity Initial]]*TB_Parts_Lists[[#This Row],[Unit Price AED]]</f>
        <v>250</v>
      </c>
      <c r="Q578" s="199">
        <f>TB_Parts_Lists[[#This Row],[Quantity Total]]*TB_Parts_Lists[[#This Row],[Unit Price AED]]</f>
        <v>250</v>
      </c>
      <c r="S578" s="199" t="s">
        <v>118</v>
      </c>
      <c r="T578" s="199" t="s">
        <v>8691</v>
      </c>
      <c r="U578" s="199" t="s">
        <v>8716</v>
      </c>
    </row>
    <row r="579" spans="1:21" s="199" customFormat="1" x14ac:dyDescent="0.25">
      <c r="A579" s="192" t="s">
        <v>7078</v>
      </c>
      <c r="B579" s="201" t="s">
        <v>3332</v>
      </c>
      <c r="C579" s="199" t="s">
        <v>3356</v>
      </c>
      <c r="D579" s="199" t="s">
        <v>8724</v>
      </c>
      <c r="E579" s="188" t="s">
        <v>5130</v>
      </c>
      <c r="F579" s="189" t="s">
        <v>5988</v>
      </c>
      <c r="G579" s="199" t="s">
        <v>8267</v>
      </c>
      <c r="H579" s="199" t="s">
        <v>62</v>
      </c>
      <c r="I579" s="199">
        <v>1</v>
      </c>
      <c r="J579" s="199">
        <v>1</v>
      </c>
      <c r="K579" s="199">
        <v>1</v>
      </c>
      <c r="L579" s="199">
        <v>50</v>
      </c>
      <c r="M579" s="202">
        <f>TB_Parts_Lists[[#This Row],[Quantity Initial]]+ SUMIF(TB_Transactions[Part number],TB_Parts_Lists[[#This Row],[Part Number]],TB_Transactions[Quantity])</f>
        <v>50</v>
      </c>
      <c r="N579" s="200" t="s">
        <v>4593</v>
      </c>
      <c r="O579" s="234">
        <v>5</v>
      </c>
      <c r="P579" s="199">
        <f>TB_Parts_Lists[[#This Row],[Quantity Initial]]*TB_Parts_Lists[[#This Row],[Unit Price AED]]</f>
        <v>250</v>
      </c>
      <c r="Q579" s="199">
        <f>TB_Parts_Lists[[#This Row],[Quantity Total]]*TB_Parts_Lists[[#This Row],[Unit Price AED]]</f>
        <v>250</v>
      </c>
      <c r="S579" s="199" t="s">
        <v>118</v>
      </c>
      <c r="T579" s="199" t="s">
        <v>8691</v>
      </c>
      <c r="U579" s="199" t="s">
        <v>8716</v>
      </c>
    </row>
    <row r="580" spans="1:21" s="199" customFormat="1" x14ac:dyDescent="0.25">
      <c r="A580" s="192" t="s">
        <v>7079</v>
      </c>
      <c r="B580" s="201" t="s">
        <v>3333</v>
      </c>
      <c r="C580" s="199" t="s">
        <v>3223</v>
      </c>
      <c r="D580" s="188" t="s">
        <v>8724</v>
      </c>
      <c r="E580" s="188" t="s">
        <v>5131</v>
      </c>
      <c r="F580" s="189" t="s">
        <v>5989</v>
      </c>
      <c r="G580" s="199" t="s">
        <v>8267</v>
      </c>
      <c r="H580" s="199">
        <v>214</v>
      </c>
      <c r="I580" s="199">
        <v>1</v>
      </c>
      <c r="J580" s="199">
        <v>1</v>
      </c>
      <c r="K580" s="199">
        <v>1</v>
      </c>
      <c r="L580" s="199">
        <v>50</v>
      </c>
      <c r="M580" s="202">
        <f>TB_Parts_Lists[[#This Row],[Quantity Initial]]+ SUMIF(TB_Transactions[Part number],TB_Parts_Lists[[#This Row],[Part Number]],TB_Transactions[Quantity])</f>
        <v>50</v>
      </c>
      <c r="N580" s="200" t="s">
        <v>4593</v>
      </c>
      <c r="O580" s="234">
        <v>5</v>
      </c>
      <c r="P580" s="199">
        <f>TB_Parts_Lists[[#This Row],[Quantity Initial]]*TB_Parts_Lists[[#This Row],[Unit Price AED]]</f>
        <v>250</v>
      </c>
      <c r="Q580" s="199">
        <f>TB_Parts_Lists[[#This Row],[Quantity Total]]*TB_Parts_Lists[[#This Row],[Unit Price AED]]</f>
        <v>250</v>
      </c>
      <c r="S580" s="199" t="s">
        <v>118</v>
      </c>
      <c r="T580" s="199" t="s">
        <v>8692</v>
      </c>
      <c r="U580" s="199" t="s">
        <v>838</v>
      </c>
    </row>
    <row r="581" spans="1:21" s="199" customFormat="1" x14ac:dyDescent="0.25">
      <c r="A581" s="192" t="s">
        <v>7080</v>
      </c>
      <c r="B581" s="201" t="s">
        <v>3329</v>
      </c>
      <c r="C581" s="199" t="s">
        <v>4617</v>
      </c>
      <c r="D581" s="188" t="s">
        <v>8724</v>
      </c>
      <c r="E581" s="188" t="s">
        <v>3750</v>
      </c>
      <c r="F581" s="189" t="s">
        <v>3686</v>
      </c>
      <c r="G581" s="199" t="s">
        <v>8267</v>
      </c>
      <c r="H581" s="199">
        <v>214</v>
      </c>
      <c r="I581" s="199">
        <v>1</v>
      </c>
      <c r="J581" s="199">
        <v>1</v>
      </c>
      <c r="K581" s="199">
        <v>1</v>
      </c>
      <c r="L581" s="199">
        <v>50</v>
      </c>
      <c r="M581" s="202">
        <f>TB_Parts_Lists[[#This Row],[Quantity Initial]]+ SUMIF(TB_Transactions[Part number],TB_Parts_Lists[[#This Row],[Part Number]],TB_Transactions[Quantity])</f>
        <v>50</v>
      </c>
      <c r="N581" s="200" t="s">
        <v>4593</v>
      </c>
      <c r="O581" s="234">
        <v>5</v>
      </c>
      <c r="P581" s="199">
        <f>TB_Parts_Lists[[#This Row],[Quantity Initial]]*TB_Parts_Lists[[#This Row],[Unit Price AED]]</f>
        <v>250</v>
      </c>
      <c r="Q581" s="199">
        <f>TB_Parts_Lists[[#This Row],[Quantity Total]]*TB_Parts_Lists[[#This Row],[Unit Price AED]]</f>
        <v>250</v>
      </c>
      <c r="S581" s="199" t="s">
        <v>8675</v>
      </c>
      <c r="T581" s="199" t="s">
        <v>8675</v>
      </c>
      <c r="U581" s="199" t="s">
        <v>8675</v>
      </c>
    </row>
    <row r="582" spans="1:21" s="199" customFormat="1" x14ac:dyDescent="0.25">
      <c r="A582" s="192" t="s">
        <v>7081</v>
      </c>
      <c r="B582" s="201" t="s">
        <v>3329</v>
      </c>
      <c r="C582" s="199" t="s">
        <v>3348</v>
      </c>
      <c r="D582" s="188" t="s">
        <v>8724</v>
      </c>
      <c r="E582" s="188" t="s">
        <v>3751</v>
      </c>
      <c r="F582" s="189" t="s">
        <v>3687</v>
      </c>
      <c r="G582" s="199" t="s">
        <v>8267</v>
      </c>
      <c r="H582" s="199">
        <v>214</v>
      </c>
      <c r="I582" s="199">
        <v>1</v>
      </c>
      <c r="J582" s="199">
        <v>1</v>
      </c>
      <c r="K582" s="199">
        <v>1</v>
      </c>
      <c r="L582" s="199">
        <v>50</v>
      </c>
      <c r="M582" s="202">
        <f>TB_Parts_Lists[[#This Row],[Quantity Initial]]+ SUMIF(TB_Transactions[Part number],TB_Parts_Lists[[#This Row],[Part Number]],TB_Transactions[Quantity])</f>
        <v>50</v>
      </c>
      <c r="N582" s="200" t="s">
        <v>4593</v>
      </c>
      <c r="O582" s="234">
        <v>5</v>
      </c>
      <c r="P582" s="199">
        <f>TB_Parts_Lists[[#This Row],[Quantity Initial]]*TB_Parts_Lists[[#This Row],[Unit Price AED]]</f>
        <v>250</v>
      </c>
      <c r="Q582" s="199">
        <f>TB_Parts_Lists[[#This Row],[Quantity Total]]*TB_Parts_Lists[[#This Row],[Unit Price AED]]</f>
        <v>250</v>
      </c>
      <c r="S582" s="199" t="s">
        <v>8675</v>
      </c>
      <c r="T582" s="199" t="s">
        <v>8675</v>
      </c>
      <c r="U582" s="199" t="s">
        <v>8675</v>
      </c>
    </row>
    <row r="583" spans="1:21" s="199" customFormat="1" x14ac:dyDescent="0.25">
      <c r="A583" s="192" t="s">
        <v>7082</v>
      </c>
      <c r="B583" s="201" t="s">
        <v>3333</v>
      </c>
      <c r="C583" s="199" t="s">
        <v>2985</v>
      </c>
      <c r="D583" s="188" t="s">
        <v>8724</v>
      </c>
      <c r="E583" s="188" t="s">
        <v>3752</v>
      </c>
      <c r="F583" s="189" t="s">
        <v>3688</v>
      </c>
      <c r="G583" s="199" t="s">
        <v>8267</v>
      </c>
      <c r="H583" s="199">
        <v>214</v>
      </c>
      <c r="I583" s="199">
        <v>1</v>
      </c>
      <c r="J583" s="199">
        <v>1</v>
      </c>
      <c r="K583" s="199">
        <v>1</v>
      </c>
      <c r="L583" s="199">
        <v>50</v>
      </c>
      <c r="M583" s="202">
        <f>TB_Parts_Lists[[#This Row],[Quantity Initial]]+ SUMIF(TB_Transactions[Part number],TB_Parts_Lists[[#This Row],[Part Number]],TB_Transactions[Quantity])</f>
        <v>50</v>
      </c>
      <c r="N583" s="200" t="s">
        <v>4593</v>
      </c>
      <c r="O583" s="234">
        <v>5</v>
      </c>
      <c r="P583" s="199">
        <f>TB_Parts_Lists[[#This Row],[Quantity Initial]]*TB_Parts_Lists[[#This Row],[Unit Price AED]]</f>
        <v>250</v>
      </c>
      <c r="Q583" s="199">
        <f>TB_Parts_Lists[[#This Row],[Quantity Total]]*TB_Parts_Lists[[#This Row],[Unit Price AED]]</f>
        <v>250</v>
      </c>
      <c r="S583" s="199" t="s">
        <v>8675</v>
      </c>
      <c r="T583" s="199" t="s">
        <v>8675</v>
      </c>
      <c r="U583" s="199" t="s">
        <v>8675</v>
      </c>
    </row>
    <row r="584" spans="1:21" s="199" customFormat="1" x14ac:dyDescent="0.25">
      <c r="A584" s="192" t="s">
        <v>7084</v>
      </c>
      <c r="B584" s="201" t="s">
        <v>3329</v>
      </c>
      <c r="C584" s="199" t="s">
        <v>7083</v>
      </c>
      <c r="D584" s="188" t="s">
        <v>8724</v>
      </c>
      <c r="E584" s="188" t="s">
        <v>5132</v>
      </c>
      <c r="F584" s="189" t="s">
        <v>3689</v>
      </c>
      <c r="G584" s="199" t="s">
        <v>8267</v>
      </c>
      <c r="H584" s="199">
        <v>214</v>
      </c>
      <c r="I584" s="199">
        <v>1</v>
      </c>
      <c r="J584" s="199">
        <v>1</v>
      </c>
      <c r="K584" s="199">
        <v>1</v>
      </c>
      <c r="L584" s="199">
        <v>50</v>
      </c>
      <c r="M584" s="202">
        <f>TB_Parts_Lists[[#This Row],[Quantity Initial]]+ SUMIF(TB_Transactions[Part number],TB_Parts_Lists[[#This Row],[Part Number]],TB_Transactions[Quantity])</f>
        <v>50</v>
      </c>
      <c r="N584" s="200" t="s">
        <v>4593</v>
      </c>
      <c r="O584" s="234">
        <v>5</v>
      </c>
      <c r="P584" s="199">
        <f>TB_Parts_Lists[[#This Row],[Quantity Initial]]*TB_Parts_Lists[[#This Row],[Unit Price AED]]</f>
        <v>250</v>
      </c>
      <c r="Q584" s="199">
        <f>TB_Parts_Lists[[#This Row],[Quantity Total]]*TB_Parts_Lists[[#This Row],[Unit Price AED]]</f>
        <v>250</v>
      </c>
      <c r="S584" s="199" t="s">
        <v>8675</v>
      </c>
      <c r="T584" s="199" t="s">
        <v>8675</v>
      </c>
      <c r="U584" s="199" t="s">
        <v>8675</v>
      </c>
    </row>
    <row r="585" spans="1:21" s="199" customFormat="1" x14ac:dyDescent="0.25">
      <c r="A585" s="192" t="s">
        <v>7085</v>
      </c>
      <c r="B585" s="201" t="s">
        <v>3329</v>
      </c>
      <c r="C585" s="199" t="s">
        <v>7083</v>
      </c>
      <c r="D585" s="188" t="s">
        <v>8724</v>
      </c>
      <c r="E585" s="188" t="s">
        <v>5133</v>
      </c>
      <c r="F585" s="189" t="s">
        <v>3690</v>
      </c>
      <c r="G585" s="199" t="s">
        <v>8267</v>
      </c>
      <c r="H585" s="199">
        <v>214</v>
      </c>
      <c r="I585" s="199">
        <v>1</v>
      </c>
      <c r="J585" s="199">
        <v>1</v>
      </c>
      <c r="K585" s="199">
        <v>1</v>
      </c>
      <c r="L585" s="199">
        <v>50</v>
      </c>
      <c r="M585" s="202">
        <f>TB_Parts_Lists[[#This Row],[Quantity Initial]]+ SUMIF(TB_Transactions[Part number],TB_Parts_Lists[[#This Row],[Part Number]],TB_Transactions[Quantity])</f>
        <v>50</v>
      </c>
      <c r="N585" s="200" t="s">
        <v>4593</v>
      </c>
      <c r="O585" s="234">
        <v>5</v>
      </c>
      <c r="P585" s="199">
        <f>TB_Parts_Lists[[#This Row],[Quantity Initial]]*TB_Parts_Lists[[#This Row],[Unit Price AED]]</f>
        <v>250</v>
      </c>
      <c r="Q585" s="199">
        <f>TB_Parts_Lists[[#This Row],[Quantity Total]]*TB_Parts_Lists[[#This Row],[Unit Price AED]]</f>
        <v>250</v>
      </c>
      <c r="S585" s="199" t="s">
        <v>8675</v>
      </c>
      <c r="T585" s="199" t="s">
        <v>8675</v>
      </c>
      <c r="U585" s="199" t="s">
        <v>8675</v>
      </c>
    </row>
    <row r="586" spans="1:21" s="199" customFormat="1" x14ac:dyDescent="0.25">
      <c r="A586" s="192" t="s">
        <v>7086</v>
      </c>
      <c r="B586" s="201" t="s">
        <v>3330</v>
      </c>
      <c r="C586" s="199" t="s">
        <v>6672</v>
      </c>
      <c r="D586" s="188" t="s">
        <v>8724</v>
      </c>
      <c r="E586" s="188" t="s">
        <v>3753</v>
      </c>
      <c r="F586" s="189" t="s">
        <v>3691</v>
      </c>
      <c r="G586" s="199" t="s">
        <v>8267</v>
      </c>
      <c r="H586" s="199">
        <v>214</v>
      </c>
      <c r="I586" s="199">
        <v>1</v>
      </c>
      <c r="J586" s="199">
        <v>1</v>
      </c>
      <c r="K586" s="199">
        <v>1</v>
      </c>
      <c r="L586" s="199">
        <v>50</v>
      </c>
      <c r="M586" s="202">
        <f>TB_Parts_Lists[[#This Row],[Quantity Initial]]+ SUMIF(TB_Transactions[Part number],TB_Parts_Lists[[#This Row],[Part Number]],TB_Transactions[Quantity])</f>
        <v>50</v>
      </c>
      <c r="N586" s="200" t="s">
        <v>4593</v>
      </c>
      <c r="O586" s="234">
        <v>5</v>
      </c>
      <c r="P586" s="199">
        <f>TB_Parts_Lists[[#This Row],[Quantity Initial]]*TB_Parts_Lists[[#This Row],[Unit Price AED]]</f>
        <v>250</v>
      </c>
      <c r="Q586" s="199">
        <f>TB_Parts_Lists[[#This Row],[Quantity Total]]*TB_Parts_Lists[[#This Row],[Unit Price AED]]</f>
        <v>250</v>
      </c>
      <c r="S586" s="199" t="s">
        <v>8675</v>
      </c>
      <c r="T586" s="199" t="s">
        <v>8675</v>
      </c>
      <c r="U586" s="199" t="s">
        <v>8675</v>
      </c>
    </row>
    <row r="587" spans="1:21" s="199" customFormat="1" x14ac:dyDescent="0.25">
      <c r="A587" s="192" t="s">
        <v>7087</v>
      </c>
      <c r="B587" s="201" t="s">
        <v>3330</v>
      </c>
      <c r="C587" s="199" t="s">
        <v>6679</v>
      </c>
      <c r="D587" s="188" t="s">
        <v>8724</v>
      </c>
      <c r="E587" s="188" t="s">
        <v>5134</v>
      </c>
      <c r="F587" s="189" t="s">
        <v>5990</v>
      </c>
      <c r="G587" s="199" t="s">
        <v>8267</v>
      </c>
      <c r="H587" s="199">
        <v>214</v>
      </c>
      <c r="I587" s="199">
        <v>1</v>
      </c>
      <c r="J587" s="199">
        <v>1</v>
      </c>
      <c r="K587" s="199">
        <v>1</v>
      </c>
      <c r="L587" s="199">
        <v>50</v>
      </c>
      <c r="M587" s="202">
        <f>TB_Parts_Lists[[#This Row],[Quantity Initial]]+ SUMIF(TB_Transactions[Part number],TB_Parts_Lists[[#This Row],[Part Number]],TB_Transactions[Quantity])</f>
        <v>50</v>
      </c>
      <c r="N587" s="200" t="s">
        <v>4593</v>
      </c>
      <c r="O587" s="234">
        <v>5</v>
      </c>
      <c r="P587" s="199">
        <f>TB_Parts_Lists[[#This Row],[Quantity Initial]]*TB_Parts_Lists[[#This Row],[Unit Price AED]]</f>
        <v>250</v>
      </c>
      <c r="Q587" s="199">
        <f>TB_Parts_Lists[[#This Row],[Quantity Total]]*TB_Parts_Lists[[#This Row],[Unit Price AED]]</f>
        <v>250</v>
      </c>
      <c r="S587" s="199" t="s">
        <v>8675</v>
      </c>
      <c r="T587" s="199" t="s">
        <v>8675</v>
      </c>
      <c r="U587" s="199" t="s">
        <v>8675</v>
      </c>
    </row>
    <row r="588" spans="1:21" s="199" customFormat="1" x14ac:dyDescent="0.25">
      <c r="A588" s="192" t="s">
        <v>7088</v>
      </c>
      <c r="B588" s="201" t="s">
        <v>3330</v>
      </c>
      <c r="C588" s="199" t="s">
        <v>3338</v>
      </c>
      <c r="D588" s="188" t="s">
        <v>8724</v>
      </c>
      <c r="E588" s="188" t="s">
        <v>3635</v>
      </c>
      <c r="F588" s="189" t="s">
        <v>3692</v>
      </c>
      <c r="G588" s="199" t="s">
        <v>8267</v>
      </c>
      <c r="H588" s="199">
        <v>214</v>
      </c>
      <c r="I588" s="199">
        <v>1</v>
      </c>
      <c r="J588" s="199">
        <v>1</v>
      </c>
      <c r="K588" s="199">
        <v>1</v>
      </c>
      <c r="L588" s="199">
        <v>50</v>
      </c>
      <c r="M588" s="202">
        <f>TB_Parts_Lists[[#This Row],[Quantity Initial]]+ SUMIF(TB_Transactions[Part number],TB_Parts_Lists[[#This Row],[Part Number]],TB_Transactions[Quantity])</f>
        <v>50</v>
      </c>
      <c r="N588" s="200" t="s">
        <v>4593</v>
      </c>
      <c r="O588" s="234">
        <v>5</v>
      </c>
      <c r="P588" s="199">
        <f>TB_Parts_Lists[[#This Row],[Quantity Initial]]*TB_Parts_Lists[[#This Row],[Unit Price AED]]</f>
        <v>250</v>
      </c>
      <c r="Q588" s="199">
        <f>TB_Parts_Lists[[#This Row],[Quantity Total]]*TB_Parts_Lists[[#This Row],[Unit Price AED]]</f>
        <v>250</v>
      </c>
      <c r="S588" s="199" t="s">
        <v>8675</v>
      </c>
      <c r="T588" s="199" t="s">
        <v>8675</v>
      </c>
      <c r="U588" s="199" t="s">
        <v>8675</v>
      </c>
    </row>
    <row r="589" spans="1:21" s="199" customFormat="1" x14ac:dyDescent="0.25">
      <c r="A589" s="192" t="s">
        <v>7089</v>
      </c>
      <c r="B589" s="201" t="s">
        <v>3330</v>
      </c>
      <c r="C589" s="199" t="s">
        <v>3338</v>
      </c>
      <c r="D589" s="188" t="s">
        <v>8724</v>
      </c>
      <c r="E589" s="188" t="s">
        <v>5135</v>
      </c>
      <c r="F589" s="189" t="s">
        <v>3693</v>
      </c>
      <c r="G589" s="199" t="s">
        <v>8267</v>
      </c>
      <c r="H589" s="199">
        <v>214</v>
      </c>
      <c r="I589" s="199">
        <v>1</v>
      </c>
      <c r="J589" s="199">
        <v>1</v>
      </c>
      <c r="K589" s="199">
        <v>1</v>
      </c>
      <c r="L589" s="199">
        <v>50</v>
      </c>
      <c r="M589" s="202">
        <f>TB_Parts_Lists[[#This Row],[Quantity Initial]]+ SUMIF(TB_Transactions[Part number],TB_Parts_Lists[[#This Row],[Part Number]],TB_Transactions[Quantity])</f>
        <v>50</v>
      </c>
      <c r="N589" s="200" t="s">
        <v>4593</v>
      </c>
      <c r="O589" s="234">
        <v>5</v>
      </c>
      <c r="P589" s="199">
        <f>TB_Parts_Lists[[#This Row],[Quantity Initial]]*TB_Parts_Lists[[#This Row],[Unit Price AED]]</f>
        <v>250</v>
      </c>
      <c r="Q589" s="199">
        <f>TB_Parts_Lists[[#This Row],[Quantity Total]]*TB_Parts_Lists[[#This Row],[Unit Price AED]]</f>
        <v>250</v>
      </c>
      <c r="S589" s="199" t="s">
        <v>122</v>
      </c>
      <c r="T589" s="199" t="s">
        <v>8676</v>
      </c>
      <c r="U589" s="199" t="s">
        <v>298</v>
      </c>
    </row>
    <row r="590" spans="1:21" s="199" customFormat="1" x14ac:dyDescent="0.25">
      <c r="A590" s="192" t="s">
        <v>7090</v>
      </c>
      <c r="B590" s="201" t="s">
        <v>3329</v>
      </c>
      <c r="C590" s="199" t="s">
        <v>6940</v>
      </c>
      <c r="D590" s="188" t="s">
        <v>8724</v>
      </c>
      <c r="E590" s="188" t="s">
        <v>5136</v>
      </c>
      <c r="F590" s="189" t="s">
        <v>3694</v>
      </c>
      <c r="G590" s="199" t="s">
        <v>8267</v>
      </c>
      <c r="H590" s="199">
        <v>214</v>
      </c>
      <c r="I590" s="199">
        <v>1</v>
      </c>
      <c r="J590" s="199">
        <v>1</v>
      </c>
      <c r="K590" s="199">
        <v>1</v>
      </c>
      <c r="L590" s="199">
        <v>50</v>
      </c>
      <c r="M590" s="202">
        <f>TB_Parts_Lists[[#This Row],[Quantity Initial]]+ SUMIF(TB_Transactions[Part number],TB_Parts_Lists[[#This Row],[Part Number]],TB_Transactions[Quantity])</f>
        <v>50</v>
      </c>
      <c r="N590" s="200" t="s">
        <v>4593</v>
      </c>
      <c r="O590" s="234">
        <v>5</v>
      </c>
      <c r="P590" s="199">
        <f>TB_Parts_Lists[[#This Row],[Quantity Initial]]*TB_Parts_Lists[[#This Row],[Unit Price AED]]</f>
        <v>250</v>
      </c>
      <c r="Q590" s="199">
        <f>TB_Parts_Lists[[#This Row],[Quantity Total]]*TB_Parts_Lists[[#This Row],[Unit Price AED]]</f>
        <v>250</v>
      </c>
      <c r="S590" s="199" t="s">
        <v>122</v>
      </c>
      <c r="T590" s="199" t="s">
        <v>8676</v>
      </c>
      <c r="U590" s="199" t="s">
        <v>298</v>
      </c>
    </row>
    <row r="591" spans="1:21" s="199" customFormat="1" x14ac:dyDescent="0.25">
      <c r="A591" s="192" t="s">
        <v>7091</v>
      </c>
      <c r="B591" s="201" t="s">
        <v>3329</v>
      </c>
      <c r="C591" s="199" t="s">
        <v>3347</v>
      </c>
      <c r="D591" s="188" t="s">
        <v>8724</v>
      </c>
      <c r="E591" s="188" t="s">
        <v>3754</v>
      </c>
      <c r="F591" s="189" t="s">
        <v>3695</v>
      </c>
      <c r="G591" s="199" t="s">
        <v>8267</v>
      </c>
      <c r="H591" s="199">
        <v>214</v>
      </c>
      <c r="I591" s="199">
        <v>1</v>
      </c>
      <c r="J591" s="199">
        <v>1</v>
      </c>
      <c r="K591" s="199">
        <v>1</v>
      </c>
      <c r="L591" s="199">
        <v>50</v>
      </c>
      <c r="M591" s="202">
        <f>TB_Parts_Lists[[#This Row],[Quantity Initial]]+ SUMIF(TB_Transactions[Part number],TB_Parts_Lists[[#This Row],[Part Number]],TB_Transactions[Quantity])</f>
        <v>50</v>
      </c>
      <c r="N591" s="200" t="s">
        <v>4593</v>
      </c>
      <c r="O591" s="234">
        <v>5</v>
      </c>
      <c r="P591" s="199">
        <f>TB_Parts_Lists[[#This Row],[Quantity Initial]]*TB_Parts_Lists[[#This Row],[Unit Price AED]]</f>
        <v>250</v>
      </c>
      <c r="Q591" s="199">
        <f>TB_Parts_Lists[[#This Row],[Quantity Total]]*TB_Parts_Lists[[#This Row],[Unit Price AED]]</f>
        <v>250</v>
      </c>
      <c r="S591" s="199" t="s">
        <v>122</v>
      </c>
      <c r="T591" s="199" t="s">
        <v>8676</v>
      </c>
      <c r="U591" s="199" t="s">
        <v>298</v>
      </c>
    </row>
    <row r="592" spans="1:21" s="199" customFormat="1" x14ac:dyDescent="0.25">
      <c r="A592" s="192" t="s">
        <v>7092</v>
      </c>
      <c r="B592" s="201" t="s">
        <v>3330</v>
      </c>
      <c r="C592" s="199" t="s">
        <v>3338</v>
      </c>
      <c r="D592" s="188" t="s">
        <v>8724</v>
      </c>
      <c r="E592" s="188" t="s">
        <v>3755</v>
      </c>
      <c r="F592" s="189" t="s">
        <v>3696</v>
      </c>
      <c r="G592" s="199" t="s">
        <v>8267</v>
      </c>
      <c r="H592" s="199">
        <v>214</v>
      </c>
      <c r="I592" s="199">
        <v>1</v>
      </c>
      <c r="J592" s="199">
        <v>1</v>
      </c>
      <c r="K592" s="199">
        <v>1</v>
      </c>
      <c r="L592" s="199">
        <v>50</v>
      </c>
      <c r="M592" s="202">
        <f>TB_Parts_Lists[[#This Row],[Quantity Initial]]+ SUMIF(TB_Transactions[Part number],TB_Parts_Lists[[#This Row],[Part Number]],TB_Transactions[Quantity])</f>
        <v>50</v>
      </c>
      <c r="N592" s="200" t="s">
        <v>4593</v>
      </c>
      <c r="O592" s="234">
        <v>5</v>
      </c>
      <c r="P592" s="199">
        <f>TB_Parts_Lists[[#This Row],[Quantity Initial]]*TB_Parts_Lists[[#This Row],[Unit Price AED]]</f>
        <v>250</v>
      </c>
      <c r="Q592" s="199">
        <f>TB_Parts_Lists[[#This Row],[Quantity Total]]*TB_Parts_Lists[[#This Row],[Unit Price AED]]</f>
        <v>250</v>
      </c>
      <c r="S592" s="199" t="s">
        <v>122</v>
      </c>
      <c r="T592" s="199" t="s">
        <v>8676</v>
      </c>
      <c r="U592" s="199" t="s">
        <v>298</v>
      </c>
    </row>
    <row r="593" spans="1:21" s="199" customFormat="1" x14ac:dyDescent="0.25">
      <c r="A593" s="192" t="s">
        <v>7093</v>
      </c>
      <c r="B593" s="201" t="s">
        <v>3329</v>
      </c>
      <c r="C593" s="199" t="s">
        <v>4617</v>
      </c>
      <c r="D593" s="188" t="s">
        <v>8724</v>
      </c>
      <c r="E593" s="188" t="s">
        <v>3756</v>
      </c>
      <c r="F593" s="189" t="s">
        <v>3697</v>
      </c>
      <c r="G593" s="199" t="s">
        <v>8267</v>
      </c>
      <c r="H593" s="199">
        <v>214</v>
      </c>
      <c r="I593" s="199">
        <v>1</v>
      </c>
      <c r="J593" s="199">
        <v>1</v>
      </c>
      <c r="K593" s="199">
        <v>1</v>
      </c>
      <c r="L593" s="199">
        <v>50</v>
      </c>
      <c r="M593" s="202">
        <f>TB_Parts_Lists[[#This Row],[Quantity Initial]]+ SUMIF(TB_Transactions[Part number],TB_Parts_Lists[[#This Row],[Part Number]],TB_Transactions[Quantity])</f>
        <v>50</v>
      </c>
      <c r="N593" s="200" t="s">
        <v>4593</v>
      </c>
      <c r="O593" s="234">
        <v>5</v>
      </c>
      <c r="P593" s="199">
        <f>TB_Parts_Lists[[#This Row],[Quantity Initial]]*TB_Parts_Lists[[#This Row],[Unit Price AED]]</f>
        <v>250</v>
      </c>
      <c r="Q593" s="199">
        <f>TB_Parts_Lists[[#This Row],[Quantity Total]]*TB_Parts_Lists[[#This Row],[Unit Price AED]]</f>
        <v>250</v>
      </c>
      <c r="S593" s="199" t="s">
        <v>122</v>
      </c>
      <c r="T593" s="199" t="s">
        <v>8676</v>
      </c>
      <c r="U593" s="199" t="s">
        <v>298</v>
      </c>
    </row>
    <row r="594" spans="1:21" s="199" customFormat="1" x14ac:dyDescent="0.25">
      <c r="A594" s="192" t="s">
        <v>7094</v>
      </c>
      <c r="B594" s="201" t="s">
        <v>3330</v>
      </c>
      <c r="C594" s="199" t="s">
        <v>3338</v>
      </c>
      <c r="D594" s="188" t="s">
        <v>8724</v>
      </c>
      <c r="E594" s="188" t="s">
        <v>3757</v>
      </c>
      <c r="F594" s="189" t="s">
        <v>3698</v>
      </c>
      <c r="G594" s="199" t="s">
        <v>8267</v>
      </c>
      <c r="H594" s="199">
        <v>214</v>
      </c>
      <c r="I594" s="199">
        <v>1</v>
      </c>
      <c r="J594" s="199">
        <v>1</v>
      </c>
      <c r="K594" s="199">
        <v>1</v>
      </c>
      <c r="L594" s="199">
        <v>50</v>
      </c>
      <c r="M594" s="202">
        <f>TB_Parts_Lists[[#This Row],[Quantity Initial]]+ SUMIF(TB_Transactions[Part number],TB_Parts_Lists[[#This Row],[Part Number]],TB_Transactions[Quantity])</f>
        <v>50</v>
      </c>
      <c r="N594" s="200" t="s">
        <v>4593</v>
      </c>
      <c r="O594" s="234">
        <v>5</v>
      </c>
      <c r="P594" s="199">
        <f>TB_Parts_Lists[[#This Row],[Quantity Initial]]*TB_Parts_Lists[[#This Row],[Unit Price AED]]</f>
        <v>250</v>
      </c>
      <c r="Q594" s="199">
        <f>TB_Parts_Lists[[#This Row],[Quantity Total]]*TB_Parts_Lists[[#This Row],[Unit Price AED]]</f>
        <v>250</v>
      </c>
      <c r="S594" s="199" t="s">
        <v>122</v>
      </c>
      <c r="T594" s="199" t="s">
        <v>8676</v>
      </c>
      <c r="U594" s="199" t="s">
        <v>298</v>
      </c>
    </row>
    <row r="595" spans="1:21" s="199" customFormat="1" x14ac:dyDescent="0.25">
      <c r="A595" s="192" t="s">
        <v>7095</v>
      </c>
      <c r="B595" s="201" t="s">
        <v>3329</v>
      </c>
      <c r="C595" s="199" t="s">
        <v>5277</v>
      </c>
      <c r="D595" s="188" t="s">
        <v>8724</v>
      </c>
      <c r="E595" s="188" t="s">
        <v>3758</v>
      </c>
      <c r="F595" s="189" t="s">
        <v>3698</v>
      </c>
      <c r="G595" s="199" t="s">
        <v>8267</v>
      </c>
      <c r="H595" s="199">
        <v>214</v>
      </c>
      <c r="I595" s="199">
        <v>1</v>
      </c>
      <c r="J595" s="199">
        <v>1</v>
      </c>
      <c r="K595" s="199">
        <v>1</v>
      </c>
      <c r="L595" s="199">
        <v>50</v>
      </c>
      <c r="M595" s="202">
        <f>TB_Parts_Lists[[#This Row],[Quantity Initial]]+ SUMIF(TB_Transactions[Part number],TB_Parts_Lists[[#This Row],[Part Number]],TB_Transactions[Quantity])</f>
        <v>50</v>
      </c>
      <c r="N595" s="200" t="s">
        <v>4593</v>
      </c>
      <c r="O595" s="234">
        <v>5</v>
      </c>
      <c r="P595" s="199">
        <f>TB_Parts_Lists[[#This Row],[Quantity Initial]]*TB_Parts_Lists[[#This Row],[Unit Price AED]]</f>
        <v>250</v>
      </c>
      <c r="Q595" s="199">
        <f>TB_Parts_Lists[[#This Row],[Quantity Total]]*TB_Parts_Lists[[#This Row],[Unit Price AED]]</f>
        <v>250</v>
      </c>
      <c r="S595" s="199" t="s">
        <v>122</v>
      </c>
      <c r="T595" s="199" t="s">
        <v>8676</v>
      </c>
      <c r="U595" s="199" t="s">
        <v>298</v>
      </c>
    </row>
    <row r="596" spans="1:21" s="199" customFormat="1" x14ac:dyDescent="0.25">
      <c r="A596" s="192" t="s">
        <v>7096</v>
      </c>
      <c r="B596" s="201" t="s">
        <v>3329</v>
      </c>
      <c r="C596" s="199" t="s">
        <v>3338</v>
      </c>
      <c r="D596" s="188" t="s">
        <v>8724</v>
      </c>
      <c r="E596" s="188" t="s">
        <v>5137</v>
      </c>
      <c r="F596" s="189" t="s">
        <v>3699</v>
      </c>
      <c r="G596" s="199" t="s">
        <v>8267</v>
      </c>
      <c r="H596" s="199">
        <v>214</v>
      </c>
      <c r="I596" s="199">
        <v>1</v>
      </c>
      <c r="J596" s="199">
        <v>1</v>
      </c>
      <c r="K596" s="199">
        <v>1</v>
      </c>
      <c r="L596" s="199">
        <v>50</v>
      </c>
      <c r="M596" s="202">
        <f>TB_Parts_Lists[[#This Row],[Quantity Initial]]+ SUMIF(TB_Transactions[Part number],TB_Parts_Lists[[#This Row],[Part Number]],TB_Transactions[Quantity])</f>
        <v>50</v>
      </c>
      <c r="N596" s="200" t="s">
        <v>4593</v>
      </c>
      <c r="O596" s="234">
        <v>5</v>
      </c>
      <c r="P596" s="199">
        <f>TB_Parts_Lists[[#This Row],[Quantity Initial]]*TB_Parts_Lists[[#This Row],[Unit Price AED]]</f>
        <v>250</v>
      </c>
      <c r="Q596" s="199">
        <f>TB_Parts_Lists[[#This Row],[Quantity Total]]*TB_Parts_Lists[[#This Row],[Unit Price AED]]</f>
        <v>250</v>
      </c>
      <c r="S596" s="199" t="s">
        <v>122</v>
      </c>
      <c r="T596" s="199" t="s">
        <v>8676</v>
      </c>
      <c r="U596" s="199" t="s">
        <v>298</v>
      </c>
    </row>
    <row r="597" spans="1:21" s="199" customFormat="1" x14ac:dyDescent="0.25">
      <c r="A597" s="192" t="s">
        <v>7097</v>
      </c>
      <c r="B597" s="201" t="s">
        <v>6619</v>
      </c>
      <c r="C597" s="199" t="s">
        <v>161</v>
      </c>
      <c r="D597" s="188" t="s">
        <v>8724</v>
      </c>
      <c r="E597" s="188" t="s">
        <v>5138</v>
      </c>
      <c r="F597" s="189" t="s">
        <v>3700</v>
      </c>
      <c r="G597" s="199" t="s">
        <v>8267</v>
      </c>
      <c r="H597" s="199">
        <v>214</v>
      </c>
      <c r="I597" s="199">
        <v>1</v>
      </c>
      <c r="J597" s="199">
        <v>1</v>
      </c>
      <c r="K597" s="199">
        <v>1</v>
      </c>
      <c r="L597" s="199">
        <v>50</v>
      </c>
      <c r="M597" s="202">
        <f>TB_Parts_Lists[[#This Row],[Quantity Initial]]+ SUMIF(TB_Transactions[Part number],TB_Parts_Lists[[#This Row],[Part Number]],TB_Transactions[Quantity])</f>
        <v>50</v>
      </c>
      <c r="N597" s="200" t="s">
        <v>4593</v>
      </c>
      <c r="O597" s="234">
        <v>5</v>
      </c>
      <c r="P597" s="199">
        <f>TB_Parts_Lists[[#This Row],[Quantity Initial]]*TB_Parts_Lists[[#This Row],[Unit Price AED]]</f>
        <v>250</v>
      </c>
      <c r="Q597" s="199">
        <f>TB_Parts_Lists[[#This Row],[Quantity Total]]*TB_Parts_Lists[[#This Row],[Unit Price AED]]</f>
        <v>250</v>
      </c>
      <c r="S597" s="199" t="s">
        <v>122</v>
      </c>
      <c r="T597" s="199" t="s">
        <v>8676</v>
      </c>
      <c r="U597" s="199" t="s">
        <v>298</v>
      </c>
    </row>
    <row r="598" spans="1:21" s="199" customFormat="1" x14ac:dyDescent="0.25">
      <c r="A598" s="192" t="s">
        <v>7098</v>
      </c>
      <c r="B598" s="201" t="s">
        <v>3330</v>
      </c>
      <c r="C598" s="199" t="s">
        <v>3338</v>
      </c>
      <c r="D598" s="188" t="s">
        <v>8724</v>
      </c>
      <c r="E598" s="188" t="s">
        <v>3637</v>
      </c>
      <c r="F598" s="189" t="s">
        <v>3701</v>
      </c>
      <c r="G598" s="199" t="s">
        <v>8267</v>
      </c>
      <c r="H598" s="199">
        <v>214</v>
      </c>
      <c r="I598" s="199">
        <v>1</v>
      </c>
      <c r="J598" s="199">
        <v>1</v>
      </c>
      <c r="K598" s="199">
        <v>1</v>
      </c>
      <c r="L598" s="199">
        <v>50</v>
      </c>
      <c r="M598" s="202">
        <f>TB_Parts_Lists[[#This Row],[Quantity Initial]]+ SUMIF(TB_Transactions[Part number],TB_Parts_Lists[[#This Row],[Part Number]],TB_Transactions[Quantity])</f>
        <v>50</v>
      </c>
      <c r="N598" s="200" t="s">
        <v>4593</v>
      </c>
      <c r="O598" s="234">
        <v>5</v>
      </c>
      <c r="P598" s="199">
        <f>TB_Parts_Lists[[#This Row],[Quantity Initial]]*TB_Parts_Lists[[#This Row],[Unit Price AED]]</f>
        <v>250</v>
      </c>
      <c r="Q598" s="199">
        <f>TB_Parts_Lists[[#This Row],[Quantity Total]]*TB_Parts_Lists[[#This Row],[Unit Price AED]]</f>
        <v>250</v>
      </c>
      <c r="S598" s="199" t="s">
        <v>8675</v>
      </c>
      <c r="T598" s="199" t="s">
        <v>8675</v>
      </c>
      <c r="U598" s="199" t="s">
        <v>8675</v>
      </c>
    </row>
    <row r="599" spans="1:21" s="199" customFormat="1" x14ac:dyDescent="0.25">
      <c r="A599" s="192" t="s">
        <v>7099</v>
      </c>
      <c r="B599" s="201" t="s">
        <v>3331</v>
      </c>
      <c r="C599" s="199" t="s">
        <v>6672</v>
      </c>
      <c r="D599" s="188" t="s">
        <v>8724</v>
      </c>
      <c r="E599" s="188" t="s">
        <v>3759</v>
      </c>
      <c r="F599" s="189" t="s">
        <v>3702</v>
      </c>
      <c r="G599" s="199" t="s">
        <v>8267</v>
      </c>
      <c r="H599" s="199">
        <v>214</v>
      </c>
      <c r="I599" s="199">
        <v>1</v>
      </c>
      <c r="J599" s="199">
        <v>1</v>
      </c>
      <c r="K599" s="199">
        <v>1</v>
      </c>
      <c r="L599" s="199">
        <v>50</v>
      </c>
      <c r="M599" s="202">
        <f>TB_Parts_Lists[[#This Row],[Quantity Initial]]+ SUMIF(TB_Transactions[Part number],TB_Parts_Lists[[#This Row],[Part Number]],TB_Transactions[Quantity])</f>
        <v>50</v>
      </c>
      <c r="N599" s="200" t="s">
        <v>4593</v>
      </c>
      <c r="O599" s="234">
        <v>5</v>
      </c>
      <c r="P599" s="199">
        <f>TB_Parts_Lists[[#This Row],[Quantity Initial]]*TB_Parts_Lists[[#This Row],[Unit Price AED]]</f>
        <v>250</v>
      </c>
      <c r="Q599" s="199">
        <f>TB_Parts_Lists[[#This Row],[Quantity Total]]*TB_Parts_Lists[[#This Row],[Unit Price AED]]</f>
        <v>250</v>
      </c>
      <c r="S599" s="199" t="s">
        <v>118</v>
      </c>
      <c r="T599" s="199" t="s">
        <v>8685</v>
      </c>
      <c r="U599" s="199" t="s">
        <v>230</v>
      </c>
    </row>
    <row r="600" spans="1:21" s="199" customFormat="1" x14ac:dyDescent="0.25">
      <c r="A600" s="192" t="s">
        <v>7100</v>
      </c>
      <c r="B600" s="201" t="s">
        <v>3331</v>
      </c>
      <c r="C600" s="199" t="s">
        <v>6672</v>
      </c>
      <c r="D600" s="188" t="s">
        <v>8724</v>
      </c>
      <c r="E600" s="188" t="s">
        <v>3638</v>
      </c>
      <c r="F600" s="189" t="s">
        <v>3703</v>
      </c>
      <c r="G600" s="199" t="s">
        <v>8267</v>
      </c>
      <c r="H600" s="199">
        <v>214</v>
      </c>
      <c r="I600" s="199">
        <v>1</v>
      </c>
      <c r="J600" s="199">
        <v>1</v>
      </c>
      <c r="K600" s="199">
        <v>1</v>
      </c>
      <c r="L600" s="199">
        <v>50</v>
      </c>
      <c r="M600" s="202">
        <f>TB_Parts_Lists[[#This Row],[Quantity Initial]]+ SUMIF(TB_Transactions[Part number],TB_Parts_Lists[[#This Row],[Part Number]],TB_Transactions[Quantity])</f>
        <v>50</v>
      </c>
      <c r="N600" s="200" t="s">
        <v>4593</v>
      </c>
      <c r="O600" s="234">
        <v>5</v>
      </c>
      <c r="P600" s="199">
        <f>TB_Parts_Lists[[#This Row],[Quantity Initial]]*TB_Parts_Lists[[#This Row],[Unit Price AED]]</f>
        <v>250</v>
      </c>
      <c r="Q600" s="199">
        <f>TB_Parts_Lists[[#This Row],[Quantity Total]]*TB_Parts_Lists[[#This Row],[Unit Price AED]]</f>
        <v>250</v>
      </c>
      <c r="S600" s="199" t="s">
        <v>118</v>
      </c>
      <c r="T600" s="199" t="s">
        <v>8685</v>
      </c>
      <c r="U600" s="199" t="s">
        <v>230</v>
      </c>
    </row>
    <row r="601" spans="1:21" s="199" customFormat="1" x14ac:dyDescent="0.25">
      <c r="A601" s="192" t="s">
        <v>7101</v>
      </c>
      <c r="B601" s="201" t="s">
        <v>3331</v>
      </c>
      <c r="C601" s="199" t="s">
        <v>6674</v>
      </c>
      <c r="D601" s="199" t="s">
        <v>8732</v>
      </c>
      <c r="E601" s="188" t="s">
        <v>5139</v>
      </c>
      <c r="F601" s="189" t="s">
        <v>3704</v>
      </c>
      <c r="G601" s="199" t="s">
        <v>8267</v>
      </c>
      <c r="H601" s="199">
        <v>214</v>
      </c>
      <c r="I601" s="199">
        <v>1</v>
      </c>
      <c r="J601" s="199">
        <v>1</v>
      </c>
      <c r="K601" s="199">
        <v>1</v>
      </c>
      <c r="L601" s="199">
        <v>50</v>
      </c>
      <c r="M601" s="202">
        <f>TB_Parts_Lists[[#This Row],[Quantity Initial]]+ SUMIF(TB_Transactions[Part number],TB_Parts_Lists[[#This Row],[Part Number]],TB_Transactions[Quantity])</f>
        <v>50</v>
      </c>
      <c r="N601" s="200" t="s">
        <v>4593</v>
      </c>
      <c r="O601" s="234">
        <v>5</v>
      </c>
      <c r="P601" s="199">
        <f>TB_Parts_Lists[[#This Row],[Quantity Initial]]*TB_Parts_Lists[[#This Row],[Unit Price AED]]</f>
        <v>250</v>
      </c>
      <c r="Q601" s="199">
        <f>TB_Parts_Lists[[#This Row],[Quantity Total]]*TB_Parts_Lists[[#This Row],[Unit Price AED]]</f>
        <v>250</v>
      </c>
      <c r="S601" s="199" t="s">
        <v>118</v>
      </c>
      <c r="T601" s="199" t="s">
        <v>8685</v>
      </c>
      <c r="U601" s="199" t="s">
        <v>230</v>
      </c>
    </row>
    <row r="602" spans="1:21" s="199" customFormat="1" x14ac:dyDescent="0.25">
      <c r="A602" s="192" t="s">
        <v>7102</v>
      </c>
      <c r="B602" s="201" t="s">
        <v>3331</v>
      </c>
      <c r="C602" s="199" t="s">
        <v>6673</v>
      </c>
      <c r="D602" s="188" t="s">
        <v>8724</v>
      </c>
      <c r="E602" s="188" t="s">
        <v>3639</v>
      </c>
      <c r="F602" s="189" t="s">
        <v>3705</v>
      </c>
      <c r="G602" s="199" t="s">
        <v>8267</v>
      </c>
      <c r="H602" s="199">
        <v>214</v>
      </c>
      <c r="I602" s="199">
        <v>1</v>
      </c>
      <c r="J602" s="199">
        <v>1</v>
      </c>
      <c r="K602" s="199">
        <v>1</v>
      </c>
      <c r="L602" s="199">
        <v>50</v>
      </c>
      <c r="M602" s="202">
        <f>TB_Parts_Lists[[#This Row],[Quantity Initial]]+ SUMIF(TB_Transactions[Part number],TB_Parts_Lists[[#This Row],[Part Number]],TB_Transactions[Quantity])</f>
        <v>50</v>
      </c>
      <c r="N602" s="200" t="s">
        <v>4593</v>
      </c>
      <c r="O602" s="234">
        <v>5</v>
      </c>
      <c r="P602" s="199">
        <f>TB_Parts_Lists[[#This Row],[Quantity Initial]]*TB_Parts_Lists[[#This Row],[Unit Price AED]]</f>
        <v>250</v>
      </c>
      <c r="Q602" s="199">
        <f>TB_Parts_Lists[[#This Row],[Quantity Total]]*TB_Parts_Lists[[#This Row],[Unit Price AED]]</f>
        <v>250</v>
      </c>
      <c r="S602" s="199" t="s">
        <v>118</v>
      </c>
      <c r="T602" s="199" t="s">
        <v>8685</v>
      </c>
      <c r="U602" s="199" t="s">
        <v>230</v>
      </c>
    </row>
    <row r="603" spans="1:21" s="199" customFormat="1" x14ac:dyDescent="0.25">
      <c r="A603" s="192" t="s">
        <v>7103</v>
      </c>
      <c r="B603" s="201" t="s">
        <v>3329</v>
      </c>
      <c r="C603" s="199" t="s">
        <v>3348</v>
      </c>
      <c r="D603" s="188" t="s">
        <v>8724</v>
      </c>
      <c r="E603" s="188" t="s">
        <v>3760</v>
      </c>
      <c r="F603" s="189" t="s">
        <v>3706</v>
      </c>
      <c r="G603" s="199" t="s">
        <v>8268</v>
      </c>
      <c r="H603" s="199">
        <v>214</v>
      </c>
      <c r="I603" s="199">
        <v>1</v>
      </c>
      <c r="J603" s="199">
        <v>1</v>
      </c>
      <c r="K603" s="199">
        <v>1</v>
      </c>
      <c r="L603" s="199">
        <v>50</v>
      </c>
      <c r="M603" s="202">
        <f>TB_Parts_Lists[[#This Row],[Quantity Initial]]+ SUMIF(TB_Transactions[Part number],TB_Parts_Lists[[#This Row],[Part Number]],TB_Transactions[Quantity])</f>
        <v>50</v>
      </c>
      <c r="N603" s="200" t="s">
        <v>4593</v>
      </c>
      <c r="O603" s="234">
        <v>5</v>
      </c>
      <c r="P603" s="199">
        <f>TB_Parts_Lists[[#This Row],[Quantity Initial]]*TB_Parts_Lists[[#This Row],[Unit Price AED]]</f>
        <v>250</v>
      </c>
      <c r="Q603" s="199">
        <f>TB_Parts_Lists[[#This Row],[Quantity Total]]*TB_Parts_Lists[[#This Row],[Unit Price AED]]</f>
        <v>250</v>
      </c>
      <c r="S603" s="199" t="s">
        <v>8675</v>
      </c>
      <c r="T603" s="199" t="s">
        <v>8675</v>
      </c>
      <c r="U603" s="199" t="s">
        <v>8675</v>
      </c>
    </row>
    <row r="604" spans="1:21" s="199" customFormat="1" x14ac:dyDescent="0.25">
      <c r="A604" s="192" t="s">
        <v>7104</v>
      </c>
      <c r="B604" s="201" t="s">
        <v>3335</v>
      </c>
      <c r="C604" s="199" t="s">
        <v>6623</v>
      </c>
      <c r="D604" s="188" t="s">
        <v>8724</v>
      </c>
      <c r="E604" s="188" t="s">
        <v>5140</v>
      </c>
      <c r="F604" s="189" t="s">
        <v>3707</v>
      </c>
      <c r="G604" s="199" t="s">
        <v>8268</v>
      </c>
      <c r="H604" s="199">
        <v>214</v>
      </c>
      <c r="I604" s="199">
        <v>1</v>
      </c>
      <c r="J604" s="199">
        <v>1</v>
      </c>
      <c r="K604" s="199">
        <v>1</v>
      </c>
      <c r="L604" s="199">
        <v>50</v>
      </c>
      <c r="M604" s="202">
        <f>TB_Parts_Lists[[#This Row],[Quantity Initial]]+ SUMIF(TB_Transactions[Part number],TB_Parts_Lists[[#This Row],[Part Number]],TB_Transactions[Quantity])</f>
        <v>50</v>
      </c>
      <c r="N604" s="200" t="s">
        <v>4593</v>
      </c>
      <c r="O604" s="234">
        <v>5</v>
      </c>
      <c r="P604" s="199">
        <f>TB_Parts_Lists[[#This Row],[Quantity Initial]]*TB_Parts_Lists[[#This Row],[Unit Price AED]]</f>
        <v>250</v>
      </c>
      <c r="Q604" s="199">
        <f>TB_Parts_Lists[[#This Row],[Quantity Total]]*TB_Parts_Lists[[#This Row],[Unit Price AED]]</f>
        <v>250</v>
      </c>
      <c r="S604" s="199" t="s">
        <v>8675</v>
      </c>
      <c r="T604" s="199" t="s">
        <v>8675</v>
      </c>
      <c r="U604" s="199" t="s">
        <v>8675</v>
      </c>
    </row>
    <row r="605" spans="1:21" s="199" customFormat="1" x14ac:dyDescent="0.25">
      <c r="A605" s="192" t="s">
        <v>7105</v>
      </c>
      <c r="B605" s="201" t="s">
        <v>3335</v>
      </c>
      <c r="C605" s="199" t="s">
        <v>6623</v>
      </c>
      <c r="D605" s="199" t="s">
        <v>8732</v>
      </c>
      <c r="E605" s="188" t="s">
        <v>5141</v>
      </c>
      <c r="F605" s="189" t="s">
        <v>3708</v>
      </c>
      <c r="G605" s="199" t="s">
        <v>8268</v>
      </c>
      <c r="H605" s="199">
        <v>214</v>
      </c>
      <c r="I605" s="199">
        <v>1</v>
      </c>
      <c r="J605" s="199">
        <v>1</v>
      </c>
      <c r="K605" s="199">
        <v>1</v>
      </c>
      <c r="L605" s="199">
        <v>50</v>
      </c>
      <c r="M605" s="202">
        <f>TB_Parts_Lists[[#This Row],[Quantity Initial]]+ SUMIF(TB_Transactions[Part number],TB_Parts_Lists[[#This Row],[Part Number]],TB_Transactions[Quantity])</f>
        <v>50</v>
      </c>
      <c r="N605" s="200" t="s">
        <v>4593</v>
      </c>
      <c r="O605" s="234">
        <v>5</v>
      </c>
      <c r="P605" s="199">
        <f>TB_Parts_Lists[[#This Row],[Quantity Initial]]*TB_Parts_Lists[[#This Row],[Unit Price AED]]</f>
        <v>250</v>
      </c>
      <c r="Q605" s="199">
        <f>TB_Parts_Lists[[#This Row],[Quantity Total]]*TB_Parts_Lists[[#This Row],[Unit Price AED]]</f>
        <v>250</v>
      </c>
      <c r="S605" s="199" t="s">
        <v>122</v>
      </c>
      <c r="T605" s="199" t="s">
        <v>312</v>
      </c>
      <c r="U605" s="199" t="s">
        <v>311</v>
      </c>
    </row>
    <row r="606" spans="1:21" s="199" customFormat="1" x14ac:dyDescent="0.25">
      <c r="A606" s="192" t="s">
        <v>7106</v>
      </c>
      <c r="B606" s="201" t="s">
        <v>3335</v>
      </c>
      <c r="C606" s="199" t="s">
        <v>6623</v>
      </c>
      <c r="D606" s="188" t="s">
        <v>8724</v>
      </c>
      <c r="E606" s="188" t="s">
        <v>5142</v>
      </c>
      <c r="F606" s="189" t="s">
        <v>3709</v>
      </c>
      <c r="G606" s="199" t="s">
        <v>8268</v>
      </c>
      <c r="H606" s="199">
        <v>214</v>
      </c>
      <c r="I606" s="199">
        <v>1</v>
      </c>
      <c r="J606" s="199">
        <v>1</v>
      </c>
      <c r="K606" s="199">
        <v>1</v>
      </c>
      <c r="L606" s="199">
        <v>50</v>
      </c>
      <c r="M606" s="202">
        <f>TB_Parts_Lists[[#This Row],[Quantity Initial]]+ SUMIF(TB_Transactions[Part number],TB_Parts_Lists[[#This Row],[Part Number]],TB_Transactions[Quantity])</f>
        <v>50</v>
      </c>
      <c r="N606" s="200" t="s">
        <v>4593</v>
      </c>
      <c r="O606" s="234">
        <v>5</v>
      </c>
      <c r="P606" s="199">
        <f>TB_Parts_Lists[[#This Row],[Quantity Initial]]*TB_Parts_Lists[[#This Row],[Unit Price AED]]</f>
        <v>250</v>
      </c>
      <c r="Q606" s="199">
        <f>TB_Parts_Lists[[#This Row],[Quantity Total]]*TB_Parts_Lists[[#This Row],[Unit Price AED]]</f>
        <v>250</v>
      </c>
      <c r="S606" s="199" t="s">
        <v>122</v>
      </c>
      <c r="T606" s="199" t="s">
        <v>312</v>
      </c>
      <c r="U606" s="199" t="s">
        <v>311</v>
      </c>
    </row>
    <row r="607" spans="1:21" s="199" customFormat="1" x14ac:dyDescent="0.25">
      <c r="A607" s="192" t="s">
        <v>7107</v>
      </c>
      <c r="B607" s="201" t="s">
        <v>3332</v>
      </c>
      <c r="C607" s="199" t="s">
        <v>3355</v>
      </c>
      <c r="D607" s="188" t="s">
        <v>8724</v>
      </c>
      <c r="E607" s="188" t="s">
        <v>5143</v>
      </c>
      <c r="F607" s="189" t="s">
        <v>3710</v>
      </c>
      <c r="G607" s="199" t="s">
        <v>8268</v>
      </c>
      <c r="H607" s="199">
        <v>214</v>
      </c>
      <c r="I607" s="199">
        <v>1</v>
      </c>
      <c r="J607" s="199">
        <v>1</v>
      </c>
      <c r="K607" s="199">
        <v>1</v>
      </c>
      <c r="L607" s="199">
        <v>50</v>
      </c>
      <c r="M607" s="202">
        <f>TB_Parts_Lists[[#This Row],[Quantity Initial]]+ SUMIF(TB_Transactions[Part number],TB_Parts_Lists[[#This Row],[Part Number]],TB_Transactions[Quantity])</f>
        <v>50</v>
      </c>
      <c r="N607" s="200" t="s">
        <v>4593</v>
      </c>
      <c r="O607" s="234">
        <v>5</v>
      </c>
      <c r="P607" s="199">
        <f>TB_Parts_Lists[[#This Row],[Quantity Initial]]*TB_Parts_Lists[[#This Row],[Unit Price AED]]</f>
        <v>250</v>
      </c>
      <c r="Q607" s="199">
        <f>TB_Parts_Lists[[#This Row],[Quantity Total]]*TB_Parts_Lists[[#This Row],[Unit Price AED]]</f>
        <v>250</v>
      </c>
      <c r="S607" s="199" t="s">
        <v>118</v>
      </c>
      <c r="T607" s="199" t="s">
        <v>8691</v>
      </c>
      <c r="U607" s="199" t="s">
        <v>8716</v>
      </c>
    </row>
    <row r="608" spans="1:21" s="199" customFormat="1" x14ac:dyDescent="0.25">
      <c r="A608" s="192" t="s">
        <v>7108</v>
      </c>
      <c r="B608" s="201" t="s">
        <v>3332</v>
      </c>
      <c r="C608" s="199" t="s">
        <v>3357</v>
      </c>
      <c r="D608" s="188" t="s">
        <v>8724</v>
      </c>
      <c r="E608" s="188" t="s">
        <v>5144</v>
      </c>
      <c r="F608" s="189" t="s">
        <v>3711</v>
      </c>
      <c r="G608" s="199" t="s">
        <v>8268</v>
      </c>
      <c r="H608" s="199">
        <v>214</v>
      </c>
      <c r="I608" s="199">
        <v>1</v>
      </c>
      <c r="J608" s="199">
        <v>1</v>
      </c>
      <c r="K608" s="199">
        <v>1</v>
      </c>
      <c r="L608" s="199">
        <v>50</v>
      </c>
      <c r="M608" s="202">
        <f>TB_Parts_Lists[[#This Row],[Quantity Initial]]+ SUMIF(TB_Transactions[Part number],TB_Parts_Lists[[#This Row],[Part Number]],TB_Transactions[Quantity])</f>
        <v>50</v>
      </c>
      <c r="N608" s="200" t="s">
        <v>4593</v>
      </c>
      <c r="O608" s="234">
        <v>5</v>
      </c>
      <c r="P608" s="199">
        <f>TB_Parts_Lists[[#This Row],[Quantity Initial]]*TB_Parts_Lists[[#This Row],[Unit Price AED]]</f>
        <v>250</v>
      </c>
      <c r="Q608" s="199">
        <f>TB_Parts_Lists[[#This Row],[Quantity Total]]*TB_Parts_Lists[[#This Row],[Unit Price AED]]</f>
        <v>250</v>
      </c>
      <c r="S608" s="199" t="s">
        <v>118</v>
      </c>
      <c r="T608" s="199" t="s">
        <v>8691</v>
      </c>
      <c r="U608" s="199" t="s">
        <v>8716</v>
      </c>
    </row>
    <row r="609" spans="1:21" s="199" customFormat="1" x14ac:dyDescent="0.25">
      <c r="A609" s="192" t="s">
        <v>7109</v>
      </c>
      <c r="B609" s="201" t="s">
        <v>3330</v>
      </c>
      <c r="C609" s="199" t="s">
        <v>3338</v>
      </c>
      <c r="D609" s="199" t="s">
        <v>8732</v>
      </c>
      <c r="E609" s="188" t="s">
        <v>1963</v>
      </c>
      <c r="F609" s="189" t="s">
        <v>3712</v>
      </c>
      <c r="G609" s="199" t="s">
        <v>8268</v>
      </c>
      <c r="H609" s="199">
        <v>214</v>
      </c>
      <c r="I609" s="199">
        <v>1</v>
      </c>
      <c r="J609" s="199">
        <v>1</v>
      </c>
      <c r="K609" s="199">
        <v>1</v>
      </c>
      <c r="L609" s="199">
        <v>50</v>
      </c>
      <c r="M609" s="202">
        <f>TB_Parts_Lists[[#This Row],[Quantity Initial]]+ SUMIF(TB_Transactions[Part number],TB_Parts_Lists[[#This Row],[Part Number]],TB_Transactions[Quantity])</f>
        <v>50</v>
      </c>
      <c r="N609" s="200" t="s">
        <v>4593</v>
      </c>
      <c r="O609" s="234">
        <v>5</v>
      </c>
      <c r="P609" s="199">
        <f>TB_Parts_Lists[[#This Row],[Quantity Initial]]*TB_Parts_Lists[[#This Row],[Unit Price AED]]</f>
        <v>250</v>
      </c>
      <c r="Q609" s="199">
        <f>TB_Parts_Lists[[#This Row],[Quantity Total]]*TB_Parts_Lists[[#This Row],[Unit Price AED]]</f>
        <v>250</v>
      </c>
      <c r="S609" s="199" t="s">
        <v>122</v>
      </c>
      <c r="T609" s="199" t="s">
        <v>8676</v>
      </c>
      <c r="U609" s="199" t="s">
        <v>298</v>
      </c>
    </row>
    <row r="610" spans="1:21" s="199" customFormat="1" x14ac:dyDescent="0.25">
      <c r="A610" s="192" t="s">
        <v>7110</v>
      </c>
      <c r="B610" s="201" t="s">
        <v>3329</v>
      </c>
      <c r="C610" s="199" t="s">
        <v>3345</v>
      </c>
      <c r="D610" s="188" t="s">
        <v>8724</v>
      </c>
      <c r="E610" s="188" t="s">
        <v>3761</v>
      </c>
      <c r="F610" s="189" t="s">
        <v>3713</v>
      </c>
      <c r="G610" s="199" t="s">
        <v>8268</v>
      </c>
      <c r="H610" s="199">
        <v>214</v>
      </c>
      <c r="I610" s="199">
        <v>1</v>
      </c>
      <c r="J610" s="199">
        <v>1</v>
      </c>
      <c r="K610" s="199">
        <v>1</v>
      </c>
      <c r="L610" s="199">
        <v>50</v>
      </c>
      <c r="M610" s="202">
        <f>TB_Parts_Lists[[#This Row],[Quantity Initial]]+ SUMIF(TB_Transactions[Part number],TB_Parts_Lists[[#This Row],[Part Number]],TB_Transactions[Quantity])</f>
        <v>50</v>
      </c>
      <c r="N610" s="200" t="s">
        <v>4593</v>
      </c>
      <c r="O610" s="234">
        <v>5</v>
      </c>
      <c r="P610" s="199">
        <f>TB_Parts_Lists[[#This Row],[Quantity Initial]]*TB_Parts_Lists[[#This Row],[Unit Price AED]]</f>
        <v>250</v>
      </c>
      <c r="Q610" s="199">
        <f>TB_Parts_Lists[[#This Row],[Quantity Total]]*TB_Parts_Lists[[#This Row],[Unit Price AED]]</f>
        <v>250</v>
      </c>
      <c r="S610" s="199" t="s">
        <v>8675</v>
      </c>
      <c r="T610" s="199" t="s">
        <v>8675</v>
      </c>
      <c r="U610" s="199" t="s">
        <v>8675</v>
      </c>
    </row>
    <row r="611" spans="1:21" s="199" customFormat="1" x14ac:dyDescent="0.25">
      <c r="A611" s="192" t="s">
        <v>7111</v>
      </c>
      <c r="B611" s="201" t="s">
        <v>3330</v>
      </c>
      <c r="C611" s="199" t="s">
        <v>3338</v>
      </c>
      <c r="D611" s="188" t="s">
        <v>8724</v>
      </c>
      <c r="E611" s="188" t="s">
        <v>3640</v>
      </c>
      <c r="F611" s="189" t="s">
        <v>3714</v>
      </c>
      <c r="G611" s="199" t="s">
        <v>8269</v>
      </c>
      <c r="H611" s="199">
        <v>214</v>
      </c>
      <c r="I611" s="199">
        <v>1</v>
      </c>
      <c r="J611" s="199">
        <v>1</v>
      </c>
      <c r="K611" s="199">
        <v>1</v>
      </c>
      <c r="L611" s="199">
        <v>50</v>
      </c>
      <c r="M611" s="202">
        <f>TB_Parts_Lists[[#This Row],[Quantity Initial]]+ SUMIF(TB_Transactions[Part number],TB_Parts_Lists[[#This Row],[Part Number]],TB_Transactions[Quantity])</f>
        <v>50</v>
      </c>
      <c r="N611" s="200" t="s">
        <v>4593</v>
      </c>
      <c r="O611" s="234">
        <v>5</v>
      </c>
      <c r="P611" s="199">
        <f>TB_Parts_Lists[[#This Row],[Quantity Initial]]*TB_Parts_Lists[[#This Row],[Unit Price AED]]</f>
        <v>250</v>
      </c>
      <c r="Q611" s="199">
        <f>TB_Parts_Lists[[#This Row],[Quantity Total]]*TB_Parts_Lists[[#This Row],[Unit Price AED]]</f>
        <v>250</v>
      </c>
      <c r="S611" s="199" t="s">
        <v>8675</v>
      </c>
      <c r="T611" s="199" t="s">
        <v>8675</v>
      </c>
      <c r="U611" s="199" t="s">
        <v>8675</v>
      </c>
    </row>
    <row r="612" spans="1:21" s="199" customFormat="1" x14ac:dyDescent="0.25">
      <c r="A612" s="192" t="s">
        <v>7112</v>
      </c>
      <c r="B612" s="201" t="s">
        <v>3335</v>
      </c>
      <c r="C612" s="199" t="s">
        <v>3772</v>
      </c>
      <c r="D612" s="199" t="s">
        <v>8732</v>
      </c>
      <c r="E612" s="188" t="s">
        <v>3762</v>
      </c>
      <c r="F612" s="189" t="s">
        <v>3715</v>
      </c>
      <c r="G612" s="199" t="s">
        <v>8269</v>
      </c>
      <c r="H612" s="199">
        <v>214</v>
      </c>
      <c r="I612" s="199">
        <v>1</v>
      </c>
      <c r="J612" s="199">
        <v>1</v>
      </c>
      <c r="K612" s="199">
        <v>1</v>
      </c>
      <c r="L612" s="199">
        <v>50</v>
      </c>
      <c r="M612" s="202">
        <f>TB_Parts_Lists[[#This Row],[Quantity Initial]]+ SUMIF(TB_Transactions[Part number],TB_Parts_Lists[[#This Row],[Part Number]],TB_Transactions[Quantity])</f>
        <v>50</v>
      </c>
      <c r="N612" s="200" t="s">
        <v>4593</v>
      </c>
      <c r="O612" s="234">
        <v>5</v>
      </c>
      <c r="P612" s="199">
        <f>TB_Parts_Lists[[#This Row],[Quantity Initial]]*TB_Parts_Lists[[#This Row],[Unit Price AED]]</f>
        <v>250</v>
      </c>
      <c r="Q612" s="199">
        <f>TB_Parts_Lists[[#This Row],[Quantity Total]]*TB_Parts_Lists[[#This Row],[Unit Price AED]]</f>
        <v>250</v>
      </c>
      <c r="S612" s="199" t="s">
        <v>118</v>
      </c>
      <c r="T612" s="199" t="s">
        <v>8693</v>
      </c>
      <c r="U612" s="199" t="s">
        <v>119</v>
      </c>
    </row>
    <row r="613" spans="1:21" s="199" customFormat="1" x14ac:dyDescent="0.25">
      <c r="A613" s="192" t="s">
        <v>7113</v>
      </c>
      <c r="B613" s="201" t="s">
        <v>3335</v>
      </c>
      <c r="C613" s="199" t="s">
        <v>3773</v>
      </c>
      <c r="D613" s="199" t="s">
        <v>8732</v>
      </c>
      <c r="E613" s="188" t="s">
        <v>3763</v>
      </c>
      <c r="F613" s="189" t="s">
        <v>3716</v>
      </c>
      <c r="G613" s="199" t="s">
        <v>8269</v>
      </c>
      <c r="H613" s="199">
        <v>214</v>
      </c>
      <c r="I613" s="199">
        <v>1</v>
      </c>
      <c r="J613" s="199">
        <v>1</v>
      </c>
      <c r="K613" s="199">
        <v>1</v>
      </c>
      <c r="L613" s="199">
        <v>50</v>
      </c>
      <c r="M613" s="202">
        <f>TB_Parts_Lists[[#This Row],[Quantity Initial]]+ SUMIF(TB_Transactions[Part number],TB_Parts_Lists[[#This Row],[Part Number]],TB_Transactions[Quantity])</f>
        <v>50</v>
      </c>
      <c r="N613" s="200" t="s">
        <v>4593</v>
      </c>
      <c r="O613" s="234">
        <v>5</v>
      </c>
      <c r="P613" s="199">
        <f>TB_Parts_Lists[[#This Row],[Quantity Initial]]*TB_Parts_Lists[[#This Row],[Unit Price AED]]</f>
        <v>250</v>
      </c>
      <c r="Q613" s="199">
        <f>TB_Parts_Lists[[#This Row],[Quantity Total]]*TB_Parts_Lists[[#This Row],[Unit Price AED]]</f>
        <v>250</v>
      </c>
      <c r="S613" s="199" t="s">
        <v>118</v>
      </c>
      <c r="T613" s="199" t="s">
        <v>8693</v>
      </c>
      <c r="U613" s="199" t="s">
        <v>119</v>
      </c>
    </row>
    <row r="614" spans="1:21" s="199" customFormat="1" x14ac:dyDescent="0.25">
      <c r="A614" s="192" t="s">
        <v>7114</v>
      </c>
      <c r="B614" s="201" t="s">
        <v>3335</v>
      </c>
      <c r="C614" s="199" t="s">
        <v>3774</v>
      </c>
      <c r="D614" s="199" t="s">
        <v>8732</v>
      </c>
      <c r="E614" s="188" t="s">
        <v>3764</v>
      </c>
      <c r="F614" s="189" t="s">
        <v>3717</v>
      </c>
      <c r="G614" s="199" t="s">
        <v>8269</v>
      </c>
      <c r="H614" s="199">
        <v>214</v>
      </c>
      <c r="I614" s="199">
        <v>1</v>
      </c>
      <c r="J614" s="199">
        <v>1</v>
      </c>
      <c r="K614" s="199">
        <v>1</v>
      </c>
      <c r="L614" s="199">
        <v>50</v>
      </c>
      <c r="M614" s="202">
        <f>TB_Parts_Lists[[#This Row],[Quantity Initial]]+ SUMIF(TB_Transactions[Part number],TB_Parts_Lists[[#This Row],[Part Number]],TB_Transactions[Quantity])</f>
        <v>50</v>
      </c>
      <c r="N614" s="200" t="s">
        <v>4593</v>
      </c>
      <c r="O614" s="234">
        <v>5</v>
      </c>
      <c r="P614" s="199">
        <f>TB_Parts_Lists[[#This Row],[Quantity Initial]]*TB_Parts_Lists[[#This Row],[Unit Price AED]]</f>
        <v>250</v>
      </c>
      <c r="Q614" s="199">
        <f>TB_Parts_Lists[[#This Row],[Quantity Total]]*TB_Parts_Lists[[#This Row],[Unit Price AED]]</f>
        <v>250</v>
      </c>
      <c r="S614" s="199" t="s">
        <v>118</v>
      </c>
      <c r="T614" s="199" t="s">
        <v>8693</v>
      </c>
      <c r="U614" s="199" t="s">
        <v>119</v>
      </c>
    </row>
    <row r="615" spans="1:21" s="199" customFormat="1" x14ac:dyDescent="0.25">
      <c r="A615" s="192" t="s">
        <v>7115</v>
      </c>
      <c r="B615" s="201" t="s">
        <v>3335</v>
      </c>
      <c r="C615" s="199" t="s">
        <v>3775</v>
      </c>
      <c r="D615" s="199" t="s">
        <v>8732</v>
      </c>
      <c r="E615" s="188" t="s">
        <v>3765</v>
      </c>
      <c r="F615" s="189" t="s">
        <v>3718</v>
      </c>
      <c r="G615" s="199" t="s">
        <v>8269</v>
      </c>
      <c r="H615" s="199">
        <v>214</v>
      </c>
      <c r="I615" s="199">
        <v>1</v>
      </c>
      <c r="J615" s="199">
        <v>1</v>
      </c>
      <c r="K615" s="199">
        <v>1</v>
      </c>
      <c r="L615" s="199">
        <v>50</v>
      </c>
      <c r="M615" s="202">
        <f>TB_Parts_Lists[[#This Row],[Quantity Initial]]+ SUMIF(TB_Transactions[Part number],TB_Parts_Lists[[#This Row],[Part Number]],TB_Transactions[Quantity])</f>
        <v>50</v>
      </c>
      <c r="N615" s="200" t="s">
        <v>4593</v>
      </c>
      <c r="O615" s="234">
        <v>5</v>
      </c>
      <c r="P615" s="199">
        <f>TB_Parts_Lists[[#This Row],[Quantity Initial]]*TB_Parts_Lists[[#This Row],[Unit Price AED]]</f>
        <v>250</v>
      </c>
      <c r="Q615" s="199">
        <f>TB_Parts_Lists[[#This Row],[Quantity Total]]*TB_Parts_Lists[[#This Row],[Unit Price AED]]</f>
        <v>250</v>
      </c>
      <c r="S615" s="199" t="s">
        <v>118</v>
      </c>
      <c r="T615" s="199" t="s">
        <v>8693</v>
      </c>
      <c r="U615" s="199" t="s">
        <v>119</v>
      </c>
    </row>
    <row r="616" spans="1:21" s="199" customFormat="1" x14ac:dyDescent="0.25">
      <c r="A616" s="192" t="s">
        <v>7116</v>
      </c>
      <c r="B616" s="201" t="s">
        <v>3335</v>
      </c>
      <c r="C616" s="199" t="s">
        <v>3770</v>
      </c>
      <c r="D616" s="199" t="s">
        <v>8732</v>
      </c>
      <c r="E616" s="188" t="s">
        <v>3766</v>
      </c>
      <c r="F616" s="189" t="s">
        <v>3719</v>
      </c>
      <c r="G616" s="199" t="s">
        <v>8270</v>
      </c>
      <c r="H616" s="199">
        <v>214</v>
      </c>
      <c r="I616" s="199">
        <v>1</v>
      </c>
      <c r="J616" s="199">
        <v>1</v>
      </c>
      <c r="K616" s="199">
        <v>1</v>
      </c>
      <c r="L616" s="199">
        <v>50</v>
      </c>
      <c r="M616" s="202">
        <f>TB_Parts_Lists[[#This Row],[Quantity Initial]]+ SUMIF(TB_Transactions[Part number],TB_Parts_Lists[[#This Row],[Part Number]],TB_Transactions[Quantity])</f>
        <v>50</v>
      </c>
      <c r="N616" s="200" t="s">
        <v>4593</v>
      </c>
      <c r="O616" s="234">
        <v>5</v>
      </c>
      <c r="P616" s="199">
        <f>TB_Parts_Lists[[#This Row],[Quantity Initial]]*TB_Parts_Lists[[#This Row],[Unit Price AED]]</f>
        <v>250</v>
      </c>
      <c r="Q616" s="199">
        <f>TB_Parts_Lists[[#This Row],[Quantity Total]]*TB_Parts_Lists[[#This Row],[Unit Price AED]]</f>
        <v>250</v>
      </c>
      <c r="S616" s="199" t="s">
        <v>118</v>
      </c>
      <c r="T616" s="199" t="s">
        <v>8693</v>
      </c>
      <c r="U616" s="199" t="s">
        <v>119</v>
      </c>
    </row>
    <row r="617" spans="1:21" s="199" customFormat="1" x14ac:dyDescent="0.25">
      <c r="A617" s="192" t="s">
        <v>7117</v>
      </c>
      <c r="B617" s="201" t="s">
        <v>3335</v>
      </c>
      <c r="C617" s="199" t="s">
        <v>3774</v>
      </c>
      <c r="D617" s="199" t="s">
        <v>8732</v>
      </c>
      <c r="E617" s="188" t="s">
        <v>3767</v>
      </c>
      <c r="F617" s="189" t="s">
        <v>3720</v>
      </c>
      <c r="G617" s="199" t="s">
        <v>8270</v>
      </c>
      <c r="H617" s="199">
        <v>214</v>
      </c>
      <c r="I617" s="199">
        <v>1</v>
      </c>
      <c r="J617" s="199">
        <v>1</v>
      </c>
      <c r="K617" s="199">
        <v>1</v>
      </c>
      <c r="L617" s="199">
        <v>50</v>
      </c>
      <c r="M617" s="202">
        <f>TB_Parts_Lists[[#This Row],[Quantity Initial]]+ SUMIF(TB_Transactions[Part number],TB_Parts_Lists[[#This Row],[Part Number]],TB_Transactions[Quantity])</f>
        <v>50</v>
      </c>
      <c r="N617" s="200" t="s">
        <v>4593</v>
      </c>
      <c r="O617" s="234">
        <v>5</v>
      </c>
      <c r="P617" s="199">
        <f>TB_Parts_Lists[[#This Row],[Quantity Initial]]*TB_Parts_Lists[[#This Row],[Unit Price AED]]</f>
        <v>250</v>
      </c>
      <c r="Q617" s="199">
        <f>TB_Parts_Lists[[#This Row],[Quantity Total]]*TB_Parts_Lists[[#This Row],[Unit Price AED]]</f>
        <v>250</v>
      </c>
      <c r="S617" s="199" t="s">
        <v>118</v>
      </c>
      <c r="T617" s="199" t="s">
        <v>8693</v>
      </c>
      <c r="U617" s="199" t="s">
        <v>119</v>
      </c>
    </row>
    <row r="618" spans="1:21" s="199" customFormat="1" x14ac:dyDescent="0.25">
      <c r="A618" s="192" t="s">
        <v>7118</v>
      </c>
      <c r="B618" s="201" t="s">
        <v>3335</v>
      </c>
      <c r="C618" s="199" t="s">
        <v>3775</v>
      </c>
      <c r="D618" s="199" t="s">
        <v>8732</v>
      </c>
      <c r="E618" s="188" t="s">
        <v>3768</v>
      </c>
      <c r="F618" s="189" t="s">
        <v>3721</v>
      </c>
      <c r="G618" s="199" t="s">
        <v>8270</v>
      </c>
      <c r="H618" s="199">
        <v>214</v>
      </c>
      <c r="I618" s="199">
        <v>1</v>
      </c>
      <c r="J618" s="199">
        <v>1</v>
      </c>
      <c r="K618" s="199">
        <v>1</v>
      </c>
      <c r="L618" s="199">
        <v>50</v>
      </c>
      <c r="M618" s="202">
        <f>TB_Parts_Lists[[#This Row],[Quantity Initial]]+ SUMIF(TB_Transactions[Part number],TB_Parts_Lists[[#This Row],[Part Number]],TB_Transactions[Quantity])</f>
        <v>50</v>
      </c>
      <c r="N618" s="200" t="s">
        <v>4593</v>
      </c>
      <c r="O618" s="234">
        <v>5</v>
      </c>
      <c r="P618" s="199">
        <f>TB_Parts_Lists[[#This Row],[Quantity Initial]]*TB_Parts_Lists[[#This Row],[Unit Price AED]]</f>
        <v>250</v>
      </c>
      <c r="Q618" s="199">
        <f>TB_Parts_Lists[[#This Row],[Quantity Total]]*TB_Parts_Lists[[#This Row],[Unit Price AED]]</f>
        <v>250</v>
      </c>
      <c r="S618" s="199" t="s">
        <v>118</v>
      </c>
      <c r="T618" s="199" t="s">
        <v>8693</v>
      </c>
      <c r="U618" s="199" t="s">
        <v>119</v>
      </c>
    </row>
    <row r="619" spans="1:21" s="199" customFormat="1" x14ac:dyDescent="0.25">
      <c r="A619" s="192" t="s">
        <v>7119</v>
      </c>
      <c r="B619" s="201" t="s">
        <v>3335</v>
      </c>
      <c r="C619" s="199" t="s">
        <v>3771</v>
      </c>
      <c r="D619" s="199" t="s">
        <v>8732</v>
      </c>
      <c r="E619" s="188" t="s">
        <v>3769</v>
      </c>
      <c r="F619" s="189" t="s">
        <v>3722</v>
      </c>
      <c r="G619" s="199" t="s">
        <v>8270</v>
      </c>
      <c r="H619" s="199">
        <v>214</v>
      </c>
      <c r="I619" s="199">
        <v>1</v>
      </c>
      <c r="J619" s="199">
        <v>1</v>
      </c>
      <c r="K619" s="199">
        <v>1</v>
      </c>
      <c r="L619" s="199">
        <v>50</v>
      </c>
      <c r="M619" s="202">
        <f>TB_Parts_Lists[[#This Row],[Quantity Initial]]+ SUMIF(TB_Transactions[Part number],TB_Parts_Lists[[#This Row],[Part Number]],TB_Transactions[Quantity])</f>
        <v>50</v>
      </c>
      <c r="N619" s="200" t="s">
        <v>4593</v>
      </c>
      <c r="O619" s="234">
        <v>5</v>
      </c>
      <c r="P619" s="199">
        <f>TB_Parts_Lists[[#This Row],[Quantity Initial]]*TB_Parts_Lists[[#This Row],[Unit Price AED]]</f>
        <v>250</v>
      </c>
      <c r="Q619" s="199">
        <f>TB_Parts_Lists[[#This Row],[Quantity Total]]*TB_Parts_Lists[[#This Row],[Unit Price AED]]</f>
        <v>250</v>
      </c>
      <c r="S619" s="199" t="s">
        <v>118</v>
      </c>
      <c r="T619" s="199" t="s">
        <v>8693</v>
      </c>
      <c r="U619" s="199" t="s">
        <v>119</v>
      </c>
    </row>
    <row r="620" spans="1:21" s="199" customFormat="1" x14ac:dyDescent="0.25">
      <c r="A620" s="192" t="s">
        <v>7120</v>
      </c>
      <c r="B620" s="201" t="s">
        <v>3335</v>
      </c>
      <c r="C620" s="199" t="s">
        <v>3368</v>
      </c>
      <c r="D620" s="199" t="s">
        <v>8732</v>
      </c>
      <c r="E620" s="188" t="s">
        <v>5145</v>
      </c>
      <c r="F620" s="189" t="s">
        <v>3723</v>
      </c>
      <c r="G620" s="199" t="s">
        <v>8270</v>
      </c>
      <c r="H620" s="199" t="s">
        <v>8639</v>
      </c>
      <c r="I620" s="199">
        <v>1</v>
      </c>
      <c r="J620" s="199">
        <v>1</v>
      </c>
      <c r="K620" s="199">
        <v>1</v>
      </c>
      <c r="L620" s="199">
        <v>50</v>
      </c>
      <c r="M620" s="202">
        <f>TB_Parts_Lists[[#This Row],[Quantity Initial]]+ SUMIF(TB_Transactions[Part number],TB_Parts_Lists[[#This Row],[Part Number]],TB_Transactions[Quantity])</f>
        <v>50</v>
      </c>
      <c r="N620" s="200" t="s">
        <v>4593</v>
      </c>
      <c r="O620" s="234">
        <v>5</v>
      </c>
      <c r="P620" s="199">
        <f>TB_Parts_Lists[[#This Row],[Quantity Initial]]*TB_Parts_Lists[[#This Row],[Unit Price AED]]</f>
        <v>250</v>
      </c>
      <c r="Q620" s="199">
        <f>TB_Parts_Lists[[#This Row],[Quantity Total]]*TB_Parts_Lists[[#This Row],[Unit Price AED]]</f>
        <v>250</v>
      </c>
      <c r="S620" s="199" t="s">
        <v>118</v>
      </c>
      <c r="T620" s="199" t="s">
        <v>8693</v>
      </c>
      <c r="U620" s="199" t="s">
        <v>119</v>
      </c>
    </row>
    <row r="621" spans="1:21" s="199" customFormat="1" x14ac:dyDescent="0.25">
      <c r="A621" s="192" t="s">
        <v>7121</v>
      </c>
      <c r="B621" s="201" t="s">
        <v>3335</v>
      </c>
      <c r="C621" s="199" t="s">
        <v>3373</v>
      </c>
      <c r="D621" s="199" t="s">
        <v>8732</v>
      </c>
      <c r="E621" s="188" t="s">
        <v>5146</v>
      </c>
      <c r="F621" s="189" t="s">
        <v>3724</v>
      </c>
      <c r="G621" s="199" t="s">
        <v>8270</v>
      </c>
      <c r="H621" s="199" t="s">
        <v>8639</v>
      </c>
      <c r="I621" s="199">
        <v>1</v>
      </c>
      <c r="J621" s="199">
        <v>1</v>
      </c>
      <c r="K621" s="199">
        <v>1</v>
      </c>
      <c r="L621" s="199">
        <v>50</v>
      </c>
      <c r="M621" s="202">
        <f>TB_Parts_Lists[[#This Row],[Quantity Initial]]+ SUMIF(TB_Transactions[Part number],TB_Parts_Lists[[#This Row],[Part Number]],TB_Transactions[Quantity])</f>
        <v>50</v>
      </c>
      <c r="N621" s="200" t="s">
        <v>4593</v>
      </c>
      <c r="O621" s="234">
        <v>5</v>
      </c>
      <c r="P621" s="199">
        <f>TB_Parts_Lists[[#This Row],[Quantity Initial]]*TB_Parts_Lists[[#This Row],[Unit Price AED]]</f>
        <v>250</v>
      </c>
      <c r="Q621" s="199">
        <f>TB_Parts_Lists[[#This Row],[Quantity Total]]*TB_Parts_Lists[[#This Row],[Unit Price AED]]</f>
        <v>250</v>
      </c>
      <c r="S621" s="199" t="s">
        <v>118</v>
      </c>
      <c r="T621" s="199" t="s">
        <v>8693</v>
      </c>
      <c r="U621" s="199" t="s">
        <v>119</v>
      </c>
    </row>
    <row r="622" spans="1:21" s="199" customFormat="1" x14ac:dyDescent="0.25">
      <c r="A622" s="192" t="s">
        <v>7122</v>
      </c>
      <c r="B622" s="201" t="s">
        <v>3335</v>
      </c>
      <c r="C622" s="199" t="s">
        <v>3005</v>
      </c>
      <c r="D622" s="199" t="s">
        <v>8724</v>
      </c>
      <c r="E622" s="188" t="s">
        <v>5147</v>
      </c>
      <c r="F622" s="189" t="s">
        <v>3794</v>
      </c>
      <c r="G622" s="199" t="s">
        <v>8271</v>
      </c>
      <c r="H622" s="199" t="s">
        <v>8652</v>
      </c>
      <c r="I622" s="199">
        <v>1</v>
      </c>
      <c r="J622" s="199">
        <v>1</v>
      </c>
      <c r="K622" s="199">
        <v>1</v>
      </c>
      <c r="L622" s="199">
        <v>50</v>
      </c>
      <c r="M622" s="202">
        <f>TB_Parts_Lists[[#This Row],[Quantity Initial]]+ SUMIF(TB_Transactions[Part number],TB_Parts_Lists[[#This Row],[Part Number]],TB_Transactions[Quantity])</f>
        <v>50</v>
      </c>
      <c r="N622" s="200" t="s">
        <v>4593</v>
      </c>
      <c r="O622" s="234">
        <v>5</v>
      </c>
      <c r="P622" s="199">
        <f>TB_Parts_Lists[[#This Row],[Quantity Initial]]*TB_Parts_Lists[[#This Row],[Unit Price AED]]</f>
        <v>250</v>
      </c>
      <c r="Q622" s="199">
        <f>TB_Parts_Lists[[#This Row],[Quantity Total]]*TB_Parts_Lists[[#This Row],[Unit Price AED]]</f>
        <v>250</v>
      </c>
      <c r="S622" s="199" t="s">
        <v>118</v>
      </c>
      <c r="T622" s="199" t="s">
        <v>8693</v>
      </c>
      <c r="U622" s="199" t="s">
        <v>119</v>
      </c>
    </row>
    <row r="623" spans="1:21" s="199" customFormat="1" x14ac:dyDescent="0.25">
      <c r="A623" s="192" t="s">
        <v>7123</v>
      </c>
      <c r="B623" s="201" t="s">
        <v>3340</v>
      </c>
      <c r="C623" s="199" t="s">
        <v>4603</v>
      </c>
      <c r="D623" s="199" t="s">
        <v>8723</v>
      </c>
      <c r="E623" s="188" t="s">
        <v>4625</v>
      </c>
      <c r="F623" s="189" t="s">
        <v>3795</v>
      </c>
      <c r="G623" s="199" t="s">
        <v>8271</v>
      </c>
      <c r="H623" s="199" t="s">
        <v>75</v>
      </c>
      <c r="I623" s="199">
        <v>1</v>
      </c>
      <c r="J623" s="199">
        <v>1</v>
      </c>
      <c r="K623" s="199">
        <v>1</v>
      </c>
      <c r="L623" s="199">
        <v>50</v>
      </c>
      <c r="M623" s="202">
        <f>TB_Parts_Lists[[#This Row],[Quantity Initial]]+ SUMIF(TB_Transactions[Part number],TB_Parts_Lists[[#This Row],[Part Number]],TB_Transactions[Quantity])</f>
        <v>50</v>
      </c>
      <c r="N623" s="200" t="s">
        <v>4593</v>
      </c>
      <c r="O623" s="234">
        <v>5</v>
      </c>
      <c r="P623" s="199">
        <f>TB_Parts_Lists[[#This Row],[Quantity Initial]]*TB_Parts_Lists[[#This Row],[Unit Price AED]]</f>
        <v>250</v>
      </c>
      <c r="Q623" s="199">
        <f>TB_Parts_Lists[[#This Row],[Quantity Total]]*TB_Parts_Lists[[#This Row],[Unit Price AED]]</f>
        <v>250</v>
      </c>
      <c r="S623" s="199" t="s">
        <v>8675</v>
      </c>
      <c r="T623" s="199" t="s">
        <v>8675</v>
      </c>
      <c r="U623" s="199" t="s">
        <v>8675</v>
      </c>
    </row>
    <row r="624" spans="1:21" s="199" customFormat="1" x14ac:dyDescent="0.25">
      <c r="A624" s="192" t="s">
        <v>7124</v>
      </c>
      <c r="B624" s="201" t="s">
        <v>3330</v>
      </c>
      <c r="C624" s="199" t="s">
        <v>3338</v>
      </c>
      <c r="D624" s="199" t="s">
        <v>8723</v>
      </c>
      <c r="E624" s="188" t="s">
        <v>5148</v>
      </c>
      <c r="F624" s="189" t="s">
        <v>3796</v>
      </c>
      <c r="G624" s="199" t="s">
        <v>8271</v>
      </c>
      <c r="H624" s="199" t="s">
        <v>8652</v>
      </c>
      <c r="I624" s="199">
        <v>1</v>
      </c>
      <c r="J624" s="199">
        <v>1</v>
      </c>
      <c r="K624" s="199">
        <v>1</v>
      </c>
      <c r="L624" s="199">
        <v>50</v>
      </c>
      <c r="M624" s="202">
        <f>TB_Parts_Lists[[#This Row],[Quantity Initial]]+ SUMIF(TB_Transactions[Part number],TB_Parts_Lists[[#This Row],[Part Number]],TB_Transactions[Quantity])</f>
        <v>50</v>
      </c>
      <c r="N624" s="200" t="s">
        <v>4593</v>
      </c>
      <c r="O624" s="234">
        <v>5</v>
      </c>
      <c r="P624" s="199">
        <f>TB_Parts_Lists[[#This Row],[Quantity Initial]]*TB_Parts_Lists[[#This Row],[Unit Price AED]]</f>
        <v>250</v>
      </c>
      <c r="Q624" s="199">
        <f>TB_Parts_Lists[[#This Row],[Quantity Total]]*TB_Parts_Lists[[#This Row],[Unit Price AED]]</f>
        <v>250</v>
      </c>
      <c r="S624" s="199" t="s">
        <v>8675</v>
      </c>
      <c r="T624" s="199" t="s">
        <v>8675</v>
      </c>
      <c r="U624" s="199" t="s">
        <v>8675</v>
      </c>
    </row>
    <row r="625" spans="1:21" s="199" customFormat="1" x14ac:dyDescent="0.25">
      <c r="A625" s="192" t="s">
        <v>7125</v>
      </c>
      <c r="B625" s="201" t="s">
        <v>3332</v>
      </c>
      <c r="C625" s="199" t="s">
        <v>3356</v>
      </c>
      <c r="D625" s="199" t="s">
        <v>8732</v>
      </c>
      <c r="E625" s="188" t="s">
        <v>5149</v>
      </c>
      <c r="F625" s="189" t="s">
        <v>3797</v>
      </c>
      <c r="G625" s="199" t="s">
        <v>8271</v>
      </c>
      <c r="H625" s="199" t="s">
        <v>8652</v>
      </c>
      <c r="I625" s="199">
        <v>1</v>
      </c>
      <c r="J625" s="199">
        <v>1</v>
      </c>
      <c r="K625" s="199">
        <v>1</v>
      </c>
      <c r="L625" s="199">
        <v>50</v>
      </c>
      <c r="M625" s="202">
        <f>TB_Parts_Lists[[#This Row],[Quantity Initial]]+ SUMIF(TB_Transactions[Part number],TB_Parts_Lists[[#This Row],[Part Number]],TB_Transactions[Quantity])</f>
        <v>50</v>
      </c>
      <c r="N625" s="200" t="s">
        <v>4593</v>
      </c>
      <c r="O625" s="234">
        <v>5</v>
      </c>
      <c r="P625" s="199">
        <f>TB_Parts_Lists[[#This Row],[Quantity Initial]]*TB_Parts_Lists[[#This Row],[Unit Price AED]]</f>
        <v>250</v>
      </c>
      <c r="Q625" s="199">
        <f>TB_Parts_Lists[[#This Row],[Quantity Total]]*TB_Parts_Lists[[#This Row],[Unit Price AED]]</f>
        <v>250</v>
      </c>
      <c r="S625" s="199" t="s">
        <v>118</v>
      </c>
      <c r="T625" s="199" t="s">
        <v>8691</v>
      </c>
      <c r="U625" s="199" t="s">
        <v>8716</v>
      </c>
    </row>
    <row r="626" spans="1:21" s="199" customFormat="1" x14ac:dyDescent="0.25">
      <c r="A626" s="192" t="s">
        <v>7126</v>
      </c>
      <c r="B626" s="201" t="s">
        <v>3329</v>
      </c>
      <c r="C626" s="199" t="s">
        <v>3379</v>
      </c>
      <c r="D626" s="199" t="s">
        <v>8723</v>
      </c>
      <c r="E626" s="188" t="s">
        <v>5150</v>
      </c>
      <c r="F626" s="189" t="s">
        <v>3798</v>
      </c>
      <c r="G626" s="199" t="s">
        <v>8271</v>
      </c>
      <c r="H626" s="199" t="s">
        <v>72</v>
      </c>
      <c r="I626" s="199">
        <v>1</v>
      </c>
      <c r="J626" s="199">
        <v>1</v>
      </c>
      <c r="K626" s="199">
        <v>1</v>
      </c>
      <c r="L626" s="199">
        <v>50</v>
      </c>
      <c r="M626" s="202">
        <f>TB_Parts_Lists[[#This Row],[Quantity Initial]]+ SUMIF(TB_Transactions[Part number],TB_Parts_Lists[[#This Row],[Part Number]],TB_Transactions[Quantity])</f>
        <v>50</v>
      </c>
      <c r="N626" s="200" t="s">
        <v>4593</v>
      </c>
      <c r="O626" s="234">
        <v>5</v>
      </c>
      <c r="P626" s="199">
        <f>TB_Parts_Lists[[#This Row],[Quantity Initial]]*TB_Parts_Lists[[#This Row],[Unit Price AED]]</f>
        <v>250</v>
      </c>
      <c r="Q626" s="199">
        <f>TB_Parts_Lists[[#This Row],[Quantity Total]]*TB_Parts_Lists[[#This Row],[Unit Price AED]]</f>
        <v>250</v>
      </c>
      <c r="S626" s="199" t="s">
        <v>8675</v>
      </c>
      <c r="T626" s="199" t="s">
        <v>8675</v>
      </c>
      <c r="U626" s="199" t="s">
        <v>8675</v>
      </c>
    </row>
    <row r="627" spans="1:21" s="199" customFormat="1" x14ac:dyDescent="0.25">
      <c r="A627" s="192" t="s">
        <v>7127</v>
      </c>
      <c r="B627" s="201" t="s">
        <v>3335</v>
      </c>
      <c r="C627" s="199" t="s">
        <v>3368</v>
      </c>
      <c r="D627" s="188" t="s">
        <v>8724</v>
      </c>
      <c r="E627" s="188" t="s">
        <v>3776</v>
      </c>
      <c r="F627" s="189" t="s">
        <v>3799</v>
      </c>
      <c r="G627" s="199" t="s">
        <v>8271</v>
      </c>
      <c r="H627" s="199" t="s">
        <v>75</v>
      </c>
      <c r="I627" s="199">
        <v>1</v>
      </c>
      <c r="J627" s="199">
        <v>1</v>
      </c>
      <c r="K627" s="199">
        <v>1</v>
      </c>
      <c r="L627" s="199">
        <v>50</v>
      </c>
      <c r="M627" s="202">
        <f>TB_Parts_Lists[[#This Row],[Quantity Initial]]+ SUMIF(TB_Transactions[Part number],TB_Parts_Lists[[#This Row],[Part Number]],TB_Transactions[Quantity])</f>
        <v>50</v>
      </c>
      <c r="N627" s="200" t="s">
        <v>4593</v>
      </c>
      <c r="O627" s="234">
        <v>5</v>
      </c>
      <c r="P627" s="199">
        <f>TB_Parts_Lists[[#This Row],[Quantity Initial]]*TB_Parts_Lists[[#This Row],[Unit Price AED]]</f>
        <v>250</v>
      </c>
      <c r="Q627" s="199">
        <f>TB_Parts_Lists[[#This Row],[Quantity Total]]*TB_Parts_Lists[[#This Row],[Unit Price AED]]</f>
        <v>250</v>
      </c>
      <c r="S627" s="199" t="s">
        <v>8675</v>
      </c>
      <c r="T627" s="199" t="s">
        <v>8675</v>
      </c>
      <c r="U627" s="199" t="s">
        <v>8675</v>
      </c>
    </row>
    <row r="628" spans="1:21" s="199" customFormat="1" x14ac:dyDescent="0.25">
      <c r="A628" s="192" t="s">
        <v>7128</v>
      </c>
      <c r="B628" s="201" t="s">
        <v>3329</v>
      </c>
      <c r="C628" s="199" t="s">
        <v>3379</v>
      </c>
      <c r="D628" s="188" t="s">
        <v>8724</v>
      </c>
      <c r="E628" s="188" t="s">
        <v>3777</v>
      </c>
      <c r="F628" s="189" t="s">
        <v>3800</v>
      </c>
      <c r="G628" s="199" t="s">
        <v>8271</v>
      </c>
      <c r="H628" s="199" t="s">
        <v>75</v>
      </c>
      <c r="I628" s="199">
        <v>1</v>
      </c>
      <c r="J628" s="199">
        <v>1</v>
      </c>
      <c r="K628" s="199">
        <v>1</v>
      </c>
      <c r="L628" s="199">
        <v>50</v>
      </c>
      <c r="M628" s="202">
        <f>TB_Parts_Lists[[#This Row],[Quantity Initial]]+ SUMIF(TB_Transactions[Part number],TB_Parts_Lists[[#This Row],[Part Number]],TB_Transactions[Quantity])</f>
        <v>50</v>
      </c>
      <c r="N628" s="200" t="s">
        <v>4593</v>
      </c>
      <c r="O628" s="234">
        <v>5</v>
      </c>
      <c r="P628" s="199">
        <f>TB_Parts_Lists[[#This Row],[Quantity Initial]]*TB_Parts_Lists[[#This Row],[Unit Price AED]]</f>
        <v>250</v>
      </c>
      <c r="Q628" s="199">
        <f>TB_Parts_Lists[[#This Row],[Quantity Total]]*TB_Parts_Lists[[#This Row],[Unit Price AED]]</f>
        <v>250</v>
      </c>
      <c r="S628" s="199" t="s">
        <v>8675</v>
      </c>
      <c r="T628" s="199" t="s">
        <v>8675</v>
      </c>
      <c r="U628" s="199" t="s">
        <v>8675</v>
      </c>
    </row>
    <row r="629" spans="1:21" s="199" customFormat="1" x14ac:dyDescent="0.25">
      <c r="A629" s="192" t="s">
        <v>7130</v>
      </c>
      <c r="B629" s="201" t="s">
        <v>3340</v>
      </c>
      <c r="C629" s="199" t="s">
        <v>7129</v>
      </c>
      <c r="D629" s="188" t="s">
        <v>8724</v>
      </c>
      <c r="E629" s="188" t="s">
        <v>3885</v>
      </c>
      <c r="F629" s="189" t="s">
        <v>3801</v>
      </c>
      <c r="G629" s="199" t="s">
        <v>8271</v>
      </c>
      <c r="H629" s="199" t="s">
        <v>75</v>
      </c>
      <c r="I629" s="199">
        <v>1</v>
      </c>
      <c r="J629" s="199">
        <v>1</v>
      </c>
      <c r="K629" s="199">
        <v>1</v>
      </c>
      <c r="L629" s="199">
        <v>50</v>
      </c>
      <c r="M629" s="202">
        <f>TB_Parts_Lists[[#This Row],[Quantity Initial]]+ SUMIF(TB_Transactions[Part number],TB_Parts_Lists[[#This Row],[Part Number]],TB_Transactions[Quantity])</f>
        <v>50</v>
      </c>
      <c r="N629" s="200" t="s">
        <v>4593</v>
      </c>
      <c r="O629" s="234">
        <v>5</v>
      </c>
      <c r="P629" s="199">
        <f>TB_Parts_Lists[[#This Row],[Quantity Initial]]*TB_Parts_Lists[[#This Row],[Unit Price AED]]</f>
        <v>250</v>
      </c>
      <c r="Q629" s="199">
        <f>TB_Parts_Lists[[#This Row],[Quantity Total]]*TB_Parts_Lists[[#This Row],[Unit Price AED]]</f>
        <v>250</v>
      </c>
      <c r="S629" s="199" t="s">
        <v>8675</v>
      </c>
      <c r="T629" s="199" t="s">
        <v>8675</v>
      </c>
      <c r="U629" s="199" t="s">
        <v>8675</v>
      </c>
    </row>
    <row r="630" spans="1:21" s="199" customFormat="1" x14ac:dyDescent="0.25">
      <c r="A630" s="192" t="s">
        <v>7131</v>
      </c>
      <c r="B630" s="201" t="s">
        <v>3340</v>
      </c>
      <c r="C630" s="199" t="s">
        <v>7129</v>
      </c>
      <c r="D630" s="188" t="s">
        <v>8724</v>
      </c>
      <c r="E630" s="188" t="s">
        <v>3886</v>
      </c>
      <c r="F630" s="189" t="s">
        <v>3802</v>
      </c>
      <c r="G630" s="199" t="s">
        <v>8271</v>
      </c>
      <c r="H630" s="199" t="s">
        <v>75</v>
      </c>
      <c r="I630" s="199">
        <v>1</v>
      </c>
      <c r="J630" s="199">
        <v>1</v>
      </c>
      <c r="K630" s="199">
        <v>1</v>
      </c>
      <c r="L630" s="199">
        <v>50</v>
      </c>
      <c r="M630" s="202">
        <f>TB_Parts_Lists[[#This Row],[Quantity Initial]]+ SUMIF(TB_Transactions[Part number],TB_Parts_Lists[[#This Row],[Part Number]],TB_Transactions[Quantity])</f>
        <v>50</v>
      </c>
      <c r="N630" s="200" t="s">
        <v>4593</v>
      </c>
      <c r="O630" s="234">
        <v>5</v>
      </c>
      <c r="P630" s="199">
        <f>TB_Parts_Lists[[#This Row],[Quantity Initial]]*TB_Parts_Lists[[#This Row],[Unit Price AED]]</f>
        <v>250</v>
      </c>
      <c r="Q630" s="199">
        <f>TB_Parts_Lists[[#This Row],[Quantity Total]]*TB_Parts_Lists[[#This Row],[Unit Price AED]]</f>
        <v>250</v>
      </c>
      <c r="S630" s="199" t="s">
        <v>8675</v>
      </c>
      <c r="T630" s="199" t="s">
        <v>8675</v>
      </c>
      <c r="U630" s="199" t="s">
        <v>8675</v>
      </c>
    </row>
    <row r="631" spans="1:21" s="199" customFormat="1" x14ac:dyDescent="0.25">
      <c r="A631" s="192" t="s">
        <v>7132</v>
      </c>
      <c r="B631" s="201" t="s">
        <v>3335</v>
      </c>
      <c r="C631" s="199" t="s">
        <v>3005</v>
      </c>
      <c r="D631" s="199" t="s">
        <v>8732</v>
      </c>
      <c r="E631" s="188" t="s">
        <v>5151</v>
      </c>
      <c r="F631" s="189" t="s">
        <v>3803</v>
      </c>
      <c r="G631" s="199" t="s">
        <v>8271</v>
      </c>
      <c r="H631" s="199" t="s">
        <v>8652</v>
      </c>
      <c r="I631" s="199">
        <v>1</v>
      </c>
      <c r="J631" s="199">
        <v>1</v>
      </c>
      <c r="K631" s="199">
        <v>1</v>
      </c>
      <c r="L631" s="199">
        <v>50</v>
      </c>
      <c r="M631" s="202">
        <f>TB_Parts_Lists[[#This Row],[Quantity Initial]]+ SUMIF(TB_Transactions[Part number],TB_Parts_Lists[[#This Row],[Part Number]],TB_Transactions[Quantity])</f>
        <v>50</v>
      </c>
      <c r="N631" s="200" t="s">
        <v>4593</v>
      </c>
      <c r="O631" s="234">
        <v>5</v>
      </c>
      <c r="P631" s="199">
        <f>TB_Parts_Lists[[#This Row],[Quantity Initial]]*TB_Parts_Lists[[#This Row],[Unit Price AED]]</f>
        <v>250</v>
      </c>
      <c r="Q631" s="199">
        <f>TB_Parts_Lists[[#This Row],[Quantity Total]]*TB_Parts_Lists[[#This Row],[Unit Price AED]]</f>
        <v>250</v>
      </c>
      <c r="S631" s="199" t="s">
        <v>118</v>
      </c>
      <c r="T631" s="199" t="s">
        <v>8693</v>
      </c>
      <c r="U631" s="199" t="s">
        <v>119</v>
      </c>
    </row>
    <row r="632" spans="1:21" s="199" customFormat="1" x14ac:dyDescent="0.25">
      <c r="A632" s="192" t="s">
        <v>7133</v>
      </c>
      <c r="B632" s="201" t="s">
        <v>3335</v>
      </c>
      <c r="C632" s="199" t="s">
        <v>6623</v>
      </c>
      <c r="D632" s="188" t="s">
        <v>8724</v>
      </c>
      <c r="E632" s="188" t="s">
        <v>3887</v>
      </c>
      <c r="F632" s="189" t="s">
        <v>3804</v>
      </c>
      <c r="G632" s="199" t="s">
        <v>8271</v>
      </c>
      <c r="H632" s="199" t="s">
        <v>75</v>
      </c>
      <c r="I632" s="199">
        <v>1</v>
      </c>
      <c r="J632" s="199">
        <v>1</v>
      </c>
      <c r="K632" s="199">
        <v>1</v>
      </c>
      <c r="L632" s="199">
        <v>50</v>
      </c>
      <c r="M632" s="202">
        <f>TB_Parts_Lists[[#This Row],[Quantity Initial]]+ SUMIF(TB_Transactions[Part number],TB_Parts_Lists[[#This Row],[Part Number]],TB_Transactions[Quantity])</f>
        <v>50</v>
      </c>
      <c r="N632" s="200" t="s">
        <v>4593</v>
      </c>
      <c r="O632" s="234">
        <v>5</v>
      </c>
      <c r="P632" s="199">
        <f>TB_Parts_Lists[[#This Row],[Quantity Initial]]*TB_Parts_Lists[[#This Row],[Unit Price AED]]</f>
        <v>250</v>
      </c>
      <c r="Q632" s="199">
        <f>TB_Parts_Lists[[#This Row],[Quantity Total]]*TB_Parts_Lists[[#This Row],[Unit Price AED]]</f>
        <v>250</v>
      </c>
      <c r="S632" s="199" t="s">
        <v>122</v>
      </c>
      <c r="T632" s="199" t="s">
        <v>312</v>
      </c>
      <c r="U632" s="199" t="s">
        <v>311</v>
      </c>
    </row>
    <row r="633" spans="1:21" s="199" customFormat="1" x14ac:dyDescent="0.25">
      <c r="A633" s="192" t="s">
        <v>7134</v>
      </c>
      <c r="B633" s="201" t="s">
        <v>3335</v>
      </c>
      <c r="C633" s="199" t="s">
        <v>3368</v>
      </c>
      <c r="D633" s="188" t="s">
        <v>8724</v>
      </c>
      <c r="E633" s="188" t="s">
        <v>5152</v>
      </c>
      <c r="F633" s="189" t="s">
        <v>3805</v>
      </c>
      <c r="G633" s="199" t="s">
        <v>8271</v>
      </c>
      <c r="H633" s="199" t="s">
        <v>75</v>
      </c>
      <c r="I633" s="199">
        <v>1</v>
      </c>
      <c r="J633" s="199">
        <v>1</v>
      </c>
      <c r="K633" s="199">
        <v>1</v>
      </c>
      <c r="L633" s="199">
        <v>50</v>
      </c>
      <c r="M633" s="202">
        <f>TB_Parts_Lists[[#This Row],[Quantity Initial]]+ SUMIF(TB_Transactions[Part number],TB_Parts_Lists[[#This Row],[Part Number]],TB_Transactions[Quantity])</f>
        <v>50</v>
      </c>
      <c r="N633" s="200" t="s">
        <v>4593</v>
      </c>
      <c r="O633" s="234">
        <v>5</v>
      </c>
      <c r="P633" s="199">
        <f>TB_Parts_Lists[[#This Row],[Quantity Initial]]*TB_Parts_Lists[[#This Row],[Unit Price AED]]</f>
        <v>250</v>
      </c>
      <c r="Q633" s="199">
        <f>TB_Parts_Lists[[#This Row],[Quantity Total]]*TB_Parts_Lists[[#This Row],[Unit Price AED]]</f>
        <v>250</v>
      </c>
      <c r="S633" s="199" t="s">
        <v>122</v>
      </c>
      <c r="T633" s="199" t="s">
        <v>312</v>
      </c>
      <c r="U633" s="199" t="s">
        <v>311</v>
      </c>
    </row>
    <row r="634" spans="1:21" s="199" customFormat="1" x14ac:dyDescent="0.25">
      <c r="A634" s="192" t="s">
        <v>7135</v>
      </c>
      <c r="B634" s="201" t="s">
        <v>3335</v>
      </c>
      <c r="C634" s="199" t="s">
        <v>6623</v>
      </c>
      <c r="D634" s="188" t="s">
        <v>8724</v>
      </c>
      <c r="E634" s="188" t="s">
        <v>3778</v>
      </c>
      <c r="F634" s="189" t="s">
        <v>3806</v>
      </c>
      <c r="G634" s="199" t="s">
        <v>8271</v>
      </c>
      <c r="H634" s="199" t="s">
        <v>75</v>
      </c>
      <c r="I634" s="199">
        <v>1</v>
      </c>
      <c r="J634" s="199">
        <v>1</v>
      </c>
      <c r="K634" s="199">
        <v>1</v>
      </c>
      <c r="L634" s="199">
        <v>50</v>
      </c>
      <c r="M634" s="202">
        <f>TB_Parts_Lists[[#This Row],[Quantity Initial]]+ SUMIF(TB_Transactions[Part number],TB_Parts_Lists[[#This Row],[Part Number]],TB_Transactions[Quantity])</f>
        <v>50</v>
      </c>
      <c r="N634" s="200" t="s">
        <v>4593</v>
      </c>
      <c r="O634" s="234">
        <v>5</v>
      </c>
      <c r="P634" s="199">
        <f>TB_Parts_Lists[[#This Row],[Quantity Initial]]*TB_Parts_Lists[[#This Row],[Unit Price AED]]</f>
        <v>250</v>
      </c>
      <c r="Q634" s="199">
        <f>TB_Parts_Lists[[#This Row],[Quantity Total]]*TB_Parts_Lists[[#This Row],[Unit Price AED]]</f>
        <v>250</v>
      </c>
      <c r="S634" s="199" t="s">
        <v>8675</v>
      </c>
      <c r="T634" s="199" t="s">
        <v>8675</v>
      </c>
      <c r="U634" s="199" t="s">
        <v>8675</v>
      </c>
    </row>
    <row r="635" spans="1:21" s="199" customFormat="1" x14ac:dyDescent="0.25">
      <c r="A635" s="192" t="s">
        <v>7136</v>
      </c>
      <c r="B635" s="201" t="s">
        <v>3335</v>
      </c>
      <c r="C635" s="199" t="s">
        <v>3368</v>
      </c>
      <c r="D635" s="199" t="s">
        <v>8732</v>
      </c>
      <c r="E635" s="188" t="s">
        <v>5153</v>
      </c>
      <c r="F635" s="189" t="s">
        <v>3807</v>
      </c>
      <c r="G635" s="199" t="s">
        <v>8271</v>
      </c>
      <c r="H635" s="199" t="s">
        <v>75</v>
      </c>
      <c r="I635" s="199">
        <v>1</v>
      </c>
      <c r="J635" s="199">
        <v>1</v>
      </c>
      <c r="K635" s="199">
        <v>1</v>
      </c>
      <c r="L635" s="199">
        <v>50</v>
      </c>
      <c r="M635" s="202">
        <f>TB_Parts_Lists[[#This Row],[Quantity Initial]]+ SUMIF(TB_Transactions[Part number],TB_Parts_Lists[[#This Row],[Part Number]],TB_Transactions[Quantity])</f>
        <v>50</v>
      </c>
      <c r="N635" s="200" t="s">
        <v>4593</v>
      </c>
      <c r="O635" s="234">
        <v>5</v>
      </c>
      <c r="P635" s="199">
        <f>TB_Parts_Lists[[#This Row],[Quantity Initial]]*TB_Parts_Lists[[#This Row],[Unit Price AED]]</f>
        <v>250</v>
      </c>
      <c r="Q635" s="199">
        <f>TB_Parts_Lists[[#This Row],[Quantity Total]]*TB_Parts_Lists[[#This Row],[Unit Price AED]]</f>
        <v>250</v>
      </c>
      <c r="S635" s="199" t="s">
        <v>122</v>
      </c>
      <c r="T635" s="199" t="s">
        <v>312</v>
      </c>
      <c r="U635" s="199" t="s">
        <v>311</v>
      </c>
    </row>
    <row r="636" spans="1:21" s="199" customFormat="1" x14ac:dyDescent="0.25">
      <c r="A636" s="192" t="s">
        <v>7137</v>
      </c>
      <c r="B636" s="201" t="s">
        <v>3335</v>
      </c>
      <c r="C636" s="199" t="s">
        <v>3373</v>
      </c>
      <c r="D636" s="199" t="s">
        <v>8732</v>
      </c>
      <c r="E636" s="188" t="s">
        <v>3888</v>
      </c>
      <c r="F636" s="189" t="s">
        <v>3808</v>
      </c>
      <c r="G636" s="199" t="s">
        <v>8271</v>
      </c>
      <c r="H636" s="199" t="s">
        <v>75</v>
      </c>
      <c r="I636" s="199">
        <v>1</v>
      </c>
      <c r="J636" s="199">
        <v>1</v>
      </c>
      <c r="K636" s="199">
        <v>1</v>
      </c>
      <c r="L636" s="199">
        <v>50</v>
      </c>
      <c r="M636" s="202">
        <f>TB_Parts_Lists[[#This Row],[Quantity Initial]]+ SUMIF(TB_Transactions[Part number],TB_Parts_Lists[[#This Row],[Part Number]],TB_Transactions[Quantity])</f>
        <v>50</v>
      </c>
      <c r="N636" s="200" t="s">
        <v>4593</v>
      </c>
      <c r="O636" s="234">
        <v>5</v>
      </c>
      <c r="P636" s="199">
        <f>TB_Parts_Lists[[#This Row],[Quantity Initial]]*TB_Parts_Lists[[#This Row],[Unit Price AED]]</f>
        <v>250</v>
      </c>
      <c r="Q636" s="199">
        <f>TB_Parts_Lists[[#This Row],[Quantity Total]]*TB_Parts_Lists[[#This Row],[Unit Price AED]]</f>
        <v>250</v>
      </c>
      <c r="S636" s="199" t="s">
        <v>122</v>
      </c>
      <c r="T636" s="199" t="s">
        <v>312</v>
      </c>
      <c r="U636" s="199" t="s">
        <v>311</v>
      </c>
    </row>
    <row r="637" spans="1:21" s="199" customFormat="1" x14ac:dyDescent="0.25">
      <c r="A637" s="192" t="s">
        <v>7138</v>
      </c>
      <c r="B637" s="201" t="s">
        <v>3335</v>
      </c>
      <c r="C637" s="199" t="s">
        <v>3368</v>
      </c>
      <c r="D637" s="199" t="s">
        <v>8732</v>
      </c>
      <c r="E637" s="188" t="s">
        <v>3889</v>
      </c>
      <c r="F637" s="189" t="s">
        <v>3809</v>
      </c>
      <c r="G637" s="199" t="s">
        <v>8271</v>
      </c>
      <c r="H637" s="199" t="s">
        <v>75</v>
      </c>
      <c r="I637" s="199">
        <v>1</v>
      </c>
      <c r="J637" s="199">
        <v>1</v>
      </c>
      <c r="K637" s="199">
        <v>1</v>
      </c>
      <c r="L637" s="199">
        <v>50</v>
      </c>
      <c r="M637" s="202">
        <f>TB_Parts_Lists[[#This Row],[Quantity Initial]]+ SUMIF(TB_Transactions[Part number],TB_Parts_Lists[[#This Row],[Part Number]],TB_Transactions[Quantity])</f>
        <v>50</v>
      </c>
      <c r="N637" s="200" t="s">
        <v>4593</v>
      </c>
      <c r="O637" s="234">
        <v>5</v>
      </c>
      <c r="P637" s="199">
        <f>TB_Parts_Lists[[#This Row],[Quantity Initial]]*TB_Parts_Lists[[#This Row],[Unit Price AED]]</f>
        <v>250</v>
      </c>
      <c r="Q637" s="199">
        <f>TB_Parts_Lists[[#This Row],[Quantity Total]]*TB_Parts_Lists[[#This Row],[Unit Price AED]]</f>
        <v>250</v>
      </c>
      <c r="S637" s="199" t="s">
        <v>122</v>
      </c>
      <c r="T637" s="199" t="s">
        <v>8675</v>
      </c>
      <c r="U637" s="199" t="s">
        <v>8675</v>
      </c>
    </row>
    <row r="638" spans="1:21" s="199" customFormat="1" x14ac:dyDescent="0.25">
      <c r="A638" s="192" t="s">
        <v>7139</v>
      </c>
      <c r="B638" s="201" t="s">
        <v>3330</v>
      </c>
      <c r="C638" s="199" t="s">
        <v>3338</v>
      </c>
      <c r="D638" s="188" t="s">
        <v>8724</v>
      </c>
      <c r="E638" s="188" t="s">
        <v>3890</v>
      </c>
      <c r="F638" s="189" t="s">
        <v>3810</v>
      </c>
      <c r="G638" s="199" t="s">
        <v>8271</v>
      </c>
      <c r="H638" s="199" t="s">
        <v>75</v>
      </c>
      <c r="I638" s="199">
        <v>1</v>
      </c>
      <c r="J638" s="199">
        <v>1</v>
      </c>
      <c r="K638" s="199">
        <v>1</v>
      </c>
      <c r="L638" s="199">
        <v>50</v>
      </c>
      <c r="M638" s="202">
        <f>TB_Parts_Lists[[#This Row],[Quantity Initial]]+ SUMIF(TB_Transactions[Part number],TB_Parts_Lists[[#This Row],[Part Number]],TB_Transactions[Quantity])</f>
        <v>50</v>
      </c>
      <c r="N638" s="200" t="s">
        <v>4593</v>
      </c>
      <c r="O638" s="234">
        <v>5</v>
      </c>
      <c r="P638" s="199">
        <f>TB_Parts_Lists[[#This Row],[Quantity Initial]]*TB_Parts_Lists[[#This Row],[Unit Price AED]]</f>
        <v>250</v>
      </c>
      <c r="Q638" s="199">
        <f>TB_Parts_Lists[[#This Row],[Quantity Total]]*TB_Parts_Lists[[#This Row],[Unit Price AED]]</f>
        <v>250</v>
      </c>
      <c r="S638" s="199" t="s">
        <v>122</v>
      </c>
      <c r="T638" s="199" t="s">
        <v>8675</v>
      </c>
      <c r="U638" s="199" t="s">
        <v>8675</v>
      </c>
    </row>
    <row r="639" spans="1:21" s="199" customFormat="1" x14ac:dyDescent="0.25">
      <c r="A639" s="192" t="s">
        <v>7140</v>
      </c>
      <c r="B639" s="201" t="s">
        <v>3340</v>
      </c>
      <c r="C639" s="199" t="s">
        <v>4603</v>
      </c>
      <c r="D639" s="188" t="s">
        <v>8724</v>
      </c>
      <c r="E639" s="188" t="s">
        <v>5154</v>
      </c>
      <c r="F639" s="189" t="s">
        <v>3811</v>
      </c>
      <c r="G639" s="199" t="s">
        <v>8271</v>
      </c>
      <c r="H639" s="199" t="s">
        <v>75</v>
      </c>
      <c r="I639" s="199">
        <v>1</v>
      </c>
      <c r="J639" s="199">
        <v>1</v>
      </c>
      <c r="K639" s="199">
        <v>1</v>
      </c>
      <c r="L639" s="199">
        <v>50</v>
      </c>
      <c r="M639" s="202">
        <f>TB_Parts_Lists[[#This Row],[Quantity Initial]]+ SUMIF(TB_Transactions[Part number],TB_Parts_Lists[[#This Row],[Part Number]],TB_Transactions[Quantity])</f>
        <v>50</v>
      </c>
      <c r="N639" s="200" t="s">
        <v>4593</v>
      </c>
      <c r="O639" s="234">
        <v>5</v>
      </c>
      <c r="P639" s="199">
        <f>TB_Parts_Lists[[#This Row],[Quantity Initial]]*TB_Parts_Lists[[#This Row],[Unit Price AED]]</f>
        <v>250</v>
      </c>
      <c r="Q639" s="199">
        <f>TB_Parts_Lists[[#This Row],[Quantity Total]]*TB_Parts_Lists[[#This Row],[Unit Price AED]]</f>
        <v>250</v>
      </c>
      <c r="S639" s="199" t="s">
        <v>8675</v>
      </c>
      <c r="T639" s="199" t="s">
        <v>8675</v>
      </c>
      <c r="U639" s="199" t="s">
        <v>8675</v>
      </c>
    </row>
    <row r="640" spans="1:21" s="199" customFormat="1" x14ac:dyDescent="0.25">
      <c r="A640" s="192" t="s">
        <v>7141</v>
      </c>
      <c r="B640" s="201" t="s">
        <v>3330</v>
      </c>
      <c r="C640" s="199" t="s">
        <v>3338</v>
      </c>
      <c r="D640" s="188" t="s">
        <v>8724</v>
      </c>
      <c r="E640" s="188" t="s">
        <v>5155</v>
      </c>
      <c r="F640" s="189" t="s">
        <v>5991</v>
      </c>
      <c r="G640" s="199" t="s">
        <v>8271</v>
      </c>
      <c r="H640" s="199" t="s">
        <v>75</v>
      </c>
      <c r="I640" s="199">
        <v>1</v>
      </c>
      <c r="J640" s="199">
        <v>1</v>
      </c>
      <c r="K640" s="199">
        <v>1</v>
      </c>
      <c r="L640" s="199">
        <v>50</v>
      </c>
      <c r="M640" s="202">
        <f>TB_Parts_Lists[[#This Row],[Quantity Initial]]+ SUMIF(TB_Transactions[Part number],TB_Parts_Lists[[#This Row],[Part Number]],TB_Transactions[Quantity])</f>
        <v>50</v>
      </c>
      <c r="N640" s="200" t="s">
        <v>4593</v>
      </c>
      <c r="O640" s="234">
        <v>5</v>
      </c>
      <c r="P640" s="199">
        <f>TB_Parts_Lists[[#This Row],[Quantity Initial]]*TB_Parts_Lists[[#This Row],[Unit Price AED]]</f>
        <v>250</v>
      </c>
      <c r="Q640" s="199">
        <f>TB_Parts_Lists[[#This Row],[Quantity Total]]*TB_Parts_Lists[[#This Row],[Unit Price AED]]</f>
        <v>250</v>
      </c>
      <c r="S640" s="199" t="s">
        <v>8675</v>
      </c>
      <c r="T640" s="199" t="s">
        <v>8675</v>
      </c>
      <c r="U640" s="199" t="s">
        <v>8675</v>
      </c>
    </row>
    <row r="641" spans="1:21" s="199" customFormat="1" x14ac:dyDescent="0.25">
      <c r="A641" s="192" t="s">
        <v>7142</v>
      </c>
      <c r="B641" s="201" t="s">
        <v>3330</v>
      </c>
      <c r="C641" s="199" t="s">
        <v>3009</v>
      </c>
      <c r="D641" s="199" t="s">
        <v>8723</v>
      </c>
      <c r="E641" s="188" t="s">
        <v>3779</v>
      </c>
      <c r="F641" s="189" t="s">
        <v>3812</v>
      </c>
      <c r="G641" s="199" t="s">
        <v>8271</v>
      </c>
      <c r="H641" s="199" t="s">
        <v>8642</v>
      </c>
      <c r="I641" s="199">
        <v>1</v>
      </c>
      <c r="J641" s="199">
        <v>1</v>
      </c>
      <c r="K641" s="199">
        <v>1</v>
      </c>
      <c r="L641" s="199">
        <v>50</v>
      </c>
      <c r="M641" s="202">
        <f>TB_Parts_Lists[[#This Row],[Quantity Initial]]+ SUMIF(TB_Transactions[Part number],TB_Parts_Lists[[#This Row],[Part Number]],TB_Transactions[Quantity])</f>
        <v>50</v>
      </c>
      <c r="N641" s="200" t="s">
        <v>4593</v>
      </c>
      <c r="O641" s="234">
        <v>5</v>
      </c>
      <c r="P641" s="199">
        <f>TB_Parts_Lists[[#This Row],[Quantity Initial]]*TB_Parts_Lists[[#This Row],[Unit Price AED]]</f>
        <v>250</v>
      </c>
      <c r="Q641" s="199">
        <f>TB_Parts_Lists[[#This Row],[Quantity Total]]*TB_Parts_Lists[[#This Row],[Unit Price AED]]</f>
        <v>250</v>
      </c>
      <c r="S641" s="199" t="s">
        <v>8675</v>
      </c>
      <c r="T641" s="199" t="s">
        <v>8675</v>
      </c>
      <c r="U641" s="199" t="s">
        <v>8675</v>
      </c>
    </row>
    <row r="642" spans="1:21" s="199" customFormat="1" x14ac:dyDescent="0.25">
      <c r="A642" s="192" t="s">
        <v>7143</v>
      </c>
      <c r="B642" s="201" t="s">
        <v>3332</v>
      </c>
      <c r="C642" s="199" t="s">
        <v>3356</v>
      </c>
      <c r="D642" s="188" t="s">
        <v>8724</v>
      </c>
      <c r="E642" s="188" t="s">
        <v>3891</v>
      </c>
      <c r="F642" s="189" t="s">
        <v>3813</v>
      </c>
      <c r="G642" s="199" t="s">
        <v>8271</v>
      </c>
      <c r="H642" s="199" t="s">
        <v>8642</v>
      </c>
      <c r="I642" s="199">
        <v>1</v>
      </c>
      <c r="J642" s="199">
        <v>1</v>
      </c>
      <c r="K642" s="199">
        <v>1</v>
      </c>
      <c r="L642" s="199">
        <v>50</v>
      </c>
      <c r="M642" s="202">
        <f>TB_Parts_Lists[[#This Row],[Quantity Initial]]+ SUMIF(TB_Transactions[Part number],TB_Parts_Lists[[#This Row],[Part Number]],TB_Transactions[Quantity])</f>
        <v>50</v>
      </c>
      <c r="N642" s="200" t="s">
        <v>4593</v>
      </c>
      <c r="O642" s="234">
        <v>5</v>
      </c>
      <c r="P642" s="199">
        <f>TB_Parts_Lists[[#This Row],[Quantity Initial]]*TB_Parts_Lists[[#This Row],[Unit Price AED]]</f>
        <v>250</v>
      </c>
      <c r="Q642" s="199">
        <f>TB_Parts_Lists[[#This Row],[Quantity Total]]*TB_Parts_Lists[[#This Row],[Unit Price AED]]</f>
        <v>250</v>
      </c>
      <c r="S642" s="199" t="s">
        <v>118</v>
      </c>
      <c r="T642" s="199" t="s">
        <v>8691</v>
      </c>
      <c r="U642" s="199" t="s">
        <v>8716</v>
      </c>
    </row>
    <row r="643" spans="1:21" s="199" customFormat="1" x14ac:dyDescent="0.25">
      <c r="A643" s="192" t="s">
        <v>7144</v>
      </c>
      <c r="B643" s="201" t="s">
        <v>3335</v>
      </c>
      <c r="C643" s="199" t="s">
        <v>3775</v>
      </c>
      <c r="D643" s="199" t="s">
        <v>8732</v>
      </c>
      <c r="E643" s="188" t="s">
        <v>5156</v>
      </c>
      <c r="F643" s="189" t="s">
        <v>3814</v>
      </c>
      <c r="G643" s="199" t="s">
        <v>8271</v>
      </c>
      <c r="H643" s="199" t="s">
        <v>8652</v>
      </c>
      <c r="I643" s="199">
        <v>1</v>
      </c>
      <c r="J643" s="199">
        <v>1</v>
      </c>
      <c r="K643" s="199">
        <v>1</v>
      </c>
      <c r="L643" s="199">
        <v>50</v>
      </c>
      <c r="M643" s="202">
        <f>TB_Parts_Lists[[#This Row],[Quantity Initial]]+ SUMIF(TB_Transactions[Part number],TB_Parts_Lists[[#This Row],[Part Number]],TB_Transactions[Quantity])</f>
        <v>50</v>
      </c>
      <c r="N643" s="200" t="s">
        <v>4593</v>
      </c>
      <c r="O643" s="234">
        <v>5</v>
      </c>
      <c r="P643" s="199">
        <f>TB_Parts_Lists[[#This Row],[Quantity Initial]]*TB_Parts_Lists[[#This Row],[Unit Price AED]]</f>
        <v>250</v>
      </c>
      <c r="Q643" s="199">
        <f>TB_Parts_Lists[[#This Row],[Quantity Total]]*TB_Parts_Lists[[#This Row],[Unit Price AED]]</f>
        <v>250</v>
      </c>
      <c r="S643" s="199" t="s">
        <v>118</v>
      </c>
      <c r="T643" s="199" t="s">
        <v>8693</v>
      </c>
      <c r="U643" s="199" t="s">
        <v>119</v>
      </c>
    </row>
    <row r="644" spans="1:21" s="199" customFormat="1" x14ac:dyDescent="0.25">
      <c r="A644" s="192" t="s">
        <v>7145</v>
      </c>
      <c r="B644" s="201" t="s">
        <v>3335</v>
      </c>
      <c r="C644" s="199" t="s">
        <v>3368</v>
      </c>
      <c r="D644" s="199" t="s">
        <v>8732</v>
      </c>
      <c r="E644" s="188" t="s">
        <v>5157</v>
      </c>
      <c r="F644" s="189" t="s">
        <v>3815</v>
      </c>
      <c r="G644" s="199" t="s">
        <v>8271</v>
      </c>
      <c r="H644" s="199" t="s">
        <v>8652</v>
      </c>
      <c r="I644" s="199">
        <v>1</v>
      </c>
      <c r="J644" s="199">
        <v>1</v>
      </c>
      <c r="K644" s="199">
        <v>1</v>
      </c>
      <c r="L644" s="199">
        <v>50</v>
      </c>
      <c r="M644" s="202">
        <f>TB_Parts_Lists[[#This Row],[Quantity Initial]]+ SUMIF(TB_Transactions[Part number],TB_Parts_Lists[[#This Row],[Part Number]],TB_Transactions[Quantity])</f>
        <v>50</v>
      </c>
      <c r="N644" s="200" t="s">
        <v>4593</v>
      </c>
      <c r="O644" s="234">
        <v>5</v>
      </c>
      <c r="P644" s="199">
        <f>TB_Parts_Lists[[#This Row],[Quantity Initial]]*TB_Parts_Lists[[#This Row],[Unit Price AED]]</f>
        <v>250</v>
      </c>
      <c r="Q644" s="199">
        <f>TB_Parts_Lists[[#This Row],[Quantity Total]]*TB_Parts_Lists[[#This Row],[Unit Price AED]]</f>
        <v>250</v>
      </c>
      <c r="S644" s="199" t="s">
        <v>118</v>
      </c>
      <c r="T644" s="199" t="s">
        <v>8693</v>
      </c>
      <c r="U644" s="199" t="s">
        <v>119</v>
      </c>
    </row>
    <row r="645" spans="1:21" s="199" customFormat="1" x14ac:dyDescent="0.25">
      <c r="A645" s="192" t="s">
        <v>7146</v>
      </c>
      <c r="B645" s="201" t="s">
        <v>3330</v>
      </c>
      <c r="C645" s="199" t="s">
        <v>3338</v>
      </c>
      <c r="D645" s="199" t="s">
        <v>8724</v>
      </c>
      <c r="E645" s="188" t="s">
        <v>5158</v>
      </c>
      <c r="F645" s="189" t="s">
        <v>4626</v>
      </c>
      <c r="G645" s="199" t="s">
        <v>8271</v>
      </c>
      <c r="H645" s="199" t="s">
        <v>75</v>
      </c>
      <c r="I645" s="199">
        <v>1</v>
      </c>
      <c r="J645" s="199">
        <v>1</v>
      </c>
      <c r="K645" s="199">
        <v>1</v>
      </c>
      <c r="L645" s="199">
        <v>50</v>
      </c>
      <c r="M645" s="202">
        <f>TB_Parts_Lists[[#This Row],[Quantity Initial]]+ SUMIF(TB_Transactions[Part number],TB_Parts_Lists[[#This Row],[Part Number]],TB_Transactions[Quantity])</f>
        <v>50</v>
      </c>
      <c r="N645" s="200" t="s">
        <v>4593</v>
      </c>
      <c r="O645" s="234">
        <v>5</v>
      </c>
      <c r="P645" s="199">
        <f>TB_Parts_Lists[[#This Row],[Quantity Initial]]*TB_Parts_Lists[[#This Row],[Unit Price AED]]</f>
        <v>250</v>
      </c>
      <c r="Q645" s="199">
        <f>TB_Parts_Lists[[#This Row],[Quantity Total]]*TB_Parts_Lists[[#This Row],[Unit Price AED]]</f>
        <v>250</v>
      </c>
      <c r="S645" s="199" t="s">
        <v>8675</v>
      </c>
      <c r="T645" s="199" t="s">
        <v>8675</v>
      </c>
      <c r="U645" s="199" t="s">
        <v>8675</v>
      </c>
    </row>
    <row r="646" spans="1:21" s="199" customFormat="1" x14ac:dyDescent="0.25">
      <c r="A646" s="192" t="s">
        <v>7147</v>
      </c>
      <c r="B646" s="201" t="s">
        <v>3340</v>
      </c>
      <c r="C646" s="199" t="s">
        <v>3338</v>
      </c>
      <c r="D646" s="199" t="s">
        <v>8724</v>
      </c>
      <c r="E646" s="188" t="s">
        <v>5159</v>
      </c>
      <c r="F646" s="189" t="s">
        <v>4627</v>
      </c>
      <c r="G646" s="199" t="s">
        <v>8271</v>
      </c>
      <c r="H646" s="199" t="s">
        <v>75</v>
      </c>
      <c r="I646" s="199">
        <v>1</v>
      </c>
      <c r="J646" s="199">
        <v>1</v>
      </c>
      <c r="K646" s="199">
        <v>1</v>
      </c>
      <c r="L646" s="199">
        <v>50</v>
      </c>
      <c r="M646" s="202">
        <f>TB_Parts_Lists[[#This Row],[Quantity Initial]]+ SUMIF(TB_Transactions[Part number],TB_Parts_Lists[[#This Row],[Part Number]],TB_Transactions[Quantity])</f>
        <v>50</v>
      </c>
      <c r="N646" s="200" t="s">
        <v>4593</v>
      </c>
      <c r="O646" s="234">
        <v>5</v>
      </c>
      <c r="P646" s="199">
        <f>TB_Parts_Lists[[#This Row],[Quantity Initial]]*TB_Parts_Lists[[#This Row],[Unit Price AED]]</f>
        <v>250</v>
      </c>
      <c r="Q646" s="199">
        <f>TB_Parts_Lists[[#This Row],[Quantity Total]]*TB_Parts_Lists[[#This Row],[Unit Price AED]]</f>
        <v>250</v>
      </c>
      <c r="S646" s="199" t="s">
        <v>8675</v>
      </c>
      <c r="T646" s="199" t="s">
        <v>8675</v>
      </c>
      <c r="U646" s="199" t="s">
        <v>8675</v>
      </c>
    </row>
    <row r="647" spans="1:21" s="199" customFormat="1" x14ac:dyDescent="0.25">
      <c r="A647" s="192" t="s">
        <v>7148</v>
      </c>
      <c r="B647" s="201" t="s">
        <v>3330</v>
      </c>
      <c r="C647" s="199" t="s">
        <v>4090</v>
      </c>
      <c r="D647" s="199" t="s">
        <v>8724</v>
      </c>
      <c r="E647" s="188" t="s">
        <v>5160</v>
      </c>
      <c r="F647" s="189" t="s">
        <v>4628</v>
      </c>
      <c r="G647" s="199" t="s">
        <v>8271</v>
      </c>
      <c r="H647" s="199" t="s">
        <v>75</v>
      </c>
      <c r="I647" s="199">
        <v>1</v>
      </c>
      <c r="J647" s="199">
        <v>1</v>
      </c>
      <c r="K647" s="199">
        <v>1</v>
      </c>
      <c r="L647" s="199">
        <v>50</v>
      </c>
      <c r="M647" s="202">
        <f>TB_Parts_Lists[[#This Row],[Quantity Initial]]+ SUMIF(TB_Transactions[Part number],TB_Parts_Lists[[#This Row],[Part Number]],TB_Transactions[Quantity])</f>
        <v>50</v>
      </c>
      <c r="N647" s="200" t="s">
        <v>4593</v>
      </c>
      <c r="O647" s="234">
        <v>5</v>
      </c>
      <c r="P647" s="199">
        <f>TB_Parts_Lists[[#This Row],[Quantity Initial]]*TB_Parts_Lists[[#This Row],[Unit Price AED]]</f>
        <v>250</v>
      </c>
      <c r="Q647" s="199">
        <f>TB_Parts_Lists[[#This Row],[Quantity Total]]*TB_Parts_Lists[[#This Row],[Unit Price AED]]</f>
        <v>250</v>
      </c>
      <c r="S647" s="199" t="s">
        <v>8675</v>
      </c>
      <c r="T647" s="199" t="s">
        <v>8675</v>
      </c>
      <c r="U647" s="199" t="s">
        <v>8675</v>
      </c>
    </row>
    <row r="648" spans="1:21" s="199" customFormat="1" x14ac:dyDescent="0.25">
      <c r="A648" s="192" t="s">
        <v>7149</v>
      </c>
      <c r="B648" s="201" t="s">
        <v>3332</v>
      </c>
      <c r="C648" s="199" t="s">
        <v>3356</v>
      </c>
      <c r="D648" s="188" t="s">
        <v>8724</v>
      </c>
      <c r="E648" s="188" t="s">
        <v>5161</v>
      </c>
      <c r="F648" s="189" t="s">
        <v>4629</v>
      </c>
      <c r="G648" s="199" t="s">
        <v>8271</v>
      </c>
      <c r="H648" s="199" t="s">
        <v>75</v>
      </c>
      <c r="I648" s="199">
        <v>1</v>
      </c>
      <c r="J648" s="199">
        <v>1</v>
      </c>
      <c r="K648" s="199">
        <v>1</v>
      </c>
      <c r="L648" s="199">
        <v>50</v>
      </c>
      <c r="M648" s="202">
        <f>TB_Parts_Lists[[#This Row],[Quantity Initial]]+ SUMIF(TB_Transactions[Part number],TB_Parts_Lists[[#This Row],[Part Number]],TB_Transactions[Quantity])</f>
        <v>50</v>
      </c>
      <c r="N648" s="200" t="s">
        <v>4593</v>
      </c>
      <c r="O648" s="234">
        <v>5</v>
      </c>
      <c r="P648" s="199">
        <f>TB_Parts_Lists[[#This Row],[Quantity Initial]]*TB_Parts_Lists[[#This Row],[Unit Price AED]]</f>
        <v>250</v>
      </c>
      <c r="Q648" s="199">
        <f>TB_Parts_Lists[[#This Row],[Quantity Total]]*TB_Parts_Lists[[#This Row],[Unit Price AED]]</f>
        <v>250</v>
      </c>
      <c r="S648" s="199" t="s">
        <v>118</v>
      </c>
      <c r="T648" s="199" t="s">
        <v>8691</v>
      </c>
      <c r="U648" s="199" t="s">
        <v>641</v>
      </c>
    </row>
    <row r="649" spans="1:21" s="199" customFormat="1" x14ac:dyDescent="0.25">
      <c r="A649" s="192" t="s">
        <v>7150</v>
      </c>
      <c r="B649" s="201" t="s">
        <v>3340</v>
      </c>
      <c r="C649" s="199" t="s">
        <v>4603</v>
      </c>
      <c r="D649" s="188" t="s">
        <v>8724</v>
      </c>
      <c r="E649" s="188" t="s">
        <v>5162</v>
      </c>
      <c r="F649" s="189" t="s">
        <v>4630</v>
      </c>
      <c r="G649" s="199" t="s">
        <v>8271</v>
      </c>
      <c r="H649" s="199" t="s">
        <v>72</v>
      </c>
      <c r="I649" s="199">
        <v>1</v>
      </c>
      <c r="J649" s="199">
        <v>1</v>
      </c>
      <c r="K649" s="199">
        <v>1</v>
      </c>
      <c r="L649" s="199">
        <v>50</v>
      </c>
      <c r="M649" s="202">
        <f>TB_Parts_Lists[[#This Row],[Quantity Initial]]+ SUMIF(TB_Transactions[Part number],TB_Parts_Lists[[#This Row],[Part Number]],TB_Transactions[Quantity])</f>
        <v>50</v>
      </c>
      <c r="N649" s="200" t="s">
        <v>4593</v>
      </c>
      <c r="O649" s="234">
        <v>5</v>
      </c>
      <c r="P649" s="199">
        <f>TB_Parts_Lists[[#This Row],[Quantity Initial]]*TB_Parts_Lists[[#This Row],[Unit Price AED]]</f>
        <v>250</v>
      </c>
      <c r="Q649" s="199">
        <f>TB_Parts_Lists[[#This Row],[Quantity Total]]*TB_Parts_Lists[[#This Row],[Unit Price AED]]</f>
        <v>250</v>
      </c>
      <c r="S649" s="199" t="s">
        <v>8675</v>
      </c>
      <c r="T649" s="199" t="s">
        <v>8675</v>
      </c>
      <c r="U649" s="199" t="s">
        <v>8675</v>
      </c>
    </row>
    <row r="650" spans="1:21" s="199" customFormat="1" x14ac:dyDescent="0.25">
      <c r="A650" s="192" t="s">
        <v>7151</v>
      </c>
      <c r="B650" s="201" t="s">
        <v>3330</v>
      </c>
      <c r="C650" s="199" t="s">
        <v>3338</v>
      </c>
      <c r="D650" s="188" t="s">
        <v>8724</v>
      </c>
      <c r="E650" s="188" t="s">
        <v>5163</v>
      </c>
      <c r="F650" s="189" t="s">
        <v>4631</v>
      </c>
      <c r="G650" s="199" t="s">
        <v>8271</v>
      </c>
      <c r="H650" s="199" t="s">
        <v>75</v>
      </c>
      <c r="I650" s="199">
        <v>1</v>
      </c>
      <c r="J650" s="199">
        <v>1</v>
      </c>
      <c r="K650" s="199">
        <v>1</v>
      </c>
      <c r="L650" s="199">
        <v>50</v>
      </c>
      <c r="M650" s="202">
        <f>TB_Parts_Lists[[#This Row],[Quantity Initial]]+ SUMIF(TB_Transactions[Part number],TB_Parts_Lists[[#This Row],[Part Number]],TB_Transactions[Quantity])</f>
        <v>50</v>
      </c>
      <c r="N650" s="200" t="s">
        <v>4593</v>
      </c>
      <c r="O650" s="234">
        <v>5</v>
      </c>
      <c r="P650" s="199">
        <f>TB_Parts_Lists[[#This Row],[Quantity Initial]]*TB_Parts_Lists[[#This Row],[Unit Price AED]]</f>
        <v>250</v>
      </c>
      <c r="Q650" s="199">
        <f>TB_Parts_Lists[[#This Row],[Quantity Total]]*TB_Parts_Lists[[#This Row],[Unit Price AED]]</f>
        <v>250</v>
      </c>
      <c r="S650" s="199" t="s">
        <v>8675</v>
      </c>
      <c r="T650" s="199" t="s">
        <v>8675</v>
      </c>
      <c r="U650" s="199" t="s">
        <v>8675</v>
      </c>
    </row>
    <row r="651" spans="1:21" s="199" customFormat="1" x14ac:dyDescent="0.25">
      <c r="A651" s="192" t="s">
        <v>7153</v>
      </c>
      <c r="B651" s="201" t="s">
        <v>4605</v>
      </c>
      <c r="C651" s="199" t="s">
        <v>7152</v>
      </c>
      <c r="D651" s="188" t="s">
        <v>8724</v>
      </c>
      <c r="E651" s="188" t="s">
        <v>5164</v>
      </c>
      <c r="F651" s="189" t="s">
        <v>5992</v>
      </c>
      <c r="G651" s="199" t="s">
        <v>8271</v>
      </c>
      <c r="H651" s="199" t="s">
        <v>8652</v>
      </c>
      <c r="I651" s="199">
        <v>1</v>
      </c>
      <c r="J651" s="199">
        <v>1</v>
      </c>
      <c r="K651" s="199">
        <v>1</v>
      </c>
      <c r="L651" s="199">
        <v>50</v>
      </c>
      <c r="M651" s="202">
        <f>TB_Parts_Lists[[#This Row],[Quantity Initial]]+ SUMIF(TB_Transactions[Part number],TB_Parts_Lists[[#This Row],[Part Number]],TB_Transactions[Quantity])</f>
        <v>50</v>
      </c>
      <c r="N651" s="200" t="s">
        <v>4593</v>
      </c>
      <c r="O651" s="234">
        <v>5</v>
      </c>
      <c r="P651" s="199">
        <f>TB_Parts_Lists[[#This Row],[Quantity Initial]]*TB_Parts_Lists[[#This Row],[Unit Price AED]]</f>
        <v>250</v>
      </c>
      <c r="Q651" s="199">
        <f>TB_Parts_Lists[[#This Row],[Quantity Total]]*TB_Parts_Lists[[#This Row],[Unit Price AED]]</f>
        <v>250</v>
      </c>
      <c r="S651" s="199" t="s">
        <v>8675</v>
      </c>
      <c r="T651" s="199" t="s">
        <v>8675</v>
      </c>
      <c r="U651" s="199" t="s">
        <v>8675</v>
      </c>
    </row>
    <row r="652" spans="1:21" s="199" customFormat="1" x14ac:dyDescent="0.25">
      <c r="A652" s="192" t="s">
        <v>7154</v>
      </c>
      <c r="B652" s="201" t="s">
        <v>3332</v>
      </c>
      <c r="C652" s="199" t="s">
        <v>3356</v>
      </c>
      <c r="D652" s="199" t="s">
        <v>8724</v>
      </c>
      <c r="E652" s="188" t="s">
        <v>5165</v>
      </c>
      <c r="F652" s="189" t="s">
        <v>5993</v>
      </c>
      <c r="G652" s="199" t="s">
        <v>8271</v>
      </c>
      <c r="H652" s="199" t="s">
        <v>75</v>
      </c>
      <c r="I652" s="199">
        <v>1</v>
      </c>
      <c r="J652" s="199">
        <v>1</v>
      </c>
      <c r="K652" s="199">
        <v>1</v>
      </c>
      <c r="L652" s="199">
        <v>50</v>
      </c>
      <c r="M652" s="202">
        <f>TB_Parts_Lists[[#This Row],[Quantity Initial]]+ SUMIF(TB_Transactions[Part number],TB_Parts_Lists[[#This Row],[Part Number]],TB_Transactions[Quantity])</f>
        <v>50</v>
      </c>
      <c r="N652" s="200" t="s">
        <v>4593</v>
      </c>
      <c r="O652" s="234">
        <v>5</v>
      </c>
      <c r="P652" s="199">
        <f>TB_Parts_Lists[[#This Row],[Quantity Initial]]*TB_Parts_Lists[[#This Row],[Unit Price AED]]</f>
        <v>250</v>
      </c>
      <c r="Q652" s="199">
        <f>TB_Parts_Lists[[#This Row],[Quantity Total]]*TB_Parts_Lists[[#This Row],[Unit Price AED]]</f>
        <v>250</v>
      </c>
      <c r="S652" s="199" t="s">
        <v>118</v>
      </c>
      <c r="T652" s="199" t="s">
        <v>8691</v>
      </c>
      <c r="U652" s="199" t="s">
        <v>8716</v>
      </c>
    </row>
    <row r="653" spans="1:21" s="199" customFormat="1" x14ac:dyDescent="0.25">
      <c r="A653" s="192" t="s">
        <v>7155</v>
      </c>
      <c r="B653" s="201" t="s">
        <v>3332</v>
      </c>
      <c r="C653" s="199" t="s">
        <v>3356</v>
      </c>
      <c r="D653" s="199" t="s">
        <v>8724</v>
      </c>
      <c r="E653" s="188" t="s">
        <v>5166</v>
      </c>
      <c r="F653" s="189" t="s">
        <v>5994</v>
      </c>
      <c r="G653" s="199" t="s">
        <v>8271</v>
      </c>
      <c r="H653" s="199" t="s">
        <v>75</v>
      </c>
      <c r="I653" s="199">
        <v>1</v>
      </c>
      <c r="J653" s="199">
        <v>1</v>
      </c>
      <c r="K653" s="199">
        <v>1</v>
      </c>
      <c r="L653" s="199">
        <v>50</v>
      </c>
      <c r="M653" s="202">
        <f>TB_Parts_Lists[[#This Row],[Quantity Initial]]+ SUMIF(TB_Transactions[Part number],TB_Parts_Lists[[#This Row],[Part Number]],TB_Transactions[Quantity])</f>
        <v>50</v>
      </c>
      <c r="N653" s="200" t="s">
        <v>4593</v>
      </c>
      <c r="O653" s="234">
        <v>5</v>
      </c>
      <c r="P653" s="199">
        <f>TB_Parts_Lists[[#This Row],[Quantity Initial]]*TB_Parts_Lists[[#This Row],[Unit Price AED]]</f>
        <v>250</v>
      </c>
      <c r="Q653" s="199">
        <f>TB_Parts_Lists[[#This Row],[Quantity Total]]*TB_Parts_Lists[[#This Row],[Unit Price AED]]</f>
        <v>250</v>
      </c>
      <c r="S653" s="199" t="s">
        <v>118</v>
      </c>
      <c r="T653" s="199" t="s">
        <v>8691</v>
      </c>
      <c r="U653" s="199" t="s">
        <v>8716</v>
      </c>
    </row>
    <row r="654" spans="1:21" s="199" customFormat="1" x14ac:dyDescent="0.25">
      <c r="A654" s="192" t="s">
        <v>7156</v>
      </c>
      <c r="B654" s="201" t="s">
        <v>3330</v>
      </c>
      <c r="C654" s="199" t="s">
        <v>4090</v>
      </c>
      <c r="D654" s="199" t="s">
        <v>8732</v>
      </c>
      <c r="E654" s="188" t="s">
        <v>5167</v>
      </c>
      <c r="F654" s="189" t="s">
        <v>5995</v>
      </c>
      <c r="G654" s="199" t="s">
        <v>8271</v>
      </c>
      <c r="H654" s="199" t="s">
        <v>8652</v>
      </c>
      <c r="I654" s="199">
        <v>1</v>
      </c>
      <c r="J654" s="199">
        <v>1</v>
      </c>
      <c r="K654" s="199">
        <v>1</v>
      </c>
      <c r="L654" s="199">
        <v>50</v>
      </c>
      <c r="M654" s="202">
        <f>TB_Parts_Lists[[#This Row],[Quantity Initial]]+ SUMIF(TB_Transactions[Part number],TB_Parts_Lists[[#This Row],[Part Number]],TB_Transactions[Quantity])</f>
        <v>50</v>
      </c>
      <c r="N654" s="200" t="s">
        <v>4593</v>
      </c>
      <c r="O654" s="234">
        <v>5</v>
      </c>
      <c r="P654" s="199">
        <f>TB_Parts_Lists[[#This Row],[Quantity Initial]]*TB_Parts_Lists[[#This Row],[Unit Price AED]]</f>
        <v>250</v>
      </c>
      <c r="Q654" s="199">
        <f>TB_Parts_Lists[[#This Row],[Quantity Total]]*TB_Parts_Lists[[#This Row],[Unit Price AED]]</f>
        <v>250</v>
      </c>
      <c r="S654" s="199" t="s">
        <v>122</v>
      </c>
      <c r="T654" s="199" t="s">
        <v>8675</v>
      </c>
      <c r="U654" s="199" t="s">
        <v>8675</v>
      </c>
    </row>
    <row r="655" spans="1:21" s="199" customFormat="1" x14ac:dyDescent="0.25">
      <c r="A655" s="192" t="s">
        <v>7157</v>
      </c>
      <c r="B655" s="201" t="s">
        <v>3330</v>
      </c>
      <c r="C655" s="199" t="s">
        <v>4090</v>
      </c>
      <c r="D655" s="199" t="s">
        <v>8732</v>
      </c>
      <c r="E655" s="188" t="s">
        <v>5168</v>
      </c>
      <c r="F655" s="189" t="s">
        <v>5996</v>
      </c>
      <c r="G655" s="199" t="s">
        <v>8271</v>
      </c>
      <c r="H655" s="199" t="s">
        <v>8652</v>
      </c>
      <c r="I655" s="199">
        <v>1</v>
      </c>
      <c r="J655" s="199">
        <v>1</v>
      </c>
      <c r="K655" s="199">
        <v>1</v>
      </c>
      <c r="L655" s="199">
        <v>50</v>
      </c>
      <c r="M655" s="202">
        <f>TB_Parts_Lists[[#This Row],[Quantity Initial]]+ SUMIF(TB_Transactions[Part number],TB_Parts_Lists[[#This Row],[Part Number]],TB_Transactions[Quantity])</f>
        <v>50</v>
      </c>
      <c r="N655" s="200" t="s">
        <v>4593</v>
      </c>
      <c r="O655" s="234">
        <v>5</v>
      </c>
      <c r="P655" s="199">
        <f>TB_Parts_Lists[[#This Row],[Quantity Initial]]*TB_Parts_Lists[[#This Row],[Unit Price AED]]</f>
        <v>250</v>
      </c>
      <c r="Q655" s="199">
        <f>TB_Parts_Lists[[#This Row],[Quantity Total]]*TB_Parts_Lists[[#This Row],[Unit Price AED]]</f>
        <v>250</v>
      </c>
      <c r="S655" s="199" t="s">
        <v>122</v>
      </c>
      <c r="T655" s="199" t="s">
        <v>8675</v>
      </c>
      <c r="U655" s="199" t="s">
        <v>8675</v>
      </c>
    </row>
    <row r="656" spans="1:21" s="199" customFormat="1" x14ac:dyDescent="0.25">
      <c r="A656" s="192" t="s">
        <v>7158</v>
      </c>
      <c r="B656" s="201" t="s">
        <v>3329</v>
      </c>
      <c r="C656" s="199" t="s">
        <v>4633</v>
      </c>
      <c r="D656" s="188" t="s">
        <v>8724</v>
      </c>
      <c r="E656" s="188" t="s">
        <v>3892</v>
      </c>
      <c r="F656" s="189" t="s">
        <v>3816</v>
      </c>
      <c r="G656" s="199" t="s">
        <v>8272</v>
      </c>
      <c r="H656" s="199" t="s">
        <v>8641</v>
      </c>
      <c r="I656" s="199">
        <v>1</v>
      </c>
      <c r="J656" s="199">
        <v>1</v>
      </c>
      <c r="K656" s="199">
        <v>1</v>
      </c>
      <c r="L656" s="199">
        <v>50</v>
      </c>
      <c r="M656" s="202">
        <f>TB_Parts_Lists[[#This Row],[Quantity Initial]]+ SUMIF(TB_Transactions[Part number],TB_Parts_Lists[[#This Row],[Part Number]],TB_Transactions[Quantity])</f>
        <v>50</v>
      </c>
      <c r="N656" s="200" t="s">
        <v>4593</v>
      </c>
      <c r="O656" s="234">
        <v>5</v>
      </c>
      <c r="P656" s="199">
        <f>TB_Parts_Lists[[#This Row],[Quantity Initial]]*TB_Parts_Lists[[#This Row],[Unit Price AED]]</f>
        <v>250</v>
      </c>
      <c r="Q656" s="199">
        <f>TB_Parts_Lists[[#This Row],[Quantity Total]]*TB_Parts_Lists[[#This Row],[Unit Price AED]]</f>
        <v>250</v>
      </c>
      <c r="S656" s="199" t="s">
        <v>118</v>
      </c>
      <c r="T656" s="199" t="s">
        <v>8675</v>
      </c>
      <c r="U656" s="199" t="s">
        <v>8675</v>
      </c>
    </row>
    <row r="657" spans="1:21" s="199" customFormat="1" x14ac:dyDescent="0.25">
      <c r="A657" s="192" t="s">
        <v>7159</v>
      </c>
      <c r="B657" s="201" t="s">
        <v>3329</v>
      </c>
      <c r="C657" s="199" t="s">
        <v>4633</v>
      </c>
      <c r="D657" s="188" t="s">
        <v>8724</v>
      </c>
      <c r="E657" s="188" t="s">
        <v>3780</v>
      </c>
      <c r="F657" s="189" t="s">
        <v>3817</v>
      </c>
      <c r="G657" s="199" t="s">
        <v>8272</v>
      </c>
      <c r="H657" s="199" t="s">
        <v>8641</v>
      </c>
      <c r="I657" s="199">
        <v>1</v>
      </c>
      <c r="J657" s="199">
        <v>1</v>
      </c>
      <c r="K657" s="199">
        <v>1</v>
      </c>
      <c r="L657" s="199">
        <v>50</v>
      </c>
      <c r="M657" s="202">
        <f>TB_Parts_Lists[[#This Row],[Quantity Initial]]+ SUMIF(TB_Transactions[Part number],TB_Parts_Lists[[#This Row],[Part Number]],TB_Transactions[Quantity])</f>
        <v>50</v>
      </c>
      <c r="N657" s="200" t="s">
        <v>4593</v>
      </c>
      <c r="O657" s="234">
        <v>5</v>
      </c>
      <c r="P657" s="199">
        <f>TB_Parts_Lists[[#This Row],[Quantity Initial]]*TB_Parts_Lists[[#This Row],[Unit Price AED]]</f>
        <v>250</v>
      </c>
      <c r="Q657" s="199">
        <f>TB_Parts_Lists[[#This Row],[Quantity Total]]*TB_Parts_Lists[[#This Row],[Unit Price AED]]</f>
        <v>250</v>
      </c>
      <c r="S657" s="199" t="s">
        <v>118</v>
      </c>
      <c r="T657" s="199" t="s">
        <v>8675</v>
      </c>
      <c r="U657" s="199" t="s">
        <v>8675</v>
      </c>
    </row>
    <row r="658" spans="1:21" s="199" customFormat="1" x14ac:dyDescent="0.25">
      <c r="A658" s="192" t="s">
        <v>7160</v>
      </c>
      <c r="B658" s="201" t="s">
        <v>3329</v>
      </c>
      <c r="C658" s="199" t="s">
        <v>4633</v>
      </c>
      <c r="D658" s="188" t="s">
        <v>8724</v>
      </c>
      <c r="E658" s="188" t="s">
        <v>3893</v>
      </c>
      <c r="F658" s="189" t="s">
        <v>3818</v>
      </c>
      <c r="G658" s="199" t="s">
        <v>8272</v>
      </c>
      <c r="H658" s="199" t="s">
        <v>8641</v>
      </c>
      <c r="I658" s="199">
        <v>1</v>
      </c>
      <c r="J658" s="199">
        <v>1</v>
      </c>
      <c r="K658" s="199">
        <v>1</v>
      </c>
      <c r="L658" s="199">
        <v>50</v>
      </c>
      <c r="M658" s="202">
        <f>TB_Parts_Lists[[#This Row],[Quantity Initial]]+ SUMIF(TB_Transactions[Part number],TB_Parts_Lists[[#This Row],[Part Number]],TB_Transactions[Quantity])</f>
        <v>50</v>
      </c>
      <c r="N658" s="200" t="s">
        <v>4593</v>
      </c>
      <c r="O658" s="234">
        <v>5</v>
      </c>
      <c r="P658" s="199">
        <f>TB_Parts_Lists[[#This Row],[Quantity Initial]]*TB_Parts_Lists[[#This Row],[Unit Price AED]]</f>
        <v>250</v>
      </c>
      <c r="Q658" s="199">
        <f>TB_Parts_Lists[[#This Row],[Quantity Total]]*TB_Parts_Lists[[#This Row],[Unit Price AED]]</f>
        <v>250</v>
      </c>
      <c r="S658" s="199" t="s">
        <v>118</v>
      </c>
      <c r="T658" s="199" t="s">
        <v>8675</v>
      </c>
      <c r="U658" s="199" t="s">
        <v>8675</v>
      </c>
    </row>
    <row r="659" spans="1:21" s="199" customFormat="1" x14ac:dyDescent="0.25">
      <c r="A659" s="192" t="s">
        <v>7161</v>
      </c>
      <c r="B659" s="201" t="s">
        <v>3329</v>
      </c>
      <c r="C659" s="199" t="s">
        <v>4633</v>
      </c>
      <c r="D659" s="188" t="s">
        <v>8724</v>
      </c>
      <c r="E659" s="188" t="s">
        <v>3781</v>
      </c>
      <c r="F659" s="189" t="s">
        <v>3819</v>
      </c>
      <c r="G659" s="199" t="s">
        <v>8272</v>
      </c>
      <c r="H659" s="199" t="s">
        <v>8641</v>
      </c>
      <c r="I659" s="199">
        <v>1</v>
      </c>
      <c r="J659" s="199">
        <v>1</v>
      </c>
      <c r="K659" s="199">
        <v>1</v>
      </c>
      <c r="L659" s="199">
        <v>50</v>
      </c>
      <c r="M659" s="202">
        <f>TB_Parts_Lists[[#This Row],[Quantity Initial]]+ SUMIF(TB_Transactions[Part number],TB_Parts_Lists[[#This Row],[Part Number]],TB_Transactions[Quantity])</f>
        <v>50</v>
      </c>
      <c r="N659" s="200" t="s">
        <v>4593</v>
      </c>
      <c r="O659" s="234">
        <v>5</v>
      </c>
      <c r="P659" s="199">
        <f>TB_Parts_Lists[[#This Row],[Quantity Initial]]*TB_Parts_Lists[[#This Row],[Unit Price AED]]</f>
        <v>250</v>
      </c>
      <c r="Q659" s="199">
        <f>TB_Parts_Lists[[#This Row],[Quantity Total]]*TB_Parts_Lists[[#This Row],[Unit Price AED]]</f>
        <v>250</v>
      </c>
      <c r="S659" s="199" t="s">
        <v>118</v>
      </c>
      <c r="T659" s="199" t="s">
        <v>8675</v>
      </c>
      <c r="U659" s="199" t="s">
        <v>8675</v>
      </c>
    </row>
    <row r="660" spans="1:21" s="199" customFormat="1" x14ac:dyDescent="0.25">
      <c r="A660" s="192" t="s">
        <v>7162</v>
      </c>
      <c r="B660" s="201" t="s">
        <v>3329</v>
      </c>
      <c r="C660" s="199" t="s">
        <v>4633</v>
      </c>
      <c r="D660" s="188" t="s">
        <v>8724</v>
      </c>
      <c r="E660" s="188" t="s">
        <v>3782</v>
      </c>
      <c r="F660" s="189" t="s">
        <v>3820</v>
      </c>
      <c r="G660" s="199" t="s">
        <v>8272</v>
      </c>
      <c r="H660" s="199" t="s">
        <v>8641</v>
      </c>
      <c r="I660" s="199">
        <v>1</v>
      </c>
      <c r="J660" s="199">
        <v>1</v>
      </c>
      <c r="K660" s="199">
        <v>1</v>
      </c>
      <c r="L660" s="199">
        <v>50</v>
      </c>
      <c r="M660" s="202">
        <f>TB_Parts_Lists[[#This Row],[Quantity Initial]]+ SUMIF(TB_Transactions[Part number],TB_Parts_Lists[[#This Row],[Part Number]],TB_Transactions[Quantity])</f>
        <v>50</v>
      </c>
      <c r="N660" s="200" t="s">
        <v>4593</v>
      </c>
      <c r="O660" s="234">
        <v>5</v>
      </c>
      <c r="P660" s="199">
        <f>TB_Parts_Lists[[#This Row],[Quantity Initial]]*TB_Parts_Lists[[#This Row],[Unit Price AED]]</f>
        <v>250</v>
      </c>
      <c r="Q660" s="199">
        <f>TB_Parts_Lists[[#This Row],[Quantity Total]]*TB_Parts_Lists[[#This Row],[Unit Price AED]]</f>
        <v>250</v>
      </c>
      <c r="S660" s="199" t="s">
        <v>118</v>
      </c>
      <c r="T660" s="199" t="s">
        <v>8675</v>
      </c>
      <c r="U660" s="199" t="s">
        <v>8675</v>
      </c>
    </row>
    <row r="661" spans="1:21" s="199" customFormat="1" x14ac:dyDescent="0.25">
      <c r="A661" s="192" t="s">
        <v>7163</v>
      </c>
      <c r="B661" s="201" t="s">
        <v>3329</v>
      </c>
      <c r="C661" s="199" t="s">
        <v>4633</v>
      </c>
      <c r="D661" s="188" t="s">
        <v>8724</v>
      </c>
      <c r="E661" s="188" t="s">
        <v>3783</v>
      </c>
      <c r="F661" s="189" t="s">
        <v>3821</v>
      </c>
      <c r="G661" s="199" t="s">
        <v>8272</v>
      </c>
      <c r="H661" s="199" t="s">
        <v>8641</v>
      </c>
      <c r="I661" s="199">
        <v>1</v>
      </c>
      <c r="J661" s="199">
        <v>1</v>
      </c>
      <c r="K661" s="199">
        <v>1</v>
      </c>
      <c r="L661" s="199">
        <v>50</v>
      </c>
      <c r="M661" s="202">
        <f>TB_Parts_Lists[[#This Row],[Quantity Initial]]+ SUMIF(TB_Transactions[Part number],TB_Parts_Lists[[#This Row],[Part Number]],TB_Transactions[Quantity])</f>
        <v>50</v>
      </c>
      <c r="N661" s="200" t="s">
        <v>4593</v>
      </c>
      <c r="O661" s="234">
        <v>5</v>
      </c>
      <c r="P661" s="199">
        <f>TB_Parts_Lists[[#This Row],[Quantity Initial]]*TB_Parts_Lists[[#This Row],[Unit Price AED]]</f>
        <v>250</v>
      </c>
      <c r="Q661" s="199">
        <f>TB_Parts_Lists[[#This Row],[Quantity Total]]*TB_Parts_Lists[[#This Row],[Unit Price AED]]</f>
        <v>250</v>
      </c>
      <c r="S661" s="199" t="s">
        <v>118</v>
      </c>
      <c r="T661" s="199" t="s">
        <v>8675</v>
      </c>
      <c r="U661" s="199" t="s">
        <v>8675</v>
      </c>
    </row>
    <row r="662" spans="1:21" s="199" customFormat="1" x14ac:dyDescent="0.25">
      <c r="A662" s="192" t="s">
        <v>7164</v>
      </c>
      <c r="B662" s="201" t="s">
        <v>3329</v>
      </c>
      <c r="C662" s="199" t="s">
        <v>4633</v>
      </c>
      <c r="D662" s="188" t="s">
        <v>8724</v>
      </c>
      <c r="E662" s="188" t="s">
        <v>3784</v>
      </c>
      <c r="F662" s="189" t="s">
        <v>3822</v>
      </c>
      <c r="G662" s="199" t="s">
        <v>8272</v>
      </c>
      <c r="H662" s="199" t="s">
        <v>8641</v>
      </c>
      <c r="I662" s="199">
        <v>1</v>
      </c>
      <c r="J662" s="199">
        <v>1</v>
      </c>
      <c r="K662" s="199">
        <v>1</v>
      </c>
      <c r="L662" s="199">
        <v>50</v>
      </c>
      <c r="M662" s="202">
        <f>TB_Parts_Lists[[#This Row],[Quantity Initial]]+ SUMIF(TB_Transactions[Part number],TB_Parts_Lists[[#This Row],[Part Number]],TB_Transactions[Quantity])</f>
        <v>50</v>
      </c>
      <c r="N662" s="200" t="s">
        <v>4593</v>
      </c>
      <c r="O662" s="234">
        <v>5</v>
      </c>
      <c r="P662" s="199">
        <f>TB_Parts_Lists[[#This Row],[Quantity Initial]]*TB_Parts_Lists[[#This Row],[Unit Price AED]]</f>
        <v>250</v>
      </c>
      <c r="Q662" s="199">
        <f>TB_Parts_Lists[[#This Row],[Quantity Total]]*TB_Parts_Lists[[#This Row],[Unit Price AED]]</f>
        <v>250</v>
      </c>
      <c r="S662" s="199" t="s">
        <v>118</v>
      </c>
      <c r="T662" s="199" t="s">
        <v>8675</v>
      </c>
      <c r="U662" s="199" t="s">
        <v>8675</v>
      </c>
    </row>
    <row r="663" spans="1:21" s="199" customFormat="1" x14ac:dyDescent="0.25">
      <c r="A663" s="192" t="s">
        <v>7165</v>
      </c>
      <c r="B663" s="201" t="s">
        <v>3329</v>
      </c>
      <c r="C663" s="199" t="s">
        <v>4633</v>
      </c>
      <c r="D663" s="188" t="s">
        <v>8724</v>
      </c>
      <c r="E663" s="188" t="s">
        <v>5169</v>
      </c>
      <c r="F663" s="189" t="s">
        <v>3823</v>
      </c>
      <c r="G663" s="199" t="s">
        <v>8272</v>
      </c>
      <c r="H663" s="199" t="s">
        <v>8641</v>
      </c>
      <c r="I663" s="199">
        <v>1</v>
      </c>
      <c r="J663" s="199">
        <v>1</v>
      </c>
      <c r="K663" s="199">
        <v>1</v>
      </c>
      <c r="L663" s="199">
        <v>50</v>
      </c>
      <c r="M663" s="202">
        <f>TB_Parts_Lists[[#This Row],[Quantity Initial]]+ SUMIF(TB_Transactions[Part number],TB_Parts_Lists[[#This Row],[Part Number]],TB_Transactions[Quantity])</f>
        <v>50</v>
      </c>
      <c r="N663" s="200" t="s">
        <v>4593</v>
      </c>
      <c r="O663" s="234">
        <v>5</v>
      </c>
      <c r="P663" s="199">
        <f>TB_Parts_Lists[[#This Row],[Quantity Initial]]*TB_Parts_Lists[[#This Row],[Unit Price AED]]</f>
        <v>250</v>
      </c>
      <c r="Q663" s="199">
        <f>TB_Parts_Lists[[#This Row],[Quantity Total]]*TB_Parts_Lists[[#This Row],[Unit Price AED]]</f>
        <v>250</v>
      </c>
      <c r="S663" s="199" t="s">
        <v>118</v>
      </c>
      <c r="T663" s="199" t="s">
        <v>8675</v>
      </c>
      <c r="U663" s="199" t="s">
        <v>8675</v>
      </c>
    </row>
    <row r="664" spans="1:21" s="199" customFormat="1" x14ac:dyDescent="0.25">
      <c r="A664" s="192" t="s">
        <v>7166</v>
      </c>
      <c r="B664" s="201" t="s">
        <v>3329</v>
      </c>
      <c r="C664" s="199" t="s">
        <v>4633</v>
      </c>
      <c r="D664" s="188" t="s">
        <v>8724</v>
      </c>
      <c r="E664" s="188" t="s">
        <v>3894</v>
      </c>
      <c r="F664" s="189" t="s">
        <v>3824</v>
      </c>
      <c r="G664" s="199" t="s">
        <v>8272</v>
      </c>
      <c r="H664" s="199" t="s">
        <v>8641</v>
      </c>
      <c r="I664" s="199">
        <v>1</v>
      </c>
      <c r="J664" s="199">
        <v>1</v>
      </c>
      <c r="K664" s="199">
        <v>1</v>
      </c>
      <c r="L664" s="199">
        <v>50</v>
      </c>
      <c r="M664" s="202">
        <f>TB_Parts_Lists[[#This Row],[Quantity Initial]]+ SUMIF(TB_Transactions[Part number],TB_Parts_Lists[[#This Row],[Part Number]],TB_Transactions[Quantity])</f>
        <v>50</v>
      </c>
      <c r="N664" s="200" t="s">
        <v>4593</v>
      </c>
      <c r="O664" s="234">
        <v>5</v>
      </c>
      <c r="P664" s="199">
        <f>TB_Parts_Lists[[#This Row],[Quantity Initial]]*TB_Parts_Lists[[#This Row],[Unit Price AED]]</f>
        <v>250</v>
      </c>
      <c r="Q664" s="199">
        <f>TB_Parts_Lists[[#This Row],[Quantity Total]]*TB_Parts_Lists[[#This Row],[Unit Price AED]]</f>
        <v>250</v>
      </c>
      <c r="S664" s="199" t="s">
        <v>118</v>
      </c>
      <c r="T664" s="199" t="s">
        <v>8675</v>
      </c>
      <c r="U664" s="199" t="s">
        <v>8675</v>
      </c>
    </row>
    <row r="665" spans="1:21" s="199" customFormat="1" x14ac:dyDescent="0.25">
      <c r="A665" s="192" t="s">
        <v>7167</v>
      </c>
      <c r="B665" s="201" t="s">
        <v>4605</v>
      </c>
      <c r="C665" s="199" t="s">
        <v>3338</v>
      </c>
      <c r="D665" s="199" t="s">
        <v>8732</v>
      </c>
      <c r="E665" s="188" t="s">
        <v>5170</v>
      </c>
      <c r="F665" s="189" t="s">
        <v>3825</v>
      </c>
      <c r="G665" s="199" t="s">
        <v>8272</v>
      </c>
      <c r="H665" s="199" t="s">
        <v>8653</v>
      </c>
      <c r="I665" s="199">
        <v>1</v>
      </c>
      <c r="J665" s="199">
        <v>1</v>
      </c>
      <c r="K665" s="199">
        <v>1</v>
      </c>
      <c r="L665" s="199">
        <v>50</v>
      </c>
      <c r="M665" s="202">
        <f>TB_Parts_Lists[[#This Row],[Quantity Initial]]+ SUMIF(TB_Transactions[Part number],TB_Parts_Lists[[#This Row],[Part Number]],TB_Transactions[Quantity])</f>
        <v>50</v>
      </c>
      <c r="N665" s="200" t="s">
        <v>4593</v>
      </c>
      <c r="O665" s="234">
        <v>5</v>
      </c>
      <c r="P665" s="199">
        <f>TB_Parts_Lists[[#This Row],[Quantity Initial]]*TB_Parts_Lists[[#This Row],[Unit Price AED]]</f>
        <v>250</v>
      </c>
      <c r="Q665" s="199">
        <f>TB_Parts_Lists[[#This Row],[Quantity Total]]*TB_Parts_Lists[[#This Row],[Unit Price AED]]</f>
        <v>250</v>
      </c>
      <c r="S665" s="199" t="s">
        <v>118</v>
      </c>
      <c r="T665" s="199" t="s">
        <v>8675</v>
      </c>
      <c r="U665" s="199" t="s">
        <v>8675</v>
      </c>
    </row>
    <row r="666" spans="1:21" s="199" customFormat="1" x14ac:dyDescent="0.25">
      <c r="A666" s="192" t="s">
        <v>7169</v>
      </c>
      <c r="B666" s="201" t="s">
        <v>3337</v>
      </c>
      <c r="C666" s="199" t="s">
        <v>7168</v>
      </c>
      <c r="D666" s="199" t="s">
        <v>8732</v>
      </c>
      <c r="E666" s="188" t="s">
        <v>5171</v>
      </c>
      <c r="F666" s="189" t="s">
        <v>3826</v>
      </c>
      <c r="G666" s="199" t="s">
        <v>8272</v>
      </c>
      <c r="H666" s="199" t="s">
        <v>8653</v>
      </c>
      <c r="I666" s="199">
        <v>1</v>
      </c>
      <c r="J666" s="199">
        <v>1</v>
      </c>
      <c r="K666" s="199">
        <v>1</v>
      </c>
      <c r="L666" s="199">
        <v>50</v>
      </c>
      <c r="M666" s="202">
        <f>TB_Parts_Lists[[#This Row],[Quantity Initial]]+ SUMIF(TB_Transactions[Part number],TB_Parts_Lists[[#This Row],[Part Number]],TB_Transactions[Quantity])</f>
        <v>50</v>
      </c>
      <c r="N666" s="200" t="s">
        <v>4593</v>
      </c>
      <c r="O666" s="234">
        <v>5</v>
      </c>
      <c r="P666" s="199">
        <f>TB_Parts_Lists[[#This Row],[Quantity Initial]]*TB_Parts_Lists[[#This Row],[Unit Price AED]]</f>
        <v>250</v>
      </c>
      <c r="Q666" s="199">
        <f>TB_Parts_Lists[[#This Row],[Quantity Total]]*TB_Parts_Lists[[#This Row],[Unit Price AED]]</f>
        <v>250</v>
      </c>
      <c r="S666" s="199" t="s">
        <v>118</v>
      </c>
      <c r="T666" s="199" t="s">
        <v>8675</v>
      </c>
      <c r="U666" s="199" t="s">
        <v>8675</v>
      </c>
    </row>
    <row r="667" spans="1:21" s="199" customFormat="1" x14ac:dyDescent="0.25">
      <c r="A667" s="192" t="s">
        <v>7170</v>
      </c>
      <c r="B667" s="201" t="s">
        <v>3334</v>
      </c>
      <c r="C667" s="199" t="s">
        <v>4581</v>
      </c>
      <c r="D667" s="199" t="s">
        <v>8732</v>
      </c>
      <c r="E667" s="188" t="s">
        <v>5172</v>
      </c>
      <c r="F667" s="189" t="s">
        <v>3827</v>
      </c>
      <c r="G667" s="199" t="s">
        <v>8272</v>
      </c>
      <c r="H667" s="199" t="s">
        <v>8641</v>
      </c>
      <c r="I667" s="199">
        <v>1</v>
      </c>
      <c r="J667" s="199">
        <v>1</v>
      </c>
      <c r="K667" s="199">
        <v>1</v>
      </c>
      <c r="L667" s="199">
        <v>50</v>
      </c>
      <c r="M667" s="202">
        <f>TB_Parts_Lists[[#This Row],[Quantity Initial]]+ SUMIF(TB_Transactions[Part number],TB_Parts_Lists[[#This Row],[Part Number]],TB_Transactions[Quantity])</f>
        <v>50</v>
      </c>
      <c r="N667" s="200" t="s">
        <v>4593</v>
      </c>
      <c r="O667" s="234">
        <v>5</v>
      </c>
      <c r="P667" s="199">
        <f>TB_Parts_Lists[[#This Row],[Quantity Initial]]*TB_Parts_Lists[[#This Row],[Unit Price AED]]</f>
        <v>250</v>
      </c>
      <c r="Q667" s="199">
        <f>TB_Parts_Lists[[#This Row],[Quantity Total]]*TB_Parts_Lists[[#This Row],[Unit Price AED]]</f>
        <v>250</v>
      </c>
      <c r="S667" s="199" t="s">
        <v>118</v>
      </c>
      <c r="T667" s="199" t="s">
        <v>8675</v>
      </c>
      <c r="U667" s="199" t="s">
        <v>8675</v>
      </c>
    </row>
    <row r="668" spans="1:21" s="199" customFormat="1" x14ac:dyDescent="0.25">
      <c r="A668" s="192" t="s">
        <v>7171</v>
      </c>
      <c r="B668" s="201" t="s">
        <v>3329</v>
      </c>
      <c r="C668" s="199" t="s">
        <v>4633</v>
      </c>
      <c r="D668" s="188" t="s">
        <v>8724</v>
      </c>
      <c r="E668" s="188" t="s">
        <v>3785</v>
      </c>
      <c r="F668" s="189" t="s">
        <v>3828</v>
      </c>
      <c r="G668" s="199" t="s">
        <v>8272</v>
      </c>
      <c r="H668" s="199" t="s">
        <v>8641</v>
      </c>
      <c r="I668" s="199">
        <v>1</v>
      </c>
      <c r="J668" s="199">
        <v>1</v>
      </c>
      <c r="K668" s="199">
        <v>1</v>
      </c>
      <c r="L668" s="199">
        <v>50</v>
      </c>
      <c r="M668" s="202">
        <f>TB_Parts_Lists[[#This Row],[Quantity Initial]]+ SUMIF(TB_Transactions[Part number],TB_Parts_Lists[[#This Row],[Part Number]],TB_Transactions[Quantity])</f>
        <v>50</v>
      </c>
      <c r="N668" s="200" t="s">
        <v>4593</v>
      </c>
      <c r="O668" s="234">
        <v>5</v>
      </c>
      <c r="P668" s="199">
        <f>TB_Parts_Lists[[#This Row],[Quantity Initial]]*TB_Parts_Lists[[#This Row],[Unit Price AED]]</f>
        <v>250</v>
      </c>
      <c r="Q668" s="199">
        <f>TB_Parts_Lists[[#This Row],[Quantity Total]]*TB_Parts_Lists[[#This Row],[Unit Price AED]]</f>
        <v>250</v>
      </c>
      <c r="S668" s="199" t="s">
        <v>118</v>
      </c>
      <c r="T668" s="199" t="s">
        <v>8675</v>
      </c>
      <c r="U668" s="199" t="s">
        <v>8675</v>
      </c>
    </row>
    <row r="669" spans="1:21" s="199" customFormat="1" x14ac:dyDescent="0.25">
      <c r="A669" s="192" t="s">
        <v>7172</v>
      </c>
      <c r="B669" s="201" t="s">
        <v>3334</v>
      </c>
      <c r="C669" s="199" t="s">
        <v>4581</v>
      </c>
      <c r="D669" s="188" t="s">
        <v>8724</v>
      </c>
      <c r="E669" s="188" t="s">
        <v>5173</v>
      </c>
      <c r="F669" s="189" t="s">
        <v>3829</v>
      </c>
      <c r="G669" s="199" t="s">
        <v>8272</v>
      </c>
      <c r="H669" s="199" t="s">
        <v>8641</v>
      </c>
      <c r="I669" s="199">
        <v>1</v>
      </c>
      <c r="J669" s="199">
        <v>1</v>
      </c>
      <c r="K669" s="199">
        <v>1</v>
      </c>
      <c r="L669" s="199">
        <v>50</v>
      </c>
      <c r="M669" s="202">
        <f>TB_Parts_Lists[[#This Row],[Quantity Initial]]+ SUMIF(TB_Transactions[Part number],TB_Parts_Lists[[#This Row],[Part Number]],TB_Transactions[Quantity])</f>
        <v>50</v>
      </c>
      <c r="N669" s="200" t="s">
        <v>4593</v>
      </c>
      <c r="O669" s="234">
        <v>5</v>
      </c>
      <c r="P669" s="199">
        <f>TB_Parts_Lists[[#This Row],[Quantity Initial]]*TB_Parts_Lists[[#This Row],[Unit Price AED]]</f>
        <v>250</v>
      </c>
      <c r="Q669" s="199">
        <f>TB_Parts_Lists[[#This Row],[Quantity Total]]*TB_Parts_Lists[[#This Row],[Unit Price AED]]</f>
        <v>250</v>
      </c>
      <c r="S669" s="199" t="s">
        <v>118</v>
      </c>
      <c r="T669" s="199" t="s">
        <v>8675</v>
      </c>
      <c r="U669" s="199" t="s">
        <v>8675</v>
      </c>
    </row>
    <row r="670" spans="1:21" s="199" customFormat="1" x14ac:dyDescent="0.25">
      <c r="A670" s="192" t="s">
        <v>7173</v>
      </c>
      <c r="B670" s="201" t="s">
        <v>3330</v>
      </c>
      <c r="C670" s="199" t="s">
        <v>3338</v>
      </c>
      <c r="D670" s="188" t="s">
        <v>8724</v>
      </c>
      <c r="E670" s="188" t="s">
        <v>3895</v>
      </c>
      <c r="F670" s="189" t="s">
        <v>3830</v>
      </c>
      <c r="G670" s="199" t="s">
        <v>8272</v>
      </c>
      <c r="H670" s="199" t="s">
        <v>8654</v>
      </c>
      <c r="I670" s="199">
        <v>1</v>
      </c>
      <c r="J670" s="199">
        <v>1</v>
      </c>
      <c r="K670" s="199">
        <v>1</v>
      </c>
      <c r="L670" s="199">
        <v>50</v>
      </c>
      <c r="M670" s="202">
        <f>TB_Parts_Lists[[#This Row],[Quantity Initial]]+ SUMIF(TB_Transactions[Part number],TB_Parts_Lists[[#This Row],[Part Number]],TB_Transactions[Quantity])</f>
        <v>50</v>
      </c>
      <c r="N670" s="200" t="s">
        <v>4593</v>
      </c>
      <c r="O670" s="234">
        <v>5</v>
      </c>
      <c r="P670" s="199">
        <f>TB_Parts_Lists[[#This Row],[Quantity Initial]]*TB_Parts_Lists[[#This Row],[Unit Price AED]]</f>
        <v>250</v>
      </c>
      <c r="Q670" s="199">
        <f>TB_Parts_Lists[[#This Row],[Quantity Total]]*TB_Parts_Lists[[#This Row],[Unit Price AED]]</f>
        <v>250</v>
      </c>
      <c r="S670" s="199" t="s">
        <v>8675</v>
      </c>
      <c r="T670" s="199" t="s">
        <v>8675</v>
      </c>
      <c r="U670" s="199" t="s">
        <v>8675</v>
      </c>
    </row>
    <row r="671" spans="1:21" s="199" customFormat="1" x14ac:dyDescent="0.25">
      <c r="A671" s="192" t="s">
        <v>7174</v>
      </c>
      <c r="B671" s="201" t="s">
        <v>3337</v>
      </c>
      <c r="C671" s="199" t="s">
        <v>7168</v>
      </c>
      <c r="D671" s="199" t="s">
        <v>8732</v>
      </c>
      <c r="E671" s="188" t="s">
        <v>5174</v>
      </c>
      <c r="F671" s="189" t="s">
        <v>3831</v>
      </c>
      <c r="G671" s="199" t="s">
        <v>8272</v>
      </c>
      <c r="H671" s="199" t="s">
        <v>186</v>
      </c>
      <c r="I671" s="199">
        <v>1</v>
      </c>
      <c r="J671" s="199">
        <v>1</v>
      </c>
      <c r="K671" s="199">
        <v>1</v>
      </c>
      <c r="L671" s="199">
        <v>50</v>
      </c>
      <c r="M671" s="202">
        <f>TB_Parts_Lists[[#This Row],[Quantity Initial]]+ SUMIF(TB_Transactions[Part number],TB_Parts_Lists[[#This Row],[Part Number]],TB_Transactions[Quantity])</f>
        <v>50</v>
      </c>
      <c r="N671" s="200" t="s">
        <v>4593</v>
      </c>
      <c r="O671" s="234">
        <v>5</v>
      </c>
      <c r="P671" s="199">
        <f>TB_Parts_Lists[[#This Row],[Quantity Initial]]*TB_Parts_Lists[[#This Row],[Unit Price AED]]</f>
        <v>250</v>
      </c>
      <c r="Q671" s="199">
        <f>TB_Parts_Lists[[#This Row],[Quantity Total]]*TB_Parts_Lists[[#This Row],[Unit Price AED]]</f>
        <v>250</v>
      </c>
      <c r="S671" s="199" t="s">
        <v>118</v>
      </c>
      <c r="T671" s="199" t="s">
        <v>8675</v>
      </c>
      <c r="U671" s="199" t="s">
        <v>8675</v>
      </c>
    </row>
    <row r="672" spans="1:21" s="199" customFormat="1" x14ac:dyDescent="0.25">
      <c r="A672" s="192" t="s">
        <v>7176</v>
      </c>
      <c r="B672" s="201" t="s">
        <v>3330</v>
      </c>
      <c r="C672" s="199" t="s">
        <v>7175</v>
      </c>
      <c r="D672" s="188" t="s">
        <v>8724</v>
      </c>
      <c r="E672" s="188" t="s">
        <v>5175</v>
      </c>
      <c r="F672" s="189" t="s">
        <v>3832</v>
      </c>
      <c r="G672" s="199" t="s">
        <v>8272</v>
      </c>
      <c r="H672" s="199" t="s">
        <v>8641</v>
      </c>
      <c r="I672" s="199">
        <v>1</v>
      </c>
      <c r="J672" s="199">
        <v>1</v>
      </c>
      <c r="K672" s="199">
        <v>1</v>
      </c>
      <c r="L672" s="199">
        <v>50</v>
      </c>
      <c r="M672" s="202">
        <f>TB_Parts_Lists[[#This Row],[Quantity Initial]]+ SUMIF(TB_Transactions[Part number],TB_Parts_Lists[[#This Row],[Part Number]],TB_Transactions[Quantity])</f>
        <v>50</v>
      </c>
      <c r="N672" s="200" t="s">
        <v>4593</v>
      </c>
      <c r="O672" s="234">
        <v>5</v>
      </c>
      <c r="P672" s="199">
        <f>TB_Parts_Lists[[#This Row],[Quantity Initial]]*TB_Parts_Lists[[#This Row],[Unit Price AED]]</f>
        <v>250</v>
      </c>
      <c r="Q672" s="199">
        <f>TB_Parts_Lists[[#This Row],[Quantity Total]]*TB_Parts_Lists[[#This Row],[Unit Price AED]]</f>
        <v>250</v>
      </c>
      <c r="S672" s="199" t="s">
        <v>8675</v>
      </c>
      <c r="T672" s="199" t="s">
        <v>8675</v>
      </c>
      <c r="U672" s="199" t="s">
        <v>8675</v>
      </c>
    </row>
    <row r="673" spans="1:21" s="199" customFormat="1" x14ac:dyDescent="0.25">
      <c r="A673" s="192" t="s">
        <v>7177</v>
      </c>
      <c r="B673" s="201" t="s">
        <v>3329</v>
      </c>
      <c r="C673" s="199" t="s">
        <v>6811</v>
      </c>
      <c r="D673" s="199" t="s">
        <v>8723</v>
      </c>
      <c r="E673" s="188" t="s">
        <v>3896</v>
      </c>
      <c r="F673" s="189" t="s">
        <v>3833</v>
      </c>
      <c r="G673" s="199" t="s">
        <v>8272</v>
      </c>
      <c r="H673" s="199" t="s">
        <v>72</v>
      </c>
      <c r="I673" s="199">
        <v>1</v>
      </c>
      <c r="J673" s="199">
        <v>1</v>
      </c>
      <c r="K673" s="199">
        <v>1</v>
      </c>
      <c r="L673" s="199">
        <v>50</v>
      </c>
      <c r="M673" s="202">
        <f>TB_Parts_Lists[[#This Row],[Quantity Initial]]+ SUMIF(TB_Transactions[Part number],TB_Parts_Lists[[#This Row],[Part Number]],TB_Transactions[Quantity])</f>
        <v>50</v>
      </c>
      <c r="N673" s="200" t="s">
        <v>4593</v>
      </c>
      <c r="O673" s="234">
        <v>5</v>
      </c>
      <c r="P673" s="199">
        <f>TB_Parts_Lists[[#This Row],[Quantity Initial]]*TB_Parts_Lists[[#This Row],[Unit Price AED]]</f>
        <v>250</v>
      </c>
      <c r="Q673" s="199">
        <f>TB_Parts_Lists[[#This Row],[Quantity Total]]*TB_Parts_Lists[[#This Row],[Unit Price AED]]</f>
        <v>250</v>
      </c>
      <c r="S673" s="199" t="s">
        <v>8675</v>
      </c>
      <c r="T673" s="199" t="s">
        <v>8675</v>
      </c>
      <c r="U673" s="199" t="s">
        <v>8675</v>
      </c>
    </row>
    <row r="674" spans="1:21" s="199" customFormat="1" x14ac:dyDescent="0.25">
      <c r="A674" s="192" t="s">
        <v>7178</v>
      </c>
      <c r="B674" s="201" t="s">
        <v>3330</v>
      </c>
      <c r="C674" s="199" t="s">
        <v>3338</v>
      </c>
      <c r="D674" s="188" t="s">
        <v>8724</v>
      </c>
      <c r="E674" s="188" t="s">
        <v>5176</v>
      </c>
      <c r="F674" s="189" t="s">
        <v>4632</v>
      </c>
      <c r="G674" s="199" t="s">
        <v>8272</v>
      </c>
      <c r="H674" s="199" t="s">
        <v>8641</v>
      </c>
      <c r="I674" s="199">
        <v>1</v>
      </c>
      <c r="J674" s="199">
        <v>1</v>
      </c>
      <c r="K674" s="199">
        <v>1</v>
      </c>
      <c r="L674" s="199">
        <v>50</v>
      </c>
      <c r="M674" s="202">
        <f>TB_Parts_Lists[[#This Row],[Quantity Initial]]+ SUMIF(TB_Transactions[Part number],TB_Parts_Lists[[#This Row],[Part Number]],TB_Transactions[Quantity])</f>
        <v>50</v>
      </c>
      <c r="N674" s="200" t="s">
        <v>4593</v>
      </c>
      <c r="O674" s="234">
        <v>5</v>
      </c>
      <c r="P674" s="199">
        <f>TB_Parts_Lists[[#This Row],[Quantity Initial]]*TB_Parts_Lists[[#This Row],[Unit Price AED]]</f>
        <v>250</v>
      </c>
      <c r="Q674" s="199">
        <f>TB_Parts_Lists[[#This Row],[Quantity Total]]*TB_Parts_Lists[[#This Row],[Unit Price AED]]</f>
        <v>250</v>
      </c>
      <c r="S674" s="199" t="s">
        <v>8675</v>
      </c>
      <c r="T674" s="199" t="s">
        <v>8675</v>
      </c>
      <c r="U674" s="199" t="s">
        <v>8675</v>
      </c>
    </row>
    <row r="675" spans="1:21" s="199" customFormat="1" x14ac:dyDescent="0.25">
      <c r="A675" s="192" t="s">
        <v>7179</v>
      </c>
      <c r="B675" s="201" t="s">
        <v>3335</v>
      </c>
      <c r="C675" s="199" t="s">
        <v>3775</v>
      </c>
      <c r="D675" s="188" t="s">
        <v>8724</v>
      </c>
      <c r="E675" s="188" t="s">
        <v>5177</v>
      </c>
      <c r="F675" s="189" t="s">
        <v>5997</v>
      </c>
      <c r="G675" s="199" t="s">
        <v>8272</v>
      </c>
      <c r="H675" s="199" t="s">
        <v>8653</v>
      </c>
      <c r="I675" s="199">
        <v>1</v>
      </c>
      <c r="J675" s="199">
        <v>1</v>
      </c>
      <c r="K675" s="199">
        <v>1</v>
      </c>
      <c r="L675" s="199">
        <v>50</v>
      </c>
      <c r="M675" s="202">
        <f>TB_Parts_Lists[[#This Row],[Quantity Initial]]+ SUMIF(TB_Transactions[Part number],TB_Parts_Lists[[#This Row],[Part Number]],TB_Transactions[Quantity])</f>
        <v>50</v>
      </c>
      <c r="N675" s="200" t="s">
        <v>4593</v>
      </c>
      <c r="O675" s="234">
        <v>5</v>
      </c>
      <c r="P675" s="199">
        <f>TB_Parts_Lists[[#This Row],[Quantity Initial]]*TB_Parts_Lists[[#This Row],[Unit Price AED]]</f>
        <v>250</v>
      </c>
      <c r="Q675" s="199">
        <f>TB_Parts_Lists[[#This Row],[Quantity Total]]*TB_Parts_Lists[[#This Row],[Unit Price AED]]</f>
        <v>250</v>
      </c>
      <c r="S675" s="199" t="s">
        <v>8675</v>
      </c>
      <c r="T675" s="199" t="s">
        <v>8675</v>
      </c>
      <c r="U675" s="199" t="s">
        <v>8675</v>
      </c>
    </row>
    <row r="676" spans="1:21" s="199" customFormat="1" x14ac:dyDescent="0.25">
      <c r="A676" s="192" t="s">
        <v>7180</v>
      </c>
      <c r="B676" s="201" t="s">
        <v>3329</v>
      </c>
      <c r="C676" s="199" t="s">
        <v>4633</v>
      </c>
      <c r="D676" s="188" t="s">
        <v>8724</v>
      </c>
      <c r="E676" s="188" t="s">
        <v>5178</v>
      </c>
      <c r="F676" s="189" t="s">
        <v>4634</v>
      </c>
      <c r="G676" s="199" t="s">
        <v>8272</v>
      </c>
      <c r="H676" s="199" t="s">
        <v>8641</v>
      </c>
      <c r="I676" s="199">
        <v>1</v>
      </c>
      <c r="J676" s="199">
        <v>1</v>
      </c>
      <c r="K676" s="199">
        <v>1</v>
      </c>
      <c r="L676" s="199">
        <v>50</v>
      </c>
      <c r="M676" s="202">
        <f>TB_Parts_Lists[[#This Row],[Quantity Initial]]+ SUMIF(TB_Transactions[Part number],TB_Parts_Lists[[#This Row],[Part Number]],TB_Transactions[Quantity])</f>
        <v>50</v>
      </c>
      <c r="N676" s="200" t="s">
        <v>4593</v>
      </c>
      <c r="O676" s="234">
        <v>5</v>
      </c>
      <c r="P676" s="199">
        <f>TB_Parts_Lists[[#This Row],[Quantity Initial]]*TB_Parts_Lists[[#This Row],[Unit Price AED]]</f>
        <v>250</v>
      </c>
      <c r="Q676" s="199">
        <f>TB_Parts_Lists[[#This Row],[Quantity Total]]*TB_Parts_Lists[[#This Row],[Unit Price AED]]</f>
        <v>250</v>
      </c>
      <c r="S676" s="199" t="s">
        <v>8675</v>
      </c>
      <c r="T676" s="199" t="s">
        <v>8675</v>
      </c>
      <c r="U676" s="199" t="s">
        <v>8675</v>
      </c>
    </row>
    <row r="677" spans="1:21" s="199" customFormat="1" x14ac:dyDescent="0.25">
      <c r="A677" s="192" t="s">
        <v>7181</v>
      </c>
      <c r="B677" s="201" t="s">
        <v>3331</v>
      </c>
      <c r="C677" s="199" t="s">
        <v>6652</v>
      </c>
      <c r="D677" s="199" t="s">
        <v>8723</v>
      </c>
      <c r="E677" s="188" t="s">
        <v>3786</v>
      </c>
      <c r="F677" s="189" t="s">
        <v>3834</v>
      </c>
      <c r="G677" s="199" t="s">
        <v>8273</v>
      </c>
      <c r="H677" s="199" t="s">
        <v>3312</v>
      </c>
      <c r="I677" s="199">
        <v>1</v>
      </c>
      <c r="J677" s="199">
        <v>1</v>
      </c>
      <c r="K677" s="199">
        <v>1</v>
      </c>
      <c r="L677" s="199">
        <v>50</v>
      </c>
      <c r="M677" s="202">
        <f>TB_Parts_Lists[[#This Row],[Quantity Initial]]+ SUMIF(TB_Transactions[Part number],TB_Parts_Lists[[#This Row],[Part Number]],TB_Transactions[Quantity])</f>
        <v>50</v>
      </c>
      <c r="N677" s="200" t="s">
        <v>4593</v>
      </c>
      <c r="O677" s="234">
        <v>5</v>
      </c>
      <c r="P677" s="199">
        <f>TB_Parts_Lists[[#This Row],[Quantity Initial]]*TB_Parts_Lists[[#This Row],[Unit Price AED]]</f>
        <v>250</v>
      </c>
      <c r="Q677" s="199">
        <f>TB_Parts_Lists[[#This Row],[Quantity Total]]*TB_Parts_Lists[[#This Row],[Unit Price AED]]</f>
        <v>250</v>
      </c>
      <c r="S677" s="199" t="s">
        <v>8675</v>
      </c>
      <c r="T677" s="199" t="s">
        <v>8675</v>
      </c>
      <c r="U677" s="199" t="s">
        <v>8675</v>
      </c>
    </row>
    <row r="678" spans="1:21" s="199" customFormat="1" x14ac:dyDescent="0.25">
      <c r="A678" s="192" t="s">
        <v>7182</v>
      </c>
      <c r="B678" s="201" t="s">
        <v>3332</v>
      </c>
      <c r="C678" s="199" t="s">
        <v>3356</v>
      </c>
      <c r="D678" s="199" t="s">
        <v>8723</v>
      </c>
      <c r="E678" s="188" t="s">
        <v>5179</v>
      </c>
      <c r="F678" s="189" t="s">
        <v>3835</v>
      </c>
      <c r="G678" s="199" t="s">
        <v>8273</v>
      </c>
      <c r="H678" s="199" t="s">
        <v>8642</v>
      </c>
      <c r="I678" s="199">
        <v>1</v>
      </c>
      <c r="J678" s="199">
        <v>1</v>
      </c>
      <c r="K678" s="199">
        <v>1</v>
      </c>
      <c r="L678" s="199">
        <v>50</v>
      </c>
      <c r="M678" s="202">
        <f>TB_Parts_Lists[[#This Row],[Quantity Initial]]+ SUMIF(TB_Transactions[Part number],TB_Parts_Lists[[#This Row],[Part Number]],TB_Transactions[Quantity])</f>
        <v>50</v>
      </c>
      <c r="N678" s="200" t="s">
        <v>4593</v>
      </c>
      <c r="O678" s="234">
        <v>5</v>
      </c>
      <c r="P678" s="199">
        <f>TB_Parts_Lists[[#This Row],[Quantity Initial]]*TB_Parts_Lists[[#This Row],[Unit Price AED]]</f>
        <v>250</v>
      </c>
      <c r="Q678" s="199">
        <f>TB_Parts_Lists[[#This Row],[Quantity Total]]*TB_Parts_Lists[[#This Row],[Unit Price AED]]</f>
        <v>250</v>
      </c>
      <c r="S678" s="199" t="s">
        <v>8675</v>
      </c>
      <c r="T678" s="199" t="s">
        <v>8675</v>
      </c>
      <c r="U678" s="199" t="s">
        <v>8675</v>
      </c>
    </row>
    <row r="679" spans="1:21" s="199" customFormat="1" x14ac:dyDescent="0.25">
      <c r="A679" s="192" t="s">
        <v>7183</v>
      </c>
      <c r="B679" s="201" t="s">
        <v>3332</v>
      </c>
      <c r="C679" s="199" t="s">
        <v>3355</v>
      </c>
      <c r="D679" s="199" t="s">
        <v>8732</v>
      </c>
      <c r="E679" s="188" t="s">
        <v>3897</v>
      </c>
      <c r="F679" s="189" t="s">
        <v>3836</v>
      </c>
      <c r="G679" s="199" t="s">
        <v>8273</v>
      </c>
      <c r="H679" s="199" t="s">
        <v>2185</v>
      </c>
      <c r="I679" s="199">
        <v>1</v>
      </c>
      <c r="J679" s="199">
        <v>1</v>
      </c>
      <c r="K679" s="199">
        <v>1</v>
      </c>
      <c r="L679" s="199">
        <v>50</v>
      </c>
      <c r="M679" s="202">
        <f>TB_Parts_Lists[[#This Row],[Quantity Initial]]+ SUMIF(TB_Transactions[Part number],TB_Parts_Lists[[#This Row],[Part Number]],TB_Transactions[Quantity])</f>
        <v>50</v>
      </c>
      <c r="N679" s="200" t="s">
        <v>4593</v>
      </c>
      <c r="O679" s="234">
        <v>5</v>
      </c>
      <c r="P679" s="199">
        <f>TB_Parts_Lists[[#This Row],[Quantity Initial]]*TB_Parts_Lists[[#This Row],[Unit Price AED]]</f>
        <v>250</v>
      </c>
      <c r="Q679" s="199">
        <f>TB_Parts_Lists[[#This Row],[Quantity Total]]*TB_Parts_Lists[[#This Row],[Unit Price AED]]</f>
        <v>250</v>
      </c>
      <c r="S679" s="199" t="s">
        <v>118</v>
      </c>
      <c r="T679" s="199" t="s">
        <v>8691</v>
      </c>
      <c r="U679" s="199" t="s">
        <v>8716</v>
      </c>
    </row>
    <row r="680" spans="1:21" s="199" customFormat="1" x14ac:dyDescent="0.25">
      <c r="A680" s="192" t="s">
        <v>7184</v>
      </c>
      <c r="B680" s="201" t="s">
        <v>3337</v>
      </c>
      <c r="C680" s="199" t="s">
        <v>3378</v>
      </c>
      <c r="D680" s="199" t="s">
        <v>8732</v>
      </c>
      <c r="E680" s="188" t="s">
        <v>3898</v>
      </c>
      <c r="F680" s="189" t="s">
        <v>3837</v>
      </c>
      <c r="G680" s="199" t="s">
        <v>8273</v>
      </c>
      <c r="H680" s="199" t="s">
        <v>72</v>
      </c>
      <c r="I680" s="199">
        <v>1</v>
      </c>
      <c r="J680" s="199">
        <v>1</v>
      </c>
      <c r="K680" s="199">
        <v>1</v>
      </c>
      <c r="L680" s="199">
        <v>50</v>
      </c>
      <c r="M680" s="202">
        <f>TB_Parts_Lists[[#This Row],[Quantity Initial]]+ SUMIF(TB_Transactions[Part number],TB_Parts_Lists[[#This Row],[Part Number]],TB_Transactions[Quantity])</f>
        <v>50</v>
      </c>
      <c r="N680" s="200" t="s">
        <v>4593</v>
      </c>
      <c r="O680" s="234">
        <v>5</v>
      </c>
      <c r="P680" s="199">
        <f>TB_Parts_Lists[[#This Row],[Quantity Initial]]*TB_Parts_Lists[[#This Row],[Unit Price AED]]</f>
        <v>250</v>
      </c>
      <c r="Q680" s="199">
        <f>TB_Parts_Lists[[#This Row],[Quantity Total]]*TB_Parts_Lists[[#This Row],[Unit Price AED]]</f>
        <v>250</v>
      </c>
      <c r="S680" s="199" t="s">
        <v>118</v>
      </c>
      <c r="T680" s="199" t="s">
        <v>8675</v>
      </c>
      <c r="U680" s="199" t="s">
        <v>8675</v>
      </c>
    </row>
    <row r="681" spans="1:21" s="199" customFormat="1" x14ac:dyDescent="0.25">
      <c r="A681" s="192" t="s">
        <v>7185</v>
      </c>
      <c r="B681" s="201" t="s">
        <v>6619</v>
      </c>
      <c r="C681" s="199" t="s">
        <v>3787</v>
      </c>
      <c r="D681" s="188" t="s">
        <v>8724</v>
      </c>
      <c r="E681" s="188" t="s">
        <v>3787</v>
      </c>
      <c r="F681" s="189" t="s">
        <v>3838</v>
      </c>
      <c r="G681" s="199" t="s">
        <v>8273</v>
      </c>
      <c r="H681" s="199" t="s">
        <v>3312</v>
      </c>
      <c r="I681" s="199">
        <v>1</v>
      </c>
      <c r="J681" s="199">
        <v>1</v>
      </c>
      <c r="K681" s="199">
        <v>1</v>
      </c>
      <c r="L681" s="199">
        <v>50</v>
      </c>
      <c r="M681" s="202">
        <f>TB_Parts_Lists[[#This Row],[Quantity Initial]]+ SUMIF(TB_Transactions[Part number],TB_Parts_Lists[[#This Row],[Part Number]],TB_Transactions[Quantity])</f>
        <v>50</v>
      </c>
      <c r="N681" s="200" t="s">
        <v>4593</v>
      </c>
      <c r="O681" s="234">
        <v>5</v>
      </c>
      <c r="P681" s="199">
        <f>TB_Parts_Lists[[#This Row],[Quantity Initial]]*TB_Parts_Lists[[#This Row],[Unit Price AED]]</f>
        <v>250</v>
      </c>
      <c r="Q681" s="199">
        <f>TB_Parts_Lists[[#This Row],[Quantity Total]]*TB_Parts_Lists[[#This Row],[Unit Price AED]]</f>
        <v>250</v>
      </c>
      <c r="S681" s="199" t="s">
        <v>118</v>
      </c>
      <c r="T681" s="199" t="s">
        <v>8675</v>
      </c>
      <c r="U681" s="199" t="s">
        <v>8675</v>
      </c>
    </row>
    <row r="682" spans="1:21" s="199" customFormat="1" x14ac:dyDescent="0.25">
      <c r="A682" s="192" t="s">
        <v>7186</v>
      </c>
      <c r="B682" s="201" t="s">
        <v>3335</v>
      </c>
      <c r="C682" s="199" t="s">
        <v>3005</v>
      </c>
      <c r="D682" s="188" t="s">
        <v>8724</v>
      </c>
      <c r="E682" s="188" t="s">
        <v>5180</v>
      </c>
      <c r="F682" s="189" t="s">
        <v>3839</v>
      </c>
      <c r="G682" s="199" t="s">
        <v>8273</v>
      </c>
      <c r="H682" s="199" t="s">
        <v>3312</v>
      </c>
      <c r="I682" s="199">
        <v>1</v>
      </c>
      <c r="J682" s="199">
        <v>1</v>
      </c>
      <c r="K682" s="199">
        <v>1</v>
      </c>
      <c r="L682" s="199">
        <v>50</v>
      </c>
      <c r="M682" s="202">
        <f>TB_Parts_Lists[[#This Row],[Quantity Initial]]+ SUMIF(TB_Transactions[Part number],TB_Parts_Lists[[#This Row],[Part Number]],TB_Transactions[Quantity])</f>
        <v>50</v>
      </c>
      <c r="N682" s="200" t="s">
        <v>4593</v>
      </c>
      <c r="O682" s="234">
        <v>5</v>
      </c>
      <c r="P682" s="199">
        <f>TB_Parts_Lists[[#This Row],[Quantity Initial]]*TB_Parts_Lists[[#This Row],[Unit Price AED]]</f>
        <v>250</v>
      </c>
      <c r="Q682" s="199">
        <f>TB_Parts_Lists[[#This Row],[Quantity Total]]*TB_Parts_Lists[[#This Row],[Unit Price AED]]</f>
        <v>250</v>
      </c>
      <c r="S682" s="199" t="s">
        <v>118</v>
      </c>
      <c r="T682" s="199" t="s">
        <v>8693</v>
      </c>
      <c r="U682" s="199" t="s">
        <v>119</v>
      </c>
    </row>
    <row r="683" spans="1:21" s="199" customFormat="1" x14ac:dyDescent="0.25">
      <c r="A683" s="192" t="s">
        <v>7187</v>
      </c>
      <c r="B683" s="201" t="s">
        <v>3337</v>
      </c>
      <c r="C683" s="199" t="s">
        <v>3378</v>
      </c>
      <c r="D683" s="199" t="s">
        <v>8732</v>
      </c>
      <c r="E683" s="188" t="s">
        <v>5181</v>
      </c>
      <c r="F683" s="189" t="s">
        <v>3840</v>
      </c>
      <c r="G683" s="199" t="s">
        <v>8273</v>
      </c>
      <c r="H683" s="199" t="s">
        <v>72</v>
      </c>
      <c r="I683" s="199">
        <v>1</v>
      </c>
      <c r="J683" s="199">
        <v>1</v>
      </c>
      <c r="K683" s="199">
        <v>1</v>
      </c>
      <c r="L683" s="199">
        <v>50</v>
      </c>
      <c r="M683" s="202">
        <f>TB_Parts_Lists[[#This Row],[Quantity Initial]]+ SUMIF(TB_Transactions[Part number],TB_Parts_Lists[[#This Row],[Part Number]],TB_Transactions[Quantity])</f>
        <v>50</v>
      </c>
      <c r="N683" s="200" t="s">
        <v>4593</v>
      </c>
      <c r="O683" s="234">
        <v>5</v>
      </c>
      <c r="P683" s="199">
        <f>TB_Parts_Lists[[#This Row],[Quantity Initial]]*TB_Parts_Lists[[#This Row],[Unit Price AED]]</f>
        <v>250</v>
      </c>
      <c r="Q683" s="199">
        <f>TB_Parts_Lists[[#This Row],[Quantity Total]]*TB_Parts_Lists[[#This Row],[Unit Price AED]]</f>
        <v>250</v>
      </c>
      <c r="S683" s="199" t="s">
        <v>118</v>
      </c>
      <c r="T683" s="199" t="s">
        <v>8675</v>
      </c>
      <c r="U683" s="199" t="s">
        <v>8675</v>
      </c>
    </row>
    <row r="684" spans="1:21" s="199" customFormat="1" x14ac:dyDescent="0.25">
      <c r="A684" s="192" t="s">
        <v>7188</v>
      </c>
      <c r="B684" s="201" t="s">
        <v>3331</v>
      </c>
      <c r="C684" s="199" t="s">
        <v>6652</v>
      </c>
      <c r="D684" s="199" t="s">
        <v>8723</v>
      </c>
      <c r="E684" s="188" t="s">
        <v>3786</v>
      </c>
      <c r="F684" s="189" t="s">
        <v>3841</v>
      </c>
      <c r="G684" s="199" t="s">
        <v>8273</v>
      </c>
      <c r="H684" s="199" t="s">
        <v>3312</v>
      </c>
      <c r="I684" s="199">
        <v>1</v>
      </c>
      <c r="J684" s="199">
        <v>1</v>
      </c>
      <c r="K684" s="199">
        <v>1</v>
      </c>
      <c r="L684" s="199">
        <v>50</v>
      </c>
      <c r="M684" s="202">
        <f>TB_Parts_Lists[[#This Row],[Quantity Initial]]+ SUMIF(TB_Transactions[Part number],TB_Parts_Lists[[#This Row],[Part Number]],TB_Transactions[Quantity])</f>
        <v>50</v>
      </c>
      <c r="N684" s="200" t="s">
        <v>4593</v>
      </c>
      <c r="O684" s="234">
        <v>5</v>
      </c>
      <c r="P684" s="199">
        <f>TB_Parts_Lists[[#This Row],[Quantity Initial]]*TB_Parts_Lists[[#This Row],[Unit Price AED]]</f>
        <v>250</v>
      </c>
      <c r="Q684" s="199">
        <f>TB_Parts_Lists[[#This Row],[Quantity Total]]*TB_Parts_Lists[[#This Row],[Unit Price AED]]</f>
        <v>250</v>
      </c>
      <c r="S684" s="199" t="s">
        <v>8675</v>
      </c>
      <c r="T684" s="199" t="s">
        <v>8675</v>
      </c>
      <c r="U684" s="199" t="s">
        <v>8675</v>
      </c>
    </row>
    <row r="685" spans="1:21" s="199" customFormat="1" x14ac:dyDescent="0.25">
      <c r="A685" s="192" t="s">
        <v>7189</v>
      </c>
      <c r="B685" s="201" t="s">
        <v>3332</v>
      </c>
      <c r="C685" s="199" t="s">
        <v>3357</v>
      </c>
      <c r="D685" s="199" t="s">
        <v>8723</v>
      </c>
      <c r="E685" s="188" t="s">
        <v>5182</v>
      </c>
      <c r="F685" s="189" t="s">
        <v>3842</v>
      </c>
      <c r="G685" s="199" t="s">
        <v>8273</v>
      </c>
      <c r="H685" s="199" t="s">
        <v>8642</v>
      </c>
      <c r="I685" s="199">
        <v>1</v>
      </c>
      <c r="J685" s="199">
        <v>1</v>
      </c>
      <c r="K685" s="199">
        <v>1</v>
      </c>
      <c r="L685" s="199">
        <v>50</v>
      </c>
      <c r="M685" s="202">
        <f>TB_Parts_Lists[[#This Row],[Quantity Initial]]+ SUMIF(TB_Transactions[Part number],TB_Parts_Lists[[#This Row],[Part Number]],TB_Transactions[Quantity])</f>
        <v>50</v>
      </c>
      <c r="N685" s="200" t="s">
        <v>4593</v>
      </c>
      <c r="O685" s="234">
        <v>5</v>
      </c>
      <c r="P685" s="199">
        <f>TB_Parts_Lists[[#This Row],[Quantity Initial]]*TB_Parts_Lists[[#This Row],[Unit Price AED]]</f>
        <v>250</v>
      </c>
      <c r="Q685" s="199">
        <f>TB_Parts_Lists[[#This Row],[Quantity Total]]*TB_Parts_Lists[[#This Row],[Unit Price AED]]</f>
        <v>250</v>
      </c>
      <c r="S685" s="199" t="s">
        <v>8675</v>
      </c>
      <c r="T685" s="199" t="s">
        <v>8675</v>
      </c>
      <c r="U685" s="199" t="s">
        <v>8675</v>
      </c>
    </row>
    <row r="686" spans="1:21" s="199" customFormat="1" x14ac:dyDescent="0.25">
      <c r="A686" s="192" t="s">
        <v>7190</v>
      </c>
      <c r="B686" s="201" t="s">
        <v>3332</v>
      </c>
      <c r="C686" s="199" t="s">
        <v>3357</v>
      </c>
      <c r="D686" s="199" t="s">
        <v>8723</v>
      </c>
      <c r="E686" s="188" t="s">
        <v>5183</v>
      </c>
      <c r="F686" s="189" t="s">
        <v>3843</v>
      </c>
      <c r="G686" s="199" t="s">
        <v>8273</v>
      </c>
      <c r="H686" s="199" t="s">
        <v>8642</v>
      </c>
      <c r="I686" s="199">
        <v>1</v>
      </c>
      <c r="J686" s="199">
        <v>1</v>
      </c>
      <c r="K686" s="199">
        <v>1</v>
      </c>
      <c r="L686" s="199">
        <v>50</v>
      </c>
      <c r="M686" s="202">
        <f>TB_Parts_Lists[[#This Row],[Quantity Initial]]+ SUMIF(TB_Transactions[Part number],TB_Parts_Lists[[#This Row],[Part Number]],TB_Transactions[Quantity])</f>
        <v>50</v>
      </c>
      <c r="N686" s="200" t="s">
        <v>4593</v>
      </c>
      <c r="O686" s="234">
        <v>5</v>
      </c>
      <c r="P686" s="199">
        <f>TB_Parts_Lists[[#This Row],[Quantity Initial]]*TB_Parts_Lists[[#This Row],[Unit Price AED]]</f>
        <v>250</v>
      </c>
      <c r="Q686" s="199">
        <f>TB_Parts_Lists[[#This Row],[Quantity Total]]*TB_Parts_Lists[[#This Row],[Unit Price AED]]</f>
        <v>250</v>
      </c>
      <c r="S686" s="199" t="s">
        <v>8675</v>
      </c>
      <c r="T686" s="199" t="s">
        <v>8675</v>
      </c>
      <c r="U686" s="199" t="s">
        <v>8675</v>
      </c>
    </row>
    <row r="687" spans="1:21" s="199" customFormat="1" x14ac:dyDescent="0.25">
      <c r="A687" s="192" t="s">
        <v>7191</v>
      </c>
      <c r="B687" s="201" t="s">
        <v>3332</v>
      </c>
      <c r="C687" s="199" t="s">
        <v>3357</v>
      </c>
      <c r="D687" s="199" t="s">
        <v>8732</v>
      </c>
      <c r="E687" s="188" t="s">
        <v>3788</v>
      </c>
      <c r="F687" s="189" t="s">
        <v>3844</v>
      </c>
      <c r="G687" s="199" t="s">
        <v>8273</v>
      </c>
      <c r="H687" s="199" t="s">
        <v>8638</v>
      </c>
      <c r="I687" s="199">
        <v>1</v>
      </c>
      <c r="J687" s="199">
        <v>1</v>
      </c>
      <c r="K687" s="199">
        <v>1</v>
      </c>
      <c r="L687" s="199">
        <v>50</v>
      </c>
      <c r="M687" s="202">
        <f>TB_Parts_Lists[[#This Row],[Quantity Initial]]+ SUMIF(TB_Transactions[Part number],TB_Parts_Lists[[#This Row],[Part Number]],TB_Transactions[Quantity])</f>
        <v>50</v>
      </c>
      <c r="N687" s="200" t="s">
        <v>4593</v>
      </c>
      <c r="O687" s="234">
        <v>5</v>
      </c>
      <c r="P687" s="199">
        <f>TB_Parts_Lists[[#This Row],[Quantity Initial]]*TB_Parts_Lists[[#This Row],[Unit Price AED]]</f>
        <v>250</v>
      </c>
      <c r="Q687" s="199">
        <f>TB_Parts_Lists[[#This Row],[Quantity Total]]*TB_Parts_Lists[[#This Row],[Unit Price AED]]</f>
        <v>250</v>
      </c>
      <c r="S687" s="199" t="s">
        <v>118</v>
      </c>
      <c r="T687" s="199" t="s">
        <v>8691</v>
      </c>
      <c r="U687" s="199" t="s">
        <v>8716</v>
      </c>
    </row>
    <row r="688" spans="1:21" s="199" customFormat="1" x14ac:dyDescent="0.25">
      <c r="A688" s="192" t="s">
        <v>7192</v>
      </c>
      <c r="B688" s="201" t="s">
        <v>3332</v>
      </c>
      <c r="C688" s="199" t="s">
        <v>3357</v>
      </c>
      <c r="D688" s="199" t="s">
        <v>8732</v>
      </c>
      <c r="E688" s="188" t="s">
        <v>5184</v>
      </c>
      <c r="F688" s="189" t="s">
        <v>3845</v>
      </c>
      <c r="G688" s="199" t="s">
        <v>8273</v>
      </c>
      <c r="H688" s="199" t="s">
        <v>72</v>
      </c>
      <c r="I688" s="199">
        <v>1</v>
      </c>
      <c r="J688" s="199">
        <v>1</v>
      </c>
      <c r="K688" s="199">
        <v>1</v>
      </c>
      <c r="L688" s="199">
        <v>50</v>
      </c>
      <c r="M688" s="202">
        <f>TB_Parts_Lists[[#This Row],[Quantity Initial]]+ SUMIF(TB_Transactions[Part number],TB_Parts_Lists[[#This Row],[Part Number]],TB_Transactions[Quantity])</f>
        <v>50</v>
      </c>
      <c r="N688" s="200" t="s">
        <v>4593</v>
      </c>
      <c r="O688" s="234">
        <v>5</v>
      </c>
      <c r="P688" s="199">
        <f>TB_Parts_Lists[[#This Row],[Quantity Initial]]*TB_Parts_Lists[[#This Row],[Unit Price AED]]</f>
        <v>250</v>
      </c>
      <c r="Q688" s="199">
        <f>TB_Parts_Lists[[#This Row],[Quantity Total]]*TB_Parts_Lists[[#This Row],[Unit Price AED]]</f>
        <v>250</v>
      </c>
      <c r="S688" s="199" t="s">
        <v>118</v>
      </c>
      <c r="T688" s="199" t="s">
        <v>8691</v>
      </c>
      <c r="U688" s="199" t="s">
        <v>8716</v>
      </c>
    </row>
    <row r="689" spans="1:21" s="199" customFormat="1" x14ac:dyDescent="0.25">
      <c r="A689" s="192" t="s">
        <v>7193</v>
      </c>
      <c r="B689" s="201" t="s">
        <v>3332</v>
      </c>
      <c r="C689" s="199" t="s">
        <v>3357</v>
      </c>
      <c r="D689" s="199" t="s">
        <v>8732</v>
      </c>
      <c r="E689" s="188" t="s">
        <v>5185</v>
      </c>
      <c r="F689" s="189" t="s">
        <v>3846</v>
      </c>
      <c r="G689" s="199" t="s">
        <v>8273</v>
      </c>
      <c r="H689" s="199" t="s">
        <v>2185</v>
      </c>
      <c r="I689" s="199">
        <v>1</v>
      </c>
      <c r="J689" s="199">
        <v>1</v>
      </c>
      <c r="K689" s="199">
        <v>1</v>
      </c>
      <c r="L689" s="199">
        <v>50</v>
      </c>
      <c r="M689" s="202">
        <f>TB_Parts_Lists[[#This Row],[Quantity Initial]]+ SUMIF(TB_Transactions[Part number],TB_Parts_Lists[[#This Row],[Part Number]],TB_Transactions[Quantity])</f>
        <v>50</v>
      </c>
      <c r="N689" s="200" t="s">
        <v>4593</v>
      </c>
      <c r="O689" s="234">
        <v>5</v>
      </c>
      <c r="P689" s="199">
        <f>TB_Parts_Lists[[#This Row],[Quantity Initial]]*TB_Parts_Lists[[#This Row],[Unit Price AED]]</f>
        <v>250</v>
      </c>
      <c r="Q689" s="199">
        <f>TB_Parts_Lists[[#This Row],[Quantity Total]]*TB_Parts_Lists[[#This Row],[Unit Price AED]]</f>
        <v>250</v>
      </c>
      <c r="S689" s="199" t="s">
        <v>118</v>
      </c>
      <c r="T689" s="199" t="s">
        <v>8691</v>
      </c>
      <c r="U689" s="199" t="s">
        <v>8716</v>
      </c>
    </row>
    <row r="690" spans="1:21" s="199" customFormat="1" x14ac:dyDescent="0.25">
      <c r="A690" s="192" t="s">
        <v>7194</v>
      </c>
      <c r="B690" s="201" t="s">
        <v>3330</v>
      </c>
      <c r="C690" s="199" t="s">
        <v>3338</v>
      </c>
      <c r="D690" s="188" t="s">
        <v>8724</v>
      </c>
      <c r="E690" s="188" t="s">
        <v>5186</v>
      </c>
      <c r="F690" s="189" t="s">
        <v>3847</v>
      </c>
      <c r="G690" s="199" t="s">
        <v>8273</v>
      </c>
      <c r="H690" s="199" t="s">
        <v>8653</v>
      </c>
      <c r="I690" s="199">
        <v>1</v>
      </c>
      <c r="J690" s="199">
        <v>1</v>
      </c>
      <c r="K690" s="199">
        <v>1</v>
      </c>
      <c r="L690" s="199">
        <v>50</v>
      </c>
      <c r="M690" s="202">
        <f>TB_Parts_Lists[[#This Row],[Quantity Initial]]+ SUMIF(TB_Transactions[Part number],TB_Parts_Lists[[#This Row],[Part Number]],TB_Transactions[Quantity])</f>
        <v>50</v>
      </c>
      <c r="N690" s="200" t="s">
        <v>4593</v>
      </c>
      <c r="O690" s="234">
        <v>5</v>
      </c>
      <c r="P690" s="199">
        <f>TB_Parts_Lists[[#This Row],[Quantity Initial]]*TB_Parts_Lists[[#This Row],[Unit Price AED]]</f>
        <v>250</v>
      </c>
      <c r="Q690" s="199">
        <f>TB_Parts_Lists[[#This Row],[Quantity Total]]*TB_Parts_Lists[[#This Row],[Unit Price AED]]</f>
        <v>250</v>
      </c>
      <c r="S690" s="199" t="s">
        <v>118</v>
      </c>
      <c r="T690" s="199" t="s">
        <v>8694</v>
      </c>
      <c r="U690" s="199" t="s">
        <v>8719</v>
      </c>
    </row>
    <row r="691" spans="1:21" s="199" customFormat="1" x14ac:dyDescent="0.25">
      <c r="A691" s="192" t="s">
        <v>7195</v>
      </c>
      <c r="B691" s="201" t="s">
        <v>3330</v>
      </c>
      <c r="C691" s="199" t="s">
        <v>3338</v>
      </c>
      <c r="D691" s="188" t="s">
        <v>8724</v>
      </c>
      <c r="E691" s="188" t="s">
        <v>2188</v>
      </c>
      <c r="F691" s="189" t="s">
        <v>3848</v>
      </c>
      <c r="G691" s="199" t="s">
        <v>8273</v>
      </c>
      <c r="H691" s="199" t="s">
        <v>2185</v>
      </c>
      <c r="I691" s="199">
        <v>1</v>
      </c>
      <c r="J691" s="199">
        <v>1</v>
      </c>
      <c r="K691" s="199">
        <v>1</v>
      </c>
      <c r="L691" s="199">
        <v>50</v>
      </c>
      <c r="M691" s="202">
        <f>TB_Parts_Lists[[#This Row],[Quantity Initial]]+ SUMIF(TB_Transactions[Part number],TB_Parts_Lists[[#This Row],[Part Number]],TB_Transactions[Quantity])</f>
        <v>50</v>
      </c>
      <c r="N691" s="200" t="s">
        <v>4593</v>
      </c>
      <c r="O691" s="234">
        <v>5</v>
      </c>
      <c r="P691" s="199">
        <f>TB_Parts_Lists[[#This Row],[Quantity Initial]]*TB_Parts_Lists[[#This Row],[Unit Price AED]]</f>
        <v>250</v>
      </c>
      <c r="Q691" s="199">
        <f>TB_Parts_Lists[[#This Row],[Quantity Total]]*TB_Parts_Lists[[#This Row],[Unit Price AED]]</f>
        <v>250</v>
      </c>
      <c r="S691" s="199" t="s">
        <v>8675</v>
      </c>
      <c r="T691" s="199" t="s">
        <v>8675</v>
      </c>
      <c r="U691" s="199" t="s">
        <v>8675</v>
      </c>
    </row>
    <row r="692" spans="1:21" s="199" customFormat="1" x14ac:dyDescent="0.25">
      <c r="A692" s="192" t="s">
        <v>7196</v>
      </c>
      <c r="B692" s="201" t="s">
        <v>3330</v>
      </c>
      <c r="C692" s="199" t="s">
        <v>7175</v>
      </c>
      <c r="D692" s="188" t="s">
        <v>8724</v>
      </c>
      <c r="E692" s="188" t="s">
        <v>5187</v>
      </c>
      <c r="F692" s="189" t="s">
        <v>3849</v>
      </c>
      <c r="G692" s="199" t="s">
        <v>8273</v>
      </c>
      <c r="H692" s="199" t="s">
        <v>8653</v>
      </c>
      <c r="I692" s="199">
        <v>1</v>
      </c>
      <c r="J692" s="199">
        <v>1</v>
      </c>
      <c r="K692" s="199">
        <v>1</v>
      </c>
      <c r="L692" s="199">
        <v>50</v>
      </c>
      <c r="M692" s="202">
        <f>TB_Parts_Lists[[#This Row],[Quantity Initial]]+ SUMIF(TB_Transactions[Part number],TB_Parts_Lists[[#This Row],[Part Number]],TB_Transactions[Quantity])</f>
        <v>50</v>
      </c>
      <c r="N692" s="200" t="s">
        <v>4593</v>
      </c>
      <c r="O692" s="234">
        <v>5</v>
      </c>
      <c r="P692" s="199">
        <f>TB_Parts_Lists[[#This Row],[Quantity Initial]]*TB_Parts_Lists[[#This Row],[Unit Price AED]]</f>
        <v>250</v>
      </c>
      <c r="Q692" s="199">
        <f>TB_Parts_Lists[[#This Row],[Quantity Total]]*TB_Parts_Lists[[#This Row],[Unit Price AED]]</f>
        <v>250</v>
      </c>
      <c r="S692" s="199" t="s">
        <v>118</v>
      </c>
      <c r="T692" s="199" t="s">
        <v>8694</v>
      </c>
      <c r="U692" s="199" t="s">
        <v>8719</v>
      </c>
    </row>
    <row r="693" spans="1:21" s="199" customFormat="1" x14ac:dyDescent="0.25">
      <c r="A693" s="192" t="s">
        <v>7197</v>
      </c>
      <c r="B693" s="201" t="s">
        <v>3329</v>
      </c>
      <c r="C693" s="199" t="s">
        <v>3343</v>
      </c>
      <c r="D693" s="188" t="s">
        <v>8724</v>
      </c>
      <c r="E693" s="188" t="s">
        <v>3343</v>
      </c>
      <c r="F693" s="189" t="s">
        <v>3850</v>
      </c>
      <c r="G693" s="199" t="s">
        <v>8273</v>
      </c>
      <c r="H693" s="199" t="s">
        <v>8653</v>
      </c>
      <c r="I693" s="199">
        <v>1</v>
      </c>
      <c r="J693" s="199">
        <v>1</v>
      </c>
      <c r="K693" s="199">
        <v>1</v>
      </c>
      <c r="L693" s="199">
        <v>50</v>
      </c>
      <c r="M693" s="202">
        <f>TB_Parts_Lists[[#This Row],[Quantity Initial]]+ SUMIF(TB_Transactions[Part number],TB_Parts_Lists[[#This Row],[Part Number]],TB_Transactions[Quantity])</f>
        <v>50</v>
      </c>
      <c r="N693" s="200" t="s">
        <v>4593</v>
      </c>
      <c r="O693" s="234">
        <v>5</v>
      </c>
      <c r="P693" s="199">
        <f>TB_Parts_Lists[[#This Row],[Quantity Initial]]*TB_Parts_Lists[[#This Row],[Unit Price AED]]</f>
        <v>250</v>
      </c>
      <c r="Q693" s="199">
        <f>TB_Parts_Lists[[#This Row],[Quantity Total]]*TB_Parts_Lists[[#This Row],[Unit Price AED]]</f>
        <v>250</v>
      </c>
      <c r="S693" s="199" t="s">
        <v>118</v>
      </c>
      <c r="T693" s="199" t="s">
        <v>8694</v>
      </c>
      <c r="U693" s="199" t="s">
        <v>8719</v>
      </c>
    </row>
    <row r="694" spans="1:21" s="199" customFormat="1" x14ac:dyDescent="0.25">
      <c r="A694" s="192" t="s">
        <v>7198</v>
      </c>
      <c r="B694" s="201" t="s">
        <v>3330</v>
      </c>
      <c r="C694" s="199" t="s">
        <v>7066</v>
      </c>
      <c r="D694" s="188" t="s">
        <v>8724</v>
      </c>
      <c r="E694" s="188" t="s">
        <v>5188</v>
      </c>
      <c r="F694" s="189" t="s">
        <v>3851</v>
      </c>
      <c r="G694" s="199" t="s">
        <v>8273</v>
      </c>
      <c r="H694" s="199" t="s">
        <v>8653</v>
      </c>
      <c r="I694" s="199">
        <v>1</v>
      </c>
      <c r="J694" s="199">
        <v>1</v>
      </c>
      <c r="K694" s="199">
        <v>1</v>
      </c>
      <c r="L694" s="199">
        <v>50</v>
      </c>
      <c r="M694" s="202">
        <f>TB_Parts_Lists[[#This Row],[Quantity Initial]]+ SUMIF(TB_Transactions[Part number],TB_Parts_Lists[[#This Row],[Part Number]],TB_Transactions[Quantity])</f>
        <v>50</v>
      </c>
      <c r="N694" s="200" t="s">
        <v>4593</v>
      </c>
      <c r="O694" s="234">
        <v>5</v>
      </c>
      <c r="P694" s="199">
        <f>TB_Parts_Lists[[#This Row],[Quantity Initial]]*TB_Parts_Lists[[#This Row],[Unit Price AED]]</f>
        <v>250</v>
      </c>
      <c r="Q694" s="199">
        <f>TB_Parts_Lists[[#This Row],[Quantity Total]]*TB_Parts_Lists[[#This Row],[Unit Price AED]]</f>
        <v>250</v>
      </c>
      <c r="S694" s="199" t="s">
        <v>118</v>
      </c>
      <c r="T694" s="199" t="s">
        <v>8694</v>
      </c>
      <c r="U694" s="199" t="s">
        <v>8719</v>
      </c>
    </row>
    <row r="695" spans="1:21" s="199" customFormat="1" x14ac:dyDescent="0.25">
      <c r="A695" s="192" t="s">
        <v>7199</v>
      </c>
      <c r="B695" s="201" t="s">
        <v>4605</v>
      </c>
      <c r="C695" s="199" t="s">
        <v>3338</v>
      </c>
      <c r="D695" s="188" t="s">
        <v>8724</v>
      </c>
      <c r="E695" s="188" t="s">
        <v>5189</v>
      </c>
      <c r="F695" s="189" t="s">
        <v>3852</v>
      </c>
      <c r="G695" s="199" t="s">
        <v>8273</v>
      </c>
      <c r="H695" s="199" t="s">
        <v>3312</v>
      </c>
      <c r="I695" s="199">
        <v>1</v>
      </c>
      <c r="J695" s="199">
        <v>1</v>
      </c>
      <c r="K695" s="199">
        <v>1</v>
      </c>
      <c r="L695" s="199">
        <v>50</v>
      </c>
      <c r="M695" s="202">
        <f>TB_Parts_Lists[[#This Row],[Quantity Initial]]+ SUMIF(TB_Transactions[Part number],TB_Parts_Lists[[#This Row],[Part Number]],TB_Transactions[Quantity])</f>
        <v>50</v>
      </c>
      <c r="N695" s="200" t="s">
        <v>4593</v>
      </c>
      <c r="O695" s="234">
        <v>5</v>
      </c>
      <c r="P695" s="199">
        <f>TB_Parts_Lists[[#This Row],[Quantity Initial]]*TB_Parts_Lists[[#This Row],[Unit Price AED]]</f>
        <v>250</v>
      </c>
      <c r="Q695" s="199">
        <f>TB_Parts_Lists[[#This Row],[Quantity Total]]*TB_Parts_Lists[[#This Row],[Unit Price AED]]</f>
        <v>250</v>
      </c>
      <c r="S695" s="199" t="s">
        <v>118</v>
      </c>
      <c r="T695" s="199" t="s">
        <v>8675</v>
      </c>
      <c r="U695" s="199" t="s">
        <v>8675</v>
      </c>
    </row>
    <row r="696" spans="1:21" s="199" customFormat="1" x14ac:dyDescent="0.25">
      <c r="A696" s="192" t="s">
        <v>7200</v>
      </c>
      <c r="B696" s="201" t="s">
        <v>3330</v>
      </c>
      <c r="C696" s="199" t="s">
        <v>7047</v>
      </c>
      <c r="D696" s="188" t="s">
        <v>8724</v>
      </c>
      <c r="E696" s="188" t="s">
        <v>5190</v>
      </c>
      <c r="F696" s="189" t="s">
        <v>3853</v>
      </c>
      <c r="G696" s="199" t="s">
        <v>8273</v>
      </c>
      <c r="H696" s="199" t="s">
        <v>8653</v>
      </c>
      <c r="I696" s="199">
        <v>1</v>
      </c>
      <c r="J696" s="199">
        <v>1</v>
      </c>
      <c r="K696" s="199">
        <v>1</v>
      </c>
      <c r="L696" s="199">
        <v>50</v>
      </c>
      <c r="M696" s="202">
        <f>TB_Parts_Lists[[#This Row],[Quantity Initial]]+ SUMIF(TB_Transactions[Part number],TB_Parts_Lists[[#This Row],[Part Number]],TB_Transactions[Quantity])</f>
        <v>50</v>
      </c>
      <c r="N696" s="200" t="s">
        <v>4593</v>
      </c>
      <c r="O696" s="234">
        <v>5</v>
      </c>
      <c r="P696" s="199">
        <f>TB_Parts_Lists[[#This Row],[Quantity Initial]]*TB_Parts_Lists[[#This Row],[Unit Price AED]]</f>
        <v>250</v>
      </c>
      <c r="Q696" s="199">
        <f>TB_Parts_Lists[[#This Row],[Quantity Total]]*TB_Parts_Lists[[#This Row],[Unit Price AED]]</f>
        <v>250</v>
      </c>
      <c r="S696" s="199" t="s">
        <v>118</v>
      </c>
      <c r="T696" s="199" t="s">
        <v>8694</v>
      </c>
      <c r="U696" s="199" t="s">
        <v>8719</v>
      </c>
    </row>
    <row r="697" spans="1:21" s="199" customFormat="1" x14ac:dyDescent="0.25">
      <c r="A697" s="192" t="s">
        <v>7201</v>
      </c>
      <c r="B697" s="201" t="s">
        <v>3332</v>
      </c>
      <c r="C697" s="199" t="s">
        <v>3357</v>
      </c>
      <c r="D697" s="199" t="s">
        <v>8723</v>
      </c>
      <c r="E697" s="188" t="s">
        <v>5191</v>
      </c>
      <c r="F697" s="189" t="s">
        <v>5998</v>
      </c>
      <c r="G697" s="199" t="s">
        <v>8273</v>
      </c>
      <c r="H697" s="199" t="s">
        <v>8642</v>
      </c>
      <c r="I697" s="199">
        <v>1</v>
      </c>
      <c r="J697" s="199">
        <v>1</v>
      </c>
      <c r="K697" s="199">
        <v>1</v>
      </c>
      <c r="L697" s="199">
        <v>50</v>
      </c>
      <c r="M697" s="202">
        <f>TB_Parts_Lists[[#This Row],[Quantity Initial]]+ SUMIF(TB_Transactions[Part number],TB_Parts_Lists[[#This Row],[Part Number]],TB_Transactions[Quantity])</f>
        <v>50</v>
      </c>
      <c r="N697" s="200" t="s">
        <v>4593</v>
      </c>
      <c r="O697" s="234">
        <v>5</v>
      </c>
      <c r="P697" s="199">
        <f>TB_Parts_Lists[[#This Row],[Quantity Initial]]*TB_Parts_Lists[[#This Row],[Unit Price AED]]</f>
        <v>250</v>
      </c>
      <c r="Q697" s="199">
        <f>TB_Parts_Lists[[#This Row],[Quantity Total]]*TB_Parts_Lists[[#This Row],[Unit Price AED]]</f>
        <v>250</v>
      </c>
      <c r="S697" s="199" t="s">
        <v>8675</v>
      </c>
      <c r="T697" s="199" t="s">
        <v>8675</v>
      </c>
      <c r="U697" s="199" t="s">
        <v>8675</v>
      </c>
    </row>
    <row r="698" spans="1:21" s="199" customFormat="1" x14ac:dyDescent="0.25">
      <c r="A698" s="192" t="s">
        <v>7202</v>
      </c>
      <c r="B698" s="201" t="s">
        <v>3329</v>
      </c>
      <c r="C698" s="199" t="s">
        <v>4633</v>
      </c>
      <c r="D698" s="188" t="s">
        <v>8724</v>
      </c>
      <c r="E698" s="188" t="s">
        <v>5192</v>
      </c>
      <c r="F698" s="189" t="s">
        <v>5999</v>
      </c>
      <c r="G698" s="199" t="s">
        <v>8273</v>
      </c>
      <c r="H698" s="199" t="s">
        <v>8655</v>
      </c>
      <c r="I698" s="199">
        <v>1</v>
      </c>
      <c r="J698" s="199">
        <v>1</v>
      </c>
      <c r="K698" s="199">
        <v>1</v>
      </c>
      <c r="L698" s="199">
        <v>50</v>
      </c>
      <c r="M698" s="202">
        <f>TB_Parts_Lists[[#This Row],[Quantity Initial]]+ SUMIF(TB_Transactions[Part number],TB_Parts_Lists[[#This Row],[Part Number]],TB_Transactions[Quantity])</f>
        <v>50</v>
      </c>
      <c r="N698" s="200" t="s">
        <v>4593</v>
      </c>
      <c r="O698" s="234">
        <v>5</v>
      </c>
      <c r="P698" s="199">
        <f>TB_Parts_Lists[[#This Row],[Quantity Initial]]*TB_Parts_Lists[[#This Row],[Unit Price AED]]</f>
        <v>250</v>
      </c>
      <c r="Q698" s="199">
        <f>TB_Parts_Lists[[#This Row],[Quantity Total]]*TB_Parts_Lists[[#This Row],[Unit Price AED]]</f>
        <v>250</v>
      </c>
      <c r="S698" s="199" t="s">
        <v>8675</v>
      </c>
      <c r="T698" s="199" t="s">
        <v>8675</v>
      </c>
      <c r="U698" s="199" t="s">
        <v>8675</v>
      </c>
    </row>
    <row r="699" spans="1:21" s="199" customFormat="1" x14ac:dyDescent="0.25">
      <c r="A699" s="192" t="s">
        <v>7203</v>
      </c>
      <c r="B699" s="201" t="s">
        <v>3330</v>
      </c>
      <c r="C699" s="199" t="s">
        <v>3338</v>
      </c>
      <c r="D699" s="188" t="s">
        <v>8724</v>
      </c>
      <c r="E699" s="188" t="s">
        <v>3899</v>
      </c>
      <c r="F699" s="189" t="s">
        <v>3854</v>
      </c>
      <c r="G699" s="199" t="s">
        <v>8274</v>
      </c>
      <c r="H699" s="199" t="s">
        <v>2185</v>
      </c>
      <c r="I699" s="199">
        <v>1</v>
      </c>
      <c r="J699" s="199">
        <v>1</v>
      </c>
      <c r="K699" s="199">
        <v>1</v>
      </c>
      <c r="L699" s="199">
        <v>50</v>
      </c>
      <c r="M699" s="202">
        <f>TB_Parts_Lists[[#This Row],[Quantity Initial]]+ SUMIF(TB_Transactions[Part number],TB_Parts_Lists[[#This Row],[Part Number]],TB_Transactions[Quantity])</f>
        <v>50</v>
      </c>
      <c r="N699" s="200" t="s">
        <v>4593</v>
      </c>
      <c r="O699" s="234">
        <v>5</v>
      </c>
      <c r="P699" s="199">
        <f>TB_Parts_Lists[[#This Row],[Quantity Initial]]*TB_Parts_Lists[[#This Row],[Unit Price AED]]</f>
        <v>250</v>
      </c>
      <c r="Q699" s="199">
        <f>TB_Parts_Lists[[#This Row],[Quantity Total]]*TB_Parts_Lists[[#This Row],[Unit Price AED]]</f>
        <v>250</v>
      </c>
      <c r="S699" s="199" t="s">
        <v>8675</v>
      </c>
      <c r="T699" s="199" t="s">
        <v>8675</v>
      </c>
      <c r="U699" s="199" t="s">
        <v>8675</v>
      </c>
    </row>
    <row r="700" spans="1:21" s="199" customFormat="1" x14ac:dyDescent="0.25">
      <c r="A700" s="192" t="s">
        <v>7205</v>
      </c>
      <c r="B700" s="201" t="s">
        <v>3330</v>
      </c>
      <c r="C700" s="199" t="s">
        <v>5051</v>
      </c>
      <c r="D700" s="188" t="s">
        <v>8724</v>
      </c>
      <c r="E700" s="188" t="s">
        <v>3900</v>
      </c>
      <c r="F700" s="189" t="s">
        <v>3855</v>
      </c>
      <c r="G700" s="199" t="s">
        <v>8274</v>
      </c>
      <c r="H700" s="199" t="s">
        <v>2185</v>
      </c>
      <c r="I700" s="199">
        <v>1</v>
      </c>
      <c r="J700" s="199">
        <v>1</v>
      </c>
      <c r="K700" s="199">
        <v>1</v>
      </c>
      <c r="L700" s="199">
        <v>50</v>
      </c>
      <c r="M700" s="202">
        <f>TB_Parts_Lists[[#This Row],[Quantity Initial]]+ SUMIF(TB_Transactions[Part number],TB_Parts_Lists[[#This Row],[Part Number]],TB_Transactions[Quantity])</f>
        <v>50</v>
      </c>
      <c r="N700" s="200" t="s">
        <v>4593</v>
      </c>
      <c r="O700" s="234">
        <v>5</v>
      </c>
      <c r="P700" s="199">
        <f>TB_Parts_Lists[[#This Row],[Quantity Initial]]*TB_Parts_Lists[[#This Row],[Unit Price AED]]</f>
        <v>250</v>
      </c>
      <c r="Q700" s="199">
        <f>TB_Parts_Lists[[#This Row],[Quantity Total]]*TB_Parts_Lists[[#This Row],[Unit Price AED]]</f>
        <v>250</v>
      </c>
      <c r="S700" s="199" t="s">
        <v>122</v>
      </c>
      <c r="T700" s="199" t="s">
        <v>8675</v>
      </c>
      <c r="U700" s="199" t="s">
        <v>8675</v>
      </c>
    </row>
    <row r="701" spans="1:21" s="199" customFormat="1" x14ac:dyDescent="0.25">
      <c r="A701" s="192" t="s">
        <v>7206</v>
      </c>
      <c r="B701" s="201" t="s">
        <v>3331</v>
      </c>
      <c r="C701" s="199" t="s">
        <v>7204</v>
      </c>
      <c r="D701" s="188" t="s">
        <v>8724</v>
      </c>
      <c r="E701" s="188" t="s">
        <v>3789</v>
      </c>
      <c r="F701" s="189" t="s">
        <v>3856</v>
      </c>
      <c r="G701" s="199" t="s">
        <v>8274</v>
      </c>
      <c r="H701" s="199" t="s">
        <v>123</v>
      </c>
      <c r="I701" s="199">
        <v>1</v>
      </c>
      <c r="J701" s="199">
        <v>1</v>
      </c>
      <c r="K701" s="199">
        <v>1</v>
      </c>
      <c r="L701" s="199">
        <v>50</v>
      </c>
      <c r="M701" s="202">
        <f>TB_Parts_Lists[[#This Row],[Quantity Initial]]+ SUMIF(TB_Transactions[Part number],TB_Parts_Lists[[#This Row],[Part Number]],TB_Transactions[Quantity])</f>
        <v>50</v>
      </c>
      <c r="N701" s="200" t="s">
        <v>4593</v>
      </c>
      <c r="O701" s="234">
        <v>5</v>
      </c>
      <c r="P701" s="199">
        <f>TB_Parts_Lists[[#This Row],[Quantity Initial]]*TB_Parts_Lists[[#This Row],[Unit Price AED]]</f>
        <v>250</v>
      </c>
      <c r="Q701" s="199">
        <f>TB_Parts_Lists[[#This Row],[Quantity Total]]*TB_Parts_Lists[[#This Row],[Unit Price AED]]</f>
        <v>250</v>
      </c>
      <c r="S701" s="199" t="s">
        <v>122</v>
      </c>
      <c r="T701" s="199" t="s">
        <v>8675</v>
      </c>
      <c r="U701" s="199" t="s">
        <v>8675</v>
      </c>
    </row>
    <row r="702" spans="1:21" s="199" customFormat="1" x14ac:dyDescent="0.25">
      <c r="A702" s="192" t="s">
        <v>7207</v>
      </c>
      <c r="B702" s="201" t="s">
        <v>3329</v>
      </c>
      <c r="C702" s="199" t="s">
        <v>4633</v>
      </c>
      <c r="D702" s="188" t="s">
        <v>8724</v>
      </c>
      <c r="E702" s="188" t="s">
        <v>3790</v>
      </c>
      <c r="F702" s="189" t="s">
        <v>3857</v>
      </c>
      <c r="G702" s="199" t="s">
        <v>8274</v>
      </c>
      <c r="H702" s="199" t="s">
        <v>2185</v>
      </c>
      <c r="I702" s="199">
        <v>1</v>
      </c>
      <c r="J702" s="199">
        <v>1</v>
      </c>
      <c r="K702" s="199">
        <v>1</v>
      </c>
      <c r="L702" s="199">
        <v>50</v>
      </c>
      <c r="M702" s="202">
        <f>TB_Parts_Lists[[#This Row],[Quantity Initial]]+ SUMIF(TB_Transactions[Part number],TB_Parts_Lists[[#This Row],[Part Number]],TB_Transactions[Quantity])</f>
        <v>50</v>
      </c>
      <c r="N702" s="200" t="s">
        <v>4593</v>
      </c>
      <c r="O702" s="234">
        <v>5</v>
      </c>
      <c r="P702" s="199">
        <f>TB_Parts_Lists[[#This Row],[Quantity Initial]]*TB_Parts_Lists[[#This Row],[Unit Price AED]]</f>
        <v>250</v>
      </c>
      <c r="Q702" s="199">
        <f>TB_Parts_Lists[[#This Row],[Quantity Total]]*TB_Parts_Lists[[#This Row],[Unit Price AED]]</f>
        <v>250</v>
      </c>
      <c r="S702" s="199" t="s">
        <v>122</v>
      </c>
      <c r="T702" s="199" t="s">
        <v>8675</v>
      </c>
      <c r="U702" s="199" t="s">
        <v>8675</v>
      </c>
    </row>
    <row r="703" spans="1:21" s="199" customFormat="1" x14ac:dyDescent="0.25">
      <c r="A703" s="192" t="s">
        <v>7208</v>
      </c>
      <c r="B703" s="201" t="s">
        <v>3330</v>
      </c>
      <c r="C703" s="199" t="s">
        <v>5051</v>
      </c>
      <c r="D703" s="188" t="s">
        <v>8724</v>
      </c>
      <c r="E703" s="188" t="s">
        <v>5193</v>
      </c>
      <c r="F703" s="189" t="s">
        <v>3858</v>
      </c>
      <c r="G703" s="199" t="s">
        <v>8274</v>
      </c>
      <c r="H703" s="199" t="s">
        <v>2185</v>
      </c>
      <c r="I703" s="199">
        <v>1</v>
      </c>
      <c r="J703" s="199">
        <v>1</v>
      </c>
      <c r="K703" s="199">
        <v>1</v>
      </c>
      <c r="L703" s="199">
        <v>50</v>
      </c>
      <c r="M703" s="202">
        <f>TB_Parts_Lists[[#This Row],[Quantity Initial]]+ SUMIF(TB_Transactions[Part number],TB_Parts_Lists[[#This Row],[Part Number]],TB_Transactions[Quantity])</f>
        <v>50</v>
      </c>
      <c r="N703" s="200" t="s">
        <v>4593</v>
      </c>
      <c r="O703" s="234">
        <v>5</v>
      </c>
      <c r="P703" s="199">
        <f>TB_Parts_Lists[[#This Row],[Quantity Initial]]*TB_Parts_Lists[[#This Row],[Unit Price AED]]</f>
        <v>250</v>
      </c>
      <c r="Q703" s="199">
        <f>TB_Parts_Lists[[#This Row],[Quantity Total]]*TB_Parts_Lists[[#This Row],[Unit Price AED]]</f>
        <v>250</v>
      </c>
      <c r="S703" s="199" t="s">
        <v>122</v>
      </c>
      <c r="T703" s="199" t="s">
        <v>8675</v>
      </c>
      <c r="U703" s="199" t="s">
        <v>8675</v>
      </c>
    </row>
    <row r="704" spans="1:21" s="199" customFormat="1" x14ac:dyDescent="0.25">
      <c r="A704" s="192" t="s">
        <v>7209</v>
      </c>
      <c r="B704" s="201" t="s">
        <v>3329</v>
      </c>
      <c r="C704" s="199" t="s">
        <v>3348</v>
      </c>
      <c r="D704" s="188" t="s">
        <v>8724</v>
      </c>
      <c r="E704" s="188" t="s">
        <v>3901</v>
      </c>
      <c r="F704" s="189" t="s">
        <v>3859</v>
      </c>
      <c r="G704" s="199" t="s">
        <v>8274</v>
      </c>
      <c r="H704" s="199" t="s">
        <v>2185</v>
      </c>
      <c r="I704" s="199">
        <v>1</v>
      </c>
      <c r="J704" s="199">
        <v>1</v>
      </c>
      <c r="K704" s="199">
        <v>1</v>
      </c>
      <c r="L704" s="199">
        <v>50</v>
      </c>
      <c r="M704" s="202">
        <f>TB_Parts_Lists[[#This Row],[Quantity Initial]]+ SUMIF(TB_Transactions[Part number],TB_Parts_Lists[[#This Row],[Part Number]],TB_Transactions[Quantity])</f>
        <v>50</v>
      </c>
      <c r="N704" s="200" t="s">
        <v>4593</v>
      </c>
      <c r="O704" s="234">
        <v>5</v>
      </c>
      <c r="P704" s="199">
        <f>TB_Parts_Lists[[#This Row],[Quantity Initial]]*TB_Parts_Lists[[#This Row],[Unit Price AED]]</f>
        <v>250</v>
      </c>
      <c r="Q704" s="199">
        <f>TB_Parts_Lists[[#This Row],[Quantity Total]]*TB_Parts_Lists[[#This Row],[Unit Price AED]]</f>
        <v>250</v>
      </c>
      <c r="S704" s="199" t="s">
        <v>8675</v>
      </c>
      <c r="T704" s="199" t="s">
        <v>8675</v>
      </c>
      <c r="U704" s="199" t="s">
        <v>8675</v>
      </c>
    </row>
    <row r="705" spans="1:21" s="199" customFormat="1" x14ac:dyDescent="0.25">
      <c r="A705" s="192" t="s">
        <v>7210</v>
      </c>
      <c r="B705" s="201" t="s">
        <v>3329</v>
      </c>
      <c r="C705" s="199" t="s">
        <v>3345</v>
      </c>
      <c r="D705" s="188" t="s">
        <v>8724</v>
      </c>
      <c r="E705" s="188" t="s">
        <v>5194</v>
      </c>
      <c r="F705" s="189" t="s">
        <v>3860</v>
      </c>
      <c r="G705" s="199" t="s">
        <v>8274</v>
      </c>
      <c r="H705" s="199" t="s">
        <v>2185</v>
      </c>
      <c r="I705" s="199">
        <v>1</v>
      </c>
      <c r="J705" s="199">
        <v>1</v>
      </c>
      <c r="K705" s="199">
        <v>1</v>
      </c>
      <c r="L705" s="199">
        <v>50</v>
      </c>
      <c r="M705" s="202">
        <f>TB_Parts_Lists[[#This Row],[Quantity Initial]]+ SUMIF(TB_Transactions[Part number],TB_Parts_Lists[[#This Row],[Part Number]],TB_Transactions[Quantity])</f>
        <v>50</v>
      </c>
      <c r="N705" s="200" t="s">
        <v>4593</v>
      </c>
      <c r="O705" s="234">
        <v>5</v>
      </c>
      <c r="P705" s="199">
        <f>TB_Parts_Lists[[#This Row],[Quantity Initial]]*TB_Parts_Lists[[#This Row],[Unit Price AED]]</f>
        <v>250</v>
      </c>
      <c r="Q705" s="199">
        <f>TB_Parts_Lists[[#This Row],[Quantity Total]]*TB_Parts_Lists[[#This Row],[Unit Price AED]]</f>
        <v>250</v>
      </c>
      <c r="S705" s="199" t="s">
        <v>122</v>
      </c>
      <c r="T705" s="199" t="s">
        <v>8675</v>
      </c>
      <c r="U705" s="199" t="s">
        <v>8675</v>
      </c>
    </row>
    <row r="706" spans="1:21" s="199" customFormat="1" x14ac:dyDescent="0.25">
      <c r="A706" s="192" t="s">
        <v>7211</v>
      </c>
      <c r="B706" s="201" t="s">
        <v>3330</v>
      </c>
      <c r="C706" s="199" t="s">
        <v>3567</v>
      </c>
      <c r="D706" s="188" t="s">
        <v>8724</v>
      </c>
      <c r="E706" s="188" t="s">
        <v>5195</v>
      </c>
      <c r="F706" s="189" t="s">
        <v>3861</v>
      </c>
      <c r="G706" s="199" t="s">
        <v>8274</v>
      </c>
      <c r="H706" s="199" t="s">
        <v>2185</v>
      </c>
      <c r="I706" s="199">
        <v>1</v>
      </c>
      <c r="J706" s="199">
        <v>1</v>
      </c>
      <c r="K706" s="199">
        <v>1</v>
      </c>
      <c r="L706" s="199">
        <v>50</v>
      </c>
      <c r="M706" s="202">
        <f>TB_Parts_Lists[[#This Row],[Quantity Initial]]+ SUMIF(TB_Transactions[Part number],TB_Parts_Lists[[#This Row],[Part Number]],TB_Transactions[Quantity])</f>
        <v>50</v>
      </c>
      <c r="N706" s="200" t="s">
        <v>4593</v>
      </c>
      <c r="O706" s="234">
        <v>5</v>
      </c>
      <c r="P706" s="199">
        <f>TB_Parts_Lists[[#This Row],[Quantity Initial]]*TB_Parts_Lists[[#This Row],[Unit Price AED]]</f>
        <v>250</v>
      </c>
      <c r="Q706" s="199">
        <f>TB_Parts_Lists[[#This Row],[Quantity Total]]*TB_Parts_Lists[[#This Row],[Unit Price AED]]</f>
        <v>250</v>
      </c>
      <c r="S706" s="199" t="s">
        <v>8675</v>
      </c>
      <c r="T706" s="199" t="s">
        <v>8675</v>
      </c>
      <c r="U706" s="199" t="s">
        <v>8675</v>
      </c>
    </row>
    <row r="707" spans="1:21" s="199" customFormat="1" x14ac:dyDescent="0.25">
      <c r="A707" s="192" t="s">
        <v>7212</v>
      </c>
      <c r="B707" s="201" t="s">
        <v>3333</v>
      </c>
      <c r="C707" s="199" t="s">
        <v>6421</v>
      </c>
      <c r="D707" s="188" t="s">
        <v>8724</v>
      </c>
      <c r="E707" s="188" t="s">
        <v>3902</v>
      </c>
      <c r="F707" s="189" t="s">
        <v>3862</v>
      </c>
      <c r="G707" s="199" t="s">
        <v>8274</v>
      </c>
      <c r="H707" s="199" t="s">
        <v>2185</v>
      </c>
      <c r="I707" s="199">
        <v>1</v>
      </c>
      <c r="J707" s="199">
        <v>1</v>
      </c>
      <c r="K707" s="199">
        <v>1</v>
      </c>
      <c r="L707" s="199">
        <v>50</v>
      </c>
      <c r="M707" s="202">
        <f>TB_Parts_Lists[[#This Row],[Quantity Initial]]+ SUMIF(TB_Transactions[Part number],TB_Parts_Lists[[#This Row],[Part Number]],TB_Transactions[Quantity])</f>
        <v>50</v>
      </c>
      <c r="N707" s="200" t="s">
        <v>4593</v>
      </c>
      <c r="O707" s="234">
        <v>5</v>
      </c>
      <c r="P707" s="199">
        <f>TB_Parts_Lists[[#This Row],[Quantity Initial]]*TB_Parts_Lists[[#This Row],[Unit Price AED]]</f>
        <v>250</v>
      </c>
      <c r="Q707" s="199">
        <f>TB_Parts_Lists[[#This Row],[Quantity Total]]*TB_Parts_Lists[[#This Row],[Unit Price AED]]</f>
        <v>250</v>
      </c>
      <c r="S707" s="199" t="s">
        <v>8675</v>
      </c>
      <c r="T707" s="199" t="s">
        <v>8675</v>
      </c>
      <c r="U707" s="199" t="s">
        <v>8675</v>
      </c>
    </row>
    <row r="708" spans="1:21" s="199" customFormat="1" x14ac:dyDescent="0.25">
      <c r="A708" s="192" t="s">
        <v>7213</v>
      </c>
      <c r="B708" s="201" t="s">
        <v>3330</v>
      </c>
      <c r="C708" s="199" t="s">
        <v>3338</v>
      </c>
      <c r="D708" s="199" t="s">
        <v>8723</v>
      </c>
      <c r="E708" s="188" t="s">
        <v>3903</v>
      </c>
      <c r="F708" s="189" t="s">
        <v>3863</v>
      </c>
      <c r="G708" s="199" t="s">
        <v>8274</v>
      </c>
      <c r="H708" s="199" t="s">
        <v>8642</v>
      </c>
      <c r="I708" s="199">
        <v>1</v>
      </c>
      <c r="J708" s="199">
        <v>1</v>
      </c>
      <c r="K708" s="199">
        <v>1</v>
      </c>
      <c r="L708" s="199">
        <v>50</v>
      </c>
      <c r="M708" s="202">
        <f>TB_Parts_Lists[[#This Row],[Quantity Initial]]+ SUMIF(TB_Transactions[Part number],TB_Parts_Lists[[#This Row],[Part Number]],TB_Transactions[Quantity])</f>
        <v>50</v>
      </c>
      <c r="N708" s="200" t="s">
        <v>4593</v>
      </c>
      <c r="O708" s="234">
        <v>5</v>
      </c>
      <c r="P708" s="199">
        <f>TB_Parts_Lists[[#This Row],[Quantity Initial]]*TB_Parts_Lists[[#This Row],[Unit Price AED]]</f>
        <v>250</v>
      </c>
      <c r="Q708" s="199">
        <f>TB_Parts_Lists[[#This Row],[Quantity Total]]*TB_Parts_Lists[[#This Row],[Unit Price AED]]</f>
        <v>250</v>
      </c>
      <c r="S708" s="199" t="s">
        <v>8675</v>
      </c>
      <c r="T708" s="199" t="s">
        <v>8675</v>
      </c>
      <c r="U708" s="199" t="s">
        <v>8675</v>
      </c>
    </row>
    <row r="709" spans="1:21" s="199" customFormat="1" x14ac:dyDescent="0.25">
      <c r="A709" s="192" t="s">
        <v>7214</v>
      </c>
      <c r="B709" s="201" t="s">
        <v>3332</v>
      </c>
      <c r="C709" s="199" t="s">
        <v>3356</v>
      </c>
      <c r="D709" s="188" t="s">
        <v>8724</v>
      </c>
      <c r="E709" s="188" t="s">
        <v>5196</v>
      </c>
      <c r="F709" s="189" t="s">
        <v>3864</v>
      </c>
      <c r="G709" s="199" t="s">
        <v>8274</v>
      </c>
      <c r="H709" s="199" t="s">
        <v>8653</v>
      </c>
      <c r="I709" s="199">
        <v>1</v>
      </c>
      <c r="J709" s="199">
        <v>1</v>
      </c>
      <c r="K709" s="199">
        <v>1</v>
      </c>
      <c r="L709" s="199">
        <v>50</v>
      </c>
      <c r="M709" s="202">
        <f>TB_Parts_Lists[[#This Row],[Quantity Initial]]+ SUMIF(TB_Transactions[Part number],TB_Parts_Lists[[#This Row],[Part Number]],TB_Transactions[Quantity])</f>
        <v>50</v>
      </c>
      <c r="N709" s="200" t="s">
        <v>4593</v>
      </c>
      <c r="O709" s="234">
        <v>5</v>
      </c>
      <c r="P709" s="199">
        <f>TB_Parts_Lists[[#This Row],[Quantity Initial]]*TB_Parts_Lists[[#This Row],[Unit Price AED]]</f>
        <v>250</v>
      </c>
      <c r="Q709" s="199">
        <f>TB_Parts_Lists[[#This Row],[Quantity Total]]*TB_Parts_Lists[[#This Row],[Unit Price AED]]</f>
        <v>250</v>
      </c>
      <c r="S709" s="199" t="s">
        <v>118</v>
      </c>
      <c r="T709" s="199" t="s">
        <v>8691</v>
      </c>
      <c r="U709" s="199" t="s">
        <v>8716</v>
      </c>
    </row>
    <row r="710" spans="1:21" s="199" customFormat="1" x14ac:dyDescent="0.25">
      <c r="A710" s="192" t="s">
        <v>7215</v>
      </c>
      <c r="B710" s="201" t="s">
        <v>3330</v>
      </c>
      <c r="C710" s="199" t="s">
        <v>3338</v>
      </c>
      <c r="D710" s="188" t="s">
        <v>8724</v>
      </c>
      <c r="E710" s="188" t="s">
        <v>3904</v>
      </c>
      <c r="F710" s="189" t="s">
        <v>3865</v>
      </c>
      <c r="G710" s="199" t="s">
        <v>8274</v>
      </c>
      <c r="H710" s="199" t="s">
        <v>2185</v>
      </c>
      <c r="I710" s="199">
        <v>1</v>
      </c>
      <c r="J710" s="199">
        <v>1</v>
      </c>
      <c r="K710" s="199">
        <v>1</v>
      </c>
      <c r="L710" s="199">
        <v>50</v>
      </c>
      <c r="M710" s="202">
        <f>TB_Parts_Lists[[#This Row],[Quantity Initial]]+ SUMIF(TB_Transactions[Part number],TB_Parts_Lists[[#This Row],[Part Number]],TB_Transactions[Quantity])</f>
        <v>50</v>
      </c>
      <c r="N710" s="200" t="s">
        <v>4593</v>
      </c>
      <c r="O710" s="234">
        <v>5</v>
      </c>
      <c r="P710" s="199">
        <f>TB_Parts_Lists[[#This Row],[Quantity Initial]]*TB_Parts_Lists[[#This Row],[Unit Price AED]]</f>
        <v>250</v>
      </c>
      <c r="Q710" s="199">
        <f>TB_Parts_Lists[[#This Row],[Quantity Total]]*TB_Parts_Lists[[#This Row],[Unit Price AED]]</f>
        <v>250</v>
      </c>
      <c r="S710" s="199" t="s">
        <v>8675</v>
      </c>
      <c r="T710" s="199" t="s">
        <v>8675</v>
      </c>
      <c r="U710" s="199" t="s">
        <v>8675</v>
      </c>
    </row>
    <row r="711" spans="1:21" s="199" customFormat="1" x14ac:dyDescent="0.25">
      <c r="A711" s="192" t="s">
        <v>7216</v>
      </c>
      <c r="B711" s="201" t="s">
        <v>3331</v>
      </c>
      <c r="C711" s="199" t="s">
        <v>6652</v>
      </c>
      <c r="D711" s="188" t="s">
        <v>8724</v>
      </c>
      <c r="E711" s="188" t="s">
        <v>3791</v>
      </c>
      <c r="F711" s="189" t="s">
        <v>3866</v>
      </c>
      <c r="G711" s="199" t="s">
        <v>8274</v>
      </c>
      <c r="H711" s="199" t="s">
        <v>2185</v>
      </c>
      <c r="I711" s="199">
        <v>1</v>
      </c>
      <c r="J711" s="199">
        <v>1</v>
      </c>
      <c r="K711" s="199">
        <v>1</v>
      </c>
      <c r="L711" s="199">
        <v>50</v>
      </c>
      <c r="M711" s="202">
        <f>TB_Parts_Lists[[#This Row],[Quantity Initial]]+ SUMIF(TB_Transactions[Part number],TB_Parts_Lists[[#This Row],[Part Number]],TB_Transactions[Quantity])</f>
        <v>50</v>
      </c>
      <c r="N711" s="200" t="s">
        <v>4593</v>
      </c>
      <c r="O711" s="234">
        <v>5</v>
      </c>
      <c r="P711" s="199">
        <f>TB_Parts_Lists[[#This Row],[Quantity Initial]]*TB_Parts_Lists[[#This Row],[Unit Price AED]]</f>
        <v>250</v>
      </c>
      <c r="Q711" s="199">
        <f>TB_Parts_Lists[[#This Row],[Quantity Total]]*TB_Parts_Lists[[#This Row],[Unit Price AED]]</f>
        <v>250</v>
      </c>
      <c r="S711" s="199" t="s">
        <v>8675</v>
      </c>
      <c r="T711" s="199" t="s">
        <v>8675</v>
      </c>
      <c r="U711" s="199" t="s">
        <v>8675</v>
      </c>
    </row>
    <row r="712" spans="1:21" s="199" customFormat="1" x14ac:dyDescent="0.25">
      <c r="A712" s="192" t="s">
        <v>7217</v>
      </c>
      <c r="B712" s="201" t="s">
        <v>3337</v>
      </c>
      <c r="C712" s="199" t="s">
        <v>3378</v>
      </c>
      <c r="D712" s="188" t="s">
        <v>8724</v>
      </c>
      <c r="E712" s="188" t="s">
        <v>5197</v>
      </c>
      <c r="F712" s="189" t="s">
        <v>3867</v>
      </c>
      <c r="G712" s="199" t="s">
        <v>8274</v>
      </c>
      <c r="H712" s="199" t="s">
        <v>2185</v>
      </c>
      <c r="I712" s="199">
        <v>1</v>
      </c>
      <c r="J712" s="199">
        <v>1</v>
      </c>
      <c r="K712" s="199">
        <v>1</v>
      </c>
      <c r="L712" s="199">
        <v>50</v>
      </c>
      <c r="M712" s="202">
        <f>TB_Parts_Lists[[#This Row],[Quantity Initial]]+ SUMIF(TB_Transactions[Part number],TB_Parts_Lists[[#This Row],[Part Number]],TB_Transactions[Quantity])</f>
        <v>50</v>
      </c>
      <c r="N712" s="200" t="s">
        <v>4593</v>
      </c>
      <c r="O712" s="234">
        <v>5</v>
      </c>
      <c r="P712" s="199">
        <f>TB_Parts_Lists[[#This Row],[Quantity Initial]]*TB_Parts_Lists[[#This Row],[Unit Price AED]]</f>
        <v>250</v>
      </c>
      <c r="Q712" s="199">
        <f>TB_Parts_Lists[[#This Row],[Quantity Total]]*TB_Parts_Lists[[#This Row],[Unit Price AED]]</f>
        <v>250</v>
      </c>
      <c r="S712" s="199" t="s">
        <v>8675</v>
      </c>
      <c r="T712" s="199" t="s">
        <v>8675</v>
      </c>
      <c r="U712" s="199" t="s">
        <v>8675</v>
      </c>
    </row>
    <row r="713" spans="1:21" s="199" customFormat="1" x14ac:dyDescent="0.25">
      <c r="A713" s="192" t="s">
        <v>7218</v>
      </c>
      <c r="B713" s="201" t="s">
        <v>3329</v>
      </c>
      <c r="C713" s="199" t="s">
        <v>3345</v>
      </c>
      <c r="D713" s="188" t="s">
        <v>8724</v>
      </c>
      <c r="E713" s="188" t="s">
        <v>3792</v>
      </c>
      <c r="F713" s="189" t="s">
        <v>3868</v>
      </c>
      <c r="G713" s="199" t="s">
        <v>8274</v>
      </c>
      <c r="H713" s="199" t="s">
        <v>2185</v>
      </c>
      <c r="I713" s="199">
        <v>1</v>
      </c>
      <c r="J713" s="199">
        <v>1</v>
      </c>
      <c r="K713" s="199">
        <v>1</v>
      </c>
      <c r="L713" s="199">
        <v>50</v>
      </c>
      <c r="M713" s="202">
        <f>TB_Parts_Lists[[#This Row],[Quantity Initial]]+ SUMIF(TB_Transactions[Part number],TB_Parts_Lists[[#This Row],[Part Number]],TB_Transactions[Quantity])</f>
        <v>50</v>
      </c>
      <c r="N713" s="200" t="s">
        <v>4593</v>
      </c>
      <c r="O713" s="234">
        <v>5</v>
      </c>
      <c r="P713" s="199">
        <f>TB_Parts_Lists[[#This Row],[Quantity Initial]]*TB_Parts_Lists[[#This Row],[Unit Price AED]]</f>
        <v>250</v>
      </c>
      <c r="Q713" s="199">
        <f>TB_Parts_Lists[[#This Row],[Quantity Total]]*TB_Parts_Lists[[#This Row],[Unit Price AED]]</f>
        <v>250</v>
      </c>
      <c r="S713" s="199" t="s">
        <v>8675</v>
      </c>
      <c r="T713" s="199" t="s">
        <v>8675</v>
      </c>
      <c r="U713" s="199" t="s">
        <v>8675</v>
      </c>
    </row>
    <row r="714" spans="1:21" s="199" customFormat="1" x14ac:dyDescent="0.25">
      <c r="A714" s="192" t="s">
        <v>7220</v>
      </c>
      <c r="B714" s="201" t="s">
        <v>3329</v>
      </c>
      <c r="C714" s="199" t="s">
        <v>7219</v>
      </c>
      <c r="D714" s="188" t="s">
        <v>8724</v>
      </c>
      <c r="E714" s="188" t="s">
        <v>3793</v>
      </c>
      <c r="F714" s="189" t="s">
        <v>3869</v>
      </c>
      <c r="G714" s="199" t="s">
        <v>8274</v>
      </c>
      <c r="H714" s="199" t="s">
        <v>2185</v>
      </c>
      <c r="I714" s="199">
        <v>1</v>
      </c>
      <c r="J714" s="199">
        <v>1</v>
      </c>
      <c r="K714" s="199">
        <v>1</v>
      </c>
      <c r="L714" s="199">
        <v>50</v>
      </c>
      <c r="M714" s="202">
        <f>TB_Parts_Lists[[#This Row],[Quantity Initial]]+ SUMIF(TB_Transactions[Part number],TB_Parts_Lists[[#This Row],[Part Number]],TB_Transactions[Quantity])</f>
        <v>50</v>
      </c>
      <c r="N714" s="200" t="s">
        <v>4593</v>
      </c>
      <c r="O714" s="234">
        <v>5</v>
      </c>
      <c r="P714" s="199">
        <f>TB_Parts_Lists[[#This Row],[Quantity Initial]]*TB_Parts_Lists[[#This Row],[Unit Price AED]]</f>
        <v>250</v>
      </c>
      <c r="Q714" s="199">
        <f>TB_Parts_Lists[[#This Row],[Quantity Total]]*TB_Parts_Lists[[#This Row],[Unit Price AED]]</f>
        <v>250</v>
      </c>
      <c r="S714" s="199" t="s">
        <v>8675</v>
      </c>
      <c r="T714" s="199" t="s">
        <v>8675</v>
      </c>
      <c r="U714" s="199" t="s">
        <v>8675</v>
      </c>
    </row>
    <row r="715" spans="1:21" s="199" customFormat="1" x14ac:dyDescent="0.25">
      <c r="A715" s="192" t="s">
        <v>7221</v>
      </c>
      <c r="B715" s="201" t="s">
        <v>3330</v>
      </c>
      <c r="C715" s="199" t="s">
        <v>5051</v>
      </c>
      <c r="D715" s="188" t="s">
        <v>8724</v>
      </c>
      <c r="E715" s="188" t="s">
        <v>3905</v>
      </c>
      <c r="F715" s="189" t="s">
        <v>3870</v>
      </c>
      <c r="G715" s="199" t="s">
        <v>8274</v>
      </c>
      <c r="H715" s="199" t="s">
        <v>2185</v>
      </c>
      <c r="I715" s="199">
        <v>1</v>
      </c>
      <c r="J715" s="199">
        <v>1</v>
      </c>
      <c r="K715" s="199">
        <v>1</v>
      </c>
      <c r="L715" s="199">
        <v>50</v>
      </c>
      <c r="M715" s="202">
        <f>TB_Parts_Lists[[#This Row],[Quantity Initial]]+ SUMIF(TB_Transactions[Part number],TB_Parts_Lists[[#This Row],[Part Number]],TB_Transactions[Quantity])</f>
        <v>50</v>
      </c>
      <c r="N715" s="200" t="s">
        <v>4593</v>
      </c>
      <c r="O715" s="234">
        <v>5</v>
      </c>
      <c r="P715" s="199">
        <f>TB_Parts_Lists[[#This Row],[Quantity Initial]]*TB_Parts_Lists[[#This Row],[Unit Price AED]]</f>
        <v>250</v>
      </c>
      <c r="Q715" s="199">
        <f>TB_Parts_Lists[[#This Row],[Quantity Total]]*TB_Parts_Lists[[#This Row],[Unit Price AED]]</f>
        <v>250</v>
      </c>
      <c r="S715" s="199" t="s">
        <v>8675</v>
      </c>
      <c r="T715" s="199" t="s">
        <v>8675</v>
      </c>
      <c r="U715" s="199" t="s">
        <v>8675</v>
      </c>
    </row>
    <row r="716" spans="1:21" s="199" customFormat="1" x14ac:dyDescent="0.25">
      <c r="A716" s="192" t="s">
        <v>7223</v>
      </c>
      <c r="B716" s="207" t="s">
        <v>3334</v>
      </c>
      <c r="C716" s="205" t="s">
        <v>7222</v>
      </c>
      <c r="D716" s="188" t="s">
        <v>8724</v>
      </c>
      <c r="E716" s="188" t="s">
        <v>3906</v>
      </c>
      <c r="F716" s="189" t="s">
        <v>3871</v>
      </c>
      <c r="G716" s="199" t="s">
        <v>8274</v>
      </c>
      <c r="H716" s="199" t="s">
        <v>2185</v>
      </c>
      <c r="I716" s="199">
        <v>1</v>
      </c>
      <c r="J716" s="199">
        <v>1</v>
      </c>
      <c r="K716" s="199">
        <v>1</v>
      </c>
      <c r="L716" s="199">
        <v>50</v>
      </c>
      <c r="M716" s="206">
        <f>TB_Parts_Lists[[#This Row],[Quantity Initial]]+ SUMIF(TB_Transactions[Part number],TB_Parts_Lists[[#This Row],[Part Number]],TB_Transactions[Quantity])</f>
        <v>50</v>
      </c>
      <c r="N716" s="200" t="s">
        <v>4593</v>
      </c>
      <c r="O716" s="234">
        <v>5</v>
      </c>
      <c r="P716" s="199">
        <f>TB_Parts_Lists[[#This Row],[Quantity Initial]]*TB_Parts_Lists[[#This Row],[Unit Price AED]]</f>
        <v>250</v>
      </c>
      <c r="Q716" s="199">
        <f>TB_Parts_Lists[[#This Row],[Quantity Total]]*TB_Parts_Lists[[#This Row],[Unit Price AED]]</f>
        <v>250</v>
      </c>
      <c r="R716" s="205"/>
      <c r="S716" s="199" t="s">
        <v>8675</v>
      </c>
      <c r="T716" s="199" t="s">
        <v>8675</v>
      </c>
      <c r="U716" s="199" t="s">
        <v>8675</v>
      </c>
    </row>
    <row r="717" spans="1:21" s="199" customFormat="1" x14ac:dyDescent="0.25">
      <c r="A717" s="192" t="s">
        <v>7225</v>
      </c>
      <c r="B717" s="201" t="s">
        <v>4697</v>
      </c>
      <c r="C717" s="199" t="s">
        <v>7224</v>
      </c>
      <c r="D717" s="188" t="s">
        <v>8724</v>
      </c>
      <c r="E717" s="188" t="s">
        <v>3907</v>
      </c>
      <c r="F717" s="189" t="s">
        <v>3872</v>
      </c>
      <c r="G717" s="199" t="s">
        <v>8274</v>
      </c>
      <c r="H717" s="199" t="s">
        <v>2185</v>
      </c>
      <c r="I717" s="199">
        <v>1</v>
      </c>
      <c r="J717" s="199">
        <v>1</v>
      </c>
      <c r="K717" s="199">
        <v>1</v>
      </c>
      <c r="L717" s="199">
        <v>50</v>
      </c>
      <c r="M717" s="202">
        <f>TB_Parts_Lists[[#This Row],[Quantity Initial]]+ SUMIF(TB_Transactions[Part number],TB_Parts_Lists[[#This Row],[Part Number]],TB_Transactions[Quantity])</f>
        <v>50</v>
      </c>
      <c r="N717" s="200" t="s">
        <v>4593</v>
      </c>
      <c r="O717" s="234">
        <v>5</v>
      </c>
      <c r="P717" s="199">
        <f>TB_Parts_Lists[[#This Row],[Quantity Initial]]*TB_Parts_Lists[[#This Row],[Unit Price AED]]</f>
        <v>250</v>
      </c>
      <c r="Q717" s="199">
        <f>TB_Parts_Lists[[#This Row],[Quantity Total]]*TB_Parts_Lists[[#This Row],[Unit Price AED]]</f>
        <v>250</v>
      </c>
      <c r="S717" s="199" t="s">
        <v>8675</v>
      </c>
      <c r="T717" s="199" t="s">
        <v>8675</v>
      </c>
      <c r="U717" s="199" t="s">
        <v>8675</v>
      </c>
    </row>
    <row r="718" spans="1:21" s="199" customFormat="1" x14ac:dyDescent="0.25">
      <c r="A718" s="192" t="s">
        <v>7226</v>
      </c>
      <c r="B718" s="201" t="s">
        <v>3330</v>
      </c>
      <c r="C718" s="199" t="s">
        <v>3966</v>
      </c>
      <c r="D718" s="188" t="s">
        <v>8724</v>
      </c>
      <c r="E718" s="188" t="s">
        <v>3908</v>
      </c>
      <c r="F718" s="189" t="s">
        <v>3873</v>
      </c>
      <c r="G718" s="199" t="s">
        <v>8274</v>
      </c>
      <c r="H718" s="199" t="s">
        <v>2185</v>
      </c>
      <c r="I718" s="199">
        <v>1</v>
      </c>
      <c r="J718" s="199">
        <v>1</v>
      </c>
      <c r="K718" s="199">
        <v>1</v>
      </c>
      <c r="L718" s="199">
        <v>50</v>
      </c>
      <c r="M718" s="202">
        <f>TB_Parts_Lists[[#This Row],[Quantity Initial]]+ SUMIF(TB_Transactions[Part number],TB_Parts_Lists[[#This Row],[Part Number]],TB_Transactions[Quantity])</f>
        <v>50</v>
      </c>
      <c r="N718" s="200" t="s">
        <v>4593</v>
      </c>
      <c r="O718" s="234">
        <v>5</v>
      </c>
      <c r="P718" s="199">
        <f>TB_Parts_Lists[[#This Row],[Quantity Initial]]*TB_Parts_Lists[[#This Row],[Unit Price AED]]</f>
        <v>250</v>
      </c>
      <c r="Q718" s="199">
        <f>TB_Parts_Lists[[#This Row],[Quantity Total]]*TB_Parts_Lists[[#This Row],[Unit Price AED]]</f>
        <v>250</v>
      </c>
      <c r="S718" s="199" t="s">
        <v>8675</v>
      </c>
      <c r="T718" s="199" t="s">
        <v>8675</v>
      </c>
      <c r="U718" s="199" t="s">
        <v>8675</v>
      </c>
    </row>
    <row r="719" spans="1:21" s="199" customFormat="1" x14ac:dyDescent="0.25">
      <c r="A719" s="192" t="s">
        <v>7227</v>
      </c>
      <c r="B719" s="201" t="s">
        <v>3330</v>
      </c>
      <c r="C719" s="199" t="s">
        <v>3003</v>
      </c>
      <c r="D719" s="188" t="s">
        <v>8724</v>
      </c>
      <c r="E719" s="188" t="s">
        <v>5198</v>
      </c>
      <c r="F719" s="189" t="s">
        <v>3874</v>
      </c>
      <c r="G719" s="199" t="s">
        <v>8274</v>
      </c>
      <c r="H719" s="199" t="s">
        <v>2185</v>
      </c>
      <c r="I719" s="199">
        <v>1</v>
      </c>
      <c r="J719" s="199">
        <v>1</v>
      </c>
      <c r="K719" s="199">
        <v>1</v>
      </c>
      <c r="L719" s="199">
        <v>50</v>
      </c>
      <c r="M719" s="202">
        <f>TB_Parts_Lists[[#This Row],[Quantity Initial]]+ SUMIF(TB_Transactions[Part number],TB_Parts_Lists[[#This Row],[Part Number]],TB_Transactions[Quantity])</f>
        <v>50</v>
      </c>
      <c r="N719" s="200" t="s">
        <v>4593</v>
      </c>
      <c r="O719" s="234">
        <v>5</v>
      </c>
      <c r="P719" s="199">
        <f>TB_Parts_Lists[[#This Row],[Quantity Initial]]*TB_Parts_Lists[[#This Row],[Unit Price AED]]</f>
        <v>250</v>
      </c>
      <c r="Q719" s="199">
        <f>TB_Parts_Lists[[#This Row],[Quantity Total]]*TB_Parts_Lists[[#This Row],[Unit Price AED]]</f>
        <v>250</v>
      </c>
      <c r="S719" s="199" t="s">
        <v>8675</v>
      </c>
      <c r="T719" s="199" t="s">
        <v>8675</v>
      </c>
      <c r="U719" s="199" t="s">
        <v>8675</v>
      </c>
    </row>
    <row r="720" spans="1:21" s="199" customFormat="1" x14ac:dyDescent="0.25">
      <c r="A720" s="192" t="s">
        <v>7228</v>
      </c>
      <c r="B720" s="201" t="s">
        <v>3334</v>
      </c>
      <c r="C720" s="199" t="s">
        <v>7222</v>
      </c>
      <c r="D720" s="188" t="s">
        <v>8724</v>
      </c>
      <c r="E720" s="188" t="s">
        <v>5199</v>
      </c>
      <c r="F720" s="189" t="s">
        <v>3875</v>
      </c>
      <c r="G720" s="199" t="s">
        <v>8274</v>
      </c>
      <c r="H720" s="199" t="s">
        <v>8653</v>
      </c>
      <c r="I720" s="199">
        <v>1</v>
      </c>
      <c r="J720" s="199">
        <v>1</v>
      </c>
      <c r="K720" s="199">
        <v>1</v>
      </c>
      <c r="L720" s="199">
        <v>50</v>
      </c>
      <c r="M720" s="202">
        <f>TB_Parts_Lists[[#This Row],[Quantity Initial]]+ SUMIF(TB_Transactions[Part number],TB_Parts_Lists[[#This Row],[Part Number]],TB_Transactions[Quantity])</f>
        <v>50</v>
      </c>
      <c r="N720" s="200" t="s">
        <v>4593</v>
      </c>
      <c r="O720" s="234">
        <v>5</v>
      </c>
      <c r="P720" s="199">
        <f>TB_Parts_Lists[[#This Row],[Quantity Initial]]*TB_Parts_Lists[[#This Row],[Unit Price AED]]</f>
        <v>250</v>
      </c>
      <c r="Q720" s="199">
        <f>TB_Parts_Lists[[#This Row],[Quantity Total]]*TB_Parts_Lists[[#This Row],[Unit Price AED]]</f>
        <v>250</v>
      </c>
      <c r="S720" s="199" t="s">
        <v>8675</v>
      </c>
      <c r="T720" s="199" t="s">
        <v>8675</v>
      </c>
      <c r="U720" s="199" t="s">
        <v>8675</v>
      </c>
    </row>
    <row r="721" spans="1:21" s="199" customFormat="1" x14ac:dyDescent="0.25">
      <c r="A721" s="192" t="s">
        <v>7229</v>
      </c>
      <c r="B721" s="201" t="s">
        <v>4697</v>
      </c>
      <c r="C721" s="199" t="s">
        <v>7224</v>
      </c>
      <c r="D721" s="188" t="s">
        <v>8724</v>
      </c>
      <c r="E721" s="188" t="s">
        <v>5200</v>
      </c>
      <c r="F721" s="189" t="s">
        <v>4635</v>
      </c>
      <c r="G721" s="199" t="s">
        <v>8274</v>
      </c>
      <c r="H721" s="199" t="s">
        <v>2185</v>
      </c>
      <c r="I721" s="199">
        <v>1</v>
      </c>
      <c r="J721" s="199">
        <v>1</v>
      </c>
      <c r="K721" s="199">
        <v>1</v>
      </c>
      <c r="L721" s="199">
        <v>50</v>
      </c>
      <c r="M721" s="202">
        <f>TB_Parts_Lists[[#This Row],[Quantity Initial]]+ SUMIF(TB_Transactions[Part number],TB_Parts_Lists[[#This Row],[Part Number]],TB_Transactions[Quantity])</f>
        <v>50</v>
      </c>
      <c r="N721" s="200" t="s">
        <v>4593</v>
      </c>
      <c r="O721" s="234">
        <v>5</v>
      </c>
      <c r="P721" s="199">
        <f>TB_Parts_Lists[[#This Row],[Quantity Initial]]*TB_Parts_Lists[[#This Row],[Unit Price AED]]</f>
        <v>250</v>
      </c>
      <c r="Q721" s="199">
        <f>TB_Parts_Lists[[#This Row],[Quantity Total]]*TB_Parts_Lists[[#This Row],[Unit Price AED]]</f>
        <v>250</v>
      </c>
      <c r="S721" s="199" t="s">
        <v>8675</v>
      </c>
      <c r="T721" s="199" t="s">
        <v>8675</v>
      </c>
      <c r="U721" s="199" t="s">
        <v>8675</v>
      </c>
    </row>
    <row r="722" spans="1:21" s="199" customFormat="1" x14ac:dyDescent="0.25">
      <c r="A722" s="192" t="s">
        <v>7230</v>
      </c>
      <c r="B722" s="201" t="s">
        <v>3330</v>
      </c>
      <c r="C722" s="199" t="s">
        <v>5051</v>
      </c>
      <c r="D722" s="188" t="s">
        <v>8724</v>
      </c>
      <c r="E722" s="188" t="s">
        <v>3909</v>
      </c>
      <c r="F722" s="189" t="s">
        <v>3876</v>
      </c>
      <c r="G722" s="199" t="s">
        <v>8274</v>
      </c>
      <c r="H722" s="199" t="s">
        <v>2185</v>
      </c>
      <c r="I722" s="199">
        <v>1</v>
      </c>
      <c r="J722" s="199">
        <v>1</v>
      </c>
      <c r="K722" s="199">
        <v>1</v>
      </c>
      <c r="L722" s="199">
        <v>50</v>
      </c>
      <c r="M722" s="202">
        <f>TB_Parts_Lists[[#This Row],[Quantity Initial]]+ SUMIF(TB_Transactions[Part number],TB_Parts_Lists[[#This Row],[Part Number]],TB_Transactions[Quantity])</f>
        <v>50</v>
      </c>
      <c r="N722" s="200" t="s">
        <v>4593</v>
      </c>
      <c r="O722" s="234">
        <v>5</v>
      </c>
      <c r="P722" s="199">
        <f>TB_Parts_Lists[[#This Row],[Quantity Initial]]*TB_Parts_Lists[[#This Row],[Unit Price AED]]</f>
        <v>250</v>
      </c>
      <c r="Q722" s="199">
        <f>TB_Parts_Lists[[#This Row],[Quantity Total]]*TB_Parts_Lists[[#This Row],[Unit Price AED]]</f>
        <v>250</v>
      </c>
      <c r="S722" s="199" t="s">
        <v>8675</v>
      </c>
      <c r="T722" s="199" t="s">
        <v>8675</v>
      </c>
      <c r="U722" s="199" t="s">
        <v>8675</v>
      </c>
    </row>
    <row r="723" spans="1:21" s="199" customFormat="1" x14ac:dyDescent="0.25">
      <c r="A723" s="192" t="s">
        <v>7231</v>
      </c>
      <c r="B723" s="201" t="s">
        <v>3337</v>
      </c>
      <c r="C723" s="199" t="s">
        <v>3378</v>
      </c>
      <c r="D723" s="188" t="s">
        <v>8724</v>
      </c>
      <c r="E723" s="188" t="s">
        <v>5201</v>
      </c>
      <c r="F723" s="189" t="s">
        <v>3877</v>
      </c>
      <c r="G723" s="199" t="s">
        <v>8274</v>
      </c>
      <c r="H723" s="199" t="s">
        <v>2185</v>
      </c>
      <c r="I723" s="199">
        <v>1</v>
      </c>
      <c r="J723" s="199">
        <v>1</v>
      </c>
      <c r="K723" s="199">
        <v>1</v>
      </c>
      <c r="L723" s="199">
        <v>50</v>
      </c>
      <c r="M723" s="202">
        <f>TB_Parts_Lists[[#This Row],[Quantity Initial]]+ SUMIF(TB_Transactions[Part number],TB_Parts_Lists[[#This Row],[Part Number]],TB_Transactions[Quantity])</f>
        <v>50</v>
      </c>
      <c r="N723" s="200" t="s">
        <v>4593</v>
      </c>
      <c r="O723" s="234">
        <v>5</v>
      </c>
      <c r="P723" s="199">
        <f>TB_Parts_Lists[[#This Row],[Quantity Initial]]*TB_Parts_Lists[[#This Row],[Unit Price AED]]</f>
        <v>250</v>
      </c>
      <c r="Q723" s="199">
        <f>TB_Parts_Lists[[#This Row],[Quantity Total]]*TB_Parts_Lists[[#This Row],[Unit Price AED]]</f>
        <v>250</v>
      </c>
      <c r="S723" s="199" t="s">
        <v>8675</v>
      </c>
      <c r="T723" s="199" t="s">
        <v>8675</v>
      </c>
      <c r="U723" s="199" t="s">
        <v>8675</v>
      </c>
    </row>
    <row r="724" spans="1:21" s="199" customFormat="1" x14ac:dyDescent="0.25">
      <c r="A724" s="192" t="s">
        <v>7232</v>
      </c>
      <c r="B724" s="201" t="s">
        <v>3330</v>
      </c>
      <c r="C724" s="199" t="s">
        <v>5051</v>
      </c>
      <c r="D724" s="188" t="s">
        <v>8724</v>
      </c>
      <c r="E724" s="188" t="s">
        <v>3910</v>
      </c>
      <c r="F724" s="189" t="s">
        <v>3878</v>
      </c>
      <c r="G724" s="199" t="s">
        <v>8274</v>
      </c>
      <c r="H724" s="199" t="s">
        <v>2185</v>
      </c>
      <c r="I724" s="199">
        <v>1</v>
      </c>
      <c r="J724" s="199">
        <v>1</v>
      </c>
      <c r="K724" s="199">
        <v>1</v>
      </c>
      <c r="L724" s="199">
        <v>50</v>
      </c>
      <c r="M724" s="202">
        <f>TB_Parts_Lists[[#This Row],[Quantity Initial]]+ SUMIF(TB_Transactions[Part number],TB_Parts_Lists[[#This Row],[Part Number]],TB_Transactions[Quantity])</f>
        <v>50</v>
      </c>
      <c r="N724" s="200" t="s">
        <v>4593</v>
      </c>
      <c r="O724" s="234">
        <v>5</v>
      </c>
      <c r="P724" s="199">
        <f>TB_Parts_Lists[[#This Row],[Quantity Initial]]*TB_Parts_Lists[[#This Row],[Unit Price AED]]</f>
        <v>250</v>
      </c>
      <c r="Q724" s="199">
        <f>TB_Parts_Lists[[#This Row],[Quantity Total]]*TB_Parts_Lists[[#This Row],[Unit Price AED]]</f>
        <v>250</v>
      </c>
      <c r="S724" s="199" t="s">
        <v>8675</v>
      </c>
      <c r="T724" s="199" t="s">
        <v>8675</v>
      </c>
      <c r="U724" s="199" t="s">
        <v>8675</v>
      </c>
    </row>
    <row r="725" spans="1:21" s="199" customFormat="1" x14ac:dyDescent="0.25">
      <c r="A725" s="192" t="s">
        <v>7233</v>
      </c>
      <c r="B725" s="201" t="s">
        <v>3330</v>
      </c>
      <c r="C725" s="199" t="s">
        <v>5051</v>
      </c>
      <c r="D725" s="188" t="s">
        <v>8724</v>
      </c>
      <c r="E725" s="188" t="s">
        <v>5202</v>
      </c>
      <c r="F725" s="189" t="s">
        <v>3879</v>
      </c>
      <c r="G725" s="199" t="s">
        <v>8274</v>
      </c>
      <c r="H725" s="199" t="s">
        <v>2185</v>
      </c>
      <c r="I725" s="199">
        <v>1</v>
      </c>
      <c r="J725" s="199">
        <v>1</v>
      </c>
      <c r="K725" s="199">
        <v>1</v>
      </c>
      <c r="L725" s="199">
        <v>50</v>
      </c>
      <c r="M725" s="202">
        <f>TB_Parts_Lists[[#This Row],[Quantity Initial]]+ SUMIF(TB_Transactions[Part number],TB_Parts_Lists[[#This Row],[Part Number]],TB_Transactions[Quantity])</f>
        <v>50</v>
      </c>
      <c r="N725" s="200" t="s">
        <v>4593</v>
      </c>
      <c r="O725" s="234">
        <v>5</v>
      </c>
      <c r="P725" s="199">
        <f>TB_Parts_Lists[[#This Row],[Quantity Initial]]*TB_Parts_Lists[[#This Row],[Unit Price AED]]</f>
        <v>250</v>
      </c>
      <c r="Q725" s="199">
        <f>TB_Parts_Lists[[#This Row],[Quantity Total]]*TB_Parts_Lists[[#This Row],[Unit Price AED]]</f>
        <v>250</v>
      </c>
      <c r="S725" s="199" t="s">
        <v>118</v>
      </c>
      <c r="T725" s="199" t="s">
        <v>8675</v>
      </c>
      <c r="U725" s="199" t="s">
        <v>8675</v>
      </c>
    </row>
    <row r="726" spans="1:21" s="199" customFormat="1" x14ac:dyDescent="0.25">
      <c r="A726" s="192" t="s">
        <v>7234</v>
      </c>
      <c r="B726" s="201" t="s">
        <v>3329</v>
      </c>
      <c r="C726" s="199" t="s">
        <v>4633</v>
      </c>
      <c r="D726" s="188" t="s">
        <v>8724</v>
      </c>
      <c r="E726" s="188" t="s">
        <v>2189</v>
      </c>
      <c r="F726" s="189" t="s">
        <v>3880</v>
      </c>
      <c r="G726" s="199" t="s">
        <v>8274</v>
      </c>
      <c r="H726" s="199" t="s">
        <v>2185</v>
      </c>
      <c r="I726" s="199">
        <v>1</v>
      </c>
      <c r="J726" s="199">
        <v>1</v>
      </c>
      <c r="K726" s="199">
        <v>1</v>
      </c>
      <c r="L726" s="199">
        <v>50</v>
      </c>
      <c r="M726" s="202">
        <f>TB_Parts_Lists[[#This Row],[Quantity Initial]]+ SUMIF(TB_Transactions[Part number],TB_Parts_Lists[[#This Row],[Part Number]],TB_Transactions[Quantity])</f>
        <v>50</v>
      </c>
      <c r="N726" s="200" t="s">
        <v>4593</v>
      </c>
      <c r="O726" s="234">
        <v>5</v>
      </c>
      <c r="P726" s="199">
        <f>TB_Parts_Lists[[#This Row],[Quantity Initial]]*TB_Parts_Lists[[#This Row],[Unit Price AED]]</f>
        <v>250</v>
      </c>
      <c r="Q726" s="199">
        <f>TB_Parts_Lists[[#This Row],[Quantity Total]]*TB_Parts_Lists[[#This Row],[Unit Price AED]]</f>
        <v>250</v>
      </c>
      <c r="S726" s="199" t="s">
        <v>8675</v>
      </c>
      <c r="T726" s="199" t="s">
        <v>8675</v>
      </c>
      <c r="U726" s="199" t="s">
        <v>8675</v>
      </c>
    </row>
    <row r="727" spans="1:21" s="199" customFormat="1" x14ac:dyDescent="0.25">
      <c r="A727" s="192" t="s">
        <v>7235</v>
      </c>
      <c r="B727" s="201" t="s">
        <v>3329</v>
      </c>
      <c r="C727" s="199" t="s">
        <v>7219</v>
      </c>
      <c r="D727" s="188" t="s">
        <v>8724</v>
      </c>
      <c r="E727" s="188" t="s">
        <v>3793</v>
      </c>
      <c r="F727" s="189" t="s">
        <v>3881</v>
      </c>
      <c r="G727" s="199" t="s">
        <v>8274</v>
      </c>
      <c r="H727" s="199" t="s">
        <v>2185</v>
      </c>
      <c r="I727" s="199">
        <v>1</v>
      </c>
      <c r="J727" s="199">
        <v>1</v>
      </c>
      <c r="K727" s="199">
        <v>1</v>
      </c>
      <c r="L727" s="199">
        <v>50</v>
      </c>
      <c r="M727" s="202">
        <f>TB_Parts_Lists[[#This Row],[Quantity Initial]]+ SUMIF(TB_Transactions[Part number],TB_Parts_Lists[[#This Row],[Part Number]],TB_Transactions[Quantity])</f>
        <v>50</v>
      </c>
      <c r="N727" s="200" t="s">
        <v>4593</v>
      </c>
      <c r="O727" s="234">
        <v>5</v>
      </c>
      <c r="P727" s="199">
        <f>TB_Parts_Lists[[#This Row],[Quantity Initial]]*TB_Parts_Lists[[#This Row],[Unit Price AED]]</f>
        <v>250</v>
      </c>
      <c r="Q727" s="199">
        <f>TB_Parts_Lists[[#This Row],[Quantity Total]]*TB_Parts_Lists[[#This Row],[Unit Price AED]]</f>
        <v>250</v>
      </c>
      <c r="S727" s="199" t="s">
        <v>8675</v>
      </c>
      <c r="T727" s="199" t="s">
        <v>8675</v>
      </c>
      <c r="U727" s="199" t="s">
        <v>8675</v>
      </c>
    </row>
    <row r="728" spans="1:21" s="199" customFormat="1" x14ac:dyDescent="0.25">
      <c r="A728" s="192" t="s">
        <v>7236</v>
      </c>
      <c r="B728" s="201" t="s">
        <v>3333</v>
      </c>
      <c r="C728" s="199" t="s">
        <v>6423</v>
      </c>
      <c r="D728" s="199" t="s">
        <v>8732</v>
      </c>
      <c r="E728" s="188" t="s">
        <v>8725</v>
      </c>
      <c r="F728" s="189" t="s">
        <v>3882</v>
      </c>
      <c r="G728" s="199" t="s">
        <v>8274</v>
      </c>
      <c r="H728" s="199" t="s">
        <v>8638</v>
      </c>
      <c r="I728" s="199">
        <v>1</v>
      </c>
      <c r="J728" s="199">
        <v>1</v>
      </c>
      <c r="K728" s="199">
        <v>1</v>
      </c>
      <c r="L728" s="199">
        <v>50</v>
      </c>
      <c r="M728" s="202">
        <f>TB_Parts_Lists[[#This Row],[Quantity Initial]]+ SUMIF(TB_Transactions[Part number],TB_Parts_Lists[[#This Row],[Part Number]],TB_Transactions[Quantity])</f>
        <v>50</v>
      </c>
      <c r="N728" s="200" t="s">
        <v>4593</v>
      </c>
      <c r="O728" s="234">
        <v>5</v>
      </c>
      <c r="P728" s="199">
        <f>TB_Parts_Lists[[#This Row],[Quantity Initial]]*TB_Parts_Lists[[#This Row],[Unit Price AED]]</f>
        <v>250</v>
      </c>
      <c r="Q728" s="199">
        <f>TB_Parts_Lists[[#This Row],[Quantity Total]]*TB_Parts_Lists[[#This Row],[Unit Price AED]]</f>
        <v>250</v>
      </c>
      <c r="S728" s="199" t="s">
        <v>118</v>
      </c>
      <c r="T728" s="199" t="s">
        <v>8695</v>
      </c>
      <c r="U728" s="199" t="s">
        <v>866</v>
      </c>
    </row>
    <row r="729" spans="1:21" s="199" customFormat="1" x14ac:dyDescent="0.25">
      <c r="A729" s="192" t="s">
        <v>7237</v>
      </c>
      <c r="B729" s="201" t="s">
        <v>3330</v>
      </c>
      <c r="C729" s="199" t="s">
        <v>2992</v>
      </c>
      <c r="D729" s="199" t="s">
        <v>8732</v>
      </c>
      <c r="E729" s="188" t="s">
        <v>5203</v>
      </c>
      <c r="F729" s="189" t="s">
        <v>3883</v>
      </c>
      <c r="G729" s="199" t="s">
        <v>8274</v>
      </c>
      <c r="H729" s="199" t="s">
        <v>8638</v>
      </c>
      <c r="I729" s="199">
        <v>1</v>
      </c>
      <c r="J729" s="199">
        <v>1</v>
      </c>
      <c r="K729" s="199">
        <v>1</v>
      </c>
      <c r="L729" s="199">
        <v>50</v>
      </c>
      <c r="M729" s="202">
        <f>TB_Parts_Lists[[#This Row],[Quantity Initial]]+ SUMIF(TB_Transactions[Part number],TB_Parts_Lists[[#This Row],[Part Number]],TB_Transactions[Quantity])</f>
        <v>50</v>
      </c>
      <c r="N729" s="200" t="s">
        <v>4593</v>
      </c>
      <c r="O729" s="234">
        <v>5</v>
      </c>
      <c r="P729" s="199">
        <f>TB_Parts_Lists[[#This Row],[Quantity Initial]]*TB_Parts_Lists[[#This Row],[Unit Price AED]]</f>
        <v>250</v>
      </c>
      <c r="Q729" s="199">
        <f>TB_Parts_Lists[[#This Row],[Quantity Total]]*TB_Parts_Lists[[#This Row],[Unit Price AED]]</f>
        <v>250</v>
      </c>
      <c r="S729" s="199" t="s">
        <v>122</v>
      </c>
      <c r="T729" s="199" t="s">
        <v>129</v>
      </c>
      <c r="U729" s="199" t="s">
        <v>262</v>
      </c>
    </row>
    <row r="730" spans="1:21" s="199" customFormat="1" x14ac:dyDescent="0.25">
      <c r="A730" s="192" t="s">
        <v>7238</v>
      </c>
      <c r="B730" s="201" t="s">
        <v>3330</v>
      </c>
      <c r="C730" s="199" t="s">
        <v>2992</v>
      </c>
      <c r="D730" s="188" t="s">
        <v>8724</v>
      </c>
      <c r="E730" s="188" t="s">
        <v>5204</v>
      </c>
      <c r="F730" s="189" t="s">
        <v>3884</v>
      </c>
      <c r="G730" s="199" t="s">
        <v>8274</v>
      </c>
      <c r="H730" s="199" t="s">
        <v>8638</v>
      </c>
      <c r="I730" s="199">
        <v>1</v>
      </c>
      <c r="J730" s="199">
        <v>1</v>
      </c>
      <c r="K730" s="199">
        <v>1</v>
      </c>
      <c r="L730" s="199">
        <v>50</v>
      </c>
      <c r="M730" s="202">
        <f>TB_Parts_Lists[[#This Row],[Quantity Initial]]+ SUMIF(TB_Transactions[Part number],TB_Parts_Lists[[#This Row],[Part Number]],TB_Transactions[Quantity])</f>
        <v>50</v>
      </c>
      <c r="N730" s="200" t="s">
        <v>4593</v>
      </c>
      <c r="O730" s="234">
        <v>5</v>
      </c>
      <c r="P730" s="199">
        <f>TB_Parts_Lists[[#This Row],[Quantity Initial]]*TB_Parts_Lists[[#This Row],[Unit Price AED]]</f>
        <v>250</v>
      </c>
      <c r="Q730" s="199">
        <f>TB_Parts_Lists[[#This Row],[Quantity Total]]*TB_Parts_Lists[[#This Row],[Unit Price AED]]</f>
        <v>250</v>
      </c>
      <c r="S730" s="199" t="s">
        <v>122</v>
      </c>
      <c r="T730" s="199" t="s">
        <v>129</v>
      </c>
      <c r="U730" s="199" t="s">
        <v>262</v>
      </c>
    </row>
    <row r="731" spans="1:21" s="199" customFormat="1" x14ac:dyDescent="0.25">
      <c r="A731" s="192" t="s">
        <v>7239</v>
      </c>
      <c r="B731" s="201" t="s">
        <v>3335</v>
      </c>
      <c r="C731" s="199" t="s">
        <v>3005</v>
      </c>
      <c r="D731" s="199" t="s">
        <v>8732</v>
      </c>
      <c r="E731" s="188" t="s">
        <v>5205</v>
      </c>
      <c r="F731" s="189" t="s">
        <v>4636</v>
      </c>
      <c r="G731" s="199" t="s">
        <v>8274</v>
      </c>
      <c r="H731" s="199" t="s">
        <v>8653</v>
      </c>
      <c r="I731" s="199">
        <v>1</v>
      </c>
      <c r="J731" s="199">
        <v>1</v>
      </c>
      <c r="K731" s="199">
        <v>1</v>
      </c>
      <c r="L731" s="199">
        <v>50</v>
      </c>
      <c r="M731" s="202">
        <f>TB_Parts_Lists[[#This Row],[Quantity Initial]]+ SUMIF(TB_Transactions[Part number],TB_Parts_Lists[[#This Row],[Part Number]],TB_Transactions[Quantity])</f>
        <v>50</v>
      </c>
      <c r="N731" s="200" t="s">
        <v>4593</v>
      </c>
      <c r="O731" s="234">
        <v>5</v>
      </c>
      <c r="P731" s="199">
        <f>TB_Parts_Lists[[#This Row],[Quantity Initial]]*TB_Parts_Lists[[#This Row],[Unit Price AED]]</f>
        <v>250</v>
      </c>
      <c r="Q731" s="199">
        <f>TB_Parts_Lists[[#This Row],[Quantity Total]]*TB_Parts_Lists[[#This Row],[Unit Price AED]]</f>
        <v>250</v>
      </c>
      <c r="S731" s="199" t="s">
        <v>118</v>
      </c>
      <c r="T731" s="199" t="s">
        <v>8694</v>
      </c>
      <c r="U731" s="199" t="s">
        <v>8719</v>
      </c>
    </row>
    <row r="732" spans="1:21" s="199" customFormat="1" x14ac:dyDescent="0.25">
      <c r="A732" s="192" t="s">
        <v>7240</v>
      </c>
      <c r="B732" s="201" t="s">
        <v>3329</v>
      </c>
      <c r="C732" s="199" t="s">
        <v>4633</v>
      </c>
      <c r="D732" s="188" t="s">
        <v>8724</v>
      </c>
      <c r="E732" s="188" t="s">
        <v>5206</v>
      </c>
      <c r="F732" s="189" t="s">
        <v>4637</v>
      </c>
      <c r="G732" s="199" t="s">
        <v>8274</v>
      </c>
      <c r="H732" s="199" t="s">
        <v>8653</v>
      </c>
      <c r="I732" s="199">
        <v>1</v>
      </c>
      <c r="J732" s="199">
        <v>1</v>
      </c>
      <c r="K732" s="199">
        <v>1</v>
      </c>
      <c r="L732" s="199">
        <v>50</v>
      </c>
      <c r="M732" s="202">
        <f>TB_Parts_Lists[[#This Row],[Quantity Initial]]+ SUMIF(TB_Transactions[Part number],TB_Parts_Lists[[#This Row],[Part Number]],TB_Transactions[Quantity])</f>
        <v>50</v>
      </c>
      <c r="N732" s="200" t="s">
        <v>4593</v>
      </c>
      <c r="O732" s="234">
        <v>5</v>
      </c>
      <c r="P732" s="199">
        <f>TB_Parts_Lists[[#This Row],[Quantity Initial]]*TB_Parts_Lists[[#This Row],[Unit Price AED]]</f>
        <v>250</v>
      </c>
      <c r="Q732" s="199">
        <f>TB_Parts_Lists[[#This Row],[Quantity Total]]*TB_Parts_Lists[[#This Row],[Unit Price AED]]</f>
        <v>250</v>
      </c>
      <c r="S732" s="199" t="s">
        <v>118</v>
      </c>
      <c r="T732" s="199" t="s">
        <v>8694</v>
      </c>
      <c r="U732" s="199" t="s">
        <v>8719</v>
      </c>
    </row>
    <row r="733" spans="1:21" s="199" customFormat="1" x14ac:dyDescent="0.25">
      <c r="A733" s="192" t="s">
        <v>7241</v>
      </c>
      <c r="B733" s="201" t="s">
        <v>3335</v>
      </c>
      <c r="C733" s="199" t="s">
        <v>3005</v>
      </c>
      <c r="D733" s="199" t="s">
        <v>8732</v>
      </c>
      <c r="E733" s="188" t="s">
        <v>5207</v>
      </c>
      <c r="F733" s="189" t="s">
        <v>4638</v>
      </c>
      <c r="G733" s="199" t="s">
        <v>8274</v>
      </c>
      <c r="H733" s="199" t="s">
        <v>8653</v>
      </c>
      <c r="I733" s="199">
        <v>1</v>
      </c>
      <c r="J733" s="199">
        <v>1</v>
      </c>
      <c r="K733" s="199">
        <v>1</v>
      </c>
      <c r="L733" s="199">
        <v>50</v>
      </c>
      <c r="M733" s="202">
        <f>TB_Parts_Lists[[#This Row],[Quantity Initial]]+ SUMIF(TB_Transactions[Part number],TB_Parts_Lists[[#This Row],[Part Number]],TB_Transactions[Quantity])</f>
        <v>50</v>
      </c>
      <c r="N733" s="200" t="s">
        <v>4593</v>
      </c>
      <c r="O733" s="234">
        <v>5</v>
      </c>
      <c r="P733" s="199">
        <f>TB_Parts_Lists[[#This Row],[Quantity Initial]]*TB_Parts_Lists[[#This Row],[Unit Price AED]]</f>
        <v>250</v>
      </c>
      <c r="Q733" s="199">
        <f>TB_Parts_Lists[[#This Row],[Quantity Total]]*TB_Parts_Lists[[#This Row],[Unit Price AED]]</f>
        <v>250</v>
      </c>
      <c r="S733" s="199" t="s">
        <v>118</v>
      </c>
      <c r="T733" s="199" t="s">
        <v>8694</v>
      </c>
      <c r="U733" s="199" t="s">
        <v>8719</v>
      </c>
    </row>
    <row r="734" spans="1:21" s="199" customFormat="1" x14ac:dyDescent="0.25">
      <c r="A734" s="192" t="s">
        <v>7242</v>
      </c>
      <c r="B734" s="201" t="s">
        <v>6619</v>
      </c>
      <c r="C734" s="199" t="s">
        <v>3629</v>
      </c>
      <c r="D734" s="188" t="s">
        <v>8724</v>
      </c>
      <c r="E734" s="188" t="s">
        <v>5208</v>
      </c>
      <c r="F734" s="189" t="s">
        <v>4639</v>
      </c>
      <c r="G734" s="199" t="s">
        <v>8274</v>
      </c>
      <c r="H734" s="199" t="s">
        <v>8653</v>
      </c>
      <c r="I734" s="199">
        <v>1</v>
      </c>
      <c r="J734" s="199">
        <v>1</v>
      </c>
      <c r="K734" s="199">
        <v>1</v>
      </c>
      <c r="L734" s="199">
        <v>50</v>
      </c>
      <c r="M734" s="202">
        <f>TB_Parts_Lists[[#This Row],[Quantity Initial]]+ SUMIF(TB_Transactions[Part number],TB_Parts_Lists[[#This Row],[Part Number]],TB_Transactions[Quantity])</f>
        <v>50</v>
      </c>
      <c r="N734" s="200" t="s">
        <v>4593</v>
      </c>
      <c r="O734" s="234">
        <v>5</v>
      </c>
      <c r="P734" s="199">
        <f>TB_Parts_Lists[[#This Row],[Quantity Initial]]*TB_Parts_Lists[[#This Row],[Unit Price AED]]</f>
        <v>250</v>
      </c>
      <c r="Q734" s="199">
        <f>TB_Parts_Lists[[#This Row],[Quantity Total]]*TB_Parts_Lists[[#This Row],[Unit Price AED]]</f>
        <v>250</v>
      </c>
      <c r="S734" s="199" t="s">
        <v>118</v>
      </c>
      <c r="T734" s="199" t="s">
        <v>8675</v>
      </c>
      <c r="U734" s="199" t="s">
        <v>8675</v>
      </c>
    </row>
    <row r="735" spans="1:21" s="199" customFormat="1" x14ac:dyDescent="0.25">
      <c r="A735" s="192" t="s">
        <v>7243</v>
      </c>
      <c r="B735" s="201" t="s">
        <v>6619</v>
      </c>
      <c r="C735" s="199" t="s">
        <v>6640</v>
      </c>
      <c r="D735" s="188" t="s">
        <v>8724</v>
      </c>
      <c r="E735" s="188" t="s">
        <v>5209</v>
      </c>
      <c r="F735" s="189" t="s">
        <v>4640</v>
      </c>
      <c r="G735" s="199" t="s">
        <v>8274</v>
      </c>
      <c r="H735" s="199" t="s">
        <v>8653</v>
      </c>
      <c r="I735" s="199">
        <v>1</v>
      </c>
      <c r="J735" s="199">
        <v>1</v>
      </c>
      <c r="K735" s="199">
        <v>1</v>
      </c>
      <c r="L735" s="199">
        <v>50</v>
      </c>
      <c r="M735" s="202">
        <f>TB_Parts_Lists[[#This Row],[Quantity Initial]]+ SUMIF(TB_Transactions[Part number],TB_Parts_Lists[[#This Row],[Part Number]],TB_Transactions[Quantity])</f>
        <v>50</v>
      </c>
      <c r="N735" s="200" t="s">
        <v>4593</v>
      </c>
      <c r="O735" s="234">
        <v>5</v>
      </c>
      <c r="P735" s="199">
        <f>TB_Parts_Lists[[#This Row],[Quantity Initial]]*TB_Parts_Lists[[#This Row],[Unit Price AED]]</f>
        <v>250</v>
      </c>
      <c r="Q735" s="199">
        <f>TB_Parts_Lists[[#This Row],[Quantity Total]]*TB_Parts_Lists[[#This Row],[Unit Price AED]]</f>
        <v>250</v>
      </c>
      <c r="S735" s="199" t="s">
        <v>118</v>
      </c>
      <c r="T735" s="199" t="s">
        <v>8675</v>
      </c>
      <c r="U735" s="199" t="s">
        <v>8675</v>
      </c>
    </row>
    <row r="736" spans="1:21" s="199" customFormat="1" x14ac:dyDescent="0.25">
      <c r="A736" s="192" t="s">
        <v>7245</v>
      </c>
      <c r="B736" s="201" t="s">
        <v>3334</v>
      </c>
      <c r="C736" s="199" t="s">
        <v>7244</v>
      </c>
      <c r="D736" s="188" t="s">
        <v>8724</v>
      </c>
      <c r="E736" s="188" t="s">
        <v>5210</v>
      </c>
      <c r="F736" s="189" t="s">
        <v>4641</v>
      </c>
      <c r="G736" s="199" t="s">
        <v>8274</v>
      </c>
      <c r="H736" s="199" t="s">
        <v>8653</v>
      </c>
      <c r="I736" s="199">
        <v>1</v>
      </c>
      <c r="J736" s="199">
        <v>1</v>
      </c>
      <c r="K736" s="199">
        <v>1</v>
      </c>
      <c r="L736" s="199">
        <v>50</v>
      </c>
      <c r="M736" s="202">
        <f>TB_Parts_Lists[[#This Row],[Quantity Initial]]+ SUMIF(TB_Transactions[Part number],TB_Parts_Lists[[#This Row],[Part Number]],TB_Transactions[Quantity])</f>
        <v>50</v>
      </c>
      <c r="N736" s="200" t="s">
        <v>4593</v>
      </c>
      <c r="O736" s="234">
        <v>5</v>
      </c>
      <c r="P736" s="199">
        <f>TB_Parts_Lists[[#This Row],[Quantity Initial]]*TB_Parts_Lists[[#This Row],[Unit Price AED]]</f>
        <v>250</v>
      </c>
      <c r="Q736" s="199">
        <f>TB_Parts_Lists[[#This Row],[Quantity Total]]*TB_Parts_Lists[[#This Row],[Unit Price AED]]</f>
        <v>250</v>
      </c>
      <c r="S736" s="199" t="s">
        <v>118</v>
      </c>
      <c r="T736" s="199" t="s">
        <v>8694</v>
      </c>
      <c r="U736" s="199" t="s">
        <v>8719</v>
      </c>
    </row>
    <row r="737" spans="1:21" s="199" customFormat="1" x14ac:dyDescent="0.25">
      <c r="A737" s="192" t="s">
        <v>7246</v>
      </c>
      <c r="B737" s="201" t="s">
        <v>3332</v>
      </c>
      <c r="C737" s="199" t="s">
        <v>3356</v>
      </c>
      <c r="D737" s="188" t="s">
        <v>8724</v>
      </c>
      <c r="E737" s="188" t="s">
        <v>5211</v>
      </c>
      <c r="F737" s="189" t="s">
        <v>6000</v>
      </c>
      <c r="G737" s="199" t="s">
        <v>8274</v>
      </c>
      <c r="H737" s="199" t="s">
        <v>2185</v>
      </c>
      <c r="I737" s="199">
        <v>1</v>
      </c>
      <c r="J737" s="199">
        <v>1</v>
      </c>
      <c r="K737" s="199">
        <v>1</v>
      </c>
      <c r="L737" s="199">
        <v>50</v>
      </c>
      <c r="M737" s="202">
        <f>TB_Parts_Lists[[#This Row],[Quantity Initial]]+ SUMIF(TB_Transactions[Part number],TB_Parts_Lists[[#This Row],[Part Number]],TB_Transactions[Quantity])</f>
        <v>50</v>
      </c>
      <c r="N737" s="200" t="s">
        <v>4593</v>
      </c>
      <c r="O737" s="234">
        <v>5</v>
      </c>
      <c r="P737" s="199">
        <f>TB_Parts_Lists[[#This Row],[Quantity Initial]]*TB_Parts_Lists[[#This Row],[Unit Price AED]]</f>
        <v>250</v>
      </c>
      <c r="Q737" s="199">
        <f>TB_Parts_Lists[[#This Row],[Quantity Total]]*TB_Parts_Lists[[#This Row],[Unit Price AED]]</f>
        <v>250</v>
      </c>
      <c r="S737" s="199" t="s">
        <v>118</v>
      </c>
      <c r="T737" s="199" t="s">
        <v>8691</v>
      </c>
      <c r="U737" s="199" t="s">
        <v>8716</v>
      </c>
    </row>
    <row r="738" spans="1:21" s="199" customFormat="1" x14ac:dyDescent="0.25">
      <c r="A738" s="192" t="s">
        <v>7247</v>
      </c>
      <c r="B738" s="201" t="s">
        <v>3329</v>
      </c>
      <c r="C738" s="199" t="s">
        <v>4633</v>
      </c>
      <c r="D738" s="188" t="s">
        <v>8724</v>
      </c>
      <c r="E738" s="188" t="s">
        <v>5212</v>
      </c>
      <c r="F738" s="189" t="s">
        <v>6001</v>
      </c>
      <c r="G738" s="199" t="s">
        <v>8274</v>
      </c>
      <c r="H738" s="199" t="s">
        <v>2185</v>
      </c>
      <c r="I738" s="199">
        <v>1</v>
      </c>
      <c r="J738" s="199">
        <v>1</v>
      </c>
      <c r="K738" s="199">
        <v>1</v>
      </c>
      <c r="L738" s="199">
        <v>50</v>
      </c>
      <c r="M738" s="202">
        <f>TB_Parts_Lists[[#This Row],[Quantity Initial]]+ SUMIF(TB_Transactions[Part number],TB_Parts_Lists[[#This Row],[Part Number]],TB_Transactions[Quantity])</f>
        <v>50</v>
      </c>
      <c r="N738" s="200" t="s">
        <v>4593</v>
      </c>
      <c r="O738" s="234">
        <v>5</v>
      </c>
      <c r="P738" s="199">
        <f>TB_Parts_Lists[[#This Row],[Quantity Initial]]*TB_Parts_Lists[[#This Row],[Unit Price AED]]</f>
        <v>250</v>
      </c>
      <c r="Q738" s="199">
        <f>TB_Parts_Lists[[#This Row],[Quantity Total]]*TB_Parts_Lists[[#This Row],[Unit Price AED]]</f>
        <v>250</v>
      </c>
      <c r="S738" s="199" t="s">
        <v>8675</v>
      </c>
      <c r="T738" s="199" t="s">
        <v>8675</v>
      </c>
      <c r="U738" s="199" t="s">
        <v>8675</v>
      </c>
    </row>
    <row r="739" spans="1:21" s="199" customFormat="1" x14ac:dyDescent="0.25">
      <c r="A739" s="192" t="s">
        <v>7248</v>
      </c>
      <c r="B739" s="201" t="s">
        <v>3329</v>
      </c>
      <c r="C739" s="199" t="s">
        <v>7219</v>
      </c>
      <c r="D739" s="188" t="s">
        <v>8724</v>
      </c>
      <c r="E739" s="188" t="s">
        <v>5213</v>
      </c>
      <c r="F739" s="189" t="s">
        <v>6002</v>
      </c>
      <c r="G739" s="199" t="s">
        <v>8274</v>
      </c>
      <c r="H739" s="199" t="s">
        <v>2185</v>
      </c>
      <c r="I739" s="199">
        <v>1</v>
      </c>
      <c r="J739" s="199">
        <v>1</v>
      </c>
      <c r="K739" s="199">
        <v>1</v>
      </c>
      <c r="L739" s="199">
        <v>50</v>
      </c>
      <c r="M739" s="202">
        <f>TB_Parts_Lists[[#This Row],[Quantity Initial]]+ SUMIF(TB_Transactions[Part number],TB_Parts_Lists[[#This Row],[Part Number]],TB_Transactions[Quantity])</f>
        <v>50</v>
      </c>
      <c r="N739" s="200" t="s">
        <v>4593</v>
      </c>
      <c r="O739" s="234">
        <v>5</v>
      </c>
      <c r="P739" s="199">
        <f>TB_Parts_Lists[[#This Row],[Quantity Initial]]*TB_Parts_Lists[[#This Row],[Unit Price AED]]</f>
        <v>250</v>
      </c>
      <c r="Q739" s="199">
        <f>TB_Parts_Lists[[#This Row],[Quantity Total]]*TB_Parts_Lists[[#This Row],[Unit Price AED]]</f>
        <v>250</v>
      </c>
      <c r="S739" s="199" t="s">
        <v>8675</v>
      </c>
      <c r="T739" s="199" t="s">
        <v>8675</v>
      </c>
      <c r="U739" s="199" t="s">
        <v>8675</v>
      </c>
    </row>
    <row r="740" spans="1:21" s="199" customFormat="1" x14ac:dyDescent="0.25">
      <c r="A740" s="192" t="s">
        <v>7249</v>
      </c>
      <c r="B740" s="201" t="s">
        <v>3334</v>
      </c>
      <c r="C740" s="199" t="s">
        <v>7222</v>
      </c>
      <c r="D740" s="188" t="s">
        <v>8724</v>
      </c>
      <c r="E740" s="188" t="s">
        <v>5214</v>
      </c>
      <c r="F740" s="189" t="s">
        <v>6003</v>
      </c>
      <c r="G740" s="199" t="s">
        <v>8274</v>
      </c>
      <c r="H740" s="199" t="s">
        <v>2185</v>
      </c>
      <c r="I740" s="199">
        <v>1</v>
      </c>
      <c r="J740" s="199">
        <v>1</v>
      </c>
      <c r="K740" s="199">
        <v>1</v>
      </c>
      <c r="L740" s="199">
        <v>50</v>
      </c>
      <c r="M740" s="202">
        <f>TB_Parts_Lists[[#This Row],[Quantity Initial]]+ SUMIF(TB_Transactions[Part number],TB_Parts_Lists[[#This Row],[Part Number]],TB_Transactions[Quantity])</f>
        <v>50</v>
      </c>
      <c r="N740" s="200" t="s">
        <v>4593</v>
      </c>
      <c r="O740" s="234">
        <v>5</v>
      </c>
      <c r="P740" s="199">
        <f>TB_Parts_Lists[[#This Row],[Quantity Initial]]*TB_Parts_Lists[[#This Row],[Unit Price AED]]</f>
        <v>250</v>
      </c>
      <c r="Q740" s="199">
        <f>TB_Parts_Lists[[#This Row],[Quantity Total]]*TB_Parts_Lists[[#This Row],[Unit Price AED]]</f>
        <v>250</v>
      </c>
      <c r="S740" s="199" t="s">
        <v>8675</v>
      </c>
      <c r="T740" s="199" t="s">
        <v>8675</v>
      </c>
      <c r="U740" s="199" t="s">
        <v>8675</v>
      </c>
    </row>
    <row r="741" spans="1:21" s="199" customFormat="1" x14ac:dyDescent="0.25">
      <c r="A741" s="192" t="s">
        <v>7250</v>
      </c>
      <c r="B741" s="201" t="s">
        <v>3330</v>
      </c>
      <c r="C741" s="199" t="s">
        <v>5051</v>
      </c>
      <c r="D741" s="188" t="s">
        <v>8724</v>
      </c>
      <c r="E741" s="188" t="s">
        <v>5215</v>
      </c>
      <c r="F741" s="189" t="s">
        <v>6004</v>
      </c>
      <c r="G741" s="199" t="s">
        <v>8274</v>
      </c>
      <c r="H741" s="199" t="s">
        <v>2185</v>
      </c>
      <c r="I741" s="199">
        <v>1</v>
      </c>
      <c r="J741" s="199">
        <v>1</v>
      </c>
      <c r="K741" s="199">
        <v>1</v>
      </c>
      <c r="L741" s="199">
        <v>50</v>
      </c>
      <c r="M741" s="202">
        <f>TB_Parts_Lists[[#This Row],[Quantity Initial]]+ SUMIF(TB_Transactions[Part number],TB_Parts_Lists[[#This Row],[Part Number]],TB_Transactions[Quantity])</f>
        <v>50</v>
      </c>
      <c r="N741" s="200" t="s">
        <v>4593</v>
      </c>
      <c r="O741" s="234">
        <v>5</v>
      </c>
      <c r="P741" s="199">
        <f>TB_Parts_Lists[[#This Row],[Quantity Initial]]*TB_Parts_Lists[[#This Row],[Unit Price AED]]</f>
        <v>250</v>
      </c>
      <c r="Q741" s="199">
        <f>TB_Parts_Lists[[#This Row],[Quantity Total]]*TB_Parts_Lists[[#This Row],[Unit Price AED]]</f>
        <v>250</v>
      </c>
      <c r="S741" s="199" t="s">
        <v>8675</v>
      </c>
      <c r="T741" s="199" t="s">
        <v>8675</v>
      </c>
      <c r="U741" s="199" t="s">
        <v>8675</v>
      </c>
    </row>
    <row r="742" spans="1:21" s="199" customFormat="1" x14ac:dyDescent="0.25">
      <c r="A742" s="192" t="s">
        <v>7251</v>
      </c>
      <c r="B742" s="201" t="s">
        <v>3330</v>
      </c>
      <c r="C742" s="199" t="s">
        <v>5051</v>
      </c>
      <c r="D742" s="188" t="s">
        <v>8724</v>
      </c>
      <c r="E742" s="188" t="s">
        <v>5216</v>
      </c>
      <c r="F742" s="189" t="s">
        <v>6005</v>
      </c>
      <c r="G742" s="199" t="s">
        <v>8274</v>
      </c>
      <c r="H742" s="199" t="s">
        <v>2185</v>
      </c>
      <c r="I742" s="199">
        <v>1</v>
      </c>
      <c r="J742" s="199">
        <v>1</v>
      </c>
      <c r="K742" s="199">
        <v>1</v>
      </c>
      <c r="L742" s="199">
        <v>50</v>
      </c>
      <c r="M742" s="202">
        <f>TB_Parts_Lists[[#This Row],[Quantity Initial]]+ SUMIF(TB_Transactions[Part number],TB_Parts_Lists[[#This Row],[Part Number]],TB_Transactions[Quantity])</f>
        <v>50</v>
      </c>
      <c r="N742" s="200" t="s">
        <v>4593</v>
      </c>
      <c r="O742" s="234">
        <v>5</v>
      </c>
      <c r="P742" s="199">
        <f>TB_Parts_Lists[[#This Row],[Quantity Initial]]*TB_Parts_Lists[[#This Row],[Unit Price AED]]</f>
        <v>250</v>
      </c>
      <c r="Q742" s="199">
        <f>TB_Parts_Lists[[#This Row],[Quantity Total]]*TB_Parts_Lists[[#This Row],[Unit Price AED]]</f>
        <v>250</v>
      </c>
      <c r="S742" s="199" t="s">
        <v>8675</v>
      </c>
      <c r="T742" s="199" t="s">
        <v>8675</v>
      </c>
      <c r="U742" s="199" t="s">
        <v>8675</v>
      </c>
    </row>
    <row r="743" spans="1:21" s="199" customFormat="1" x14ac:dyDescent="0.25">
      <c r="A743" s="192" t="s">
        <v>7252</v>
      </c>
      <c r="B743" s="201" t="s">
        <v>3330</v>
      </c>
      <c r="C743" s="199" t="s">
        <v>3338</v>
      </c>
      <c r="D743" s="188" t="s">
        <v>8724</v>
      </c>
      <c r="E743" s="188" t="s">
        <v>5217</v>
      </c>
      <c r="F743" s="189" t="s">
        <v>6006</v>
      </c>
      <c r="G743" s="199" t="s">
        <v>8274</v>
      </c>
      <c r="H743" s="199" t="s">
        <v>2185</v>
      </c>
      <c r="I743" s="199">
        <v>1</v>
      </c>
      <c r="J743" s="199">
        <v>1</v>
      </c>
      <c r="K743" s="199">
        <v>1</v>
      </c>
      <c r="L743" s="199">
        <v>50</v>
      </c>
      <c r="M743" s="202">
        <f>TB_Parts_Lists[[#This Row],[Quantity Initial]]+ SUMIF(TB_Transactions[Part number],TB_Parts_Lists[[#This Row],[Part Number]],TB_Transactions[Quantity])</f>
        <v>50</v>
      </c>
      <c r="N743" s="200" t="s">
        <v>4593</v>
      </c>
      <c r="O743" s="234">
        <v>5</v>
      </c>
      <c r="P743" s="199">
        <f>TB_Parts_Lists[[#This Row],[Quantity Initial]]*TB_Parts_Lists[[#This Row],[Unit Price AED]]</f>
        <v>250</v>
      </c>
      <c r="Q743" s="199">
        <f>TB_Parts_Lists[[#This Row],[Quantity Total]]*TB_Parts_Lists[[#This Row],[Unit Price AED]]</f>
        <v>250</v>
      </c>
      <c r="S743" s="199" t="s">
        <v>8675</v>
      </c>
      <c r="T743" s="199" t="s">
        <v>8675</v>
      </c>
      <c r="U743" s="199" t="s">
        <v>8675</v>
      </c>
    </row>
    <row r="744" spans="1:21" s="199" customFormat="1" x14ac:dyDescent="0.25">
      <c r="A744" s="192" t="s">
        <v>7254</v>
      </c>
      <c r="B744" s="201" t="s">
        <v>3332</v>
      </c>
      <c r="C744" s="199" t="s">
        <v>7253</v>
      </c>
      <c r="D744" s="188" t="s">
        <v>8724</v>
      </c>
      <c r="E744" s="188" t="s">
        <v>5218</v>
      </c>
      <c r="F744" s="189" t="s">
        <v>6007</v>
      </c>
      <c r="G744" s="199" t="s">
        <v>8274</v>
      </c>
      <c r="H744" s="199" t="s">
        <v>8653</v>
      </c>
      <c r="I744" s="199">
        <v>1</v>
      </c>
      <c r="J744" s="199">
        <v>1</v>
      </c>
      <c r="K744" s="199">
        <v>1</v>
      </c>
      <c r="L744" s="199">
        <v>50</v>
      </c>
      <c r="M744" s="202">
        <f>TB_Parts_Lists[[#This Row],[Quantity Initial]]+ SUMIF(TB_Transactions[Part number],TB_Parts_Lists[[#This Row],[Part Number]],TB_Transactions[Quantity])</f>
        <v>50</v>
      </c>
      <c r="N744" s="200" t="s">
        <v>4593</v>
      </c>
      <c r="O744" s="234">
        <v>5</v>
      </c>
      <c r="P744" s="199">
        <f>TB_Parts_Lists[[#This Row],[Quantity Initial]]*TB_Parts_Lists[[#This Row],[Unit Price AED]]</f>
        <v>250</v>
      </c>
      <c r="Q744" s="199">
        <f>TB_Parts_Lists[[#This Row],[Quantity Total]]*TB_Parts_Lists[[#This Row],[Unit Price AED]]</f>
        <v>250</v>
      </c>
      <c r="S744" s="199" t="s">
        <v>118</v>
      </c>
      <c r="T744" s="199" t="s">
        <v>8694</v>
      </c>
      <c r="U744" s="199" t="s">
        <v>8719</v>
      </c>
    </row>
    <row r="745" spans="1:21" s="199" customFormat="1" x14ac:dyDescent="0.25">
      <c r="A745" s="192" t="s">
        <v>7255</v>
      </c>
      <c r="B745" s="201" t="s">
        <v>3329</v>
      </c>
      <c r="C745" s="199" t="s">
        <v>6915</v>
      </c>
      <c r="D745" s="188" t="s">
        <v>8724</v>
      </c>
      <c r="E745" s="188" t="s">
        <v>3911</v>
      </c>
      <c r="F745" s="189" t="s">
        <v>3921</v>
      </c>
      <c r="G745" s="199" t="s">
        <v>8275</v>
      </c>
      <c r="H745" s="199" t="s">
        <v>8656</v>
      </c>
      <c r="I745" s="199">
        <v>1</v>
      </c>
      <c r="J745" s="199">
        <v>1</v>
      </c>
      <c r="K745" s="199">
        <v>1</v>
      </c>
      <c r="L745" s="199">
        <v>50</v>
      </c>
      <c r="M745" s="202">
        <f>TB_Parts_Lists[[#This Row],[Quantity Initial]]+ SUMIF(TB_Transactions[Part number],TB_Parts_Lists[[#This Row],[Part Number]],TB_Transactions[Quantity])</f>
        <v>50</v>
      </c>
      <c r="N745" s="200" t="s">
        <v>4593</v>
      </c>
      <c r="O745" s="234">
        <v>5</v>
      </c>
      <c r="P745" s="199">
        <f>TB_Parts_Lists[[#This Row],[Quantity Initial]]*TB_Parts_Lists[[#This Row],[Unit Price AED]]</f>
        <v>250</v>
      </c>
      <c r="Q745" s="199">
        <f>TB_Parts_Lists[[#This Row],[Quantity Total]]*TB_Parts_Lists[[#This Row],[Unit Price AED]]</f>
        <v>250</v>
      </c>
      <c r="S745" s="199" t="s">
        <v>8675</v>
      </c>
      <c r="T745" s="199" t="s">
        <v>8675</v>
      </c>
      <c r="U745" s="199" t="s">
        <v>8675</v>
      </c>
    </row>
    <row r="746" spans="1:21" s="199" customFormat="1" x14ac:dyDescent="0.25">
      <c r="A746" s="192" t="s">
        <v>7256</v>
      </c>
      <c r="B746" s="201" t="s">
        <v>3329</v>
      </c>
      <c r="C746" s="199" t="s">
        <v>3342</v>
      </c>
      <c r="D746" s="188" t="s">
        <v>8724</v>
      </c>
      <c r="E746" s="188" t="s">
        <v>5219</v>
      </c>
      <c r="F746" s="189" t="s">
        <v>6008</v>
      </c>
      <c r="G746" s="199" t="s">
        <v>8276</v>
      </c>
      <c r="H746" s="199" t="s">
        <v>8656</v>
      </c>
      <c r="I746" s="199">
        <v>1</v>
      </c>
      <c r="J746" s="199">
        <v>1</v>
      </c>
      <c r="K746" s="199">
        <v>1</v>
      </c>
      <c r="L746" s="199">
        <v>50</v>
      </c>
      <c r="M746" s="202">
        <f>TB_Parts_Lists[[#This Row],[Quantity Initial]]+ SUMIF(TB_Transactions[Part number],TB_Parts_Lists[[#This Row],[Part Number]],TB_Transactions[Quantity])</f>
        <v>50</v>
      </c>
      <c r="N746" s="200" t="s">
        <v>4593</v>
      </c>
      <c r="O746" s="234">
        <v>5</v>
      </c>
      <c r="P746" s="199">
        <f>TB_Parts_Lists[[#This Row],[Quantity Initial]]*TB_Parts_Lists[[#This Row],[Unit Price AED]]</f>
        <v>250</v>
      </c>
      <c r="Q746" s="199">
        <f>TB_Parts_Lists[[#This Row],[Quantity Total]]*TB_Parts_Lists[[#This Row],[Unit Price AED]]</f>
        <v>250</v>
      </c>
      <c r="S746" s="199" t="s">
        <v>8675</v>
      </c>
      <c r="T746" s="199" t="s">
        <v>8675</v>
      </c>
      <c r="U746" s="199" t="s">
        <v>8675</v>
      </c>
    </row>
    <row r="747" spans="1:21" s="199" customFormat="1" x14ac:dyDescent="0.25">
      <c r="A747" s="192" t="s">
        <v>7257</v>
      </c>
      <c r="B747" s="201" t="s">
        <v>3329</v>
      </c>
      <c r="C747" s="199" t="s">
        <v>3345</v>
      </c>
      <c r="D747" s="188" t="s">
        <v>8724</v>
      </c>
      <c r="E747" s="188" t="s">
        <v>3345</v>
      </c>
      <c r="F747" s="189" t="s">
        <v>3922</v>
      </c>
      <c r="G747" s="199" t="s">
        <v>8276</v>
      </c>
      <c r="H747" s="199" t="s">
        <v>8656</v>
      </c>
      <c r="I747" s="199">
        <v>1</v>
      </c>
      <c r="J747" s="199">
        <v>1</v>
      </c>
      <c r="K747" s="199">
        <v>1</v>
      </c>
      <c r="L747" s="199">
        <v>50</v>
      </c>
      <c r="M747" s="202">
        <f>TB_Parts_Lists[[#This Row],[Quantity Initial]]+ SUMIF(TB_Transactions[Part number],TB_Parts_Lists[[#This Row],[Part Number]],TB_Transactions[Quantity])</f>
        <v>50</v>
      </c>
      <c r="N747" s="200" t="s">
        <v>4593</v>
      </c>
      <c r="O747" s="234">
        <v>5</v>
      </c>
      <c r="P747" s="199">
        <f>TB_Parts_Lists[[#This Row],[Quantity Initial]]*TB_Parts_Lists[[#This Row],[Unit Price AED]]</f>
        <v>250</v>
      </c>
      <c r="Q747" s="199">
        <f>TB_Parts_Lists[[#This Row],[Quantity Total]]*TB_Parts_Lists[[#This Row],[Unit Price AED]]</f>
        <v>250</v>
      </c>
      <c r="S747" s="199" t="s">
        <v>8675</v>
      </c>
      <c r="T747" s="199" t="s">
        <v>8675</v>
      </c>
      <c r="U747" s="199" t="s">
        <v>8675</v>
      </c>
    </row>
    <row r="748" spans="1:21" s="199" customFormat="1" x14ac:dyDescent="0.25">
      <c r="A748" s="192" t="s">
        <v>7258</v>
      </c>
      <c r="B748" s="201" t="s">
        <v>3335</v>
      </c>
      <c r="C748" s="199" t="s">
        <v>3373</v>
      </c>
      <c r="D748" s="199" t="s">
        <v>8723</v>
      </c>
      <c r="E748" s="188" t="s">
        <v>3912</v>
      </c>
      <c r="F748" s="189" t="s">
        <v>3923</v>
      </c>
      <c r="G748" s="199" t="s">
        <v>8277</v>
      </c>
      <c r="H748" s="199" t="s">
        <v>8656</v>
      </c>
      <c r="I748" s="199">
        <v>1</v>
      </c>
      <c r="J748" s="199">
        <v>1</v>
      </c>
      <c r="K748" s="199">
        <v>1</v>
      </c>
      <c r="L748" s="199">
        <v>50</v>
      </c>
      <c r="M748" s="202">
        <f>TB_Parts_Lists[[#This Row],[Quantity Initial]]+ SUMIF(TB_Transactions[Part number],TB_Parts_Lists[[#This Row],[Part Number]],TB_Transactions[Quantity])</f>
        <v>50</v>
      </c>
      <c r="N748" s="200" t="s">
        <v>4593</v>
      </c>
      <c r="O748" s="234">
        <v>5</v>
      </c>
      <c r="P748" s="199">
        <f>TB_Parts_Lists[[#This Row],[Quantity Initial]]*TB_Parts_Lists[[#This Row],[Unit Price AED]]</f>
        <v>250</v>
      </c>
      <c r="Q748" s="199">
        <f>TB_Parts_Lists[[#This Row],[Quantity Total]]*TB_Parts_Lists[[#This Row],[Unit Price AED]]</f>
        <v>250</v>
      </c>
      <c r="S748" s="199" t="s">
        <v>8675</v>
      </c>
      <c r="T748" s="199" t="s">
        <v>8675</v>
      </c>
      <c r="U748" s="199" t="s">
        <v>8675</v>
      </c>
    </row>
    <row r="749" spans="1:21" s="199" customFormat="1" x14ac:dyDescent="0.25">
      <c r="A749" s="192" t="s">
        <v>7259</v>
      </c>
      <c r="B749" s="201" t="s">
        <v>3002</v>
      </c>
      <c r="C749" s="199" t="s">
        <v>3006</v>
      </c>
      <c r="D749" s="199" t="s">
        <v>8723</v>
      </c>
      <c r="E749" s="188" t="s">
        <v>3960</v>
      </c>
      <c r="F749" s="189" t="s">
        <v>3924</v>
      </c>
      <c r="G749" s="199" t="s">
        <v>8277</v>
      </c>
      <c r="H749" s="199" t="s">
        <v>8656</v>
      </c>
      <c r="I749" s="199">
        <v>1</v>
      </c>
      <c r="J749" s="199">
        <v>1</v>
      </c>
      <c r="K749" s="199">
        <v>1</v>
      </c>
      <c r="L749" s="199">
        <v>50</v>
      </c>
      <c r="M749" s="202">
        <f>TB_Parts_Lists[[#This Row],[Quantity Initial]]+ SUMIF(TB_Transactions[Part number],TB_Parts_Lists[[#This Row],[Part Number]],TB_Transactions[Quantity])</f>
        <v>50</v>
      </c>
      <c r="N749" s="200" t="s">
        <v>4593</v>
      </c>
      <c r="O749" s="234">
        <v>5</v>
      </c>
      <c r="P749" s="199">
        <f>TB_Parts_Lists[[#This Row],[Quantity Initial]]*TB_Parts_Lists[[#This Row],[Unit Price AED]]</f>
        <v>250</v>
      </c>
      <c r="Q749" s="199">
        <f>TB_Parts_Lists[[#This Row],[Quantity Total]]*TB_Parts_Lists[[#This Row],[Unit Price AED]]</f>
        <v>250</v>
      </c>
      <c r="S749" s="199" t="s">
        <v>8675</v>
      </c>
      <c r="T749" s="199" t="s">
        <v>8675</v>
      </c>
      <c r="U749" s="199" t="s">
        <v>8675</v>
      </c>
    </row>
    <row r="750" spans="1:21" s="199" customFormat="1" x14ac:dyDescent="0.25">
      <c r="A750" s="192" t="s">
        <v>7260</v>
      </c>
      <c r="B750" s="201" t="s">
        <v>6619</v>
      </c>
      <c r="C750" s="199" t="s">
        <v>161</v>
      </c>
      <c r="D750" s="199" t="s">
        <v>8732</v>
      </c>
      <c r="E750" s="188" t="s">
        <v>5220</v>
      </c>
      <c r="F750" s="189" t="s">
        <v>3925</v>
      </c>
      <c r="G750" s="199" t="s">
        <v>8277</v>
      </c>
      <c r="H750" s="199" t="s">
        <v>8656</v>
      </c>
      <c r="I750" s="199">
        <v>1</v>
      </c>
      <c r="J750" s="199">
        <v>1</v>
      </c>
      <c r="K750" s="199">
        <v>1</v>
      </c>
      <c r="L750" s="199">
        <v>50</v>
      </c>
      <c r="M750" s="202">
        <f>TB_Parts_Lists[[#This Row],[Quantity Initial]]+ SUMIF(TB_Transactions[Part number],TB_Parts_Lists[[#This Row],[Part Number]],TB_Transactions[Quantity])</f>
        <v>50</v>
      </c>
      <c r="N750" s="200" t="s">
        <v>4593</v>
      </c>
      <c r="O750" s="234">
        <v>5</v>
      </c>
      <c r="P750" s="199">
        <f>TB_Parts_Lists[[#This Row],[Quantity Initial]]*TB_Parts_Lists[[#This Row],[Unit Price AED]]</f>
        <v>250</v>
      </c>
      <c r="Q750" s="199">
        <f>TB_Parts_Lists[[#This Row],[Quantity Total]]*TB_Parts_Lists[[#This Row],[Unit Price AED]]</f>
        <v>250</v>
      </c>
      <c r="S750" s="199" t="s">
        <v>118</v>
      </c>
      <c r="T750" s="199" t="s">
        <v>8675</v>
      </c>
      <c r="U750" s="199" t="s">
        <v>8675</v>
      </c>
    </row>
    <row r="751" spans="1:21" s="199" customFormat="1" x14ac:dyDescent="0.25">
      <c r="A751" s="192" t="s">
        <v>7261</v>
      </c>
      <c r="B751" s="201" t="s">
        <v>6619</v>
      </c>
      <c r="C751" s="199" t="s">
        <v>3629</v>
      </c>
      <c r="D751" s="199" t="s">
        <v>8723</v>
      </c>
      <c r="E751" s="188" t="s">
        <v>3913</v>
      </c>
      <c r="F751" s="189" t="s">
        <v>3926</v>
      </c>
      <c r="G751" s="199" t="s">
        <v>8277</v>
      </c>
      <c r="H751" s="199" t="s">
        <v>8656</v>
      </c>
      <c r="I751" s="199">
        <v>1</v>
      </c>
      <c r="J751" s="199">
        <v>1</v>
      </c>
      <c r="K751" s="199">
        <v>1</v>
      </c>
      <c r="L751" s="199">
        <v>50</v>
      </c>
      <c r="M751" s="202">
        <f>TB_Parts_Lists[[#This Row],[Quantity Initial]]+ SUMIF(TB_Transactions[Part number],TB_Parts_Lists[[#This Row],[Part Number]],TB_Transactions[Quantity])</f>
        <v>50</v>
      </c>
      <c r="N751" s="200" t="s">
        <v>4593</v>
      </c>
      <c r="O751" s="234">
        <v>5</v>
      </c>
      <c r="P751" s="199">
        <f>TB_Parts_Lists[[#This Row],[Quantity Initial]]*TB_Parts_Lists[[#This Row],[Unit Price AED]]</f>
        <v>250</v>
      </c>
      <c r="Q751" s="199">
        <f>TB_Parts_Lists[[#This Row],[Quantity Total]]*TB_Parts_Lists[[#This Row],[Unit Price AED]]</f>
        <v>250</v>
      </c>
      <c r="S751" s="199" t="s">
        <v>8675</v>
      </c>
      <c r="T751" s="199" t="s">
        <v>8675</v>
      </c>
      <c r="U751" s="199" t="s">
        <v>8675</v>
      </c>
    </row>
    <row r="752" spans="1:21" s="199" customFormat="1" x14ac:dyDescent="0.25">
      <c r="A752" s="192" t="s">
        <v>7262</v>
      </c>
      <c r="B752" s="201" t="s">
        <v>3330</v>
      </c>
      <c r="C752" s="199" t="s">
        <v>5051</v>
      </c>
      <c r="D752" s="199" t="s">
        <v>8724</v>
      </c>
      <c r="E752" s="188" t="s">
        <v>3961</v>
      </c>
      <c r="F752" s="189" t="s">
        <v>3927</v>
      </c>
      <c r="G752" s="199" t="s">
        <v>8277</v>
      </c>
      <c r="H752" s="199" t="s">
        <v>8656</v>
      </c>
      <c r="I752" s="199">
        <v>1</v>
      </c>
      <c r="J752" s="199">
        <v>1</v>
      </c>
      <c r="K752" s="199">
        <v>1</v>
      </c>
      <c r="L752" s="199">
        <v>50</v>
      </c>
      <c r="M752" s="202">
        <f>TB_Parts_Lists[[#This Row],[Quantity Initial]]+ SUMIF(TB_Transactions[Part number],TB_Parts_Lists[[#This Row],[Part Number]],TB_Transactions[Quantity])</f>
        <v>50</v>
      </c>
      <c r="N752" s="200" t="s">
        <v>4593</v>
      </c>
      <c r="O752" s="234">
        <v>5</v>
      </c>
      <c r="P752" s="199">
        <f>TB_Parts_Lists[[#This Row],[Quantity Initial]]*TB_Parts_Lists[[#This Row],[Unit Price AED]]</f>
        <v>250</v>
      </c>
      <c r="Q752" s="199">
        <f>TB_Parts_Lists[[#This Row],[Quantity Total]]*TB_Parts_Lists[[#This Row],[Unit Price AED]]</f>
        <v>250</v>
      </c>
      <c r="S752" s="199" t="s">
        <v>8675</v>
      </c>
      <c r="T752" s="199" t="s">
        <v>8675</v>
      </c>
      <c r="U752" s="199" t="s">
        <v>8675</v>
      </c>
    </row>
    <row r="753" spans="1:21" s="199" customFormat="1" x14ac:dyDescent="0.25">
      <c r="A753" s="192" t="s">
        <v>7263</v>
      </c>
      <c r="B753" s="201" t="s">
        <v>3329</v>
      </c>
      <c r="C753" s="199" t="s">
        <v>3338</v>
      </c>
      <c r="D753" s="188" t="s">
        <v>8724</v>
      </c>
      <c r="E753" s="188" t="s">
        <v>3962</v>
      </c>
      <c r="F753" s="189" t="s">
        <v>3928</v>
      </c>
      <c r="G753" s="199" t="s">
        <v>8277</v>
      </c>
      <c r="H753" s="199" t="s">
        <v>8656</v>
      </c>
      <c r="I753" s="199">
        <v>1</v>
      </c>
      <c r="J753" s="199">
        <v>1</v>
      </c>
      <c r="K753" s="199">
        <v>1</v>
      </c>
      <c r="L753" s="199">
        <v>50</v>
      </c>
      <c r="M753" s="202">
        <f>TB_Parts_Lists[[#This Row],[Quantity Initial]]+ SUMIF(TB_Transactions[Part number],TB_Parts_Lists[[#This Row],[Part Number]],TB_Transactions[Quantity])</f>
        <v>50</v>
      </c>
      <c r="N753" s="200" t="s">
        <v>4593</v>
      </c>
      <c r="O753" s="234">
        <v>5</v>
      </c>
      <c r="P753" s="199">
        <f>TB_Parts_Lists[[#This Row],[Quantity Initial]]*TB_Parts_Lists[[#This Row],[Unit Price AED]]</f>
        <v>250</v>
      </c>
      <c r="Q753" s="199">
        <f>TB_Parts_Lists[[#This Row],[Quantity Total]]*TB_Parts_Lists[[#This Row],[Unit Price AED]]</f>
        <v>250</v>
      </c>
      <c r="S753" s="199" t="s">
        <v>8675</v>
      </c>
      <c r="T753" s="199" t="s">
        <v>8675</v>
      </c>
      <c r="U753" s="199" t="s">
        <v>8675</v>
      </c>
    </row>
    <row r="754" spans="1:21" s="199" customFormat="1" x14ac:dyDescent="0.25">
      <c r="A754" s="192" t="s">
        <v>7264</v>
      </c>
      <c r="B754" s="201" t="s">
        <v>3002</v>
      </c>
      <c r="C754" s="199" t="s">
        <v>3006</v>
      </c>
      <c r="D754" s="188" t="s">
        <v>8724</v>
      </c>
      <c r="E754" s="188" t="s">
        <v>5221</v>
      </c>
      <c r="F754" s="189" t="s">
        <v>3929</v>
      </c>
      <c r="G754" s="199" t="s">
        <v>8277</v>
      </c>
      <c r="H754" s="199" t="s">
        <v>8656</v>
      </c>
      <c r="I754" s="199">
        <v>1</v>
      </c>
      <c r="J754" s="199">
        <v>1</v>
      </c>
      <c r="K754" s="199">
        <v>1</v>
      </c>
      <c r="L754" s="199">
        <v>50</v>
      </c>
      <c r="M754" s="202">
        <f>TB_Parts_Lists[[#This Row],[Quantity Initial]]+ SUMIF(TB_Transactions[Part number],TB_Parts_Lists[[#This Row],[Part Number]],TB_Transactions[Quantity])</f>
        <v>50</v>
      </c>
      <c r="N754" s="200" t="s">
        <v>4593</v>
      </c>
      <c r="O754" s="234">
        <v>5</v>
      </c>
      <c r="P754" s="199">
        <f>TB_Parts_Lists[[#This Row],[Quantity Initial]]*TB_Parts_Lists[[#This Row],[Unit Price AED]]</f>
        <v>250</v>
      </c>
      <c r="Q754" s="199">
        <f>TB_Parts_Lists[[#This Row],[Quantity Total]]*TB_Parts_Lists[[#This Row],[Unit Price AED]]</f>
        <v>250</v>
      </c>
      <c r="S754" s="199" t="s">
        <v>8675</v>
      </c>
      <c r="T754" s="199" t="s">
        <v>8675</v>
      </c>
      <c r="U754" s="199" t="s">
        <v>8675</v>
      </c>
    </row>
    <row r="755" spans="1:21" s="199" customFormat="1" x14ac:dyDescent="0.25">
      <c r="A755" s="192" t="s">
        <v>7265</v>
      </c>
      <c r="B755" s="201" t="s">
        <v>3330</v>
      </c>
      <c r="C755" s="199" t="s">
        <v>7066</v>
      </c>
      <c r="D755" s="199" t="s">
        <v>8732</v>
      </c>
      <c r="E755" s="188" t="s">
        <v>5222</v>
      </c>
      <c r="F755" s="189" t="s">
        <v>3930</v>
      </c>
      <c r="G755" s="199" t="s">
        <v>8277</v>
      </c>
      <c r="H755" s="199" t="s">
        <v>8656</v>
      </c>
      <c r="I755" s="199">
        <v>1</v>
      </c>
      <c r="J755" s="199">
        <v>1</v>
      </c>
      <c r="K755" s="199">
        <v>1</v>
      </c>
      <c r="L755" s="199">
        <v>50</v>
      </c>
      <c r="M755" s="202">
        <f>TB_Parts_Lists[[#This Row],[Quantity Initial]]+ SUMIF(TB_Transactions[Part number],TB_Parts_Lists[[#This Row],[Part Number]],TB_Transactions[Quantity])</f>
        <v>50</v>
      </c>
      <c r="N755" s="200" t="s">
        <v>4593</v>
      </c>
      <c r="O755" s="234">
        <v>5</v>
      </c>
      <c r="P755" s="199">
        <f>TB_Parts_Lists[[#This Row],[Quantity Initial]]*TB_Parts_Lists[[#This Row],[Unit Price AED]]</f>
        <v>250</v>
      </c>
      <c r="Q755" s="199">
        <f>TB_Parts_Lists[[#This Row],[Quantity Total]]*TB_Parts_Lists[[#This Row],[Unit Price AED]]</f>
        <v>250</v>
      </c>
      <c r="S755" s="199" t="s">
        <v>118</v>
      </c>
      <c r="T755" s="199" t="s">
        <v>8675</v>
      </c>
      <c r="U755" s="199" t="s">
        <v>8675</v>
      </c>
    </row>
    <row r="756" spans="1:21" s="199" customFormat="1" x14ac:dyDescent="0.25">
      <c r="A756" s="192" t="s">
        <v>7266</v>
      </c>
      <c r="B756" s="201" t="s">
        <v>3329</v>
      </c>
      <c r="C756" s="199" t="s">
        <v>5277</v>
      </c>
      <c r="D756" s="188" t="s">
        <v>8724</v>
      </c>
      <c r="E756" s="188" t="s">
        <v>3963</v>
      </c>
      <c r="F756" s="189" t="s">
        <v>3931</v>
      </c>
      <c r="G756" s="199" t="s">
        <v>8277</v>
      </c>
      <c r="H756" s="199" t="s">
        <v>8656</v>
      </c>
      <c r="I756" s="199">
        <v>1</v>
      </c>
      <c r="J756" s="199">
        <v>1</v>
      </c>
      <c r="K756" s="199">
        <v>1</v>
      </c>
      <c r="L756" s="199">
        <v>50</v>
      </c>
      <c r="M756" s="202">
        <f>TB_Parts_Lists[[#This Row],[Quantity Initial]]+ SUMIF(TB_Transactions[Part number],TB_Parts_Lists[[#This Row],[Part Number]],TB_Transactions[Quantity])</f>
        <v>50</v>
      </c>
      <c r="N756" s="200" t="s">
        <v>4593</v>
      </c>
      <c r="O756" s="234">
        <v>5</v>
      </c>
      <c r="P756" s="199">
        <f>TB_Parts_Lists[[#This Row],[Quantity Initial]]*TB_Parts_Lists[[#This Row],[Unit Price AED]]</f>
        <v>250</v>
      </c>
      <c r="Q756" s="199">
        <f>TB_Parts_Lists[[#This Row],[Quantity Total]]*TB_Parts_Lists[[#This Row],[Unit Price AED]]</f>
        <v>250</v>
      </c>
      <c r="S756" s="199" t="s">
        <v>8675</v>
      </c>
      <c r="T756" s="199" t="s">
        <v>8675</v>
      </c>
      <c r="U756" s="199" t="s">
        <v>8675</v>
      </c>
    </row>
    <row r="757" spans="1:21" s="199" customFormat="1" x14ac:dyDescent="0.25">
      <c r="A757" s="192" t="s">
        <v>7267</v>
      </c>
      <c r="B757" s="201" t="s">
        <v>3329</v>
      </c>
      <c r="C757" s="199" t="s">
        <v>5277</v>
      </c>
      <c r="D757" s="188" t="s">
        <v>8724</v>
      </c>
      <c r="E757" s="188" t="s">
        <v>3914</v>
      </c>
      <c r="F757" s="189" t="s">
        <v>3932</v>
      </c>
      <c r="G757" s="199" t="s">
        <v>8277</v>
      </c>
      <c r="H757" s="199" t="s">
        <v>8656</v>
      </c>
      <c r="I757" s="199">
        <v>1</v>
      </c>
      <c r="J757" s="199">
        <v>1</v>
      </c>
      <c r="K757" s="199">
        <v>1</v>
      </c>
      <c r="L757" s="199">
        <v>50</v>
      </c>
      <c r="M757" s="202">
        <f>TB_Parts_Lists[[#This Row],[Quantity Initial]]+ SUMIF(TB_Transactions[Part number],TB_Parts_Lists[[#This Row],[Part Number]],TB_Transactions[Quantity])</f>
        <v>50</v>
      </c>
      <c r="N757" s="200" t="s">
        <v>4593</v>
      </c>
      <c r="O757" s="234">
        <v>5</v>
      </c>
      <c r="P757" s="199">
        <f>TB_Parts_Lists[[#This Row],[Quantity Initial]]*TB_Parts_Lists[[#This Row],[Unit Price AED]]</f>
        <v>250</v>
      </c>
      <c r="Q757" s="199">
        <f>TB_Parts_Lists[[#This Row],[Quantity Total]]*TB_Parts_Lists[[#This Row],[Unit Price AED]]</f>
        <v>250</v>
      </c>
      <c r="S757" s="199" t="s">
        <v>8675</v>
      </c>
      <c r="T757" s="199" t="s">
        <v>8675</v>
      </c>
      <c r="U757" s="199" t="s">
        <v>8675</v>
      </c>
    </row>
    <row r="758" spans="1:21" s="199" customFormat="1" x14ac:dyDescent="0.25">
      <c r="A758" s="192" t="s">
        <v>7268</v>
      </c>
      <c r="B758" s="201" t="s">
        <v>6619</v>
      </c>
      <c r="C758" s="199" t="s">
        <v>161</v>
      </c>
      <c r="D758" s="199" t="s">
        <v>8724</v>
      </c>
      <c r="E758" s="188" t="s">
        <v>5223</v>
      </c>
      <c r="F758" s="189" t="s">
        <v>3933</v>
      </c>
      <c r="G758" s="199" t="s">
        <v>8277</v>
      </c>
      <c r="H758" s="199" t="s">
        <v>8656</v>
      </c>
      <c r="I758" s="199">
        <v>1</v>
      </c>
      <c r="J758" s="199">
        <v>1</v>
      </c>
      <c r="K758" s="199">
        <v>1</v>
      </c>
      <c r="L758" s="199">
        <v>50</v>
      </c>
      <c r="M758" s="202">
        <f>TB_Parts_Lists[[#This Row],[Quantity Initial]]+ SUMIF(TB_Transactions[Part number],TB_Parts_Lists[[#This Row],[Part Number]],TB_Transactions[Quantity])</f>
        <v>50</v>
      </c>
      <c r="N758" s="200" t="s">
        <v>4593</v>
      </c>
      <c r="O758" s="234">
        <v>5</v>
      </c>
      <c r="P758" s="199">
        <f>TB_Parts_Lists[[#This Row],[Quantity Initial]]*TB_Parts_Lists[[#This Row],[Unit Price AED]]</f>
        <v>250</v>
      </c>
      <c r="Q758" s="199">
        <f>TB_Parts_Lists[[#This Row],[Quantity Total]]*TB_Parts_Lists[[#This Row],[Unit Price AED]]</f>
        <v>250</v>
      </c>
      <c r="S758" s="199" t="s">
        <v>8675</v>
      </c>
      <c r="T758" s="199" t="s">
        <v>8675</v>
      </c>
      <c r="U758" s="199" t="s">
        <v>8675</v>
      </c>
    </row>
    <row r="759" spans="1:21" s="199" customFormat="1" x14ac:dyDescent="0.25">
      <c r="A759" s="192" t="s">
        <v>7269</v>
      </c>
      <c r="B759" s="201" t="s">
        <v>3329</v>
      </c>
      <c r="C759" s="199" t="s">
        <v>3338</v>
      </c>
      <c r="D759" s="199" t="s">
        <v>8723</v>
      </c>
      <c r="E759" s="188" t="s">
        <v>5224</v>
      </c>
      <c r="F759" s="189" t="s">
        <v>3934</v>
      </c>
      <c r="G759" s="199" t="s">
        <v>8277</v>
      </c>
      <c r="H759" s="199" t="s">
        <v>8656</v>
      </c>
      <c r="I759" s="199">
        <v>1</v>
      </c>
      <c r="J759" s="199">
        <v>1</v>
      </c>
      <c r="K759" s="199">
        <v>1</v>
      </c>
      <c r="L759" s="199">
        <v>50</v>
      </c>
      <c r="M759" s="202">
        <f>TB_Parts_Lists[[#This Row],[Quantity Initial]]+ SUMIF(TB_Transactions[Part number],TB_Parts_Lists[[#This Row],[Part Number]],TB_Transactions[Quantity])</f>
        <v>50</v>
      </c>
      <c r="N759" s="200" t="s">
        <v>4593</v>
      </c>
      <c r="O759" s="234">
        <v>5</v>
      </c>
      <c r="P759" s="199">
        <f>TB_Parts_Lists[[#This Row],[Quantity Initial]]*TB_Parts_Lists[[#This Row],[Unit Price AED]]</f>
        <v>250</v>
      </c>
      <c r="Q759" s="199">
        <f>TB_Parts_Lists[[#This Row],[Quantity Total]]*TB_Parts_Lists[[#This Row],[Unit Price AED]]</f>
        <v>250</v>
      </c>
      <c r="S759" s="199" t="s">
        <v>8675</v>
      </c>
      <c r="T759" s="199" t="s">
        <v>8675</v>
      </c>
      <c r="U759" s="199" t="s">
        <v>8675</v>
      </c>
    </row>
    <row r="760" spans="1:21" s="199" customFormat="1" x14ac:dyDescent="0.25">
      <c r="A760" s="192" t="s">
        <v>7270</v>
      </c>
      <c r="B760" s="201" t="s">
        <v>6619</v>
      </c>
      <c r="C760" s="199" t="s">
        <v>3629</v>
      </c>
      <c r="D760" s="199" t="s">
        <v>8732</v>
      </c>
      <c r="E760" s="188" t="s">
        <v>5225</v>
      </c>
      <c r="F760" s="189" t="s">
        <v>4706</v>
      </c>
      <c r="G760" s="199" t="s">
        <v>8277</v>
      </c>
      <c r="H760" s="199" t="s">
        <v>8656</v>
      </c>
      <c r="I760" s="199">
        <v>1</v>
      </c>
      <c r="J760" s="199">
        <v>1</v>
      </c>
      <c r="K760" s="199">
        <v>1</v>
      </c>
      <c r="L760" s="199">
        <v>50</v>
      </c>
      <c r="M760" s="202">
        <f>TB_Parts_Lists[[#This Row],[Quantity Initial]]+ SUMIF(TB_Transactions[Part number],TB_Parts_Lists[[#This Row],[Part Number]],TB_Transactions[Quantity])</f>
        <v>50</v>
      </c>
      <c r="N760" s="200" t="s">
        <v>4593</v>
      </c>
      <c r="O760" s="234">
        <v>5</v>
      </c>
      <c r="P760" s="199">
        <f>TB_Parts_Lists[[#This Row],[Quantity Initial]]*TB_Parts_Lists[[#This Row],[Unit Price AED]]</f>
        <v>250</v>
      </c>
      <c r="Q760" s="199">
        <f>TB_Parts_Lists[[#This Row],[Quantity Total]]*TB_Parts_Lists[[#This Row],[Unit Price AED]]</f>
        <v>250</v>
      </c>
      <c r="S760" s="199" t="s">
        <v>118</v>
      </c>
      <c r="T760" s="199" t="s">
        <v>8675</v>
      </c>
      <c r="U760" s="199" t="s">
        <v>8675</v>
      </c>
    </row>
    <row r="761" spans="1:21" s="199" customFormat="1" x14ac:dyDescent="0.25">
      <c r="A761" s="192" t="s">
        <v>7271</v>
      </c>
      <c r="B761" s="207" t="s">
        <v>3338</v>
      </c>
      <c r="C761" s="205" t="s">
        <v>651</v>
      </c>
      <c r="D761" s="188" t="s">
        <v>8724</v>
      </c>
      <c r="E761" s="188" t="s">
        <v>5226</v>
      </c>
      <c r="F761" s="189" t="s">
        <v>4707</v>
      </c>
      <c r="G761" s="199" t="s">
        <v>8277</v>
      </c>
      <c r="H761" s="199" t="s">
        <v>8656</v>
      </c>
      <c r="I761" s="199">
        <v>1</v>
      </c>
      <c r="J761" s="199">
        <v>1</v>
      </c>
      <c r="K761" s="199">
        <v>1</v>
      </c>
      <c r="L761" s="199">
        <v>50</v>
      </c>
      <c r="M761" s="206">
        <f>TB_Parts_Lists[[#This Row],[Quantity Initial]]+ SUMIF(TB_Transactions[Part number],TB_Parts_Lists[[#This Row],[Part Number]],TB_Transactions[Quantity])</f>
        <v>50</v>
      </c>
      <c r="N761" s="200" t="s">
        <v>4593</v>
      </c>
      <c r="O761" s="234">
        <v>5</v>
      </c>
      <c r="P761" s="199">
        <f>TB_Parts_Lists[[#This Row],[Quantity Initial]]*TB_Parts_Lists[[#This Row],[Unit Price AED]]</f>
        <v>250</v>
      </c>
      <c r="Q761" s="199">
        <f>TB_Parts_Lists[[#This Row],[Quantity Total]]*TB_Parts_Lists[[#This Row],[Unit Price AED]]</f>
        <v>250</v>
      </c>
      <c r="R761" s="205"/>
      <c r="S761" s="199" t="s">
        <v>8675</v>
      </c>
      <c r="T761" s="199" t="s">
        <v>8675</v>
      </c>
      <c r="U761" s="199" t="s">
        <v>8675</v>
      </c>
    </row>
    <row r="762" spans="1:21" s="199" customFormat="1" x14ac:dyDescent="0.25">
      <c r="A762" s="192" t="s">
        <v>7272</v>
      </c>
      <c r="B762" s="207" t="s">
        <v>3338</v>
      </c>
      <c r="C762" s="205" t="s">
        <v>651</v>
      </c>
      <c r="D762" s="188" t="s">
        <v>8724</v>
      </c>
      <c r="E762" s="188" t="s">
        <v>5227</v>
      </c>
      <c r="F762" s="189" t="s">
        <v>4708</v>
      </c>
      <c r="G762" s="199" t="s">
        <v>8277</v>
      </c>
      <c r="H762" s="199" t="s">
        <v>8656</v>
      </c>
      <c r="I762" s="199">
        <v>1</v>
      </c>
      <c r="J762" s="199">
        <v>1</v>
      </c>
      <c r="K762" s="199">
        <v>1</v>
      </c>
      <c r="L762" s="199">
        <v>50</v>
      </c>
      <c r="M762" s="202">
        <f>TB_Parts_Lists[[#This Row],[Quantity Initial]]+ SUMIF(TB_Transactions[Part number],TB_Parts_Lists[[#This Row],[Part Number]],TB_Transactions[Quantity])</f>
        <v>50</v>
      </c>
      <c r="N762" s="200" t="s">
        <v>4593</v>
      </c>
      <c r="O762" s="234">
        <v>5</v>
      </c>
      <c r="P762" s="199">
        <f>TB_Parts_Lists[[#This Row],[Quantity Initial]]*TB_Parts_Lists[[#This Row],[Unit Price AED]]</f>
        <v>250</v>
      </c>
      <c r="Q762" s="199">
        <f>TB_Parts_Lists[[#This Row],[Quantity Total]]*TB_Parts_Lists[[#This Row],[Unit Price AED]]</f>
        <v>250</v>
      </c>
      <c r="S762" s="199" t="s">
        <v>8675</v>
      </c>
      <c r="T762" s="199" t="s">
        <v>8675</v>
      </c>
      <c r="U762" s="199" t="s">
        <v>8675</v>
      </c>
    </row>
    <row r="763" spans="1:21" s="199" customFormat="1" x14ac:dyDescent="0.25">
      <c r="A763" s="192" t="s">
        <v>7273</v>
      </c>
      <c r="B763" s="201" t="s">
        <v>3330</v>
      </c>
      <c r="C763" s="199" t="s">
        <v>3338</v>
      </c>
      <c r="D763" s="188" t="s">
        <v>8724</v>
      </c>
      <c r="E763" s="188" t="s">
        <v>5228</v>
      </c>
      <c r="F763" s="189" t="s">
        <v>4709</v>
      </c>
      <c r="G763" s="199" t="s">
        <v>8277</v>
      </c>
      <c r="H763" s="199" t="s">
        <v>8656</v>
      </c>
      <c r="I763" s="199">
        <v>1</v>
      </c>
      <c r="J763" s="199">
        <v>1</v>
      </c>
      <c r="K763" s="199">
        <v>1</v>
      </c>
      <c r="L763" s="199">
        <v>50</v>
      </c>
      <c r="M763" s="202">
        <f>TB_Parts_Lists[[#This Row],[Quantity Initial]]+ SUMIF(TB_Transactions[Part number],TB_Parts_Lists[[#This Row],[Part Number]],TB_Transactions[Quantity])</f>
        <v>50</v>
      </c>
      <c r="N763" s="200" t="s">
        <v>4593</v>
      </c>
      <c r="O763" s="234">
        <v>5</v>
      </c>
      <c r="P763" s="199">
        <f>TB_Parts_Lists[[#This Row],[Quantity Initial]]*TB_Parts_Lists[[#This Row],[Unit Price AED]]</f>
        <v>250</v>
      </c>
      <c r="Q763" s="199">
        <f>TB_Parts_Lists[[#This Row],[Quantity Total]]*TB_Parts_Lists[[#This Row],[Unit Price AED]]</f>
        <v>250</v>
      </c>
      <c r="S763" s="199" t="s">
        <v>8675</v>
      </c>
      <c r="T763" s="199" t="s">
        <v>8675</v>
      </c>
      <c r="U763" s="199" t="s">
        <v>8675</v>
      </c>
    </row>
    <row r="764" spans="1:21" s="199" customFormat="1" x14ac:dyDescent="0.25">
      <c r="A764" s="192" t="s">
        <v>7274</v>
      </c>
      <c r="B764" s="201" t="s">
        <v>3330</v>
      </c>
      <c r="C764" s="199" t="s">
        <v>4608</v>
      </c>
      <c r="D764" s="188" t="s">
        <v>8724</v>
      </c>
      <c r="E764" s="188" t="s">
        <v>5229</v>
      </c>
      <c r="F764" s="189" t="s">
        <v>6009</v>
      </c>
      <c r="G764" s="199" t="s">
        <v>8277</v>
      </c>
      <c r="H764" s="199" t="s">
        <v>8656</v>
      </c>
      <c r="I764" s="199">
        <v>1</v>
      </c>
      <c r="J764" s="199">
        <v>1</v>
      </c>
      <c r="K764" s="199">
        <v>1</v>
      </c>
      <c r="L764" s="199">
        <v>50</v>
      </c>
      <c r="M764" s="202">
        <f>TB_Parts_Lists[[#This Row],[Quantity Initial]]+ SUMIF(TB_Transactions[Part number],TB_Parts_Lists[[#This Row],[Part Number]],TB_Transactions[Quantity])</f>
        <v>50</v>
      </c>
      <c r="N764" s="200" t="s">
        <v>4593</v>
      </c>
      <c r="O764" s="234">
        <v>5</v>
      </c>
      <c r="P764" s="199">
        <f>TB_Parts_Lists[[#This Row],[Quantity Initial]]*TB_Parts_Lists[[#This Row],[Unit Price AED]]</f>
        <v>250</v>
      </c>
      <c r="Q764" s="199">
        <f>TB_Parts_Lists[[#This Row],[Quantity Total]]*TB_Parts_Lists[[#This Row],[Unit Price AED]]</f>
        <v>250</v>
      </c>
      <c r="S764" s="199" t="s">
        <v>8675</v>
      </c>
      <c r="T764" s="199" t="s">
        <v>8675</v>
      </c>
      <c r="U764" s="199" t="s">
        <v>8675</v>
      </c>
    </row>
    <row r="765" spans="1:21" s="199" customFormat="1" x14ac:dyDescent="0.25">
      <c r="A765" s="192" t="s">
        <v>7275</v>
      </c>
      <c r="B765" s="201" t="s">
        <v>3330</v>
      </c>
      <c r="C765" s="199" t="s">
        <v>4090</v>
      </c>
      <c r="D765" s="188" t="s">
        <v>8724</v>
      </c>
      <c r="E765" s="188" t="s">
        <v>5230</v>
      </c>
      <c r="F765" s="189" t="s">
        <v>6010</v>
      </c>
      <c r="G765" s="199" t="s">
        <v>8277</v>
      </c>
      <c r="H765" s="199" t="s">
        <v>8656</v>
      </c>
      <c r="I765" s="199">
        <v>1</v>
      </c>
      <c r="J765" s="199">
        <v>1</v>
      </c>
      <c r="K765" s="199">
        <v>1</v>
      </c>
      <c r="L765" s="199">
        <v>50</v>
      </c>
      <c r="M765" s="202">
        <f>TB_Parts_Lists[[#This Row],[Quantity Initial]]+ SUMIF(TB_Transactions[Part number],TB_Parts_Lists[[#This Row],[Part Number]],TB_Transactions[Quantity])</f>
        <v>50</v>
      </c>
      <c r="N765" s="200" t="s">
        <v>4593</v>
      </c>
      <c r="O765" s="234">
        <v>5</v>
      </c>
      <c r="P765" s="199">
        <f>TB_Parts_Lists[[#This Row],[Quantity Initial]]*TB_Parts_Lists[[#This Row],[Unit Price AED]]</f>
        <v>250</v>
      </c>
      <c r="Q765" s="199">
        <f>TB_Parts_Lists[[#This Row],[Quantity Total]]*TB_Parts_Lists[[#This Row],[Unit Price AED]]</f>
        <v>250</v>
      </c>
      <c r="S765" s="199" t="s">
        <v>118</v>
      </c>
      <c r="T765" s="199" t="s">
        <v>8675</v>
      </c>
      <c r="U765" s="199" t="s">
        <v>8675</v>
      </c>
    </row>
    <row r="766" spans="1:21" s="199" customFormat="1" x14ac:dyDescent="0.25">
      <c r="A766" s="192" t="s">
        <v>7276</v>
      </c>
      <c r="B766" s="201" t="s">
        <v>3330</v>
      </c>
      <c r="C766" s="199" t="s">
        <v>4090</v>
      </c>
      <c r="D766" s="188" t="s">
        <v>8724</v>
      </c>
      <c r="E766" s="188" t="s">
        <v>5231</v>
      </c>
      <c r="F766" s="189" t="s">
        <v>6011</v>
      </c>
      <c r="G766" s="199" t="s">
        <v>8277</v>
      </c>
      <c r="H766" s="199" t="s">
        <v>8656</v>
      </c>
      <c r="I766" s="199">
        <v>1</v>
      </c>
      <c r="J766" s="199">
        <v>1</v>
      </c>
      <c r="K766" s="199">
        <v>1</v>
      </c>
      <c r="L766" s="199">
        <v>50</v>
      </c>
      <c r="M766" s="202">
        <f>TB_Parts_Lists[[#This Row],[Quantity Initial]]+ SUMIF(TB_Transactions[Part number],TB_Parts_Lists[[#This Row],[Part Number]],TB_Transactions[Quantity])</f>
        <v>50</v>
      </c>
      <c r="N766" s="200" t="s">
        <v>4593</v>
      </c>
      <c r="O766" s="234">
        <v>5</v>
      </c>
      <c r="P766" s="199">
        <f>TB_Parts_Lists[[#This Row],[Quantity Initial]]*TB_Parts_Lists[[#This Row],[Unit Price AED]]</f>
        <v>250</v>
      </c>
      <c r="Q766" s="199">
        <f>TB_Parts_Lists[[#This Row],[Quantity Total]]*TB_Parts_Lists[[#This Row],[Unit Price AED]]</f>
        <v>250</v>
      </c>
      <c r="S766" s="199" t="s">
        <v>118</v>
      </c>
      <c r="T766" s="199" t="s">
        <v>8675</v>
      </c>
      <c r="U766" s="199" t="s">
        <v>8675</v>
      </c>
    </row>
    <row r="767" spans="1:21" s="199" customFormat="1" x14ac:dyDescent="0.25">
      <c r="A767" s="192" t="s">
        <v>7277</v>
      </c>
      <c r="B767" s="201" t="s">
        <v>3330</v>
      </c>
      <c r="C767" s="199" t="s">
        <v>6672</v>
      </c>
      <c r="D767" s="188" t="s">
        <v>8724</v>
      </c>
      <c r="E767" s="188" t="s">
        <v>5232</v>
      </c>
      <c r="F767" s="189" t="s">
        <v>6012</v>
      </c>
      <c r="G767" s="199" t="s">
        <v>8277</v>
      </c>
      <c r="H767" s="199" t="s">
        <v>8656</v>
      </c>
      <c r="I767" s="199">
        <v>1</v>
      </c>
      <c r="J767" s="199">
        <v>1</v>
      </c>
      <c r="K767" s="199">
        <v>1</v>
      </c>
      <c r="L767" s="199">
        <v>50</v>
      </c>
      <c r="M767" s="202">
        <f>TB_Parts_Lists[[#This Row],[Quantity Initial]]+ SUMIF(TB_Transactions[Part number],TB_Parts_Lists[[#This Row],[Part Number]],TB_Transactions[Quantity])</f>
        <v>50</v>
      </c>
      <c r="N767" s="200" t="s">
        <v>4593</v>
      </c>
      <c r="O767" s="234">
        <v>5</v>
      </c>
      <c r="P767" s="199">
        <f>TB_Parts_Lists[[#This Row],[Quantity Initial]]*TB_Parts_Lists[[#This Row],[Unit Price AED]]</f>
        <v>250</v>
      </c>
      <c r="Q767" s="199">
        <f>TB_Parts_Lists[[#This Row],[Quantity Total]]*TB_Parts_Lists[[#This Row],[Unit Price AED]]</f>
        <v>250</v>
      </c>
      <c r="S767" s="199" t="s">
        <v>8675</v>
      </c>
      <c r="T767" s="199" t="s">
        <v>8675</v>
      </c>
      <c r="U767" s="199" t="s">
        <v>8675</v>
      </c>
    </row>
    <row r="768" spans="1:21" s="199" customFormat="1" x14ac:dyDescent="0.25">
      <c r="A768" s="192" t="s">
        <v>7278</v>
      </c>
      <c r="B768" s="201" t="s">
        <v>3330</v>
      </c>
      <c r="C768" s="199" t="s">
        <v>7066</v>
      </c>
      <c r="D768" s="188" t="s">
        <v>8724</v>
      </c>
      <c r="E768" s="188" t="s">
        <v>5233</v>
      </c>
      <c r="F768" s="189" t="s">
        <v>6013</v>
      </c>
      <c r="G768" s="199" t="s">
        <v>8277</v>
      </c>
      <c r="H768" s="199" t="s">
        <v>8656</v>
      </c>
      <c r="I768" s="199">
        <v>1</v>
      </c>
      <c r="J768" s="199">
        <v>1</v>
      </c>
      <c r="K768" s="199">
        <v>1</v>
      </c>
      <c r="L768" s="199">
        <v>50</v>
      </c>
      <c r="M768" s="202">
        <f>TB_Parts_Lists[[#This Row],[Quantity Initial]]+ SUMIF(TB_Transactions[Part number],TB_Parts_Lists[[#This Row],[Part Number]],TB_Transactions[Quantity])</f>
        <v>50</v>
      </c>
      <c r="N768" s="200" t="s">
        <v>4593</v>
      </c>
      <c r="O768" s="234">
        <v>5</v>
      </c>
      <c r="P768" s="199">
        <f>TB_Parts_Lists[[#This Row],[Quantity Initial]]*TB_Parts_Lists[[#This Row],[Unit Price AED]]</f>
        <v>250</v>
      </c>
      <c r="Q768" s="199">
        <f>TB_Parts_Lists[[#This Row],[Quantity Total]]*TB_Parts_Lists[[#This Row],[Unit Price AED]]</f>
        <v>250</v>
      </c>
      <c r="S768" s="199" t="s">
        <v>8675</v>
      </c>
      <c r="T768" s="199" t="s">
        <v>8675</v>
      </c>
      <c r="U768" s="199" t="s">
        <v>8675</v>
      </c>
    </row>
    <row r="769" spans="1:21" s="199" customFormat="1" x14ac:dyDescent="0.25">
      <c r="A769" s="192" t="s">
        <v>7279</v>
      </c>
      <c r="B769" s="201" t="s">
        <v>3330</v>
      </c>
      <c r="C769" s="199" t="s">
        <v>4090</v>
      </c>
      <c r="D769" s="188" t="s">
        <v>8724</v>
      </c>
      <c r="E769" s="188" t="s">
        <v>5234</v>
      </c>
      <c r="F769" s="189" t="s">
        <v>6014</v>
      </c>
      <c r="G769" s="199" t="s">
        <v>8277</v>
      </c>
      <c r="H769" s="199" t="s">
        <v>8656</v>
      </c>
      <c r="I769" s="199">
        <v>1</v>
      </c>
      <c r="J769" s="199">
        <v>1</v>
      </c>
      <c r="K769" s="199">
        <v>1</v>
      </c>
      <c r="L769" s="199">
        <v>50</v>
      </c>
      <c r="M769" s="202">
        <f>TB_Parts_Lists[[#This Row],[Quantity Initial]]+ SUMIF(TB_Transactions[Part number],TB_Parts_Lists[[#This Row],[Part Number]],TB_Transactions[Quantity])</f>
        <v>50</v>
      </c>
      <c r="N769" s="200" t="s">
        <v>4593</v>
      </c>
      <c r="O769" s="234">
        <v>5</v>
      </c>
      <c r="P769" s="199">
        <f>TB_Parts_Lists[[#This Row],[Quantity Initial]]*TB_Parts_Lists[[#This Row],[Unit Price AED]]</f>
        <v>250</v>
      </c>
      <c r="Q769" s="199">
        <f>TB_Parts_Lists[[#This Row],[Quantity Total]]*TB_Parts_Lists[[#This Row],[Unit Price AED]]</f>
        <v>250</v>
      </c>
      <c r="S769" s="199" t="s">
        <v>8675</v>
      </c>
      <c r="T769" s="199" t="s">
        <v>8675</v>
      </c>
      <c r="U769" s="199" t="s">
        <v>8675</v>
      </c>
    </row>
    <row r="770" spans="1:21" s="199" customFormat="1" x14ac:dyDescent="0.25">
      <c r="A770" s="192" t="s">
        <v>7280</v>
      </c>
      <c r="B770" s="201" t="s">
        <v>3002</v>
      </c>
      <c r="C770" s="199" t="s">
        <v>3006</v>
      </c>
      <c r="D770" s="188" t="s">
        <v>8724</v>
      </c>
      <c r="E770" s="188" t="s">
        <v>5235</v>
      </c>
      <c r="F770" s="189" t="s">
        <v>6015</v>
      </c>
      <c r="G770" s="199" t="s">
        <v>8277</v>
      </c>
      <c r="H770" s="199" t="s">
        <v>8656</v>
      </c>
      <c r="I770" s="199">
        <v>1</v>
      </c>
      <c r="J770" s="199">
        <v>1</v>
      </c>
      <c r="K770" s="199">
        <v>1</v>
      </c>
      <c r="L770" s="199">
        <v>50</v>
      </c>
      <c r="M770" s="202">
        <f>TB_Parts_Lists[[#This Row],[Quantity Initial]]+ SUMIF(TB_Transactions[Part number],TB_Parts_Lists[[#This Row],[Part Number]],TB_Transactions[Quantity])</f>
        <v>50</v>
      </c>
      <c r="N770" s="200" t="s">
        <v>4593</v>
      </c>
      <c r="O770" s="234">
        <v>5</v>
      </c>
      <c r="P770" s="199">
        <f>TB_Parts_Lists[[#This Row],[Quantity Initial]]*TB_Parts_Lists[[#This Row],[Unit Price AED]]</f>
        <v>250</v>
      </c>
      <c r="Q770" s="199">
        <f>TB_Parts_Lists[[#This Row],[Quantity Total]]*TB_Parts_Lists[[#This Row],[Unit Price AED]]</f>
        <v>250</v>
      </c>
      <c r="S770" s="199" t="s">
        <v>8675</v>
      </c>
      <c r="T770" s="199" t="s">
        <v>8675</v>
      </c>
      <c r="U770" s="199" t="s">
        <v>8675</v>
      </c>
    </row>
    <row r="771" spans="1:21" s="199" customFormat="1" x14ac:dyDescent="0.25">
      <c r="A771" s="192" t="s">
        <v>7281</v>
      </c>
      <c r="B771" s="201" t="s">
        <v>3002</v>
      </c>
      <c r="C771" s="199" t="s">
        <v>3006</v>
      </c>
      <c r="D771" s="188" t="s">
        <v>8724</v>
      </c>
      <c r="E771" s="188" t="s">
        <v>5236</v>
      </c>
      <c r="F771" s="189" t="s">
        <v>6016</v>
      </c>
      <c r="G771" s="199" t="s">
        <v>8277</v>
      </c>
      <c r="H771" s="199" t="s">
        <v>8656</v>
      </c>
      <c r="I771" s="199">
        <v>1</v>
      </c>
      <c r="J771" s="199">
        <v>1</v>
      </c>
      <c r="K771" s="199">
        <v>1</v>
      </c>
      <c r="L771" s="199">
        <v>50</v>
      </c>
      <c r="M771" s="202">
        <f>TB_Parts_Lists[[#This Row],[Quantity Initial]]+ SUMIF(TB_Transactions[Part number],TB_Parts_Lists[[#This Row],[Part Number]],TB_Transactions[Quantity])</f>
        <v>50</v>
      </c>
      <c r="N771" s="200" t="s">
        <v>4593</v>
      </c>
      <c r="O771" s="234">
        <v>5</v>
      </c>
      <c r="P771" s="199">
        <f>TB_Parts_Lists[[#This Row],[Quantity Initial]]*TB_Parts_Lists[[#This Row],[Unit Price AED]]</f>
        <v>250</v>
      </c>
      <c r="Q771" s="199">
        <f>TB_Parts_Lists[[#This Row],[Quantity Total]]*TB_Parts_Lists[[#This Row],[Unit Price AED]]</f>
        <v>250</v>
      </c>
      <c r="S771" s="199" t="s">
        <v>118</v>
      </c>
      <c r="T771" s="199" t="s">
        <v>8675</v>
      </c>
      <c r="U771" s="199" t="s">
        <v>8675</v>
      </c>
    </row>
    <row r="772" spans="1:21" s="199" customFormat="1" x14ac:dyDescent="0.25">
      <c r="A772" s="192" t="s">
        <v>7282</v>
      </c>
      <c r="B772" s="201" t="s">
        <v>3002</v>
      </c>
      <c r="C772" s="199" t="s">
        <v>3006</v>
      </c>
      <c r="D772" s="188" t="s">
        <v>8724</v>
      </c>
      <c r="E772" s="188" t="s">
        <v>5237</v>
      </c>
      <c r="F772" s="189" t="s">
        <v>6017</v>
      </c>
      <c r="G772" s="199" t="s">
        <v>8277</v>
      </c>
      <c r="H772" s="199" t="s">
        <v>8656</v>
      </c>
      <c r="I772" s="199">
        <v>1</v>
      </c>
      <c r="J772" s="199">
        <v>1</v>
      </c>
      <c r="K772" s="199">
        <v>1</v>
      </c>
      <c r="L772" s="199">
        <v>50</v>
      </c>
      <c r="M772" s="202">
        <f>TB_Parts_Lists[[#This Row],[Quantity Initial]]+ SUMIF(TB_Transactions[Part number],TB_Parts_Lists[[#This Row],[Part Number]],TB_Transactions[Quantity])</f>
        <v>50</v>
      </c>
      <c r="N772" s="200" t="s">
        <v>4593</v>
      </c>
      <c r="O772" s="234">
        <v>5</v>
      </c>
      <c r="P772" s="199">
        <f>TB_Parts_Lists[[#This Row],[Quantity Initial]]*TB_Parts_Lists[[#This Row],[Unit Price AED]]</f>
        <v>250</v>
      </c>
      <c r="Q772" s="199">
        <f>TB_Parts_Lists[[#This Row],[Quantity Total]]*TB_Parts_Lists[[#This Row],[Unit Price AED]]</f>
        <v>250</v>
      </c>
      <c r="S772" s="199" t="s">
        <v>118</v>
      </c>
      <c r="T772" s="199" t="s">
        <v>8675</v>
      </c>
      <c r="U772" s="199" t="s">
        <v>8675</v>
      </c>
    </row>
    <row r="773" spans="1:21" s="199" customFormat="1" x14ac:dyDescent="0.25">
      <c r="A773" s="192" t="s">
        <v>7283</v>
      </c>
      <c r="B773" s="201" t="s">
        <v>3335</v>
      </c>
      <c r="C773" s="199" t="s">
        <v>3775</v>
      </c>
      <c r="D773" s="199" t="s">
        <v>8732</v>
      </c>
      <c r="E773" s="188" t="s">
        <v>5238</v>
      </c>
      <c r="F773" s="189" t="s">
        <v>3935</v>
      </c>
      <c r="G773" s="199" t="s">
        <v>8278</v>
      </c>
      <c r="H773" s="199" t="s">
        <v>8656</v>
      </c>
      <c r="I773" s="199">
        <v>1</v>
      </c>
      <c r="J773" s="199">
        <v>1</v>
      </c>
      <c r="K773" s="199">
        <v>1</v>
      </c>
      <c r="L773" s="199">
        <v>50</v>
      </c>
      <c r="M773" s="202">
        <f>TB_Parts_Lists[[#This Row],[Quantity Initial]]+ SUMIF(TB_Transactions[Part number],TB_Parts_Lists[[#This Row],[Part Number]],TB_Transactions[Quantity])</f>
        <v>50</v>
      </c>
      <c r="N773" s="200" t="s">
        <v>4593</v>
      </c>
      <c r="O773" s="234">
        <v>5</v>
      </c>
      <c r="P773" s="199">
        <f>TB_Parts_Lists[[#This Row],[Quantity Initial]]*TB_Parts_Lists[[#This Row],[Unit Price AED]]</f>
        <v>250</v>
      </c>
      <c r="Q773" s="199">
        <f>TB_Parts_Lists[[#This Row],[Quantity Total]]*TB_Parts_Lists[[#This Row],[Unit Price AED]]</f>
        <v>250</v>
      </c>
      <c r="S773" s="199" t="s">
        <v>118</v>
      </c>
      <c r="T773" s="199" t="s">
        <v>8693</v>
      </c>
      <c r="U773" s="199" t="s">
        <v>119</v>
      </c>
    </row>
    <row r="774" spans="1:21" s="199" customFormat="1" x14ac:dyDescent="0.25">
      <c r="A774" s="192" t="s">
        <v>7284</v>
      </c>
      <c r="B774" s="201" t="s">
        <v>3335</v>
      </c>
      <c r="C774" s="199" t="s">
        <v>6623</v>
      </c>
      <c r="D774" s="188" t="s">
        <v>8724</v>
      </c>
      <c r="E774" s="188" t="s">
        <v>3964</v>
      </c>
      <c r="F774" s="189" t="s">
        <v>3936</v>
      </c>
      <c r="G774" s="199" t="s">
        <v>8278</v>
      </c>
      <c r="H774" s="199" t="s">
        <v>8656</v>
      </c>
      <c r="I774" s="199">
        <v>1</v>
      </c>
      <c r="J774" s="199">
        <v>1</v>
      </c>
      <c r="K774" s="199">
        <v>1</v>
      </c>
      <c r="L774" s="199">
        <v>50</v>
      </c>
      <c r="M774" s="202">
        <f>TB_Parts_Lists[[#This Row],[Quantity Initial]]+ SUMIF(TB_Transactions[Part number],TB_Parts_Lists[[#This Row],[Part Number]],TB_Transactions[Quantity])</f>
        <v>50</v>
      </c>
      <c r="N774" s="200" t="s">
        <v>4593</v>
      </c>
      <c r="O774" s="234">
        <v>5</v>
      </c>
      <c r="P774" s="199">
        <f>TB_Parts_Lists[[#This Row],[Quantity Initial]]*TB_Parts_Lists[[#This Row],[Unit Price AED]]</f>
        <v>250</v>
      </c>
      <c r="Q774" s="199">
        <f>TB_Parts_Lists[[#This Row],[Quantity Total]]*TB_Parts_Lists[[#This Row],[Unit Price AED]]</f>
        <v>250</v>
      </c>
      <c r="S774" s="199" t="s">
        <v>118</v>
      </c>
      <c r="T774" s="199" t="s">
        <v>8693</v>
      </c>
      <c r="U774" s="199" t="s">
        <v>119</v>
      </c>
    </row>
    <row r="775" spans="1:21" s="199" customFormat="1" x14ac:dyDescent="0.25">
      <c r="A775" s="192" t="s">
        <v>7285</v>
      </c>
      <c r="B775" s="201" t="s">
        <v>3335</v>
      </c>
      <c r="C775" s="199" t="s">
        <v>3368</v>
      </c>
      <c r="D775" s="199" t="s">
        <v>8732</v>
      </c>
      <c r="E775" s="188" t="s">
        <v>5239</v>
      </c>
      <c r="F775" s="189" t="s">
        <v>3937</v>
      </c>
      <c r="G775" s="199" t="s">
        <v>8278</v>
      </c>
      <c r="H775" s="199" t="s">
        <v>8656</v>
      </c>
      <c r="I775" s="199">
        <v>1</v>
      </c>
      <c r="J775" s="199">
        <v>1</v>
      </c>
      <c r="K775" s="199">
        <v>1</v>
      </c>
      <c r="L775" s="199">
        <v>50</v>
      </c>
      <c r="M775" s="202">
        <f>TB_Parts_Lists[[#This Row],[Quantity Initial]]+ SUMIF(TB_Transactions[Part number],TB_Parts_Lists[[#This Row],[Part Number]],TB_Transactions[Quantity])</f>
        <v>50</v>
      </c>
      <c r="N775" s="200" t="s">
        <v>4593</v>
      </c>
      <c r="O775" s="234">
        <v>5</v>
      </c>
      <c r="P775" s="199">
        <f>TB_Parts_Lists[[#This Row],[Quantity Initial]]*TB_Parts_Lists[[#This Row],[Unit Price AED]]</f>
        <v>250</v>
      </c>
      <c r="Q775" s="199">
        <f>TB_Parts_Lists[[#This Row],[Quantity Total]]*TB_Parts_Lists[[#This Row],[Unit Price AED]]</f>
        <v>250</v>
      </c>
      <c r="S775" s="199" t="s">
        <v>118</v>
      </c>
      <c r="T775" s="199" t="s">
        <v>8693</v>
      </c>
      <c r="U775" s="199" t="s">
        <v>119</v>
      </c>
    </row>
    <row r="776" spans="1:21" s="199" customFormat="1" x14ac:dyDescent="0.25">
      <c r="A776" s="192" t="s">
        <v>7286</v>
      </c>
      <c r="B776" s="201" t="s">
        <v>3335</v>
      </c>
      <c r="C776" s="199" t="s">
        <v>3005</v>
      </c>
      <c r="D776" s="199" t="s">
        <v>8732</v>
      </c>
      <c r="E776" s="188" t="s">
        <v>5240</v>
      </c>
      <c r="F776" s="189" t="s">
        <v>3938</v>
      </c>
      <c r="G776" s="199" t="s">
        <v>8278</v>
      </c>
      <c r="H776" s="199" t="s">
        <v>8656</v>
      </c>
      <c r="I776" s="199">
        <v>1</v>
      </c>
      <c r="J776" s="199">
        <v>1</v>
      </c>
      <c r="K776" s="199">
        <v>1</v>
      </c>
      <c r="L776" s="199">
        <v>50</v>
      </c>
      <c r="M776" s="202">
        <f>TB_Parts_Lists[[#This Row],[Quantity Initial]]+ SUMIF(TB_Transactions[Part number],TB_Parts_Lists[[#This Row],[Part Number]],TB_Transactions[Quantity])</f>
        <v>50</v>
      </c>
      <c r="N776" s="200" t="s">
        <v>4593</v>
      </c>
      <c r="O776" s="234">
        <v>5</v>
      </c>
      <c r="P776" s="199">
        <f>TB_Parts_Lists[[#This Row],[Quantity Initial]]*TB_Parts_Lists[[#This Row],[Unit Price AED]]</f>
        <v>250</v>
      </c>
      <c r="Q776" s="199">
        <f>TB_Parts_Lists[[#This Row],[Quantity Total]]*TB_Parts_Lists[[#This Row],[Unit Price AED]]</f>
        <v>250</v>
      </c>
      <c r="S776" s="199" t="s">
        <v>118</v>
      </c>
      <c r="T776" s="199" t="s">
        <v>8693</v>
      </c>
      <c r="U776" s="199" t="s">
        <v>119</v>
      </c>
    </row>
    <row r="777" spans="1:21" s="199" customFormat="1" x14ac:dyDescent="0.25">
      <c r="A777" s="192" t="s">
        <v>7288</v>
      </c>
      <c r="B777" s="201" t="s">
        <v>3334</v>
      </c>
      <c r="C777" s="199" t="s">
        <v>7287</v>
      </c>
      <c r="D777" s="199" t="s">
        <v>8732</v>
      </c>
      <c r="E777" s="188" t="s">
        <v>5241</v>
      </c>
      <c r="F777" s="189" t="s">
        <v>3939</v>
      </c>
      <c r="G777" s="199" t="s">
        <v>8278</v>
      </c>
      <c r="H777" s="199" t="s">
        <v>8656</v>
      </c>
      <c r="I777" s="199">
        <v>1</v>
      </c>
      <c r="J777" s="199">
        <v>1</v>
      </c>
      <c r="K777" s="199">
        <v>1</v>
      </c>
      <c r="L777" s="199">
        <v>50</v>
      </c>
      <c r="M777" s="202">
        <f>TB_Parts_Lists[[#This Row],[Quantity Initial]]+ SUMIF(TB_Transactions[Part number],TB_Parts_Lists[[#This Row],[Part Number]],TB_Transactions[Quantity])</f>
        <v>50</v>
      </c>
      <c r="N777" s="200" t="s">
        <v>4593</v>
      </c>
      <c r="O777" s="234">
        <v>5</v>
      </c>
      <c r="P777" s="199">
        <f>TB_Parts_Lists[[#This Row],[Quantity Initial]]*TB_Parts_Lists[[#This Row],[Unit Price AED]]</f>
        <v>250</v>
      </c>
      <c r="Q777" s="199">
        <f>TB_Parts_Lists[[#This Row],[Quantity Total]]*TB_Parts_Lists[[#This Row],[Unit Price AED]]</f>
        <v>250</v>
      </c>
      <c r="S777" s="199" t="s">
        <v>122</v>
      </c>
      <c r="T777" s="199" t="s">
        <v>8696</v>
      </c>
      <c r="U777" s="199" t="s">
        <v>292</v>
      </c>
    </row>
    <row r="778" spans="1:21" s="199" customFormat="1" x14ac:dyDescent="0.25">
      <c r="A778" s="192" t="s">
        <v>7289</v>
      </c>
      <c r="B778" s="201" t="s">
        <v>3330</v>
      </c>
      <c r="C778" s="199" t="s">
        <v>3338</v>
      </c>
      <c r="D778" s="199" t="s">
        <v>8723</v>
      </c>
      <c r="E778" s="188" t="s">
        <v>8324</v>
      </c>
      <c r="F778" s="189" t="s">
        <v>3940</v>
      </c>
      <c r="G778" s="199" t="s">
        <v>8278</v>
      </c>
      <c r="H778" s="199" t="s">
        <v>8656</v>
      </c>
      <c r="I778" s="199">
        <v>1</v>
      </c>
      <c r="J778" s="199">
        <v>1</v>
      </c>
      <c r="K778" s="199">
        <v>1</v>
      </c>
      <c r="L778" s="199">
        <v>50</v>
      </c>
      <c r="M778" s="202">
        <f>TB_Parts_Lists[[#This Row],[Quantity Initial]]+ SUMIF(TB_Transactions[Part number],TB_Parts_Lists[[#This Row],[Part Number]],TB_Transactions[Quantity])</f>
        <v>50</v>
      </c>
      <c r="N778" s="200" t="s">
        <v>4593</v>
      </c>
      <c r="O778" s="234">
        <v>5</v>
      </c>
      <c r="P778" s="199">
        <f>TB_Parts_Lists[[#This Row],[Quantity Initial]]*TB_Parts_Lists[[#This Row],[Unit Price AED]]</f>
        <v>250</v>
      </c>
      <c r="Q778" s="199">
        <f>TB_Parts_Lists[[#This Row],[Quantity Total]]*TB_Parts_Lists[[#This Row],[Unit Price AED]]</f>
        <v>250</v>
      </c>
      <c r="S778" s="199" t="s">
        <v>8675</v>
      </c>
      <c r="T778" s="199" t="s">
        <v>8675</v>
      </c>
      <c r="U778" s="199" t="s">
        <v>8675</v>
      </c>
    </row>
    <row r="779" spans="1:21" s="199" customFormat="1" x14ac:dyDescent="0.25">
      <c r="A779" s="192" t="s">
        <v>7290</v>
      </c>
      <c r="B779" s="201" t="s">
        <v>3335</v>
      </c>
      <c r="C779" s="199" t="s">
        <v>3775</v>
      </c>
      <c r="D779" s="199" t="s">
        <v>8732</v>
      </c>
      <c r="E779" s="188" t="s">
        <v>5242</v>
      </c>
      <c r="F779" s="189" t="s">
        <v>3941</v>
      </c>
      <c r="G779" s="199" t="s">
        <v>8278</v>
      </c>
      <c r="H779" s="199" t="s">
        <v>8656</v>
      </c>
      <c r="I779" s="199">
        <v>1</v>
      </c>
      <c r="J779" s="199">
        <v>1</v>
      </c>
      <c r="K779" s="199">
        <v>1</v>
      </c>
      <c r="L779" s="199">
        <v>50</v>
      </c>
      <c r="M779" s="202">
        <f>TB_Parts_Lists[[#This Row],[Quantity Initial]]+ SUMIF(TB_Transactions[Part number],TB_Parts_Lists[[#This Row],[Part Number]],TB_Transactions[Quantity])</f>
        <v>50</v>
      </c>
      <c r="N779" s="200" t="s">
        <v>4593</v>
      </c>
      <c r="O779" s="234">
        <v>5</v>
      </c>
      <c r="P779" s="199">
        <f>TB_Parts_Lists[[#This Row],[Quantity Initial]]*TB_Parts_Lists[[#This Row],[Unit Price AED]]</f>
        <v>250</v>
      </c>
      <c r="Q779" s="199">
        <f>TB_Parts_Lists[[#This Row],[Quantity Total]]*TB_Parts_Lists[[#This Row],[Unit Price AED]]</f>
        <v>250</v>
      </c>
      <c r="S779" s="199" t="s">
        <v>118</v>
      </c>
      <c r="T779" s="199" t="s">
        <v>8693</v>
      </c>
      <c r="U779" s="199" t="s">
        <v>119</v>
      </c>
    </row>
    <row r="780" spans="1:21" s="199" customFormat="1" x14ac:dyDescent="0.25">
      <c r="A780" s="192" t="s">
        <v>7291</v>
      </c>
      <c r="B780" s="201" t="s">
        <v>6619</v>
      </c>
      <c r="C780" s="199" t="s">
        <v>161</v>
      </c>
      <c r="D780" s="199" t="s">
        <v>8723</v>
      </c>
      <c r="E780" s="188" t="s">
        <v>3915</v>
      </c>
      <c r="F780" s="189" t="s">
        <v>3942</v>
      </c>
      <c r="G780" s="199" t="s">
        <v>8278</v>
      </c>
      <c r="H780" s="199" t="s">
        <v>8656</v>
      </c>
      <c r="I780" s="199">
        <v>1</v>
      </c>
      <c r="J780" s="199">
        <v>1</v>
      </c>
      <c r="K780" s="199">
        <v>1</v>
      </c>
      <c r="L780" s="199">
        <v>50</v>
      </c>
      <c r="M780" s="202">
        <f>TB_Parts_Lists[[#This Row],[Quantity Initial]]+ SUMIF(TB_Transactions[Part number],TB_Parts_Lists[[#This Row],[Part Number]],TB_Transactions[Quantity])</f>
        <v>50</v>
      </c>
      <c r="N780" s="200" t="s">
        <v>4593</v>
      </c>
      <c r="O780" s="234">
        <v>5</v>
      </c>
      <c r="P780" s="199">
        <f>TB_Parts_Lists[[#This Row],[Quantity Initial]]*TB_Parts_Lists[[#This Row],[Unit Price AED]]</f>
        <v>250</v>
      </c>
      <c r="Q780" s="199">
        <f>TB_Parts_Lists[[#This Row],[Quantity Total]]*TB_Parts_Lists[[#This Row],[Unit Price AED]]</f>
        <v>250</v>
      </c>
      <c r="S780" s="199" t="s">
        <v>8675</v>
      </c>
      <c r="T780" s="199" t="s">
        <v>8675</v>
      </c>
      <c r="U780" s="199" t="s">
        <v>8675</v>
      </c>
    </row>
    <row r="781" spans="1:21" s="199" customFormat="1" x14ac:dyDescent="0.25">
      <c r="A781" s="192" t="s">
        <v>7292</v>
      </c>
      <c r="B781" s="201" t="s">
        <v>6619</v>
      </c>
      <c r="C781" s="199" t="s">
        <v>161</v>
      </c>
      <c r="D781" s="199" t="s">
        <v>8723</v>
      </c>
      <c r="E781" s="188" t="s">
        <v>3916</v>
      </c>
      <c r="F781" s="189" t="s">
        <v>3943</v>
      </c>
      <c r="G781" s="199" t="s">
        <v>8278</v>
      </c>
      <c r="H781" s="199" t="s">
        <v>8656</v>
      </c>
      <c r="I781" s="199">
        <v>1</v>
      </c>
      <c r="J781" s="199">
        <v>1</v>
      </c>
      <c r="K781" s="199">
        <v>1</v>
      </c>
      <c r="L781" s="199">
        <v>50</v>
      </c>
      <c r="M781" s="202">
        <f>TB_Parts_Lists[[#This Row],[Quantity Initial]]+ SUMIF(TB_Transactions[Part number],TB_Parts_Lists[[#This Row],[Part Number]],TB_Transactions[Quantity])</f>
        <v>50</v>
      </c>
      <c r="N781" s="200" t="s">
        <v>4593</v>
      </c>
      <c r="O781" s="234">
        <v>5</v>
      </c>
      <c r="P781" s="199">
        <f>TB_Parts_Lists[[#This Row],[Quantity Initial]]*TB_Parts_Lists[[#This Row],[Unit Price AED]]</f>
        <v>250</v>
      </c>
      <c r="Q781" s="199">
        <f>TB_Parts_Lists[[#This Row],[Quantity Total]]*TB_Parts_Lists[[#This Row],[Unit Price AED]]</f>
        <v>250</v>
      </c>
      <c r="S781" s="199" t="s">
        <v>8675</v>
      </c>
      <c r="T781" s="199" t="s">
        <v>8675</v>
      </c>
      <c r="U781" s="199" t="s">
        <v>8675</v>
      </c>
    </row>
    <row r="782" spans="1:21" s="199" customFormat="1" x14ac:dyDescent="0.25">
      <c r="A782" s="192" t="s">
        <v>7293</v>
      </c>
      <c r="B782" s="201" t="s">
        <v>6619</v>
      </c>
      <c r="C782" s="199" t="s">
        <v>6620</v>
      </c>
      <c r="D782" s="199" t="s">
        <v>8723</v>
      </c>
      <c r="E782" s="188" t="s">
        <v>3917</v>
      </c>
      <c r="F782" s="189" t="s">
        <v>3944</v>
      </c>
      <c r="G782" s="199" t="s">
        <v>8278</v>
      </c>
      <c r="H782" s="199" t="s">
        <v>8656</v>
      </c>
      <c r="I782" s="199">
        <v>1</v>
      </c>
      <c r="J782" s="199">
        <v>1</v>
      </c>
      <c r="K782" s="199">
        <v>1</v>
      </c>
      <c r="L782" s="199">
        <v>50</v>
      </c>
      <c r="M782" s="202">
        <f>TB_Parts_Lists[[#This Row],[Quantity Initial]]+ SUMIF(TB_Transactions[Part number],TB_Parts_Lists[[#This Row],[Part Number]],TB_Transactions[Quantity])</f>
        <v>50</v>
      </c>
      <c r="N782" s="200" t="s">
        <v>4593</v>
      </c>
      <c r="O782" s="234">
        <v>5</v>
      </c>
      <c r="P782" s="199">
        <f>TB_Parts_Lists[[#This Row],[Quantity Initial]]*TB_Parts_Lists[[#This Row],[Unit Price AED]]</f>
        <v>250</v>
      </c>
      <c r="Q782" s="199">
        <f>TB_Parts_Lists[[#This Row],[Quantity Total]]*TB_Parts_Lists[[#This Row],[Unit Price AED]]</f>
        <v>250</v>
      </c>
      <c r="S782" s="199" t="s">
        <v>8675</v>
      </c>
      <c r="T782" s="199" t="s">
        <v>8675</v>
      </c>
      <c r="U782" s="199" t="s">
        <v>8675</v>
      </c>
    </row>
    <row r="783" spans="1:21" s="199" customFormat="1" x14ac:dyDescent="0.25">
      <c r="A783" s="192" t="s">
        <v>7294</v>
      </c>
      <c r="B783" s="201" t="s">
        <v>3330</v>
      </c>
      <c r="C783" s="199" t="s">
        <v>4090</v>
      </c>
      <c r="D783" s="188" t="s">
        <v>8724</v>
      </c>
      <c r="E783" s="188" t="s">
        <v>5243</v>
      </c>
      <c r="F783" s="189" t="s">
        <v>3945</v>
      </c>
      <c r="G783" s="199" t="s">
        <v>8278</v>
      </c>
      <c r="H783" s="199" t="s">
        <v>8656</v>
      </c>
      <c r="I783" s="199">
        <v>1</v>
      </c>
      <c r="J783" s="199">
        <v>1</v>
      </c>
      <c r="K783" s="199">
        <v>1</v>
      </c>
      <c r="L783" s="199">
        <v>50</v>
      </c>
      <c r="M783" s="202">
        <f>TB_Parts_Lists[[#This Row],[Quantity Initial]]+ SUMIF(TB_Transactions[Part number],TB_Parts_Lists[[#This Row],[Part Number]],TB_Transactions[Quantity])</f>
        <v>50</v>
      </c>
      <c r="N783" s="200" t="s">
        <v>4593</v>
      </c>
      <c r="O783" s="234">
        <v>5</v>
      </c>
      <c r="P783" s="199">
        <f>TB_Parts_Lists[[#This Row],[Quantity Initial]]*TB_Parts_Lists[[#This Row],[Unit Price AED]]</f>
        <v>250</v>
      </c>
      <c r="Q783" s="199">
        <f>TB_Parts_Lists[[#This Row],[Quantity Total]]*TB_Parts_Lists[[#This Row],[Unit Price AED]]</f>
        <v>250</v>
      </c>
      <c r="S783" s="199" t="s">
        <v>8675</v>
      </c>
      <c r="T783" s="199" t="s">
        <v>8675</v>
      </c>
      <c r="U783" s="199" t="s">
        <v>8675</v>
      </c>
    </row>
    <row r="784" spans="1:21" s="199" customFormat="1" x14ac:dyDescent="0.25">
      <c r="A784" s="192" t="s">
        <v>7295</v>
      </c>
      <c r="B784" s="203" t="s">
        <v>3330</v>
      </c>
      <c r="C784" s="188" t="s">
        <v>3966</v>
      </c>
      <c r="D784" s="199" t="s">
        <v>8723</v>
      </c>
      <c r="E784" s="188" t="s">
        <v>3965</v>
      </c>
      <c r="F784" s="189" t="s">
        <v>3946</v>
      </c>
      <c r="G784" s="199" t="s">
        <v>8278</v>
      </c>
      <c r="H784" s="199" t="s">
        <v>8642</v>
      </c>
      <c r="I784" s="199">
        <v>1</v>
      </c>
      <c r="J784" s="199">
        <v>1</v>
      </c>
      <c r="K784" s="199">
        <v>1</v>
      </c>
      <c r="L784" s="199">
        <v>50</v>
      </c>
      <c r="M784" s="202">
        <f>TB_Parts_Lists[[#This Row],[Quantity Initial]]+ SUMIF(TB_Transactions[Part number],TB_Parts_Lists[[#This Row],[Part Number]],TB_Transactions[Quantity])</f>
        <v>50</v>
      </c>
      <c r="N784" s="200" t="s">
        <v>4593</v>
      </c>
      <c r="O784" s="234">
        <v>5</v>
      </c>
      <c r="P784" s="199">
        <f>TB_Parts_Lists[[#This Row],[Quantity Initial]]*TB_Parts_Lists[[#This Row],[Unit Price AED]]</f>
        <v>250</v>
      </c>
      <c r="Q784" s="199">
        <f>TB_Parts_Lists[[#This Row],[Quantity Total]]*TB_Parts_Lists[[#This Row],[Unit Price AED]]</f>
        <v>250</v>
      </c>
      <c r="S784" s="199" t="s">
        <v>8675</v>
      </c>
      <c r="T784" s="199" t="s">
        <v>8675</v>
      </c>
      <c r="U784" s="199" t="s">
        <v>8675</v>
      </c>
    </row>
    <row r="785" spans="1:21" s="199" customFormat="1" x14ac:dyDescent="0.25">
      <c r="A785" s="192" t="s">
        <v>7296</v>
      </c>
      <c r="B785" s="203" t="s">
        <v>3334</v>
      </c>
      <c r="C785" s="199" t="s">
        <v>7287</v>
      </c>
      <c r="D785" s="188" t="s">
        <v>8724</v>
      </c>
      <c r="E785" s="188" t="s">
        <v>5244</v>
      </c>
      <c r="F785" s="189" t="s">
        <v>3947</v>
      </c>
      <c r="G785" s="199" t="s">
        <v>8278</v>
      </c>
      <c r="H785" s="199" t="s">
        <v>8656</v>
      </c>
      <c r="I785" s="199">
        <v>1</v>
      </c>
      <c r="J785" s="199">
        <v>1</v>
      </c>
      <c r="K785" s="199">
        <v>1</v>
      </c>
      <c r="L785" s="199">
        <v>50</v>
      </c>
      <c r="M785" s="202">
        <f>TB_Parts_Lists[[#This Row],[Quantity Initial]]+ SUMIF(TB_Transactions[Part number],TB_Parts_Lists[[#This Row],[Part Number]],TB_Transactions[Quantity])</f>
        <v>50</v>
      </c>
      <c r="N785" s="200" t="s">
        <v>4593</v>
      </c>
      <c r="O785" s="234">
        <v>5</v>
      </c>
      <c r="P785" s="199">
        <f>TB_Parts_Lists[[#This Row],[Quantity Initial]]*TB_Parts_Lists[[#This Row],[Unit Price AED]]</f>
        <v>250</v>
      </c>
      <c r="Q785" s="199">
        <f>TB_Parts_Lists[[#This Row],[Quantity Total]]*TB_Parts_Lists[[#This Row],[Unit Price AED]]</f>
        <v>250</v>
      </c>
      <c r="S785" s="199" t="s">
        <v>8675</v>
      </c>
      <c r="T785" s="199" t="s">
        <v>8675</v>
      </c>
      <c r="U785" s="199" t="s">
        <v>8675</v>
      </c>
    </row>
    <row r="786" spans="1:21" s="199" customFormat="1" x14ac:dyDescent="0.25">
      <c r="A786" s="192" t="s">
        <v>7297</v>
      </c>
      <c r="B786" s="203" t="s">
        <v>3330</v>
      </c>
      <c r="C786" s="188" t="s">
        <v>3338</v>
      </c>
      <c r="D786" s="188" t="s">
        <v>8724</v>
      </c>
      <c r="E786" s="188" t="s">
        <v>5245</v>
      </c>
      <c r="F786" s="189" t="s">
        <v>3948</v>
      </c>
      <c r="G786" s="199" t="s">
        <v>8278</v>
      </c>
      <c r="H786" s="199" t="s">
        <v>8656</v>
      </c>
      <c r="I786" s="199">
        <v>1</v>
      </c>
      <c r="J786" s="199">
        <v>1</v>
      </c>
      <c r="K786" s="199">
        <v>1</v>
      </c>
      <c r="L786" s="199">
        <v>50</v>
      </c>
      <c r="M786" s="202">
        <f>TB_Parts_Lists[[#This Row],[Quantity Initial]]+ SUMIF(TB_Transactions[Part number],TB_Parts_Lists[[#This Row],[Part Number]],TB_Transactions[Quantity])</f>
        <v>50</v>
      </c>
      <c r="N786" s="200" t="s">
        <v>4593</v>
      </c>
      <c r="O786" s="234">
        <v>5</v>
      </c>
      <c r="P786" s="199">
        <f>TB_Parts_Lists[[#This Row],[Quantity Initial]]*TB_Parts_Lists[[#This Row],[Unit Price AED]]</f>
        <v>250</v>
      </c>
      <c r="Q786" s="199">
        <f>TB_Parts_Lists[[#This Row],[Quantity Total]]*TB_Parts_Lists[[#This Row],[Unit Price AED]]</f>
        <v>250</v>
      </c>
      <c r="S786" s="199" t="s">
        <v>8675</v>
      </c>
      <c r="T786" s="199" t="s">
        <v>8675</v>
      </c>
      <c r="U786" s="199" t="s">
        <v>8675</v>
      </c>
    </row>
    <row r="787" spans="1:21" s="199" customFormat="1" x14ac:dyDescent="0.25">
      <c r="A787" s="192" t="s">
        <v>7298</v>
      </c>
      <c r="B787" s="203" t="s">
        <v>3329</v>
      </c>
      <c r="C787" s="188" t="s">
        <v>6940</v>
      </c>
      <c r="D787" s="199" t="s">
        <v>8723</v>
      </c>
      <c r="E787" s="188" t="s">
        <v>3918</v>
      </c>
      <c r="F787" s="189" t="s">
        <v>3949</v>
      </c>
      <c r="G787" s="199" t="s">
        <v>8278</v>
      </c>
      <c r="H787" s="199" t="s">
        <v>8656</v>
      </c>
      <c r="I787" s="199">
        <v>1</v>
      </c>
      <c r="J787" s="199">
        <v>1</v>
      </c>
      <c r="K787" s="199">
        <v>1</v>
      </c>
      <c r="L787" s="199">
        <v>50</v>
      </c>
      <c r="M787" s="202">
        <f>TB_Parts_Lists[[#This Row],[Quantity Initial]]+ SUMIF(TB_Transactions[Part number],TB_Parts_Lists[[#This Row],[Part Number]],TB_Transactions[Quantity])</f>
        <v>50</v>
      </c>
      <c r="N787" s="200" t="s">
        <v>4593</v>
      </c>
      <c r="O787" s="234">
        <v>5</v>
      </c>
      <c r="P787" s="199">
        <f>TB_Parts_Lists[[#This Row],[Quantity Initial]]*TB_Parts_Lists[[#This Row],[Unit Price AED]]</f>
        <v>250</v>
      </c>
      <c r="Q787" s="199">
        <f>TB_Parts_Lists[[#This Row],[Quantity Total]]*TB_Parts_Lists[[#This Row],[Unit Price AED]]</f>
        <v>250</v>
      </c>
      <c r="S787" s="199" t="s">
        <v>8675</v>
      </c>
      <c r="T787" s="199" t="s">
        <v>8675</v>
      </c>
      <c r="U787" s="199" t="s">
        <v>8675</v>
      </c>
    </row>
    <row r="788" spans="1:21" s="199" customFormat="1" x14ac:dyDescent="0.25">
      <c r="A788" s="192" t="s">
        <v>7299</v>
      </c>
      <c r="B788" s="203" t="s">
        <v>3330</v>
      </c>
      <c r="C788" s="188" t="s">
        <v>3338</v>
      </c>
      <c r="D788" s="188" t="s">
        <v>8724</v>
      </c>
      <c r="E788" s="188" t="s">
        <v>5246</v>
      </c>
      <c r="F788" s="189" t="s">
        <v>3950</v>
      </c>
      <c r="G788" s="199" t="s">
        <v>8278</v>
      </c>
      <c r="H788" s="199" t="s">
        <v>8656</v>
      </c>
      <c r="I788" s="199">
        <v>1</v>
      </c>
      <c r="J788" s="199">
        <v>1</v>
      </c>
      <c r="K788" s="199">
        <v>1</v>
      </c>
      <c r="L788" s="199">
        <v>50</v>
      </c>
      <c r="M788" s="202">
        <f>TB_Parts_Lists[[#This Row],[Quantity Initial]]+ SUMIF(TB_Transactions[Part number],TB_Parts_Lists[[#This Row],[Part Number]],TB_Transactions[Quantity])</f>
        <v>50</v>
      </c>
      <c r="N788" s="200" t="s">
        <v>4593</v>
      </c>
      <c r="O788" s="234">
        <v>5</v>
      </c>
      <c r="P788" s="199">
        <f>TB_Parts_Lists[[#This Row],[Quantity Initial]]*TB_Parts_Lists[[#This Row],[Unit Price AED]]</f>
        <v>250</v>
      </c>
      <c r="Q788" s="199">
        <f>TB_Parts_Lists[[#This Row],[Quantity Total]]*TB_Parts_Lists[[#This Row],[Unit Price AED]]</f>
        <v>250</v>
      </c>
      <c r="S788" s="199" t="s">
        <v>122</v>
      </c>
      <c r="T788" s="199" t="s">
        <v>8676</v>
      </c>
      <c r="U788" s="199" t="s">
        <v>298</v>
      </c>
    </row>
    <row r="789" spans="1:21" s="199" customFormat="1" x14ac:dyDescent="0.25">
      <c r="A789" s="192" t="s">
        <v>7300</v>
      </c>
      <c r="B789" s="203" t="s">
        <v>6619</v>
      </c>
      <c r="C789" s="188" t="s">
        <v>6620</v>
      </c>
      <c r="D789" s="199" t="s">
        <v>8724</v>
      </c>
      <c r="E789" s="188" t="s">
        <v>5247</v>
      </c>
      <c r="F789" s="189" t="s">
        <v>6018</v>
      </c>
      <c r="G789" s="199" t="s">
        <v>8278</v>
      </c>
      <c r="H789" s="199" t="s">
        <v>8656</v>
      </c>
      <c r="I789" s="199">
        <v>1</v>
      </c>
      <c r="J789" s="199">
        <v>1</v>
      </c>
      <c r="K789" s="199">
        <v>1</v>
      </c>
      <c r="L789" s="199">
        <v>50</v>
      </c>
      <c r="M789" s="202">
        <f>TB_Parts_Lists[[#This Row],[Quantity Initial]]+ SUMIF(TB_Transactions[Part number],TB_Parts_Lists[[#This Row],[Part Number]],TB_Transactions[Quantity])</f>
        <v>50</v>
      </c>
      <c r="N789" s="200" t="s">
        <v>4593</v>
      </c>
      <c r="O789" s="234">
        <v>5</v>
      </c>
      <c r="P789" s="199">
        <f>TB_Parts_Lists[[#This Row],[Quantity Initial]]*TB_Parts_Lists[[#This Row],[Unit Price AED]]</f>
        <v>250</v>
      </c>
      <c r="Q789" s="199">
        <f>TB_Parts_Lists[[#This Row],[Quantity Total]]*TB_Parts_Lists[[#This Row],[Unit Price AED]]</f>
        <v>250</v>
      </c>
      <c r="S789" s="199" t="s">
        <v>8675</v>
      </c>
      <c r="T789" s="199" t="s">
        <v>8675</v>
      </c>
      <c r="U789" s="199" t="s">
        <v>8675</v>
      </c>
    </row>
    <row r="790" spans="1:21" s="199" customFormat="1" x14ac:dyDescent="0.25">
      <c r="A790" s="192" t="s">
        <v>7301</v>
      </c>
      <c r="B790" s="203" t="s">
        <v>6619</v>
      </c>
      <c r="C790" s="188" t="s">
        <v>161</v>
      </c>
      <c r="D790" s="199" t="s">
        <v>8724</v>
      </c>
      <c r="E790" s="188" t="s">
        <v>5248</v>
      </c>
      <c r="F790" s="189" t="s">
        <v>3951</v>
      </c>
      <c r="G790" s="199" t="s">
        <v>8278</v>
      </c>
      <c r="H790" s="199" t="s">
        <v>8656</v>
      </c>
      <c r="I790" s="199">
        <v>1</v>
      </c>
      <c r="J790" s="199">
        <v>1</v>
      </c>
      <c r="K790" s="199">
        <v>1</v>
      </c>
      <c r="L790" s="199">
        <v>50</v>
      </c>
      <c r="M790" s="202">
        <f>TB_Parts_Lists[[#This Row],[Quantity Initial]]+ SUMIF(TB_Transactions[Part number],TB_Parts_Lists[[#This Row],[Part Number]],TB_Transactions[Quantity])</f>
        <v>50</v>
      </c>
      <c r="N790" s="200" t="s">
        <v>4593</v>
      </c>
      <c r="O790" s="234">
        <v>5</v>
      </c>
      <c r="P790" s="199">
        <f>TB_Parts_Lists[[#This Row],[Quantity Initial]]*TB_Parts_Lists[[#This Row],[Unit Price AED]]</f>
        <v>250</v>
      </c>
      <c r="Q790" s="199">
        <f>TB_Parts_Lists[[#This Row],[Quantity Total]]*TB_Parts_Lists[[#This Row],[Unit Price AED]]</f>
        <v>250</v>
      </c>
      <c r="S790" s="199" t="s">
        <v>8675</v>
      </c>
      <c r="T790" s="199" t="s">
        <v>8675</v>
      </c>
      <c r="U790" s="199" t="s">
        <v>8675</v>
      </c>
    </row>
    <row r="791" spans="1:21" s="199" customFormat="1" x14ac:dyDescent="0.25">
      <c r="A791" s="192" t="s">
        <v>7302</v>
      </c>
      <c r="B791" s="203" t="s">
        <v>4605</v>
      </c>
      <c r="C791" s="188" t="s">
        <v>7152</v>
      </c>
      <c r="D791" s="199" t="s">
        <v>8732</v>
      </c>
      <c r="E791" s="188" t="s">
        <v>5249</v>
      </c>
      <c r="F791" s="189" t="s">
        <v>3952</v>
      </c>
      <c r="G791" s="199" t="s">
        <v>8278</v>
      </c>
      <c r="H791" s="199" t="s">
        <v>8656</v>
      </c>
      <c r="I791" s="199">
        <v>1</v>
      </c>
      <c r="J791" s="199">
        <v>1</v>
      </c>
      <c r="K791" s="199">
        <v>1</v>
      </c>
      <c r="L791" s="199">
        <v>50</v>
      </c>
      <c r="M791" s="202">
        <f>TB_Parts_Lists[[#This Row],[Quantity Initial]]+ SUMIF(TB_Transactions[Part number],TB_Parts_Lists[[#This Row],[Part Number]],TB_Transactions[Quantity])</f>
        <v>50</v>
      </c>
      <c r="N791" s="200" t="s">
        <v>4593</v>
      </c>
      <c r="O791" s="234">
        <v>5</v>
      </c>
      <c r="P791" s="199">
        <f>TB_Parts_Lists[[#This Row],[Quantity Initial]]*TB_Parts_Lists[[#This Row],[Unit Price AED]]</f>
        <v>250</v>
      </c>
      <c r="Q791" s="199">
        <f>TB_Parts_Lists[[#This Row],[Quantity Total]]*TB_Parts_Lists[[#This Row],[Unit Price AED]]</f>
        <v>250</v>
      </c>
      <c r="S791" s="199" t="s">
        <v>118</v>
      </c>
      <c r="T791" s="199" t="s">
        <v>8675</v>
      </c>
      <c r="U791" s="199" t="s">
        <v>8675</v>
      </c>
    </row>
    <row r="792" spans="1:21" s="199" customFormat="1" x14ac:dyDescent="0.25">
      <c r="A792" s="192" t="s">
        <v>7303</v>
      </c>
      <c r="B792" s="203" t="s">
        <v>3330</v>
      </c>
      <c r="C792" s="188" t="s">
        <v>3567</v>
      </c>
      <c r="D792" s="188" t="s">
        <v>8724</v>
      </c>
      <c r="E792" s="188" t="s">
        <v>5250</v>
      </c>
      <c r="F792" s="189" t="s">
        <v>6019</v>
      </c>
      <c r="G792" s="199" t="s">
        <v>8278</v>
      </c>
      <c r="H792" s="199" t="s">
        <v>8656</v>
      </c>
      <c r="I792" s="199">
        <v>1</v>
      </c>
      <c r="J792" s="199">
        <v>1</v>
      </c>
      <c r="K792" s="199">
        <v>1</v>
      </c>
      <c r="L792" s="199">
        <v>50</v>
      </c>
      <c r="M792" s="202">
        <f>TB_Parts_Lists[[#This Row],[Quantity Initial]]+ SUMIF(TB_Transactions[Part number],TB_Parts_Lists[[#This Row],[Part Number]],TB_Transactions[Quantity])</f>
        <v>50</v>
      </c>
      <c r="N792" s="200" t="s">
        <v>4593</v>
      </c>
      <c r="O792" s="234">
        <v>5</v>
      </c>
      <c r="P792" s="199">
        <f>TB_Parts_Lists[[#This Row],[Quantity Initial]]*TB_Parts_Lists[[#This Row],[Unit Price AED]]</f>
        <v>250</v>
      </c>
      <c r="Q792" s="199">
        <f>TB_Parts_Lists[[#This Row],[Quantity Total]]*TB_Parts_Lists[[#This Row],[Unit Price AED]]</f>
        <v>250</v>
      </c>
      <c r="S792" s="199" t="s">
        <v>118</v>
      </c>
      <c r="T792" s="199" t="s">
        <v>8675</v>
      </c>
      <c r="U792" s="199" t="s">
        <v>8675</v>
      </c>
    </row>
    <row r="793" spans="1:21" s="199" customFormat="1" x14ac:dyDescent="0.25">
      <c r="A793" s="192" t="s">
        <v>7304</v>
      </c>
      <c r="B793" s="203" t="s">
        <v>6619</v>
      </c>
      <c r="C793" s="188" t="s">
        <v>3629</v>
      </c>
      <c r="D793" s="199" t="s">
        <v>8724</v>
      </c>
      <c r="E793" s="188" t="s">
        <v>5251</v>
      </c>
      <c r="F793" s="189" t="s">
        <v>6020</v>
      </c>
      <c r="G793" s="199" t="s">
        <v>8278</v>
      </c>
      <c r="H793" s="199" t="s">
        <v>8656</v>
      </c>
      <c r="I793" s="199">
        <v>1</v>
      </c>
      <c r="J793" s="199">
        <v>1</v>
      </c>
      <c r="K793" s="199">
        <v>1</v>
      </c>
      <c r="L793" s="199">
        <v>50</v>
      </c>
      <c r="M793" s="202">
        <f>TB_Parts_Lists[[#This Row],[Quantity Initial]]+ SUMIF(TB_Transactions[Part number],TB_Parts_Lists[[#This Row],[Part Number]],TB_Transactions[Quantity])</f>
        <v>50</v>
      </c>
      <c r="N793" s="200" t="s">
        <v>4593</v>
      </c>
      <c r="O793" s="234">
        <v>5</v>
      </c>
      <c r="P793" s="199">
        <f>TB_Parts_Lists[[#This Row],[Quantity Initial]]*TB_Parts_Lists[[#This Row],[Unit Price AED]]</f>
        <v>250</v>
      </c>
      <c r="Q793" s="199">
        <f>TB_Parts_Lists[[#This Row],[Quantity Total]]*TB_Parts_Lists[[#This Row],[Unit Price AED]]</f>
        <v>250</v>
      </c>
      <c r="S793" s="199" t="s">
        <v>118</v>
      </c>
      <c r="T793" s="199" t="s">
        <v>8675</v>
      </c>
      <c r="U793" s="199" t="s">
        <v>8675</v>
      </c>
    </row>
    <row r="794" spans="1:21" s="199" customFormat="1" x14ac:dyDescent="0.25">
      <c r="A794" s="192" t="s">
        <v>7305</v>
      </c>
      <c r="B794" s="203" t="s">
        <v>6619</v>
      </c>
      <c r="C794" s="188" t="s">
        <v>161</v>
      </c>
      <c r="D794" s="199" t="s">
        <v>8724</v>
      </c>
      <c r="E794" s="188" t="s">
        <v>5252</v>
      </c>
      <c r="F794" s="189" t="s">
        <v>6021</v>
      </c>
      <c r="G794" s="199" t="s">
        <v>8278</v>
      </c>
      <c r="H794" s="199" t="s">
        <v>8656</v>
      </c>
      <c r="I794" s="199">
        <v>1</v>
      </c>
      <c r="J794" s="199">
        <v>1</v>
      </c>
      <c r="K794" s="199">
        <v>1</v>
      </c>
      <c r="L794" s="199">
        <v>50</v>
      </c>
      <c r="M794" s="202">
        <f>TB_Parts_Lists[[#This Row],[Quantity Initial]]+ SUMIF(TB_Transactions[Part number],TB_Parts_Lists[[#This Row],[Part Number]],TB_Transactions[Quantity])</f>
        <v>50</v>
      </c>
      <c r="N794" s="200" t="s">
        <v>4593</v>
      </c>
      <c r="O794" s="234">
        <v>5</v>
      </c>
      <c r="P794" s="199">
        <f>TB_Parts_Lists[[#This Row],[Quantity Initial]]*TB_Parts_Lists[[#This Row],[Unit Price AED]]</f>
        <v>250</v>
      </c>
      <c r="Q794" s="199">
        <f>TB_Parts_Lists[[#This Row],[Quantity Total]]*TB_Parts_Lists[[#This Row],[Unit Price AED]]</f>
        <v>250</v>
      </c>
      <c r="S794" s="199" t="s">
        <v>118</v>
      </c>
      <c r="T794" s="199" t="s">
        <v>8675</v>
      </c>
      <c r="U794" s="199" t="s">
        <v>8675</v>
      </c>
    </row>
    <row r="795" spans="1:21" s="199" customFormat="1" x14ac:dyDescent="0.25">
      <c r="A795" s="192" t="s">
        <v>7306</v>
      </c>
      <c r="B795" s="203" t="s">
        <v>6619</v>
      </c>
      <c r="C795" s="188" t="s">
        <v>161</v>
      </c>
      <c r="D795" s="199" t="s">
        <v>8724</v>
      </c>
      <c r="E795" s="188" t="s">
        <v>5253</v>
      </c>
      <c r="F795" s="189" t="s">
        <v>6022</v>
      </c>
      <c r="G795" s="199" t="s">
        <v>8278</v>
      </c>
      <c r="H795" s="199" t="s">
        <v>8656</v>
      </c>
      <c r="I795" s="199">
        <v>1</v>
      </c>
      <c r="J795" s="199">
        <v>1</v>
      </c>
      <c r="K795" s="199">
        <v>1</v>
      </c>
      <c r="L795" s="199">
        <v>50</v>
      </c>
      <c r="M795" s="202">
        <f>TB_Parts_Lists[[#This Row],[Quantity Initial]]+ SUMIF(TB_Transactions[Part number],TB_Parts_Lists[[#This Row],[Part Number]],TB_Transactions[Quantity])</f>
        <v>50</v>
      </c>
      <c r="N795" s="200" t="s">
        <v>4593</v>
      </c>
      <c r="O795" s="234">
        <v>5</v>
      </c>
      <c r="P795" s="199">
        <f>TB_Parts_Lists[[#This Row],[Quantity Initial]]*TB_Parts_Lists[[#This Row],[Unit Price AED]]</f>
        <v>250</v>
      </c>
      <c r="Q795" s="199">
        <f>TB_Parts_Lists[[#This Row],[Quantity Total]]*TB_Parts_Lists[[#This Row],[Unit Price AED]]</f>
        <v>250</v>
      </c>
      <c r="S795" s="199" t="s">
        <v>118</v>
      </c>
      <c r="T795" s="199" t="s">
        <v>8675</v>
      </c>
      <c r="U795" s="199" t="s">
        <v>8675</v>
      </c>
    </row>
    <row r="796" spans="1:21" s="199" customFormat="1" x14ac:dyDescent="0.25">
      <c r="A796" s="192" t="s">
        <v>7307</v>
      </c>
      <c r="B796" s="203" t="s">
        <v>3330</v>
      </c>
      <c r="C796" s="188" t="s">
        <v>3338</v>
      </c>
      <c r="D796" s="188" t="s">
        <v>8724</v>
      </c>
      <c r="E796" s="188" t="s">
        <v>5254</v>
      </c>
      <c r="F796" s="189" t="s">
        <v>6023</v>
      </c>
      <c r="G796" s="199" t="s">
        <v>8278</v>
      </c>
      <c r="H796" s="199" t="s">
        <v>8656</v>
      </c>
      <c r="I796" s="199">
        <v>1</v>
      </c>
      <c r="J796" s="199">
        <v>1</v>
      </c>
      <c r="K796" s="199">
        <v>1</v>
      </c>
      <c r="L796" s="199">
        <v>50</v>
      </c>
      <c r="M796" s="202">
        <f>TB_Parts_Lists[[#This Row],[Quantity Initial]]+ SUMIF(TB_Transactions[Part number],TB_Parts_Lists[[#This Row],[Part Number]],TB_Transactions[Quantity])</f>
        <v>50</v>
      </c>
      <c r="N796" s="200" t="s">
        <v>4593</v>
      </c>
      <c r="O796" s="234">
        <v>5</v>
      </c>
      <c r="P796" s="199">
        <f>TB_Parts_Lists[[#This Row],[Quantity Initial]]*TB_Parts_Lists[[#This Row],[Unit Price AED]]</f>
        <v>250</v>
      </c>
      <c r="Q796" s="199">
        <f>TB_Parts_Lists[[#This Row],[Quantity Total]]*TB_Parts_Lists[[#This Row],[Unit Price AED]]</f>
        <v>250</v>
      </c>
      <c r="S796" s="199" t="s">
        <v>122</v>
      </c>
      <c r="T796" s="199" t="s">
        <v>8676</v>
      </c>
      <c r="U796" s="199" t="s">
        <v>298</v>
      </c>
    </row>
    <row r="797" spans="1:21" s="199" customFormat="1" x14ac:dyDescent="0.25">
      <c r="A797" s="192" t="s">
        <v>7308</v>
      </c>
      <c r="B797" s="203" t="s">
        <v>3330</v>
      </c>
      <c r="C797" s="188" t="s">
        <v>3338</v>
      </c>
      <c r="D797" s="188" t="s">
        <v>8724</v>
      </c>
      <c r="E797" s="188" t="s">
        <v>5255</v>
      </c>
      <c r="F797" s="189" t="s">
        <v>6024</v>
      </c>
      <c r="G797" s="199" t="s">
        <v>8278</v>
      </c>
      <c r="H797" s="199" t="s">
        <v>8656</v>
      </c>
      <c r="I797" s="199">
        <v>1</v>
      </c>
      <c r="J797" s="199">
        <v>1</v>
      </c>
      <c r="K797" s="199">
        <v>1</v>
      </c>
      <c r="L797" s="199">
        <v>50</v>
      </c>
      <c r="M797" s="202">
        <f>TB_Parts_Lists[[#This Row],[Quantity Initial]]+ SUMIF(TB_Transactions[Part number],TB_Parts_Lists[[#This Row],[Part Number]],TB_Transactions[Quantity])</f>
        <v>50</v>
      </c>
      <c r="N797" s="200" t="s">
        <v>4593</v>
      </c>
      <c r="O797" s="234">
        <v>5</v>
      </c>
      <c r="P797" s="199">
        <f>TB_Parts_Lists[[#This Row],[Quantity Initial]]*TB_Parts_Lists[[#This Row],[Unit Price AED]]</f>
        <v>250</v>
      </c>
      <c r="Q797" s="199">
        <f>TB_Parts_Lists[[#This Row],[Quantity Total]]*TB_Parts_Lists[[#This Row],[Unit Price AED]]</f>
        <v>250</v>
      </c>
      <c r="S797" s="199" t="s">
        <v>122</v>
      </c>
      <c r="T797" s="199" t="s">
        <v>8676</v>
      </c>
      <c r="U797" s="199" t="s">
        <v>298</v>
      </c>
    </row>
    <row r="798" spans="1:21" s="199" customFormat="1" x14ac:dyDescent="0.25">
      <c r="A798" s="192" t="s">
        <v>7309</v>
      </c>
      <c r="B798" s="203" t="s">
        <v>3330</v>
      </c>
      <c r="C798" s="188" t="s">
        <v>3338</v>
      </c>
      <c r="D798" s="188" t="s">
        <v>8724</v>
      </c>
      <c r="E798" s="188" t="s">
        <v>5256</v>
      </c>
      <c r="F798" s="189" t="s">
        <v>6025</v>
      </c>
      <c r="G798" s="199" t="s">
        <v>8278</v>
      </c>
      <c r="H798" s="199" t="s">
        <v>8656</v>
      </c>
      <c r="I798" s="199">
        <v>1</v>
      </c>
      <c r="J798" s="199">
        <v>1</v>
      </c>
      <c r="K798" s="199">
        <v>1</v>
      </c>
      <c r="L798" s="199">
        <v>50</v>
      </c>
      <c r="M798" s="202">
        <f>TB_Parts_Lists[[#This Row],[Quantity Initial]]+ SUMIF(TB_Transactions[Part number],TB_Parts_Lists[[#This Row],[Part Number]],TB_Transactions[Quantity])</f>
        <v>50</v>
      </c>
      <c r="N798" s="200" t="s">
        <v>4593</v>
      </c>
      <c r="O798" s="234">
        <v>5</v>
      </c>
      <c r="P798" s="199">
        <f>TB_Parts_Lists[[#This Row],[Quantity Initial]]*TB_Parts_Lists[[#This Row],[Unit Price AED]]</f>
        <v>250</v>
      </c>
      <c r="Q798" s="199">
        <f>TB_Parts_Lists[[#This Row],[Quantity Total]]*TB_Parts_Lists[[#This Row],[Unit Price AED]]</f>
        <v>250</v>
      </c>
      <c r="S798" s="199" t="s">
        <v>122</v>
      </c>
      <c r="T798" s="199" t="s">
        <v>8676</v>
      </c>
      <c r="U798" s="199" t="s">
        <v>298</v>
      </c>
    </row>
    <row r="799" spans="1:21" s="199" customFormat="1" x14ac:dyDescent="0.25">
      <c r="A799" s="192" t="s">
        <v>7310</v>
      </c>
      <c r="B799" s="203" t="s">
        <v>3330</v>
      </c>
      <c r="C799" s="188" t="s">
        <v>4090</v>
      </c>
      <c r="D799" s="188" t="s">
        <v>8724</v>
      </c>
      <c r="E799" s="188" t="s">
        <v>5257</v>
      </c>
      <c r="F799" s="189" t="s">
        <v>6026</v>
      </c>
      <c r="G799" s="199" t="s">
        <v>8278</v>
      </c>
      <c r="H799" s="199" t="s">
        <v>8656</v>
      </c>
      <c r="I799" s="199">
        <v>1</v>
      </c>
      <c r="J799" s="199">
        <v>1</v>
      </c>
      <c r="K799" s="199">
        <v>1</v>
      </c>
      <c r="L799" s="199">
        <v>50</v>
      </c>
      <c r="M799" s="202">
        <f>TB_Parts_Lists[[#This Row],[Quantity Initial]]+ SUMIF(TB_Transactions[Part number],TB_Parts_Lists[[#This Row],[Part Number]],TB_Transactions[Quantity])</f>
        <v>50</v>
      </c>
      <c r="N799" s="200" t="s">
        <v>4593</v>
      </c>
      <c r="O799" s="234">
        <v>5</v>
      </c>
      <c r="P799" s="199">
        <f>TB_Parts_Lists[[#This Row],[Quantity Initial]]*TB_Parts_Lists[[#This Row],[Unit Price AED]]</f>
        <v>250</v>
      </c>
      <c r="Q799" s="199">
        <f>TB_Parts_Lists[[#This Row],[Quantity Total]]*TB_Parts_Lists[[#This Row],[Unit Price AED]]</f>
        <v>250</v>
      </c>
      <c r="S799" s="199" t="s">
        <v>118</v>
      </c>
      <c r="T799" s="199" t="s">
        <v>8675</v>
      </c>
      <c r="U799" s="199" t="s">
        <v>8675</v>
      </c>
    </row>
    <row r="800" spans="1:21" s="199" customFormat="1" x14ac:dyDescent="0.25">
      <c r="A800" s="192" t="s">
        <v>7311</v>
      </c>
      <c r="B800" s="203" t="s">
        <v>3330</v>
      </c>
      <c r="C800" s="188" t="s">
        <v>3338</v>
      </c>
      <c r="D800" s="188" t="s">
        <v>8724</v>
      </c>
      <c r="E800" s="188" t="s">
        <v>5258</v>
      </c>
      <c r="F800" s="189" t="s">
        <v>6027</v>
      </c>
      <c r="G800" s="199" t="s">
        <v>8278</v>
      </c>
      <c r="H800" s="199" t="s">
        <v>8656</v>
      </c>
      <c r="I800" s="199">
        <v>1</v>
      </c>
      <c r="J800" s="199">
        <v>1</v>
      </c>
      <c r="K800" s="199">
        <v>1</v>
      </c>
      <c r="L800" s="199">
        <v>50</v>
      </c>
      <c r="M800" s="202">
        <f>TB_Parts_Lists[[#This Row],[Quantity Initial]]+ SUMIF(TB_Transactions[Part number],TB_Parts_Lists[[#This Row],[Part Number]],TB_Transactions[Quantity])</f>
        <v>50</v>
      </c>
      <c r="N800" s="200" t="s">
        <v>4593</v>
      </c>
      <c r="O800" s="234">
        <v>5</v>
      </c>
      <c r="P800" s="199">
        <f>TB_Parts_Lists[[#This Row],[Quantity Initial]]*TB_Parts_Lists[[#This Row],[Unit Price AED]]</f>
        <v>250</v>
      </c>
      <c r="Q800" s="199">
        <f>TB_Parts_Lists[[#This Row],[Quantity Total]]*TB_Parts_Lists[[#This Row],[Unit Price AED]]</f>
        <v>250</v>
      </c>
      <c r="S800" s="199" t="s">
        <v>122</v>
      </c>
      <c r="T800" s="199" t="s">
        <v>8676</v>
      </c>
      <c r="U800" s="199" t="s">
        <v>298</v>
      </c>
    </row>
    <row r="801" spans="1:21" s="199" customFormat="1" x14ac:dyDescent="0.25">
      <c r="A801" s="192" t="s">
        <v>7312</v>
      </c>
      <c r="B801" s="203" t="s">
        <v>3330</v>
      </c>
      <c r="C801" s="188" t="s">
        <v>3338</v>
      </c>
      <c r="D801" s="188" t="s">
        <v>8724</v>
      </c>
      <c r="E801" s="188" t="s">
        <v>5259</v>
      </c>
      <c r="F801" s="189" t="s">
        <v>6028</v>
      </c>
      <c r="G801" s="199" t="s">
        <v>8278</v>
      </c>
      <c r="H801" s="199" t="s">
        <v>8656</v>
      </c>
      <c r="I801" s="199">
        <v>1</v>
      </c>
      <c r="J801" s="199">
        <v>1</v>
      </c>
      <c r="K801" s="199">
        <v>1</v>
      </c>
      <c r="L801" s="199">
        <v>50</v>
      </c>
      <c r="M801" s="202">
        <f>TB_Parts_Lists[[#This Row],[Quantity Initial]]+ SUMIF(TB_Transactions[Part number],TB_Parts_Lists[[#This Row],[Part Number]],TB_Transactions[Quantity])</f>
        <v>50</v>
      </c>
      <c r="N801" s="200" t="s">
        <v>4593</v>
      </c>
      <c r="O801" s="234">
        <v>5</v>
      </c>
      <c r="P801" s="199">
        <f>TB_Parts_Lists[[#This Row],[Quantity Initial]]*TB_Parts_Lists[[#This Row],[Unit Price AED]]</f>
        <v>250</v>
      </c>
      <c r="Q801" s="199">
        <f>TB_Parts_Lists[[#This Row],[Quantity Total]]*TB_Parts_Lists[[#This Row],[Unit Price AED]]</f>
        <v>250</v>
      </c>
      <c r="S801" s="199" t="s">
        <v>122</v>
      </c>
      <c r="T801" s="199" t="s">
        <v>8676</v>
      </c>
      <c r="U801" s="199" t="s">
        <v>298</v>
      </c>
    </row>
    <row r="802" spans="1:21" s="199" customFormat="1" x14ac:dyDescent="0.25">
      <c r="A802" s="192" t="s">
        <v>7313</v>
      </c>
      <c r="B802" s="203" t="s">
        <v>3335</v>
      </c>
      <c r="C802" s="188" t="s">
        <v>3005</v>
      </c>
      <c r="D802" s="199" t="s">
        <v>8723</v>
      </c>
      <c r="E802" s="188" t="s">
        <v>5260</v>
      </c>
      <c r="F802" s="189" t="s">
        <v>3953</v>
      </c>
      <c r="G802" s="199" t="s">
        <v>8279</v>
      </c>
      <c r="H802" s="199" t="s">
        <v>8656</v>
      </c>
      <c r="I802" s="199">
        <v>1</v>
      </c>
      <c r="J802" s="199">
        <v>1</v>
      </c>
      <c r="K802" s="199">
        <v>1</v>
      </c>
      <c r="L802" s="199">
        <v>50</v>
      </c>
      <c r="M802" s="202">
        <f>TB_Parts_Lists[[#This Row],[Quantity Initial]]+ SUMIF(TB_Transactions[Part number],TB_Parts_Lists[[#This Row],[Part Number]],TB_Transactions[Quantity])</f>
        <v>50</v>
      </c>
      <c r="N802" s="200" t="s">
        <v>4593</v>
      </c>
      <c r="O802" s="234">
        <v>5</v>
      </c>
      <c r="P802" s="199">
        <f>TB_Parts_Lists[[#This Row],[Quantity Initial]]*TB_Parts_Lists[[#This Row],[Unit Price AED]]</f>
        <v>250</v>
      </c>
      <c r="Q802" s="199">
        <f>TB_Parts_Lists[[#This Row],[Quantity Total]]*TB_Parts_Lists[[#This Row],[Unit Price AED]]</f>
        <v>250</v>
      </c>
      <c r="S802" s="199" t="s">
        <v>8675</v>
      </c>
      <c r="T802" s="199" t="s">
        <v>8675</v>
      </c>
      <c r="U802" s="199" t="s">
        <v>8675</v>
      </c>
    </row>
    <row r="803" spans="1:21" s="199" customFormat="1" x14ac:dyDescent="0.25">
      <c r="A803" s="192" t="s">
        <v>7314</v>
      </c>
      <c r="B803" s="203" t="s">
        <v>4605</v>
      </c>
      <c r="C803" s="188" t="s">
        <v>7152</v>
      </c>
      <c r="D803" s="199" t="s">
        <v>8732</v>
      </c>
      <c r="E803" s="188" t="s">
        <v>5261</v>
      </c>
      <c r="F803" s="189" t="s">
        <v>3954</v>
      </c>
      <c r="G803" s="199" t="s">
        <v>8279</v>
      </c>
      <c r="H803" s="199" t="s">
        <v>8656</v>
      </c>
      <c r="I803" s="199">
        <v>1</v>
      </c>
      <c r="J803" s="199">
        <v>1</v>
      </c>
      <c r="K803" s="199">
        <v>1</v>
      </c>
      <c r="L803" s="199">
        <v>50</v>
      </c>
      <c r="M803" s="202">
        <f>TB_Parts_Lists[[#This Row],[Quantity Initial]]+ SUMIF(TB_Transactions[Part number],TB_Parts_Lists[[#This Row],[Part Number]],TB_Transactions[Quantity])</f>
        <v>50</v>
      </c>
      <c r="N803" s="200" t="s">
        <v>4593</v>
      </c>
      <c r="O803" s="234">
        <v>5</v>
      </c>
      <c r="P803" s="199">
        <f>TB_Parts_Lists[[#This Row],[Quantity Initial]]*TB_Parts_Lists[[#This Row],[Unit Price AED]]</f>
        <v>250</v>
      </c>
      <c r="Q803" s="199">
        <f>TB_Parts_Lists[[#This Row],[Quantity Total]]*TB_Parts_Lists[[#This Row],[Unit Price AED]]</f>
        <v>250</v>
      </c>
      <c r="S803" s="199" t="s">
        <v>118</v>
      </c>
      <c r="T803" s="199" t="s">
        <v>8675</v>
      </c>
      <c r="U803" s="199" t="s">
        <v>8675</v>
      </c>
    </row>
    <row r="804" spans="1:21" s="199" customFormat="1" x14ac:dyDescent="0.25">
      <c r="A804" s="192" t="s">
        <v>7315</v>
      </c>
      <c r="B804" s="203" t="s">
        <v>3335</v>
      </c>
      <c r="C804" s="188" t="s">
        <v>3005</v>
      </c>
      <c r="D804" s="199" t="s">
        <v>8723</v>
      </c>
      <c r="E804" s="188" t="s">
        <v>3919</v>
      </c>
      <c r="F804" s="189" t="s">
        <v>3955</v>
      </c>
      <c r="G804" s="199" t="s">
        <v>8279</v>
      </c>
      <c r="H804" s="199" t="s">
        <v>8656</v>
      </c>
      <c r="I804" s="199">
        <v>1</v>
      </c>
      <c r="J804" s="199">
        <v>1</v>
      </c>
      <c r="K804" s="199">
        <v>1</v>
      </c>
      <c r="L804" s="199">
        <v>50</v>
      </c>
      <c r="M804" s="202">
        <f>TB_Parts_Lists[[#This Row],[Quantity Initial]]+ SUMIF(TB_Transactions[Part number],TB_Parts_Lists[[#This Row],[Part Number]],TB_Transactions[Quantity])</f>
        <v>50</v>
      </c>
      <c r="N804" s="200" t="s">
        <v>4593</v>
      </c>
      <c r="O804" s="234">
        <v>5</v>
      </c>
      <c r="P804" s="199">
        <f>TB_Parts_Lists[[#This Row],[Quantity Initial]]*TB_Parts_Lists[[#This Row],[Unit Price AED]]</f>
        <v>250</v>
      </c>
      <c r="Q804" s="199">
        <f>TB_Parts_Lists[[#This Row],[Quantity Total]]*TB_Parts_Lists[[#This Row],[Unit Price AED]]</f>
        <v>250</v>
      </c>
      <c r="S804" s="199" t="s">
        <v>8675</v>
      </c>
      <c r="T804" s="199" t="s">
        <v>8675</v>
      </c>
      <c r="U804" s="199" t="s">
        <v>8675</v>
      </c>
    </row>
    <row r="805" spans="1:21" s="199" customFormat="1" x14ac:dyDescent="0.25">
      <c r="A805" s="192" t="s">
        <v>7316</v>
      </c>
      <c r="B805" s="203" t="s">
        <v>3332</v>
      </c>
      <c r="C805" s="188" t="s">
        <v>3357</v>
      </c>
      <c r="D805" s="199" t="s">
        <v>8732</v>
      </c>
      <c r="E805" s="188" t="s">
        <v>5262</v>
      </c>
      <c r="F805" s="189" t="s">
        <v>3956</v>
      </c>
      <c r="G805" s="199" t="s">
        <v>8279</v>
      </c>
      <c r="H805" s="199" t="s">
        <v>8656</v>
      </c>
      <c r="I805" s="199">
        <v>1</v>
      </c>
      <c r="J805" s="199">
        <v>1</v>
      </c>
      <c r="K805" s="199">
        <v>1</v>
      </c>
      <c r="L805" s="199">
        <v>50</v>
      </c>
      <c r="M805" s="202">
        <f>TB_Parts_Lists[[#This Row],[Quantity Initial]]+ SUMIF(TB_Transactions[Part number],TB_Parts_Lists[[#This Row],[Part Number]],TB_Transactions[Quantity])</f>
        <v>50</v>
      </c>
      <c r="N805" s="200" t="s">
        <v>4593</v>
      </c>
      <c r="O805" s="234">
        <v>5</v>
      </c>
      <c r="P805" s="199">
        <f>TB_Parts_Lists[[#This Row],[Quantity Initial]]*TB_Parts_Lists[[#This Row],[Unit Price AED]]</f>
        <v>250</v>
      </c>
      <c r="Q805" s="199">
        <f>TB_Parts_Lists[[#This Row],[Quantity Total]]*TB_Parts_Lists[[#This Row],[Unit Price AED]]</f>
        <v>250</v>
      </c>
      <c r="S805" s="199" t="s">
        <v>118</v>
      </c>
      <c r="T805" s="199" t="s">
        <v>8692</v>
      </c>
      <c r="U805" s="199" t="s">
        <v>838</v>
      </c>
    </row>
    <row r="806" spans="1:21" s="199" customFormat="1" x14ac:dyDescent="0.25">
      <c r="A806" s="192" t="s">
        <v>7317</v>
      </c>
      <c r="B806" s="203" t="s">
        <v>3332</v>
      </c>
      <c r="C806" s="188" t="s">
        <v>3356</v>
      </c>
      <c r="D806" s="188" t="s">
        <v>8724</v>
      </c>
      <c r="E806" s="188" t="s">
        <v>3920</v>
      </c>
      <c r="F806" s="189" t="s">
        <v>3957</v>
      </c>
      <c r="G806" s="199" t="s">
        <v>8279</v>
      </c>
      <c r="H806" s="199" t="s">
        <v>8656</v>
      </c>
      <c r="I806" s="199">
        <v>1</v>
      </c>
      <c r="J806" s="199">
        <v>1</v>
      </c>
      <c r="K806" s="199">
        <v>1</v>
      </c>
      <c r="L806" s="199">
        <v>50</v>
      </c>
      <c r="M806" s="202">
        <f>TB_Parts_Lists[[#This Row],[Quantity Initial]]+ SUMIF(TB_Transactions[Part number],TB_Parts_Lists[[#This Row],[Part Number]],TB_Transactions[Quantity])</f>
        <v>50</v>
      </c>
      <c r="N806" s="200" t="s">
        <v>4593</v>
      </c>
      <c r="O806" s="234">
        <v>5</v>
      </c>
      <c r="P806" s="199">
        <f>TB_Parts_Lists[[#This Row],[Quantity Initial]]*TB_Parts_Lists[[#This Row],[Unit Price AED]]</f>
        <v>250</v>
      </c>
      <c r="Q806" s="199">
        <f>TB_Parts_Lists[[#This Row],[Quantity Total]]*TB_Parts_Lists[[#This Row],[Unit Price AED]]</f>
        <v>250</v>
      </c>
      <c r="S806" s="199" t="s">
        <v>8675</v>
      </c>
      <c r="T806" s="199" t="s">
        <v>8675</v>
      </c>
      <c r="U806" s="199" t="s">
        <v>8675</v>
      </c>
    </row>
    <row r="807" spans="1:21" s="199" customFormat="1" x14ac:dyDescent="0.25">
      <c r="A807" s="192" t="s">
        <v>7318</v>
      </c>
      <c r="B807" s="203" t="s">
        <v>3335</v>
      </c>
      <c r="C807" s="188" t="s">
        <v>3005</v>
      </c>
      <c r="D807" s="188" t="s">
        <v>8724</v>
      </c>
      <c r="E807" s="188" t="s">
        <v>5263</v>
      </c>
      <c r="F807" s="189" t="s">
        <v>3958</v>
      </c>
      <c r="G807" s="199" t="s">
        <v>8279</v>
      </c>
      <c r="H807" s="199" t="s">
        <v>8656</v>
      </c>
      <c r="I807" s="199">
        <v>1</v>
      </c>
      <c r="J807" s="199">
        <v>1</v>
      </c>
      <c r="K807" s="199">
        <v>1</v>
      </c>
      <c r="L807" s="199">
        <v>50</v>
      </c>
      <c r="M807" s="202">
        <f>TB_Parts_Lists[[#This Row],[Quantity Initial]]+ SUMIF(TB_Transactions[Part number],TB_Parts_Lists[[#This Row],[Part Number]],TB_Transactions[Quantity])</f>
        <v>50</v>
      </c>
      <c r="N807" s="200" t="s">
        <v>4593</v>
      </c>
      <c r="O807" s="234">
        <v>5</v>
      </c>
      <c r="P807" s="199">
        <f>TB_Parts_Lists[[#This Row],[Quantity Initial]]*TB_Parts_Lists[[#This Row],[Unit Price AED]]</f>
        <v>250</v>
      </c>
      <c r="Q807" s="199">
        <f>TB_Parts_Lists[[#This Row],[Quantity Total]]*TB_Parts_Lists[[#This Row],[Unit Price AED]]</f>
        <v>250</v>
      </c>
      <c r="S807" s="199" t="s">
        <v>8675</v>
      </c>
      <c r="T807" s="199" t="s">
        <v>8675</v>
      </c>
      <c r="U807" s="199" t="s">
        <v>8675</v>
      </c>
    </row>
    <row r="808" spans="1:21" s="199" customFormat="1" x14ac:dyDescent="0.25">
      <c r="A808" s="192" t="s">
        <v>7319</v>
      </c>
      <c r="B808" s="203" t="s">
        <v>3335</v>
      </c>
      <c r="C808" s="188" t="s">
        <v>3005</v>
      </c>
      <c r="D808" s="199" t="s">
        <v>8732</v>
      </c>
      <c r="E808" s="188" t="s">
        <v>5264</v>
      </c>
      <c r="F808" s="189" t="s">
        <v>3959</v>
      </c>
      <c r="G808" s="199" t="s">
        <v>8279</v>
      </c>
      <c r="H808" s="199" t="s">
        <v>8656</v>
      </c>
      <c r="I808" s="199">
        <v>1</v>
      </c>
      <c r="J808" s="199">
        <v>1</v>
      </c>
      <c r="K808" s="199">
        <v>1</v>
      </c>
      <c r="L808" s="199">
        <v>50</v>
      </c>
      <c r="M808" s="202">
        <f>TB_Parts_Lists[[#This Row],[Quantity Initial]]+ SUMIF(TB_Transactions[Part number],TB_Parts_Lists[[#This Row],[Part Number]],TB_Transactions[Quantity])</f>
        <v>50</v>
      </c>
      <c r="N808" s="200" t="s">
        <v>4593</v>
      </c>
      <c r="O808" s="234">
        <v>5</v>
      </c>
      <c r="P808" s="199">
        <f>TB_Parts_Lists[[#This Row],[Quantity Initial]]*TB_Parts_Lists[[#This Row],[Unit Price AED]]</f>
        <v>250</v>
      </c>
      <c r="Q808" s="199">
        <f>TB_Parts_Lists[[#This Row],[Quantity Total]]*TB_Parts_Lists[[#This Row],[Unit Price AED]]</f>
        <v>250</v>
      </c>
      <c r="S808" s="199" t="s">
        <v>118</v>
      </c>
      <c r="T808" s="199" t="s">
        <v>8693</v>
      </c>
      <c r="U808" s="199" t="s">
        <v>119</v>
      </c>
    </row>
    <row r="809" spans="1:21" s="199" customFormat="1" x14ac:dyDescent="0.25">
      <c r="A809" s="192" t="s">
        <v>7320</v>
      </c>
      <c r="B809" s="203" t="s">
        <v>3330</v>
      </c>
      <c r="C809" s="188" t="s">
        <v>3338</v>
      </c>
      <c r="D809" s="188" t="s">
        <v>8724</v>
      </c>
      <c r="E809" s="188" t="s">
        <v>5265</v>
      </c>
      <c r="F809" s="189" t="s">
        <v>4642</v>
      </c>
      <c r="G809" s="199" t="s">
        <v>8279</v>
      </c>
      <c r="H809" s="199" t="s">
        <v>8656</v>
      </c>
      <c r="I809" s="199">
        <v>1</v>
      </c>
      <c r="J809" s="199">
        <v>1</v>
      </c>
      <c r="K809" s="199">
        <v>1</v>
      </c>
      <c r="L809" s="199">
        <v>50</v>
      </c>
      <c r="M809" s="202">
        <f>TB_Parts_Lists[[#This Row],[Quantity Initial]]+ SUMIF(TB_Transactions[Part number],TB_Parts_Lists[[#This Row],[Part Number]],TB_Transactions[Quantity])</f>
        <v>50</v>
      </c>
      <c r="N809" s="200" t="s">
        <v>4593</v>
      </c>
      <c r="O809" s="234">
        <v>5</v>
      </c>
      <c r="P809" s="199">
        <f>TB_Parts_Lists[[#This Row],[Quantity Initial]]*TB_Parts_Lists[[#This Row],[Unit Price AED]]</f>
        <v>250</v>
      </c>
      <c r="Q809" s="199">
        <f>TB_Parts_Lists[[#This Row],[Quantity Total]]*TB_Parts_Lists[[#This Row],[Unit Price AED]]</f>
        <v>250</v>
      </c>
      <c r="S809" s="199" t="s">
        <v>8675</v>
      </c>
      <c r="T809" s="199" t="s">
        <v>8675</v>
      </c>
      <c r="U809" s="199" t="s">
        <v>8675</v>
      </c>
    </row>
    <row r="810" spans="1:21" s="199" customFormat="1" x14ac:dyDescent="0.25">
      <c r="A810" s="192" t="s">
        <v>7321</v>
      </c>
      <c r="B810" s="203" t="s">
        <v>3335</v>
      </c>
      <c r="C810" s="188" t="s">
        <v>3005</v>
      </c>
      <c r="D810" s="188" t="s">
        <v>8724</v>
      </c>
      <c r="E810" s="188" t="s">
        <v>5266</v>
      </c>
      <c r="F810" s="189" t="s">
        <v>6029</v>
      </c>
      <c r="G810" s="199" t="s">
        <v>8279</v>
      </c>
      <c r="H810" s="199" t="s">
        <v>8656</v>
      </c>
      <c r="I810" s="199">
        <v>1</v>
      </c>
      <c r="J810" s="199">
        <v>1</v>
      </c>
      <c r="K810" s="199">
        <v>1</v>
      </c>
      <c r="L810" s="199">
        <v>50</v>
      </c>
      <c r="M810" s="202">
        <f>TB_Parts_Lists[[#This Row],[Quantity Initial]]+ SUMIF(TB_Transactions[Part number],TB_Parts_Lists[[#This Row],[Part Number]],TB_Transactions[Quantity])</f>
        <v>50</v>
      </c>
      <c r="N810" s="200" t="s">
        <v>4593</v>
      </c>
      <c r="O810" s="234">
        <v>5</v>
      </c>
      <c r="P810" s="199">
        <f>TB_Parts_Lists[[#This Row],[Quantity Initial]]*TB_Parts_Lists[[#This Row],[Unit Price AED]]</f>
        <v>250</v>
      </c>
      <c r="Q810" s="199">
        <f>TB_Parts_Lists[[#This Row],[Quantity Total]]*TB_Parts_Lists[[#This Row],[Unit Price AED]]</f>
        <v>250</v>
      </c>
      <c r="S810" s="199" t="s">
        <v>8675</v>
      </c>
      <c r="T810" s="199" t="s">
        <v>8675</v>
      </c>
      <c r="U810" s="199" t="s">
        <v>8675</v>
      </c>
    </row>
    <row r="811" spans="1:21" s="199" customFormat="1" x14ac:dyDescent="0.25">
      <c r="A811" s="192" t="s">
        <v>7323</v>
      </c>
      <c r="B811" s="203" t="s">
        <v>3331</v>
      </c>
      <c r="C811" s="199" t="s">
        <v>7322</v>
      </c>
      <c r="D811" s="188" t="s">
        <v>8724</v>
      </c>
      <c r="E811" s="188" t="s">
        <v>3967</v>
      </c>
      <c r="F811" s="189" t="s">
        <v>3968</v>
      </c>
      <c r="G811" s="199" t="s">
        <v>8280</v>
      </c>
      <c r="H811" s="199" t="s">
        <v>72</v>
      </c>
      <c r="I811" s="199">
        <v>1</v>
      </c>
      <c r="J811" s="199">
        <v>1</v>
      </c>
      <c r="K811" s="199">
        <v>1</v>
      </c>
      <c r="L811" s="199">
        <v>50</v>
      </c>
      <c r="M811" s="202">
        <f>TB_Parts_Lists[[#This Row],[Quantity Initial]]+ SUMIF(TB_Transactions[Part number],TB_Parts_Lists[[#This Row],[Part Number]],TB_Transactions[Quantity])</f>
        <v>50</v>
      </c>
      <c r="N811" s="200" t="s">
        <v>4593</v>
      </c>
      <c r="O811" s="234">
        <v>5</v>
      </c>
      <c r="P811" s="199">
        <f>TB_Parts_Lists[[#This Row],[Quantity Initial]]*TB_Parts_Lists[[#This Row],[Unit Price AED]]</f>
        <v>250</v>
      </c>
      <c r="Q811" s="199">
        <f>TB_Parts_Lists[[#This Row],[Quantity Total]]*TB_Parts_Lists[[#This Row],[Unit Price AED]]</f>
        <v>250</v>
      </c>
      <c r="S811" s="199" t="s">
        <v>8675</v>
      </c>
      <c r="T811" s="199" t="s">
        <v>8675</v>
      </c>
      <c r="U811" s="199" t="s">
        <v>8675</v>
      </c>
    </row>
    <row r="812" spans="1:21" s="199" customFormat="1" x14ac:dyDescent="0.25">
      <c r="A812" s="192" t="s">
        <v>7324</v>
      </c>
      <c r="B812" s="203" t="s">
        <v>3331</v>
      </c>
      <c r="C812" s="199" t="s">
        <v>7322</v>
      </c>
      <c r="D812" s="188" t="s">
        <v>8724</v>
      </c>
      <c r="E812" s="188" t="s">
        <v>5267</v>
      </c>
      <c r="F812" s="189" t="s">
        <v>3969</v>
      </c>
      <c r="G812" s="199" t="s">
        <v>8280</v>
      </c>
      <c r="H812" s="199" t="s">
        <v>72</v>
      </c>
      <c r="I812" s="199">
        <v>1</v>
      </c>
      <c r="J812" s="199">
        <v>1</v>
      </c>
      <c r="K812" s="199">
        <v>1</v>
      </c>
      <c r="L812" s="199">
        <v>50</v>
      </c>
      <c r="M812" s="202">
        <f>TB_Parts_Lists[[#This Row],[Quantity Initial]]+ SUMIF(TB_Transactions[Part number],TB_Parts_Lists[[#This Row],[Part Number]],TB_Transactions[Quantity])</f>
        <v>50</v>
      </c>
      <c r="N812" s="200" t="s">
        <v>4593</v>
      </c>
      <c r="O812" s="234">
        <v>5</v>
      </c>
      <c r="P812" s="199">
        <f>TB_Parts_Lists[[#This Row],[Quantity Initial]]*TB_Parts_Lists[[#This Row],[Unit Price AED]]</f>
        <v>250</v>
      </c>
      <c r="Q812" s="199">
        <f>TB_Parts_Lists[[#This Row],[Quantity Total]]*TB_Parts_Lists[[#This Row],[Unit Price AED]]</f>
        <v>250</v>
      </c>
      <c r="S812" s="199" t="s">
        <v>8675</v>
      </c>
      <c r="T812" s="199" t="s">
        <v>8675</v>
      </c>
      <c r="U812" s="199" t="s">
        <v>8675</v>
      </c>
    </row>
    <row r="813" spans="1:21" s="199" customFormat="1" x14ac:dyDescent="0.25">
      <c r="A813" s="192" t="s">
        <v>7325</v>
      </c>
      <c r="B813" s="203" t="s">
        <v>3331</v>
      </c>
      <c r="C813" s="199" t="s">
        <v>7322</v>
      </c>
      <c r="D813" s="188" t="s">
        <v>8724</v>
      </c>
      <c r="E813" s="188" t="s">
        <v>5268</v>
      </c>
      <c r="F813" s="189" t="s">
        <v>3970</v>
      </c>
      <c r="G813" s="199" t="s">
        <v>8280</v>
      </c>
      <c r="H813" s="199" t="s">
        <v>72</v>
      </c>
      <c r="I813" s="199">
        <v>1</v>
      </c>
      <c r="J813" s="199">
        <v>1</v>
      </c>
      <c r="K813" s="199">
        <v>1</v>
      </c>
      <c r="L813" s="199">
        <v>50</v>
      </c>
      <c r="M813" s="202">
        <f>TB_Parts_Lists[[#This Row],[Quantity Initial]]+ SUMIF(TB_Transactions[Part number],TB_Parts_Lists[[#This Row],[Part Number]],TB_Transactions[Quantity])</f>
        <v>50</v>
      </c>
      <c r="N813" s="200" t="s">
        <v>4593</v>
      </c>
      <c r="O813" s="234">
        <v>5</v>
      </c>
      <c r="P813" s="199">
        <f>TB_Parts_Lists[[#This Row],[Quantity Initial]]*TB_Parts_Lists[[#This Row],[Unit Price AED]]</f>
        <v>250</v>
      </c>
      <c r="Q813" s="199">
        <f>TB_Parts_Lists[[#This Row],[Quantity Total]]*TB_Parts_Lists[[#This Row],[Unit Price AED]]</f>
        <v>250</v>
      </c>
      <c r="S813" s="199" t="s">
        <v>8675</v>
      </c>
      <c r="T813" s="199" t="s">
        <v>8675</v>
      </c>
      <c r="U813" s="199" t="s">
        <v>8675</v>
      </c>
    </row>
    <row r="814" spans="1:21" s="199" customFormat="1" x14ac:dyDescent="0.25">
      <c r="A814" s="192" t="s">
        <v>7326</v>
      </c>
      <c r="B814" s="203" t="s">
        <v>3333</v>
      </c>
      <c r="C814" s="199" t="s">
        <v>3311</v>
      </c>
      <c r="D814" s="188" t="s">
        <v>8724</v>
      </c>
      <c r="E814" s="188" t="s">
        <v>5269</v>
      </c>
      <c r="F814" s="189" t="s">
        <v>3971</v>
      </c>
      <c r="G814" s="199" t="s">
        <v>8280</v>
      </c>
      <c r="H814" s="199" t="s">
        <v>8638</v>
      </c>
      <c r="I814" s="199">
        <v>1</v>
      </c>
      <c r="J814" s="199">
        <v>1</v>
      </c>
      <c r="K814" s="199">
        <v>1</v>
      </c>
      <c r="L814" s="199">
        <v>50</v>
      </c>
      <c r="M814" s="202">
        <f>TB_Parts_Lists[[#This Row],[Quantity Initial]]+ SUMIF(TB_Transactions[Part number],TB_Parts_Lists[[#This Row],[Part Number]],TB_Transactions[Quantity])</f>
        <v>50</v>
      </c>
      <c r="N814" s="200" t="s">
        <v>4593</v>
      </c>
      <c r="O814" s="234">
        <v>5</v>
      </c>
      <c r="P814" s="199">
        <f>TB_Parts_Lists[[#This Row],[Quantity Initial]]*TB_Parts_Lists[[#This Row],[Unit Price AED]]</f>
        <v>250</v>
      </c>
      <c r="Q814" s="199">
        <f>TB_Parts_Lists[[#This Row],[Quantity Total]]*TB_Parts_Lists[[#This Row],[Unit Price AED]]</f>
        <v>250</v>
      </c>
      <c r="S814" s="199" t="s">
        <v>118</v>
      </c>
      <c r="T814" s="199" t="s">
        <v>8692</v>
      </c>
      <c r="U814" s="199" t="s">
        <v>838</v>
      </c>
    </row>
    <row r="815" spans="1:21" s="199" customFormat="1" x14ac:dyDescent="0.25">
      <c r="A815" s="192" t="s">
        <v>7327</v>
      </c>
      <c r="B815" s="203" t="s">
        <v>3335</v>
      </c>
      <c r="C815" s="199" t="s">
        <v>3368</v>
      </c>
      <c r="D815" s="199" t="s">
        <v>8732</v>
      </c>
      <c r="E815" s="188" t="s">
        <v>4114</v>
      </c>
      <c r="F815" s="189" t="s">
        <v>2681</v>
      </c>
      <c r="G815" s="199" t="s">
        <v>8280</v>
      </c>
      <c r="H815" s="199" t="s">
        <v>51</v>
      </c>
      <c r="I815" s="199">
        <v>1</v>
      </c>
      <c r="J815" s="199">
        <v>1</v>
      </c>
      <c r="K815" s="199">
        <v>1</v>
      </c>
      <c r="L815" s="199">
        <v>50</v>
      </c>
      <c r="M815" s="202">
        <f>TB_Parts_Lists[[#This Row],[Quantity Initial]]+ SUMIF(TB_Transactions[Part number],TB_Parts_Lists[[#This Row],[Part Number]],TB_Transactions[Quantity])</f>
        <v>50</v>
      </c>
      <c r="N815" s="200" t="s">
        <v>4593</v>
      </c>
      <c r="O815" s="234">
        <v>5</v>
      </c>
      <c r="P815" s="199">
        <f>TB_Parts_Lists[[#This Row],[Quantity Initial]]*TB_Parts_Lists[[#This Row],[Unit Price AED]]</f>
        <v>250</v>
      </c>
      <c r="Q815" s="199">
        <f>TB_Parts_Lists[[#This Row],[Quantity Total]]*TB_Parts_Lists[[#This Row],[Unit Price AED]]</f>
        <v>250</v>
      </c>
      <c r="S815" s="199" t="s">
        <v>122</v>
      </c>
      <c r="T815" s="199" t="s">
        <v>312</v>
      </c>
      <c r="U815" s="199" t="s">
        <v>311</v>
      </c>
    </row>
    <row r="816" spans="1:21" s="199" customFormat="1" x14ac:dyDescent="0.25">
      <c r="A816" s="192" t="s">
        <v>7328</v>
      </c>
      <c r="B816" s="203" t="s">
        <v>4605</v>
      </c>
      <c r="C816" s="199" t="s">
        <v>4609</v>
      </c>
      <c r="D816" s="199" t="s">
        <v>8732</v>
      </c>
      <c r="E816" s="188" t="s">
        <v>5270</v>
      </c>
      <c r="F816" s="189" t="s">
        <v>3972</v>
      </c>
      <c r="G816" s="199" t="s">
        <v>8280</v>
      </c>
      <c r="H816" s="199" t="s">
        <v>72</v>
      </c>
      <c r="I816" s="199">
        <v>1</v>
      </c>
      <c r="J816" s="199">
        <v>1</v>
      </c>
      <c r="K816" s="199">
        <v>1</v>
      </c>
      <c r="L816" s="199">
        <v>50</v>
      </c>
      <c r="M816" s="202">
        <f>TB_Parts_Lists[[#This Row],[Quantity Initial]]+ SUMIF(TB_Transactions[Part number],TB_Parts_Lists[[#This Row],[Part Number]],TB_Transactions[Quantity])</f>
        <v>50</v>
      </c>
      <c r="N816" s="200" t="s">
        <v>4593</v>
      </c>
      <c r="O816" s="234">
        <v>5</v>
      </c>
      <c r="P816" s="199">
        <f>TB_Parts_Lists[[#This Row],[Quantity Initial]]*TB_Parts_Lists[[#This Row],[Unit Price AED]]</f>
        <v>250</v>
      </c>
      <c r="Q816" s="199">
        <f>TB_Parts_Lists[[#This Row],[Quantity Total]]*TB_Parts_Lists[[#This Row],[Unit Price AED]]</f>
        <v>250</v>
      </c>
      <c r="S816" s="199" t="s">
        <v>122</v>
      </c>
      <c r="T816" s="199" t="s">
        <v>129</v>
      </c>
      <c r="U816" s="199" t="s">
        <v>262</v>
      </c>
    </row>
    <row r="817" spans="1:21" s="199" customFormat="1" x14ac:dyDescent="0.25">
      <c r="A817" s="192" t="s">
        <v>7329</v>
      </c>
      <c r="B817" s="203" t="s">
        <v>4605</v>
      </c>
      <c r="C817" s="199" t="s">
        <v>4607</v>
      </c>
      <c r="D817" s="199" t="s">
        <v>8732</v>
      </c>
      <c r="E817" s="188" t="s">
        <v>5271</v>
      </c>
      <c r="F817" s="189" t="s">
        <v>3973</v>
      </c>
      <c r="G817" s="199" t="s">
        <v>8280</v>
      </c>
      <c r="H817" s="199" t="s">
        <v>72</v>
      </c>
      <c r="I817" s="199">
        <v>1</v>
      </c>
      <c r="J817" s="199">
        <v>1</v>
      </c>
      <c r="K817" s="199">
        <v>1</v>
      </c>
      <c r="L817" s="199">
        <v>50</v>
      </c>
      <c r="M817" s="202">
        <f>TB_Parts_Lists[[#This Row],[Quantity Initial]]+ SUMIF(TB_Transactions[Part number],TB_Parts_Lists[[#This Row],[Part Number]],TB_Transactions[Quantity])</f>
        <v>50</v>
      </c>
      <c r="N817" s="200" t="s">
        <v>4593</v>
      </c>
      <c r="O817" s="234">
        <v>5</v>
      </c>
      <c r="P817" s="199">
        <f>TB_Parts_Lists[[#This Row],[Quantity Initial]]*TB_Parts_Lists[[#This Row],[Unit Price AED]]</f>
        <v>250</v>
      </c>
      <c r="Q817" s="199">
        <f>TB_Parts_Lists[[#This Row],[Quantity Total]]*TB_Parts_Lists[[#This Row],[Unit Price AED]]</f>
        <v>250</v>
      </c>
      <c r="S817" s="199" t="s">
        <v>122</v>
      </c>
      <c r="T817" s="199" t="s">
        <v>129</v>
      </c>
      <c r="U817" s="199" t="s">
        <v>262</v>
      </c>
    </row>
    <row r="818" spans="1:21" s="199" customFormat="1" x14ac:dyDescent="0.25">
      <c r="A818" s="192" t="s">
        <v>7330</v>
      </c>
      <c r="B818" s="203" t="s">
        <v>3333</v>
      </c>
      <c r="C818" s="188" t="s">
        <v>3311</v>
      </c>
      <c r="D818" s="188" t="s">
        <v>8724</v>
      </c>
      <c r="E818" s="188" t="s">
        <v>5272</v>
      </c>
      <c r="F818" s="189" t="s">
        <v>3974</v>
      </c>
      <c r="G818" s="199" t="s">
        <v>8280</v>
      </c>
      <c r="H818" s="199" t="s">
        <v>8638</v>
      </c>
      <c r="I818" s="199">
        <v>1</v>
      </c>
      <c r="J818" s="199">
        <v>1</v>
      </c>
      <c r="K818" s="199">
        <v>1</v>
      </c>
      <c r="L818" s="199">
        <v>50</v>
      </c>
      <c r="M818" s="202">
        <f>TB_Parts_Lists[[#This Row],[Quantity Initial]]+ SUMIF(TB_Transactions[Part number],TB_Parts_Lists[[#This Row],[Part Number]],TB_Transactions[Quantity])</f>
        <v>50</v>
      </c>
      <c r="N818" s="200" t="s">
        <v>4593</v>
      </c>
      <c r="O818" s="234">
        <v>5</v>
      </c>
      <c r="P818" s="199">
        <f>TB_Parts_Lists[[#This Row],[Quantity Initial]]*TB_Parts_Lists[[#This Row],[Unit Price AED]]</f>
        <v>250</v>
      </c>
      <c r="Q818" s="199">
        <f>TB_Parts_Lists[[#This Row],[Quantity Total]]*TB_Parts_Lists[[#This Row],[Unit Price AED]]</f>
        <v>250</v>
      </c>
      <c r="S818" s="199" t="s">
        <v>118</v>
      </c>
      <c r="T818" s="199" t="s">
        <v>8692</v>
      </c>
      <c r="U818" s="199" t="s">
        <v>838</v>
      </c>
    </row>
    <row r="819" spans="1:21" s="199" customFormat="1" x14ac:dyDescent="0.25">
      <c r="A819" s="192" t="s">
        <v>7331</v>
      </c>
      <c r="B819" s="203" t="s">
        <v>3329</v>
      </c>
      <c r="C819" s="188" t="s">
        <v>7083</v>
      </c>
      <c r="D819" s="188" t="s">
        <v>8724</v>
      </c>
      <c r="E819" s="188" t="s">
        <v>5273</v>
      </c>
      <c r="F819" s="189" t="s">
        <v>3975</v>
      </c>
      <c r="G819" s="199" t="s">
        <v>8280</v>
      </c>
      <c r="H819" s="199" t="s">
        <v>8638</v>
      </c>
      <c r="I819" s="199">
        <v>1</v>
      </c>
      <c r="J819" s="199">
        <v>1</v>
      </c>
      <c r="K819" s="199">
        <v>1</v>
      </c>
      <c r="L819" s="199">
        <v>50</v>
      </c>
      <c r="M819" s="202">
        <f>TB_Parts_Lists[[#This Row],[Quantity Initial]]+ SUMIF(TB_Transactions[Part number],TB_Parts_Lists[[#This Row],[Part Number]],TB_Transactions[Quantity])</f>
        <v>50</v>
      </c>
      <c r="N819" s="200" t="s">
        <v>4593</v>
      </c>
      <c r="O819" s="234">
        <v>5</v>
      </c>
      <c r="P819" s="199">
        <f>TB_Parts_Lists[[#This Row],[Quantity Initial]]*TB_Parts_Lists[[#This Row],[Unit Price AED]]</f>
        <v>250</v>
      </c>
      <c r="Q819" s="199">
        <f>TB_Parts_Lists[[#This Row],[Quantity Total]]*TB_Parts_Lists[[#This Row],[Unit Price AED]]</f>
        <v>250</v>
      </c>
      <c r="S819" s="199" t="s">
        <v>8675</v>
      </c>
      <c r="T819" s="199" t="s">
        <v>8675</v>
      </c>
      <c r="U819" s="199" t="s">
        <v>8675</v>
      </c>
    </row>
    <row r="820" spans="1:21" s="199" customFormat="1" x14ac:dyDescent="0.25">
      <c r="A820" s="192" t="s">
        <v>7332</v>
      </c>
      <c r="B820" s="203" t="s">
        <v>3329</v>
      </c>
      <c r="C820" s="188" t="s">
        <v>7083</v>
      </c>
      <c r="D820" s="188" t="s">
        <v>8724</v>
      </c>
      <c r="E820" s="188" t="s">
        <v>5274</v>
      </c>
      <c r="F820" s="189" t="s">
        <v>3976</v>
      </c>
      <c r="G820" s="199" t="s">
        <v>8280</v>
      </c>
      <c r="H820" s="199" t="s">
        <v>8638</v>
      </c>
      <c r="I820" s="199">
        <v>1</v>
      </c>
      <c r="J820" s="199">
        <v>1</v>
      </c>
      <c r="K820" s="199">
        <v>1</v>
      </c>
      <c r="L820" s="199">
        <v>50</v>
      </c>
      <c r="M820" s="202">
        <f>TB_Parts_Lists[[#This Row],[Quantity Initial]]+ SUMIF(TB_Transactions[Part number],TB_Parts_Lists[[#This Row],[Part Number]],TB_Transactions[Quantity])</f>
        <v>50</v>
      </c>
      <c r="N820" s="200" t="s">
        <v>4593</v>
      </c>
      <c r="O820" s="234">
        <v>5</v>
      </c>
      <c r="P820" s="199">
        <f>TB_Parts_Lists[[#This Row],[Quantity Initial]]*TB_Parts_Lists[[#This Row],[Unit Price AED]]</f>
        <v>250</v>
      </c>
      <c r="Q820" s="199">
        <f>TB_Parts_Lists[[#This Row],[Quantity Total]]*TB_Parts_Lists[[#This Row],[Unit Price AED]]</f>
        <v>250</v>
      </c>
      <c r="S820" s="199" t="s">
        <v>8675</v>
      </c>
      <c r="T820" s="199" t="s">
        <v>8675</v>
      </c>
      <c r="U820" s="199" t="s">
        <v>8675</v>
      </c>
    </row>
    <row r="821" spans="1:21" s="199" customFormat="1" x14ac:dyDescent="0.25">
      <c r="A821" s="192" t="s">
        <v>7333</v>
      </c>
      <c r="B821" s="203" t="s">
        <v>3329</v>
      </c>
      <c r="C821" s="188" t="s">
        <v>7083</v>
      </c>
      <c r="D821" s="188" t="s">
        <v>8724</v>
      </c>
      <c r="E821" s="188" t="s">
        <v>4115</v>
      </c>
      <c r="F821" s="189" t="s">
        <v>3977</v>
      </c>
      <c r="G821" s="199" t="s">
        <v>8280</v>
      </c>
      <c r="H821" s="199" t="s">
        <v>8638</v>
      </c>
      <c r="I821" s="199">
        <v>1</v>
      </c>
      <c r="J821" s="199">
        <v>1</v>
      </c>
      <c r="K821" s="199">
        <v>1</v>
      </c>
      <c r="L821" s="199">
        <v>50</v>
      </c>
      <c r="M821" s="202">
        <f>TB_Parts_Lists[[#This Row],[Quantity Initial]]+ SUMIF(TB_Transactions[Part number],TB_Parts_Lists[[#This Row],[Part Number]],TB_Transactions[Quantity])</f>
        <v>50</v>
      </c>
      <c r="N821" s="200" t="s">
        <v>4593</v>
      </c>
      <c r="O821" s="234">
        <v>5</v>
      </c>
      <c r="P821" s="199">
        <f>TB_Parts_Lists[[#This Row],[Quantity Initial]]*TB_Parts_Lists[[#This Row],[Unit Price AED]]</f>
        <v>250</v>
      </c>
      <c r="Q821" s="199">
        <f>TB_Parts_Lists[[#This Row],[Quantity Total]]*TB_Parts_Lists[[#This Row],[Unit Price AED]]</f>
        <v>250</v>
      </c>
      <c r="S821" s="199" t="s">
        <v>8675</v>
      </c>
      <c r="T821" s="199" t="s">
        <v>8675</v>
      </c>
      <c r="U821" s="199" t="s">
        <v>8675</v>
      </c>
    </row>
    <row r="822" spans="1:21" s="199" customFormat="1" x14ac:dyDescent="0.25">
      <c r="A822" s="192" t="s">
        <v>7334</v>
      </c>
      <c r="B822" s="203" t="s">
        <v>3335</v>
      </c>
      <c r="C822" s="199" t="s">
        <v>3368</v>
      </c>
      <c r="D822" s="199" t="s">
        <v>8732</v>
      </c>
      <c r="E822" s="188" t="s">
        <v>5275</v>
      </c>
      <c r="F822" s="189" t="s">
        <v>3978</v>
      </c>
      <c r="G822" s="199" t="s">
        <v>8280</v>
      </c>
      <c r="H822" s="199" t="s">
        <v>74</v>
      </c>
      <c r="I822" s="199">
        <v>1</v>
      </c>
      <c r="J822" s="199">
        <v>1</v>
      </c>
      <c r="K822" s="199">
        <v>1</v>
      </c>
      <c r="L822" s="199">
        <v>50</v>
      </c>
      <c r="M822" s="202">
        <f>TB_Parts_Lists[[#This Row],[Quantity Initial]]+ SUMIF(TB_Transactions[Part number],TB_Parts_Lists[[#This Row],[Part Number]],TB_Transactions[Quantity])</f>
        <v>50</v>
      </c>
      <c r="N822" s="200" t="s">
        <v>4593</v>
      </c>
      <c r="O822" s="234">
        <v>5</v>
      </c>
      <c r="P822" s="199">
        <f>TB_Parts_Lists[[#This Row],[Quantity Initial]]*TB_Parts_Lists[[#This Row],[Unit Price AED]]</f>
        <v>250</v>
      </c>
      <c r="Q822" s="199">
        <f>TB_Parts_Lists[[#This Row],[Quantity Total]]*TB_Parts_Lists[[#This Row],[Unit Price AED]]</f>
        <v>250</v>
      </c>
      <c r="S822" s="199" t="s">
        <v>122</v>
      </c>
      <c r="T822" s="199" t="s">
        <v>312</v>
      </c>
      <c r="U822" s="199" t="s">
        <v>311</v>
      </c>
    </row>
    <row r="823" spans="1:21" s="199" customFormat="1" x14ac:dyDescent="0.25">
      <c r="A823" s="192" t="s">
        <v>7335</v>
      </c>
      <c r="B823" s="203" t="s">
        <v>3330</v>
      </c>
      <c r="C823" s="188" t="s">
        <v>4608</v>
      </c>
      <c r="D823" s="188" t="s">
        <v>8724</v>
      </c>
      <c r="E823" s="188" t="s">
        <v>5276</v>
      </c>
      <c r="F823" s="189" t="s">
        <v>6030</v>
      </c>
      <c r="G823" s="199" t="s">
        <v>8280</v>
      </c>
      <c r="H823" s="199" t="s">
        <v>51</v>
      </c>
      <c r="I823" s="199">
        <v>1</v>
      </c>
      <c r="J823" s="199">
        <v>1</v>
      </c>
      <c r="K823" s="199">
        <v>1</v>
      </c>
      <c r="L823" s="199">
        <v>50</v>
      </c>
      <c r="M823" s="202">
        <f>TB_Parts_Lists[[#This Row],[Quantity Initial]]+ SUMIF(TB_Transactions[Part number],TB_Parts_Lists[[#This Row],[Part Number]],TB_Transactions[Quantity])</f>
        <v>50</v>
      </c>
      <c r="N823" s="200" t="s">
        <v>4593</v>
      </c>
      <c r="O823" s="234">
        <v>5</v>
      </c>
      <c r="P823" s="199">
        <f>TB_Parts_Lists[[#This Row],[Quantity Initial]]*TB_Parts_Lists[[#This Row],[Unit Price AED]]</f>
        <v>250</v>
      </c>
      <c r="Q823" s="199">
        <f>TB_Parts_Lists[[#This Row],[Quantity Total]]*TB_Parts_Lists[[#This Row],[Unit Price AED]]</f>
        <v>250</v>
      </c>
      <c r="S823" s="199" t="s">
        <v>8675</v>
      </c>
      <c r="T823" s="199" t="s">
        <v>8675</v>
      </c>
      <c r="U823" s="199" t="s">
        <v>8675</v>
      </c>
    </row>
    <row r="824" spans="1:21" s="199" customFormat="1" x14ac:dyDescent="0.25">
      <c r="A824" s="192" t="s">
        <v>7336</v>
      </c>
      <c r="B824" s="203" t="s">
        <v>3332</v>
      </c>
      <c r="C824" s="188" t="s">
        <v>3355</v>
      </c>
      <c r="D824" s="199" t="s">
        <v>8732</v>
      </c>
      <c r="E824" s="188" t="s">
        <v>4116</v>
      </c>
      <c r="F824" s="189" t="s">
        <v>3979</v>
      </c>
      <c r="G824" s="199" t="s">
        <v>8280</v>
      </c>
      <c r="H824" s="199" t="s">
        <v>74</v>
      </c>
      <c r="I824" s="199">
        <v>1</v>
      </c>
      <c r="J824" s="199">
        <v>1</v>
      </c>
      <c r="K824" s="199">
        <v>1</v>
      </c>
      <c r="L824" s="199">
        <v>50</v>
      </c>
      <c r="M824" s="202">
        <f>TB_Parts_Lists[[#This Row],[Quantity Initial]]+ SUMIF(TB_Transactions[Part number],TB_Parts_Lists[[#This Row],[Part Number]],TB_Transactions[Quantity])</f>
        <v>50</v>
      </c>
      <c r="N824" s="200" t="s">
        <v>4593</v>
      </c>
      <c r="O824" s="234">
        <v>5</v>
      </c>
      <c r="P824" s="199">
        <f>TB_Parts_Lists[[#This Row],[Quantity Initial]]*TB_Parts_Lists[[#This Row],[Unit Price AED]]</f>
        <v>250</v>
      </c>
      <c r="Q824" s="199">
        <f>TB_Parts_Lists[[#This Row],[Quantity Total]]*TB_Parts_Lists[[#This Row],[Unit Price AED]]</f>
        <v>250</v>
      </c>
      <c r="S824" s="199" t="s">
        <v>118</v>
      </c>
      <c r="T824" s="199" t="s">
        <v>8692</v>
      </c>
      <c r="U824" s="199" t="s">
        <v>838</v>
      </c>
    </row>
    <row r="825" spans="1:21" s="199" customFormat="1" x14ac:dyDescent="0.25">
      <c r="A825" s="192" t="s">
        <v>7337</v>
      </c>
      <c r="B825" s="203" t="s">
        <v>4605</v>
      </c>
      <c r="C825" s="188" t="s">
        <v>4608</v>
      </c>
      <c r="D825" s="199" t="s">
        <v>8723</v>
      </c>
      <c r="E825" s="188" t="s">
        <v>4117</v>
      </c>
      <c r="F825" s="189" t="s">
        <v>3980</v>
      </c>
      <c r="G825" s="199" t="s">
        <v>8280</v>
      </c>
      <c r="H825" s="199" t="s">
        <v>72</v>
      </c>
      <c r="I825" s="199">
        <v>1</v>
      </c>
      <c r="J825" s="199">
        <v>1</v>
      </c>
      <c r="K825" s="199">
        <v>1</v>
      </c>
      <c r="L825" s="199">
        <v>50</v>
      </c>
      <c r="M825" s="202">
        <f>TB_Parts_Lists[[#This Row],[Quantity Initial]]+ SUMIF(TB_Transactions[Part number],TB_Parts_Lists[[#This Row],[Part Number]],TB_Transactions[Quantity])</f>
        <v>50</v>
      </c>
      <c r="N825" s="200" t="s">
        <v>4593</v>
      </c>
      <c r="O825" s="234">
        <v>5</v>
      </c>
      <c r="P825" s="199">
        <f>TB_Parts_Lists[[#This Row],[Quantity Initial]]*TB_Parts_Lists[[#This Row],[Unit Price AED]]</f>
        <v>250</v>
      </c>
      <c r="Q825" s="199">
        <f>TB_Parts_Lists[[#This Row],[Quantity Total]]*TB_Parts_Lists[[#This Row],[Unit Price AED]]</f>
        <v>250</v>
      </c>
      <c r="S825" s="199" t="s">
        <v>8675</v>
      </c>
      <c r="T825" s="199" t="s">
        <v>8675</v>
      </c>
      <c r="U825" s="199" t="s">
        <v>8675</v>
      </c>
    </row>
    <row r="826" spans="1:21" s="199" customFormat="1" x14ac:dyDescent="0.25">
      <c r="A826" s="192" t="s">
        <v>7338</v>
      </c>
      <c r="B826" s="203" t="s">
        <v>3330</v>
      </c>
      <c r="C826" s="188" t="s">
        <v>3338</v>
      </c>
      <c r="D826" s="188" t="s">
        <v>8724</v>
      </c>
      <c r="E826" s="188" t="s">
        <v>5278</v>
      </c>
      <c r="F826" s="189" t="s">
        <v>3982</v>
      </c>
      <c r="G826" s="199" t="s">
        <v>8280</v>
      </c>
      <c r="H826" s="199" t="s">
        <v>51</v>
      </c>
      <c r="I826" s="199">
        <v>1</v>
      </c>
      <c r="J826" s="199">
        <v>1</v>
      </c>
      <c r="K826" s="199">
        <v>1</v>
      </c>
      <c r="L826" s="199">
        <v>50</v>
      </c>
      <c r="M826" s="202">
        <f>TB_Parts_Lists[[#This Row],[Quantity Initial]]+ SUMIF(TB_Transactions[Part number],TB_Parts_Lists[[#This Row],[Part Number]],TB_Transactions[Quantity])</f>
        <v>50</v>
      </c>
      <c r="N826" s="200" t="s">
        <v>4593</v>
      </c>
      <c r="O826" s="234">
        <v>5</v>
      </c>
      <c r="P826" s="199">
        <f>TB_Parts_Lists[[#This Row],[Quantity Initial]]*TB_Parts_Lists[[#This Row],[Unit Price AED]]</f>
        <v>250</v>
      </c>
      <c r="Q826" s="199">
        <f>TB_Parts_Lists[[#This Row],[Quantity Total]]*TB_Parts_Lists[[#This Row],[Unit Price AED]]</f>
        <v>250</v>
      </c>
      <c r="S826" s="199" t="s">
        <v>118</v>
      </c>
      <c r="T826" s="199" t="s">
        <v>8675</v>
      </c>
      <c r="U826" s="199" t="s">
        <v>8675</v>
      </c>
    </row>
    <row r="827" spans="1:21" s="199" customFormat="1" x14ac:dyDescent="0.25">
      <c r="A827" s="192" t="s">
        <v>7339</v>
      </c>
      <c r="B827" s="203" t="s">
        <v>3330</v>
      </c>
      <c r="C827" s="188" t="s">
        <v>3338</v>
      </c>
      <c r="D827" s="188" t="s">
        <v>8724</v>
      </c>
      <c r="E827" s="188" t="s">
        <v>3981</v>
      </c>
      <c r="F827" s="189" t="s">
        <v>3983</v>
      </c>
      <c r="G827" s="199" t="s">
        <v>8280</v>
      </c>
      <c r="H827" s="199" t="s">
        <v>74</v>
      </c>
      <c r="I827" s="199">
        <v>1</v>
      </c>
      <c r="J827" s="199">
        <v>1</v>
      </c>
      <c r="K827" s="199">
        <v>1</v>
      </c>
      <c r="L827" s="199">
        <v>50</v>
      </c>
      <c r="M827" s="202">
        <f>TB_Parts_Lists[[#This Row],[Quantity Initial]]+ SUMIF(TB_Transactions[Part number],TB_Parts_Lists[[#This Row],[Part Number]],TB_Transactions[Quantity])</f>
        <v>50</v>
      </c>
      <c r="N827" s="200" t="s">
        <v>4593</v>
      </c>
      <c r="O827" s="234">
        <v>5</v>
      </c>
      <c r="P827" s="199">
        <f>TB_Parts_Lists[[#This Row],[Quantity Initial]]*TB_Parts_Lists[[#This Row],[Unit Price AED]]</f>
        <v>250</v>
      </c>
      <c r="Q827" s="199">
        <f>TB_Parts_Lists[[#This Row],[Quantity Total]]*TB_Parts_Lists[[#This Row],[Unit Price AED]]</f>
        <v>250</v>
      </c>
      <c r="S827" s="199" t="s">
        <v>118</v>
      </c>
      <c r="T827" s="199" t="s">
        <v>8675</v>
      </c>
      <c r="U827" s="199" t="s">
        <v>8675</v>
      </c>
    </row>
    <row r="828" spans="1:21" s="199" customFormat="1" x14ac:dyDescent="0.25">
      <c r="A828" s="192" t="s">
        <v>7340</v>
      </c>
      <c r="B828" s="203" t="s">
        <v>3329</v>
      </c>
      <c r="C828" s="188" t="s">
        <v>6779</v>
      </c>
      <c r="D828" s="188" t="s">
        <v>8724</v>
      </c>
      <c r="E828" s="188" t="s">
        <v>4118</v>
      </c>
      <c r="F828" s="189" t="s">
        <v>3984</v>
      </c>
      <c r="G828" s="199" t="s">
        <v>8280</v>
      </c>
      <c r="H828" s="199" t="s">
        <v>72</v>
      </c>
      <c r="I828" s="199">
        <v>1</v>
      </c>
      <c r="J828" s="199">
        <v>1</v>
      </c>
      <c r="K828" s="199">
        <v>1</v>
      </c>
      <c r="L828" s="199">
        <v>50</v>
      </c>
      <c r="M828" s="202">
        <f>TB_Parts_Lists[[#This Row],[Quantity Initial]]+ SUMIF(TB_Transactions[Part number],TB_Parts_Lists[[#This Row],[Part Number]],TB_Transactions[Quantity])</f>
        <v>50</v>
      </c>
      <c r="N828" s="200" t="s">
        <v>4593</v>
      </c>
      <c r="O828" s="234">
        <v>5</v>
      </c>
      <c r="P828" s="199">
        <f>TB_Parts_Lists[[#This Row],[Quantity Initial]]*TB_Parts_Lists[[#This Row],[Unit Price AED]]</f>
        <v>250</v>
      </c>
      <c r="Q828" s="199">
        <f>TB_Parts_Lists[[#This Row],[Quantity Total]]*TB_Parts_Lists[[#This Row],[Unit Price AED]]</f>
        <v>250</v>
      </c>
      <c r="S828" s="199" t="s">
        <v>8675</v>
      </c>
      <c r="T828" s="199" t="s">
        <v>8675</v>
      </c>
      <c r="U828" s="199" t="s">
        <v>8675</v>
      </c>
    </row>
    <row r="829" spans="1:21" s="199" customFormat="1" x14ac:dyDescent="0.25">
      <c r="A829" s="192" t="s">
        <v>7341</v>
      </c>
      <c r="B829" s="203" t="s">
        <v>3330</v>
      </c>
      <c r="C829" s="188" t="s">
        <v>3567</v>
      </c>
      <c r="D829" s="188" t="s">
        <v>8724</v>
      </c>
      <c r="E829" s="188" t="s">
        <v>5279</v>
      </c>
      <c r="F829" s="189" t="s">
        <v>3985</v>
      </c>
      <c r="G829" s="199" t="s">
        <v>8280</v>
      </c>
      <c r="H829" s="199" t="s">
        <v>51</v>
      </c>
      <c r="I829" s="199">
        <v>1</v>
      </c>
      <c r="J829" s="199">
        <v>1</v>
      </c>
      <c r="K829" s="199">
        <v>1</v>
      </c>
      <c r="L829" s="199">
        <v>50</v>
      </c>
      <c r="M829" s="202">
        <f>TB_Parts_Lists[[#This Row],[Quantity Initial]]+ SUMIF(TB_Transactions[Part number],TB_Parts_Lists[[#This Row],[Part Number]],TB_Transactions[Quantity])</f>
        <v>50</v>
      </c>
      <c r="N829" s="200" t="s">
        <v>4593</v>
      </c>
      <c r="O829" s="234">
        <v>5</v>
      </c>
      <c r="P829" s="199">
        <f>TB_Parts_Lists[[#This Row],[Quantity Initial]]*TB_Parts_Lists[[#This Row],[Unit Price AED]]</f>
        <v>250</v>
      </c>
      <c r="Q829" s="199">
        <f>TB_Parts_Lists[[#This Row],[Quantity Total]]*TB_Parts_Lists[[#This Row],[Unit Price AED]]</f>
        <v>250</v>
      </c>
      <c r="S829" s="199" t="s">
        <v>8675</v>
      </c>
      <c r="T829" s="199" t="s">
        <v>8675</v>
      </c>
      <c r="U829" s="199" t="s">
        <v>8675</v>
      </c>
    </row>
    <row r="830" spans="1:21" s="199" customFormat="1" x14ac:dyDescent="0.25">
      <c r="A830" s="192" t="s">
        <v>7342</v>
      </c>
      <c r="B830" s="203" t="s">
        <v>3330</v>
      </c>
      <c r="C830" s="188" t="s">
        <v>3338</v>
      </c>
      <c r="D830" s="188" t="s">
        <v>8724</v>
      </c>
      <c r="E830" s="188" t="s">
        <v>3981</v>
      </c>
      <c r="F830" s="189" t="s">
        <v>3986</v>
      </c>
      <c r="G830" s="199" t="s">
        <v>8280</v>
      </c>
      <c r="H830" s="199" t="s">
        <v>51</v>
      </c>
      <c r="I830" s="199">
        <v>1</v>
      </c>
      <c r="J830" s="199">
        <v>1</v>
      </c>
      <c r="K830" s="199">
        <v>1</v>
      </c>
      <c r="L830" s="199">
        <v>50</v>
      </c>
      <c r="M830" s="202">
        <f>TB_Parts_Lists[[#This Row],[Quantity Initial]]+ SUMIF(TB_Transactions[Part number],TB_Parts_Lists[[#This Row],[Part Number]],TB_Transactions[Quantity])</f>
        <v>50</v>
      </c>
      <c r="N830" s="200" t="s">
        <v>4593</v>
      </c>
      <c r="O830" s="234">
        <v>5</v>
      </c>
      <c r="P830" s="199">
        <f>TB_Parts_Lists[[#This Row],[Quantity Initial]]*TB_Parts_Lists[[#This Row],[Unit Price AED]]</f>
        <v>250</v>
      </c>
      <c r="Q830" s="199">
        <f>TB_Parts_Lists[[#This Row],[Quantity Total]]*TB_Parts_Lists[[#This Row],[Unit Price AED]]</f>
        <v>250</v>
      </c>
      <c r="S830" s="199" t="s">
        <v>8675</v>
      </c>
      <c r="T830" s="199" t="s">
        <v>8675</v>
      </c>
      <c r="U830" s="199" t="s">
        <v>8675</v>
      </c>
    </row>
    <row r="831" spans="1:21" s="199" customFormat="1" x14ac:dyDescent="0.25">
      <c r="A831" s="192" t="s">
        <v>7343</v>
      </c>
      <c r="B831" s="203" t="s">
        <v>3330</v>
      </c>
      <c r="C831" s="188" t="s">
        <v>3338</v>
      </c>
      <c r="D831" s="188" t="s">
        <v>8724</v>
      </c>
      <c r="E831" s="188" t="s">
        <v>5280</v>
      </c>
      <c r="F831" s="189" t="s">
        <v>4643</v>
      </c>
      <c r="G831" s="199" t="s">
        <v>8280</v>
      </c>
      <c r="H831" s="199" t="s">
        <v>8638</v>
      </c>
      <c r="I831" s="199">
        <v>1</v>
      </c>
      <c r="J831" s="199">
        <v>1</v>
      </c>
      <c r="K831" s="199">
        <v>1</v>
      </c>
      <c r="L831" s="199">
        <v>50</v>
      </c>
      <c r="M831" s="202">
        <f>TB_Parts_Lists[[#This Row],[Quantity Initial]]+ SUMIF(TB_Transactions[Part number],TB_Parts_Lists[[#This Row],[Part Number]],TB_Transactions[Quantity])</f>
        <v>50</v>
      </c>
      <c r="N831" s="200" t="s">
        <v>4593</v>
      </c>
      <c r="O831" s="234">
        <v>5</v>
      </c>
      <c r="P831" s="199">
        <f>TB_Parts_Lists[[#This Row],[Quantity Initial]]*TB_Parts_Lists[[#This Row],[Unit Price AED]]</f>
        <v>250</v>
      </c>
      <c r="Q831" s="199">
        <f>TB_Parts_Lists[[#This Row],[Quantity Total]]*TB_Parts_Lists[[#This Row],[Unit Price AED]]</f>
        <v>250</v>
      </c>
      <c r="S831" s="199" t="s">
        <v>8675</v>
      </c>
      <c r="T831" s="199" t="s">
        <v>8675</v>
      </c>
      <c r="U831" s="199" t="s">
        <v>8675</v>
      </c>
    </row>
    <row r="832" spans="1:21" s="199" customFormat="1" x14ac:dyDescent="0.25">
      <c r="A832" s="192" t="s">
        <v>7344</v>
      </c>
      <c r="B832" s="203" t="s">
        <v>4605</v>
      </c>
      <c r="C832" s="188" t="s">
        <v>4608</v>
      </c>
      <c r="D832" s="199" t="s">
        <v>8732</v>
      </c>
      <c r="E832" s="188" t="s">
        <v>4119</v>
      </c>
      <c r="F832" s="189" t="s">
        <v>3987</v>
      </c>
      <c r="G832" s="199" t="s">
        <v>8280</v>
      </c>
      <c r="H832" s="199" t="s">
        <v>72</v>
      </c>
      <c r="I832" s="199">
        <v>1</v>
      </c>
      <c r="J832" s="199">
        <v>1</v>
      </c>
      <c r="K832" s="199">
        <v>1</v>
      </c>
      <c r="L832" s="199">
        <v>50</v>
      </c>
      <c r="M832" s="202">
        <f>TB_Parts_Lists[[#This Row],[Quantity Initial]]+ SUMIF(TB_Transactions[Part number],TB_Parts_Lists[[#This Row],[Part Number]],TB_Transactions[Quantity])</f>
        <v>50</v>
      </c>
      <c r="N832" s="200" t="s">
        <v>4593</v>
      </c>
      <c r="O832" s="234">
        <v>5</v>
      </c>
      <c r="P832" s="199">
        <f>TB_Parts_Lists[[#This Row],[Quantity Initial]]*TB_Parts_Lists[[#This Row],[Unit Price AED]]</f>
        <v>250</v>
      </c>
      <c r="Q832" s="199">
        <f>TB_Parts_Lists[[#This Row],[Quantity Total]]*TB_Parts_Lists[[#This Row],[Unit Price AED]]</f>
        <v>250</v>
      </c>
      <c r="S832" s="199" t="s">
        <v>122</v>
      </c>
      <c r="T832" s="199" t="s">
        <v>129</v>
      </c>
      <c r="U832" s="199" t="s">
        <v>262</v>
      </c>
    </row>
    <row r="833" spans="1:21" s="199" customFormat="1" x14ac:dyDescent="0.25">
      <c r="A833" s="192" t="s">
        <v>7345</v>
      </c>
      <c r="B833" s="203" t="s">
        <v>3331</v>
      </c>
      <c r="C833" s="188" t="s">
        <v>7322</v>
      </c>
      <c r="D833" s="188" t="s">
        <v>8724</v>
      </c>
      <c r="E833" s="188" t="s">
        <v>5281</v>
      </c>
      <c r="F833" s="189" t="s">
        <v>3988</v>
      </c>
      <c r="G833" s="199" t="s">
        <v>8280</v>
      </c>
      <c r="H833" s="199" t="s">
        <v>72</v>
      </c>
      <c r="I833" s="199">
        <v>1</v>
      </c>
      <c r="J833" s="199">
        <v>1</v>
      </c>
      <c r="K833" s="199">
        <v>1</v>
      </c>
      <c r="L833" s="199">
        <v>50</v>
      </c>
      <c r="M833" s="202">
        <f>TB_Parts_Lists[[#This Row],[Quantity Initial]]+ SUMIF(TB_Transactions[Part number],TB_Parts_Lists[[#This Row],[Part Number]],TB_Transactions[Quantity])</f>
        <v>50</v>
      </c>
      <c r="N833" s="200" t="s">
        <v>4593</v>
      </c>
      <c r="O833" s="234">
        <v>5</v>
      </c>
      <c r="P833" s="199">
        <f>TB_Parts_Lists[[#This Row],[Quantity Initial]]*TB_Parts_Lists[[#This Row],[Unit Price AED]]</f>
        <v>250</v>
      </c>
      <c r="Q833" s="199">
        <f>TB_Parts_Lists[[#This Row],[Quantity Total]]*TB_Parts_Lists[[#This Row],[Unit Price AED]]</f>
        <v>250</v>
      </c>
      <c r="S833" s="199" t="s">
        <v>8675</v>
      </c>
      <c r="T833" s="199" t="s">
        <v>8675</v>
      </c>
      <c r="U833" s="199" t="s">
        <v>8675</v>
      </c>
    </row>
    <row r="834" spans="1:21" s="199" customFormat="1" x14ac:dyDescent="0.25">
      <c r="A834" s="192" t="s">
        <v>7346</v>
      </c>
      <c r="B834" s="203" t="s">
        <v>3335</v>
      </c>
      <c r="C834" s="199" t="s">
        <v>3353</v>
      </c>
      <c r="D834" s="188" t="s">
        <v>8724</v>
      </c>
      <c r="E834" s="188" t="s">
        <v>5282</v>
      </c>
      <c r="F834" s="189" t="s">
        <v>3989</v>
      </c>
      <c r="G834" s="199" t="s">
        <v>8281</v>
      </c>
      <c r="H834" s="199" t="s">
        <v>8638</v>
      </c>
      <c r="I834" s="199">
        <v>1</v>
      </c>
      <c r="J834" s="199">
        <v>1</v>
      </c>
      <c r="K834" s="199">
        <v>1</v>
      </c>
      <c r="L834" s="199">
        <v>50</v>
      </c>
      <c r="M834" s="202">
        <f>TB_Parts_Lists[[#This Row],[Quantity Initial]]+ SUMIF(TB_Transactions[Part number],TB_Parts_Lists[[#This Row],[Part Number]],TB_Transactions[Quantity])</f>
        <v>50</v>
      </c>
      <c r="N834" s="200" t="s">
        <v>4593</v>
      </c>
      <c r="O834" s="234">
        <v>5</v>
      </c>
      <c r="P834" s="199">
        <f>TB_Parts_Lists[[#This Row],[Quantity Initial]]*TB_Parts_Lists[[#This Row],[Unit Price AED]]</f>
        <v>250</v>
      </c>
      <c r="Q834" s="199">
        <f>TB_Parts_Lists[[#This Row],[Quantity Total]]*TB_Parts_Lists[[#This Row],[Unit Price AED]]</f>
        <v>250</v>
      </c>
      <c r="S834" s="199" t="s">
        <v>118</v>
      </c>
      <c r="T834" s="199" t="s">
        <v>8693</v>
      </c>
      <c r="U834" s="199" t="s">
        <v>119</v>
      </c>
    </row>
    <row r="835" spans="1:21" s="199" customFormat="1" x14ac:dyDescent="0.25">
      <c r="A835" s="192" t="s">
        <v>7347</v>
      </c>
      <c r="B835" s="203" t="s">
        <v>3335</v>
      </c>
      <c r="C835" s="199" t="s">
        <v>3353</v>
      </c>
      <c r="D835" s="199" t="s">
        <v>8732</v>
      </c>
      <c r="E835" s="188" t="s">
        <v>4120</v>
      </c>
      <c r="F835" s="189" t="s">
        <v>2684</v>
      </c>
      <c r="G835" s="199" t="s">
        <v>8281</v>
      </c>
      <c r="H835" s="199" t="s">
        <v>8638</v>
      </c>
      <c r="I835" s="199">
        <v>1</v>
      </c>
      <c r="J835" s="199">
        <v>1</v>
      </c>
      <c r="K835" s="199">
        <v>1</v>
      </c>
      <c r="L835" s="199">
        <v>50</v>
      </c>
      <c r="M835" s="202">
        <f>TB_Parts_Lists[[#This Row],[Quantity Initial]]+ SUMIF(TB_Transactions[Part number],TB_Parts_Lists[[#This Row],[Part Number]],TB_Transactions[Quantity])</f>
        <v>50</v>
      </c>
      <c r="N835" s="200" t="s">
        <v>4593</v>
      </c>
      <c r="O835" s="234">
        <v>5</v>
      </c>
      <c r="P835" s="199">
        <f>TB_Parts_Lists[[#This Row],[Quantity Initial]]*TB_Parts_Lists[[#This Row],[Unit Price AED]]</f>
        <v>250</v>
      </c>
      <c r="Q835" s="199">
        <f>TB_Parts_Lists[[#This Row],[Quantity Total]]*TB_Parts_Lists[[#This Row],[Unit Price AED]]</f>
        <v>250</v>
      </c>
      <c r="S835" s="199" t="s">
        <v>122</v>
      </c>
      <c r="T835" s="199" t="s">
        <v>312</v>
      </c>
      <c r="U835" s="199" t="s">
        <v>311</v>
      </c>
    </row>
    <row r="836" spans="1:21" s="199" customFormat="1" x14ac:dyDescent="0.25">
      <c r="A836" s="192" t="s">
        <v>7348</v>
      </c>
      <c r="B836" s="203" t="s">
        <v>3335</v>
      </c>
      <c r="C836" s="199" t="s">
        <v>3353</v>
      </c>
      <c r="D836" s="199" t="s">
        <v>8732</v>
      </c>
      <c r="E836" s="188" t="s">
        <v>4121</v>
      </c>
      <c r="F836" s="189" t="s">
        <v>3990</v>
      </c>
      <c r="G836" s="199" t="s">
        <v>8281</v>
      </c>
      <c r="H836" s="199" t="s">
        <v>8638</v>
      </c>
      <c r="I836" s="199">
        <v>1</v>
      </c>
      <c r="J836" s="199">
        <v>1</v>
      </c>
      <c r="K836" s="199">
        <v>1</v>
      </c>
      <c r="L836" s="199">
        <v>50</v>
      </c>
      <c r="M836" s="202">
        <f>TB_Parts_Lists[[#This Row],[Quantity Initial]]+ SUMIF(TB_Transactions[Part number],TB_Parts_Lists[[#This Row],[Part Number]],TB_Transactions[Quantity])</f>
        <v>50</v>
      </c>
      <c r="N836" s="200" t="s">
        <v>4593</v>
      </c>
      <c r="O836" s="234">
        <v>5</v>
      </c>
      <c r="P836" s="199">
        <f>TB_Parts_Lists[[#This Row],[Quantity Initial]]*TB_Parts_Lists[[#This Row],[Unit Price AED]]</f>
        <v>250</v>
      </c>
      <c r="Q836" s="199">
        <f>TB_Parts_Lists[[#This Row],[Quantity Total]]*TB_Parts_Lists[[#This Row],[Unit Price AED]]</f>
        <v>250</v>
      </c>
      <c r="S836" s="199" t="s">
        <v>122</v>
      </c>
      <c r="T836" s="199" t="s">
        <v>312</v>
      </c>
      <c r="U836" s="199" t="s">
        <v>311</v>
      </c>
    </row>
    <row r="837" spans="1:21" s="199" customFormat="1" x14ac:dyDescent="0.25">
      <c r="A837" s="192" t="s">
        <v>7349</v>
      </c>
      <c r="B837" s="203" t="s">
        <v>3335</v>
      </c>
      <c r="C837" s="199" t="s">
        <v>3353</v>
      </c>
      <c r="D837" s="199" t="s">
        <v>8723</v>
      </c>
      <c r="E837" s="188" t="s">
        <v>5283</v>
      </c>
      <c r="F837" s="189" t="s">
        <v>3991</v>
      </c>
      <c r="G837" s="199" t="s">
        <v>8281</v>
      </c>
      <c r="H837" s="199" t="s">
        <v>8638</v>
      </c>
      <c r="I837" s="199">
        <v>1</v>
      </c>
      <c r="J837" s="199">
        <v>1</v>
      </c>
      <c r="K837" s="199">
        <v>1</v>
      </c>
      <c r="L837" s="199">
        <v>50</v>
      </c>
      <c r="M837" s="202">
        <f>TB_Parts_Lists[[#This Row],[Quantity Initial]]+ SUMIF(TB_Transactions[Part number],TB_Parts_Lists[[#This Row],[Part Number]],TB_Transactions[Quantity])</f>
        <v>50</v>
      </c>
      <c r="N837" s="200" t="s">
        <v>4593</v>
      </c>
      <c r="O837" s="234">
        <v>5</v>
      </c>
      <c r="P837" s="199">
        <f>TB_Parts_Lists[[#This Row],[Quantity Initial]]*TB_Parts_Lists[[#This Row],[Unit Price AED]]</f>
        <v>250</v>
      </c>
      <c r="Q837" s="199">
        <f>TB_Parts_Lists[[#This Row],[Quantity Total]]*TB_Parts_Lists[[#This Row],[Unit Price AED]]</f>
        <v>250</v>
      </c>
      <c r="S837" s="199" t="s">
        <v>8675</v>
      </c>
      <c r="T837" s="199" t="s">
        <v>8675</v>
      </c>
      <c r="U837" s="199" t="s">
        <v>8675</v>
      </c>
    </row>
    <row r="838" spans="1:21" s="199" customFormat="1" x14ac:dyDescent="0.25">
      <c r="A838" s="192" t="s">
        <v>7350</v>
      </c>
      <c r="B838" s="203" t="s">
        <v>3335</v>
      </c>
      <c r="C838" s="199" t="s">
        <v>3353</v>
      </c>
      <c r="D838" s="199" t="s">
        <v>8732</v>
      </c>
      <c r="E838" s="188" t="s">
        <v>5284</v>
      </c>
      <c r="F838" s="189" t="s">
        <v>3992</v>
      </c>
      <c r="G838" s="199" t="s">
        <v>8281</v>
      </c>
      <c r="H838" s="199" t="s">
        <v>8638</v>
      </c>
      <c r="I838" s="199">
        <v>1</v>
      </c>
      <c r="J838" s="199">
        <v>1</v>
      </c>
      <c r="K838" s="199">
        <v>1</v>
      </c>
      <c r="L838" s="199">
        <v>50</v>
      </c>
      <c r="M838" s="202">
        <f>TB_Parts_Lists[[#This Row],[Quantity Initial]]+ SUMIF(TB_Transactions[Part number],TB_Parts_Lists[[#This Row],[Part Number]],TB_Transactions[Quantity])</f>
        <v>50</v>
      </c>
      <c r="N838" s="200" t="s">
        <v>4593</v>
      </c>
      <c r="O838" s="234">
        <v>5</v>
      </c>
      <c r="P838" s="199">
        <f>TB_Parts_Lists[[#This Row],[Quantity Initial]]*TB_Parts_Lists[[#This Row],[Unit Price AED]]</f>
        <v>250</v>
      </c>
      <c r="Q838" s="199">
        <f>TB_Parts_Lists[[#This Row],[Quantity Total]]*TB_Parts_Lists[[#This Row],[Unit Price AED]]</f>
        <v>250</v>
      </c>
      <c r="S838" s="199" t="s">
        <v>122</v>
      </c>
      <c r="T838" s="199" t="s">
        <v>312</v>
      </c>
      <c r="U838" s="199" t="s">
        <v>311</v>
      </c>
    </row>
    <row r="839" spans="1:21" s="199" customFormat="1" x14ac:dyDescent="0.25">
      <c r="A839" s="192" t="s">
        <v>7351</v>
      </c>
      <c r="B839" s="203" t="s">
        <v>3329</v>
      </c>
      <c r="C839" s="188" t="s">
        <v>6779</v>
      </c>
      <c r="D839" s="188" t="s">
        <v>8724</v>
      </c>
      <c r="E839" s="188" t="s">
        <v>5285</v>
      </c>
      <c r="F839" s="189" t="s">
        <v>6031</v>
      </c>
      <c r="G839" s="199" t="s">
        <v>8281</v>
      </c>
      <c r="H839" s="199" t="s">
        <v>72</v>
      </c>
      <c r="I839" s="199">
        <v>1</v>
      </c>
      <c r="J839" s="199">
        <v>1</v>
      </c>
      <c r="K839" s="199">
        <v>1</v>
      </c>
      <c r="L839" s="199">
        <v>50</v>
      </c>
      <c r="M839" s="202">
        <f>TB_Parts_Lists[[#This Row],[Quantity Initial]]+ SUMIF(TB_Transactions[Part number],TB_Parts_Lists[[#This Row],[Part Number]],TB_Transactions[Quantity])</f>
        <v>50</v>
      </c>
      <c r="N839" s="200" t="s">
        <v>4593</v>
      </c>
      <c r="O839" s="234">
        <v>5</v>
      </c>
      <c r="P839" s="199">
        <f>TB_Parts_Lists[[#This Row],[Quantity Initial]]*TB_Parts_Lists[[#This Row],[Unit Price AED]]</f>
        <v>250</v>
      </c>
      <c r="Q839" s="199">
        <f>TB_Parts_Lists[[#This Row],[Quantity Total]]*TB_Parts_Lists[[#This Row],[Unit Price AED]]</f>
        <v>250</v>
      </c>
      <c r="S839" s="199" t="s">
        <v>122</v>
      </c>
      <c r="T839" s="199" t="s">
        <v>325</v>
      </c>
      <c r="U839" s="199" t="s">
        <v>324</v>
      </c>
    </row>
    <row r="840" spans="1:21" s="199" customFormat="1" x14ac:dyDescent="0.25">
      <c r="A840" s="192" t="s">
        <v>7352</v>
      </c>
      <c r="B840" s="203" t="s">
        <v>3335</v>
      </c>
      <c r="C840" s="199" t="s">
        <v>3353</v>
      </c>
      <c r="D840" s="199" t="s">
        <v>8732</v>
      </c>
      <c r="E840" s="188" t="s">
        <v>5286</v>
      </c>
      <c r="F840" s="189" t="s">
        <v>3993</v>
      </c>
      <c r="G840" s="199" t="s">
        <v>8281</v>
      </c>
      <c r="H840" s="199" t="s">
        <v>8638</v>
      </c>
      <c r="I840" s="199">
        <v>1</v>
      </c>
      <c r="J840" s="199">
        <v>1</v>
      </c>
      <c r="K840" s="199">
        <v>1</v>
      </c>
      <c r="L840" s="199">
        <v>50</v>
      </c>
      <c r="M840" s="202">
        <f>TB_Parts_Lists[[#This Row],[Quantity Initial]]+ SUMIF(TB_Transactions[Part number],TB_Parts_Lists[[#This Row],[Part Number]],TB_Transactions[Quantity])</f>
        <v>50</v>
      </c>
      <c r="N840" s="200" t="s">
        <v>4593</v>
      </c>
      <c r="O840" s="234">
        <v>5</v>
      </c>
      <c r="P840" s="199">
        <f>TB_Parts_Lists[[#This Row],[Quantity Initial]]*TB_Parts_Lists[[#This Row],[Unit Price AED]]</f>
        <v>250</v>
      </c>
      <c r="Q840" s="199">
        <f>TB_Parts_Lists[[#This Row],[Quantity Total]]*TB_Parts_Lists[[#This Row],[Unit Price AED]]</f>
        <v>250</v>
      </c>
      <c r="S840" s="199" t="s">
        <v>122</v>
      </c>
      <c r="T840" s="199" t="s">
        <v>312</v>
      </c>
      <c r="U840" s="199" t="s">
        <v>311</v>
      </c>
    </row>
    <row r="841" spans="1:21" s="199" customFormat="1" x14ac:dyDescent="0.25">
      <c r="A841" s="192" t="s">
        <v>7353</v>
      </c>
      <c r="B841" s="203" t="s">
        <v>3335</v>
      </c>
      <c r="C841" s="199" t="s">
        <v>3353</v>
      </c>
      <c r="D841" s="199" t="s">
        <v>8732</v>
      </c>
      <c r="E841" s="188" t="s">
        <v>5287</v>
      </c>
      <c r="F841" s="189" t="s">
        <v>3994</v>
      </c>
      <c r="G841" s="199" t="s">
        <v>8281</v>
      </c>
      <c r="H841" s="199" t="s">
        <v>8638</v>
      </c>
      <c r="I841" s="199">
        <v>1</v>
      </c>
      <c r="J841" s="199">
        <v>1</v>
      </c>
      <c r="K841" s="199">
        <v>1</v>
      </c>
      <c r="L841" s="199">
        <v>50</v>
      </c>
      <c r="M841" s="202">
        <f>TB_Parts_Lists[[#This Row],[Quantity Initial]]+ SUMIF(TB_Transactions[Part number],TB_Parts_Lists[[#This Row],[Part Number]],TB_Transactions[Quantity])</f>
        <v>50</v>
      </c>
      <c r="N841" s="200" t="s">
        <v>4593</v>
      </c>
      <c r="O841" s="234">
        <v>5</v>
      </c>
      <c r="P841" s="199">
        <f>TB_Parts_Lists[[#This Row],[Quantity Initial]]*TB_Parts_Lists[[#This Row],[Unit Price AED]]</f>
        <v>250</v>
      </c>
      <c r="Q841" s="199">
        <f>TB_Parts_Lists[[#This Row],[Quantity Total]]*TB_Parts_Lists[[#This Row],[Unit Price AED]]</f>
        <v>250</v>
      </c>
      <c r="S841" s="199" t="s">
        <v>122</v>
      </c>
      <c r="T841" s="199" t="s">
        <v>312</v>
      </c>
      <c r="U841" s="199" t="s">
        <v>311</v>
      </c>
    </row>
    <row r="842" spans="1:21" s="199" customFormat="1" x14ac:dyDescent="0.25">
      <c r="A842" s="192" t="s">
        <v>7354</v>
      </c>
      <c r="B842" s="203" t="s">
        <v>3335</v>
      </c>
      <c r="C842" s="199" t="s">
        <v>3353</v>
      </c>
      <c r="D842" s="199" t="s">
        <v>8732</v>
      </c>
      <c r="E842" s="188" t="s">
        <v>5288</v>
      </c>
      <c r="F842" s="189" t="s">
        <v>3995</v>
      </c>
      <c r="G842" s="199" t="s">
        <v>8281</v>
      </c>
      <c r="H842" s="199" t="s">
        <v>8638</v>
      </c>
      <c r="I842" s="199">
        <v>1</v>
      </c>
      <c r="J842" s="199">
        <v>1</v>
      </c>
      <c r="K842" s="199">
        <v>1</v>
      </c>
      <c r="L842" s="199">
        <v>50</v>
      </c>
      <c r="M842" s="202">
        <f>TB_Parts_Lists[[#This Row],[Quantity Initial]]+ SUMIF(TB_Transactions[Part number],TB_Parts_Lists[[#This Row],[Part Number]],TB_Transactions[Quantity])</f>
        <v>50</v>
      </c>
      <c r="N842" s="200" t="s">
        <v>4593</v>
      </c>
      <c r="O842" s="234">
        <v>5</v>
      </c>
      <c r="P842" s="199">
        <f>TB_Parts_Lists[[#This Row],[Quantity Initial]]*TB_Parts_Lists[[#This Row],[Unit Price AED]]</f>
        <v>250</v>
      </c>
      <c r="Q842" s="199">
        <f>TB_Parts_Lists[[#This Row],[Quantity Total]]*TB_Parts_Lists[[#This Row],[Unit Price AED]]</f>
        <v>250</v>
      </c>
      <c r="S842" s="199" t="s">
        <v>122</v>
      </c>
      <c r="T842" s="199" t="s">
        <v>312</v>
      </c>
      <c r="U842" s="199" t="s">
        <v>311</v>
      </c>
    </row>
    <row r="843" spans="1:21" s="199" customFormat="1" x14ac:dyDescent="0.25">
      <c r="A843" s="192" t="s">
        <v>7355</v>
      </c>
      <c r="B843" s="203" t="s">
        <v>3335</v>
      </c>
      <c r="C843" s="199" t="s">
        <v>3353</v>
      </c>
      <c r="D843" s="199" t="s">
        <v>8723</v>
      </c>
      <c r="E843" s="188" t="s">
        <v>5289</v>
      </c>
      <c r="F843" s="189" t="s">
        <v>3996</v>
      </c>
      <c r="G843" s="199" t="s">
        <v>8281</v>
      </c>
      <c r="H843" s="199" t="s">
        <v>8638</v>
      </c>
      <c r="I843" s="199">
        <v>1</v>
      </c>
      <c r="J843" s="199">
        <v>1</v>
      </c>
      <c r="K843" s="199">
        <v>1</v>
      </c>
      <c r="L843" s="199">
        <v>50</v>
      </c>
      <c r="M843" s="202">
        <f>TB_Parts_Lists[[#This Row],[Quantity Initial]]+ SUMIF(TB_Transactions[Part number],TB_Parts_Lists[[#This Row],[Part Number]],TB_Transactions[Quantity])</f>
        <v>50</v>
      </c>
      <c r="N843" s="200" t="s">
        <v>4593</v>
      </c>
      <c r="O843" s="234">
        <v>5</v>
      </c>
      <c r="P843" s="199">
        <f>TB_Parts_Lists[[#This Row],[Quantity Initial]]*TB_Parts_Lists[[#This Row],[Unit Price AED]]</f>
        <v>250</v>
      </c>
      <c r="Q843" s="199">
        <f>TB_Parts_Lists[[#This Row],[Quantity Total]]*TB_Parts_Lists[[#This Row],[Unit Price AED]]</f>
        <v>250</v>
      </c>
      <c r="S843" s="199" t="s">
        <v>8675</v>
      </c>
      <c r="T843" s="199" t="s">
        <v>8675</v>
      </c>
      <c r="U843" s="199" t="s">
        <v>8675</v>
      </c>
    </row>
    <row r="844" spans="1:21" s="199" customFormat="1" x14ac:dyDescent="0.25">
      <c r="A844" s="192" t="s">
        <v>7356</v>
      </c>
      <c r="B844" s="203" t="s">
        <v>3335</v>
      </c>
      <c r="C844" s="199" t="s">
        <v>3353</v>
      </c>
      <c r="D844" s="188" t="s">
        <v>8724</v>
      </c>
      <c r="E844" s="188" t="s">
        <v>5290</v>
      </c>
      <c r="F844" s="189" t="s">
        <v>3997</v>
      </c>
      <c r="G844" s="199" t="s">
        <v>8281</v>
      </c>
      <c r="H844" s="199" t="s">
        <v>8638</v>
      </c>
      <c r="I844" s="199">
        <v>1</v>
      </c>
      <c r="J844" s="199">
        <v>1</v>
      </c>
      <c r="K844" s="199">
        <v>1</v>
      </c>
      <c r="L844" s="199">
        <v>50</v>
      </c>
      <c r="M844" s="202">
        <f>TB_Parts_Lists[[#This Row],[Quantity Initial]]+ SUMIF(TB_Transactions[Part number],TB_Parts_Lists[[#This Row],[Part Number]],TB_Transactions[Quantity])</f>
        <v>50</v>
      </c>
      <c r="N844" s="200" t="s">
        <v>4593</v>
      </c>
      <c r="O844" s="234">
        <v>5</v>
      </c>
      <c r="P844" s="199">
        <f>TB_Parts_Lists[[#This Row],[Quantity Initial]]*TB_Parts_Lists[[#This Row],[Unit Price AED]]</f>
        <v>250</v>
      </c>
      <c r="Q844" s="199">
        <f>TB_Parts_Lists[[#This Row],[Quantity Total]]*TB_Parts_Lists[[#This Row],[Unit Price AED]]</f>
        <v>250</v>
      </c>
      <c r="S844" s="199" t="s">
        <v>122</v>
      </c>
      <c r="T844" s="199" t="s">
        <v>312</v>
      </c>
      <c r="U844" s="199" t="s">
        <v>311</v>
      </c>
    </row>
    <row r="845" spans="1:21" s="199" customFormat="1" x14ac:dyDescent="0.25">
      <c r="A845" s="192" t="s">
        <v>7357</v>
      </c>
      <c r="B845" s="203" t="s">
        <v>3329</v>
      </c>
      <c r="C845" s="188" t="s">
        <v>6779</v>
      </c>
      <c r="D845" s="188" t="s">
        <v>8724</v>
      </c>
      <c r="E845" s="188" t="s">
        <v>5291</v>
      </c>
      <c r="F845" s="189" t="s">
        <v>6032</v>
      </c>
      <c r="G845" s="199" t="s">
        <v>8281</v>
      </c>
      <c r="H845" s="199" t="s">
        <v>72</v>
      </c>
      <c r="I845" s="199">
        <v>1</v>
      </c>
      <c r="J845" s="199">
        <v>1</v>
      </c>
      <c r="K845" s="199">
        <v>1</v>
      </c>
      <c r="L845" s="199">
        <v>50</v>
      </c>
      <c r="M845" s="202">
        <f>TB_Parts_Lists[[#This Row],[Quantity Initial]]+ SUMIF(TB_Transactions[Part number],TB_Parts_Lists[[#This Row],[Part Number]],TB_Transactions[Quantity])</f>
        <v>50</v>
      </c>
      <c r="N845" s="200" t="s">
        <v>4593</v>
      </c>
      <c r="O845" s="234">
        <v>5</v>
      </c>
      <c r="P845" s="199">
        <f>TB_Parts_Lists[[#This Row],[Quantity Initial]]*TB_Parts_Lists[[#This Row],[Unit Price AED]]</f>
        <v>250</v>
      </c>
      <c r="Q845" s="199">
        <f>TB_Parts_Lists[[#This Row],[Quantity Total]]*TB_Parts_Lists[[#This Row],[Unit Price AED]]</f>
        <v>250</v>
      </c>
      <c r="S845" s="199" t="s">
        <v>122</v>
      </c>
      <c r="T845" s="199" t="s">
        <v>325</v>
      </c>
      <c r="U845" s="199" t="s">
        <v>324</v>
      </c>
    </row>
    <row r="846" spans="1:21" s="199" customFormat="1" x14ac:dyDescent="0.25">
      <c r="A846" s="192" t="s">
        <v>7358</v>
      </c>
      <c r="B846" s="203" t="s">
        <v>3335</v>
      </c>
      <c r="C846" s="199" t="s">
        <v>3353</v>
      </c>
      <c r="D846" s="188" t="s">
        <v>8724</v>
      </c>
      <c r="E846" s="188" t="s">
        <v>5292</v>
      </c>
      <c r="F846" s="189" t="s">
        <v>3998</v>
      </c>
      <c r="G846" s="199" t="s">
        <v>8281</v>
      </c>
      <c r="H846" s="199" t="s">
        <v>8638</v>
      </c>
      <c r="I846" s="199">
        <v>1</v>
      </c>
      <c r="J846" s="199">
        <v>1</v>
      </c>
      <c r="K846" s="199">
        <v>1</v>
      </c>
      <c r="L846" s="199">
        <v>50</v>
      </c>
      <c r="M846" s="202">
        <f>TB_Parts_Lists[[#This Row],[Quantity Initial]]+ SUMIF(TB_Transactions[Part number],TB_Parts_Lists[[#This Row],[Part Number]],TB_Transactions[Quantity])</f>
        <v>50</v>
      </c>
      <c r="N846" s="200" t="s">
        <v>4593</v>
      </c>
      <c r="O846" s="234">
        <v>5</v>
      </c>
      <c r="P846" s="199">
        <f>TB_Parts_Lists[[#This Row],[Quantity Initial]]*TB_Parts_Lists[[#This Row],[Unit Price AED]]</f>
        <v>250</v>
      </c>
      <c r="Q846" s="199">
        <f>TB_Parts_Lists[[#This Row],[Quantity Total]]*TB_Parts_Lists[[#This Row],[Unit Price AED]]</f>
        <v>250</v>
      </c>
      <c r="S846" s="199" t="s">
        <v>8675</v>
      </c>
      <c r="T846" s="199" t="s">
        <v>8675</v>
      </c>
      <c r="U846" s="199" t="s">
        <v>8675</v>
      </c>
    </row>
    <row r="847" spans="1:21" s="199" customFormat="1" x14ac:dyDescent="0.25">
      <c r="A847" s="192" t="s">
        <v>7359</v>
      </c>
      <c r="B847" s="203" t="s">
        <v>3335</v>
      </c>
      <c r="C847" s="199" t="s">
        <v>3353</v>
      </c>
      <c r="D847" s="199" t="s">
        <v>8732</v>
      </c>
      <c r="E847" s="188" t="s">
        <v>5293</v>
      </c>
      <c r="F847" s="189" t="s">
        <v>3999</v>
      </c>
      <c r="G847" s="199" t="s">
        <v>8281</v>
      </c>
      <c r="H847" s="199" t="s">
        <v>8638</v>
      </c>
      <c r="I847" s="199">
        <v>1</v>
      </c>
      <c r="J847" s="199">
        <v>1</v>
      </c>
      <c r="K847" s="199">
        <v>1</v>
      </c>
      <c r="L847" s="199">
        <v>50</v>
      </c>
      <c r="M847" s="202">
        <f>TB_Parts_Lists[[#This Row],[Quantity Initial]]+ SUMIF(TB_Transactions[Part number],TB_Parts_Lists[[#This Row],[Part Number]],TB_Transactions[Quantity])</f>
        <v>50</v>
      </c>
      <c r="N847" s="200" t="s">
        <v>4593</v>
      </c>
      <c r="O847" s="234">
        <v>5</v>
      </c>
      <c r="P847" s="199">
        <f>TB_Parts_Lists[[#This Row],[Quantity Initial]]*TB_Parts_Lists[[#This Row],[Unit Price AED]]</f>
        <v>250</v>
      </c>
      <c r="Q847" s="199">
        <f>TB_Parts_Lists[[#This Row],[Quantity Total]]*TB_Parts_Lists[[#This Row],[Unit Price AED]]</f>
        <v>250</v>
      </c>
      <c r="S847" s="199" t="s">
        <v>122</v>
      </c>
      <c r="T847" s="199" t="s">
        <v>312</v>
      </c>
      <c r="U847" s="199" t="s">
        <v>311</v>
      </c>
    </row>
    <row r="848" spans="1:21" s="199" customFormat="1" x14ac:dyDescent="0.25">
      <c r="A848" s="192" t="s">
        <v>7360</v>
      </c>
      <c r="B848" s="203" t="s">
        <v>3335</v>
      </c>
      <c r="C848" s="188" t="s">
        <v>6623</v>
      </c>
      <c r="D848" s="199" t="s">
        <v>8732</v>
      </c>
      <c r="E848" s="188" t="s">
        <v>5294</v>
      </c>
      <c r="F848" s="189" t="s">
        <v>4000</v>
      </c>
      <c r="G848" s="199" t="s">
        <v>8282</v>
      </c>
      <c r="H848" s="199" t="s">
        <v>8638</v>
      </c>
      <c r="I848" s="199">
        <v>1</v>
      </c>
      <c r="J848" s="199">
        <v>1</v>
      </c>
      <c r="K848" s="199">
        <v>1</v>
      </c>
      <c r="L848" s="199">
        <v>50</v>
      </c>
      <c r="M848" s="202">
        <f>TB_Parts_Lists[[#This Row],[Quantity Initial]]+ SUMIF(TB_Transactions[Part number],TB_Parts_Lists[[#This Row],[Part Number]],TB_Transactions[Quantity])</f>
        <v>50</v>
      </c>
      <c r="N848" s="200" t="s">
        <v>4593</v>
      </c>
      <c r="O848" s="234">
        <v>5</v>
      </c>
      <c r="P848" s="199">
        <f>TB_Parts_Lists[[#This Row],[Quantity Initial]]*TB_Parts_Lists[[#This Row],[Unit Price AED]]</f>
        <v>250</v>
      </c>
      <c r="Q848" s="199">
        <f>TB_Parts_Lists[[#This Row],[Quantity Total]]*TB_Parts_Lists[[#This Row],[Unit Price AED]]</f>
        <v>250</v>
      </c>
      <c r="S848" s="199" t="s">
        <v>118</v>
      </c>
      <c r="T848" s="199" t="s">
        <v>8675</v>
      </c>
      <c r="U848" s="199" t="s">
        <v>8675</v>
      </c>
    </row>
    <row r="849" spans="1:21" s="199" customFormat="1" x14ac:dyDescent="0.25">
      <c r="A849" s="192" t="s">
        <v>7361</v>
      </c>
      <c r="B849" s="203" t="s">
        <v>3335</v>
      </c>
      <c r="C849" s="188" t="s">
        <v>6623</v>
      </c>
      <c r="D849" s="199" t="s">
        <v>8732</v>
      </c>
      <c r="E849" s="188" t="s">
        <v>5295</v>
      </c>
      <c r="F849" s="189" t="s">
        <v>4001</v>
      </c>
      <c r="G849" s="199" t="s">
        <v>8282</v>
      </c>
      <c r="H849" s="199" t="s">
        <v>8638</v>
      </c>
      <c r="I849" s="199">
        <v>1</v>
      </c>
      <c r="J849" s="199">
        <v>1</v>
      </c>
      <c r="K849" s="199">
        <v>1</v>
      </c>
      <c r="L849" s="199">
        <v>50</v>
      </c>
      <c r="M849" s="202">
        <f>TB_Parts_Lists[[#This Row],[Quantity Initial]]+ SUMIF(TB_Transactions[Part number],TB_Parts_Lists[[#This Row],[Part Number]],TB_Transactions[Quantity])</f>
        <v>50</v>
      </c>
      <c r="N849" s="200" t="s">
        <v>4593</v>
      </c>
      <c r="O849" s="234">
        <v>5</v>
      </c>
      <c r="P849" s="199">
        <f>TB_Parts_Lists[[#This Row],[Quantity Initial]]*TB_Parts_Lists[[#This Row],[Unit Price AED]]</f>
        <v>250</v>
      </c>
      <c r="Q849" s="199">
        <f>TB_Parts_Lists[[#This Row],[Quantity Total]]*TB_Parts_Lists[[#This Row],[Unit Price AED]]</f>
        <v>250</v>
      </c>
      <c r="S849" s="199" t="s">
        <v>118</v>
      </c>
      <c r="T849" s="199" t="s">
        <v>8675</v>
      </c>
      <c r="U849" s="199" t="s">
        <v>8675</v>
      </c>
    </row>
    <row r="850" spans="1:21" s="199" customFormat="1" x14ac:dyDescent="0.25">
      <c r="A850" s="192" t="s">
        <v>7362</v>
      </c>
      <c r="B850" s="203" t="s">
        <v>3335</v>
      </c>
      <c r="C850" s="188" t="s">
        <v>6623</v>
      </c>
      <c r="D850" s="199" t="s">
        <v>8732</v>
      </c>
      <c r="E850" s="188" t="s">
        <v>4122</v>
      </c>
      <c r="F850" s="189" t="s">
        <v>4002</v>
      </c>
      <c r="G850" s="199" t="s">
        <v>8282</v>
      </c>
      <c r="H850" s="199" t="s">
        <v>51</v>
      </c>
      <c r="I850" s="199">
        <v>1</v>
      </c>
      <c r="J850" s="199">
        <v>1</v>
      </c>
      <c r="K850" s="199">
        <v>1</v>
      </c>
      <c r="L850" s="199">
        <v>50</v>
      </c>
      <c r="M850" s="202">
        <f>TB_Parts_Lists[[#This Row],[Quantity Initial]]+ SUMIF(TB_Transactions[Part number],TB_Parts_Lists[[#This Row],[Part Number]],TB_Transactions[Quantity])</f>
        <v>50</v>
      </c>
      <c r="N850" s="200" t="s">
        <v>4593</v>
      </c>
      <c r="O850" s="234">
        <v>5</v>
      </c>
      <c r="P850" s="199">
        <f>TB_Parts_Lists[[#This Row],[Quantity Initial]]*TB_Parts_Lists[[#This Row],[Unit Price AED]]</f>
        <v>250</v>
      </c>
      <c r="Q850" s="199">
        <f>TB_Parts_Lists[[#This Row],[Quantity Total]]*TB_Parts_Lists[[#This Row],[Unit Price AED]]</f>
        <v>250</v>
      </c>
      <c r="S850" s="199" t="s">
        <v>122</v>
      </c>
      <c r="T850" s="199" t="s">
        <v>312</v>
      </c>
      <c r="U850" s="199" t="s">
        <v>311</v>
      </c>
    </row>
    <row r="851" spans="1:21" s="199" customFormat="1" x14ac:dyDescent="0.25">
      <c r="A851" s="192" t="s">
        <v>7363</v>
      </c>
      <c r="B851" s="203" t="s">
        <v>3335</v>
      </c>
      <c r="C851" s="188" t="s">
        <v>6623</v>
      </c>
      <c r="D851" s="199" t="s">
        <v>8732</v>
      </c>
      <c r="E851" s="188" t="s">
        <v>5296</v>
      </c>
      <c r="F851" s="189" t="s">
        <v>4003</v>
      </c>
      <c r="G851" s="199" t="s">
        <v>8282</v>
      </c>
      <c r="H851" s="199" t="s">
        <v>8638</v>
      </c>
      <c r="I851" s="199">
        <v>1</v>
      </c>
      <c r="J851" s="199">
        <v>1</v>
      </c>
      <c r="K851" s="199">
        <v>1</v>
      </c>
      <c r="L851" s="199">
        <v>50</v>
      </c>
      <c r="M851" s="202">
        <f>TB_Parts_Lists[[#This Row],[Quantity Initial]]+ SUMIF(TB_Transactions[Part number],TB_Parts_Lists[[#This Row],[Part Number]],TB_Transactions[Quantity])</f>
        <v>50</v>
      </c>
      <c r="N851" s="200" t="s">
        <v>4593</v>
      </c>
      <c r="O851" s="234">
        <v>5</v>
      </c>
      <c r="P851" s="199">
        <f>TB_Parts_Lists[[#This Row],[Quantity Initial]]*TB_Parts_Lists[[#This Row],[Unit Price AED]]</f>
        <v>250</v>
      </c>
      <c r="Q851" s="199">
        <f>TB_Parts_Lists[[#This Row],[Quantity Total]]*TB_Parts_Lists[[#This Row],[Unit Price AED]]</f>
        <v>250</v>
      </c>
      <c r="S851" s="199" t="s">
        <v>8675</v>
      </c>
      <c r="T851" s="199" t="s">
        <v>8675</v>
      </c>
      <c r="U851" s="199" t="s">
        <v>8675</v>
      </c>
    </row>
    <row r="852" spans="1:21" s="199" customFormat="1" x14ac:dyDescent="0.25">
      <c r="A852" s="192" t="s">
        <v>7364</v>
      </c>
      <c r="B852" s="203" t="s">
        <v>3329</v>
      </c>
      <c r="C852" s="188" t="s">
        <v>4617</v>
      </c>
      <c r="D852" s="199" t="s">
        <v>8732</v>
      </c>
      <c r="E852" s="188" t="s">
        <v>5297</v>
      </c>
      <c r="F852" s="189" t="s">
        <v>4004</v>
      </c>
      <c r="G852" s="199" t="s">
        <v>8282</v>
      </c>
      <c r="H852" s="199" t="s">
        <v>51</v>
      </c>
      <c r="I852" s="199">
        <v>1</v>
      </c>
      <c r="J852" s="199">
        <v>1</v>
      </c>
      <c r="K852" s="199">
        <v>1</v>
      </c>
      <c r="L852" s="199">
        <v>50</v>
      </c>
      <c r="M852" s="202">
        <f>TB_Parts_Lists[[#This Row],[Quantity Initial]]+ SUMIF(TB_Transactions[Part number],TB_Parts_Lists[[#This Row],[Part Number]],TB_Transactions[Quantity])</f>
        <v>50</v>
      </c>
      <c r="N852" s="200" t="s">
        <v>4593</v>
      </c>
      <c r="O852" s="234">
        <v>5</v>
      </c>
      <c r="P852" s="199">
        <f>TB_Parts_Lists[[#This Row],[Quantity Initial]]*TB_Parts_Lists[[#This Row],[Unit Price AED]]</f>
        <v>250</v>
      </c>
      <c r="Q852" s="199">
        <f>TB_Parts_Lists[[#This Row],[Quantity Total]]*TB_Parts_Lists[[#This Row],[Unit Price AED]]</f>
        <v>250</v>
      </c>
      <c r="S852" s="199" t="s">
        <v>118</v>
      </c>
      <c r="T852" s="199" t="s">
        <v>8675</v>
      </c>
      <c r="U852" s="199" t="s">
        <v>8675</v>
      </c>
    </row>
    <row r="853" spans="1:21" s="199" customFormat="1" x14ac:dyDescent="0.25">
      <c r="A853" s="192" t="s">
        <v>7365</v>
      </c>
      <c r="B853" s="203" t="s">
        <v>3335</v>
      </c>
      <c r="C853" s="188" t="s">
        <v>6623</v>
      </c>
      <c r="D853" s="199" t="s">
        <v>8732</v>
      </c>
      <c r="E853" s="188" t="s">
        <v>3778</v>
      </c>
      <c r="F853" s="189" t="s">
        <v>4005</v>
      </c>
      <c r="G853" s="199" t="s">
        <v>8282</v>
      </c>
      <c r="H853" s="199" t="s">
        <v>8638</v>
      </c>
      <c r="I853" s="199">
        <v>1</v>
      </c>
      <c r="J853" s="199">
        <v>1</v>
      </c>
      <c r="K853" s="199">
        <v>1</v>
      </c>
      <c r="L853" s="199">
        <v>50</v>
      </c>
      <c r="M853" s="202">
        <f>TB_Parts_Lists[[#This Row],[Quantity Initial]]+ SUMIF(TB_Transactions[Part number],TB_Parts_Lists[[#This Row],[Part Number]],TB_Transactions[Quantity])</f>
        <v>50</v>
      </c>
      <c r="N853" s="200" t="s">
        <v>4593</v>
      </c>
      <c r="O853" s="234">
        <v>5</v>
      </c>
      <c r="P853" s="199">
        <f>TB_Parts_Lists[[#This Row],[Quantity Initial]]*TB_Parts_Lists[[#This Row],[Unit Price AED]]</f>
        <v>250</v>
      </c>
      <c r="Q853" s="199">
        <f>TB_Parts_Lists[[#This Row],[Quantity Total]]*TB_Parts_Lists[[#This Row],[Unit Price AED]]</f>
        <v>250</v>
      </c>
      <c r="S853" s="199" t="s">
        <v>8675</v>
      </c>
      <c r="T853" s="199" t="s">
        <v>8675</v>
      </c>
      <c r="U853" s="199" t="s">
        <v>8675</v>
      </c>
    </row>
    <row r="854" spans="1:21" s="199" customFormat="1" x14ac:dyDescent="0.25">
      <c r="A854" s="192" t="s">
        <v>7366</v>
      </c>
      <c r="B854" s="203" t="s">
        <v>3335</v>
      </c>
      <c r="C854" s="188" t="s">
        <v>6623</v>
      </c>
      <c r="D854" s="199" t="s">
        <v>8732</v>
      </c>
      <c r="E854" s="188" t="s">
        <v>5298</v>
      </c>
      <c r="F854" s="189" t="s">
        <v>4006</v>
      </c>
      <c r="G854" s="199" t="s">
        <v>8282</v>
      </c>
      <c r="H854" s="199" t="s">
        <v>8638</v>
      </c>
      <c r="I854" s="199">
        <v>1</v>
      </c>
      <c r="J854" s="199">
        <v>1</v>
      </c>
      <c r="K854" s="199">
        <v>1</v>
      </c>
      <c r="L854" s="199">
        <v>50</v>
      </c>
      <c r="M854" s="202">
        <f>TB_Parts_Lists[[#This Row],[Quantity Initial]]+ SUMIF(TB_Transactions[Part number],TB_Parts_Lists[[#This Row],[Part Number]],TB_Transactions[Quantity])</f>
        <v>50</v>
      </c>
      <c r="N854" s="200" t="s">
        <v>4593</v>
      </c>
      <c r="O854" s="234">
        <v>5</v>
      </c>
      <c r="P854" s="199">
        <f>TB_Parts_Lists[[#This Row],[Quantity Initial]]*TB_Parts_Lists[[#This Row],[Unit Price AED]]</f>
        <v>250</v>
      </c>
      <c r="Q854" s="199">
        <f>TB_Parts_Lists[[#This Row],[Quantity Total]]*TB_Parts_Lists[[#This Row],[Unit Price AED]]</f>
        <v>250</v>
      </c>
      <c r="S854" s="199" t="s">
        <v>122</v>
      </c>
      <c r="T854" s="199" t="s">
        <v>312</v>
      </c>
      <c r="U854" s="199" t="s">
        <v>311</v>
      </c>
    </row>
    <row r="855" spans="1:21" s="199" customFormat="1" x14ac:dyDescent="0.25">
      <c r="A855" s="192" t="s">
        <v>7367</v>
      </c>
      <c r="B855" s="203" t="s">
        <v>3334</v>
      </c>
      <c r="C855" s="199" t="s">
        <v>7287</v>
      </c>
      <c r="D855" s="199" t="s">
        <v>8732</v>
      </c>
      <c r="E855" s="188" t="s">
        <v>4123</v>
      </c>
      <c r="F855" s="189" t="s">
        <v>4007</v>
      </c>
      <c r="G855" s="199" t="s">
        <v>8282</v>
      </c>
      <c r="H855" s="199" t="s">
        <v>74</v>
      </c>
      <c r="I855" s="199">
        <v>1</v>
      </c>
      <c r="J855" s="199">
        <v>1</v>
      </c>
      <c r="K855" s="199">
        <v>1</v>
      </c>
      <c r="L855" s="199">
        <v>50</v>
      </c>
      <c r="M855" s="202">
        <f>TB_Parts_Lists[[#This Row],[Quantity Initial]]+ SUMIF(TB_Transactions[Part number],TB_Parts_Lists[[#This Row],[Part Number]],TB_Transactions[Quantity])</f>
        <v>50</v>
      </c>
      <c r="N855" s="200" t="s">
        <v>4593</v>
      </c>
      <c r="O855" s="234">
        <v>5</v>
      </c>
      <c r="P855" s="199">
        <f>TB_Parts_Lists[[#This Row],[Quantity Initial]]*TB_Parts_Lists[[#This Row],[Unit Price AED]]</f>
        <v>250</v>
      </c>
      <c r="Q855" s="199">
        <f>TB_Parts_Lists[[#This Row],[Quantity Total]]*TB_Parts_Lists[[#This Row],[Unit Price AED]]</f>
        <v>250</v>
      </c>
      <c r="S855" s="199" t="s">
        <v>8675</v>
      </c>
      <c r="T855" s="199" t="s">
        <v>8675</v>
      </c>
      <c r="U855" s="199" t="s">
        <v>8675</v>
      </c>
    </row>
    <row r="856" spans="1:21" s="199" customFormat="1" x14ac:dyDescent="0.25">
      <c r="A856" s="192" t="s">
        <v>7368</v>
      </c>
      <c r="B856" s="203" t="s">
        <v>3335</v>
      </c>
      <c r="C856" s="188" t="s">
        <v>3005</v>
      </c>
      <c r="D856" s="199" t="s">
        <v>8732</v>
      </c>
      <c r="E856" s="188" t="s">
        <v>4124</v>
      </c>
      <c r="F856" s="189" t="s">
        <v>4008</v>
      </c>
      <c r="G856" s="199" t="s">
        <v>8282</v>
      </c>
      <c r="H856" s="199" t="s">
        <v>8638</v>
      </c>
      <c r="I856" s="199">
        <v>1</v>
      </c>
      <c r="J856" s="199">
        <v>1</v>
      </c>
      <c r="K856" s="199">
        <v>1</v>
      </c>
      <c r="L856" s="199">
        <v>50</v>
      </c>
      <c r="M856" s="202">
        <f>TB_Parts_Lists[[#This Row],[Quantity Initial]]+ SUMIF(TB_Transactions[Part number],TB_Parts_Lists[[#This Row],[Part Number]],TB_Transactions[Quantity])</f>
        <v>50</v>
      </c>
      <c r="N856" s="200" t="s">
        <v>4593</v>
      </c>
      <c r="O856" s="234">
        <v>5</v>
      </c>
      <c r="P856" s="199">
        <f>TB_Parts_Lists[[#This Row],[Quantity Initial]]*TB_Parts_Lists[[#This Row],[Unit Price AED]]</f>
        <v>250</v>
      </c>
      <c r="Q856" s="199">
        <f>TB_Parts_Lists[[#This Row],[Quantity Total]]*TB_Parts_Lists[[#This Row],[Unit Price AED]]</f>
        <v>250</v>
      </c>
      <c r="S856" s="199" t="s">
        <v>122</v>
      </c>
      <c r="T856" s="199" t="s">
        <v>312</v>
      </c>
      <c r="U856" s="199" t="s">
        <v>311</v>
      </c>
    </row>
    <row r="857" spans="1:21" s="199" customFormat="1" x14ac:dyDescent="0.25">
      <c r="A857" s="192" t="s">
        <v>7369</v>
      </c>
      <c r="B857" s="203" t="s">
        <v>3335</v>
      </c>
      <c r="C857" s="188" t="s">
        <v>6623</v>
      </c>
      <c r="D857" s="199" t="s">
        <v>8732</v>
      </c>
      <c r="E857" s="188" t="s">
        <v>5299</v>
      </c>
      <c r="F857" s="189" t="s">
        <v>4009</v>
      </c>
      <c r="G857" s="199" t="s">
        <v>8282</v>
      </c>
      <c r="H857" s="199" t="s">
        <v>8638</v>
      </c>
      <c r="I857" s="199">
        <v>1</v>
      </c>
      <c r="J857" s="199">
        <v>1</v>
      </c>
      <c r="K857" s="199">
        <v>1</v>
      </c>
      <c r="L857" s="199">
        <v>50</v>
      </c>
      <c r="M857" s="202">
        <f>TB_Parts_Lists[[#This Row],[Quantity Initial]]+ SUMIF(TB_Transactions[Part number],TB_Parts_Lists[[#This Row],[Part Number]],TB_Transactions[Quantity])</f>
        <v>50</v>
      </c>
      <c r="N857" s="200" t="s">
        <v>4593</v>
      </c>
      <c r="O857" s="234">
        <v>5</v>
      </c>
      <c r="P857" s="199">
        <f>TB_Parts_Lists[[#This Row],[Quantity Initial]]*TB_Parts_Lists[[#This Row],[Unit Price AED]]</f>
        <v>250</v>
      </c>
      <c r="Q857" s="199">
        <f>TB_Parts_Lists[[#This Row],[Quantity Total]]*TB_Parts_Lists[[#This Row],[Unit Price AED]]</f>
        <v>250</v>
      </c>
      <c r="S857" s="199" t="s">
        <v>8675</v>
      </c>
      <c r="T857" s="199" t="s">
        <v>8675</v>
      </c>
      <c r="U857" s="199" t="s">
        <v>8675</v>
      </c>
    </row>
    <row r="858" spans="1:21" s="199" customFormat="1" x14ac:dyDescent="0.25">
      <c r="A858" s="192" t="s">
        <v>7370</v>
      </c>
      <c r="B858" s="203" t="s">
        <v>3335</v>
      </c>
      <c r="C858" s="188" t="s">
        <v>6623</v>
      </c>
      <c r="D858" s="199" t="s">
        <v>8732</v>
      </c>
      <c r="E858" s="188" t="s">
        <v>4125</v>
      </c>
      <c r="F858" s="189" t="s">
        <v>4010</v>
      </c>
      <c r="G858" s="199" t="s">
        <v>8282</v>
      </c>
      <c r="H858" s="199" t="s">
        <v>51</v>
      </c>
      <c r="I858" s="199">
        <v>1</v>
      </c>
      <c r="J858" s="199">
        <v>1</v>
      </c>
      <c r="K858" s="199">
        <v>1</v>
      </c>
      <c r="L858" s="199">
        <v>50</v>
      </c>
      <c r="M858" s="202">
        <f>TB_Parts_Lists[[#This Row],[Quantity Initial]]+ SUMIF(TB_Transactions[Part number],TB_Parts_Lists[[#This Row],[Part Number]],TB_Transactions[Quantity])</f>
        <v>50</v>
      </c>
      <c r="N858" s="200" t="s">
        <v>4593</v>
      </c>
      <c r="O858" s="234">
        <v>5</v>
      </c>
      <c r="P858" s="199">
        <f>TB_Parts_Lists[[#This Row],[Quantity Initial]]*TB_Parts_Lists[[#This Row],[Unit Price AED]]</f>
        <v>250</v>
      </c>
      <c r="Q858" s="199">
        <f>TB_Parts_Lists[[#This Row],[Quantity Total]]*TB_Parts_Lists[[#This Row],[Unit Price AED]]</f>
        <v>250</v>
      </c>
      <c r="S858" s="199" t="s">
        <v>122</v>
      </c>
      <c r="T858" s="199" t="s">
        <v>312</v>
      </c>
      <c r="U858" s="199" t="s">
        <v>311</v>
      </c>
    </row>
    <row r="859" spans="1:21" s="199" customFormat="1" x14ac:dyDescent="0.25">
      <c r="A859" s="192" t="s">
        <v>7371</v>
      </c>
      <c r="B859" s="203" t="s">
        <v>3335</v>
      </c>
      <c r="C859" s="188" t="s">
        <v>6623</v>
      </c>
      <c r="D859" s="199" t="s">
        <v>8732</v>
      </c>
      <c r="E859" s="188" t="s">
        <v>5300</v>
      </c>
      <c r="F859" s="189" t="s">
        <v>4011</v>
      </c>
      <c r="G859" s="199" t="s">
        <v>8282</v>
      </c>
      <c r="H859" s="199" t="s">
        <v>8638</v>
      </c>
      <c r="I859" s="199">
        <v>1</v>
      </c>
      <c r="J859" s="199">
        <v>1</v>
      </c>
      <c r="K859" s="199">
        <v>1</v>
      </c>
      <c r="L859" s="199">
        <v>50</v>
      </c>
      <c r="M859" s="202">
        <f>TB_Parts_Lists[[#This Row],[Quantity Initial]]+ SUMIF(TB_Transactions[Part number],TB_Parts_Lists[[#This Row],[Part Number]],TB_Transactions[Quantity])</f>
        <v>50</v>
      </c>
      <c r="N859" s="200" t="s">
        <v>4593</v>
      </c>
      <c r="O859" s="234">
        <v>5</v>
      </c>
      <c r="P859" s="199">
        <f>TB_Parts_Lists[[#This Row],[Quantity Initial]]*TB_Parts_Lists[[#This Row],[Unit Price AED]]</f>
        <v>250</v>
      </c>
      <c r="Q859" s="199">
        <f>TB_Parts_Lists[[#This Row],[Quantity Total]]*TB_Parts_Lists[[#This Row],[Unit Price AED]]</f>
        <v>250</v>
      </c>
      <c r="S859" s="199" t="s">
        <v>122</v>
      </c>
      <c r="T859" s="199" t="s">
        <v>312</v>
      </c>
      <c r="U859" s="199" t="s">
        <v>311</v>
      </c>
    </row>
    <row r="860" spans="1:21" s="199" customFormat="1" x14ac:dyDescent="0.25">
      <c r="A860" s="192" t="s">
        <v>7372</v>
      </c>
      <c r="B860" s="203" t="s">
        <v>3335</v>
      </c>
      <c r="C860" s="188" t="s">
        <v>6623</v>
      </c>
      <c r="D860" s="199" t="s">
        <v>8732</v>
      </c>
      <c r="E860" s="188" t="s">
        <v>5301</v>
      </c>
      <c r="F860" s="189" t="s">
        <v>4012</v>
      </c>
      <c r="G860" s="199" t="s">
        <v>8282</v>
      </c>
      <c r="H860" s="199" t="s">
        <v>8638</v>
      </c>
      <c r="I860" s="199">
        <v>1</v>
      </c>
      <c r="J860" s="199">
        <v>1</v>
      </c>
      <c r="K860" s="199">
        <v>1</v>
      </c>
      <c r="L860" s="199">
        <v>50</v>
      </c>
      <c r="M860" s="202">
        <f>TB_Parts_Lists[[#This Row],[Quantity Initial]]+ SUMIF(TB_Transactions[Part number],TB_Parts_Lists[[#This Row],[Part Number]],TB_Transactions[Quantity])</f>
        <v>50</v>
      </c>
      <c r="N860" s="200" t="s">
        <v>4593</v>
      </c>
      <c r="O860" s="234">
        <v>5</v>
      </c>
      <c r="P860" s="199">
        <f>TB_Parts_Lists[[#This Row],[Quantity Initial]]*TB_Parts_Lists[[#This Row],[Unit Price AED]]</f>
        <v>250</v>
      </c>
      <c r="Q860" s="199">
        <f>TB_Parts_Lists[[#This Row],[Quantity Total]]*TB_Parts_Lists[[#This Row],[Unit Price AED]]</f>
        <v>250</v>
      </c>
      <c r="S860" s="199" t="s">
        <v>122</v>
      </c>
      <c r="T860" s="199" t="s">
        <v>312</v>
      </c>
      <c r="U860" s="199" t="s">
        <v>311</v>
      </c>
    </row>
    <row r="861" spans="1:21" s="199" customFormat="1" x14ac:dyDescent="0.25">
      <c r="A861" s="192" t="s">
        <v>7373</v>
      </c>
      <c r="B861" s="203" t="s">
        <v>3335</v>
      </c>
      <c r="C861" s="188" t="s">
        <v>6623</v>
      </c>
      <c r="D861" s="199" t="s">
        <v>8732</v>
      </c>
      <c r="E861" s="188" t="s">
        <v>4013</v>
      </c>
      <c r="F861" s="189" t="s">
        <v>4014</v>
      </c>
      <c r="G861" s="199" t="s">
        <v>8282</v>
      </c>
      <c r="H861" s="199" t="s">
        <v>8638</v>
      </c>
      <c r="I861" s="199">
        <v>1</v>
      </c>
      <c r="J861" s="199">
        <v>1</v>
      </c>
      <c r="K861" s="199">
        <v>1</v>
      </c>
      <c r="L861" s="199">
        <v>50</v>
      </c>
      <c r="M861" s="202">
        <f>TB_Parts_Lists[[#This Row],[Quantity Initial]]+ SUMIF(TB_Transactions[Part number],TB_Parts_Lists[[#This Row],[Part Number]],TB_Transactions[Quantity])</f>
        <v>50</v>
      </c>
      <c r="N861" s="200" t="s">
        <v>4593</v>
      </c>
      <c r="O861" s="234">
        <v>5</v>
      </c>
      <c r="P861" s="199">
        <f>TB_Parts_Lists[[#This Row],[Quantity Initial]]*TB_Parts_Lists[[#This Row],[Unit Price AED]]</f>
        <v>250</v>
      </c>
      <c r="Q861" s="199">
        <f>TB_Parts_Lists[[#This Row],[Quantity Total]]*TB_Parts_Lists[[#This Row],[Unit Price AED]]</f>
        <v>250</v>
      </c>
      <c r="S861" s="199" t="s">
        <v>8675</v>
      </c>
      <c r="T861" s="199" t="s">
        <v>8675</v>
      </c>
      <c r="U861" s="199" t="s">
        <v>8675</v>
      </c>
    </row>
    <row r="862" spans="1:21" s="199" customFormat="1" x14ac:dyDescent="0.25">
      <c r="A862" s="192" t="s">
        <v>7374</v>
      </c>
      <c r="B862" s="203" t="s">
        <v>3330</v>
      </c>
      <c r="C862" s="188" t="s">
        <v>3003</v>
      </c>
      <c r="D862" s="199" t="s">
        <v>8732</v>
      </c>
      <c r="E862" s="188" t="s">
        <v>4015</v>
      </c>
      <c r="F862" s="189" t="s">
        <v>4016</v>
      </c>
      <c r="G862" s="199" t="s">
        <v>8282</v>
      </c>
      <c r="H862" s="199" t="s">
        <v>8638</v>
      </c>
      <c r="I862" s="199">
        <v>1</v>
      </c>
      <c r="J862" s="199">
        <v>1</v>
      </c>
      <c r="K862" s="199">
        <v>1</v>
      </c>
      <c r="L862" s="199">
        <v>50</v>
      </c>
      <c r="M862" s="202">
        <f>TB_Parts_Lists[[#This Row],[Quantity Initial]]+ SUMIF(TB_Transactions[Part number],TB_Parts_Lists[[#This Row],[Part Number]],TB_Transactions[Quantity])</f>
        <v>50</v>
      </c>
      <c r="N862" s="200" t="s">
        <v>4593</v>
      </c>
      <c r="O862" s="234">
        <v>5</v>
      </c>
      <c r="P862" s="199">
        <f>TB_Parts_Lists[[#This Row],[Quantity Initial]]*TB_Parts_Lists[[#This Row],[Unit Price AED]]</f>
        <v>250</v>
      </c>
      <c r="Q862" s="199">
        <f>TB_Parts_Lists[[#This Row],[Quantity Total]]*TB_Parts_Lists[[#This Row],[Unit Price AED]]</f>
        <v>250</v>
      </c>
      <c r="S862" s="199" t="s">
        <v>8675</v>
      </c>
      <c r="T862" s="199" t="s">
        <v>8675</v>
      </c>
      <c r="U862" s="199" t="s">
        <v>8675</v>
      </c>
    </row>
    <row r="863" spans="1:21" s="199" customFormat="1" x14ac:dyDescent="0.25">
      <c r="A863" s="192" t="s">
        <v>7375</v>
      </c>
      <c r="B863" s="203" t="s">
        <v>3330</v>
      </c>
      <c r="C863" s="188" t="s">
        <v>6611</v>
      </c>
      <c r="D863" s="199" t="s">
        <v>8732</v>
      </c>
      <c r="E863" s="188" t="s">
        <v>4126</v>
      </c>
      <c r="F863" s="189" t="s">
        <v>4017</v>
      </c>
      <c r="G863" s="199" t="s">
        <v>8282</v>
      </c>
      <c r="H863" s="199" t="s">
        <v>51</v>
      </c>
      <c r="I863" s="199">
        <v>1</v>
      </c>
      <c r="J863" s="199">
        <v>1</v>
      </c>
      <c r="K863" s="199">
        <v>1</v>
      </c>
      <c r="L863" s="199">
        <v>50</v>
      </c>
      <c r="M863" s="202">
        <f>TB_Parts_Lists[[#This Row],[Quantity Initial]]+ SUMIF(TB_Transactions[Part number],TB_Parts_Lists[[#This Row],[Part Number]],TB_Transactions[Quantity])</f>
        <v>50</v>
      </c>
      <c r="N863" s="200" t="s">
        <v>4593</v>
      </c>
      <c r="O863" s="234">
        <v>5</v>
      </c>
      <c r="P863" s="199">
        <f>TB_Parts_Lists[[#This Row],[Quantity Initial]]*TB_Parts_Lists[[#This Row],[Unit Price AED]]</f>
        <v>250</v>
      </c>
      <c r="Q863" s="199">
        <f>TB_Parts_Lists[[#This Row],[Quantity Total]]*TB_Parts_Lists[[#This Row],[Unit Price AED]]</f>
        <v>250</v>
      </c>
      <c r="S863" s="199" t="s">
        <v>122</v>
      </c>
      <c r="T863" s="199" t="s">
        <v>312</v>
      </c>
      <c r="U863" s="199" t="s">
        <v>311</v>
      </c>
    </row>
    <row r="864" spans="1:21" s="199" customFormat="1" x14ac:dyDescent="0.25">
      <c r="A864" s="192" t="s">
        <v>7376</v>
      </c>
      <c r="B864" s="203" t="s">
        <v>3330</v>
      </c>
      <c r="C864" s="188" t="s">
        <v>3338</v>
      </c>
      <c r="D864" s="199" t="s">
        <v>8732</v>
      </c>
      <c r="E864" s="188" t="s">
        <v>4018</v>
      </c>
      <c r="F864" s="189" t="s">
        <v>4019</v>
      </c>
      <c r="G864" s="199" t="s">
        <v>8282</v>
      </c>
      <c r="H864" s="199" t="s">
        <v>8638</v>
      </c>
      <c r="I864" s="199">
        <v>1</v>
      </c>
      <c r="J864" s="199">
        <v>1</v>
      </c>
      <c r="K864" s="199">
        <v>1</v>
      </c>
      <c r="L864" s="199">
        <v>50</v>
      </c>
      <c r="M864" s="202">
        <f>TB_Parts_Lists[[#This Row],[Quantity Initial]]+ SUMIF(TB_Transactions[Part number],TB_Parts_Lists[[#This Row],[Part Number]],TB_Transactions[Quantity])</f>
        <v>50</v>
      </c>
      <c r="N864" s="200" t="s">
        <v>4593</v>
      </c>
      <c r="O864" s="234">
        <v>5</v>
      </c>
      <c r="P864" s="199">
        <f>TB_Parts_Lists[[#This Row],[Quantity Initial]]*TB_Parts_Lists[[#This Row],[Unit Price AED]]</f>
        <v>250</v>
      </c>
      <c r="Q864" s="199">
        <f>TB_Parts_Lists[[#This Row],[Quantity Total]]*TB_Parts_Lists[[#This Row],[Unit Price AED]]</f>
        <v>250</v>
      </c>
      <c r="S864" s="199" t="s">
        <v>8675</v>
      </c>
      <c r="T864" s="199" t="s">
        <v>8675</v>
      </c>
      <c r="U864" s="199" t="s">
        <v>8675</v>
      </c>
    </row>
    <row r="865" spans="1:21" s="199" customFormat="1" x14ac:dyDescent="0.25">
      <c r="A865" s="192" t="s">
        <v>7377</v>
      </c>
      <c r="B865" s="203" t="s">
        <v>3335</v>
      </c>
      <c r="C865" s="188" t="s">
        <v>3005</v>
      </c>
      <c r="D865" s="199" t="s">
        <v>8732</v>
      </c>
      <c r="E865" s="188" t="s">
        <v>5302</v>
      </c>
      <c r="F865" s="189" t="s">
        <v>4020</v>
      </c>
      <c r="G865" s="199" t="s">
        <v>8282</v>
      </c>
      <c r="H865" s="199" t="s">
        <v>74</v>
      </c>
      <c r="I865" s="199">
        <v>1</v>
      </c>
      <c r="J865" s="199">
        <v>1</v>
      </c>
      <c r="K865" s="199">
        <v>1</v>
      </c>
      <c r="L865" s="199">
        <v>50</v>
      </c>
      <c r="M865" s="202">
        <f>TB_Parts_Lists[[#This Row],[Quantity Initial]]+ SUMIF(TB_Transactions[Part number],TB_Parts_Lists[[#This Row],[Part Number]],TB_Transactions[Quantity])</f>
        <v>50</v>
      </c>
      <c r="N865" s="200" t="s">
        <v>4593</v>
      </c>
      <c r="O865" s="234">
        <v>5</v>
      </c>
      <c r="P865" s="199">
        <f>TB_Parts_Lists[[#This Row],[Quantity Initial]]*TB_Parts_Lists[[#This Row],[Unit Price AED]]</f>
        <v>250</v>
      </c>
      <c r="Q865" s="199">
        <f>TB_Parts_Lists[[#This Row],[Quantity Total]]*TB_Parts_Lists[[#This Row],[Unit Price AED]]</f>
        <v>250</v>
      </c>
      <c r="S865" s="199" t="s">
        <v>122</v>
      </c>
      <c r="T865" s="199" t="s">
        <v>312</v>
      </c>
      <c r="U865" s="199" t="s">
        <v>311</v>
      </c>
    </row>
    <row r="866" spans="1:21" s="199" customFormat="1" x14ac:dyDescent="0.25">
      <c r="A866" s="192" t="s">
        <v>7378</v>
      </c>
      <c r="B866" s="203" t="s">
        <v>3335</v>
      </c>
      <c r="C866" s="188" t="s">
        <v>3368</v>
      </c>
      <c r="D866" s="199" t="s">
        <v>8732</v>
      </c>
      <c r="E866" s="188" t="s">
        <v>5303</v>
      </c>
      <c r="F866" s="189" t="s">
        <v>4021</v>
      </c>
      <c r="G866" s="199" t="s">
        <v>8282</v>
      </c>
      <c r="H866" s="199" t="s">
        <v>72</v>
      </c>
      <c r="I866" s="199">
        <v>1</v>
      </c>
      <c r="J866" s="199">
        <v>1</v>
      </c>
      <c r="K866" s="199">
        <v>1</v>
      </c>
      <c r="L866" s="199">
        <v>50</v>
      </c>
      <c r="M866" s="202">
        <f>TB_Parts_Lists[[#This Row],[Quantity Initial]]+ SUMIF(TB_Transactions[Part number],TB_Parts_Lists[[#This Row],[Part Number]],TB_Transactions[Quantity])</f>
        <v>50</v>
      </c>
      <c r="N866" s="200" t="s">
        <v>4593</v>
      </c>
      <c r="O866" s="234">
        <v>5</v>
      </c>
      <c r="P866" s="199">
        <f>TB_Parts_Lists[[#This Row],[Quantity Initial]]*TB_Parts_Lists[[#This Row],[Unit Price AED]]</f>
        <v>250</v>
      </c>
      <c r="Q866" s="199">
        <f>TB_Parts_Lists[[#This Row],[Quantity Total]]*TB_Parts_Lists[[#This Row],[Unit Price AED]]</f>
        <v>250</v>
      </c>
      <c r="S866" s="199" t="s">
        <v>122</v>
      </c>
      <c r="T866" s="199" t="s">
        <v>312</v>
      </c>
      <c r="U866" s="199" t="s">
        <v>311</v>
      </c>
    </row>
    <row r="867" spans="1:21" s="199" customFormat="1" x14ac:dyDescent="0.25">
      <c r="A867" s="192" t="s">
        <v>7379</v>
      </c>
      <c r="B867" s="203" t="s">
        <v>3330</v>
      </c>
      <c r="C867" s="188" t="s">
        <v>6611</v>
      </c>
      <c r="D867" s="199" t="s">
        <v>8732</v>
      </c>
      <c r="E867" s="188" t="s">
        <v>4127</v>
      </c>
      <c r="F867" s="189" t="s">
        <v>4022</v>
      </c>
      <c r="G867" s="199" t="s">
        <v>8282</v>
      </c>
      <c r="H867" s="199" t="s">
        <v>72</v>
      </c>
      <c r="I867" s="199">
        <v>1</v>
      </c>
      <c r="J867" s="199">
        <v>1</v>
      </c>
      <c r="K867" s="199">
        <v>1</v>
      </c>
      <c r="L867" s="199">
        <v>50</v>
      </c>
      <c r="M867" s="202">
        <f>TB_Parts_Lists[[#This Row],[Quantity Initial]]+ SUMIF(TB_Transactions[Part number],TB_Parts_Lists[[#This Row],[Part Number]],TB_Transactions[Quantity])</f>
        <v>50</v>
      </c>
      <c r="N867" s="200" t="s">
        <v>4593</v>
      </c>
      <c r="O867" s="234">
        <v>5</v>
      </c>
      <c r="P867" s="199">
        <f>TB_Parts_Lists[[#This Row],[Quantity Initial]]*TB_Parts_Lists[[#This Row],[Unit Price AED]]</f>
        <v>250</v>
      </c>
      <c r="Q867" s="199">
        <f>TB_Parts_Lists[[#This Row],[Quantity Total]]*TB_Parts_Lists[[#This Row],[Unit Price AED]]</f>
        <v>250</v>
      </c>
      <c r="S867" s="199" t="s">
        <v>122</v>
      </c>
      <c r="T867" s="199" t="s">
        <v>312</v>
      </c>
      <c r="U867" s="199" t="s">
        <v>311</v>
      </c>
    </row>
    <row r="868" spans="1:21" s="199" customFormat="1" x14ac:dyDescent="0.25">
      <c r="A868" s="192" t="s">
        <v>7380</v>
      </c>
      <c r="B868" s="203" t="s">
        <v>3334</v>
      </c>
      <c r="C868" s="188" t="s">
        <v>7287</v>
      </c>
      <c r="D868" s="199" t="s">
        <v>8732</v>
      </c>
      <c r="E868" s="188" t="s">
        <v>5304</v>
      </c>
      <c r="F868" s="189" t="s">
        <v>4023</v>
      </c>
      <c r="G868" s="199" t="s">
        <v>8282</v>
      </c>
      <c r="H868" s="199" t="s">
        <v>74</v>
      </c>
      <c r="I868" s="199">
        <v>1</v>
      </c>
      <c r="J868" s="199">
        <v>1</v>
      </c>
      <c r="K868" s="199">
        <v>1</v>
      </c>
      <c r="L868" s="199">
        <v>50</v>
      </c>
      <c r="M868" s="202">
        <f>TB_Parts_Lists[[#This Row],[Quantity Initial]]+ SUMIF(TB_Transactions[Part number],TB_Parts_Lists[[#This Row],[Part Number]],TB_Transactions[Quantity])</f>
        <v>50</v>
      </c>
      <c r="N868" s="200" t="s">
        <v>4593</v>
      </c>
      <c r="O868" s="234">
        <v>5</v>
      </c>
      <c r="P868" s="199">
        <f>TB_Parts_Lists[[#This Row],[Quantity Initial]]*TB_Parts_Lists[[#This Row],[Unit Price AED]]</f>
        <v>250</v>
      </c>
      <c r="Q868" s="199">
        <f>TB_Parts_Lists[[#This Row],[Quantity Total]]*TB_Parts_Lists[[#This Row],[Unit Price AED]]</f>
        <v>250</v>
      </c>
      <c r="S868" s="199" t="s">
        <v>122</v>
      </c>
      <c r="T868" s="199" t="s">
        <v>8696</v>
      </c>
      <c r="U868" s="199" t="s">
        <v>292</v>
      </c>
    </row>
    <row r="869" spans="1:21" s="199" customFormat="1" x14ac:dyDescent="0.25">
      <c r="A869" s="192" t="s">
        <v>7381</v>
      </c>
      <c r="B869" s="203" t="s">
        <v>3334</v>
      </c>
      <c r="C869" s="188" t="s">
        <v>7287</v>
      </c>
      <c r="D869" s="199" t="s">
        <v>8732</v>
      </c>
      <c r="E869" s="188" t="s">
        <v>5305</v>
      </c>
      <c r="F869" s="189" t="s">
        <v>4024</v>
      </c>
      <c r="G869" s="199" t="s">
        <v>8282</v>
      </c>
      <c r="H869" s="199" t="s">
        <v>51</v>
      </c>
      <c r="I869" s="199">
        <v>1</v>
      </c>
      <c r="J869" s="199">
        <v>1</v>
      </c>
      <c r="K869" s="199">
        <v>1</v>
      </c>
      <c r="L869" s="199">
        <v>50</v>
      </c>
      <c r="M869" s="202">
        <f>TB_Parts_Lists[[#This Row],[Quantity Initial]]+ SUMIF(TB_Transactions[Part number],TB_Parts_Lists[[#This Row],[Part Number]],TB_Transactions[Quantity])</f>
        <v>50</v>
      </c>
      <c r="N869" s="200" t="s">
        <v>4593</v>
      </c>
      <c r="O869" s="234">
        <v>5</v>
      </c>
      <c r="P869" s="199">
        <f>TB_Parts_Lists[[#This Row],[Quantity Initial]]*TB_Parts_Lists[[#This Row],[Unit Price AED]]</f>
        <v>250</v>
      </c>
      <c r="Q869" s="199">
        <f>TB_Parts_Lists[[#This Row],[Quantity Total]]*TB_Parts_Lists[[#This Row],[Unit Price AED]]</f>
        <v>250</v>
      </c>
      <c r="S869" s="199" t="s">
        <v>122</v>
      </c>
      <c r="T869" s="199" t="s">
        <v>189</v>
      </c>
      <c r="U869" s="199" t="s">
        <v>1720</v>
      </c>
    </row>
    <row r="870" spans="1:21" s="199" customFormat="1" x14ac:dyDescent="0.25">
      <c r="A870" s="192" t="s">
        <v>7382</v>
      </c>
      <c r="B870" s="203" t="s">
        <v>3334</v>
      </c>
      <c r="C870" s="188" t="s">
        <v>7287</v>
      </c>
      <c r="D870" s="199" t="s">
        <v>8732</v>
      </c>
      <c r="E870" s="188" t="s">
        <v>5306</v>
      </c>
      <c r="F870" s="189" t="s">
        <v>4644</v>
      </c>
      <c r="G870" s="199" t="s">
        <v>8282</v>
      </c>
      <c r="H870" s="199" t="s">
        <v>51</v>
      </c>
      <c r="I870" s="199">
        <v>1</v>
      </c>
      <c r="J870" s="199">
        <v>1</v>
      </c>
      <c r="K870" s="199">
        <v>1</v>
      </c>
      <c r="L870" s="199">
        <v>50</v>
      </c>
      <c r="M870" s="202">
        <f>TB_Parts_Lists[[#This Row],[Quantity Initial]]+ SUMIF(TB_Transactions[Part number],TB_Parts_Lists[[#This Row],[Part Number]],TB_Transactions[Quantity])</f>
        <v>50</v>
      </c>
      <c r="N870" s="200" t="s">
        <v>4593</v>
      </c>
      <c r="O870" s="234">
        <v>5</v>
      </c>
      <c r="P870" s="199">
        <f>TB_Parts_Lists[[#This Row],[Quantity Initial]]*TB_Parts_Lists[[#This Row],[Unit Price AED]]</f>
        <v>250</v>
      </c>
      <c r="Q870" s="199">
        <f>TB_Parts_Lists[[#This Row],[Quantity Total]]*TB_Parts_Lists[[#This Row],[Unit Price AED]]</f>
        <v>250</v>
      </c>
      <c r="S870" s="199" t="s">
        <v>122</v>
      </c>
      <c r="T870" s="199" t="s">
        <v>8696</v>
      </c>
      <c r="U870" s="199" t="s">
        <v>292</v>
      </c>
    </row>
    <row r="871" spans="1:21" s="199" customFormat="1" x14ac:dyDescent="0.25">
      <c r="A871" s="192" t="s">
        <v>7383</v>
      </c>
      <c r="B871" s="203" t="s">
        <v>3334</v>
      </c>
      <c r="C871" s="188" t="s">
        <v>7287</v>
      </c>
      <c r="D871" s="199" t="s">
        <v>8724</v>
      </c>
      <c r="E871" s="188" t="s">
        <v>5307</v>
      </c>
      <c r="F871" s="189" t="s">
        <v>4025</v>
      </c>
      <c r="G871" s="199" t="s">
        <v>8283</v>
      </c>
      <c r="H871" s="199" t="s">
        <v>8638</v>
      </c>
      <c r="I871" s="199">
        <v>1</v>
      </c>
      <c r="J871" s="199">
        <v>1</v>
      </c>
      <c r="K871" s="199">
        <v>1</v>
      </c>
      <c r="L871" s="199">
        <v>50</v>
      </c>
      <c r="M871" s="202">
        <f>TB_Parts_Lists[[#This Row],[Quantity Initial]]+ SUMIF(TB_Transactions[Part number],TB_Parts_Lists[[#This Row],[Part Number]],TB_Transactions[Quantity])</f>
        <v>50</v>
      </c>
      <c r="N871" s="200" t="s">
        <v>4593</v>
      </c>
      <c r="O871" s="234">
        <v>5</v>
      </c>
      <c r="P871" s="199">
        <f>TB_Parts_Lists[[#This Row],[Quantity Initial]]*TB_Parts_Lists[[#This Row],[Unit Price AED]]</f>
        <v>250</v>
      </c>
      <c r="Q871" s="199">
        <f>TB_Parts_Lists[[#This Row],[Quantity Total]]*TB_Parts_Lists[[#This Row],[Unit Price AED]]</f>
        <v>250</v>
      </c>
      <c r="S871" s="199" t="s">
        <v>118</v>
      </c>
      <c r="T871" s="199" t="s">
        <v>8691</v>
      </c>
      <c r="U871" s="199" t="s">
        <v>8716</v>
      </c>
    </row>
    <row r="872" spans="1:21" s="199" customFormat="1" x14ac:dyDescent="0.25">
      <c r="A872" s="192" t="s">
        <v>7384</v>
      </c>
      <c r="B872" s="203" t="s">
        <v>3332</v>
      </c>
      <c r="C872" s="188" t="s">
        <v>3357</v>
      </c>
      <c r="D872" s="199" t="s">
        <v>8724</v>
      </c>
      <c r="E872" s="188" t="s">
        <v>4128</v>
      </c>
      <c r="F872" s="189" t="s">
        <v>4026</v>
      </c>
      <c r="G872" s="199" t="s">
        <v>8283</v>
      </c>
      <c r="H872" s="199" t="s">
        <v>8638</v>
      </c>
      <c r="I872" s="199">
        <v>1</v>
      </c>
      <c r="J872" s="199">
        <v>1</v>
      </c>
      <c r="K872" s="199">
        <v>1</v>
      </c>
      <c r="L872" s="199">
        <v>50</v>
      </c>
      <c r="M872" s="202">
        <f>TB_Parts_Lists[[#This Row],[Quantity Initial]]+ SUMIF(TB_Transactions[Part number],TB_Parts_Lists[[#This Row],[Part Number]],TB_Transactions[Quantity])</f>
        <v>50</v>
      </c>
      <c r="N872" s="200" t="s">
        <v>4593</v>
      </c>
      <c r="O872" s="234">
        <v>5</v>
      </c>
      <c r="P872" s="199">
        <f>TB_Parts_Lists[[#This Row],[Quantity Initial]]*TB_Parts_Lists[[#This Row],[Unit Price AED]]</f>
        <v>250</v>
      </c>
      <c r="Q872" s="199">
        <f>TB_Parts_Lists[[#This Row],[Quantity Total]]*TB_Parts_Lists[[#This Row],[Unit Price AED]]</f>
        <v>250</v>
      </c>
      <c r="S872" s="199" t="s">
        <v>118</v>
      </c>
      <c r="T872" s="199" t="s">
        <v>8691</v>
      </c>
      <c r="U872" s="199" t="s">
        <v>8716</v>
      </c>
    </row>
    <row r="873" spans="1:21" s="199" customFormat="1" x14ac:dyDescent="0.25">
      <c r="A873" s="192" t="s">
        <v>7385</v>
      </c>
      <c r="B873" s="203" t="s">
        <v>3332</v>
      </c>
      <c r="C873" s="188" t="s">
        <v>3357</v>
      </c>
      <c r="D873" s="199" t="s">
        <v>8724</v>
      </c>
      <c r="E873" s="188" t="s">
        <v>5308</v>
      </c>
      <c r="F873" s="189" t="s">
        <v>4027</v>
      </c>
      <c r="G873" s="199" t="s">
        <v>8283</v>
      </c>
      <c r="H873" s="199" t="s">
        <v>51</v>
      </c>
      <c r="I873" s="199">
        <v>1</v>
      </c>
      <c r="J873" s="199">
        <v>1</v>
      </c>
      <c r="K873" s="199">
        <v>1</v>
      </c>
      <c r="L873" s="199">
        <v>50</v>
      </c>
      <c r="M873" s="202">
        <f>TB_Parts_Lists[[#This Row],[Quantity Initial]]+ SUMIF(TB_Transactions[Part number],TB_Parts_Lists[[#This Row],[Part Number]],TB_Transactions[Quantity])</f>
        <v>50</v>
      </c>
      <c r="N873" s="200" t="s">
        <v>4593</v>
      </c>
      <c r="O873" s="234">
        <v>5</v>
      </c>
      <c r="P873" s="199">
        <f>TB_Parts_Lists[[#This Row],[Quantity Initial]]*TB_Parts_Lists[[#This Row],[Unit Price AED]]</f>
        <v>250</v>
      </c>
      <c r="Q873" s="199">
        <f>TB_Parts_Lists[[#This Row],[Quantity Total]]*TB_Parts_Lists[[#This Row],[Unit Price AED]]</f>
        <v>250</v>
      </c>
      <c r="S873" s="199" t="s">
        <v>118</v>
      </c>
      <c r="T873" s="199" t="s">
        <v>8691</v>
      </c>
      <c r="U873" s="199" t="s">
        <v>8716</v>
      </c>
    </row>
    <row r="874" spans="1:21" s="199" customFormat="1" x14ac:dyDescent="0.25">
      <c r="A874" s="192" t="s">
        <v>7386</v>
      </c>
      <c r="B874" s="203" t="s">
        <v>3332</v>
      </c>
      <c r="C874" s="188" t="s">
        <v>3357</v>
      </c>
      <c r="D874" s="199" t="s">
        <v>8724</v>
      </c>
      <c r="E874" s="188" t="s">
        <v>5309</v>
      </c>
      <c r="F874" s="189" t="s">
        <v>4028</v>
      </c>
      <c r="G874" s="199" t="s">
        <v>8283</v>
      </c>
      <c r="H874" s="199" t="s">
        <v>51</v>
      </c>
      <c r="I874" s="199">
        <v>1</v>
      </c>
      <c r="J874" s="199">
        <v>1</v>
      </c>
      <c r="K874" s="199">
        <v>1</v>
      </c>
      <c r="L874" s="199">
        <v>50</v>
      </c>
      <c r="M874" s="202">
        <f>TB_Parts_Lists[[#This Row],[Quantity Initial]]+ SUMIF(TB_Transactions[Part number],TB_Parts_Lists[[#This Row],[Part Number]],TB_Transactions[Quantity])</f>
        <v>50</v>
      </c>
      <c r="N874" s="200" t="s">
        <v>4593</v>
      </c>
      <c r="O874" s="234">
        <v>5</v>
      </c>
      <c r="P874" s="199">
        <f>TB_Parts_Lists[[#This Row],[Quantity Initial]]*TB_Parts_Lists[[#This Row],[Unit Price AED]]</f>
        <v>250</v>
      </c>
      <c r="Q874" s="199">
        <f>TB_Parts_Lists[[#This Row],[Quantity Total]]*TB_Parts_Lists[[#This Row],[Unit Price AED]]</f>
        <v>250</v>
      </c>
      <c r="S874" s="199" t="s">
        <v>118</v>
      </c>
      <c r="T874" s="199" t="s">
        <v>8691</v>
      </c>
      <c r="U874" s="199" t="s">
        <v>8716</v>
      </c>
    </row>
    <row r="875" spans="1:21" s="199" customFormat="1" x14ac:dyDescent="0.25">
      <c r="A875" s="192" t="s">
        <v>7387</v>
      </c>
      <c r="B875" s="203" t="s">
        <v>3332</v>
      </c>
      <c r="C875" s="188" t="s">
        <v>3357</v>
      </c>
      <c r="D875" s="199" t="s">
        <v>8724</v>
      </c>
      <c r="E875" s="188" t="s">
        <v>5310</v>
      </c>
      <c r="F875" s="189" t="s">
        <v>4029</v>
      </c>
      <c r="G875" s="199" t="s">
        <v>8283</v>
      </c>
      <c r="H875" s="199" t="s">
        <v>8638</v>
      </c>
      <c r="I875" s="199">
        <v>1</v>
      </c>
      <c r="J875" s="199">
        <v>1</v>
      </c>
      <c r="K875" s="199">
        <v>1</v>
      </c>
      <c r="L875" s="199">
        <v>50</v>
      </c>
      <c r="M875" s="202">
        <f>TB_Parts_Lists[[#This Row],[Quantity Initial]]+ SUMIF(TB_Transactions[Part number],TB_Parts_Lists[[#This Row],[Part Number]],TB_Transactions[Quantity])</f>
        <v>50</v>
      </c>
      <c r="N875" s="200" t="s">
        <v>4593</v>
      </c>
      <c r="O875" s="234">
        <v>5</v>
      </c>
      <c r="P875" s="199">
        <f>TB_Parts_Lists[[#This Row],[Quantity Initial]]*TB_Parts_Lists[[#This Row],[Unit Price AED]]</f>
        <v>250</v>
      </c>
      <c r="Q875" s="199">
        <f>TB_Parts_Lists[[#This Row],[Quantity Total]]*TB_Parts_Lists[[#This Row],[Unit Price AED]]</f>
        <v>250</v>
      </c>
      <c r="S875" s="199" t="s">
        <v>118</v>
      </c>
      <c r="T875" s="199" t="s">
        <v>8691</v>
      </c>
      <c r="U875" s="199" t="s">
        <v>8716</v>
      </c>
    </row>
    <row r="876" spans="1:21" s="199" customFormat="1" x14ac:dyDescent="0.25">
      <c r="A876" s="192" t="s">
        <v>7388</v>
      </c>
      <c r="B876" s="203" t="s">
        <v>3332</v>
      </c>
      <c r="C876" s="188" t="s">
        <v>3357</v>
      </c>
      <c r="D876" s="199" t="s">
        <v>8724</v>
      </c>
      <c r="E876" s="188" t="s">
        <v>5311</v>
      </c>
      <c r="F876" s="189" t="s">
        <v>4030</v>
      </c>
      <c r="G876" s="199" t="s">
        <v>8283</v>
      </c>
      <c r="H876" s="199" t="s">
        <v>8638</v>
      </c>
      <c r="I876" s="199">
        <v>1</v>
      </c>
      <c r="J876" s="199">
        <v>1</v>
      </c>
      <c r="K876" s="199">
        <v>1</v>
      </c>
      <c r="L876" s="199">
        <v>50</v>
      </c>
      <c r="M876" s="202">
        <f>TB_Parts_Lists[[#This Row],[Quantity Initial]]+ SUMIF(TB_Transactions[Part number],TB_Parts_Lists[[#This Row],[Part Number]],TB_Transactions[Quantity])</f>
        <v>50</v>
      </c>
      <c r="N876" s="200" t="s">
        <v>4593</v>
      </c>
      <c r="O876" s="234">
        <v>5</v>
      </c>
      <c r="P876" s="199">
        <f>TB_Parts_Lists[[#This Row],[Quantity Initial]]*TB_Parts_Lists[[#This Row],[Unit Price AED]]</f>
        <v>250</v>
      </c>
      <c r="Q876" s="199">
        <f>TB_Parts_Lists[[#This Row],[Quantity Total]]*TB_Parts_Lists[[#This Row],[Unit Price AED]]</f>
        <v>250</v>
      </c>
      <c r="S876" s="199" t="s">
        <v>118</v>
      </c>
      <c r="T876" s="199" t="s">
        <v>8691</v>
      </c>
      <c r="U876" s="199" t="s">
        <v>8716</v>
      </c>
    </row>
    <row r="877" spans="1:21" s="199" customFormat="1" x14ac:dyDescent="0.25">
      <c r="A877" s="192" t="s">
        <v>7389</v>
      </c>
      <c r="B877" s="203" t="s">
        <v>3332</v>
      </c>
      <c r="C877" s="188" t="s">
        <v>3356</v>
      </c>
      <c r="D877" s="199" t="s">
        <v>8724</v>
      </c>
      <c r="E877" s="188" t="s">
        <v>5312</v>
      </c>
      <c r="F877" s="189" t="s">
        <v>4031</v>
      </c>
      <c r="G877" s="199" t="s">
        <v>8283</v>
      </c>
      <c r="H877" s="199" t="s">
        <v>51</v>
      </c>
      <c r="I877" s="199">
        <v>1</v>
      </c>
      <c r="J877" s="199">
        <v>1</v>
      </c>
      <c r="K877" s="199">
        <v>1</v>
      </c>
      <c r="L877" s="199">
        <v>50</v>
      </c>
      <c r="M877" s="202">
        <f>TB_Parts_Lists[[#This Row],[Quantity Initial]]+ SUMIF(TB_Transactions[Part number],TB_Parts_Lists[[#This Row],[Part Number]],TB_Transactions[Quantity])</f>
        <v>50</v>
      </c>
      <c r="N877" s="200" t="s">
        <v>4593</v>
      </c>
      <c r="O877" s="234">
        <v>5</v>
      </c>
      <c r="P877" s="199">
        <f>TB_Parts_Lists[[#This Row],[Quantity Initial]]*TB_Parts_Lists[[#This Row],[Unit Price AED]]</f>
        <v>250</v>
      </c>
      <c r="Q877" s="199">
        <f>TB_Parts_Lists[[#This Row],[Quantity Total]]*TB_Parts_Lists[[#This Row],[Unit Price AED]]</f>
        <v>250</v>
      </c>
      <c r="S877" s="199" t="s">
        <v>118</v>
      </c>
      <c r="T877" s="199" t="s">
        <v>8691</v>
      </c>
      <c r="U877" s="199" t="s">
        <v>8716</v>
      </c>
    </row>
    <row r="878" spans="1:21" s="199" customFormat="1" x14ac:dyDescent="0.25">
      <c r="A878" s="192" t="s">
        <v>7390</v>
      </c>
      <c r="B878" s="203" t="s">
        <v>3332</v>
      </c>
      <c r="C878" s="188" t="s">
        <v>3355</v>
      </c>
      <c r="D878" s="199" t="s">
        <v>8724</v>
      </c>
      <c r="E878" s="188" t="s">
        <v>5313</v>
      </c>
      <c r="F878" s="189" t="s">
        <v>4032</v>
      </c>
      <c r="G878" s="199" t="s">
        <v>8283</v>
      </c>
      <c r="H878" s="199" t="s">
        <v>8638</v>
      </c>
      <c r="I878" s="199">
        <v>1</v>
      </c>
      <c r="J878" s="199">
        <v>1</v>
      </c>
      <c r="K878" s="199">
        <v>1</v>
      </c>
      <c r="L878" s="199">
        <v>50</v>
      </c>
      <c r="M878" s="202">
        <f>TB_Parts_Lists[[#This Row],[Quantity Initial]]+ SUMIF(TB_Transactions[Part number],TB_Parts_Lists[[#This Row],[Part Number]],TB_Transactions[Quantity])</f>
        <v>50</v>
      </c>
      <c r="N878" s="200" t="s">
        <v>4593</v>
      </c>
      <c r="O878" s="234">
        <v>5</v>
      </c>
      <c r="P878" s="199">
        <f>TB_Parts_Lists[[#This Row],[Quantity Initial]]*TB_Parts_Lists[[#This Row],[Unit Price AED]]</f>
        <v>250</v>
      </c>
      <c r="Q878" s="199">
        <f>TB_Parts_Lists[[#This Row],[Quantity Total]]*TB_Parts_Lists[[#This Row],[Unit Price AED]]</f>
        <v>250</v>
      </c>
      <c r="S878" s="199" t="s">
        <v>118</v>
      </c>
      <c r="T878" s="199" t="s">
        <v>8691</v>
      </c>
      <c r="U878" s="199" t="s">
        <v>8716</v>
      </c>
    </row>
    <row r="879" spans="1:21" s="199" customFormat="1" x14ac:dyDescent="0.25">
      <c r="A879" s="192" t="s">
        <v>7391</v>
      </c>
      <c r="B879" s="203" t="s">
        <v>3332</v>
      </c>
      <c r="C879" s="188" t="s">
        <v>3357</v>
      </c>
      <c r="D879" s="199" t="s">
        <v>8724</v>
      </c>
      <c r="E879" s="188" t="s">
        <v>5314</v>
      </c>
      <c r="F879" s="189" t="s">
        <v>4033</v>
      </c>
      <c r="G879" s="199" t="s">
        <v>8283</v>
      </c>
      <c r="H879" s="199" t="s">
        <v>51</v>
      </c>
      <c r="I879" s="199">
        <v>1</v>
      </c>
      <c r="J879" s="199">
        <v>1</v>
      </c>
      <c r="K879" s="199">
        <v>1</v>
      </c>
      <c r="L879" s="199">
        <v>50</v>
      </c>
      <c r="M879" s="202">
        <f>TB_Parts_Lists[[#This Row],[Quantity Initial]]+ SUMIF(TB_Transactions[Part number],TB_Parts_Lists[[#This Row],[Part Number]],TB_Transactions[Quantity])</f>
        <v>50</v>
      </c>
      <c r="N879" s="200" t="s">
        <v>4593</v>
      </c>
      <c r="O879" s="234">
        <v>5</v>
      </c>
      <c r="P879" s="199">
        <f>TB_Parts_Lists[[#This Row],[Quantity Initial]]*TB_Parts_Lists[[#This Row],[Unit Price AED]]</f>
        <v>250</v>
      </c>
      <c r="Q879" s="199">
        <f>TB_Parts_Lists[[#This Row],[Quantity Total]]*TB_Parts_Lists[[#This Row],[Unit Price AED]]</f>
        <v>250</v>
      </c>
      <c r="S879" s="199" t="s">
        <v>8675</v>
      </c>
      <c r="T879" s="199" t="s">
        <v>8675</v>
      </c>
      <c r="U879" s="199" t="s">
        <v>8675</v>
      </c>
    </row>
    <row r="880" spans="1:21" s="199" customFormat="1" x14ac:dyDescent="0.25">
      <c r="A880" s="192" t="s">
        <v>7392</v>
      </c>
      <c r="B880" s="203" t="s">
        <v>3332</v>
      </c>
      <c r="C880" s="188" t="s">
        <v>3357</v>
      </c>
      <c r="D880" s="199" t="s">
        <v>8732</v>
      </c>
      <c r="E880" s="188" t="s">
        <v>5315</v>
      </c>
      <c r="F880" s="189" t="s">
        <v>4034</v>
      </c>
      <c r="G880" s="199" t="s">
        <v>8283</v>
      </c>
      <c r="H880" s="199" t="s">
        <v>74</v>
      </c>
      <c r="I880" s="199">
        <v>1</v>
      </c>
      <c r="J880" s="199">
        <v>1</v>
      </c>
      <c r="K880" s="199">
        <v>1</v>
      </c>
      <c r="L880" s="199">
        <v>50</v>
      </c>
      <c r="M880" s="202">
        <f>TB_Parts_Lists[[#This Row],[Quantity Initial]]+ SUMIF(TB_Transactions[Part number],TB_Parts_Lists[[#This Row],[Part Number]],TB_Transactions[Quantity])</f>
        <v>50</v>
      </c>
      <c r="N880" s="200" t="s">
        <v>4593</v>
      </c>
      <c r="O880" s="234">
        <v>5</v>
      </c>
      <c r="P880" s="199">
        <f>TB_Parts_Lists[[#This Row],[Quantity Initial]]*TB_Parts_Lists[[#This Row],[Unit Price AED]]</f>
        <v>250</v>
      </c>
      <c r="Q880" s="199">
        <f>TB_Parts_Lists[[#This Row],[Quantity Total]]*TB_Parts_Lists[[#This Row],[Unit Price AED]]</f>
        <v>250</v>
      </c>
      <c r="S880" s="199" t="s">
        <v>118</v>
      </c>
      <c r="T880" s="199" t="s">
        <v>8691</v>
      </c>
      <c r="U880" s="199" t="s">
        <v>8716</v>
      </c>
    </row>
    <row r="881" spans="1:21" s="199" customFormat="1" x14ac:dyDescent="0.25">
      <c r="A881" s="192" t="s">
        <v>7393</v>
      </c>
      <c r="B881" s="203" t="s">
        <v>3332</v>
      </c>
      <c r="C881" s="188" t="s">
        <v>3356</v>
      </c>
      <c r="D881" s="199" t="s">
        <v>8724</v>
      </c>
      <c r="E881" s="188" t="s">
        <v>5316</v>
      </c>
      <c r="F881" s="189" t="s">
        <v>4035</v>
      </c>
      <c r="G881" s="199" t="s">
        <v>8283</v>
      </c>
      <c r="H881" s="199" t="s">
        <v>51</v>
      </c>
      <c r="I881" s="199">
        <v>1</v>
      </c>
      <c r="J881" s="199">
        <v>1</v>
      </c>
      <c r="K881" s="199">
        <v>1</v>
      </c>
      <c r="L881" s="199">
        <v>50</v>
      </c>
      <c r="M881" s="202">
        <f>TB_Parts_Lists[[#This Row],[Quantity Initial]]+ SUMIF(TB_Transactions[Part number],TB_Parts_Lists[[#This Row],[Part Number]],TB_Transactions[Quantity])</f>
        <v>50</v>
      </c>
      <c r="N881" s="200" t="s">
        <v>4593</v>
      </c>
      <c r="O881" s="234">
        <v>5</v>
      </c>
      <c r="P881" s="199">
        <f>TB_Parts_Lists[[#This Row],[Quantity Initial]]*TB_Parts_Lists[[#This Row],[Unit Price AED]]</f>
        <v>250</v>
      </c>
      <c r="Q881" s="199">
        <f>TB_Parts_Lists[[#This Row],[Quantity Total]]*TB_Parts_Lists[[#This Row],[Unit Price AED]]</f>
        <v>250</v>
      </c>
      <c r="S881" s="199" t="s">
        <v>118</v>
      </c>
      <c r="T881" s="199" t="s">
        <v>8691</v>
      </c>
      <c r="U881" s="199" t="s">
        <v>8716</v>
      </c>
    </row>
    <row r="882" spans="1:21" s="199" customFormat="1" x14ac:dyDescent="0.25">
      <c r="A882" s="192" t="s">
        <v>7394</v>
      </c>
      <c r="B882" s="203" t="s">
        <v>3332</v>
      </c>
      <c r="C882" s="188" t="s">
        <v>3357</v>
      </c>
      <c r="D882" s="199" t="s">
        <v>8732</v>
      </c>
      <c r="E882" s="188" t="s">
        <v>5317</v>
      </c>
      <c r="F882" s="189" t="s">
        <v>4036</v>
      </c>
      <c r="G882" s="199" t="s">
        <v>8283</v>
      </c>
      <c r="H882" s="199" t="s">
        <v>51</v>
      </c>
      <c r="I882" s="199">
        <v>1</v>
      </c>
      <c r="J882" s="199">
        <v>1</v>
      </c>
      <c r="K882" s="199">
        <v>1</v>
      </c>
      <c r="L882" s="199">
        <v>50</v>
      </c>
      <c r="M882" s="202">
        <f>TB_Parts_Lists[[#This Row],[Quantity Initial]]+ SUMIF(TB_Transactions[Part number],TB_Parts_Lists[[#This Row],[Part Number]],TB_Transactions[Quantity])</f>
        <v>50</v>
      </c>
      <c r="N882" s="200" t="s">
        <v>4593</v>
      </c>
      <c r="O882" s="234">
        <v>5</v>
      </c>
      <c r="P882" s="199">
        <f>TB_Parts_Lists[[#This Row],[Quantity Initial]]*TB_Parts_Lists[[#This Row],[Unit Price AED]]</f>
        <v>250</v>
      </c>
      <c r="Q882" s="199">
        <f>TB_Parts_Lists[[#This Row],[Quantity Total]]*TB_Parts_Lists[[#This Row],[Unit Price AED]]</f>
        <v>250</v>
      </c>
      <c r="S882" s="199" t="s">
        <v>118</v>
      </c>
      <c r="T882" s="199" t="s">
        <v>8691</v>
      </c>
      <c r="U882" s="199" t="s">
        <v>8716</v>
      </c>
    </row>
    <row r="883" spans="1:21" s="199" customFormat="1" x14ac:dyDescent="0.25">
      <c r="A883" s="192" t="s">
        <v>7395</v>
      </c>
      <c r="B883" s="203" t="s">
        <v>3332</v>
      </c>
      <c r="C883" s="188" t="s">
        <v>3357</v>
      </c>
      <c r="D883" s="199" t="s">
        <v>8724</v>
      </c>
      <c r="E883" s="188" t="s">
        <v>3357</v>
      </c>
      <c r="F883" s="189" t="s">
        <v>4037</v>
      </c>
      <c r="G883" s="199" t="s">
        <v>8283</v>
      </c>
      <c r="H883" s="199" t="s">
        <v>8638</v>
      </c>
      <c r="I883" s="199">
        <v>1</v>
      </c>
      <c r="J883" s="199">
        <v>1</v>
      </c>
      <c r="K883" s="199">
        <v>1</v>
      </c>
      <c r="L883" s="199">
        <v>50</v>
      </c>
      <c r="M883" s="202">
        <f>TB_Parts_Lists[[#This Row],[Quantity Initial]]+ SUMIF(TB_Transactions[Part number],TB_Parts_Lists[[#This Row],[Part Number]],TB_Transactions[Quantity])</f>
        <v>50</v>
      </c>
      <c r="N883" s="200" t="s">
        <v>4593</v>
      </c>
      <c r="O883" s="234">
        <v>5</v>
      </c>
      <c r="P883" s="199">
        <f>TB_Parts_Lists[[#This Row],[Quantity Initial]]*TB_Parts_Lists[[#This Row],[Unit Price AED]]</f>
        <v>250</v>
      </c>
      <c r="Q883" s="199">
        <f>TB_Parts_Lists[[#This Row],[Quantity Total]]*TB_Parts_Lists[[#This Row],[Unit Price AED]]</f>
        <v>250</v>
      </c>
      <c r="S883" s="199" t="s">
        <v>8675</v>
      </c>
      <c r="T883" s="199" t="s">
        <v>8675</v>
      </c>
      <c r="U883" s="199" t="s">
        <v>8675</v>
      </c>
    </row>
    <row r="884" spans="1:21" s="199" customFormat="1" x14ac:dyDescent="0.25">
      <c r="A884" s="192" t="s">
        <v>7396</v>
      </c>
      <c r="B884" s="203" t="s">
        <v>3332</v>
      </c>
      <c r="C884" s="188" t="s">
        <v>3355</v>
      </c>
      <c r="D884" s="188" t="s">
        <v>8724</v>
      </c>
      <c r="E884" s="188" t="s">
        <v>5318</v>
      </c>
      <c r="F884" s="189" t="s">
        <v>4038</v>
      </c>
      <c r="G884" s="199" t="s">
        <v>8283</v>
      </c>
      <c r="H884" s="199" t="e">
        <v>#N/A</v>
      </c>
      <c r="I884" s="199">
        <v>1</v>
      </c>
      <c r="J884" s="199">
        <v>1</v>
      </c>
      <c r="K884" s="199">
        <v>1</v>
      </c>
      <c r="L884" s="199">
        <v>50</v>
      </c>
      <c r="M884" s="202">
        <f>TB_Parts_Lists[[#This Row],[Quantity Initial]]+ SUMIF(TB_Transactions[Part number],TB_Parts_Lists[[#This Row],[Part Number]],TB_Transactions[Quantity])</f>
        <v>50</v>
      </c>
      <c r="N884" s="200" t="s">
        <v>4593</v>
      </c>
      <c r="O884" s="234">
        <v>5</v>
      </c>
      <c r="P884" s="199">
        <f>TB_Parts_Lists[[#This Row],[Quantity Initial]]*TB_Parts_Lists[[#This Row],[Unit Price AED]]</f>
        <v>250</v>
      </c>
      <c r="Q884" s="199">
        <f>TB_Parts_Lists[[#This Row],[Quantity Total]]*TB_Parts_Lists[[#This Row],[Unit Price AED]]</f>
        <v>250</v>
      </c>
      <c r="S884" s="199" t="e">
        <v>#N/A</v>
      </c>
      <c r="T884" s="199" t="e">
        <v>#N/A</v>
      </c>
      <c r="U884" s="199" t="e">
        <v>#N/A</v>
      </c>
    </row>
    <row r="885" spans="1:21" s="199" customFormat="1" x14ac:dyDescent="0.25">
      <c r="A885" s="192" t="s">
        <v>7397</v>
      </c>
      <c r="B885" s="203" t="s">
        <v>3332</v>
      </c>
      <c r="C885" s="188" t="s">
        <v>3357</v>
      </c>
      <c r="D885" s="199" t="s">
        <v>8724</v>
      </c>
      <c r="E885" s="188" t="s">
        <v>5319</v>
      </c>
      <c r="F885" s="189" t="s">
        <v>4039</v>
      </c>
      <c r="G885" s="199" t="s">
        <v>8283</v>
      </c>
      <c r="H885" s="199" t="s">
        <v>51</v>
      </c>
      <c r="I885" s="199">
        <v>1</v>
      </c>
      <c r="J885" s="199">
        <v>1</v>
      </c>
      <c r="K885" s="199">
        <v>1</v>
      </c>
      <c r="L885" s="199">
        <v>50</v>
      </c>
      <c r="M885" s="202">
        <f>TB_Parts_Lists[[#This Row],[Quantity Initial]]+ SUMIF(TB_Transactions[Part number],TB_Parts_Lists[[#This Row],[Part Number]],TB_Transactions[Quantity])</f>
        <v>50</v>
      </c>
      <c r="N885" s="200" t="s">
        <v>4593</v>
      </c>
      <c r="O885" s="234">
        <v>5</v>
      </c>
      <c r="P885" s="199">
        <f>TB_Parts_Lists[[#This Row],[Quantity Initial]]*TB_Parts_Lists[[#This Row],[Unit Price AED]]</f>
        <v>250</v>
      </c>
      <c r="Q885" s="199">
        <f>TB_Parts_Lists[[#This Row],[Quantity Total]]*TB_Parts_Lists[[#This Row],[Unit Price AED]]</f>
        <v>250</v>
      </c>
      <c r="S885" s="199" t="s">
        <v>118</v>
      </c>
      <c r="T885" s="199" t="s">
        <v>8691</v>
      </c>
      <c r="U885" s="199" t="s">
        <v>8716</v>
      </c>
    </row>
    <row r="886" spans="1:21" s="199" customFormat="1" x14ac:dyDescent="0.25">
      <c r="A886" s="192" t="s">
        <v>7398</v>
      </c>
      <c r="B886" s="203" t="s">
        <v>3332</v>
      </c>
      <c r="C886" s="188" t="s">
        <v>3356</v>
      </c>
      <c r="D886" s="199" t="s">
        <v>8724</v>
      </c>
      <c r="E886" s="188" t="s">
        <v>5320</v>
      </c>
      <c r="F886" s="189" t="s">
        <v>4040</v>
      </c>
      <c r="G886" s="199" t="s">
        <v>8283</v>
      </c>
      <c r="H886" s="199" t="s">
        <v>51</v>
      </c>
      <c r="I886" s="199">
        <v>1</v>
      </c>
      <c r="J886" s="199">
        <v>1</v>
      </c>
      <c r="K886" s="199">
        <v>1</v>
      </c>
      <c r="L886" s="199">
        <v>50</v>
      </c>
      <c r="M886" s="202">
        <f>TB_Parts_Lists[[#This Row],[Quantity Initial]]+ SUMIF(TB_Transactions[Part number],TB_Parts_Lists[[#This Row],[Part Number]],TB_Transactions[Quantity])</f>
        <v>50</v>
      </c>
      <c r="N886" s="200" t="s">
        <v>4593</v>
      </c>
      <c r="O886" s="234">
        <v>5</v>
      </c>
      <c r="P886" s="199">
        <f>TB_Parts_Lists[[#This Row],[Quantity Initial]]*TB_Parts_Lists[[#This Row],[Unit Price AED]]</f>
        <v>250</v>
      </c>
      <c r="Q886" s="199">
        <f>TB_Parts_Lists[[#This Row],[Quantity Total]]*TB_Parts_Lists[[#This Row],[Unit Price AED]]</f>
        <v>250</v>
      </c>
      <c r="S886" s="199" t="s">
        <v>118</v>
      </c>
      <c r="T886" s="199" t="s">
        <v>8691</v>
      </c>
      <c r="U886" s="199" t="s">
        <v>8716</v>
      </c>
    </row>
    <row r="887" spans="1:21" s="199" customFormat="1" x14ac:dyDescent="0.25">
      <c r="A887" s="192" t="s">
        <v>7399</v>
      </c>
      <c r="B887" s="203" t="s">
        <v>3332</v>
      </c>
      <c r="C887" s="188" t="s">
        <v>3357</v>
      </c>
      <c r="D887" s="199" t="s">
        <v>8724</v>
      </c>
      <c r="E887" s="188" t="s">
        <v>5321</v>
      </c>
      <c r="F887" s="189" t="s">
        <v>4041</v>
      </c>
      <c r="G887" s="199" t="s">
        <v>8283</v>
      </c>
      <c r="H887" s="199" t="s">
        <v>74</v>
      </c>
      <c r="I887" s="199">
        <v>1</v>
      </c>
      <c r="J887" s="199">
        <v>1</v>
      </c>
      <c r="K887" s="199">
        <v>1</v>
      </c>
      <c r="L887" s="199">
        <v>50</v>
      </c>
      <c r="M887" s="202">
        <f>TB_Parts_Lists[[#This Row],[Quantity Initial]]+ SUMIF(TB_Transactions[Part number],TB_Parts_Lists[[#This Row],[Part Number]],TB_Transactions[Quantity])</f>
        <v>50</v>
      </c>
      <c r="N887" s="200" t="s">
        <v>4593</v>
      </c>
      <c r="O887" s="234">
        <v>5</v>
      </c>
      <c r="P887" s="199">
        <f>TB_Parts_Lists[[#This Row],[Quantity Initial]]*TB_Parts_Lists[[#This Row],[Unit Price AED]]</f>
        <v>250</v>
      </c>
      <c r="Q887" s="199">
        <f>TB_Parts_Lists[[#This Row],[Quantity Total]]*TB_Parts_Lists[[#This Row],[Unit Price AED]]</f>
        <v>250</v>
      </c>
      <c r="S887" s="199" t="s">
        <v>118</v>
      </c>
      <c r="T887" s="199" t="s">
        <v>8691</v>
      </c>
      <c r="U887" s="199" t="s">
        <v>8716</v>
      </c>
    </row>
    <row r="888" spans="1:21" s="199" customFormat="1" x14ac:dyDescent="0.25">
      <c r="A888" s="192" t="s">
        <v>7400</v>
      </c>
      <c r="B888" s="203" t="s">
        <v>3332</v>
      </c>
      <c r="C888" s="188" t="s">
        <v>3357</v>
      </c>
      <c r="D888" s="199" t="s">
        <v>8732</v>
      </c>
      <c r="E888" s="188" t="s">
        <v>4129</v>
      </c>
      <c r="F888" s="189" t="s">
        <v>4042</v>
      </c>
      <c r="G888" s="199" t="s">
        <v>8283</v>
      </c>
      <c r="H888" s="199" t="s">
        <v>51</v>
      </c>
      <c r="I888" s="199">
        <v>1</v>
      </c>
      <c r="J888" s="199">
        <v>1</v>
      </c>
      <c r="K888" s="199">
        <v>1</v>
      </c>
      <c r="L888" s="199">
        <v>50</v>
      </c>
      <c r="M888" s="202">
        <f>TB_Parts_Lists[[#This Row],[Quantity Initial]]+ SUMIF(TB_Transactions[Part number],TB_Parts_Lists[[#This Row],[Part Number]],TB_Transactions[Quantity])</f>
        <v>50</v>
      </c>
      <c r="N888" s="200" t="s">
        <v>4593</v>
      </c>
      <c r="O888" s="234">
        <v>5</v>
      </c>
      <c r="P888" s="199">
        <f>TB_Parts_Lists[[#This Row],[Quantity Initial]]*TB_Parts_Lists[[#This Row],[Unit Price AED]]</f>
        <v>250</v>
      </c>
      <c r="Q888" s="199">
        <f>TB_Parts_Lists[[#This Row],[Quantity Total]]*TB_Parts_Lists[[#This Row],[Unit Price AED]]</f>
        <v>250</v>
      </c>
      <c r="S888" s="199" t="s">
        <v>118</v>
      </c>
      <c r="T888" s="199" t="s">
        <v>8691</v>
      </c>
      <c r="U888" s="199" t="s">
        <v>8716</v>
      </c>
    </row>
    <row r="889" spans="1:21" s="199" customFormat="1" x14ac:dyDescent="0.25">
      <c r="A889" s="192" t="s">
        <v>7401</v>
      </c>
      <c r="B889" s="203" t="s">
        <v>3332</v>
      </c>
      <c r="C889" s="188" t="s">
        <v>3357</v>
      </c>
      <c r="D889" s="199" t="s">
        <v>8732</v>
      </c>
      <c r="E889" s="188" t="s">
        <v>5322</v>
      </c>
      <c r="F889" s="189" t="s">
        <v>4043</v>
      </c>
      <c r="G889" s="199" t="s">
        <v>8283</v>
      </c>
      <c r="H889" s="199" t="s">
        <v>51</v>
      </c>
      <c r="I889" s="199">
        <v>1</v>
      </c>
      <c r="J889" s="199">
        <v>1</v>
      </c>
      <c r="K889" s="199">
        <v>1</v>
      </c>
      <c r="L889" s="199">
        <v>50</v>
      </c>
      <c r="M889" s="202">
        <f>TB_Parts_Lists[[#This Row],[Quantity Initial]]+ SUMIF(TB_Transactions[Part number],TB_Parts_Lists[[#This Row],[Part Number]],TB_Transactions[Quantity])</f>
        <v>50</v>
      </c>
      <c r="N889" s="200" t="s">
        <v>4593</v>
      </c>
      <c r="O889" s="234">
        <v>5</v>
      </c>
      <c r="P889" s="199">
        <f>TB_Parts_Lists[[#This Row],[Quantity Initial]]*TB_Parts_Lists[[#This Row],[Unit Price AED]]</f>
        <v>250</v>
      </c>
      <c r="Q889" s="199">
        <f>TB_Parts_Lists[[#This Row],[Quantity Total]]*TB_Parts_Lists[[#This Row],[Unit Price AED]]</f>
        <v>250</v>
      </c>
      <c r="S889" s="199" t="s">
        <v>118</v>
      </c>
      <c r="T889" s="199" t="s">
        <v>8691</v>
      </c>
      <c r="U889" s="199" t="s">
        <v>8716</v>
      </c>
    </row>
    <row r="890" spans="1:21" s="199" customFormat="1" x14ac:dyDescent="0.25">
      <c r="A890" s="192" t="s">
        <v>7402</v>
      </c>
      <c r="B890" s="203" t="s">
        <v>3332</v>
      </c>
      <c r="C890" s="188" t="s">
        <v>3357</v>
      </c>
      <c r="D890" s="199" t="s">
        <v>8724</v>
      </c>
      <c r="E890" s="188" t="s">
        <v>5323</v>
      </c>
      <c r="F890" s="189" t="s">
        <v>4044</v>
      </c>
      <c r="G890" s="199" t="s">
        <v>8283</v>
      </c>
      <c r="H890" s="199" t="s">
        <v>51</v>
      </c>
      <c r="I890" s="199">
        <v>1</v>
      </c>
      <c r="J890" s="199">
        <v>1</v>
      </c>
      <c r="K890" s="199">
        <v>1</v>
      </c>
      <c r="L890" s="199">
        <v>50</v>
      </c>
      <c r="M890" s="202">
        <f>TB_Parts_Lists[[#This Row],[Quantity Initial]]+ SUMIF(TB_Transactions[Part number],TB_Parts_Lists[[#This Row],[Part Number]],TB_Transactions[Quantity])</f>
        <v>50</v>
      </c>
      <c r="N890" s="200" t="s">
        <v>4593</v>
      </c>
      <c r="O890" s="234">
        <v>5</v>
      </c>
      <c r="P890" s="199">
        <f>TB_Parts_Lists[[#This Row],[Quantity Initial]]*TB_Parts_Lists[[#This Row],[Unit Price AED]]</f>
        <v>250</v>
      </c>
      <c r="Q890" s="199">
        <f>TB_Parts_Lists[[#This Row],[Quantity Total]]*TB_Parts_Lists[[#This Row],[Unit Price AED]]</f>
        <v>250</v>
      </c>
      <c r="S890" s="199" t="s">
        <v>118</v>
      </c>
      <c r="T890" s="199" t="s">
        <v>8691</v>
      </c>
      <c r="U890" s="199" t="s">
        <v>8716</v>
      </c>
    </row>
    <row r="891" spans="1:21" s="199" customFormat="1" x14ac:dyDescent="0.25">
      <c r="A891" s="192" t="s">
        <v>7403</v>
      </c>
      <c r="B891" s="203" t="s">
        <v>3332</v>
      </c>
      <c r="C891" s="188" t="s">
        <v>3356</v>
      </c>
      <c r="D891" s="199" t="s">
        <v>8732</v>
      </c>
      <c r="E891" s="188" t="s">
        <v>5324</v>
      </c>
      <c r="F891" s="189" t="s">
        <v>4045</v>
      </c>
      <c r="G891" s="199" t="s">
        <v>8283</v>
      </c>
      <c r="H891" s="199" t="s">
        <v>51</v>
      </c>
      <c r="I891" s="199">
        <v>1</v>
      </c>
      <c r="J891" s="199">
        <v>1</v>
      </c>
      <c r="K891" s="199">
        <v>1</v>
      </c>
      <c r="L891" s="199">
        <v>50</v>
      </c>
      <c r="M891" s="202">
        <f>TB_Parts_Lists[[#This Row],[Quantity Initial]]+ SUMIF(TB_Transactions[Part number],TB_Parts_Lists[[#This Row],[Part Number]],TB_Transactions[Quantity])</f>
        <v>50</v>
      </c>
      <c r="N891" s="200" t="s">
        <v>4593</v>
      </c>
      <c r="O891" s="234">
        <v>5</v>
      </c>
      <c r="P891" s="199">
        <f>TB_Parts_Lists[[#This Row],[Quantity Initial]]*TB_Parts_Lists[[#This Row],[Unit Price AED]]</f>
        <v>250</v>
      </c>
      <c r="Q891" s="199">
        <f>TB_Parts_Lists[[#This Row],[Quantity Total]]*TB_Parts_Lists[[#This Row],[Unit Price AED]]</f>
        <v>250</v>
      </c>
      <c r="S891" s="199" t="s">
        <v>118</v>
      </c>
      <c r="T891" s="199" t="s">
        <v>8691</v>
      </c>
      <c r="U891" s="199" t="s">
        <v>8716</v>
      </c>
    </row>
    <row r="892" spans="1:21" s="199" customFormat="1" x14ac:dyDescent="0.25">
      <c r="A892" s="192" t="s">
        <v>7404</v>
      </c>
      <c r="B892" s="203" t="s">
        <v>3332</v>
      </c>
      <c r="C892" s="188" t="s">
        <v>3357</v>
      </c>
      <c r="D892" s="199" t="s">
        <v>8724</v>
      </c>
      <c r="E892" s="188" t="s">
        <v>5325</v>
      </c>
      <c r="F892" s="189" t="s">
        <v>4046</v>
      </c>
      <c r="G892" s="199" t="s">
        <v>8283</v>
      </c>
      <c r="H892" s="199" t="s">
        <v>51</v>
      </c>
      <c r="I892" s="199">
        <v>1</v>
      </c>
      <c r="J892" s="199">
        <v>1</v>
      </c>
      <c r="K892" s="199">
        <v>1</v>
      </c>
      <c r="L892" s="199">
        <v>50</v>
      </c>
      <c r="M892" s="202">
        <f>TB_Parts_Lists[[#This Row],[Quantity Initial]]+ SUMIF(TB_Transactions[Part number],TB_Parts_Lists[[#This Row],[Part Number]],TB_Transactions[Quantity])</f>
        <v>50</v>
      </c>
      <c r="N892" s="200" t="s">
        <v>4593</v>
      </c>
      <c r="O892" s="234">
        <v>5</v>
      </c>
      <c r="P892" s="199">
        <f>TB_Parts_Lists[[#This Row],[Quantity Initial]]*TB_Parts_Lists[[#This Row],[Unit Price AED]]</f>
        <v>250</v>
      </c>
      <c r="Q892" s="199">
        <f>TB_Parts_Lists[[#This Row],[Quantity Total]]*TB_Parts_Lists[[#This Row],[Unit Price AED]]</f>
        <v>250</v>
      </c>
      <c r="S892" s="199" t="s">
        <v>118</v>
      </c>
      <c r="T892" s="199" t="s">
        <v>8691</v>
      </c>
      <c r="U892" s="199" t="s">
        <v>8716</v>
      </c>
    </row>
    <row r="893" spans="1:21" s="199" customFormat="1" x14ac:dyDescent="0.25">
      <c r="A893" s="192" t="s">
        <v>7405</v>
      </c>
      <c r="B893" s="203" t="s">
        <v>3332</v>
      </c>
      <c r="C893" s="188" t="s">
        <v>3357</v>
      </c>
      <c r="D893" s="199" t="s">
        <v>8724</v>
      </c>
      <c r="E893" s="188" t="s">
        <v>5326</v>
      </c>
      <c r="F893" s="189" t="s">
        <v>4047</v>
      </c>
      <c r="G893" s="199" t="s">
        <v>8283</v>
      </c>
      <c r="H893" s="199" t="s">
        <v>8638</v>
      </c>
      <c r="I893" s="199">
        <v>1</v>
      </c>
      <c r="J893" s="199">
        <v>1</v>
      </c>
      <c r="K893" s="199">
        <v>1</v>
      </c>
      <c r="L893" s="199">
        <v>50</v>
      </c>
      <c r="M893" s="202">
        <f>TB_Parts_Lists[[#This Row],[Quantity Initial]]+ SUMIF(TB_Transactions[Part number],TB_Parts_Lists[[#This Row],[Part Number]],TB_Transactions[Quantity])</f>
        <v>50</v>
      </c>
      <c r="N893" s="200" t="s">
        <v>4593</v>
      </c>
      <c r="O893" s="234">
        <v>5</v>
      </c>
      <c r="P893" s="199">
        <f>TB_Parts_Lists[[#This Row],[Quantity Initial]]*TB_Parts_Lists[[#This Row],[Unit Price AED]]</f>
        <v>250</v>
      </c>
      <c r="Q893" s="199">
        <f>TB_Parts_Lists[[#This Row],[Quantity Total]]*TB_Parts_Lists[[#This Row],[Unit Price AED]]</f>
        <v>250</v>
      </c>
      <c r="S893" s="199" t="s">
        <v>118</v>
      </c>
      <c r="T893" s="199" t="s">
        <v>8691</v>
      </c>
      <c r="U893" s="199" t="s">
        <v>8716</v>
      </c>
    </row>
    <row r="894" spans="1:21" s="199" customFormat="1" x14ac:dyDescent="0.25">
      <c r="A894" s="192" t="s">
        <v>7406</v>
      </c>
      <c r="B894" s="203" t="s">
        <v>3332</v>
      </c>
      <c r="C894" s="188" t="s">
        <v>3357</v>
      </c>
      <c r="D894" s="199" t="s">
        <v>8724</v>
      </c>
      <c r="E894" s="188" t="s">
        <v>5327</v>
      </c>
      <c r="F894" s="189" t="s">
        <v>4048</v>
      </c>
      <c r="G894" s="199" t="s">
        <v>8283</v>
      </c>
      <c r="H894" s="199" t="s">
        <v>51</v>
      </c>
      <c r="I894" s="199">
        <v>1</v>
      </c>
      <c r="J894" s="199">
        <v>1</v>
      </c>
      <c r="K894" s="199">
        <v>1</v>
      </c>
      <c r="L894" s="199">
        <v>50</v>
      </c>
      <c r="M894" s="202">
        <f>TB_Parts_Lists[[#This Row],[Quantity Initial]]+ SUMIF(TB_Transactions[Part number],TB_Parts_Lists[[#This Row],[Part Number]],TB_Transactions[Quantity])</f>
        <v>50</v>
      </c>
      <c r="N894" s="200" t="s">
        <v>4593</v>
      </c>
      <c r="O894" s="234">
        <v>5</v>
      </c>
      <c r="P894" s="199">
        <f>TB_Parts_Lists[[#This Row],[Quantity Initial]]*TB_Parts_Lists[[#This Row],[Unit Price AED]]</f>
        <v>250</v>
      </c>
      <c r="Q894" s="199">
        <f>TB_Parts_Lists[[#This Row],[Quantity Total]]*TB_Parts_Lists[[#This Row],[Unit Price AED]]</f>
        <v>250</v>
      </c>
      <c r="S894" s="199" t="s">
        <v>118</v>
      </c>
      <c r="T894" s="199" t="s">
        <v>8691</v>
      </c>
      <c r="U894" s="199" t="s">
        <v>8716</v>
      </c>
    </row>
    <row r="895" spans="1:21" s="199" customFormat="1" x14ac:dyDescent="0.25">
      <c r="A895" s="192" t="s">
        <v>7407</v>
      </c>
      <c r="B895" s="203" t="s">
        <v>3332</v>
      </c>
      <c r="C895" s="188" t="s">
        <v>3357</v>
      </c>
      <c r="D895" s="199" t="s">
        <v>8732</v>
      </c>
      <c r="E895" s="188" t="s">
        <v>5328</v>
      </c>
      <c r="F895" s="189" t="s">
        <v>4049</v>
      </c>
      <c r="G895" s="199" t="s">
        <v>8283</v>
      </c>
      <c r="H895" s="199" t="s">
        <v>51</v>
      </c>
      <c r="I895" s="199">
        <v>1</v>
      </c>
      <c r="J895" s="199">
        <v>1</v>
      </c>
      <c r="K895" s="199">
        <v>1</v>
      </c>
      <c r="L895" s="199">
        <v>50</v>
      </c>
      <c r="M895" s="202">
        <f>TB_Parts_Lists[[#This Row],[Quantity Initial]]+ SUMIF(TB_Transactions[Part number],TB_Parts_Lists[[#This Row],[Part Number]],TB_Transactions[Quantity])</f>
        <v>50</v>
      </c>
      <c r="N895" s="200" t="s">
        <v>4593</v>
      </c>
      <c r="O895" s="234">
        <v>5</v>
      </c>
      <c r="P895" s="199">
        <f>TB_Parts_Lists[[#This Row],[Quantity Initial]]*TB_Parts_Lists[[#This Row],[Unit Price AED]]</f>
        <v>250</v>
      </c>
      <c r="Q895" s="199">
        <f>TB_Parts_Lists[[#This Row],[Quantity Total]]*TB_Parts_Lists[[#This Row],[Unit Price AED]]</f>
        <v>250</v>
      </c>
      <c r="S895" s="199" t="s">
        <v>118</v>
      </c>
      <c r="T895" s="199" t="s">
        <v>8691</v>
      </c>
      <c r="U895" s="199" t="s">
        <v>8716</v>
      </c>
    </row>
    <row r="896" spans="1:21" s="199" customFormat="1" x14ac:dyDescent="0.25">
      <c r="A896" s="192" t="s">
        <v>7408</v>
      </c>
      <c r="B896" s="203" t="s">
        <v>3330</v>
      </c>
      <c r="C896" s="188" t="s">
        <v>6611</v>
      </c>
      <c r="D896" s="199" t="s">
        <v>8724</v>
      </c>
      <c r="E896" s="188" t="s">
        <v>5329</v>
      </c>
      <c r="F896" s="189" t="s">
        <v>4050</v>
      </c>
      <c r="G896" s="199" t="s">
        <v>8283</v>
      </c>
      <c r="H896" s="199" t="s">
        <v>74</v>
      </c>
      <c r="I896" s="199">
        <v>1</v>
      </c>
      <c r="J896" s="199">
        <v>1</v>
      </c>
      <c r="K896" s="199">
        <v>1</v>
      </c>
      <c r="L896" s="199">
        <v>50</v>
      </c>
      <c r="M896" s="202">
        <f>TB_Parts_Lists[[#This Row],[Quantity Initial]]+ SUMIF(TB_Transactions[Part number],TB_Parts_Lists[[#This Row],[Part Number]],TB_Transactions[Quantity])</f>
        <v>50</v>
      </c>
      <c r="N896" s="200" t="s">
        <v>4593</v>
      </c>
      <c r="O896" s="234">
        <v>5</v>
      </c>
      <c r="P896" s="199">
        <f>TB_Parts_Lists[[#This Row],[Quantity Initial]]*TB_Parts_Lists[[#This Row],[Unit Price AED]]</f>
        <v>250</v>
      </c>
      <c r="Q896" s="199">
        <f>TB_Parts_Lists[[#This Row],[Quantity Total]]*TB_Parts_Lists[[#This Row],[Unit Price AED]]</f>
        <v>250</v>
      </c>
      <c r="S896" s="199" t="s">
        <v>118</v>
      </c>
      <c r="T896" s="199" t="s">
        <v>8697</v>
      </c>
      <c r="U896" s="199" t="s">
        <v>8675</v>
      </c>
    </row>
    <row r="897" spans="1:21" s="199" customFormat="1" x14ac:dyDescent="0.25">
      <c r="A897" s="192" t="s">
        <v>7409</v>
      </c>
      <c r="B897" s="203" t="s">
        <v>3332</v>
      </c>
      <c r="C897" s="188" t="s">
        <v>3357</v>
      </c>
      <c r="D897" s="199" t="s">
        <v>8724</v>
      </c>
      <c r="E897" s="188" t="s">
        <v>5330</v>
      </c>
      <c r="F897" s="189" t="s">
        <v>4051</v>
      </c>
      <c r="G897" s="199" t="s">
        <v>8283</v>
      </c>
      <c r="H897" s="199" t="s">
        <v>51</v>
      </c>
      <c r="I897" s="199">
        <v>1</v>
      </c>
      <c r="J897" s="199">
        <v>1</v>
      </c>
      <c r="K897" s="199">
        <v>1</v>
      </c>
      <c r="L897" s="199">
        <v>50</v>
      </c>
      <c r="M897" s="202">
        <f>TB_Parts_Lists[[#This Row],[Quantity Initial]]+ SUMIF(TB_Transactions[Part number],TB_Parts_Lists[[#This Row],[Part Number]],TB_Transactions[Quantity])</f>
        <v>50</v>
      </c>
      <c r="N897" s="200" t="s">
        <v>4593</v>
      </c>
      <c r="O897" s="234">
        <v>5</v>
      </c>
      <c r="P897" s="199">
        <f>TB_Parts_Lists[[#This Row],[Quantity Initial]]*TB_Parts_Lists[[#This Row],[Unit Price AED]]</f>
        <v>250</v>
      </c>
      <c r="Q897" s="199">
        <f>TB_Parts_Lists[[#This Row],[Quantity Total]]*TB_Parts_Lists[[#This Row],[Unit Price AED]]</f>
        <v>250</v>
      </c>
      <c r="S897" s="199" t="s">
        <v>8675</v>
      </c>
      <c r="T897" s="199" t="s">
        <v>8675</v>
      </c>
      <c r="U897" s="199" t="s">
        <v>8675</v>
      </c>
    </row>
    <row r="898" spans="1:21" s="199" customFormat="1" x14ac:dyDescent="0.25">
      <c r="A898" s="192" t="s">
        <v>7410</v>
      </c>
      <c r="B898" s="203" t="s">
        <v>3332</v>
      </c>
      <c r="C898" s="188" t="s">
        <v>3357</v>
      </c>
      <c r="D898" s="199" t="s">
        <v>8732</v>
      </c>
      <c r="E898" s="188" t="s">
        <v>5331</v>
      </c>
      <c r="F898" s="189" t="s">
        <v>4052</v>
      </c>
      <c r="G898" s="199" t="s">
        <v>8283</v>
      </c>
      <c r="H898" s="199" t="s">
        <v>51</v>
      </c>
      <c r="I898" s="199">
        <v>1</v>
      </c>
      <c r="J898" s="199">
        <v>1</v>
      </c>
      <c r="K898" s="199">
        <v>1</v>
      </c>
      <c r="L898" s="199">
        <v>50</v>
      </c>
      <c r="M898" s="202">
        <f>TB_Parts_Lists[[#This Row],[Quantity Initial]]+ SUMIF(TB_Transactions[Part number],TB_Parts_Lists[[#This Row],[Part Number]],TB_Transactions[Quantity])</f>
        <v>50</v>
      </c>
      <c r="N898" s="200" t="s">
        <v>4593</v>
      </c>
      <c r="O898" s="234">
        <v>5</v>
      </c>
      <c r="P898" s="199">
        <f>TB_Parts_Lists[[#This Row],[Quantity Initial]]*TB_Parts_Lists[[#This Row],[Unit Price AED]]</f>
        <v>250</v>
      </c>
      <c r="Q898" s="199">
        <f>TB_Parts_Lists[[#This Row],[Quantity Total]]*TB_Parts_Lists[[#This Row],[Unit Price AED]]</f>
        <v>250</v>
      </c>
      <c r="S898" s="199" t="s">
        <v>118</v>
      </c>
      <c r="T898" s="199" t="s">
        <v>8691</v>
      </c>
      <c r="U898" s="199" t="s">
        <v>8716</v>
      </c>
    </row>
    <row r="899" spans="1:21" s="199" customFormat="1" x14ac:dyDescent="0.25">
      <c r="A899" s="192" t="s">
        <v>7411</v>
      </c>
      <c r="B899" s="204" t="s">
        <v>3332</v>
      </c>
      <c r="C899" s="190" t="s">
        <v>3356</v>
      </c>
      <c r="D899" s="199" t="s">
        <v>8732</v>
      </c>
      <c r="E899" s="188" t="s">
        <v>5332</v>
      </c>
      <c r="F899" s="189" t="s">
        <v>4053</v>
      </c>
      <c r="G899" s="199" t="s">
        <v>8283</v>
      </c>
      <c r="H899" s="199" t="s">
        <v>74</v>
      </c>
      <c r="I899" s="199">
        <v>1</v>
      </c>
      <c r="J899" s="199">
        <v>1</v>
      </c>
      <c r="K899" s="199">
        <v>1</v>
      </c>
      <c r="L899" s="199">
        <v>50</v>
      </c>
      <c r="M899" s="206">
        <f>TB_Parts_Lists[[#This Row],[Quantity Initial]]+ SUMIF(TB_Transactions[Part number],TB_Parts_Lists[[#This Row],[Part Number]],TB_Transactions[Quantity])</f>
        <v>50</v>
      </c>
      <c r="N899" s="200" t="s">
        <v>4593</v>
      </c>
      <c r="O899" s="234">
        <v>5</v>
      </c>
      <c r="P899" s="199">
        <f>TB_Parts_Lists[[#This Row],[Quantity Initial]]*TB_Parts_Lists[[#This Row],[Unit Price AED]]</f>
        <v>250</v>
      </c>
      <c r="Q899" s="199">
        <f>TB_Parts_Lists[[#This Row],[Quantity Total]]*TB_Parts_Lists[[#This Row],[Unit Price AED]]</f>
        <v>250</v>
      </c>
      <c r="R899" s="205"/>
      <c r="S899" s="199" t="s">
        <v>118</v>
      </c>
      <c r="T899" s="199" t="s">
        <v>8691</v>
      </c>
      <c r="U899" s="199" t="s">
        <v>8716</v>
      </c>
    </row>
    <row r="900" spans="1:21" s="199" customFormat="1" x14ac:dyDescent="0.25">
      <c r="A900" s="192" t="s">
        <v>7412</v>
      </c>
      <c r="B900" s="203" t="s">
        <v>3332</v>
      </c>
      <c r="C900" s="188" t="s">
        <v>3357</v>
      </c>
      <c r="D900" s="199" t="s">
        <v>8732</v>
      </c>
      <c r="E900" s="188" t="s">
        <v>5333</v>
      </c>
      <c r="F900" s="189" t="s">
        <v>4054</v>
      </c>
      <c r="G900" s="199" t="s">
        <v>8283</v>
      </c>
      <c r="H900" s="199" t="s">
        <v>72</v>
      </c>
      <c r="I900" s="199">
        <v>1</v>
      </c>
      <c r="J900" s="199">
        <v>1</v>
      </c>
      <c r="K900" s="199">
        <v>1</v>
      </c>
      <c r="L900" s="199">
        <v>50</v>
      </c>
      <c r="M900" s="202">
        <f>TB_Parts_Lists[[#This Row],[Quantity Initial]]+ SUMIF(TB_Transactions[Part number],TB_Parts_Lists[[#This Row],[Part Number]],TB_Transactions[Quantity])</f>
        <v>50</v>
      </c>
      <c r="N900" s="200" t="s">
        <v>4593</v>
      </c>
      <c r="O900" s="234">
        <v>5</v>
      </c>
      <c r="P900" s="199">
        <f>TB_Parts_Lists[[#This Row],[Quantity Initial]]*TB_Parts_Lists[[#This Row],[Unit Price AED]]</f>
        <v>250</v>
      </c>
      <c r="Q900" s="199">
        <f>TB_Parts_Lists[[#This Row],[Quantity Total]]*TB_Parts_Lists[[#This Row],[Unit Price AED]]</f>
        <v>250</v>
      </c>
      <c r="S900" s="199" t="s">
        <v>118</v>
      </c>
      <c r="T900" s="199" t="s">
        <v>8691</v>
      </c>
      <c r="U900" s="199" t="s">
        <v>8716</v>
      </c>
    </row>
    <row r="901" spans="1:21" s="199" customFormat="1" x14ac:dyDescent="0.25">
      <c r="A901" s="192" t="s">
        <v>7413</v>
      </c>
      <c r="B901" s="203" t="s">
        <v>3332</v>
      </c>
      <c r="C901" s="188" t="s">
        <v>3357</v>
      </c>
      <c r="D901" s="199" t="s">
        <v>8732</v>
      </c>
      <c r="E901" s="188" t="s">
        <v>5334</v>
      </c>
      <c r="F901" s="189" t="s">
        <v>4055</v>
      </c>
      <c r="G901" s="199" t="s">
        <v>8283</v>
      </c>
      <c r="H901" s="199" t="s">
        <v>72</v>
      </c>
      <c r="I901" s="199">
        <v>1</v>
      </c>
      <c r="J901" s="199">
        <v>1</v>
      </c>
      <c r="K901" s="199">
        <v>1</v>
      </c>
      <c r="L901" s="199">
        <v>50</v>
      </c>
      <c r="M901" s="202">
        <f>TB_Parts_Lists[[#This Row],[Quantity Initial]]+ SUMIF(TB_Transactions[Part number],TB_Parts_Lists[[#This Row],[Part Number]],TB_Transactions[Quantity])</f>
        <v>50</v>
      </c>
      <c r="N901" s="200" t="s">
        <v>4593</v>
      </c>
      <c r="O901" s="234">
        <v>5</v>
      </c>
      <c r="P901" s="199">
        <f>TB_Parts_Lists[[#This Row],[Quantity Initial]]*TB_Parts_Lists[[#This Row],[Unit Price AED]]</f>
        <v>250</v>
      </c>
      <c r="Q901" s="199">
        <f>TB_Parts_Lists[[#This Row],[Quantity Total]]*TB_Parts_Lists[[#This Row],[Unit Price AED]]</f>
        <v>250</v>
      </c>
      <c r="S901" s="199" t="s">
        <v>118</v>
      </c>
      <c r="T901" s="199" t="s">
        <v>8691</v>
      </c>
      <c r="U901" s="199" t="s">
        <v>8716</v>
      </c>
    </row>
    <row r="902" spans="1:21" s="199" customFormat="1" x14ac:dyDescent="0.25">
      <c r="A902" s="192" t="s">
        <v>7414</v>
      </c>
      <c r="B902" s="203" t="s">
        <v>3332</v>
      </c>
      <c r="C902" s="188" t="s">
        <v>3357</v>
      </c>
      <c r="D902" s="199" t="s">
        <v>8732</v>
      </c>
      <c r="E902" s="188" t="s">
        <v>5335</v>
      </c>
      <c r="F902" s="189" t="s">
        <v>4056</v>
      </c>
      <c r="G902" s="199" t="s">
        <v>8283</v>
      </c>
      <c r="H902" s="199" t="s">
        <v>74</v>
      </c>
      <c r="I902" s="199">
        <v>1</v>
      </c>
      <c r="J902" s="199">
        <v>1</v>
      </c>
      <c r="K902" s="199">
        <v>1</v>
      </c>
      <c r="L902" s="199">
        <v>50</v>
      </c>
      <c r="M902" s="202">
        <f>TB_Parts_Lists[[#This Row],[Quantity Initial]]+ SUMIF(TB_Transactions[Part number],TB_Parts_Lists[[#This Row],[Part Number]],TB_Transactions[Quantity])</f>
        <v>50</v>
      </c>
      <c r="N902" s="200" t="s">
        <v>4593</v>
      </c>
      <c r="O902" s="234">
        <v>5</v>
      </c>
      <c r="P902" s="199">
        <f>TB_Parts_Lists[[#This Row],[Quantity Initial]]*TB_Parts_Lists[[#This Row],[Unit Price AED]]</f>
        <v>250</v>
      </c>
      <c r="Q902" s="199">
        <f>TB_Parts_Lists[[#This Row],[Quantity Total]]*TB_Parts_Lists[[#This Row],[Unit Price AED]]</f>
        <v>250</v>
      </c>
      <c r="S902" s="199" t="s">
        <v>118</v>
      </c>
      <c r="T902" s="199" t="s">
        <v>8691</v>
      </c>
      <c r="U902" s="199" t="s">
        <v>8716</v>
      </c>
    </row>
    <row r="903" spans="1:21" s="199" customFormat="1" x14ac:dyDescent="0.25">
      <c r="A903" s="192" t="s">
        <v>7415</v>
      </c>
      <c r="B903" s="203" t="s">
        <v>3332</v>
      </c>
      <c r="C903" s="188" t="s">
        <v>3357</v>
      </c>
      <c r="D903" s="199" t="s">
        <v>8723</v>
      </c>
      <c r="E903" s="188" t="s">
        <v>5336</v>
      </c>
      <c r="F903" s="189" t="s">
        <v>4057</v>
      </c>
      <c r="G903" s="199" t="s">
        <v>8283</v>
      </c>
      <c r="H903" s="199" t="s">
        <v>8638</v>
      </c>
      <c r="I903" s="199">
        <v>1</v>
      </c>
      <c r="J903" s="199">
        <v>1</v>
      </c>
      <c r="K903" s="199">
        <v>1</v>
      </c>
      <c r="L903" s="199">
        <v>50</v>
      </c>
      <c r="M903" s="202">
        <f>TB_Parts_Lists[[#This Row],[Quantity Initial]]+ SUMIF(TB_Transactions[Part number],TB_Parts_Lists[[#This Row],[Part Number]],TB_Transactions[Quantity])</f>
        <v>50</v>
      </c>
      <c r="N903" s="200" t="s">
        <v>4593</v>
      </c>
      <c r="O903" s="234">
        <v>5</v>
      </c>
      <c r="P903" s="199">
        <f>TB_Parts_Lists[[#This Row],[Quantity Initial]]*TB_Parts_Lists[[#This Row],[Unit Price AED]]</f>
        <v>250</v>
      </c>
      <c r="Q903" s="199">
        <f>TB_Parts_Lists[[#This Row],[Quantity Total]]*TB_Parts_Lists[[#This Row],[Unit Price AED]]</f>
        <v>250</v>
      </c>
      <c r="S903" s="199" t="s">
        <v>8675</v>
      </c>
      <c r="T903" s="199" t="s">
        <v>8675</v>
      </c>
      <c r="U903" s="199" t="s">
        <v>8675</v>
      </c>
    </row>
    <row r="904" spans="1:21" s="199" customFormat="1" x14ac:dyDescent="0.25">
      <c r="A904" s="192" t="s">
        <v>7416</v>
      </c>
      <c r="B904" s="203" t="s">
        <v>3332</v>
      </c>
      <c r="C904" s="188" t="s">
        <v>3357</v>
      </c>
      <c r="D904" s="199" t="s">
        <v>8723</v>
      </c>
      <c r="E904" s="188" t="s">
        <v>5337</v>
      </c>
      <c r="F904" s="189" t="s">
        <v>4058</v>
      </c>
      <c r="G904" s="199" t="s">
        <v>8283</v>
      </c>
      <c r="H904" s="199" t="s">
        <v>8638</v>
      </c>
      <c r="I904" s="199">
        <v>1</v>
      </c>
      <c r="J904" s="199">
        <v>1</v>
      </c>
      <c r="K904" s="199">
        <v>1</v>
      </c>
      <c r="L904" s="199">
        <v>50</v>
      </c>
      <c r="M904" s="202">
        <f>TB_Parts_Lists[[#This Row],[Quantity Initial]]+ SUMIF(TB_Transactions[Part number],TB_Parts_Lists[[#This Row],[Part Number]],TB_Transactions[Quantity])</f>
        <v>50</v>
      </c>
      <c r="N904" s="200" t="s">
        <v>4593</v>
      </c>
      <c r="O904" s="234">
        <v>5</v>
      </c>
      <c r="P904" s="199">
        <f>TB_Parts_Lists[[#This Row],[Quantity Initial]]*TB_Parts_Lists[[#This Row],[Unit Price AED]]</f>
        <v>250</v>
      </c>
      <c r="Q904" s="199">
        <f>TB_Parts_Lists[[#This Row],[Quantity Total]]*TB_Parts_Lists[[#This Row],[Unit Price AED]]</f>
        <v>250</v>
      </c>
      <c r="S904" s="199" t="s">
        <v>8675</v>
      </c>
      <c r="T904" s="199" t="s">
        <v>8675</v>
      </c>
      <c r="U904" s="199" t="s">
        <v>8675</v>
      </c>
    </row>
    <row r="905" spans="1:21" s="199" customFormat="1" x14ac:dyDescent="0.25">
      <c r="A905" s="192" t="s">
        <v>7417</v>
      </c>
      <c r="B905" s="203" t="s">
        <v>3332</v>
      </c>
      <c r="C905" s="188" t="s">
        <v>3357</v>
      </c>
      <c r="D905" s="199" t="s">
        <v>8723</v>
      </c>
      <c r="E905" s="188" t="s">
        <v>5338</v>
      </c>
      <c r="F905" s="189" t="s">
        <v>6033</v>
      </c>
      <c r="G905" s="199" t="s">
        <v>8283</v>
      </c>
      <c r="H905" s="199" t="s">
        <v>51</v>
      </c>
      <c r="I905" s="199">
        <v>1</v>
      </c>
      <c r="J905" s="199">
        <v>1</v>
      </c>
      <c r="K905" s="199">
        <v>1</v>
      </c>
      <c r="L905" s="199">
        <v>50</v>
      </c>
      <c r="M905" s="202">
        <f>TB_Parts_Lists[[#This Row],[Quantity Initial]]+ SUMIF(TB_Transactions[Part number],TB_Parts_Lists[[#This Row],[Part Number]],TB_Transactions[Quantity])</f>
        <v>50</v>
      </c>
      <c r="N905" s="200" t="s">
        <v>4593</v>
      </c>
      <c r="O905" s="234">
        <v>5</v>
      </c>
      <c r="P905" s="199">
        <f>TB_Parts_Lists[[#This Row],[Quantity Initial]]*TB_Parts_Lists[[#This Row],[Unit Price AED]]</f>
        <v>250</v>
      </c>
      <c r="Q905" s="199">
        <f>TB_Parts_Lists[[#This Row],[Quantity Total]]*TB_Parts_Lists[[#This Row],[Unit Price AED]]</f>
        <v>250</v>
      </c>
      <c r="S905" s="199" t="s">
        <v>8675</v>
      </c>
      <c r="T905" s="199" t="s">
        <v>8675</v>
      </c>
      <c r="U905" s="199" t="s">
        <v>8675</v>
      </c>
    </row>
    <row r="906" spans="1:21" s="199" customFormat="1" x14ac:dyDescent="0.25">
      <c r="A906" s="192" t="s">
        <v>7418</v>
      </c>
      <c r="B906" s="203" t="s">
        <v>3330</v>
      </c>
      <c r="C906" s="188" t="s">
        <v>3003</v>
      </c>
      <c r="D906" s="188" t="s">
        <v>8724</v>
      </c>
      <c r="E906" s="188" t="s">
        <v>5339</v>
      </c>
      <c r="F906" s="189" t="s">
        <v>4059</v>
      </c>
      <c r="G906" s="199" t="s">
        <v>8284</v>
      </c>
      <c r="H906" s="199" t="s">
        <v>51</v>
      </c>
      <c r="I906" s="199">
        <v>1</v>
      </c>
      <c r="J906" s="199">
        <v>1</v>
      </c>
      <c r="K906" s="199">
        <v>1</v>
      </c>
      <c r="L906" s="199">
        <v>50</v>
      </c>
      <c r="M906" s="202">
        <f>TB_Parts_Lists[[#This Row],[Quantity Initial]]+ SUMIF(TB_Transactions[Part number],TB_Parts_Lists[[#This Row],[Part Number]],TB_Transactions[Quantity])</f>
        <v>50</v>
      </c>
      <c r="N906" s="200" t="s">
        <v>4593</v>
      </c>
      <c r="O906" s="234">
        <v>5</v>
      </c>
      <c r="P906" s="199">
        <f>TB_Parts_Lists[[#This Row],[Quantity Initial]]*TB_Parts_Lists[[#This Row],[Unit Price AED]]</f>
        <v>250</v>
      </c>
      <c r="Q906" s="199">
        <f>TB_Parts_Lists[[#This Row],[Quantity Total]]*TB_Parts_Lists[[#This Row],[Unit Price AED]]</f>
        <v>250</v>
      </c>
      <c r="S906" s="199" t="s">
        <v>8675</v>
      </c>
      <c r="T906" s="199" t="s">
        <v>8675</v>
      </c>
      <c r="U906" s="199" t="s">
        <v>8675</v>
      </c>
    </row>
    <row r="907" spans="1:21" s="199" customFormat="1" x14ac:dyDescent="0.25">
      <c r="A907" s="192" t="s">
        <v>7419</v>
      </c>
      <c r="B907" s="203" t="s">
        <v>3335</v>
      </c>
      <c r="C907" s="188" t="s">
        <v>3005</v>
      </c>
      <c r="D907" s="188" t="s">
        <v>8724</v>
      </c>
      <c r="E907" s="188" t="s">
        <v>4130</v>
      </c>
      <c r="F907" s="189" t="s">
        <v>4060</v>
      </c>
      <c r="G907" s="199" t="s">
        <v>8284</v>
      </c>
      <c r="H907" s="199" t="e">
        <v>#N/A</v>
      </c>
      <c r="I907" s="199">
        <v>1</v>
      </c>
      <c r="J907" s="199">
        <v>1</v>
      </c>
      <c r="K907" s="199">
        <v>1</v>
      </c>
      <c r="L907" s="199">
        <v>50</v>
      </c>
      <c r="M907" s="202">
        <f>TB_Parts_Lists[[#This Row],[Quantity Initial]]+ SUMIF(TB_Transactions[Part number],TB_Parts_Lists[[#This Row],[Part Number]],TB_Transactions[Quantity])</f>
        <v>50</v>
      </c>
      <c r="N907" s="200" t="s">
        <v>4593</v>
      </c>
      <c r="O907" s="234">
        <v>5</v>
      </c>
      <c r="P907" s="199">
        <f>TB_Parts_Lists[[#This Row],[Quantity Initial]]*TB_Parts_Lists[[#This Row],[Unit Price AED]]</f>
        <v>250</v>
      </c>
      <c r="Q907" s="199">
        <f>TB_Parts_Lists[[#This Row],[Quantity Total]]*TB_Parts_Lists[[#This Row],[Unit Price AED]]</f>
        <v>250</v>
      </c>
      <c r="S907" s="199" t="e">
        <v>#N/A</v>
      </c>
      <c r="T907" s="199" t="e">
        <v>#N/A</v>
      </c>
      <c r="U907" s="199" t="e">
        <v>#N/A</v>
      </c>
    </row>
    <row r="908" spans="1:21" s="199" customFormat="1" x14ac:dyDescent="0.25">
      <c r="A908" s="192" t="s">
        <v>7420</v>
      </c>
      <c r="B908" s="203" t="s">
        <v>3332</v>
      </c>
      <c r="C908" s="188" t="s">
        <v>3357</v>
      </c>
      <c r="D908" s="199" t="s">
        <v>8724</v>
      </c>
      <c r="E908" s="188" t="s">
        <v>5340</v>
      </c>
      <c r="F908" s="189" t="s">
        <v>4061</v>
      </c>
      <c r="G908" s="199" t="s">
        <v>8284</v>
      </c>
      <c r="H908" s="199" t="s">
        <v>51</v>
      </c>
      <c r="I908" s="199">
        <v>1</v>
      </c>
      <c r="J908" s="199">
        <v>1</v>
      </c>
      <c r="K908" s="199">
        <v>1</v>
      </c>
      <c r="L908" s="199">
        <v>50</v>
      </c>
      <c r="M908" s="202">
        <f>TB_Parts_Lists[[#This Row],[Quantity Initial]]+ SUMIF(TB_Transactions[Part number],TB_Parts_Lists[[#This Row],[Part Number]],TB_Transactions[Quantity])</f>
        <v>50</v>
      </c>
      <c r="N908" s="200" t="s">
        <v>4593</v>
      </c>
      <c r="O908" s="234">
        <v>5</v>
      </c>
      <c r="P908" s="199">
        <f>TB_Parts_Lists[[#This Row],[Quantity Initial]]*TB_Parts_Lists[[#This Row],[Unit Price AED]]</f>
        <v>250</v>
      </c>
      <c r="Q908" s="199">
        <f>TB_Parts_Lists[[#This Row],[Quantity Total]]*TB_Parts_Lists[[#This Row],[Unit Price AED]]</f>
        <v>250</v>
      </c>
      <c r="S908" s="199" t="s">
        <v>8675</v>
      </c>
      <c r="T908" s="199" t="s">
        <v>8675</v>
      </c>
      <c r="U908" s="199" t="s">
        <v>8675</v>
      </c>
    </row>
    <row r="909" spans="1:21" s="199" customFormat="1" x14ac:dyDescent="0.25">
      <c r="A909" s="192" t="s">
        <v>7421</v>
      </c>
      <c r="B909" s="203" t="s">
        <v>3335</v>
      </c>
      <c r="C909" s="188" t="s">
        <v>3353</v>
      </c>
      <c r="D909" s="199" t="s">
        <v>8724</v>
      </c>
      <c r="E909" s="188" t="s">
        <v>5341</v>
      </c>
      <c r="F909" s="189" t="s">
        <v>4062</v>
      </c>
      <c r="G909" s="199" t="s">
        <v>8284</v>
      </c>
      <c r="H909" s="199" t="s">
        <v>51</v>
      </c>
      <c r="I909" s="199">
        <v>1</v>
      </c>
      <c r="J909" s="199">
        <v>1</v>
      </c>
      <c r="K909" s="199">
        <v>1</v>
      </c>
      <c r="L909" s="199">
        <v>50</v>
      </c>
      <c r="M909" s="202">
        <f>TB_Parts_Lists[[#This Row],[Quantity Initial]]+ SUMIF(TB_Transactions[Part number],TB_Parts_Lists[[#This Row],[Part Number]],TB_Transactions[Quantity])</f>
        <v>50</v>
      </c>
      <c r="N909" s="200" t="s">
        <v>4593</v>
      </c>
      <c r="O909" s="234">
        <v>5</v>
      </c>
      <c r="P909" s="199">
        <f>TB_Parts_Lists[[#This Row],[Quantity Initial]]*TB_Parts_Lists[[#This Row],[Unit Price AED]]</f>
        <v>250</v>
      </c>
      <c r="Q909" s="199">
        <f>TB_Parts_Lists[[#This Row],[Quantity Total]]*TB_Parts_Lists[[#This Row],[Unit Price AED]]</f>
        <v>250</v>
      </c>
      <c r="S909" s="199" t="s">
        <v>8675</v>
      </c>
      <c r="T909" s="199" t="s">
        <v>8675</v>
      </c>
      <c r="U909" s="199" t="s">
        <v>8675</v>
      </c>
    </row>
    <row r="910" spans="1:21" s="199" customFormat="1" x14ac:dyDescent="0.25">
      <c r="A910" s="192" t="s">
        <v>7422</v>
      </c>
      <c r="B910" s="203" t="s">
        <v>3335</v>
      </c>
      <c r="C910" s="188" t="s">
        <v>3005</v>
      </c>
      <c r="D910" s="199" t="s">
        <v>8732</v>
      </c>
      <c r="E910" s="188" t="s">
        <v>5342</v>
      </c>
      <c r="F910" s="189" t="s">
        <v>4063</v>
      </c>
      <c r="G910" s="199" t="s">
        <v>8284</v>
      </c>
      <c r="H910" s="199" t="s">
        <v>51</v>
      </c>
      <c r="I910" s="199">
        <v>1</v>
      </c>
      <c r="J910" s="199">
        <v>1</v>
      </c>
      <c r="K910" s="199">
        <v>1</v>
      </c>
      <c r="L910" s="199">
        <v>50</v>
      </c>
      <c r="M910" s="202">
        <f>TB_Parts_Lists[[#This Row],[Quantity Initial]]+ SUMIF(TB_Transactions[Part number],TB_Parts_Lists[[#This Row],[Part Number]],TB_Transactions[Quantity])</f>
        <v>50</v>
      </c>
      <c r="N910" s="200" t="s">
        <v>4593</v>
      </c>
      <c r="O910" s="234">
        <v>5</v>
      </c>
      <c r="P910" s="199">
        <f>TB_Parts_Lists[[#This Row],[Quantity Initial]]*TB_Parts_Lists[[#This Row],[Unit Price AED]]</f>
        <v>250</v>
      </c>
      <c r="Q910" s="199">
        <f>TB_Parts_Lists[[#This Row],[Quantity Total]]*TB_Parts_Lists[[#This Row],[Unit Price AED]]</f>
        <v>250</v>
      </c>
      <c r="S910" s="199" t="s">
        <v>122</v>
      </c>
      <c r="T910" s="199" t="s">
        <v>312</v>
      </c>
      <c r="U910" s="199" t="s">
        <v>311</v>
      </c>
    </row>
    <row r="911" spans="1:21" s="199" customFormat="1" x14ac:dyDescent="0.25">
      <c r="A911" s="192" t="s">
        <v>7423</v>
      </c>
      <c r="B911" s="203" t="s">
        <v>6619</v>
      </c>
      <c r="C911" s="188" t="s">
        <v>3637</v>
      </c>
      <c r="D911" s="199" t="s">
        <v>8724</v>
      </c>
      <c r="E911" s="188" t="s">
        <v>4064</v>
      </c>
      <c r="F911" s="189" t="s">
        <v>4065</v>
      </c>
      <c r="G911" s="199" t="s">
        <v>8284</v>
      </c>
      <c r="H911" s="199" t="s">
        <v>51</v>
      </c>
      <c r="I911" s="199">
        <v>1</v>
      </c>
      <c r="J911" s="199">
        <v>1</v>
      </c>
      <c r="K911" s="199">
        <v>1</v>
      </c>
      <c r="L911" s="199">
        <v>50</v>
      </c>
      <c r="M911" s="202">
        <f>TB_Parts_Lists[[#This Row],[Quantity Initial]]+ SUMIF(TB_Transactions[Part number],TB_Parts_Lists[[#This Row],[Part Number]],TB_Transactions[Quantity])</f>
        <v>50</v>
      </c>
      <c r="N911" s="200" t="s">
        <v>4593</v>
      </c>
      <c r="O911" s="234">
        <v>5</v>
      </c>
      <c r="P911" s="199">
        <f>TB_Parts_Lists[[#This Row],[Quantity Initial]]*TB_Parts_Lists[[#This Row],[Unit Price AED]]</f>
        <v>250</v>
      </c>
      <c r="Q911" s="199">
        <f>TB_Parts_Lists[[#This Row],[Quantity Total]]*TB_Parts_Lists[[#This Row],[Unit Price AED]]</f>
        <v>250</v>
      </c>
      <c r="S911" s="199" t="s">
        <v>8675</v>
      </c>
      <c r="T911" s="199" t="s">
        <v>8675</v>
      </c>
      <c r="U911" s="199" t="s">
        <v>8675</v>
      </c>
    </row>
    <row r="912" spans="1:21" s="199" customFormat="1" x14ac:dyDescent="0.25">
      <c r="A912" s="192" t="s">
        <v>7424</v>
      </c>
      <c r="B912" s="203" t="s">
        <v>6619</v>
      </c>
      <c r="C912" s="188" t="s">
        <v>3637</v>
      </c>
      <c r="D912" s="199" t="s">
        <v>8724</v>
      </c>
      <c r="E912" s="188" t="s">
        <v>4064</v>
      </c>
      <c r="F912" s="189" t="s">
        <v>4066</v>
      </c>
      <c r="G912" s="199" t="s">
        <v>8284</v>
      </c>
      <c r="H912" s="199" t="s">
        <v>51</v>
      </c>
      <c r="I912" s="199">
        <v>1</v>
      </c>
      <c r="J912" s="199">
        <v>1</v>
      </c>
      <c r="K912" s="199">
        <v>1</v>
      </c>
      <c r="L912" s="199">
        <v>50</v>
      </c>
      <c r="M912" s="202">
        <f>TB_Parts_Lists[[#This Row],[Quantity Initial]]+ SUMIF(TB_Transactions[Part number],TB_Parts_Lists[[#This Row],[Part Number]],TB_Transactions[Quantity])</f>
        <v>50</v>
      </c>
      <c r="N912" s="200" t="s">
        <v>4593</v>
      </c>
      <c r="O912" s="234">
        <v>5</v>
      </c>
      <c r="P912" s="199">
        <f>TB_Parts_Lists[[#This Row],[Quantity Initial]]*TB_Parts_Lists[[#This Row],[Unit Price AED]]</f>
        <v>250</v>
      </c>
      <c r="Q912" s="199">
        <f>TB_Parts_Lists[[#This Row],[Quantity Total]]*TB_Parts_Lists[[#This Row],[Unit Price AED]]</f>
        <v>250</v>
      </c>
      <c r="S912" s="199" t="s">
        <v>8675</v>
      </c>
      <c r="T912" s="199" t="s">
        <v>8675</v>
      </c>
      <c r="U912" s="199" t="s">
        <v>8675</v>
      </c>
    </row>
    <row r="913" spans="1:21" s="199" customFormat="1" x14ac:dyDescent="0.25">
      <c r="A913" s="192" t="s">
        <v>7425</v>
      </c>
      <c r="B913" s="203" t="s">
        <v>3335</v>
      </c>
      <c r="C913" s="188" t="s">
        <v>3005</v>
      </c>
      <c r="D913" s="199" t="s">
        <v>8724</v>
      </c>
      <c r="E913" s="188" t="s">
        <v>5343</v>
      </c>
      <c r="F913" s="189" t="s">
        <v>4067</v>
      </c>
      <c r="G913" s="199" t="s">
        <v>8284</v>
      </c>
      <c r="H913" s="199" t="s">
        <v>51</v>
      </c>
      <c r="I913" s="199">
        <v>1</v>
      </c>
      <c r="J913" s="199">
        <v>1</v>
      </c>
      <c r="K913" s="199">
        <v>1</v>
      </c>
      <c r="L913" s="199">
        <v>50</v>
      </c>
      <c r="M913" s="202">
        <f>TB_Parts_Lists[[#This Row],[Quantity Initial]]+ SUMIF(TB_Transactions[Part number],TB_Parts_Lists[[#This Row],[Part Number]],TB_Transactions[Quantity])</f>
        <v>50</v>
      </c>
      <c r="N913" s="200" t="s">
        <v>4593</v>
      </c>
      <c r="O913" s="234">
        <v>5</v>
      </c>
      <c r="P913" s="199">
        <f>TB_Parts_Lists[[#This Row],[Quantity Initial]]*TB_Parts_Lists[[#This Row],[Unit Price AED]]</f>
        <v>250</v>
      </c>
      <c r="Q913" s="199">
        <f>TB_Parts_Lists[[#This Row],[Quantity Total]]*TB_Parts_Lists[[#This Row],[Unit Price AED]]</f>
        <v>250</v>
      </c>
      <c r="S913" s="199" t="s">
        <v>8675</v>
      </c>
      <c r="T913" s="199" t="s">
        <v>8675</v>
      </c>
      <c r="U913" s="199" t="s">
        <v>8675</v>
      </c>
    </row>
    <row r="914" spans="1:21" s="199" customFormat="1" x14ac:dyDescent="0.25">
      <c r="A914" s="192" t="s">
        <v>7426</v>
      </c>
      <c r="B914" s="203" t="s">
        <v>3335</v>
      </c>
      <c r="C914" s="188" t="s">
        <v>6623</v>
      </c>
      <c r="D914" s="199" t="s">
        <v>8724</v>
      </c>
      <c r="E914" s="188" t="s">
        <v>5344</v>
      </c>
      <c r="F914" s="189" t="s">
        <v>4068</v>
      </c>
      <c r="G914" s="199" t="s">
        <v>8284</v>
      </c>
      <c r="H914" s="199" t="s">
        <v>8638</v>
      </c>
      <c r="I914" s="199">
        <v>1</v>
      </c>
      <c r="J914" s="199">
        <v>1</v>
      </c>
      <c r="K914" s="199">
        <v>1</v>
      </c>
      <c r="L914" s="199">
        <v>50</v>
      </c>
      <c r="M914" s="202">
        <f>TB_Parts_Lists[[#This Row],[Quantity Initial]]+ SUMIF(TB_Transactions[Part number],TB_Parts_Lists[[#This Row],[Part Number]],TB_Transactions[Quantity])</f>
        <v>50</v>
      </c>
      <c r="N914" s="200" t="s">
        <v>4593</v>
      </c>
      <c r="O914" s="234">
        <v>5</v>
      </c>
      <c r="P914" s="199">
        <f>TB_Parts_Lists[[#This Row],[Quantity Initial]]*TB_Parts_Lists[[#This Row],[Unit Price AED]]</f>
        <v>250</v>
      </c>
      <c r="Q914" s="199">
        <f>TB_Parts_Lists[[#This Row],[Quantity Total]]*TB_Parts_Lists[[#This Row],[Unit Price AED]]</f>
        <v>250</v>
      </c>
      <c r="S914" s="199" t="s">
        <v>8675</v>
      </c>
      <c r="T914" s="199" t="s">
        <v>8675</v>
      </c>
      <c r="U914" s="199" t="s">
        <v>8675</v>
      </c>
    </row>
    <row r="915" spans="1:21" s="199" customFormat="1" x14ac:dyDescent="0.25">
      <c r="A915" s="192" t="s">
        <v>7428</v>
      </c>
      <c r="B915" s="203" t="s">
        <v>3334</v>
      </c>
      <c r="C915" s="188" t="s">
        <v>7287</v>
      </c>
      <c r="D915" s="199" t="s">
        <v>8724</v>
      </c>
      <c r="E915" s="188" t="s">
        <v>7427</v>
      </c>
      <c r="F915" s="189" t="s">
        <v>4069</v>
      </c>
      <c r="G915" s="199" t="s">
        <v>8284</v>
      </c>
      <c r="H915" s="199" t="s">
        <v>51</v>
      </c>
      <c r="I915" s="199">
        <v>1</v>
      </c>
      <c r="J915" s="199">
        <v>1</v>
      </c>
      <c r="K915" s="199">
        <v>1</v>
      </c>
      <c r="L915" s="199">
        <v>50</v>
      </c>
      <c r="M915" s="202">
        <f>TB_Parts_Lists[[#This Row],[Quantity Initial]]+ SUMIF(TB_Transactions[Part number],TB_Parts_Lists[[#This Row],[Part Number]],TB_Transactions[Quantity])</f>
        <v>50</v>
      </c>
      <c r="N915" s="200" t="s">
        <v>4593</v>
      </c>
      <c r="O915" s="234">
        <v>5</v>
      </c>
      <c r="P915" s="199">
        <f>TB_Parts_Lists[[#This Row],[Quantity Initial]]*TB_Parts_Lists[[#This Row],[Unit Price AED]]</f>
        <v>250</v>
      </c>
      <c r="Q915" s="199">
        <f>TB_Parts_Lists[[#This Row],[Quantity Total]]*TB_Parts_Lists[[#This Row],[Unit Price AED]]</f>
        <v>250</v>
      </c>
      <c r="S915" s="199" t="s">
        <v>122</v>
      </c>
      <c r="T915" s="199" t="s">
        <v>189</v>
      </c>
      <c r="U915" s="199" t="s">
        <v>1720</v>
      </c>
    </row>
    <row r="916" spans="1:21" s="199" customFormat="1" x14ac:dyDescent="0.25">
      <c r="A916" s="192" t="s">
        <v>7429</v>
      </c>
      <c r="B916" s="203" t="s">
        <v>3333</v>
      </c>
      <c r="C916" s="188" t="s">
        <v>3349</v>
      </c>
      <c r="D916" s="199" t="s">
        <v>8724</v>
      </c>
      <c r="E916" s="188" t="s">
        <v>4131</v>
      </c>
      <c r="F916" s="189" t="s">
        <v>4070</v>
      </c>
      <c r="G916" s="199" t="s">
        <v>8284</v>
      </c>
      <c r="H916" s="199" t="s">
        <v>51</v>
      </c>
      <c r="I916" s="199">
        <v>1</v>
      </c>
      <c r="J916" s="199">
        <v>1</v>
      </c>
      <c r="K916" s="199">
        <v>1</v>
      </c>
      <c r="L916" s="199">
        <v>50</v>
      </c>
      <c r="M916" s="202">
        <f>TB_Parts_Lists[[#This Row],[Quantity Initial]]+ SUMIF(TB_Transactions[Part number],TB_Parts_Lists[[#This Row],[Part Number]],TB_Transactions[Quantity])</f>
        <v>50</v>
      </c>
      <c r="N916" s="200" t="s">
        <v>4593</v>
      </c>
      <c r="O916" s="234">
        <v>5</v>
      </c>
      <c r="P916" s="199">
        <f>TB_Parts_Lists[[#This Row],[Quantity Initial]]*TB_Parts_Lists[[#This Row],[Unit Price AED]]</f>
        <v>250</v>
      </c>
      <c r="Q916" s="199">
        <f>TB_Parts_Lists[[#This Row],[Quantity Total]]*TB_Parts_Lists[[#This Row],[Unit Price AED]]</f>
        <v>250</v>
      </c>
      <c r="S916" s="199" t="s">
        <v>8675</v>
      </c>
      <c r="T916" s="199" t="s">
        <v>8675</v>
      </c>
      <c r="U916" s="199" t="s">
        <v>8675</v>
      </c>
    </row>
    <row r="917" spans="1:21" s="199" customFormat="1" x14ac:dyDescent="0.25">
      <c r="A917" s="192" t="s">
        <v>7430</v>
      </c>
      <c r="B917" s="203" t="s">
        <v>3330</v>
      </c>
      <c r="C917" s="188" t="s">
        <v>3338</v>
      </c>
      <c r="D917" s="199" t="s">
        <v>8724</v>
      </c>
      <c r="E917" s="188" t="s">
        <v>5345</v>
      </c>
      <c r="F917" s="189" t="s">
        <v>4071</v>
      </c>
      <c r="G917" s="199" t="s">
        <v>8284</v>
      </c>
      <c r="H917" s="199" t="s">
        <v>51</v>
      </c>
      <c r="I917" s="199">
        <v>1</v>
      </c>
      <c r="J917" s="199">
        <v>1</v>
      </c>
      <c r="K917" s="199">
        <v>1</v>
      </c>
      <c r="L917" s="199">
        <v>50</v>
      </c>
      <c r="M917" s="202">
        <f>TB_Parts_Lists[[#This Row],[Quantity Initial]]+ SUMIF(TB_Transactions[Part number],TB_Parts_Lists[[#This Row],[Part Number]],TB_Transactions[Quantity])</f>
        <v>50</v>
      </c>
      <c r="N917" s="200" t="s">
        <v>4593</v>
      </c>
      <c r="O917" s="234">
        <v>5</v>
      </c>
      <c r="P917" s="199">
        <f>TB_Parts_Lists[[#This Row],[Quantity Initial]]*TB_Parts_Lists[[#This Row],[Unit Price AED]]</f>
        <v>250</v>
      </c>
      <c r="Q917" s="199">
        <f>TB_Parts_Lists[[#This Row],[Quantity Total]]*TB_Parts_Lists[[#This Row],[Unit Price AED]]</f>
        <v>250</v>
      </c>
      <c r="S917" s="199" t="s">
        <v>8675</v>
      </c>
      <c r="T917" s="199" t="s">
        <v>8675</v>
      </c>
      <c r="U917" s="199" t="s">
        <v>8675</v>
      </c>
    </row>
    <row r="918" spans="1:21" s="199" customFormat="1" x14ac:dyDescent="0.25">
      <c r="A918" s="192" t="s">
        <v>7431</v>
      </c>
      <c r="B918" s="203" t="s">
        <v>3335</v>
      </c>
      <c r="C918" s="188" t="s">
        <v>3353</v>
      </c>
      <c r="D918" s="199" t="s">
        <v>8724</v>
      </c>
      <c r="E918" s="188" t="s">
        <v>5346</v>
      </c>
      <c r="F918" s="189" t="s">
        <v>4072</v>
      </c>
      <c r="G918" s="199" t="s">
        <v>8284</v>
      </c>
      <c r="H918" s="199" t="s">
        <v>51</v>
      </c>
      <c r="I918" s="199">
        <v>1</v>
      </c>
      <c r="J918" s="199">
        <v>1</v>
      </c>
      <c r="K918" s="199">
        <v>1</v>
      </c>
      <c r="L918" s="199">
        <v>50</v>
      </c>
      <c r="M918" s="202">
        <f>TB_Parts_Lists[[#This Row],[Quantity Initial]]+ SUMIF(TB_Transactions[Part number],TB_Parts_Lists[[#This Row],[Part Number]],TB_Transactions[Quantity])</f>
        <v>50</v>
      </c>
      <c r="N918" s="200" t="s">
        <v>4593</v>
      </c>
      <c r="O918" s="234">
        <v>5</v>
      </c>
      <c r="P918" s="199">
        <f>TB_Parts_Lists[[#This Row],[Quantity Initial]]*TB_Parts_Lists[[#This Row],[Unit Price AED]]</f>
        <v>250</v>
      </c>
      <c r="Q918" s="199">
        <f>TB_Parts_Lists[[#This Row],[Quantity Total]]*TB_Parts_Lists[[#This Row],[Unit Price AED]]</f>
        <v>250</v>
      </c>
      <c r="S918" s="199" t="s">
        <v>122</v>
      </c>
      <c r="T918" s="199" t="s">
        <v>312</v>
      </c>
      <c r="U918" s="199" t="s">
        <v>311</v>
      </c>
    </row>
    <row r="919" spans="1:21" s="199" customFormat="1" x14ac:dyDescent="0.25">
      <c r="A919" s="192" t="s">
        <v>7432</v>
      </c>
      <c r="B919" s="203" t="s">
        <v>3335</v>
      </c>
      <c r="C919" s="188" t="s">
        <v>3353</v>
      </c>
      <c r="D919" s="199" t="s">
        <v>8724</v>
      </c>
      <c r="E919" s="188" t="s">
        <v>5347</v>
      </c>
      <c r="F919" s="189" t="s">
        <v>4073</v>
      </c>
      <c r="G919" s="199" t="s">
        <v>8284</v>
      </c>
      <c r="H919" s="199" t="s">
        <v>8638</v>
      </c>
      <c r="I919" s="199">
        <v>1</v>
      </c>
      <c r="J919" s="199">
        <v>1</v>
      </c>
      <c r="K919" s="199">
        <v>1</v>
      </c>
      <c r="L919" s="199">
        <v>50</v>
      </c>
      <c r="M919" s="202">
        <f>TB_Parts_Lists[[#This Row],[Quantity Initial]]+ SUMIF(TB_Transactions[Part number],TB_Parts_Lists[[#This Row],[Part Number]],TB_Transactions[Quantity])</f>
        <v>50</v>
      </c>
      <c r="N919" s="200" t="s">
        <v>4593</v>
      </c>
      <c r="O919" s="234">
        <v>5</v>
      </c>
      <c r="P919" s="199">
        <f>TB_Parts_Lists[[#This Row],[Quantity Initial]]*TB_Parts_Lists[[#This Row],[Unit Price AED]]</f>
        <v>250</v>
      </c>
      <c r="Q919" s="199">
        <f>TB_Parts_Lists[[#This Row],[Quantity Total]]*TB_Parts_Lists[[#This Row],[Unit Price AED]]</f>
        <v>250</v>
      </c>
      <c r="S919" s="199" t="s">
        <v>122</v>
      </c>
      <c r="T919" s="199" t="s">
        <v>312</v>
      </c>
      <c r="U919" s="199" t="s">
        <v>311</v>
      </c>
    </row>
    <row r="920" spans="1:21" s="199" customFormat="1" x14ac:dyDescent="0.25">
      <c r="A920" s="192" t="s">
        <v>7433</v>
      </c>
      <c r="B920" s="203" t="s">
        <v>3330</v>
      </c>
      <c r="C920" s="188" t="s">
        <v>6735</v>
      </c>
      <c r="D920" s="199" t="s">
        <v>8732</v>
      </c>
      <c r="E920" s="188" t="s">
        <v>5348</v>
      </c>
      <c r="F920" s="189" t="s">
        <v>4074</v>
      </c>
      <c r="G920" s="199" t="s">
        <v>8284</v>
      </c>
      <c r="H920" s="199" t="s">
        <v>72</v>
      </c>
      <c r="I920" s="199">
        <v>1</v>
      </c>
      <c r="J920" s="199">
        <v>1</v>
      </c>
      <c r="K920" s="199">
        <v>1</v>
      </c>
      <c r="L920" s="199">
        <v>50</v>
      </c>
      <c r="M920" s="202">
        <f>TB_Parts_Lists[[#This Row],[Quantity Initial]]+ SUMIF(TB_Transactions[Part number],TB_Parts_Lists[[#This Row],[Part Number]],TB_Transactions[Quantity])</f>
        <v>50</v>
      </c>
      <c r="N920" s="200" t="s">
        <v>4593</v>
      </c>
      <c r="O920" s="234">
        <v>5</v>
      </c>
      <c r="P920" s="199">
        <f>TB_Parts_Lists[[#This Row],[Quantity Initial]]*TB_Parts_Lists[[#This Row],[Unit Price AED]]</f>
        <v>250</v>
      </c>
      <c r="Q920" s="199">
        <f>TB_Parts_Lists[[#This Row],[Quantity Total]]*TB_Parts_Lists[[#This Row],[Unit Price AED]]</f>
        <v>250</v>
      </c>
      <c r="S920" s="199" t="s">
        <v>122</v>
      </c>
      <c r="T920" s="199" t="s">
        <v>189</v>
      </c>
      <c r="U920" s="199" t="s">
        <v>1720</v>
      </c>
    </row>
    <row r="921" spans="1:21" s="199" customFormat="1" x14ac:dyDescent="0.25">
      <c r="A921" s="192" t="s">
        <v>7434</v>
      </c>
      <c r="B921" s="203" t="s">
        <v>3330</v>
      </c>
      <c r="C921" s="188" t="s">
        <v>6735</v>
      </c>
      <c r="D921" s="199" t="s">
        <v>8723</v>
      </c>
      <c r="E921" s="188" t="s">
        <v>4075</v>
      </c>
      <c r="F921" s="189" t="s">
        <v>4076</v>
      </c>
      <c r="G921" s="199" t="s">
        <v>8284</v>
      </c>
      <c r="H921" s="199" t="s">
        <v>72</v>
      </c>
      <c r="I921" s="199">
        <v>1</v>
      </c>
      <c r="J921" s="199">
        <v>1</v>
      </c>
      <c r="K921" s="199">
        <v>1</v>
      </c>
      <c r="L921" s="199">
        <v>50</v>
      </c>
      <c r="M921" s="202">
        <f>TB_Parts_Lists[[#This Row],[Quantity Initial]]+ SUMIF(TB_Transactions[Part number],TB_Parts_Lists[[#This Row],[Part Number]],TB_Transactions[Quantity])</f>
        <v>50</v>
      </c>
      <c r="N921" s="200" t="s">
        <v>4593</v>
      </c>
      <c r="O921" s="234">
        <v>5</v>
      </c>
      <c r="P921" s="199">
        <f>TB_Parts_Lists[[#This Row],[Quantity Initial]]*TB_Parts_Lists[[#This Row],[Unit Price AED]]</f>
        <v>250</v>
      </c>
      <c r="Q921" s="199">
        <f>TB_Parts_Lists[[#This Row],[Quantity Total]]*TB_Parts_Lists[[#This Row],[Unit Price AED]]</f>
        <v>250</v>
      </c>
      <c r="S921" s="199" t="s">
        <v>8675</v>
      </c>
      <c r="T921" s="199" t="s">
        <v>8675</v>
      </c>
      <c r="U921" s="199" t="s">
        <v>8675</v>
      </c>
    </row>
    <row r="922" spans="1:21" s="199" customFormat="1" x14ac:dyDescent="0.25">
      <c r="A922" s="192" t="s">
        <v>7435</v>
      </c>
      <c r="B922" s="203" t="s">
        <v>3330</v>
      </c>
      <c r="C922" s="188" t="s">
        <v>3338</v>
      </c>
      <c r="D922" s="199" t="s">
        <v>8723</v>
      </c>
      <c r="E922" s="188" t="s">
        <v>4077</v>
      </c>
      <c r="F922" s="189" t="s">
        <v>4076</v>
      </c>
      <c r="G922" s="199" t="s">
        <v>8284</v>
      </c>
      <c r="H922" s="199" t="s">
        <v>72</v>
      </c>
      <c r="I922" s="199">
        <v>1</v>
      </c>
      <c r="J922" s="199">
        <v>1</v>
      </c>
      <c r="K922" s="199">
        <v>1</v>
      </c>
      <c r="L922" s="199">
        <v>50</v>
      </c>
      <c r="M922" s="202">
        <f>TB_Parts_Lists[[#This Row],[Quantity Initial]]+ SUMIF(TB_Transactions[Part number],TB_Parts_Lists[[#This Row],[Part Number]],TB_Transactions[Quantity])</f>
        <v>50</v>
      </c>
      <c r="N922" s="200" t="s">
        <v>4593</v>
      </c>
      <c r="O922" s="234">
        <v>5</v>
      </c>
      <c r="P922" s="199">
        <f>TB_Parts_Lists[[#This Row],[Quantity Initial]]*TB_Parts_Lists[[#This Row],[Unit Price AED]]</f>
        <v>250</v>
      </c>
      <c r="Q922" s="199">
        <f>TB_Parts_Lists[[#This Row],[Quantity Total]]*TB_Parts_Lists[[#This Row],[Unit Price AED]]</f>
        <v>250</v>
      </c>
      <c r="S922" s="199" t="s">
        <v>8675</v>
      </c>
      <c r="T922" s="199" t="s">
        <v>8675</v>
      </c>
      <c r="U922" s="199" t="s">
        <v>8675</v>
      </c>
    </row>
    <row r="923" spans="1:21" s="199" customFormat="1" x14ac:dyDescent="0.25">
      <c r="A923" s="192" t="s">
        <v>7436</v>
      </c>
      <c r="B923" s="203" t="s">
        <v>3332</v>
      </c>
      <c r="C923" s="188" t="s">
        <v>3356</v>
      </c>
      <c r="D923" s="199" t="s">
        <v>8732</v>
      </c>
      <c r="E923" s="188" t="s">
        <v>5349</v>
      </c>
      <c r="F923" s="189" t="s">
        <v>4078</v>
      </c>
      <c r="G923" s="199" t="s">
        <v>8284</v>
      </c>
      <c r="H923" s="199" t="s">
        <v>51</v>
      </c>
      <c r="I923" s="199">
        <v>1</v>
      </c>
      <c r="J923" s="199">
        <v>1</v>
      </c>
      <c r="K923" s="199">
        <v>1</v>
      </c>
      <c r="L923" s="199">
        <v>50</v>
      </c>
      <c r="M923" s="202">
        <f>TB_Parts_Lists[[#This Row],[Quantity Initial]]+ SUMIF(TB_Transactions[Part number],TB_Parts_Lists[[#This Row],[Part Number]],TB_Transactions[Quantity])</f>
        <v>50</v>
      </c>
      <c r="N923" s="200" t="s">
        <v>4593</v>
      </c>
      <c r="O923" s="234">
        <v>5</v>
      </c>
      <c r="P923" s="199">
        <f>TB_Parts_Lists[[#This Row],[Quantity Initial]]*TB_Parts_Lists[[#This Row],[Unit Price AED]]</f>
        <v>250</v>
      </c>
      <c r="Q923" s="199">
        <f>TB_Parts_Lists[[#This Row],[Quantity Total]]*TB_Parts_Lists[[#This Row],[Unit Price AED]]</f>
        <v>250</v>
      </c>
      <c r="S923" s="199" t="s">
        <v>118</v>
      </c>
      <c r="T923" s="199" t="s">
        <v>8691</v>
      </c>
      <c r="U923" s="199" t="s">
        <v>8716</v>
      </c>
    </row>
    <row r="924" spans="1:21" s="199" customFormat="1" x14ac:dyDescent="0.25">
      <c r="A924" s="192" t="s">
        <v>7437</v>
      </c>
      <c r="B924" s="203" t="s">
        <v>3335</v>
      </c>
      <c r="C924" s="188" t="s">
        <v>6623</v>
      </c>
      <c r="D924" s="199" t="s">
        <v>8732</v>
      </c>
      <c r="E924" s="188" t="s">
        <v>5350</v>
      </c>
      <c r="F924" s="189" t="s">
        <v>2686</v>
      </c>
      <c r="G924" s="199" t="s">
        <v>8284</v>
      </c>
      <c r="H924" s="199" t="s">
        <v>8638</v>
      </c>
      <c r="I924" s="199">
        <v>1</v>
      </c>
      <c r="J924" s="199">
        <v>1</v>
      </c>
      <c r="K924" s="199">
        <v>1</v>
      </c>
      <c r="L924" s="199">
        <v>50</v>
      </c>
      <c r="M924" s="202">
        <f>TB_Parts_Lists[[#This Row],[Quantity Initial]]+ SUMIF(TB_Transactions[Part number],TB_Parts_Lists[[#This Row],[Part Number]],TB_Transactions[Quantity])</f>
        <v>50</v>
      </c>
      <c r="N924" s="200" t="s">
        <v>4593</v>
      </c>
      <c r="O924" s="234">
        <v>5</v>
      </c>
      <c r="P924" s="199">
        <f>TB_Parts_Lists[[#This Row],[Quantity Initial]]*TB_Parts_Lists[[#This Row],[Unit Price AED]]</f>
        <v>250</v>
      </c>
      <c r="Q924" s="199">
        <f>TB_Parts_Lists[[#This Row],[Quantity Total]]*TB_Parts_Lists[[#This Row],[Unit Price AED]]</f>
        <v>250</v>
      </c>
      <c r="S924" s="199" t="s">
        <v>122</v>
      </c>
      <c r="T924" s="199" t="s">
        <v>312</v>
      </c>
      <c r="U924" s="199" t="s">
        <v>311</v>
      </c>
    </row>
    <row r="925" spans="1:21" s="199" customFormat="1" x14ac:dyDescent="0.25">
      <c r="A925" s="192" t="s">
        <v>7438</v>
      </c>
      <c r="B925" s="203" t="s">
        <v>3335</v>
      </c>
      <c r="C925" s="188" t="s">
        <v>6623</v>
      </c>
      <c r="D925" s="188" t="s">
        <v>8724</v>
      </c>
      <c r="E925" s="188" t="s">
        <v>5351</v>
      </c>
      <c r="F925" s="189" t="s">
        <v>4079</v>
      </c>
      <c r="G925" s="199" t="s">
        <v>8284</v>
      </c>
      <c r="H925" s="199" t="s">
        <v>8638</v>
      </c>
      <c r="I925" s="199">
        <v>1</v>
      </c>
      <c r="J925" s="199">
        <v>1</v>
      </c>
      <c r="K925" s="199">
        <v>1</v>
      </c>
      <c r="L925" s="199">
        <v>50</v>
      </c>
      <c r="M925" s="202">
        <f>TB_Parts_Lists[[#This Row],[Quantity Initial]]+ SUMIF(TB_Transactions[Part number],TB_Parts_Lists[[#This Row],[Part Number]],TB_Transactions[Quantity])</f>
        <v>50</v>
      </c>
      <c r="N925" s="200" t="s">
        <v>4593</v>
      </c>
      <c r="O925" s="234">
        <v>5</v>
      </c>
      <c r="P925" s="199">
        <f>TB_Parts_Lists[[#This Row],[Quantity Initial]]*TB_Parts_Lists[[#This Row],[Unit Price AED]]</f>
        <v>250</v>
      </c>
      <c r="Q925" s="199">
        <f>TB_Parts_Lists[[#This Row],[Quantity Total]]*TB_Parts_Lists[[#This Row],[Unit Price AED]]</f>
        <v>250</v>
      </c>
      <c r="S925" s="199" t="s">
        <v>8675</v>
      </c>
      <c r="T925" s="199" t="s">
        <v>8675</v>
      </c>
      <c r="U925" s="199" t="s">
        <v>8675</v>
      </c>
    </row>
    <row r="926" spans="1:21" s="199" customFormat="1" x14ac:dyDescent="0.25">
      <c r="A926" s="192" t="s">
        <v>7439</v>
      </c>
      <c r="B926" s="203" t="s">
        <v>3335</v>
      </c>
      <c r="C926" s="188" t="s">
        <v>6623</v>
      </c>
      <c r="D926" s="199" t="s">
        <v>8732</v>
      </c>
      <c r="E926" s="188" t="s">
        <v>5352</v>
      </c>
      <c r="F926" s="189" t="s">
        <v>4080</v>
      </c>
      <c r="G926" s="199" t="s">
        <v>8284</v>
      </c>
      <c r="H926" s="199" t="s">
        <v>74</v>
      </c>
      <c r="I926" s="199">
        <v>1</v>
      </c>
      <c r="J926" s="199">
        <v>1</v>
      </c>
      <c r="K926" s="199">
        <v>1</v>
      </c>
      <c r="L926" s="199">
        <v>50</v>
      </c>
      <c r="M926" s="202">
        <f>TB_Parts_Lists[[#This Row],[Quantity Initial]]+ SUMIF(TB_Transactions[Part number],TB_Parts_Lists[[#This Row],[Part Number]],TB_Transactions[Quantity])</f>
        <v>50</v>
      </c>
      <c r="N926" s="200" t="s">
        <v>4593</v>
      </c>
      <c r="O926" s="234">
        <v>5</v>
      </c>
      <c r="P926" s="199">
        <f>TB_Parts_Lists[[#This Row],[Quantity Initial]]*TB_Parts_Lists[[#This Row],[Unit Price AED]]</f>
        <v>250</v>
      </c>
      <c r="Q926" s="199">
        <f>TB_Parts_Lists[[#This Row],[Quantity Total]]*TB_Parts_Lists[[#This Row],[Unit Price AED]]</f>
        <v>250</v>
      </c>
      <c r="S926" s="199" t="s">
        <v>122</v>
      </c>
      <c r="T926" s="199" t="s">
        <v>312</v>
      </c>
      <c r="U926" s="199" t="s">
        <v>311</v>
      </c>
    </row>
    <row r="927" spans="1:21" s="199" customFormat="1" x14ac:dyDescent="0.25">
      <c r="A927" s="192" t="s">
        <v>7440</v>
      </c>
      <c r="B927" s="203" t="s">
        <v>3330</v>
      </c>
      <c r="C927" s="188" t="s">
        <v>4090</v>
      </c>
      <c r="D927" s="188" t="s">
        <v>8724</v>
      </c>
      <c r="E927" s="188" t="s">
        <v>5353</v>
      </c>
      <c r="F927" s="189" t="s">
        <v>4081</v>
      </c>
      <c r="G927" s="199" t="s">
        <v>8284</v>
      </c>
      <c r="H927" s="199" t="s">
        <v>8638</v>
      </c>
      <c r="I927" s="199">
        <v>1</v>
      </c>
      <c r="J927" s="199">
        <v>1</v>
      </c>
      <c r="K927" s="199">
        <v>1</v>
      </c>
      <c r="L927" s="199">
        <v>50</v>
      </c>
      <c r="M927" s="202">
        <f>TB_Parts_Lists[[#This Row],[Quantity Initial]]+ SUMIF(TB_Transactions[Part number],TB_Parts_Lists[[#This Row],[Part Number]],TB_Transactions[Quantity])</f>
        <v>50</v>
      </c>
      <c r="N927" s="200" t="s">
        <v>4593</v>
      </c>
      <c r="O927" s="234">
        <v>5</v>
      </c>
      <c r="P927" s="199">
        <f>TB_Parts_Lists[[#This Row],[Quantity Initial]]*TB_Parts_Lists[[#This Row],[Unit Price AED]]</f>
        <v>250</v>
      </c>
      <c r="Q927" s="199">
        <f>TB_Parts_Lists[[#This Row],[Quantity Total]]*TB_Parts_Lists[[#This Row],[Unit Price AED]]</f>
        <v>250</v>
      </c>
      <c r="S927" s="199" t="s">
        <v>118</v>
      </c>
      <c r="T927" s="199" t="s">
        <v>8675</v>
      </c>
      <c r="U927" s="199" t="s">
        <v>8675</v>
      </c>
    </row>
    <row r="928" spans="1:21" s="199" customFormat="1" x14ac:dyDescent="0.25">
      <c r="A928" s="192" t="s">
        <v>7441</v>
      </c>
      <c r="B928" s="203" t="s">
        <v>3330</v>
      </c>
      <c r="C928" s="188" t="s">
        <v>3338</v>
      </c>
      <c r="D928" s="199" t="s">
        <v>8732</v>
      </c>
      <c r="E928" s="188" t="s">
        <v>5354</v>
      </c>
      <c r="F928" s="189" t="s">
        <v>4082</v>
      </c>
      <c r="G928" s="199" t="s">
        <v>8284</v>
      </c>
      <c r="H928" s="199" t="s">
        <v>8638</v>
      </c>
      <c r="I928" s="199">
        <v>1</v>
      </c>
      <c r="J928" s="199">
        <v>1</v>
      </c>
      <c r="K928" s="199">
        <v>1</v>
      </c>
      <c r="L928" s="199">
        <v>50</v>
      </c>
      <c r="M928" s="202">
        <f>TB_Parts_Lists[[#This Row],[Quantity Initial]]+ SUMIF(TB_Transactions[Part number],TB_Parts_Lists[[#This Row],[Part Number]],TB_Transactions[Quantity])</f>
        <v>50</v>
      </c>
      <c r="N928" s="200" t="s">
        <v>4593</v>
      </c>
      <c r="O928" s="234">
        <v>5</v>
      </c>
      <c r="P928" s="199">
        <f>TB_Parts_Lists[[#This Row],[Quantity Initial]]*TB_Parts_Lists[[#This Row],[Unit Price AED]]</f>
        <v>250</v>
      </c>
      <c r="Q928" s="199">
        <f>TB_Parts_Lists[[#This Row],[Quantity Total]]*TB_Parts_Lists[[#This Row],[Unit Price AED]]</f>
        <v>250</v>
      </c>
      <c r="S928" s="199" t="s">
        <v>122</v>
      </c>
      <c r="T928" s="199" t="s">
        <v>189</v>
      </c>
      <c r="U928" s="199" t="s">
        <v>1720</v>
      </c>
    </row>
    <row r="929" spans="1:21" s="199" customFormat="1" x14ac:dyDescent="0.25">
      <c r="A929" s="192" t="s">
        <v>7442</v>
      </c>
      <c r="B929" s="203" t="s">
        <v>3330</v>
      </c>
      <c r="C929" s="188" t="s">
        <v>3338</v>
      </c>
      <c r="D929" s="199" t="s">
        <v>8724</v>
      </c>
      <c r="E929" s="188" t="s">
        <v>5355</v>
      </c>
      <c r="F929" s="189" t="s">
        <v>4083</v>
      </c>
      <c r="G929" s="199" t="s">
        <v>8284</v>
      </c>
      <c r="H929" s="199" t="s">
        <v>8638</v>
      </c>
      <c r="I929" s="199">
        <v>1</v>
      </c>
      <c r="J929" s="199">
        <v>1</v>
      </c>
      <c r="K929" s="199">
        <v>1</v>
      </c>
      <c r="L929" s="199">
        <v>50</v>
      </c>
      <c r="M929" s="202">
        <f>TB_Parts_Lists[[#This Row],[Quantity Initial]]+ SUMIF(TB_Transactions[Part number],TB_Parts_Lists[[#This Row],[Part Number]],TB_Transactions[Quantity])</f>
        <v>50</v>
      </c>
      <c r="N929" s="200" t="s">
        <v>4593</v>
      </c>
      <c r="O929" s="234">
        <v>5</v>
      </c>
      <c r="P929" s="199">
        <f>TB_Parts_Lists[[#This Row],[Quantity Initial]]*TB_Parts_Lists[[#This Row],[Unit Price AED]]</f>
        <v>250</v>
      </c>
      <c r="Q929" s="199">
        <f>TB_Parts_Lists[[#This Row],[Quantity Total]]*TB_Parts_Lists[[#This Row],[Unit Price AED]]</f>
        <v>250</v>
      </c>
      <c r="S929" s="199" t="s">
        <v>122</v>
      </c>
      <c r="T929" s="199" t="s">
        <v>189</v>
      </c>
      <c r="U929" s="199" t="s">
        <v>1720</v>
      </c>
    </row>
    <row r="930" spans="1:21" s="199" customFormat="1" x14ac:dyDescent="0.25">
      <c r="A930" s="192" t="s">
        <v>7443</v>
      </c>
      <c r="B930" s="203" t="s">
        <v>3340</v>
      </c>
      <c r="C930" s="199" t="s">
        <v>4603</v>
      </c>
      <c r="D930" s="199" t="s">
        <v>8732</v>
      </c>
      <c r="E930" s="188" t="s">
        <v>5356</v>
      </c>
      <c r="F930" s="189" t="s">
        <v>4084</v>
      </c>
      <c r="G930" s="199" t="s">
        <v>8284</v>
      </c>
      <c r="H930" s="199" t="s">
        <v>72</v>
      </c>
      <c r="I930" s="199">
        <v>1</v>
      </c>
      <c r="J930" s="199">
        <v>1</v>
      </c>
      <c r="K930" s="199">
        <v>1</v>
      </c>
      <c r="L930" s="199">
        <v>50</v>
      </c>
      <c r="M930" s="202">
        <f>TB_Parts_Lists[[#This Row],[Quantity Initial]]+ SUMIF(TB_Transactions[Part number],TB_Parts_Lists[[#This Row],[Part Number]],TB_Transactions[Quantity])</f>
        <v>50</v>
      </c>
      <c r="N930" s="200" t="s">
        <v>4593</v>
      </c>
      <c r="O930" s="234">
        <v>5</v>
      </c>
      <c r="P930" s="199">
        <f>TB_Parts_Lists[[#This Row],[Quantity Initial]]*TB_Parts_Lists[[#This Row],[Unit Price AED]]</f>
        <v>250</v>
      </c>
      <c r="Q930" s="199">
        <f>TB_Parts_Lists[[#This Row],[Quantity Total]]*TB_Parts_Lists[[#This Row],[Unit Price AED]]</f>
        <v>250</v>
      </c>
      <c r="S930" s="199" t="s">
        <v>122</v>
      </c>
      <c r="T930" s="199" t="s">
        <v>189</v>
      </c>
      <c r="U930" s="199" t="s">
        <v>1720</v>
      </c>
    </row>
    <row r="931" spans="1:21" s="199" customFormat="1" x14ac:dyDescent="0.25">
      <c r="A931" s="192" t="s">
        <v>7444</v>
      </c>
      <c r="B931" s="203" t="s">
        <v>3332</v>
      </c>
      <c r="C931" s="188" t="s">
        <v>3358</v>
      </c>
      <c r="D931" s="199" t="s">
        <v>8723</v>
      </c>
      <c r="E931" s="188" t="s">
        <v>5357</v>
      </c>
      <c r="F931" s="189" t="s">
        <v>4085</v>
      </c>
      <c r="G931" s="199" t="s">
        <v>8284</v>
      </c>
      <c r="H931" s="199" t="s">
        <v>72</v>
      </c>
      <c r="I931" s="199">
        <v>1</v>
      </c>
      <c r="J931" s="199">
        <v>1</v>
      </c>
      <c r="K931" s="199">
        <v>1</v>
      </c>
      <c r="L931" s="199">
        <v>50</v>
      </c>
      <c r="M931" s="202">
        <f>TB_Parts_Lists[[#This Row],[Quantity Initial]]+ SUMIF(TB_Transactions[Part number],TB_Parts_Lists[[#This Row],[Part Number]],TB_Transactions[Quantity])</f>
        <v>50</v>
      </c>
      <c r="N931" s="200" t="s">
        <v>4593</v>
      </c>
      <c r="O931" s="234">
        <v>5</v>
      </c>
      <c r="P931" s="199">
        <f>TB_Parts_Lists[[#This Row],[Quantity Initial]]*TB_Parts_Lists[[#This Row],[Unit Price AED]]</f>
        <v>250</v>
      </c>
      <c r="Q931" s="199">
        <f>TB_Parts_Lists[[#This Row],[Quantity Total]]*TB_Parts_Lists[[#This Row],[Unit Price AED]]</f>
        <v>250</v>
      </c>
      <c r="S931" s="199" t="s">
        <v>8675</v>
      </c>
      <c r="T931" s="199" t="s">
        <v>8675</v>
      </c>
      <c r="U931" s="199" t="s">
        <v>8675</v>
      </c>
    </row>
    <row r="932" spans="1:21" s="199" customFormat="1" x14ac:dyDescent="0.25">
      <c r="A932" s="192" t="s">
        <v>7445</v>
      </c>
      <c r="B932" s="203" t="s">
        <v>3330</v>
      </c>
      <c r="C932" s="188" t="s">
        <v>6611</v>
      </c>
      <c r="D932" s="199" t="s">
        <v>8724</v>
      </c>
      <c r="E932" s="188" t="s">
        <v>4086</v>
      </c>
      <c r="F932" s="189" t="s">
        <v>4087</v>
      </c>
      <c r="G932" s="199" t="s">
        <v>8284</v>
      </c>
      <c r="H932" s="199" t="s">
        <v>51</v>
      </c>
      <c r="I932" s="199">
        <v>1</v>
      </c>
      <c r="J932" s="199">
        <v>1</v>
      </c>
      <c r="K932" s="199">
        <v>1</v>
      </c>
      <c r="L932" s="199">
        <v>50</v>
      </c>
      <c r="M932" s="202">
        <f>TB_Parts_Lists[[#This Row],[Quantity Initial]]+ SUMIF(TB_Transactions[Part number],TB_Parts_Lists[[#This Row],[Part Number]],TB_Transactions[Quantity])</f>
        <v>50</v>
      </c>
      <c r="N932" s="200" t="s">
        <v>4593</v>
      </c>
      <c r="O932" s="234">
        <v>5</v>
      </c>
      <c r="P932" s="199">
        <f>TB_Parts_Lists[[#This Row],[Quantity Initial]]*TB_Parts_Lists[[#This Row],[Unit Price AED]]</f>
        <v>250</v>
      </c>
      <c r="Q932" s="199">
        <f>TB_Parts_Lists[[#This Row],[Quantity Total]]*TB_Parts_Lists[[#This Row],[Unit Price AED]]</f>
        <v>250</v>
      </c>
      <c r="S932" s="199" t="s">
        <v>118</v>
      </c>
      <c r="T932" s="199" t="s">
        <v>8675</v>
      </c>
      <c r="U932" s="199" t="s">
        <v>8675</v>
      </c>
    </row>
    <row r="933" spans="1:21" s="199" customFormat="1" x14ac:dyDescent="0.25">
      <c r="A933" s="192" t="s">
        <v>7446</v>
      </c>
      <c r="B933" s="203" t="s">
        <v>3332</v>
      </c>
      <c r="C933" s="188" t="s">
        <v>3356</v>
      </c>
      <c r="D933" s="188" t="s">
        <v>8724</v>
      </c>
      <c r="E933" s="188" t="s">
        <v>5358</v>
      </c>
      <c r="F933" s="189" t="s">
        <v>6034</v>
      </c>
      <c r="G933" s="199" t="s">
        <v>8284</v>
      </c>
      <c r="H933" s="199" t="s">
        <v>8638</v>
      </c>
      <c r="I933" s="199">
        <v>1</v>
      </c>
      <c r="J933" s="199">
        <v>1</v>
      </c>
      <c r="K933" s="199">
        <v>1</v>
      </c>
      <c r="L933" s="199">
        <v>50</v>
      </c>
      <c r="M933" s="202">
        <f>TB_Parts_Lists[[#This Row],[Quantity Initial]]+ SUMIF(TB_Transactions[Part number],TB_Parts_Lists[[#This Row],[Part Number]],TB_Transactions[Quantity])</f>
        <v>50</v>
      </c>
      <c r="N933" s="200" t="s">
        <v>4593</v>
      </c>
      <c r="O933" s="234">
        <v>5</v>
      </c>
      <c r="P933" s="199">
        <f>TB_Parts_Lists[[#This Row],[Quantity Initial]]*TB_Parts_Lists[[#This Row],[Unit Price AED]]</f>
        <v>250</v>
      </c>
      <c r="Q933" s="199">
        <f>TB_Parts_Lists[[#This Row],[Quantity Total]]*TB_Parts_Lists[[#This Row],[Unit Price AED]]</f>
        <v>250</v>
      </c>
      <c r="S933" s="199" t="s">
        <v>118</v>
      </c>
      <c r="T933" s="199" t="s">
        <v>8691</v>
      </c>
      <c r="U933" s="199" t="s">
        <v>8716</v>
      </c>
    </row>
    <row r="934" spans="1:21" s="199" customFormat="1" x14ac:dyDescent="0.25">
      <c r="A934" s="192" t="s">
        <v>7447</v>
      </c>
      <c r="B934" s="203" t="s">
        <v>3332</v>
      </c>
      <c r="C934" s="188" t="s">
        <v>3356</v>
      </c>
      <c r="D934" s="188" t="s">
        <v>8724</v>
      </c>
      <c r="E934" s="188" t="s">
        <v>5359</v>
      </c>
      <c r="F934" s="189" t="s">
        <v>6035</v>
      </c>
      <c r="G934" s="199" t="s">
        <v>8284</v>
      </c>
      <c r="H934" s="199" t="s">
        <v>8638</v>
      </c>
      <c r="I934" s="199">
        <v>1</v>
      </c>
      <c r="J934" s="199">
        <v>1</v>
      </c>
      <c r="K934" s="199">
        <v>1</v>
      </c>
      <c r="L934" s="199">
        <v>50</v>
      </c>
      <c r="M934" s="202">
        <f>TB_Parts_Lists[[#This Row],[Quantity Initial]]+ SUMIF(TB_Transactions[Part number],TB_Parts_Lists[[#This Row],[Part Number]],TB_Transactions[Quantity])</f>
        <v>50</v>
      </c>
      <c r="N934" s="200" t="s">
        <v>4593</v>
      </c>
      <c r="O934" s="234">
        <v>5</v>
      </c>
      <c r="P934" s="199">
        <f>TB_Parts_Lists[[#This Row],[Quantity Initial]]*TB_Parts_Lists[[#This Row],[Unit Price AED]]</f>
        <v>250</v>
      </c>
      <c r="Q934" s="199">
        <f>TB_Parts_Lists[[#This Row],[Quantity Total]]*TB_Parts_Lists[[#This Row],[Unit Price AED]]</f>
        <v>250</v>
      </c>
      <c r="S934" s="199" t="s">
        <v>118</v>
      </c>
      <c r="T934" s="199" t="s">
        <v>8691</v>
      </c>
      <c r="U934" s="199" t="s">
        <v>8716</v>
      </c>
    </row>
    <row r="935" spans="1:21" s="199" customFormat="1" x14ac:dyDescent="0.25">
      <c r="A935" s="192" t="s">
        <v>7448</v>
      </c>
      <c r="B935" s="203" t="s">
        <v>3330</v>
      </c>
      <c r="C935" s="188" t="s">
        <v>6611</v>
      </c>
      <c r="D935" s="188" t="s">
        <v>8724</v>
      </c>
      <c r="E935" s="188" t="s">
        <v>4088</v>
      </c>
      <c r="F935" s="189" t="s">
        <v>4089</v>
      </c>
      <c r="G935" s="199" t="s">
        <v>8284</v>
      </c>
      <c r="H935" s="199" t="s">
        <v>72</v>
      </c>
      <c r="I935" s="199">
        <v>1</v>
      </c>
      <c r="J935" s="199">
        <v>1</v>
      </c>
      <c r="K935" s="199">
        <v>1</v>
      </c>
      <c r="L935" s="199">
        <v>50</v>
      </c>
      <c r="M935" s="202">
        <f>TB_Parts_Lists[[#This Row],[Quantity Initial]]+ SUMIF(TB_Transactions[Part number],TB_Parts_Lists[[#This Row],[Part Number]],TB_Transactions[Quantity])</f>
        <v>50</v>
      </c>
      <c r="N935" s="200" t="s">
        <v>4593</v>
      </c>
      <c r="O935" s="234">
        <v>5</v>
      </c>
      <c r="P935" s="199">
        <f>TB_Parts_Lists[[#This Row],[Quantity Initial]]*TB_Parts_Lists[[#This Row],[Unit Price AED]]</f>
        <v>250</v>
      </c>
      <c r="Q935" s="199">
        <f>TB_Parts_Lists[[#This Row],[Quantity Total]]*TB_Parts_Lists[[#This Row],[Unit Price AED]]</f>
        <v>250</v>
      </c>
      <c r="S935" s="199" t="s">
        <v>8675</v>
      </c>
      <c r="T935" s="199" t="s">
        <v>8675</v>
      </c>
      <c r="U935" s="199" t="s">
        <v>8675</v>
      </c>
    </row>
    <row r="936" spans="1:21" s="199" customFormat="1" x14ac:dyDescent="0.25">
      <c r="A936" s="192" t="s">
        <v>7449</v>
      </c>
      <c r="B936" s="203" t="s">
        <v>3330</v>
      </c>
      <c r="C936" s="188" t="s">
        <v>4090</v>
      </c>
      <c r="D936" s="188" t="s">
        <v>8724</v>
      </c>
      <c r="E936" s="188" t="s">
        <v>4090</v>
      </c>
      <c r="F936" s="189" t="s">
        <v>4091</v>
      </c>
      <c r="G936" s="199" t="s">
        <v>8284</v>
      </c>
      <c r="H936" s="199" t="s">
        <v>72</v>
      </c>
      <c r="I936" s="199">
        <v>1</v>
      </c>
      <c r="J936" s="199">
        <v>1</v>
      </c>
      <c r="K936" s="199">
        <v>1</v>
      </c>
      <c r="L936" s="199">
        <v>50</v>
      </c>
      <c r="M936" s="202">
        <f>TB_Parts_Lists[[#This Row],[Quantity Initial]]+ SUMIF(TB_Transactions[Part number],TB_Parts_Lists[[#This Row],[Part Number]],TB_Transactions[Quantity])</f>
        <v>50</v>
      </c>
      <c r="N936" s="200" t="s">
        <v>4593</v>
      </c>
      <c r="O936" s="234">
        <v>5</v>
      </c>
      <c r="P936" s="199">
        <f>TB_Parts_Lists[[#This Row],[Quantity Initial]]*TB_Parts_Lists[[#This Row],[Unit Price AED]]</f>
        <v>250</v>
      </c>
      <c r="Q936" s="199">
        <f>TB_Parts_Lists[[#This Row],[Quantity Total]]*TB_Parts_Lists[[#This Row],[Unit Price AED]]</f>
        <v>250</v>
      </c>
      <c r="S936" s="199" t="s">
        <v>8675</v>
      </c>
      <c r="T936" s="199" t="s">
        <v>8675</v>
      </c>
      <c r="U936" s="199" t="s">
        <v>8675</v>
      </c>
    </row>
    <row r="937" spans="1:21" s="199" customFormat="1" x14ac:dyDescent="0.25">
      <c r="A937" s="192" t="s">
        <v>7450</v>
      </c>
      <c r="B937" s="203" t="s">
        <v>3335</v>
      </c>
      <c r="C937" s="188" t="s">
        <v>3005</v>
      </c>
      <c r="D937" s="199" t="s">
        <v>8724</v>
      </c>
      <c r="E937" s="188" t="s">
        <v>5360</v>
      </c>
      <c r="F937" s="189" t="s">
        <v>4092</v>
      </c>
      <c r="G937" s="199" t="s">
        <v>8284</v>
      </c>
      <c r="H937" s="199" t="s">
        <v>8638</v>
      </c>
      <c r="I937" s="199">
        <v>1</v>
      </c>
      <c r="J937" s="199">
        <v>1</v>
      </c>
      <c r="K937" s="199">
        <v>1</v>
      </c>
      <c r="L937" s="199">
        <v>50</v>
      </c>
      <c r="M937" s="202">
        <f>TB_Parts_Lists[[#This Row],[Quantity Initial]]+ SUMIF(TB_Transactions[Part number],TB_Parts_Lists[[#This Row],[Part Number]],TB_Transactions[Quantity])</f>
        <v>50</v>
      </c>
      <c r="N937" s="200" t="s">
        <v>4593</v>
      </c>
      <c r="O937" s="234">
        <v>5</v>
      </c>
      <c r="P937" s="199">
        <f>TB_Parts_Lists[[#This Row],[Quantity Initial]]*TB_Parts_Lists[[#This Row],[Unit Price AED]]</f>
        <v>250</v>
      </c>
      <c r="Q937" s="199">
        <f>TB_Parts_Lists[[#This Row],[Quantity Total]]*TB_Parts_Lists[[#This Row],[Unit Price AED]]</f>
        <v>250</v>
      </c>
      <c r="S937" s="199" t="s">
        <v>122</v>
      </c>
      <c r="T937" s="199" t="s">
        <v>312</v>
      </c>
      <c r="U937" s="199" t="s">
        <v>311</v>
      </c>
    </row>
    <row r="938" spans="1:21" s="199" customFormat="1" x14ac:dyDescent="0.25">
      <c r="A938" s="192" t="s">
        <v>7451</v>
      </c>
      <c r="B938" s="203" t="s">
        <v>3330</v>
      </c>
      <c r="C938" s="188" t="s">
        <v>6735</v>
      </c>
      <c r="D938" s="199" t="s">
        <v>8732</v>
      </c>
      <c r="E938" s="188" t="s">
        <v>5361</v>
      </c>
      <c r="F938" s="189" t="s">
        <v>4093</v>
      </c>
      <c r="G938" s="199" t="s">
        <v>8284</v>
      </c>
      <c r="H938" s="199" t="s">
        <v>72</v>
      </c>
      <c r="I938" s="199">
        <v>1</v>
      </c>
      <c r="J938" s="199">
        <v>1</v>
      </c>
      <c r="K938" s="199">
        <v>1</v>
      </c>
      <c r="L938" s="199">
        <v>50</v>
      </c>
      <c r="M938" s="202">
        <f>TB_Parts_Lists[[#This Row],[Quantity Initial]]+ SUMIF(TB_Transactions[Part number],TB_Parts_Lists[[#This Row],[Part Number]],TB_Transactions[Quantity])</f>
        <v>50</v>
      </c>
      <c r="N938" s="200" t="s">
        <v>4593</v>
      </c>
      <c r="O938" s="234">
        <v>5</v>
      </c>
      <c r="P938" s="199">
        <f>TB_Parts_Lists[[#This Row],[Quantity Initial]]*TB_Parts_Lists[[#This Row],[Unit Price AED]]</f>
        <v>250</v>
      </c>
      <c r="Q938" s="199">
        <f>TB_Parts_Lists[[#This Row],[Quantity Total]]*TB_Parts_Lists[[#This Row],[Unit Price AED]]</f>
        <v>250</v>
      </c>
      <c r="S938" s="199" t="s">
        <v>122</v>
      </c>
      <c r="T938" s="199" t="s">
        <v>189</v>
      </c>
      <c r="U938" s="199" t="s">
        <v>1720</v>
      </c>
    </row>
    <row r="939" spans="1:21" s="199" customFormat="1" x14ac:dyDescent="0.25">
      <c r="A939" s="192" t="s">
        <v>7452</v>
      </c>
      <c r="B939" s="203" t="s">
        <v>3340</v>
      </c>
      <c r="C939" s="199" t="s">
        <v>7129</v>
      </c>
      <c r="D939" s="188" t="s">
        <v>8724</v>
      </c>
      <c r="E939" s="188" t="s">
        <v>5362</v>
      </c>
      <c r="F939" s="189" t="s">
        <v>4094</v>
      </c>
      <c r="G939" s="199" t="s">
        <v>8284</v>
      </c>
      <c r="H939" s="199" t="s">
        <v>72</v>
      </c>
      <c r="I939" s="199">
        <v>1</v>
      </c>
      <c r="J939" s="199">
        <v>1</v>
      </c>
      <c r="K939" s="199">
        <v>1</v>
      </c>
      <c r="L939" s="199">
        <v>50</v>
      </c>
      <c r="M939" s="202">
        <f>TB_Parts_Lists[[#This Row],[Quantity Initial]]+ SUMIF(TB_Transactions[Part number],TB_Parts_Lists[[#This Row],[Part Number]],TB_Transactions[Quantity])</f>
        <v>50</v>
      </c>
      <c r="N939" s="200" t="s">
        <v>4593</v>
      </c>
      <c r="O939" s="234">
        <v>5</v>
      </c>
      <c r="P939" s="199">
        <f>TB_Parts_Lists[[#This Row],[Quantity Initial]]*TB_Parts_Lists[[#This Row],[Unit Price AED]]</f>
        <v>250</v>
      </c>
      <c r="Q939" s="199">
        <f>TB_Parts_Lists[[#This Row],[Quantity Total]]*TB_Parts_Lists[[#This Row],[Unit Price AED]]</f>
        <v>250</v>
      </c>
      <c r="S939" s="199" t="s">
        <v>122</v>
      </c>
      <c r="T939" s="199" t="s">
        <v>189</v>
      </c>
      <c r="U939" s="199" t="s">
        <v>1720</v>
      </c>
    </row>
    <row r="940" spans="1:21" s="199" customFormat="1" x14ac:dyDescent="0.25">
      <c r="A940" s="192" t="s">
        <v>7453</v>
      </c>
      <c r="B940" s="203" t="s">
        <v>3332</v>
      </c>
      <c r="C940" s="188" t="s">
        <v>3356</v>
      </c>
      <c r="D940" s="199" t="s">
        <v>8724</v>
      </c>
      <c r="E940" s="188" t="s">
        <v>5363</v>
      </c>
      <c r="F940" s="189" t="s">
        <v>4095</v>
      </c>
      <c r="G940" s="199" t="s">
        <v>8284</v>
      </c>
      <c r="H940" s="199" t="s">
        <v>8638</v>
      </c>
      <c r="I940" s="199">
        <v>1</v>
      </c>
      <c r="J940" s="199">
        <v>1</v>
      </c>
      <c r="K940" s="199">
        <v>1</v>
      </c>
      <c r="L940" s="199">
        <v>50</v>
      </c>
      <c r="M940" s="202">
        <f>TB_Parts_Lists[[#This Row],[Quantity Initial]]+ SUMIF(TB_Transactions[Part number],TB_Parts_Lists[[#This Row],[Part Number]],TB_Transactions[Quantity])</f>
        <v>50</v>
      </c>
      <c r="N940" s="200" t="s">
        <v>4593</v>
      </c>
      <c r="O940" s="234">
        <v>5</v>
      </c>
      <c r="P940" s="199">
        <f>TB_Parts_Lists[[#This Row],[Quantity Initial]]*TB_Parts_Lists[[#This Row],[Unit Price AED]]</f>
        <v>250</v>
      </c>
      <c r="Q940" s="199">
        <f>TB_Parts_Lists[[#This Row],[Quantity Total]]*TB_Parts_Lists[[#This Row],[Unit Price AED]]</f>
        <v>250</v>
      </c>
      <c r="S940" s="199" t="s">
        <v>118</v>
      </c>
      <c r="T940" s="199" t="s">
        <v>8691</v>
      </c>
      <c r="U940" s="199" t="s">
        <v>8716</v>
      </c>
    </row>
    <row r="941" spans="1:21" s="199" customFormat="1" x14ac:dyDescent="0.25">
      <c r="A941" s="192" t="s">
        <v>7454</v>
      </c>
      <c r="B941" s="203" t="s">
        <v>3332</v>
      </c>
      <c r="C941" s="188" t="s">
        <v>3356</v>
      </c>
      <c r="D941" s="188" t="s">
        <v>8724</v>
      </c>
      <c r="E941" s="188" t="s">
        <v>5364</v>
      </c>
      <c r="F941" s="189"/>
      <c r="H941" s="199" t="e">
        <v>#N/A</v>
      </c>
      <c r="I941" s="199">
        <v>1</v>
      </c>
      <c r="J941" s="199">
        <v>1</v>
      </c>
      <c r="K941" s="199">
        <v>1</v>
      </c>
      <c r="L941" s="199">
        <v>50</v>
      </c>
      <c r="M941" s="202">
        <f>TB_Parts_Lists[[#This Row],[Quantity Initial]]+ SUMIF(TB_Transactions[Part number],TB_Parts_Lists[[#This Row],[Part Number]],TB_Transactions[Quantity])</f>
        <v>50</v>
      </c>
      <c r="N941" s="200" t="s">
        <v>4593</v>
      </c>
      <c r="O941" s="234">
        <v>5</v>
      </c>
      <c r="P941" s="199">
        <f>TB_Parts_Lists[[#This Row],[Quantity Initial]]*TB_Parts_Lists[[#This Row],[Unit Price AED]]</f>
        <v>250</v>
      </c>
      <c r="Q941" s="199">
        <f>TB_Parts_Lists[[#This Row],[Quantity Total]]*TB_Parts_Lists[[#This Row],[Unit Price AED]]</f>
        <v>250</v>
      </c>
      <c r="S941" s="199" t="e">
        <v>#N/A</v>
      </c>
      <c r="T941" s="199" t="e">
        <v>#N/A</v>
      </c>
      <c r="U941" s="199" t="e">
        <v>#N/A</v>
      </c>
    </row>
    <row r="942" spans="1:21" s="199" customFormat="1" x14ac:dyDescent="0.25">
      <c r="A942" s="192" t="s">
        <v>7455</v>
      </c>
      <c r="B942" s="203" t="s">
        <v>3330</v>
      </c>
      <c r="C942" s="188" t="s">
        <v>3338</v>
      </c>
      <c r="D942" s="188" t="s">
        <v>8724</v>
      </c>
      <c r="E942" s="188" t="s">
        <v>5365</v>
      </c>
      <c r="F942" s="189" t="s">
        <v>6036</v>
      </c>
      <c r="G942" s="199" t="s">
        <v>8285</v>
      </c>
      <c r="H942" s="199" t="s">
        <v>8638</v>
      </c>
      <c r="I942" s="199">
        <v>1</v>
      </c>
      <c r="J942" s="199">
        <v>1</v>
      </c>
      <c r="K942" s="199">
        <v>1</v>
      </c>
      <c r="L942" s="199">
        <v>50</v>
      </c>
      <c r="M942" s="202">
        <f>TB_Parts_Lists[[#This Row],[Quantity Initial]]+ SUMIF(TB_Transactions[Part number],TB_Parts_Lists[[#This Row],[Part Number]],TB_Transactions[Quantity])</f>
        <v>50</v>
      </c>
      <c r="N942" s="200" t="s">
        <v>4593</v>
      </c>
      <c r="O942" s="234">
        <v>5</v>
      </c>
      <c r="P942" s="199">
        <f>TB_Parts_Lists[[#This Row],[Quantity Initial]]*TB_Parts_Lists[[#This Row],[Unit Price AED]]</f>
        <v>250</v>
      </c>
      <c r="Q942" s="199">
        <f>TB_Parts_Lists[[#This Row],[Quantity Total]]*TB_Parts_Lists[[#This Row],[Unit Price AED]]</f>
        <v>250</v>
      </c>
      <c r="S942" s="199">
        <v>0</v>
      </c>
      <c r="T942" s="199">
        <v>0</v>
      </c>
      <c r="U942" s="199">
        <v>0</v>
      </c>
    </row>
    <row r="943" spans="1:21" s="199" customFormat="1" x14ac:dyDescent="0.25">
      <c r="A943" s="192" t="s">
        <v>7456</v>
      </c>
      <c r="B943" s="203" t="s">
        <v>3330</v>
      </c>
      <c r="C943" s="188" t="s">
        <v>3338</v>
      </c>
      <c r="D943" s="188" t="s">
        <v>8724</v>
      </c>
      <c r="E943" s="188" t="s">
        <v>5366</v>
      </c>
      <c r="F943" s="189" t="s">
        <v>4096</v>
      </c>
      <c r="G943" s="199" t="s">
        <v>8286</v>
      </c>
      <c r="H943" s="199" t="s">
        <v>8638</v>
      </c>
      <c r="I943" s="199">
        <v>1</v>
      </c>
      <c r="J943" s="199">
        <v>1</v>
      </c>
      <c r="K943" s="199">
        <v>1</v>
      </c>
      <c r="L943" s="199">
        <v>50</v>
      </c>
      <c r="M943" s="202">
        <f>TB_Parts_Lists[[#This Row],[Quantity Initial]]+ SUMIF(TB_Transactions[Part number],TB_Parts_Lists[[#This Row],[Part Number]],TB_Transactions[Quantity])</f>
        <v>50</v>
      </c>
      <c r="N943" s="200" t="s">
        <v>4593</v>
      </c>
      <c r="O943" s="234">
        <v>5</v>
      </c>
      <c r="P943" s="199">
        <f>TB_Parts_Lists[[#This Row],[Quantity Initial]]*TB_Parts_Lists[[#This Row],[Unit Price AED]]</f>
        <v>250</v>
      </c>
      <c r="Q943" s="199">
        <f>TB_Parts_Lists[[#This Row],[Quantity Total]]*TB_Parts_Lists[[#This Row],[Unit Price AED]]</f>
        <v>250</v>
      </c>
      <c r="S943" s="199" t="s">
        <v>118</v>
      </c>
      <c r="T943" s="199" t="s">
        <v>8698</v>
      </c>
      <c r="U943" s="199" t="s">
        <v>1775</v>
      </c>
    </row>
    <row r="944" spans="1:21" s="199" customFormat="1" x14ac:dyDescent="0.25">
      <c r="A944" s="192" t="s">
        <v>7457</v>
      </c>
      <c r="B944" s="203" t="s">
        <v>3330</v>
      </c>
      <c r="C944" s="188" t="s">
        <v>3003</v>
      </c>
      <c r="D944" s="199" t="s">
        <v>8732</v>
      </c>
      <c r="E944" s="188" t="s">
        <v>5367</v>
      </c>
      <c r="F944" s="189" t="s">
        <v>4097</v>
      </c>
      <c r="G944" s="199" t="s">
        <v>8286</v>
      </c>
      <c r="H944" s="199" t="s">
        <v>8638</v>
      </c>
      <c r="I944" s="199">
        <v>1</v>
      </c>
      <c r="J944" s="199">
        <v>1</v>
      </c>
      <c r="K944" s="199">
        <v>1</v>
      </c>
      <c r="L944" s="199">
        <v>50</v>
      </c>
      <c r="M944" s="202">
        <f>TB_Parts_Lists[[#This Row],[Quantity Initial]]+ SUMIF(TB_Transactions[Part number],TB_Parts_Lists[[#This Row],[Part Number]],TB_Transactions[Quantity])</f>
        <v>50</v>
      </c>
      <c r="N944" s="200" t="s">
        <v>4593</v>
      </c>
      <c r="O944" s="234">
        <v>5</v>
      </c>
      <c r="P944" s="199">
        <f>TB_Parts_Lists[[#This Row],[Quantity Initial]]*TB_Parts_Lists[[#This Row],[Unit Price AED]]</f>
        <v>250</v>
      </c>
      <c r="Q944" s="199">
        <f>TB_Parts_Lists[[#This Row],[Quantity Total]]*TB_Parts_Lists[[#This Row],[Unit Price AED]]</f>
        <v>250</v>
      </c>
      <c r="S944" s="199" t="s">
        <v>8675</v>
      </c>
      <c r="T944" s="199" t="s">
        <v>8675</v>
      </c>
      <c r="U944" s="199" t="s">
        <v>8675</v>
      </c>
    </row>
    <row r="945" spans="1:21" s="199" customFormat="1" x14ac:dyDescent="0.25">
      <c r="A945" s="192" t="s">
        <v>7458</v>
      </c>
      <c r="B945" s="203" t="s">
        <v>3332</v>
      </c>
      <c r="C945" s="188" t="s">
        <v>3357</v>
      </c>
      <c r="D945" s="199" t="s">
        <v>8723</v>
      </c>
      <c r="E945" s="188" t="s">
        <v>5368</v>
      </c>
      <c r="F945" s="189" t="s">
        <v>4098</v>
      </c>
      <c r="G945" s="199" t="s">
        <v>8286</v>
      </c>
      <c r="H945" s="199" t="s">
        <v>8642</v>
      </c>
      <c r="I945" s="199">
        <v>1</v>
      </c>
      <c r="J945" s="199">
        <v>1</v>
      </c>
      <c r="K945" s="199">
        <v>1</v>
      </c>
      <c r="L945" s="199">
        <v>50</v>
      </c>
      <c r="M945" s="202">
        <f>TB_Parts_Lists[[#This Row],[Quantity Initial]]+ SUMIF(TB_Transactions[Part number],TB_Parts_Lists[[#This Row],[Part Number]],TB_Transactions[Quantity])</f>
        <v>50</v>
      </c>
      <c r="N945" s="200" t="s">
        <v>4593</v>
      </c>
      <c r="O945" s="234">
        <v>5</v>
      </c>
      <c r="P945" s="199">
        <f>TB_Parts_Lists[[#This Row],[Quantity Initial]]*TB_Parts_Lists[[#This Row],[Unit Price AED]]</f>
        <v>250</v>
      </c>
      <c r="Q945" s="199">
        <f>TB_Parts_Lists[[#This Row],[Quantity Total]]*TB_Parts_Lists[[#This Row],[Unit Price AED]]</f>
        <v>250</v>
      </c>
      <c r="S945" s="199" t="s">
        <v>8675</v>
      </c>
      <c r="T945" s="199" t="s">
        <v>8675</v>
      </c>
      <c r="U945" s="199" t="s">
        <v>8675</v>
      </c>
    </row>
    <row r="946" spans="1:21" s="199" customFormat="1" x14ac:dyDescent="0.25">
      <c r="A946" s="192" t="s">
        <v>7459</v>
      </c>
      <c r="B946" s="203" t="s">
        <v>3334</v>
      </c>
      <c r="C946" s="188" t="s">
        <v>7287</v>
      </c>
      <c r="D946" s="199" t="s">
        <v>8724</v>
      </c>
      <c r="E946" s="188" t="s">
        <v>5369</v>
      </c>
      <c r="F946" s="189" t="s">
        <v>4099</v>
      </c>
      <c r="G946" s="199" t="s">
        <v>8286</v>
      </c>
      <c r="H946" s="199" t="s">
        <v>51</v>
      </c>
      <c r="I946" s="199">
        <v>1</v>
      </c>
      <c r="J946" s="199">
        <v>1</v>
      </c>
      <c r="K946" s="199">
        <v>1</v>
      </c>
      <c r="L946" s="199">
        <v>50</v>
      </c>
      <c r="M946" s="202">
        <f>TB_Parts_Lists[[#This Row],[Quantity Initial]]+ SUMIF(TB_Transactions[Part number],TB_Parts_Lists[[#This Row],[Part Number]],TB_Transactions[Quantity])</f>
        <v>50</v>
      </c>
      <c r="N946" s="200" t="s">
        <v>4593</v>
      </c>
      <c r="O946" s="234">
        <v>5</v>
      </c>
      <c r="P946" s="199">
        <f>TB_Parts_Lists[[#This Row],[Quantity Initial]]*TB_Parts_Lists[[#This Row],[Unit Price AED]]</f>
        <v>250</v>
      </c>
      <c r="Q946" s="199">
        <f>TB_Parts_Lists[[#This Row],[Quantity Total]]*TB_Parts_Lists[[#This Row],[Unit Price AED]]</f>
        <v>250</v>
      </c>
      <c r="S946" s="199" t="s">
        <v>8675</v>
      </c>
      <c r="T946" s="199" t="s">
        <v>8675</v>
      </c>
      <c r="U946" s="199" t="s">
        <v>8675</v>
      </c>
    </row>
    <row r="947" spans="1:21" s="199" customFormat="1" x14ac:dyDescent="0.25">
      <c r="A947" s="192" t="s">
        <v>7460</v>
      </c>
      <c r="B947" s="203" t="s">
        <v>3333</v>
      </c>
      <c r="C947" s="199" t="s">
        <v>3349</v>
      </c>
      <c r="D947" s="199" t="s">
        <v>8724</v>
      </c>
      <c r="E947" s="188" t="s">
        <v>5370</v>
      </c>
      <c r="F947" s="189" t="s">
        <v>6037</v>
      </c>
      <c r="G947" s="199" t="s">
        <v>8286</v>
      </c>
      <c r="H947" s="199" t="s">
        <v>51</v>
      </c>
      <c r="I947" s="199">
        <v>1</v>
      </c>
      <c r="J947" s="199">
        <v>1</v>
      </c>
      <c r="K947" s="199">
        <v>1</v>
      </c>
      <c r="L947" s="199">
        <v>50</v>
      </c>
      <c r="M947" s="202">
        <f>TB_Parts_Lists[[#This Row],[Quantity Initial]]+ SUMIF(TB_Transactions[Part number],TB_Parts_Lists[[#This Row],[Part Number]],TB_Transactions[Quantity])</f>
        <v>50</v>
      </c>
      <c r="N947" s="200" t="s">
        <v>4593</v>
      </c>
      <c r="O947" s="234">
        <v>5</v>
      </c>
      <c r="P947" s="199">
        <f>TB_Parts_Lists[[#This Row],[Quantity Initial]]*TB_Parts_Lists[[#This Row],[Unit Price AED]]</f>
        <v>250</v>
      </c>
      <c r="Q947" s="199">
        <f>TB_Parts_Lists[[#This Row],[Quantity Total]]*TB_Parts_Lists[[#This Row],[Unit Price AED]]</f>
        <v>250</v>
      </c>
      <c r="S947" s="199" t="s">
        <v>118</v>
      </c>
      <c r="T947" s="199" t="s">
        <v>8692</v>
      </c>
      <c r="U947" s="199" t="s">
        <v>838</v>
      </c>
    </row>
    <row r="948" spans="1:21" s="199" customFormat="1" x14ac:dyDescent="0.25">
      <c r="A948" s="192" t="s">
        <v>7461</v>
      </c>
      <c r="B948" s="203" t="s">
        <v>3330</v>
      </c>
      <c r="C948" s="188" t="s">
        <v>3567</v>
      </c>
      <c r="D948" s="199" t="s">
        <v>8724</v>
      </c>
      <c r="E948" s="188" t="s">
        <v>5371</v>
      </c>
      <c r="F948" s="189" t="s">
        <v>4100</v>
      </c>
      <c r="G948" s="199" t="s">
        <v>8286</v>
      </c>
      <c r="H948" s="199" t="s">
        <v>8638</v>
      </c>
      <c r="I948" s="199">
        <v>1</v>
      </c>
      <c r="J948" s="199">
        <v>1</v>
      </c>
      <c r="K948" s="199">
        <v>1</v>
      </c>
      <c r="L948" s="199">
        <v>50</v>
      </c>
      <c r="M948" s="202">
        <f>TB_Parts_Lists[[#This Row],[Quantity Initial]]+ SUMIF(TB_Transactions[Part number],TB_Parts_Lists[[#This Row],[Part Number]],TB_Transactions[Quantity])</f>
        <v>50</v>
      </c>
      <c r="N948" s="200" t="s">
        <v>4593</v>
      </c>
      <c r="O948" s="234">
        <v>5</v>
      </c>
      <c r="P948" s="199">
        <f>TB_Parts_Lists[[#This Row],[Quantity Initial]]*TB_Parts_Lists[[#This Row],[Unit Price AED]]</f>
        <v>250</v>
      </c>
      <c r="Q948" s="199">
        <f>TB_Parts_Lists[[#This Row],[Quantity Total]]*TB_Parts_Lists[[#This Row],[Unit Price AED]]</f>
        <v>250</v>
      </c>
      <c r="S948" s="199" t="s">
        <v>118</v>
      </c>
      <c r="T948" s="199" t="s">
        <v>8675</v>
      </c>
      <c r="U948" s="199" t="s">
        <v>8675</v>
      </c>
    </row>
    <row r="949" spans="1:21" s="199" customFormat="1" x14ac:dyDescent="0.25">
      <c r="A949" s="192" t="s">
        <v>7462</v>
      </c>
      <c r="B949" s="203" t="s">
        <v>3333</v>
      </c>
      <c r="C949" s="188" t="s">
        <v>3349</v>
      </c>
      <c r="D949" s="199" t="s">
        <v>8724</v>
      </c>
      <c r="E949" s="188" t="s">
        <v>4101</v>
      </c>
      <c r="F949" s="189" t="s">
        <v>4102</v>
      </c>
      <c r="G949" s="199" t="s">
        <v>8286</v>
      </c>
      <c r="H949" s="199" t="s">
        <v>8638</v>
      </c>
      <c r="I949" s="199">
        <v>1</v>
      </c>
      <c r="J949" s="199">
        <v>1</v>
      </c>
      <c r="K949" s="199">
        <v>1</v>
      </c>
      <c r="L949" s="199">
        <v>50</v>
      </c>
      <c r="M949" s="202">
        <f>TB_Parts_Lists[[#This Row],[Quantity Initial]]+ SUMIF(TB_Transactions[Part number],TB_Parts_Lists[[#This Row],[Part Number]],TB_Transactions[Quantity])</f>
        <v>50</v>
      </c>
      <c r="N949" s="200" t="s">
        <v>4593</v>
      </c>
      <c r="O949" s="234">
        <v>5</v>
      </c>
      <c r="P949" s="199">
        <f>TB_Parts_Lists[[#This Row],[Quantity Initial]]*TB_Parts_Lists[[#This Row],[Unit Price AED]]</f>
        <v>250</v>
      </c>
      <c r="Q949" s="199">
        <f>TB_Parts_Lists[[#This Row],[Quantity Total]]*TB_Parts_Lists[[#This Row],[Unit Price AED]]</f>
        <v>250</v>
      </c>
      <c r="S949" s="199" t="s">
        <v>118</v>
      </c>
      <c r="T949" s="199" t="s">
        <v>8692</v>
      </c>
      <c r="U949" s="199" t="s">
        <v>838</v>
      </c>
    </row>
    <row r="950" spans="1:21" s="199" customFormat="1" x14ac:dyDescent="0.25">
      <c r="A950" s="192" t="s">
        <v>7463</v>
      </c>
      <c r="B950" s="203" t="s">
        <v>3329</v>
      </c>
      <c r="C950" s="188" t="s">
        <v>7083</v>
      </c>
      <c r="D950" s="188" t="s">
        <v>8724</v>
      </c>
      <c r="E950" s="188" t="s">
        <v>4103</v>
      </c>
      <c r="F950" s="189" t="s">
        <v>4104</v>
      </c>
      <c r="G950" s="199" t="s">
        <v>8286</v>
      </c>
      <c r="H950" s="199" t="s">
        <v>8638</v>
      </c>
      <c r="I950" s="199">
        <v>1</v>
      </c>
      <c r="J950" s="199">
        <v>1</v>
      </c>
      <c r="K950" s="199">
        <v>1</v>
      </c>
      <c r="L950" s="199">
        <v>50</v>
      </c>
      <c r="M950" s="202">
        <f>TB_Parts_Lists[[#This Row],[Quantity Initial]]+ SUMIF(TB_Transactions[Part number],TB_Parts_Lists[[#This Row],[Part Number]],TB_Transactions[Quantity])</f>
        <v>50</v>
      </c>
      <c r="N950" s="200" t="s">
        <v>4593</v>
      </c>
      <c r="O950" s="234">
        <v>5</v>
      </c>
      <c r="P950" s="199">
        <f>TB_Parts_Lists[[#This Row],[Quantity Initial]]*TB_Parts_Lists[[#This Row],[Unit Price AED]]</f>
        <v>250</v>
      </c>
      <c r="Q950" s="199">
        <f>TB_Parts_Lists[[#This Row],[Quantity Total]]*TB_Parts_Lists[[#This Row],[Unit Price AED]]</f>
        <v>250</v>
      </c>
      <c r="S950" s="199" t="s">
        <v>8675</v>
      </c>
      <c r="T950" s="199" t="s">
        <v>8675</v>
      </c>
      <c r="U950" s="199" t="s">
        <v>8675</v>
      </c>
    </row>
    <row r="951" spans="1:21" s="199" customFormat="1" x14ac:dyDescent="0.25">
      <c r="A951" s="192" t="s">
        <v>7464</v>
      </c>
      <c r="B951" s="203" t="s">
        <v>3330</v>
      </c>
      <c r="C951" s="188" t="s">
        <v>3338</v>
      </c>
      <c r="D951" s="199" t="s">
        <v>8723</v>
      </c>
      <c r="E951" s="188" t="s">
        <v>5372</v>
      </c>
      <c r="F951" s="189" t="s">
        <v>4105</v>
      </c>
      <c r="G951" s="199" t="s">
        <v>8286</v>
      </c>
      <c r="H951" s="199" t="s">
        <v>8642</v>
      </c>
      <c r="I951" s="199">
        <v>1</v>
      </c>
      <c r="J951" s="199">
        <v>1</v>
      </c>
      <c r="K951" s="199">
        <v>1</v>
      </c>
      <c r="L951" s="199">
        <v>50</v>
      </c>
      <c r="M951" s="202">
        <f>TB_Parts_Lists[[#This Row],[Quantity Initial]]+ SUMIF(TB_Transactions[Part number],TB_Parts_Lists[[#This Row],[Part Number]],TB_Transactions[Quantity])</f>
        <v>50</v>
      </c>
      <c r="N951" s="200" t="s">
        <v>4593</v>
      </c>
      <c r="O951" s="234">
        <v>5</v>
      </c>
      <c r="P951" s="199">
        <f>TB_Parts_Lists[[#This Row],[Quantity Initial]]*TB_Parts_Lists[[#This Row],[Unit Price AED]]</f>
        <v>250</v>
      </c>
      <c r="Q951" s="199">
        <f>TB_Parts_Lists[[#This Row],[Quantity Total]]*TB_Parts_Lists[[#This Row],[Unit Price AED]]</f>
        <v>250</v>
      </c>
      <c r="S951" s="199" t="s">
        <v>8675</v>
      </c>
      <c r="T951" s="199" t="s">
        <v>8675</v>
      </c>
      <c r="U951" s="199" t="s">
        <v>8675</v>
      </c>
    </row>
    <row r="952" spans="1:21" s="199" customFormat="1" x14ac:dyDescent="0.25">
      <c r="A952" s="192" t="s">
        <v>7465</v>
      </c>
      <c r="B952" s="203" t="s">
        <v>3329</v>
      </c>
      <c r="C952" s="188" t="s">
        <v>6811</v>
      </c>
      <c r="D952" s="188" t="s">
        <v>8724</v>
      </c>
      <c r="E952" s="188" t="s">
        <v>5373</v>
      </c>
      <c r="F952" s="189" t="s">
        <v>4106</v>
      </c>
      <c r="G952" s="199" t="s">
        <v>8286</v>
      </c>
      <c r="H952" s="199" t="s">
        <v>8637</v>
      </c>
      <c r="I952" s="199">
        <v>1</v>
      </c>
      <c r="J952" s="199">
        <v>1</v>
      </c>
      <c r="K952" s="199">
        <v>1</v>
      </c>
      <c r="L952" s="199">
        <v>50</v>
      </c>
      <c r="M952" s="202">
        <f>TB_Parts_Lists[[#This Row],[Quantity Initial]]+ SUMIF(TB_Transactions[Part number],TB_Parts_Lists[[#This Row],[Part Number]],TB_Transactions[Quantity])</f>
        <v>50</v>
      </c>
      <c r="N952" s="200" t="s">
        <v>4593</v>
      </c>
      <c r="O952" s="234">
        <v>5</v>
      </c>
      <c r="P952" s="199">
        <f>TB_Parts_Lists[[#This Row],[Quantity Initial]]*TB_Parts_Lists[[#This Row],[Unit Price AED]]</f>
        <v>250</v>
      </c>
      <c r="Q952" s="199">
        <f>TB_Parts_Lists[[#This Row],[Quantity Total]]*TB_Parts_Lists[[#This Row],[Unit Price AED]]</f>
        <v>250</v>
      </c>
      <c r="S952" s="199" t="s">
        <v>122</v>
      </c>
      <c r="T952" s="199" t="s">
        <v>254</v>
      </c>
      <c r="U952" s="199" t="s">
        <v>253</v>
      </c>
    </row>
    <row r="953" spans="1:21" s="199" customFormat="1" x14ac:dyDescent="0.25">
      <c r="A953" s="192" t="s">
        <v>7466</v>
      </c>
      <c r="B953" s="203" t="s">
        <v>3333</v>
      </c>
      <c r="C953" s="188" t="s">
        <v>3349</v>
      </c>
      <c r="D953" s="199" t="s">
        <v>8723</v>
      </c>
      <c r="E953" s="188" t="s">
        <v>5374</v>
      </c>
      <c r="F953" s="189" t="s">
        <v>4107</v>
      </c>
      <c r="G953" s="199" t="s">
        <v>8286</v>
      </c>
      <c r="H953" s="199" t="s">
        <v>8642</v>
      </c>
      <c r="I953" s="199">
        <v>1</v>
      </c>
      <c r="J953" s="199">
        <v>1</v>
      </c>
      <c r="K953" s="199">
        <v>1</v>
      </c>
      <c r="L953" s="199">
        <v>50</v>
      </c>
      <c r="M953" s="202">
        <f>TB_Parts_Lists[[#This Row],[Quantity Initial]]+ SUMIF(TB_Transactions[Part number],TB_Parts_Lists[[#This Row],[Part Number]],TB_Transactions[Quantity])</f>
        <v>50</v>
      </c>
      <c r="N953" s="200" t="s">
        <v>4593</v>
      </c>
      <c r="O953" s="234">
        <v>5</v>
      </c>
      <c r="P953" s="199">
        <f>TB_Parts_Lists[[#This Row],[Quantity Initial]]*TB_Parts_Lists[[#This Row],[Unit Price AED]]</f>
        <v>250</v>
      </c>
      <c r="Q953" s="199">
        <f>TB_Parts_Lists[[#This Row],[Quantity Total]]*TB_Parts_Lists[[#This Row],[Unit Price AED]]</f>
        <v>250</v>
      </c>
      <c r="S953" s="199" t="s">
        <v>8675</v>
      </c>
      <c r="T953" s="199" t="s">
        <v>8675</v>
      </c>
      <c r="U953" s="199" t="s">
        <v>8675</v>
      </c>
    </row>
    <row r="954" spans="1:21" s="199" customFormat="1" x14ac:dyDescent="0.25">
      <c r="A954" s="192" t="s">
        <v>7467</v>
      </c>
      <c r="B954" s="203" t="s">
        <v>3330</v>
      </c>
      <c r="C954" s="188" t="s">
        <v>2992</v>
      </c>
      <c r="D954" s="188" t="s">
        <v>8724</v>
      </c>
      <c r="E954" s="188" t="s">
        <v>5375</v>
      </c>
      <c r="F954" s="189" t="s">
        <v>6038</v>
      </c>
      <c r="G954" s="199" t="s">
        <v>8286</v>
      </c>
      <c r="H954" s="199" t="s">
        <v>74</v>
      </c>
      <c r="I954" s="199">
        <v>1</v>
      </c>
      <c r="J954" s="199">
        <v>1</v>
      </c>
      <c r="K954" s="199">
        <v>1</v>
      </c>
      <c r="L954" s="199">
        <v>50</v>
      </c>
      <c r="M954" s="202">
        <f>TB_Parts_Lists[[#This Row],[Quantity Initial]]+ SUMIF(TB_Transactions[Part number],TB_Parts_Lists[[#This Row],[Part Number]],TB_Transactions[Quantity])</f>
        <v>50</v>
      </c>
      <c r="N954" s="200" t="s">
        <v>4593</v>
      </c>
      <c r="O954" s="234">
        <v>5</v>
      </c>
      <c r="P954" s="199">
        <f>TB_Parts_Lists[[#This Row],[Quantity Initial]]*TB_Parts_Lists[[#This Row],[Unit Price AED]]</f>
        <v>250</v>
      </c>
      <c r="Q954" s="199">
        <f>TB_Parts_Lists[[#This Row],[Quantity Total]]*TB_Parts_Lists[[#This Row],[Unit Price AED]]</f>
        <v>250</v>
      </c>
      <c r="S954" s="199" t="s">
        <v>8675</v>
      </c>
      <c r="T954" s="199" t="s">
        <v>8675</v>
      </c>
      <c r="U954" s="199" t="s">
        <v>8675</v>
      </c>
    </row>
    <row r="955" spans="1:21" s="199" customFormat="1" x14ac:dyDescent="0.25">
      <c r="A955" s="192" t="s">
        <v>7468</v>
      </c>
      <c r="B955" s="203" t="s">
        <v>3329</v>
      </c>
      <c r="C955" s="188" t="s">
        <v>3338</v>
      </c>
      <c r="D955" s="188" t="s">
        <v>8724</v>
      </c>
      <c r="E955" s="188" t="s">
        <v>5376</v>
      </c>
      <c r="F955" s="189" t="s">
        <v>6039</v>
      </c>
      <c r="G955" s="199" t="s">
        <v>8286</v>
      </c>
      <c r="H955" s="199" t="s">
        <v>72</v>
      </c>
      <c r="I955" s="199">
        <v>1</v>
      </c>
      <c r="J955" s="199">
        <v>1</v>
      </c>
      <c r="K955" s="199">
        <v>1</v>
      </c>
      <c r="L955" s="199">
        <v>50</v>
      </c>
      <c r="M955" s="202">
        <f>TB_Parts_Lists[[#This Row],[Quantity Initial]]+ SUMIF(TB_Transactions[Part number],TB_Parts_Lists[[#This Row],[Part Number]],TB_Transactions[Quantity])</f>
        <v>50</v>
      </c>
      <c r="N955" s="200" t="s">
        <v>4593</v>
      </c>
      <c r="O955" s="234">
        <v>5</v>
      </c>
      <c r="P955" s="199">
        <f>TB_Parts_Lists[[#This Row],[Quantity Initial]]*TB_Parts_Lists[[#This Row],[Unit Price AED]]</f>
        <v>250</v>
      </c>
      <c r="Q955" s="199">
        <f>TB_Parts_Lists[[#This Row],[Quantity Total]]*TB_Parts_Lists[[#This Row],[Unit Price AED]]</f>
        <v>250</v>
      </c>
      <c r="S955" s="199" t="s">
        <v>8675</v>
      </c>
      <c r="T955" s="199" t="s">
        <v>8675</v>
      </c>
      <c r="U955" s="199" t="s">
        <v>8675</v>
      </c>
    </row>
    <row r="956" spans="1:21" s="199" customFormat="1" x14ac:dyDescent="0.25">
      <c r="A956" s="192" t="s">
        <v>7469</v>
      </c>
      <c r="B956" s="203" t="s">
        <v>3333</v>
      </c>
      <c r="C956" s="188" t="s">
        <v>3311</v>
      </c>
      <c r="D956" s="188" t="s">
        <v>8724</v>
      </c>
      <c r="E956" s="188" t="s">
        <v>4108</v>
      </c>
      <c r="F956" s="189" t="s">
        <v>4109</v>
      </c>
      <c r="G956" s="199" t="s">
        <v>8286</v>
      </c>
      <c r="H956" s="199" t="s">
        <v>8638</v>
      </c>
      <c r="I956" s="199">
        <v>1</v>
      </c>
      <c r="J956" s="199">
        <v>1</v>
      </c>
      <c r="K956" s="199">
        <v>1</v>
      </c>
      <c r="L956" s="199">
        <v>50</v>
      </c>
      <c r="M956" s="202">
        <f>TB_Parts_Lists[[#This Row],[Quantity Initial]]+ SUMIF(TB_Transactions[Part number],TB_Parts_Lists[[#This Row],[Part Number]],TB_Transactions[Quantity])</f>
        <v>50</v>
      </c>
      <c r="N956" s="200" t="s">
        <v>4593</v>
      </c>
      <c r="O956" s="234">
        <v>5</v>
      </c>
      <c r="P956" s="199">
        <f>TB_Parts_Lists[[#This Row],[Quantity Initial]]*TB_Parts_Lists[[#This Row],[Unit Price AED]]</f>
        <v>250</v>
      </c>
      <c r="Q956" s="199">
        <f>TB_Parts_Lists[[#This Row],[Quantity Total]]*TB_Parts_Lists[[#This Row],[Unit Price AED]]</f>
        <v>250</v>
      </c>
      <c r="S956" s="199" t="s">
        <v>118</v>
      </c>
      <c r="T956" s="199" t="s">
        <v>8692</v>
      </c>
      <c r="U956" s="199" t="s">
        <v>838</v>
      </c>
    </row>
    <row r="957" spans="1:21" s="199" customFormat="1" x14ac:dyDescent="0.25">
      <c r="A957" s="192" t="s">
        <v>7470</v>
      </c>
      <c r="B957" s="203" t="s">
        <v>3332</v>
      </c>
      <c r="C957" s="188" t="s">
        <v>3356</v>
      </c>
      <c r="D957" s="188" t="s">
        <v>8724</v>
      </c>
      <c r="E957" s="188" t="s">
        <v>4132</v>
      </c>
      <c r="F957" s="189" t="s">
        <v>4110</v>
      </c>
      <c r="G957" s="199" t="s">
        <v>8286</v>
      </c>
      <c r="H957" s="199" t="s">
        <v>74</v>
      </c>
      <c r="I957" s="199">
        <v>1</v>
      </c>
      <c r="J957" s="199">
        <v>1</v>
      </c>
      <c r="K957" s="199">
        <v>1</v>
      </c>
      <c r="L957" s="199">
        <v>50</v>
      </c>
      <c r="M957" s="202">
        <f>TB_Parts_Lists[[#This Row],[Quantity Initial]]+ SUMIF(TB_Transactions[Part number],TB_Parts_Lists[[#This Row],[Part Number]],TB_Transactions[Quantity])</f>
        <v>50</v>
      </c>
      <c r="N957" s="200" t="s">
        <v>4593</v>
      </c>
      <c r="O957" s="234">
        <v>5</v>
      </c>
      <c r="P957" s="199">
        <f>TB_Parts_Lists[[#This Row],[Quantity Initial]]*TB_Parts_Lists[[#This Row],[Unit Price AED]]</f>
        <v>250</v>
      </c>
      <c r="Q957" s="199">
        <f>TB_Parts_Lists[[#This Row],[Quantity Total]]*TB_Parts_Lists[[#This Row],[Unit Price AED]]</f>
        <v>250</v>
      </c>
      <c r="S957" s="199" t="s">
        <v>118</v>
      </c>
      <c r="T957" s="199" t="s">
        <v>1644</v>
      </c>
      <c r="U957" s="199" t="s">
        <v>341</v>
      </c>
    </row>
    <row r="958" spans="1:21" s="199" customFormat="1" x14ac:dyDescent="0.25">
      <c r="A958" s="192" t="s">
        <v>7471</v>
      </c>
      <c r="B958" s="203" t="s">
        <v>3333</v>
      </c>
      <c r="C958" s="188" t="s">
        <v>3311</v>
      </c>
      <c r="D958" s="188" t="s">
        <v>8724</v>
      </c>
      <c r="E958" s="188" t="s">
        <v>4133</v>
      </c>
      <c r="F958" s="189" t="s">
        <v>4111</v>
      </c>
      <c r="G958" s="199" t="s">
        <v>8286</v>
      </c>
      <c r="H958" s="199" t="s">
        <v>8638</v>
      </c>
      <c r="I958" s="199">
        <v>1</v>
      </c>
      <c r="J958" s="199">
        <v>1</v>
      </c>
      <c r="K958" s="199">
        <v>1</v>
      </c>
      <c r="L958" s="199">
        <v>50</v>
      </c>
      <c r="M958" s="202">
        <f>TB_Parts_Lists[[#This Row],[Quantity Initial]]+ SUMIF(TB_Transactions[Part number],TB_Parts_Lists[[#This Row],[Part Number]],TB_Transactions[Quantity])</f>
        <v>50</v>
      </c>
      <c r="N958" s="200" t="s">
        <v>4593</v>
      </c>
      <c r="O958" s="234">
        <v>5</v>
      </c>
      <c r="P958" s="199">
        <f>TB_Parts_Lists[[#This Row],[Quantity Initial]]*TB_Parts_Lists[[#This Row],[Unit Price AED]]</f>
        <v>250</v>
      </c>
      <c r="Q958" s="199">
        <f>TB_Parts_Lists[[#This Row],[Quantity Total]]*TB_Parts_Lists[[#This Row],[Unit Price AED]]</f>
        <v>250</v>
      </c>
      <c r="S958" s="199" t="s">
        <v>118</v>
      </c>
      <c r="T958" s="199" t="s">
        <v>8692</v>
      </c>
      <c r="U958" s="199" t="s">
        <v>838</v>
      </c>
    </row>
    <row r="959" spans="1:21" s="199" customFormat="1" x14ac:dyDescent="0.25">
      <c r="A959" s="192" t="s">
        <v>7472</v>
      </c>
      <c r="B959" s="203" t="s">
        <v>3333</v>
      </c>
      <c r="C959" s="188" t="s">
        <v>3349</v>
      </c>
      <c r="D959" s="188" t="s">
        <v>8724</v>
      </c>
      <c r="E959" s="188" t="s">
        <v>4112</v>
      </c>
      <c r="F959" s="189" t="s">
        <v>4113</v>
      </c>
      <c r="G959" s="199" t="s">
        <v>8286</v>
      </c>
      <c r="H959" s="199" t="s">
        <v>8638</v>
      </c>
      <c r="I959" s="199">
        <v>1</v>
      </c>
      <c r="J959" s="199">
        <v>1</v>
      </c>
      <c r="K959" s="199">
        <v>1</v>
      </c>
      <c r="L959" s="199">
        <v>50</v>
      </c>
      <c r="M959" s="202">
        <f>TB_Parts_Lists[[#This Row],[Quantity Initial]]+ SUMIF(TB_Transactions[Part number],TB_Parts_Lists[[#This Row],[Part Number]],TB_Transactions[Quantity])</f>
        <v>50</v>
      </c>
      <c r="N959" s="200" t="s">
        <v>4593</v>
      </c>
      <c r="O959" s="234">
        <v>5</v>
      </c>
      <c r="P959" s="199">
        <f>TB_Parts_Lists[[#This Row],[Quantity Initial]]*TB_Parts_Lists[[#This Row],[Unit Price AED]]</f>
        <v>250</v>
      </c>
      <c r="Q959" s="199">
        <f>TB_Parts_Lists[[#This Row],[Quantity Total]]*TB_Parts_Lists[[#This Row],[Unit Price AED]]</f>
        <v>250</v>
      </c>
      <c r="S959" s="199" t="s">
        <v>8675</v>
      </c>
      <c r="T959" s="199" t="s">
        <v>8675</v>
      </c>
      <c r="U959" s="199" t="s">
        <v>8675</v>
      </c>
    </row>
    <row r="960" spans="1:21" s="199" customFormat="1" x14ac:dyDescent="0.25">
      <c r="A960" s="192" t="s">
        <v>7473</v>
      </c>
      <c r="B960" s="203" t="s">
        <v>3330</v>
      </c>
      <c r="C960" s="188" t="s">
        <v>3003</v>
      </c>
      <c r="D960" s="188" t="s">
        <v>8724</v>
      </c>
      <c r="E960" s="188" t="s">
        <v>5377</v>
      </c>
      <c r="F960" s="189" t="s">
        <v>6040</v>
      </c>
      <c r="G960" s="199" t="s">
        <v>8286</v>
      </c>
      <c r="H960" s="199" t="s">
        <v>8638</v>
      </c>
      <c r="I960" s="199">
        <v>1</v>
      </c>
      <c r="J960" s="199">
        <v>1</v>
      </c>
      <c r="K960" s="199">
        <v>1</v>
      </c>
      <c r="L960" s="199">
        <v>50</v>
      </c>
      <c r="M960" s="202">
        <f>TB_Parts_Lists[[#This Row],[Quantity Initial]]+ SUMIF(TB_Transactions[Part number],TB_Parts_Lists[[#This Row],[Part Number]],TB_Transactions[Quantity])</f>
        <v>50</v>
      </c>
      <c r="N960" s="200" t="s">
        <v>4593</v>
      </c>
      <c r="O960" s="234">
        <v>5</v>
      </c>
      <c r="P960" s="199">
        <f>TB_Parts_Lists[[#This Row],[Quantity Initial]]*TB_Parts_Lists[[#This Row],[Unit Price AED]]</f>
        <v>250</v>
      </c>
      <c r="Q960" s="199">
        <f>TB_Parts_Lists[[#This Row],[Quantity Total]]*TB_Parts_Lists[[#This Row],[Unit Price AED]]</f>
        <v>250</v>
      </c>
      <c r="S960" s="199" t="s">
        <v>118</v>
      </c>
      <c r="T960" s="199" t="s">
        <v>8675</v>
      </c>
      <c r="U960" s="199" t="s">
        <v>8675</v>
      </c>
    </row>
    <row r="961" spans="1:21" s="199" customFormat="1" x14ac:dyDescent="0.25">
      <c r="A961" s="192" t="s">
        <v>7474</v>
      </c>
      <c r="B961" s="203" t="s">
        <v>3330</v>
      </c>
      <c r="C961" s="188" t="s">
        <v>3003</v>
      </c>
      <c r="D961" s="188" t="s">
        <v>8724</v>
      </c>
      <c r="E961" s="188" t="s">
        <v>5378</v>
      </c>
      <c r="F961" s="189" t="s">
        <v>6041</v>
      </c>
      <c r="G961" s="199" t="s">
        <v>8286</v>
      </c>
      <c r="H961" s="199" t="s">
        <v>8638</v>
      </c>
      <c r="I961" s="199">
        <v>1</v>
      </c>
      <c r="J961" s="199">
        <v>1</v>
      </c>
      <c r="K961" s="199">
        <v>1</v>
      </c>
      <c r="L961" s="199">
        <v>50</v>
      </c>
      <c r="M961" s="202">
        <f>TB_Parts_Lists[[#This Row],[Quantity Initial]]+ SUMIF(TB_Transactions[Part number],TB_Parts_Lists[[#This Row],[Part Number]],TB_Transactions[Quantity])</f>
        <v>50</v>
      </c>
      <c r="N961" s="200" t="s">
        <v>4593</v>
      </c>
      <c r="O961" s="234">
        <v>5</v>
      </c>
      <c r="P961" s="199">
        <f>TB_Parts_Lists[[#This Row],[Quantity Initial]]*TB_Parts_Lists[[#This Row],[Unit Price AED]]</f>
        <v>250</v>
      </c>
      <c r="Q961" s="199">
        <f>TB_Parts_Lists[[#This Row],[Quantity Total]]*TB_Parts_Lists[[#This Row],[Unit Price AED]]</f>
        <v>250</v>
      </c>
      <c r="S961" s="199" t="s">
        <v>118</v>
      </c>
      <c r="T961" s="199" t="s">
        <v>8675</v>
      </c>
      <c r="U961" s="199" t="s">
        <v>8675</v>
      </c>
    </row>
    <row r="962" spans="1:21" s="199" customFormat="1" x14ac:dyDescent="0.25">
      <c r="A962" s="192" t="s">
        <v>7475</v>
      </c>
      <c r="B962" s="203" t="s">
        <v>3330</v>
      </c>
      <c r="C962" s="188" t="s">
        <v>3003</v>
      </c>
      <c r="D962" s="188" t="s">
        <v>8724</v>
      </c>
      <c r="E962" s="188" t="s">
        <v>5379</v>
      </c>
      <c r="F962" s="189" t="s">
        <v>6042</v>
      </c>
      <c r="G962" s="199" t="s">
        <v>8286</v>
      </c>
      <c r="H962" s="199" t="s">
        <v>8638</v>
      </c>
      <c r="I962" s="199">
        <v>1</v>
      </c>
      <c r="J962" s="199">
        <v>1</v>
      </c>
      <c r="K962" s="199">
        <v>1</v>
      </c>
      <c r="L962" s="199">
        <v>50</v>
      </c>
      <c r="M962" s="202">
        <f>TB_Parts_Lists[[#This Row],[Quantity Initial]]+ SUMIF(TB_Transactions[Part number],TB_Parts_Lists[[#This Row],[Part Number]],TB_Transactions[Quantity])</f>
        <v>50</v>
      </c>
      <c r="N962" s="200" t="s">
        <v>4593</v>
      </c>
      <c r="O962" s="234">
        <v>5</v>
      </c>
      <c r="P962" s="199">
        <f>TB_Parts_Lists[[#This Row],[Quantity Initial]]*TB_Parts_Lists[[#This Row],[Unit Price AED]]</f>
        <v>250</v>
      </c>
      <c r="Q962" s="199">
        <f>TB_Parts_Lists[[#This Row],[Quantity Total]]*TB_Parts_Lists[[#This Row],[Unit Price AED]]</f>
        <v>250</v>
      </c>
      <c r="S962" s="199" t="s">
        <v>118</v>
      </c>
      <c r="T962" s="199" t="s">
        <v>8675</v>
      </c>
      <c r="U962" s="199" t="s">
        <v>8675</v>
      </c>
    </row>
    <row r="963" spans="1:21" s="199" customFormat="1" x14ac:dyDescent="0.25">
      <c r="A963" s="192" t="s">
        <v>7476</v>
      </c>
      <c r="B963" s="203" t="s">
        <v>3330</v>
      </c>
      <c r="C963" s="188" t="s">
        <v>3003</v>
      </c>
      <c r="D963" s="188" t="s">
        <v>8724</v>
      </c>
      <c r="E963" s="188" t="s">
        <v>5380</v>
      </c>
      <c r="F963" s="189" t="s">
        <v>6043</v>
      </c>
      <c r="G963" s="199" t="s">
        <v>8286</v>
      </c>
      <c r="H963" s="199" t="s">
        <v>8638</v>
      </c>
      <c r="I963" s="199">
        <v>1</v>
      </c>
      <c r="J963" s="199">
        <v>1</v>
      </c>
      <c r="K963" s="199">
        <v>1</v>
      </c>
      <c r="L963" s="199">
        <v>50</v>
      </c>
      <c r="M963" s="202">
        <f>TB_Parts_Lists[[#This Row],[Quantity Initial]]+ SUMIF(TB_Transactions[Part number],TB_Parts_Lists[[#This Row],[Part Number]],TB_Transactions[Quantity])</f>
        <v>50</v>
      </c>
      <c r="N963" s="200" t="s">
        <v>4593</v>
      </c>
      <c r="O963" s="234">
        <v>5</v>
      </c>
      <c r="P963" s="199">
        <f>TB_Parts_Lists[[#This Row],[Quantity Initial]]*TB_Parts_Lists[[#This Row],[Unit Price AED]]</f>
        <v>250</v>
      </c>
      <c r="Q963" s="199">
        <f>TB_Parts_Lists[[#This Row],[Quantity Total]]*TB_Parts_Lists[[#This Row],[Unit Price AED]]</f>
        <v>250</v>
      </c>
      <c r="S963" s="199" t="s">
        <v>118</v>
      </c>
      <c r="T963" s="199" t="s">
        <v>8675</v>
      </c>
      <c r="U963" s="199" t="s">
        <v>8675</v>
      </c>
    </row>
    <row r="964" spans="1:21" s="199" customFormat="1" x14ac:dyDescent="0.25">
      <c r="A964" s="192" t="s">
        <v>7477</v>
      </c>
      <c r="B964" s="203" t="s">
        <v>3330</v>
      </c>
      <c r="C964" s="188" t="s">
        <v>3003</v>
      </c>
      <c r="D964" s="188" t="s">
        <v>8724</v>
      </c>
      <c r="E964" s="188" t="s">
        <v>5381</v>
      </c>
      <c r="F964" s="189" t="s">
        <v>6044</v>
      </c>
      <c r="G964" s="199" t="s">
        <v>8286</v>
      </c>
      <c r="H964" s="199" t="s">
        <v>8638</v>
      </c>
      <c r="I964" s="199">
        <v>1</v>
      </c>
      <c r="J964" s="199">
        <v>1</v>
      </c>
      <c r="K964" s="199">
        <v>1</v>
      </c>
      <c r="L964" s="199">
        <v>50</v>
      </c>
      <c r="M964" s="202">
        <f>TB_Parts_Lists[[#This Row],[Quantity Initial]]+ SUMIF(TB_Transactions[Part number],TB_Parts_Lists[[#This Row],[Part Number]],TB_Transactions[Quantity])</f>
        <v>50</v>
      </c>
      <c r="N964" s="200" t="s">
        <v>4593</v>
      </c>
      <c r="O964" s="234">
        <v>5</v>
      </c>
      <c r="P964" s="199">
        <f>TB_Parts_Lists[[#This Row],[Quantity Initial]]*TB_Parts_Lists[[#This Row],[Unit Price AED]]</f>
        <v>250</v>
      </c>
      <c r="Q964" s="199">
        <f>TB_Parts_Lists[[#This Row],[Quantity Total]]*TB_Parts_Lists[[#This Row],[Unit Price AED]]</f>
        <v>250</v>
      </c>
      <c r="S964" s="199" t="s">
        <v>118</v>
      </c>
      <c r="T964" s="199" t="s">
        <v>8675</v>
      </c>
      <c r="U964" s="199" t="s">
        <v>8675</v>
      </c>
    </row>
    <row r="965" spans="1:21" s="199" customFormat="1" x14ac:dyDescent="0.25">
      <c r="A965" s="192" t="s">
        <v>7478</v>
      </c>
      <c r="B965" s="203" t="s">
        <v>3330</v>
      </c>
      <c r="C965" s="188" t="s">
        <v>3003</v>
      </c>
      <c r="D965" s="188" t="s">
        <v>8724</v>
      </c>
      <c r="E965" s="188" t="s">
        <v>5382</v>
      </c>
      <c r="F965" s="189" t="s">
        <v>6045</v>
      </c>
      <c r="G965" s="199" t="s">
        <v>8286</v>
      </c>
      <c r="H965" s="199" t="s">
        <v>8638</v>
      </c>
      <c r="I965" s="199">
        <v>1</v>
      </c>
      <c r="J965" s="199">
        <v>1</v>
      </c>
      <c r="K965" s="199">
        <v>1</v>
      </c>
      <c r="L965" s="199">
        <v>50</v>
      </c>
      <c r="M965" s="202">
        <f>TB_Parts_Lists[[#This Row],[Quantity Initial]]+ SUMIF(TB_Transactions[Part number],TB_Parts_Lists[[#This Row],[Part Number]],TB_Transactions[Quantity])</f>
        <v>50</v>
      </c>
      <c r="N965" s="200" t="s">
        <v>4593</v>
      </c>
      <c r="O965" s="234">
        <v>5</v>
      </c>
      <c r="P965" s="199">
        <f>TB_Parts_Lists[[#This Row],[Quantity Initial]]*TB_Parts_Lists[[#This Row],[Unit Price AED]]</f>
        <v>250</v>
      </c>
      <c r="Q965" s="199">
        <f>TB_Parts_Lists[[#This Row],[Quantity Total]]*TB_Parts_Lists[[#This Row],[Unit Price AED]]</f>
        <v>250</v>
      </c>
      <c r="S965" s="199" t="s">
        <v>118</v>
      </c>
      <c r="T965" s="199" t="s">
        <v>8675</v>
      </c>
      <c r="U965" s="199" t="s">
        <v>8675</v>
      </c>
    </row>
    <row r="966" spans="1:21" s="199" customFormat="1" x14ac:dyDescent="0.25">
      <c r="A966" s="192" t="s">
        <v>7479</v>
      </c>
      <c r="B966" s="203" t="s">
        <v>3330</v>
      </c>
      <c r="C966" s="188" t="s">
        <v>3003</v>
      </c>
      <c r="D966" s="188" t="s">
        <v>8724</v>
      </c>
      <c r="E966" s="188" t="s">
        <v>5383</v>
      </c>
      <c r="F966" s="189" t="s">
        <v>6046</v>
      </c>
      <c r="G966" s="199" t="s">
        <v>8286</v>
      </c>
      <c r="H966" s="199" t="s">
        <v>8638</v>
      </c>
      <c r="I966" s="199">
        <v>1</v>
      </c>
      <c r="J966" s="199">
        <v>1</v>
      </c>
      <c r="K966" s="199">
        <v>1</v>
      </c>
      <c r="L966" s="199">
        <v>50</v>
      </c>
      <c r="M966" s="202">
        <f>TB_Parts_Lists[[#This Row],[Quantity Initial]]+ SUMIF(TB_Transactions[Part number],TB_Parts_Lists[[#This Row],[Part Number]],TB_Transactions[Quantity])</f>
        <v>50</v>
      </c>
      <c r="N966" s="200" t="s">
        <v>4593</v>
      </c>
      <c r="O966" s="234">
        <v>5</v>
      </c>
      <c r="P966" s="199">
        <f>TB_Parts_Lists[[#This Row],[Quantity Initial]]*TB_Parts_Lists[[#This Row],[Unit Price AED]]</f>
        <v>250</v>
      </c>
      <c r="Q966" s="199">
        <f>TB_Parts_Lists[[#This Row],[Quantity Total]]*TB_Parts_Lists[[#This Row],[Unit Price AED]]</f>
        <v>250</v>
      </c>
      <c r="S966" s="199" t="s">
        <v>118</v>
      </c>
      <c r="T966" s="199" t="s">
        <v>8675</v>
      </c>
      <c r="U966" s="199" t="s">
        <v>8675</v>
      </c>
    </row>
    <row r="967" spans="1:21" s="199" customFormat="1" x14ac:dyDescent="0.25">
      <c r="A967" s="192" t="s">
        <v>7480</v>
      </c>
      <c r="B967" s="203" t="s">
        <v>3331</v>
      </c>
      <c r="C967" s="188" t="s">
        <v>7204</v>
      </c>
      <c r="D967" s="188" t="s">
        <v>8724</v>
      </c>
      <c r="E967" s="188" t="s">
        <v>5384</v>
      </c>
      <c r="F967" s="189" t="s">
        <v>6047</v>
      </c>
      <c r="G967" s="199" t="s">
        <v>8286</v>
      </c>
      <c r="H967" s="199" t="s">
        <v>8638</v>
      </c>
      <c r="I967" s="199">
        <v>1</v>
      </c>
      <c r="J967" s="199">
        <v>1</v>
      </c>
      <c r="K967" s="199">
        <v>1</v>
      </c>
      <c r="L967" s="199">
        <v>50</v>
      </c>
      <c r="M967" s="202">
        <f>TB_Parts_Lists[[#This Row],[Quantity Initial]]+ SUMIF(TB_Transactions[Part number],TB_Parts_Lists[[#This Row],[Part Number]],TB_Transactions[Quantity])</f>
        <v>50</v>
      </c>
      <c r="N967" s="200" t="s">
        <v>4593</v>
      </c>
      <c r="O967" s="234">
        <v>5</v>
      </c>
      <c r="P967" s="199">
        <f>TB_Parts_Lists[[#This Row],[Quantity Initial]]*TB_Parts_Lists[[#This Row],[Unit Price AED]]</f>
        <v>250</v>
      </c>
      <c r="Q967" s="199">
        <f>TB_Parts_Lists[[#This Row],[Quantity Total]]*TB_Parts_Lists[[#This Row],[Unit Price AED]]</f>
        <v>250</v>
      </c>
      <c r="S967" s="199" t="s">
        <v>8675</v>
      </c>
      <c r="T967" s="213" t="s">
        <v>8675</v>
      </c>
      <c r="U967" s="199" t="s">
        <v>8675</v>
      </c>
    </row>
    <row r="968" spans="1:21" s="199" customFormat="1" x14ac:dyDescent="0.25">
      <c r="A968" s="192" t="s">
        <v>7481</v>
      </c>
      <c r="B968" s="203" t="s">
        <v>6619</v>
      </c>
      <c r="C968" s="188" t="s">
        <v>161</v>
      </c>
      <c r="D968" s="199" t="s">
        <v>8724</v>
      </c>
      <c r="E968" s="188" t="s">
        <v>5385</v>
      </c>
      <c r="F968" s="189" t="s">
        <v>4157</v>
      </c>
      <c r="G968" s="199" t="s">
        <v>8287</v>
      </c>
      <c r="H968" s="199" t="s">
        <v>123</v>
      </c>
      <c r="I968" s="199">
        <v>1</v>
      </c>
      <c r="J968" s="199">
        <v>1</v>
      </c>
      <c r="K968" s="199">
        <v>1</v>
      </c>
      <c r="L968" s="199">
        <v>50</v>
      </c>
      <c r="M968" s="202">
        <f>TB_Parts_Lists[[#This Row],[Quantity Initial]]+ SUMIF(TB_Transactions[Part number],TB_Parts_Lists[[#This Row],[Part Number]],TB_Transactions[Quantity])</f>
        <v>50</v>
      </c>
      <c r="N968" s="200" t="s">
        <v>4593</v>
      </c>
      <c r="O968" s="234">
        <v>5</v>
      </c>
      <c r="P968" s="199">
        <f>TB_Parts_Lists[[#This Row],[Quantity Initial]]*TB_Parts_Lists[[#This Row],[Unit Price AED]]</f>
        <v>250</v>
      </c>
      <c r="Q968" s="199">
        <f>TB_Parts_Lists[[#This Row],[Quantity Total]]*TB_Parts_Lists[[#This Row],[Unit Price AED]]</f>
        <v>250</v>
      </c>
      <c r="S968" s="199" t="s">
        <v>118</v>
      </c>
      <c r="T968" s="199" t="s">
        <v>8675</v>
      </c>
      <c r="U968" s="199" t="s">
        <v>8675</v>
      </c>
    </row>
    <row r="969" spans="1:21" s="199" customFormat="1" x14ac:dyDescent="0.25">
      <c r="A969" s="192" t="s">
        <v>7482</v>
      </c>
      <c r="B969" s="203" t="s">
        <v>3331</v>
      </c>
      <c r="C969" s="188" t="s">
        <v>6674</v>
      </c>
      <c r="D969" s="199" t="s">
        <v>8723</v>
      </c>
      <c r="E969" s="188" t="s">
        <v>4231</v>
      </c>
      <c r="F969" s="189" t="s">
        <v>4158</v>
      </c>
      <c r="G969" s="199" t="s">
        <v>8287</v>
      </c>
      <c r="H969" s="199" t="s">
        <v>8642</v>
      </c>
      <c r="I969" s="199">
        <v>1</v>
      </c>
      <c r="J969" s="199">
        <v>1</v>
      </c>
      <c r="K969" s="199">
        <v>1</v>
      </c>
      <c r="L969" s="199">
        <v>50</v>
      </c>
      <c r="M969" s="202">
        <f>TB_Parts_Lists[[#This Row],[Quantity Initial]]+ SUMIF(TB_Transactions[Part number],TB_Parts_Lists[[#This Row],[Part Number]],TB_Transactions[Quantity])</f>
        <v>50</v>
      </c>
      <c r="N969" s="200" t="s">
        <v>4593</v>
      </c>
      <c r="O969" s="234">
        <v>5</v>
      </c>
      <c r="P969" s="199">
        <f>TB_Parts_Lists[[#This Row],[Quantity Initial]]*TB_Parts_Lists[[#This Row],[Unit Price AED]]</f>
        <v>250</v>
      </c>
      <c r="Q969" s="199">
        <f>TB_Parts_Lists[[#This Row],[Quantity Total]]*TB_Parts_Lists[[#This Row],[Unit Price AED]]</f>
        <v>250</v>
      </c>
      <c r="S969" s="199" t="s">
        <v>8675</v>
      </c>
      <c r="T969" s="199" t="s">
        <v>8675</v>
      </c>
      <c r="U969" s="199" t="s">
        <v>8675</v>
      </c>
    </row>
    <row r="970" spans="1:21" s="199" customFormat="1" x14ac:dyDescent="0.25">
      <c r="A970" s="192" t="s">
        <v>7483</v>
      </c>
      <c r="B970" s="203" t="s">
        <v>3330</v>
      </c>
      <c r="C970" s="188" t="s">
        <v>3338</v>
      </c>
      <c r="D970" s="199" t="s">
        <v>8724</v>
      </c>
      <c r="E970" s="188" t="s">
        <v>4135</v>
      </c>
      <c r="F970" s="189" t="s">
        <v>4159</v>
      </c>
      <c r="G970" s="199" t="s">
        <v>8287</v>
      </c>
      <c r="H970" s="199" t="s">
        <v>123</v>
      </c>
      <c r="I970" s="199">
        <v>1</v>
      </c>
      <c r="J970" s="199">
        <v>1</v>
      </c>
      <c r="K970" s="199">
        <v>1</v>
      </c>
      <c r="L970" s="199">
        <v>50</v>
      </c>
      <c r="M970" s="202">
        <f>TB_Parts_Lists[[#This Row],[Quantity Initial]]+ SUMIF(TB_Transactions[Part number],TB_Parts_Lists[[#This Row],[Part Number]],TB_Transactions[Quantity])</f>
        <v>50</v>
      </c>
      <c r="N970" s="200" t="s">
        <v>4593</v>
      </c>
      <c r="O970" s="234">
        <v>5</v>
      </c>
      <c r="P970" s="199">
        <f>TB_Parts_Lists[[#This Row],[Quantity Initial]]*TB_Parts_Lists[[#This Row],[Unit Price AED]]</f>
        <v>250</v>
      </c>
      <c r="Q970" s="199">
        <f>TB_Parts_Lists[[#This Row],[Quantity Total]]*TB_Parts_Lists[[#This Row],[Unit Price AED]]</f>
        <v>250</v>
      </c>
      <c r="S970" s="199" t="s">
        <v>8675</v>
      </c>
      <c r="T970" s="199" t="s">
        <v>8675</v>
      </c>
      <c r="U970" s="199" t="s">
        <v>8675</v>
      </c>
    </row>
    <row r="971" spans="1:21" s="199" customFormat="1" x14ac:dyDescent="0.25">
      <c r="A971" s="192" t="s">
        <v>7484</v>
      </c>
      <c r="B971" s="203" t="s">
        <v>3334</v>
      </c>
      <c r="C971" s="188" t="s">
        <v>7287</v>
      </c>
      <c r="D971" s="199" t="s">
        <v>8732</v>
      </c>
      <c r="E971" s="188" t="s">
        <v>5386</v>
      </c>
      <c r="F971" s="189" t="s">
        <v>4160</v>
      </c>
      <c r="G971" s="199" t="s">
        <v>8287</v>
      </c>
      <c r="H971" s="199" t="s">
        <v>72</v>
      </c>
      <c r="I971" s="199">
        <v>1</v>
      </c>
      <c r="J971" s="199">
        <v>1</v>
      </c>
      <c r="K971" s="199">
        <v>1</v>
      </c>
      <c r="L971" s="199">
        <v>50</v>
      </c>
      <c r="M971" s="202">
        <f>TB_Parts_Lists[[#This Row],[Quantity Initial]]+ SUMIF(TB_Transactions[Part number],TB_Parts_Lists[[#This Row],[Part Number]],TB_Transactions[Quantity])</f>
        <v>50</v>
      </c>
      <c r="N971" s="200" t="s">
        <v>4593</v>
      </c>
      <c r="O971" s="234">
        <v>5</v>
      </c>
      <c r="P971" s="199">
        <f>TB_Parts_Lists[[#This Row],[Quantity Initial]]*TB_Parts_Lists[[#This Row],[Unit Price AED]]</f>
        <v>250</v>
      </c>
      <c r="Q971" s="199">
        <f>TB_Parts_Lists[[#This Row],[Quantity Total]]*TB_Parts_Lists[[#This Row],[Unit Price AED]]</f>
        <v>250</v>
      </c>
      <c r="S971" s="199" t="s">
        <v>122</v>
      </c>
      <c r="T971" s="199" t="s">
        <v>8696</v>
      </c>
      <c r="U971" s="199" t="s">
        <v>292</v>
      </c>
    </row>
    <row r="972" spans="1:21" s="199" customFormat="1" x14ac:dyDescent="0.25">
      <c r="A972" s="192" t="s">
        <v>7485</v>
      </c>
      <c r="B972" s="203" t="s">
        <v>3330</v>
      </c>
      <c r="C972" s="188" t="s">
        <v>2992</v>
      </c>
      <c r="D972" s="199" t="s">
        <v>8723</v>
      </c>
      <c r="E972" s="188" t="s">
        <v>4232</v>
      </c>
      <c r="F972" s="189" t="s">
        <v>4161</v>
      </c>
      <c r="G972" s="199" t="s">
        <v>8287</v>
      </c>
      <c r="H972" s="199" t="s">
        <v>8642</v>
      </c>
      <c r="I972" s="199">
        <v>1</v>
      </c>
      <c r="J972" s="199">
        <v>1</v>
      </c>
      <c r="K972" s="199">
        <v>1</v>
      </c>
      <c r="L972" s="199">
        <v>50</v>
      </c>
      <c r="M972" s="202">
        <f>TB_Parts_Lists[[#This Row],[Quantity Initial]]+ SUMIF(TB_Transactions[Part number],TB_Parts_Lists[[#This Row],[Part Number]],TB_Transactions[Quantity])</f>
        <v>50</v>
      </c>
      <c r="N972" s="200" t="s">
        <v>4593</v>
      </c>
      <c r="O972" s="234">
        <v>5</v>
      </c>
      <c r="P972" s="199">
        <f>TB_Parts_Lists[[#This Row],[Quantity Initial]]*TB_Parts_Lists[[#This Row],[Unit Price AED]]</f>
        <v>250</v>
      </c>
      <c r="Q972" s="199">
        <f>TB_Parts_Lists[[#This Row],[Quantity Total]]*TB_Parts_Lists[[#This Row],[Unit Price AED]]</f>
        <v>250</v>
      </c>
      <c r="S972" s="199" t="s">
        <v>8675</v>
      </c>
      <c r="T972" s="199" t="s">
        <v>8675</v>
      </c>
      <c r="U972" s="199" t="s">
        <v>8675</v>
      </c>
    </row>
    <row r="973" spans="1:21" s="199" customFormat="1" x14ac:dyDescent="0.25">
      <c r="A973" s="192" t="s">
        <v>7486</v>
      </c>
      <c r="B973" s="203" t="s">
        <v>6619</v>
      </c>
      <c r="C973" s="188" t="s">
        <v>161</v>
      </c>
      <c r="D973" s="199" t="s">
        <v>8724</v>
      </c>
      <c r="E973" s="188" t="s">
        <v>3627</v>
      </c>
      <c r="F973" s="189" t="s">
        <v>4162</v>
      </c>
      <c r="G973" s="199" t="s">
        <v>8287</v>
      </c>
      <c r="H973" s="199" t="s">
        <v>123</v>
      </c>
      <c r="I973" s="199">
        <v>1</v>
      </c>
      <c r="J973" s="199">
        <v>1</v>
      </c>
      <c r="K973" s="199">
        <v>1</v>
      </c>
      <c r="L973" s="199">
        <v>50</v>
      </c>
      <c r="M973" s="202">
        <f>TB_Parts_Lists[[#This Row],[Quantity Initial]]+ SUMIF(TB_Transactions[Part number],TB_Parts_Lists[[#This Row],[Part Number]],TB_Transactions[Quantity])</f>
        <v>50</v>
      </c>
      <c r="N973" s="200" t="s">
        <v>4593</v>
      </c>
      <c r="O973" s="234">
        <v>5</v>
      </c>
      <c r="P973" s="199">
        <f>TB_Parts_Lists[[#This Row],[Quantity Initial]]*TB_Parts_Lists[[#This Row],[Unit Price AED]]</f>
        <v>250</v>
      </c>
      <c r="Q973" s="199">
        <f>TB_Parts_Lists[[#This Row],[Quantity Total]]*TB_Parts_Lists[[#This Row],[Unit Price AED]]</f>
        <v>250</v>
      </c>
      <c r="S973" s="199" t="s">
        <v>8675</v>
      </c>
      <c r="T973" s="199" t="s">
        <v>8675</v>
      </c>
      <c r="U973" s="199" t="s">
        <v>8675</v>
      </c>
    </row>
    <row r="974" spans="1:21" s="199" customFormat="1" x14ac:dyDescent="0.25">
      <c r="A974" s="192" t="s">
        <v>7487</v>
      </c>
      <c r="B974" s="203" t="s">
        <v>3330</v>
      </c>
      <c r="C974" s="188" t="s">
        <v>3567</v>
      </c>
      <c r="D974" s="199" t="s">
        <v>8724</v>
      </c>
      <c r="E974" s="188" t="s">
        <v>4136</v>
      </c>
      <c r="F974" s="189" t="s">
        <v>4163</v>
      </c>
      <c r="G974" s="199" t="s">
        <v>8287</v>
      </c>
      <c r="H974" s="199" t="s">
        <v>123</v>
      </c>
      <c r="I974" s="199">
        <v>1</v>
      </c>
      <c r="J974" s="199">
        <v>1</v>
      </c>
      <c r="K974" s="199">
        <v>1</v>
      </c>
      <c r="L974" s="199">
        <v>50</v>
      </c>
      <c r="M974" s="202">
        <f>TB_Parts_Lists[[#This Row],[Quantity Initial]]+ SUMIF(TB_Transactions[Part number],TB_Parts_Lists[[#This Row],[Part Number]],TB_Transactions[Quantity])</f>
        <v>50</v>
      </c>
      <c r="N974" s="200" t="s">
        <v>4593</v>
      </c>
      <c r="O974" s="234">
        <v>5</v>
      </c>
      <c r="P974" s="199">
        <f>TB_Parts_Lists[[#This Row],[Quantity Initial]]*TB_Parts_Lists[[#This Row],[Unit Price AED]]</f>
        <v>250</v>
      </c>
      <c r="Q974" s="199">
        <f>TB_Parts_Lists[[#This Row],[Quantity Total]]*TB_Parts_Lists[[#This Row],[Unit Price AED]]</f>
        <v>250</v>
      </c>
      <c r="S974" s="199" t="s">
        <v>118</v>
      </c>
      <c r="T974" s="199" t="s">
        <v>8675</v>
      </c>
      <c r="U974" s="199" t="s">
        <v>8675</v>
      </c>
    </row>
    <row r="975" spans="1:21" s="199" customFormat="1" x14ac:dyDescent="0.25">
      <c r="A975" s="192" t="s">
        <v>7488</v>
      </c>
      <c r="B975" s="203" t="s">
        <v>6619</v>
      </c>
      <c r="C975" s="188" t="s">
        <v>161</v>
      </c>
      <c r="D975" s="199" t="s">
        <v>8724</v>
      </c>
      <c r="E975" s="188" t="s">
        <v>4137</v>
      </c>
      <c r="F975" s="189" t="s">
        <v>4164</v>
      </c>
      <c r="G975" s="199" t="s">
        <v>8287</v>
      </c>
      <c r="H975" s="199" t="s">
        <v>123</v>
      </c>
      <c r="I975" s="199">
        <v>1</v>
      </c>
      <c r="J975" s="199">
        <v>1</v>
      </c>
      <c r="K975" s="199">
        <v>1</v>
      </c>
      <c r="L975" s="199">
        <v>50</v>
      </c>
      <c r="M975" s="202">
        <f>TB_Parts_Lists[[#This Row],[Quantity Initial]]+ SUMIF(TB_Transactions[Part number],TB_Parts_Lists[[#This Row],[Part Number]],TB_Transactions[Quantity])</f>
        <v>50</v>
      </c>
      <c r="N975" s="200" t="s">
        <v>4593</v>
      </c>
      <c r="O975" s="234">
        <v>5</v>
      </c>
      <c r="P975" s="199">
        <f>TB_Parts_Lists[[#This Row],[Quantity Initial]]*TB_Parts_Lists[[#This Row],[Unit Price AED]]</f>
        <v>250</v>
      </c>
      <c r="Q975" s="199">
        <f>TB_Parts_Lists[[#This Row],[Quantity Total]]*TB_Parts_Lists[[#This Row],[Unit Price AED]]</f>
        <v>250</v>
      </c>
      <c r="S975" s="199" t="s">
        <v>118</v>
      </c>
      <c r="T975" s="199" t="s">
        <v>8675</v>
      </c>
      <c r="U975" s="199" t="s">
        <v>8675</v>
      </c>
    </row>
    <row r="976" spans="1:21" s="199" customFormat="1" x14ac:dyDescent="0.25">
      <c r="A976" s="192" t="s">
        <v>7489</v>
      </c>
      <c r="B976" s="203" t="s">
        <v>3330</v>
      </c>
      <c r="C976" s="188" t="s">
        <v>7066</v>
      </c>
      <c r="D976" s="199" t="s">
        <v>8732</v>
      </c>
      <c r="E976" s="188" t="s">
        <v>5387</v>
      </c>
      <c r="F976" s="189" t="s">
        <v>4165</v>
      </c>
      <c r="G976" s="199" t="s">
        <v>8287</v>
      </c>
      <c r="H976" s="199" t="s">
        <v>72</v>
      </c>
      <c r="I976" s="199">
        <v>1</v>
      </c>
      <c r="J976" s="199">
        <v>1</v>
      </c>
      <c r="K976" s="199">
        <v>1</v>
      </c>
      <c r="L976" s="199">
        <v>50</v>
      </c>
      <c r="M976" s="202">
        <f>TB_Parts_Lists[[#This Row],[Quantity Initial]]+ SUMIF(TB_Transactions[Part number],TB_Parts_Lists[[#This Row],[Part Number]],TB_Transactions[Quantity])</f>
        <v>50</v>
      </c>
      <c r="N976" s="200" t="s">
        <v>4593</v>
      </c>
      <c r="O976" s="234">
        <v>5</v>
      </c>
      <c r="P976" s="199">
        <f>TB_Parts_Lists[[#This Row],[Quantity Initial]]*TB_Parts_Lists[[#This Row],[Unit Price AED]]</f>
        <v>250</v>
      </c>
      <c r="Q976" s="199">
        <f>TB_Parts_Lists[[#This Row],[Quantity Total]]*TB_Parts_Lists[[#This Row],[Unit Price AED]]</f>
        <v>250</v>
      </c>
      <c r="S976" s="199" t="s">
        <v>118</v>
      </c>
      <c r="T976" s="199" t="s">
        <v>8692</v>
      </c>
      <c r="U976" s="199" t="s">
        <v>838</v>
      </c>
    </row>
    <row r="977" spans="1:21" s="199" customFormat="1" x14ac:dyDescent="0.25">
      <c r="A977" s="192" t="s">
        <v>7490</v>
      </c>
      <c r="B977" s="203" t="s">
        <v>6619</v>
      </c>
      <c r="C977" s="188" t="s">
        <v>161</v>
      </c>
      <c r="D977" s="199" t="s">
        <v>8724</v>
      </c>
      <c r="E977" s="188" t="s">
        <v>4138</v>
      </c>
      <c r="F977" s="189" t="s">
        <v>4166</v>
      </c>
      <c r="G977" s="199" t="s">
        <v>8287</v>
      </c>
      <c r="H977" s="199" t="s">
        <v>123</v>
      </c>
      <c r="I977" s="199">
        <v>1</v>
      </c>
      <c r="J977" s="199">
        <v>1</v>
      </c>
      <c r="K977" s="199">
        <v>1</v>
      </c>
      <c r="L977" s="199">
        <v>50</v>
      </c>
      <c r="M977" s="202">
        <f>TB_Parts_Lists[[#This Row],[Quantity Initial]]+ SUMIF(TB_Transactions[Part number],TB_Parts_Lists[[#This Row],[Part Number]],TB_Transactions[Quantity])</f>
        <v>50</v>
      </c>
      <c r="N977" s="200" t="s">
        <v>4593</v>
      </c>
      <c r="O977" s="234">
        <v>5</v>
      </c>
      <c r="P977" s="199">
        <f>TB_Parts_Lists[[#This Row],[Quantity Initial]]*TB_Parts_Lists[[#This Row],[Unit Price AED]]</f>
        <v>250</v>
      </c>
      <c r="Q977" s="199">
        <f>TB_Parts_Lists[[#This Row],[Quantity Total]]*TB_Parts_Lists[[#This Row],[Unit Price AED]]</f>
        <v>250</v>
      </c>
      <c r="S977" s="199" t="s">
        <v>118</v>
      </c>
      <c r="T977" s="199" t="s">
        <v>8675</v>
      </c>
      <c r="U977" s="199" t="s">
        <v>8675</v>
      </c>
    </row>
    <row r="978" spans="1:21" s="199" customFormat="1" x14ac:dyDescent="0.25">
      <c r="A978" s="192" t="s">
        <v>7491</v>
      </c>
      <c r="B978" s="203" t="s">
        <v>3330</v>
      </c>
      <c r="C978" s="188" t="s">
        <v>7047</v>
      </c>
      <c r="D978" s="199" t="s">
        <v>8732</v>
      </c>
      <c r="E978" s="188" t="s">
        <v>5388</v>
      </c>
      <c r="F978" s="189" t="s">
        <v>4167</v>
      </c>
      <c r="G978" s="199" t="s">
        <v>8287</v>
      </c>
      <c r="H978" s="199" t="s">
        <v>123</v>
      </c>
      <c r="I978" s="199">
        <v>1</v>
      </c>
      <c r="J978" s="199">
        <v>1</v>
      </c>
      <c r="K978" s="199">
        <v>1</v>
      </c>
      <c r="L978" s="199">
        <v>50</v>
      </c>
      <c r="M978" s="202">
        <f>TB_Parts_Lists[[#This Row],[Quantity Initial]]+ SUMIF(TB_Transactions[Part number],TB_Parts_Lists[[#This Row],[Part Number]],TB_Transactions[Quantity])</f>
        <v>50</v>
      </c>
      <c r="N978" s="200" t="s">
        <v>4593</v>
      </c>
      <c r="O978" s="234">
        <v>5</v>
      </c>
      <c r="P978" s="199">
        <f>TB_Parts_Lists[[#This Row],[Quantity Initial]]*TB_Parts_Lists[[#This Row],[Unit Price AED]]</f>
        <v>250</v>
      </c>
      <c r="Q978" s="199">
        <f>TB_Parts_Lists[[#This Row],[Quantity Total]]*TB_Parts_Lists[[#This Row],[Unit Price AED]]</f>
        <v>250</v>
      </c>
      <c r="S978" s="199" t="s">
        <v>118</v>
      </c>
      <c r="T978" s="199" t="s">
        <v>8692</v>
      </c>
      <c r="U978" s="199" t="s">
        <v>838</v>
      </c>
    </row>
    <row r="979" spans="1:21" s="199" customFormat="1" x14ac:dyDescent="0.25">
      <c r="A979" s="192" t="s">
        <v>7492</v>
      </c>
      <c r="B979" s="203" t="s">
        <v>3340</v>
      </c>
      <c r="C979" s="188" t="s">
        <v>7129</v>
      </c>
      <c r="D979" s="199" t="s">
        <v>8724</v>
      </c>
      <c r="E979" s="188" t="s">
        <v>5389</v>
      </c>
      <c r="F979" s="189" t="s">
        <v>4168</v>
      </c>
      <c r="G979" s="199" t="s">
        <v>8287</v>
      </c>
      <c r="H979" s="199" t="s">
        <v>123</v>
      </c>
      <c r="I979" s="199">
        <v>1</v>
      </c>
      <c r="J979" s="199">
        <v>1</v>
      </c>
      <c r="K979" s="199">
        <v>1</v>
      </c>
      <c r="L979" s="199">
        <v>50</v>
      </c>
      <c r="M979" s="202">
        <f>TB_Parts_Lists[[#This Row],[Quantity Initial]]+ SUMIF(TB_Transactions[Part number],TB_Parts_Lists[[#This Row],[Part Number]],TB_Transactions[Quantity])</f>
        <v>50</v>
      </c>
      <c r="N979" s="200" t="s">
        <v>4593</v>
      </c>
      <c r="O979" s="234">
        <v>5</v>
      </c>
      <c r="P979" s="199">
        <f>TB_Parts_Lists[[#This Row],[Quantity Initial]]*TB_Parts_Lists[[#This Row],[Unit Price AED]]</f>
        <v>250</v>
      </c>
      <c r="Q979" s="199">
        <f>TB_Parts_Lists[[#This Row],[Quantity Total]]*TB_Parts_Lists[[#This Row],[Unit Price AED]]</f>
        <v>250</v>
      </c>
      <c r="S979" s="199" t="s">
        <v>122</v>
      </c>
      <c r="T979" s="199" t="s">
        <v>8675</v>
      </c>
      <c r="U979" s="199" t="s">
        <v>8675</v>
      </c>
    </row>
    <row r="980" spans="1:21" s="199" customFormat="1" x14ac:dyDescent="0.25">
      <c r="A980" s="192" t="s">
        <v>7493</v>
      </c>
      <c r="B980" s="203" t="s">
        <v>3002</v>
      </c>
      <c r="C980" s="199" t="s">
        <v>3362</v>
      </c>
      <c r="D980" s="188" t="s">
        <v>8724</v>
      </c>
      <c r="E980" s="188" t="s">
        <v>4139</v>
      </c>
      <c r="F980" s="189" t="s">
        <v>4169</v>
      </c>
      <c r="G980" s="199" t="s">
        <v>8287</v>
      </c>
      <c r="H980" s="199" t="s">
        <v>123</v>
      </c>
      <c r="I980" s="199">
        <v>1</v>
      </c>
      <c r="J980" s="199">
        <v>1</v>
      </c>
      <c r="K980" s="199">
        <v>1</v>
      </c>
      <c r="L980" s="199">
        <v>50</v>
      </c>
      <c r="M980" s="202">
        <f>TB_Parts_Lists[[#This Row],[Quantity Initial]]+ SUMIF(TB_Transactions[Part number],TB_Parts_Lists[[#This Row],[Part Number]],TB_Transactions[Quantity])</f>
        <v>50</v>
      </c>
      <c r="N980" s="200" t="s">
        <v>4593</v>
      </c>
      <c r="O980" s="234">
        <v>5</v>
      </c>
      <c r="P980" s="199">
        <f>TB_Parts_Lists[[#This Row],[Quantity Initial]]*TB_Parts_Lists[[#This Row],[Unit Price AED]]</f>
        <v>250</v>
      </c>
      <c r="Q980" s="199">
        <f>TB_Parts_Lists[[#This Row],[Quantity Total]]*TB_Parts_Lists[[#This Row],[Unit Price AED]]</f>
        <v>250</v>
      </c>
      <c r="S980" s="199" t="s">
        <v>118</v>
      </c>
      <c r="T980" s="199" t="s">
        <v>8675</v>
      </c>
      <c r="U980" s="199" t="s">
        <v>8675</v>
      </c>
    </row>
    <row r="981" spans="1:21" s="199" customFormat="1" x14ac:dyDescent="0.25">
      <c r="A981" s="192" t="s">
        <v>7494</v>
      </c>
      <c r="B981" s="203" t="s">
        <v>3330</v>
      </c>
      <c r="C981" s="188" t="s">
        <v>3003</v>
      </c>
      <c r="D981" s="188" t="s">
        <v>8724</v>
      </c>
      <c r="E981" s="188" t="s">
        <v>4140</v>
      </c>
      <c r="F981" s="189" t="s">
        <v>4170</v>
      </c>
      <c r="G981" s="199" t="s">
        <v>8287</v>
      </c>
      <c r="H981" s="199" t="s">
        <v>123</v>
      </c>
      <c r="I981" s="199">
        <v>1</v>
      </c>
      <c r="J981" s="199">
        <v>1</v>
      </c>
      <c r="K981" s="199">
        <v>1</v>
      </c>
      <c r="L981" s="199">
        <v>50</v>
      </c>
      <c r="M981" s="202">
        <f>TB_Parts_Lists[[#This Row],[Quantity Initial]]+ SUMIF(TB_Transactions[Part number],TB_Parts_Lists[[#This Row],[Part Number]],TB_Transactions[Quantity])</f>
        <v>50</v>
      </c>
      <c r="N981" s="200" t="s">
        <v>4593</v>
      </c>
      <c r="O981" s="234">
        <v>5</v>
      </c>
      <c r="P981" s="199">
        <f>TB_Parts_Lists[[#This Row],[Quantity Initial]]*TB_Parts_Lists[[#This Row],[Unit Price AED]]</f>
        <v>250</v>
      </c>
      <c r="Q981" s="199">
        <f>TB_Parts_Lists[[#This Row],[Quantity Total]]*TB_Parts_Lists[[#This Row],[Unit Price AED]]</f>
        <v>250</v>
      </c>
      <c r="S981" s="199" t="s">
        <v>118</v>
      </c>
      <c r="T981" s="199" t="s">
        <v>8675</v>
      </c>
      <c r="U981" s="199" t="s">
        <v>8675</v>
      </c>
    </row>
    <row r="982" spans="1:21" s="199" customFormat="1" x14ac:dyDescent="0.25">
      <c r="A982" s="192" t="s">
        <v>7495</v>
      </c>
      <c r="B982" s="203" t="s">
        <v>3330</v>
      </c>
      <c r="C982" s="188" t="s">
        <v>3338</v>
      </c>
      <c r="D982" s="188" t="s">
        <v>8724</v>
      </c>
      <c r="E982" s="188" t="s">
        <v>4141</v>
      </c>
      <c r="F982" s="189" t="s">
        <v>4171</v>
      </c>
      <c r="G982" s="199" t="s">
        <v>8287</v>
      </c>
      <c r="H982" s="199" t="s">
        <v>123</v>
      </c>
      <c r="I982" s="199">
        <v>1</v>
      </c>
      <c r="J982" s="199">
        <v>1</v>
      </c>
      <c r="K982" s="199">
        <v>1</v>
      </c>
      <c r="L982" s="199">
        <v>50</v>
      </c>
      <c r="M982" s="202">
        <f>TB_Parts_Lists[[#This Row],[Quantity Initial]]+ SUMIF(TB_Transactions[Part number],TB_Parts_Lists[[#This Row],[Part Number]],TB_Transactions[Quantity])</f>
        <v>50</v>
      </c>
      <c r="N982" s="200" t="s">
        <v>4593</v>
      </c>
      <c r="O982" s="234">
        <v>5</v>
      </c>
      <c r="P982" s="199">
        <f>TB_Parts_Lists[[#This Row],[Quantity Initial]]*TB_Parts_Lists[[#This Row],[Unit Price AED]]</f>
        <v>250</v>
      </c>
      <c r="Q982" s="199">
        <f>TB_Parts_Lists[[#This Row],[Quantity Total]]*TB_Parts_Lists[[#This Row],[Unit Price AED]]</f>
        <v>250</v>
      </c>
      <c r="S982" s="199" t="s">
        <v>118</v>
      </c>
      <c r="T982" s="199" t="s">
        <v>8675</v>
      </c>
      <c r="U982" s="199" t="s">
        <v>8675</v>
      </c>
    </row>
    <row r="983" spans="1:21" s="199" customFormat="1" x14ac:dyDescent="0.25">
      <c r="A983" s="192" t="s">
        <v>7496</v>
      </c>
      <c r="B983" s="203" t="s">
        <v>3330</v>
      </c>
      <c r="C983" s="188" t="s">
        <v>3338</v>
      </c>
      <c r="D983" s="199" t="s">
        <v>8732</v>
      </c>
      <c r="E983" s="188" t="s">
        <v>4142</v>
      </c>
      <c r="F983" s="189" t="s">
        <v>4172</v>
      </c>
      <c r="G983" s="199" t="s">
        <v>8287</v>
      </c>
      <c r="H983" s="199" t="s">
        <v>123</v>
      </c>
      <c r="I983" s="199">
        <v>1</v>
      </c>
      <c r="J983" s="199">
        <v>1</v>
      </c>
      <c r="K983" s="199">
        <v>1</v>
      </c>
      <c r="L983" s="199">
        <v>50</v>
      </c>
      <c r="M983" s="202">
        <f>TB_Parts_Lists[[#This Row],[Quantity Initial]]+ SUMIF(TB_Transactions[Part number],TB_Parts_Lists[[#This Row],[Part Number]],TB_Transactions[Quantity])</f>
        <v>50</v>
      </c>
      <c r="N983" s="200" t="s">
        <v>4593</v>
      </c>
      <c r="O983" s="234">
        <v>5</v>
      </c>
      <c r="P983" s="199">
        <f>TB_Parts_Lists[[#This Row],[Quantity Initial]]*TB_Parts_Lists[[#This Row],[Unit Price AED]]</f>
        <v>250</v>
      </c>
      <c r="Q983" s="199">
        <f>TB_Parts_Lists[[#This Row],[Quantity Total]]*TB_Parts_Lists[[#This Row],[Unit Price AED]]</f>
        <v>250</v>
      </c>
      <c r="S983" s="199" t="s">
        <v>118</v>
      </c>
      <c r="T983" s="199" t="s">
        <v>8675</v>
      </c>
      <c r="U983" s="199" t="s">
        <v>8675</v>
      </c>
    </row>
    <row r="984" spans="1:21" s="199" customFormat="1" x14ac:dyDescent="0.25">
      <c r="A984" s="192" t="s">
        <v>7497</v>
      </c>
      <c r="B984" s="203" t="s">
        <v>6619</v>
      </c>
      <c r="C984" s="188" t="s">
        <v>161</v>
      </c>
      <c r="D984" s="199" t="s">
        <v>8724</v>
      </c>
      <c r="E984" s="188" t="s">
        <v>4233</v>
      </c>
      <c r="F984" s="189" t="s">
        <v>4173</v>
      </c>
      <c r="G984" s="199" t="s">
        <v>8287</v>
      </c>
      <c r="H984" s="199" t="s">
        <v>72</v>
      </c>
      <c r="I984" s="199">
        <v>1</v>
      </c>
      <c r="J984" s="199">
        <v>1</v>
      </c>
      <c r="K984" s="199">
        <v>1</v>
      </c>
      <c r="L984" s="199">
        <v>50</v>
      </c>
      <c r="M984" s="202">
        <f>TB_Parts_Lists[[#This Row],[Quantity Initial]]+ SUMIF(TB_Transactions[Part number],TB_Parts_Lists[[#This Row],[Part Number]],TB_Transactions[Quantity])</f>
        <v>50</v>
      </c>
      <c r="N984" s="200" t="s">
        <v>4593</v>
      </c>
      <c r="O984" s="234">
        <v>5</v>
      </c>
      <c r="P984" s="199">
        <f>TB_Parts_Lists[[#This Row],[Quantity Initial]]*TB_Parts_Lists[[#This Row],[Unit Price AED]]</f>
        <v>250</v>
      </c>
      <c r="Q984" s="199">
        <f>TB_Parts_Lists[[#This Row],[Quantity Total]]*TB_Parts_Lists[[#This Row],[Unit Price AED]]</f>
        <v>250</v>
      </c>
      <c r="S984" s="199" t="s">
        <v>118</v>
      </c>
      <c r="T984" s="199" t="s">
        <v>8675</v>
      </c>
      <c r="U984" s="199" t="s">
        <v>8675</v>
      </c>
    </row>
    <row r="985" spans="1:21" s="199" customFormat="1" x14ac:dyDescent="0.25">
      <c r="A985" s="192" t="s">
        <v>7498</v>
      </c>
      <c r="B985" s="203" t="s">
        <v>6619</v>
      </c>
      <c r="C985" s="188" t="s">
        <v>161</v>
      </c>
      <c r="D985" s="199" t="s">
        <v>8732</v>
      </c>
      <c r="E985" s="188" t="s">
        <v>5390</v>
      </c>
      <c r="F985" s="189" t="s">
        <v>4174</v>
      </c>
      <c r="G985" s="199" t="s">
        <v>8287</v>
      </c>
      <c r="H985" s="199" t="s">
        <v>72</v>
      </c>
      <c r="I985" s="199">
        <v>1</v>
      </c>
      <c r="J985" s="199">
        <v>1</v>
      </c>
      <c r="K985" s="199">
        <v>1</v>
      </c>
      <c r="L985" s="199">
        <v>50</v>
      </c>
      <c r="M985" s="202">
        <f>TB_Parts_Lists[[#This Row],[Quantity Initial]]+ SUMIF(TB_Transactions[Part number],TB_Parts_Lists[[#This Row],[Part Number]],TB_Transactions[Quantity])</f>
        <v>50</v>
      </c>
      <c r="N985" s="200" t="s">
        <v>4593</v>
      </c>
      <c r="O985" s="234">
        <v>5</v>
      </c>
      <c r="P985" s="199">
        <f>TB_Parts_Lists[[#This Row],[Quantity Initial]]*TB_Parts_Lists[[#This Row],[Unit Price AED]]</f>
        <v>250</v>
      </c>
      <c r="Q985" s="199">
        <f>TB_Parts_Lists[[#This Row],[Quantity Total]]*TB_Parts_Lists[[#This Row],[Unit Price AED]]</f>
        <v>250</v>
      </c>
      <c r="S985" s="199" t="s">
        <v>8675</v>
      </c>
      <c r="T985" s="199" t="s">
        <v>8675</v>
      </c>
      <c r="U985" s="199" t="s">
        <v>8675</v>
      </c>
    </row>
    <row r="986" spans="1:21" s="199" customFormat="1" x14ac:dyDescent="0.25">
      <c r="A986" s="192" t="s">
        <v>7499</v>
      </c>
      <c r="B986" s="203" t="s">
        <v>6619</v>
      </c>
      <c r="C986" s="188" t="s">
        <v>161</v>
      </c>
      <c r="D986" s="199" t="s">
        <v>8732</v>
      </c>
      <c r="E986" s="188" t="s">
        <v>5391</v>
      </c>
      <c r="F986" s="189" t="s">
        <v>4175</v>
      </c>
      <c r="G986" s="199" t="s">
        <v>8287</v>
      </c>
      <c r="H986" s="199" t="s">
        <v>72</v>
      </c>
      <c r="I986" s="199">
        <v>1</v>
      </c>
      <c r="J986" s="199">
        <v>1</v>
      </c>
      <c r="K986" s="199">
        <v>1</v>
      </c>
      <c r="L986" s="199">
        <v>50</v>
      </c>
      <c r="M986" s="202">
        <f>TB_Parts_Lists[[#This Row],[Quantity Initial]]+ SUMIF(TB_Transactions[Part number],TB_Parts_Lists[[#This Row],[Part Number]],TB_Transactions[Quantity])</f>
        <v>50</v>
      </c>
      <c r="N986" s="200" t="s">
        <v>4593</v>
      </c>
      <c r="O986" s="234">
        <v>5</v>
      </c>
      <c r="P986" s="199">
        <f>TB_Parts_Lists[[#This Row],[Quantity Initial]]*TB_Parts_Lists[[#This Row],[Unit Price AED]]</f>
        <v>250</v>
      </c>
      <c r="Q986" s="199">
        <f>TB_Parts_Lists[[#This Row],[Quantity Total]]*TB_Parts_Lists[[#This Row],[Unit Price AED]]</f>
        <v>250</v>
      </c>
      <c r="S986" s="199" t="s">
        <v>8675</v>
      </c>
      <c r="T986" s="199" t="s">
        <v>8675</v>
      </c>
      <c r="U986" s="199" t="s">
        <v>8675</v>
      </c>
    </row>
    <row r="987" spans="1:21" s="199" customFormat="1" x14ac:dyDescent="0.25">
      <c r="A987" s="192" t="s">
        <v>7500</v>
      </c>
      <c r="B987" s="203" t="s">
        <v>6619</v>
      </c>
      <c r="C987" s="188" t="s">
        <v>161</v>
      </c>
      <c r="D987" s="199" t="s">
        <v>8732</v>
      </c>
      <c r="E987" s="188" t="s">
        <v>5392</v>
      </c>
      <c r="F987" s="189" t="s">
        <v>4176</v>
      </c>
      <c r="G987" s="199" t="s">
        <v>8287</v>
      </c>
      <c r="H987" s="199" t="s">
        <v>72</v>
      </c>
      <c r="I987" s="199">
        <v>1</v>
      </c>
      <c r="J987" s="199">
        <v>1</v>
      </c>
      <c r="K987" s="199">
        <v>1</v>
      </c>
      <c r="L987" s="199">
        <v>50</v>
      </c>
      <c r="M987" s="202">
        <f>TB_Parts_Lists[[#This Row],[Quantity Initial]]+ SUMIF(TB_Transactions[Part number],TB_Parts_Lists[[#This Row],[Part Number]],TB_Transactions[Quantity])</f>
        <v>50</v>
      </c>
      <c r="N987" s="200" t="s">
        <v>4593</v>
      </c>
      <c r="O987" s="234">
        <v>5</v>
      </c>
      <c r="P987" s="199">
        <f>TB_Parts_Lists[[#This Row],[Quantity Initial]]*TB_Parts_Lists[[#This Row],[Unit Price AED]]</f>
        <v>250</v>
      </c>
      <c r="Q987" s="199">
        <f>TB_Parts_Lists[[#This Row],[Quantity Total]]*TB_Parts_Lists[[#This Row],[Unit Price AED]]</f>
        <v>250</v>
      </c>
      <c r="S987" s="199" t="s">
        <v>8675</v>
      </c>
      <c r="T987" s="199" t="s">
        <v>8675</v>
      </c>
      <c r="U987" s="199" t="s">
        <v>8675</v>
      </c>
    </row>
    <row r="988" spans="1:21" s="199" customFormat="1" x14ac:dyDescent="0.25">
      <c r="A988" s="192" t="s">
        <v>7501</v>
      </c>
      <c r="B988" s="203" t="s">
        <v>6619</v>
      </c>
      <c r="C988" s="188" t="s">
        <v>161</v>
      </c>
      <c r="D988" s="199" t="s">
        <v>8732</v>
      </c>
      <c r="E988" s="188" t="s">
        <v>5393</v>
      </c>
      <c r="F988" s="189" t="s">
        <v>4177</v>
      </c>
      <c r="G988" s="199" t="s">
        <v>8287</v>
      </c>
      <c r="H988" s="199" t="s">
        <v>72</v>
      </c>
      <c r="I988" s="199">
        <v>1</v>
      </c>
      <c r="J988" s="199">
        <v>1</v>
      </c>
      <c r="K988" s="199">
        <v>1</v>
      </c>
      <c r="L988" s="199">
        <v>50</v>
      </c>
      <c r="M988" s="202">
        <f>TB_Parts_Lists[[#This Row],[Quantity Initial]]+ SUMIF(TB_Transactions[Part number],TB_Parts_Lists[[#This Row],[Part Number]],TB_Transactions[Quantity])</f>
        <v>50</v>
      </c>
      <c r="N988" s="200" t="s">
        <v>4593</v>
      </c>
      <c r="O988" s="234">
        <v>5</v>
      </c>
      <c r="P988" s="199">
        <f>TB_Parts_Lists[[#This Row],[Quantity Initial]]*TB_Parts_Lists[[#This Row],[Unit Price AED]]</f>
        <v>250</v>
      </c>
      <c r="Q988" s="199">
        <f>TB_Parts_Lists[[#This Row],[Quantity Total]]*TB_Parts_Lists[[#This Row],[Unit Price AED]]</f>
        <v>250</v>
      </c>
      <c r="S988" s="199" t="s">
        <v>8675</v>
      </c>
      <c r="T988" s="199" t="s">
        <v>8675</v>
      </c>
      <c r="U988" s="199" t="s">
        <v>8675</v>
      </c>
    </row>
    <row r="989" spans="1:21" s="199" customFormat="1" x14ac:dyDescent="0.25">
      <c r="A989" s="192" t="s">
        <v>7502</v>
      </c>
      <c r="B989" s="203" t="s">
        <v>6619</v>
      </c>
      <c r="C989" s="188" t="s">
        <v>161</v>
      </c>
      <c r="D989" s="199" t="s">
        <v>8724</v>
      </c>
      <c r="E989" s="188" t="s">
        <v>4234</v>
      </c>
      <c r="F989" s="189" t="s">
        <v>4178</v>
      </c>
      <c r="G989" s="199" t="s">
        <v>8287</v>
      </c>
      <c r="H989" s="199" t="s">
        <v>72</v>
      </c>
      <c r="I989" s="199">
        <v>1</v>
      </c>
      <c r="J989" s="199">
        <v>1</v>
      </c>
      <c r="K989" s="199">
        <v>1</v>
      </c>
      <c r="L989" s="199">
        <v>50</v>
      </c>
      <c r="M989" s="202">
        <f>TB_Parts_Lists[[#This Row],[Quantity Initial]]+ SUMIF(TB_Transactions[Part number],TB_Parts_Lists[[#This Row],[Part Number]],TB_Transactions[Quantity])</f>
        <v>50</v>
      </c>
      <c r="N989" s="200" t="s">
        <v>4593</v>
      </c>
      <c r="O989" s="234">
        <v>5</v>
      </c>
      <c r="P989" s="199">
        <f>TB_Parts_Lists[[#This Row],[Quantity Initial]]*TB_Parts_Lists[[#This Row],[Unit Price AED]]</f>
        <v>250</v>
      </c>
      <c r="Q989" s="199">
        <f>TB_Parts_Lists[[#This Row],[Quantity Total]]*TB_Parts_Lists[[#This Row],[Unit Price AED]]</f>
        <v>250</v>
      </c>
      <c r="S989" s="199" t="s">
        <v>8675</v>
      </c>
      <c r="T989" s="199" t="s">
        <v>8675</v>
      </c>
      <c r="U989" s="199" t="s">
        <v>8675</v>
      </c>
    </row>
    <row r="990" spans="1:21" s="199" customFormat="1" x14ac:dyDescent="0.25">
      <c r="A990" s="192" t="s">
        <v>7503</v>
      </c>
      <c r="B990" s="203" t="s">
        <v>3002</v>
      </c>
      <c r="C990" s="199" t="s">
        <v>3007</v>
      </c>
      <c r="D990" s="199" t="s">
        <v>8723</v>
      </c>
      <c r="E990" s="188" t="s">
        <v>3007</v>
      </c>
      <c r="F990" s="189" t="s">
        <v>6048</v>
      </c>
      <c r="G990" s="199" t="s">
        <v>8287</v>
      </c>
      <c r="H990" s="199" t="s">
        <v>123</v>
      </c>
      <c r="I990" s="199">
        <v>1</v>
      </c>
      <c r="J990" s="199">
        <v>1</v>
      </c>
      <c r="K990" s="199">
        <v>1</v>
      </c>
      <c r="L990" s="199">
        <v>50</v>
      </c>
      <c r="M990" s="202">
        <f>TB_Parts_Lists[[#This Row],[Quantity Initial]]+ SUMIF(TB_Transactions[Part number],TB_Parts_Lists[[#This Row],[Part Number]],TB_Transactions[Quantity])</f>
        <v>50</v>
      </c>
      <c r="N990" s="200" t="s">
        <v>4593</v>
      </c>
      <c r="O990" s="234">
        <v>5</v>
      </c>
      <c r="P990" s="199">
        <f>TB_Parts_Lists[[#This Row],[Quantity Initial]]*TB_Parts_Lists[[#This Row],[Unit Price AED]]</f>
        <v>250</v>
      </c>
      <c r="Q990" s="199">
        <f>TB_Parts_Lists[[#This Row],[Quantity Total]]*TB_Parts_Lists[[#This Row],[Unit Price AED]]</f>
        <v>250</v>
      </c>
      <c r="S990" s="199" t="s">
        <v>8675</v>
      </c>
      <c r="T990" s="199" t="s">
        <v>8675</v>
      </c>
      <c r="U990" s="199" t="s">
        <v>8675</v>
      </c>
    </row>
    <row r="991" spans="1:21" s="199" customFormat="1" x14ac:dyDescent="0.25">
      <c r="A991" s="192" t="s">
        <v>7504</v>
      </c>
      <c r="B991" s="203" t="s">
        <v>6619</v>
      </c>
      <c r="C991" s="188" t="s">
        <v>161</v>
      </c>
      <c r="D991" s="199" t="s">
        <v>8724</v>
      </c>
      <c r="E991" s="188" t="s">
        <v>5394</v>
      </c>
      <c r="F991" s="189" t="s">
        <v>6049</v>
      </c>
      <c r="G991" s="199" t="s">
        <v>8287</v>
      </c>
      <c r="H991" s="199" t="s">
        <v>72</v>
      </c>
      <c r="I991" s="199">
        <v>1</v>
      </c>
      <c r="J991" s="199">
        <v>1</v>
      </c>
      <c r="K991" s="199">
        <v>1</v>
      </c>
      <c r="L991" s="199">
        <v>50</v>
      </c>
      <c r="M991" s="202">
        <f>TB_Parts_Lists[[#This Row],[Quantity Initial]]+ SUMIF(TB_Transactions[Part number],TB_Parts_Lists[[#This Row],[Part Number]],TB_Transactions[Quantity])</f>
        <v>50</v>
      </c>
      <c r="N991" s="200" t="s">
        <v>4593</v>
      </c>
      <c r="O991" s="234">
        <v>5</v>
      </c>
      <c r="P991" s="199">
        <f>TB_Parts_Lists[[#This Row],[Quantity Initial]]*TB_Parts_Lists[[#This Row],[Unit Price AED]]</f>
        <v>250</v>
      </c>
      <c r="Q991" s="199">
        <f>TB_Parts_Lists[[#This Row],[Quantity Total]]*TB_Parts_Lists[[#This Row],[Unit Price AED]]</f>
        <v>250</v>
      </c>
      <c r="S991" s="199" t="s">
        <v>8675</v>
      </c>
      <c r="T991" s="199" t="s">
        <v>8675</v>
      </c>
      <c r="U991" s="199" t="s">
        <v>8675</v>
      </c>
    </row>
    <row r="992" spans="1:21" s="199" customFormat="1" x14ac:dyDescent="0.25">
      <c r="A992" s="192" t="s">
        <v>7505</v>
      </c>
      <c r="B992" s="203" t="s">
        <v>6619</v>
      </c>
      <c r="C992" s="188" t="s">
        <v>161</v>
      </c>
      <c r="D992" s="199" t="s">
        <v>8732</v>
      </c>
      <c r="E992" s="188" t="s">
        <v>5395</v>
      </c>
      <c r="F992" s="189" t="s">
        <v>6050</v>
      </c>
      <c r="G992" s="199" t="s">
        <v>8287</v>
      </c>
      <c r="H992" s="199" t="s">
        <v>72</v>
      </c>
      <c r="I992" s="199">
        <v>1</v>
      </c>
      <c r="J992" s="199">
        <v>1</v>
      </c>
      <c r="K992" s="199">
        <v>1</v>
      </c>
      <c r="L992" s="199">
        <v>50</v>
      </c>
      <c r="M992" s="202">
        <f>TB_Parts_Lists[[#This Row],[Quantity Initial]]+ SUMIF(TB_Transactions[Part number],TB_Parts_Lists[[#This Row],[Part Number]],TB_Transactions[Quantity])</f>
        <v>50</v>
      </c>
      <c r="N992" s="200" t="s">
        <v>4593</v>
      </c>
      <c r="O992" s="234">
        <v>5</v>
      </c>
      <c r="P992" s="199">
        <f>TB_Parts_Lists[[#This Row],[Quantity Initial]]*TB_Parts_Lists[[#This Row],[Unit Price AED]]</f>
        <v>250</v>
      </c>
      <c r="Q992" s="199">
        <f>TB_Parts_Lists[[#This Row],[Quantity Total]]*TB_Parts_Lists[[#This Row],[Unit Price AED]]</f>
        <v>250</v>
      </c>
      <c r="S992" s="199" t="s">
        <v>8675</v>
      </c>
      <c r="T992" s="199" t="s">
        <v>8675</v>
      </c>
      <c r="U992" s="199" t="s">
        <v>8675</v>
      </c>
    </row>
    <row r="993" spans="1:21" s="199" customFormat="1" x14ac:dyDescent="0.25">
      <c r="A993" s="192" t="s">
        <v>7506</v>
      </c>
      <c r="B993" s="203" t="s">
        <v>6619</v>
      </c>
      <c r="C993" s="188" t="s">
        <v>161</v>
      </c>
      <c r="D993" s="199" t="s">
        <v>8724</v>
      </c>
      <c r="E993" s="188" t="s">
        <v>5396</v>
      </c>
      <c r="F993" s="189" t="s">
        <v>6051</v>
      </c>
      <c r="G993" s="199" t="s">
        <v>8287</v>
      </c>
      <c r="H993" s="199" t="s">
        <v>72</v>
      </c>
      <c r="I993" s="199">
        <v>1</v>
      </c>
      <c r="J993" s="199">
        <v>1</v>
      </c>
      <c r="K993" s="199">
        <v>1</v>
      </c>
      <c r="L993" s="199">
        <v>50</v>
      </c>
      <c r="M993" s="202">
        <f>TB_Parts_Lists[[#This Row],[Quantity Initial]]+ SUMIF(TB_Transactions[Part number],TB_Parts_Lists[[#This Row],[Part Number]],TB_Transactions[Quantity])</f>
        <v>50</v>
      </c>
      <c r="N993" s="200" t="s">
        <v>4593</v>
      </c>
      <c r="O993" s="234">
        <v>5</v>
      </c>
      <c r="P993" s="199">
        <f>TB_Parts_Lists[[#This Row],[Quantity Initial]]*TB_Parts_Lists[[#This Row],[Unit Price AED]]</f>
        <v>250</v>
      </c>
      <c r="Q993" s="199">
        <f>TB_Parts_Lists[[#This Row],[Quantity Total]]*TB_Parts_Lists[[#This Row],[Unit Price AED]]</f>
        <v>250</v>
      </c>
      <c r="S993" s="199" t="s">
        <v>8675</v>
      </c>
      <c r="T993" s="199" t="s">
        <v>8675</v>
      </c>
      <c r="U993" s="199" t="s">
        <v>8675</v>
      </c>
    </row>
    <row r="994" spans="1:21" s="199" customFormat="1" x14ac:dyDescent="0.25">
      <c r="A994" s="192" t="s">
        <v>7507</v>
      </c>
      <c r="B994" s="203" t="s">
        <v>3331</v>
      </c>
      <c r="C994" s="188" t="s">
        <v>6674</v>
      </c>
      <c r="D994" s="199" t="s">
        <v>8724</v>
      </c>
      <c r="E994" s="188" t="s">
        <v>5397</v>
      </c>
      <c r="F994" s="189" t="s">
        <v>6052</v>
      </c>
      <c r="G994" s="199" t="s">
        <v>8287</v>
      </c>
      <c r="H994" s="199" t="s">
        <v>123</v>
      </c>
      <c r="I994" s="199">
        <v>1</v>
      </c>
      <c r="J994" s="199">
        <v>1</v>
      </c>
      <c r="K994" s="199">
        <v>1</v>
      </c>
      <c r="L994" s="199">
        <v>50</v>
      </c>
      <c r="M994" s="202">
        <f>TB_Parts_Lists[[#This Row],[Quantity Initial]]+ SUMIF(TB_Transactions[Part number],TB_Parts_Lists[[#This Row],[Part Number]],TB_Transactions[Quantity])</f>
        <v>50</v>
      </c>
      <c r="N994" s="200" t="s">
        <v>4593</v>
      </c>
      <c r="O994" s="234">
        <v>5</v>
      </c>
      <c r="P994" s="199">
        <f>TB_Parts_Lists[[#This Row],[Quantity Initial]]*TB_Parts_Lists[[#This Row],[Unit Price AED]]</f>
        <v>250</v>
      </c>
      <c r="Q994" s="199">
        <f>TB_Parts_Lists[[#This Row],[Quantity Total]]*TB_Parts_Lists[[#This Row],[Unit Price AED]]</f>
        <v>250</v>
      </c>
      <c r="S994" s="199" t="s">
        <v>8675</v>
      </c>
      <c r="T994" s="199" t="s">
        <v>8675</v>
      </c>
      <c r="U994" s="199" t="s">
        <v>8675</v>
      </c>
    </row>
    <row r="995" spans="1:21" s="199" customFormat="1" x14ac:dyDescent="0.25">
      <c r="A995" s="192" t="s">
        <v>7508</v>
      </c>
      <c r="B995" s="203" t="s">
        <v>3335</v>
      </c>
      <c r="C995" s="188" t="s">
        <v>6623</v>
      </c>
      <c r="D995" s="199" t="s">
        <v>8732</v>
      </c>
      <c r="E995" s="188" t="s">
        <v>5398</v>
      </c>
      <c r="F995" s="189" t="s">
        <v>4179</v>
      </c>
      <c r="G995" s="199" t="s">
        <v>8288</v>
      </c>
      <c r="H995" s="199" t="s">
        <v>123</v>
      </c>
      <c r="I995" s="199">
        <v>1</v>
      </c>
      <c r="J995" s="199">
        <v>1</v>
      </c>
      <c r="K995" s="199">
        <v>1</v>
      </c>
      <c r="L995" s="199">
        <v>50</v>
      </c>
      <c r="M995" s="202">
        <f>TB_Parts_Lists[[#This Row],[Quantity Initial]]+ SUMIF(TB_Transactions[Part number],TB_Parts_Lists[[#This Row],[Part Number]],TB_Transactions[Quantity])</f>
        <v>50</v>
      </c>
      <c r="N995" s="200" t="s">
        <v>4593</v>
      </c>
      <c r="O995" s="234">
        <v>5</v>
      </c>
      <c r="P995" s="199">
        <f>TB_Parts_Lists[[#This Row],[Quantity Initial]]*TB_Parts_Lists[[#This Row],[Unit Price AED]]</f>
        <v>250</v>
      </c>
      <c r="Q995" s="199">
        <f>TB_Parts_Lists[[#This Row],[Quantity Total]]*TB_Parts_Lists[[#This Row],[Unit Price AED]]</f>
        <v>250</v>
      </c>
      <c r="S995" s="199" t="s">
        <v>122</v>
      </c>
      <c r="T995" s="199" t="s">
        <v>312</v>
      </c>
      <c r="U995" s="199" t="s">
        <v>311</v>
      </c>
    </row>
    <row r="996" spans="1:21" s="199" customFormat="1" x14ac:dyDescent="0.25">
      <c r="A996" s="192" t="s">
        <v>7509</v>
      </c>
      <c r="B996" s="203" t="s">
        <v>3330</v>
      </c>
      <c r="C996" s="188" t="s">
        <v>6735</v>
      </c>
      <c r="D996" s="199" t="s">
        <v>8732</v>
      </c>
      <c r="E996" s="188" t="s">
        <v>4144</v>
      </c>
      <c r="F996" s="189" t="s">
        <v>4180</v>
      </c>
      <c r="G996" s="199" t="s">
        <v>8288</v>
      </c>
      <c r="H996" s="199" t="s">
        <v>51</v>
      </c>
      <c r="I996" s="199">
        <v>1</v>
      </c>
      <c r="J996" s="199">
        <v>1</v>
      </c>
      <c r="K996" s="199">
        <v>1</v>
      </c>
      <c r="L996" s="199">
        <v>50</v>
      </c>
      <c r="M996" s="202">
        <f>TB_Parts_Lists[[#This Row],[Quantity Initial]]+ SUMIF(TB_Transactions[Part number],TB_Parts_Lists[[#This Row],[Part Number]],TB_Transactions[Quantity])</f>
        <v>50</v>
      </c>
      <c r="N996" s="200" t="s">
        <v>4593</v>
      </c>
      <c r="O996" s="234">
        <v>5</v>
      </c>
      <c r="P996" s="199">
        <f>TB_Parts_Lists[[#This Row],[Quantity Initial]]*TB_Parts_Lists[[#This Row],[Unit Price AED]]</f>
        <v>250</v>
      </c>
      <c r="Q996" s="199">
        <f>TB_Parts_Lists[[#This Row],[Quantity Total]]*TB_Parts_Lists[[#This Row],[Unit Price AED]]</f>
        <v>250</v>
      </c>
      <c r="S996" s="199" t="s">
        <v>118</v>
      </c>
      <c r="T996" s="199" t="s">
        <v>8699</v>
      </c>
      <c r="U996" s="199" t="s">
        <v>8675</v>
      </c>
    </row>
    <row r="997" spans="1:21" s="199" customFormat="1" x14ac:dyDescent="0.25">
      <c r="A997" s="192" t="s">
        <v>7510</v>
      </c>
      <c r="B997" s="203" t="s">
        <v>3335</v>
      </c>
      <c r="C997" s="199" t="s">
        <v>3373</v>
      </c>
      <c r="D997" s="199" t="s">
        <v>8732</v>
      </c>
      <c r="E997" s="188" t="s">
        <v>5399</v>
      </c>
      <c r="F997" s="189" t="s">
        <v>4181</v>
      </c>
      <c r="G997" s="199" t="s">
        <v>8288</v>
      </c>
      <c r="H997" s="199" t="s">
        <v>72</v>
      </c>
      <c r="I997" s="199">
        <v>1</v>
      </c>
      <c r="J997" s="199">
        <v>1</v>
      </c>
      <c r="K997" s="199">
        <v>1</v>
      </c>
      <c r="L997" s="199">
        <v>50</v>
      </c>
      <c r="M997" s="202">
        <f>TB_Parts_Lists[[#This Row],[Quantity Initial]]+ SUMIF(TB_Transactions[Part number],TB_Parts_Lists[[#This Row],[Part Number]],TB_Transactions[Quantity])</f>
        <v>50</v>
      </c>
      <c r="N997" s="200" t="s">
        <v>4593</v>
      </c>
      <c r="O997" s="234">
        <v>5</v>
      </c>
      <c r="P997" s="199">
        <f>TB_Parts_Lists[[#This Row],[Quantity Initial]]*TB_Parts_Lists[[#This Row],[Unit Price AED]]</f>
        <v>250</v>
      </c>
      <c r="Q997" s="199">
        <f>TB_Parts_Lists[[#This Row],[Quantity Total]]*TB_Parts_Lists[[#This Row],[Unit Price AED]]</f>
        <v>250</v>
      </c>
      <c r="S997" s="199" t="s">
        <v>122</v>
      </c>
      <c r="T997" s="199" t="s">
        <v>312</v>
      </c>
      <c r="U997" s="199" t="s">
        <v>311</v>
      </c>
    </row>
    <row r="998" spans="1:21" s="199" customFormat="1" x14ac:dyDescent="0.25">
      <c r="A998" s="192" t="s">
        <v>7511</v>
      </c>
      <c r="B998" s="203" t="s">
        <v>3002</v>
      </c>
      <c r="C998" s="188" t="s">
        <v>3006</v>
      </c>
      <c r="D998" s="199" t="s">
        <v>8723</v>
      </c>
      <c r="E998" s="188" t="s">
        <v>4235</v>
      </c>
      <c r="F998" s="189" t="s">
        <v>4182</v>
      </c>
      <c r="G998" s="199" t="s">
        <v>8288</v>
      </c>
      <c r="H998" s="199" t="s">
        <v>123</v>
      </c>
      <c r="I998" s="199">
        <v>1</v>
      </c>
      <c r="J998" s="199">
        <v>1</v>
      </c>
      <c r="K998" s="199">
        <v>1</v>
      </c>
      <c r="L998" s="199">
        <v>50</v>
      </c>
      <c r="M998" s="202">
        <f>TB_Parts_Lists[[#This Row],[Quantity Initial]]+ SUMIF(TB_Transactions[Part number],TB_Parts_Lists[[#This Row],[Part Number]],TB_Transactions[Quantity])</f>
        <v>50</v>
      </c>
      <c r="N998" s="200" t="s">
        <v>4593</v>
      </c>
      <c r="O998" s="234">
        <v>5</v>
      </c>
      <c r="P998" s="199">
        <f>TB_Parts_Lists[[#This Row],[Quantity Initial]]*TB_Parts_Lists[[#This Row],[Unit Price AED]]</f>
        <v>250</v>
      </c>
      <c r="Q998" s="199">
        <f>TB_Parts_Lists[[#This Row],[Quantity Total]]*TB_Parts_Lists[[#This Row],[Unit Price AED]]</f>
        <v>250</v>
      </c>
      <c r="S998" s="199" t="s">
        <v>8675</v>
      </c>
      <c r="T998" s="199" t="s">
        <v>8675</v>
      </c>
      <c r="U998" s="199" t="s">
        <v>8675</v>
      </c>
    </row>
    <row r="999" spans="1:21" s="199" customFormat="1" x14ac:dyDescent="0.25">
      <c r="A999" s="192" t="s">
        <v>7512</v>
      </c>
      <c r="B999" s="203" t="s">
        <v>3002</v>
      </c>
      <c r="C999" s="188" t="s">
        <v>3006</v>
      </c>
      <c r="D999" s="199" t="s">
        <v>8723</v>
      </c>
      <c r="E999" s="188" t="s">
        <v>4236</v>
      </c>
      <c r="F999" s="189" t="s">
        <v>4183</v>
      </c>
      <c r="G999" s="199" t="s">
        <v>8288</v>
      </c>
      <c r="H999" s="199" t="s">
        <v>123</v>
      </c>
      <c r="I999" s="199">
        <v>1</v>
      </c>
      <c r="J999" s="199">
        <v>1</v>
      </c>
      <c r="K999" s="199">
        <v>1</v>
      </c>
      <c r="L999" s="199">
        <v>50</v>
      </c>
      <c r="M999" s="202">
        <f>TB_Parts_Lists[[#This Row],[Quantity Initial]]+ SUMIF(TB_Transactions[Part number],TB_Parts_Lists[[#This Row],[Part Number]],TB_Transactions[Quantity])</f>
        <v>50</v>
      </c>
      <c r="N999" s="200" t="s">
        <v>4593</v>
      </c>
      <c r="O999" s="234">
        <v>5</v>
      </c>
      <c r="P999" s="199">
        <f>TB_Parts_Lists[[#This Row],[Quantity Initial]]*TB_Parts_Lists[[#This Row],[Unit Price AED]]</f>
        <v>250</v>
      </c>
      <c r="Q999" s="199">
        <f>TB_Parts_Lists[[#This Row],[Quantity Total]]*TB_Parts_Lists[[#This Row],[Unit Price AED]]</f>
        <v>250</v>
      </c>
      <c r="S999" s="199" t="s">
        <v>8675</v>
      </c>
      <c r="T999" s="199" t="s">
        <v>8675</v>
      </c>
      <c r="U999" s="199" t="s">
        <v>8675</v>
      </c>
    </row>
    <row r="1000" spans="1:21" s="199" customFormat="1" x14ac:dyDescent="0.25">
      <c r="A1000" s="192" t="s">
        <v>7513</v>
      </c>
      <c r="B1000" s="203" t="s">
        <v>3329</v>
      </c>
      <c r="C1000" s="188" t="s">
        <v>3348</v>
      </c>
      <c r="D1000" s="199" t="s">
        <v>8723</v>
      </c>
      <c r="E1000" s="188" t="s">
        <v>3348</v>
      </c>
      <c r="F1000" s="189" t="s">
        <v>4184</v>
      </c>
      <c r="G1000" s="199" t="s">
        <v>8288</v>
      </c>
      <c r="H1000" s="199" t="s">
        <v>123</v>
      </c>
      <c r="I1000" s="199">
        <v>1</v>
      </c>
      <c r="J1000" s="199">
        <v>1</v>
      </c>
      <c r="K1000" s="199">
        <v>1</v>
      </c>
      <c r="L1000" s="199">
        <v>50</v>
      </c>
      <c r="M1000" s="202">
        <f>TB_Parts_Lists[[#This Row],[Quantity Initial]]+ SUMIF(TB_Transactions[Part number],TB_Parts_Lists[[#This Row],[Part Number]],TB_Transactions[Quantity])</f>
        <v>50</v>
      </c>
      <c r="N1000" s="200" t="s">
        <v>4593</v>
      </c>
      <c r="O1000" s="234">
        <v>5</v>
      </c>
      <c r="P1000" s="199">
        <f>TB_Parts_Lists[[#This Row],[Quantity Initial]]*TB_Parts_Lists[[#This Row],[Unit Price AED]]</f>
        <v>250</v>
      </c>
      <c r="Q1000" s="199">
        <f>TB_Parts_Lists[[#This Row],[Quantity Total]]*TB_Parts_Lists[[#This Row],[Unit Price AED]]</f>
        <v>250</v>
      </c>
      <c r="S1000" s="199" t="s">
        <v>8675</v>
      </c>
      <c r="T1000" s="199" t="s">
        <v>8675</v>
      </c>
      <c r="U1000" s="199" t="s">
        <v>8675</v>
      </c>
    </row>
    <row r="1001" spans="1:21" s="199" customFormat="1" x14ac:dyDescent="0.25">
      <c r="A1001" s="192" t="s">
        <v>7514</v>
      </c>
      <c r="B1001" s="203" t="s">
        <v>3330</v>
      </c>
      <c r="C1001" s="188" t="s">
        <v>3338</v>
      </c>
      <c r="D1001" s="199" t="s">
        <v>8724</v>
      </c>
      <c r="E1001" s="188" t="s">
        <v>4237</v>
      </c>
      <c r="F1001" s="189" t="s">
        <v>4185</v>
      </c>
      <c r="G1001" s="199" t="s">
        <v>8288</v>
      </c>
      <c r="H1001" s="199" t="s">
        <v>123</v>
      </c>
      <c r="I1001" s="199">
        <v>1</v>
      </c>
      <c r="J1001" s="199">
        <v>1</v>
      </c>
      <c r="K1001" s="199">
        <v>1</v>
      </c>
      <c r="L1001" s="199">
        <v>50</v>
      </c>
      <c r="M1001" s="202">
        <f>TB_Parts_Lists[[#This Row],[Quantity Initial]]+ SUMIF(TB_Transactions[Part number],TB_Parts_Lists[[#This Row],[Part Number]],TB_Transactions[Quantity])</f>
        <v>50</v>
      </c>
      <c r="N1001" s="200" t="s">
        <v>4593</v>
      </c>
      <c r="O1001" s="234">
        <v>5</v>
      </c>
      <c r="P1001" s="199">
        <f>TB_Parts_Lists[[#This Row],[Quantity Initial]]*TB_Parts_Lists[[#This Row],[Unit Price AED]]</f>
        <v>250</v>
      </c>
      <c r="Q1001" s="199">
        <f>TB_Parts_Lists[[#This Row],[Quantity Total]]*TB_Parts_Lists[[#This Row],[Unit Price AED]]</f>
        <v>250</v>
      </c>
      <c r="S1001" s="199" t="s">
        <v>118</v>
      </c>
      <c r="T1001" s="199" t="s">
        <v>8675</v>
      </c>
      <c r="U1001" s="199" t="s">
        <v>8675</v>
      </c>
    </row>
    <row r="1002" spans="1:21" s="199" customFormat="1" x14ac:dyDescent="0.25">
      <c r="A1002" s="192" t="s">
        <v>7515</v>
      </c>
      <c r="B1002" s="203" t="s">
        <v>3329</v>
      </c>
      <c r="C1002" s="188" t="s">
        <v>3342</v>
      </c>
      <c r="D1002" s="199" t="s">
        <v>8723</v>
      </c>
      <c r="E1002" s="188" t="s">
        <v>4145</v>
      </c>
      <c r="F1002" s="189" t="s">
        <v>4186</v>
      </c>
      <c r="G1002" s="199" t="s">
        <v>8288</v>
      </c>
      <c r="H1002" s="199" t="s">
        <v>123</v>
      </c>
      <c r="I1002" s="199">
        <v>1</v>
      </c>
      <c r="J1002" s="199">
        <v>1</v>
      </c>
      <c r="K1002" s="199">
        <v>1</v>
      </c>
      <c r="L1002" s="199">
        <v>50</v>
      </c>
      <c r="M1002" s="202">
        <f>TB_Parts_Lists[[#This Row],[Quantity Initial]]+ SUMIF(TB_Transactions[Part number],TB_Parts_Lists[[#This Row],[Part Number]],TB_Transactions[Quantity])</f>
        <v>50</v>
      </c>
      <c r="N1002" s="200" t="s">
        <v>4593</v>
      </c>
      <c r="O1002" s="234">
        <v>5</v>
      </c>
      <c r="P1002" s="199">
        <f>TB_Parts_Lists[[#This Row],[Quantity Initial]]*TB_Parts_Lists[[#This Row],[Unit Price AED]]</f>
        <v>250</v>
      </c>
      <c r="Q1002" s="199">
        <f>TB_Parts_Lists[[#This Row],[Quantity Total]]*TB_Parts_Lists[[#This Row],[Unit Price AED]]</f>
        <v>250</v>
      </c>
      <c r="S1002" s="199" t="s">
        <v>8675</v>
      </c>
      <c r="T1002" s="199" t="s">
        <v>8675</v>
      </c>
      <c r="U1002" s="199" t="s">
        <v>8675</v>
      </c>
    </row>
    <row r="1003" spans="1:21" s="199" customFormat="1" x14ac:dyDescent="0.25">
      <c r="A1003" s="192" t="s">
        <v>7516</v>
      </c>
      <c r="B1003" s="203" t="s">
        <v>3331</v>
      </c>
      <c r="C1003" s="188" t="s">
        <v>7204</v>
      </c>
      <c r="D1003" s="199" t="s">
        <v>8724</v>
      </c>
      <c r="E1003" s="188" t="s">
        <v>5400</v>
      </c>
      <c r="F1003" s="189" t="s">
        <v>4187</v>
      </c>
      <c r="G1003" s="199" t="s">
        <v>8288</v>
      </c>
      <c r="H1003" s="199" t="s">
        <v>123</v>
      </c>
      <c r="I1003" s="199">
        <v>1</v>
      </c>
      <c r="J1003" s="199">
        <v>1</v>
      </c>
      <c r="K1003" s="199">
        <v>1</v>
      </c>
      <c r="L1003" s="199">
        <v>50</v>
      </c>
      <c r="M1003" s="202">
        <f>TB_Parts_Lists[[#This Row],[Quantity Initial]]+ SUMIF(TB_Transactions[Part number],TB_Parts_Lists[[#This Row],[Part Number]],TB_Transactions[Quantity])</f>
        <v>50</v>
      </c>
      <c r="N1003" s="200" t="s">
        <v>4593</v>
      </c>
      <c r="O1003" s="234">
        <v>5</v>
      </c>
      <c r="P1003" s="199">
        <f>TB_Parts_Lists[[#This Row],[Quantity Initial]]*TB_Parts_Lists[[#This Row],[Unit Price AED]]</f>
        <v>250</v>
      </c>
      <c r="Q1003" s="199">
        <f>TB_Parts_Lists[[#This Row],[Quantity Total]]*TB_Parts_Lists[[#This Row],[Unit Price AED]]</f>
        <v>250</v>
      </c>
      <c r="S1003" s="199" t="s">
        <v>8675</v>
      </c>
      <c r="T1003" s="199" t="s">
        <v>8675</v>
      </c>
      <c r="U1003" s="199" t="s">
        <v>8675</v>
      </c>
    </row>
    <row r="1004" spans="1:21" s="199" customFormat="1" x14ac:dyDescent="0.25">
      <c r="A1004" s="192" t="s">
        <v>7517</v>
      </c>
      <c r="B1004" s="203" t="s">
        <v>3335</v>
      </c>
      <c r="C1004" s="188" t="s">
        <v>6623</v>
      </c>
      <c r="D1004" s="199" t="s">
        <v>8723</v>
      </c>
      <c r="E1004" s="188" t="s">
        <v>4143</v>
      </c>
      <c r="F1004" s="189" t="s">
        <v>4188</v>
      </c>
      <c r="G1004" s="199" t="s">
        <v>8288</v>
      </c>
      <c r="H1004" s="199" t="s">
        <v>123</v>
      </c>
      <c r="I1004" s="199">
        <v>1</v>
      </c>
      <c r="J1004" s="199">
        <v>1</v>
      </c>
      <c r="K1004" s="199">
        <v>1</v>
      </c>
      <c r="L1004" s="199">
        <v>50</v>
      </c>
      <c r="M1004" s="202">
        <f>TB_Parts_Lists[[#This Row],[Quantity Initial]]+ SUMIF(TB_Transactions[Part number],TB_Parts_Lists[[#This Row],[Part Number]],TB_Transactions[Quantity])</f>
        <v>50</v>
      </c>
      <c r="N1004" s="200" t="s">
        <v>4593</v>
      </c>
      <c r="O1004" s="234">
        <v>5</v>
      </c>
      <c r="P1004" s="199">
        <f>TB_Parts_Lists[[#This Row],[Quantity Initial]]*TB_Parts_Lists[[#This Row],[Unit Price AED]]</f>
        <v>250</v>
      </c>
      <c r="Q1004" s="199">
        <f>TB_Parts_Lists[[#This Row],[Quantity Total]]*TB_Parts_Lists[[#This Row],[Unit Price AED]]</f>
        <v>250</v>
      </c>
      <c r="S1004" s="199" t="s">
        <v>8675</v>
      </c>
      <c r="T1004" s="199" t="s">
        <v>8675</v>
      </c>
      <c r="U1004" s="199" t="s">
        <v>8675</v>
      </c>
    </row>
    <row r="1005" spans="1:21" s="199" customFormat="1" x14ac:dyDescent="0.25">
      <c r="A1005" s="192" t="s">
        <v>7518</v>
      </c>
      <c r="B1005" s="203" t="s">
        <v>3330</v>
      </c>
      <c r="C1005" s="188" t="s">
        <v>2992</v>
      </c>
      <c r="D1005" s="188" t="s">
        <v>8724</v>
      </c>
      <c r="E1005" s="188" t="s">
        <v>5401</v>
      </c>
      <c r="F1005" s="189" t="s">
        <v>4645</v>
      </c>
      <c r="G1005" s="199" t="s">
        <v>8288</v>
      </c>
      <c r="H1005" s="199" t="s">
        <v>123</v>
      </c>
      <c r="I1005" s="199">
        <v>1</v>
      </c>
      <c r="J1005" s="199">
        <v>1</v>
      </c>
      <c r="K1005" s="199">
        <v>1</v>
      </c>
      <c r="L1005" s="199">
        <v>50</v>
      </c>
      <c r="M1005" s="202">
        <f>TB_Parts_Lists[[#This Row],[Quantity Initial]]+ SUMIF(TB_Transactions[Part number],TB_Parts_Lists[[#This Row],[Part Number]],TB_Transactions[Quantity])</f>
        <v>50</v>
      </c>
      <c r="N1005" s="200" t="s">
        <v>4593</v>
      </c>
      <c r="O1005" s="234">
        <v>5</v>
      </c>
      <c r="P1005" s="199">
        <f>TB_Parts_Lists[[#This Row],[Quantity Initial]]*TB_Parts_Lists[[#This Row],[Unit Price AED]]</f>
        <v>250</v>
      </c>
      <c r="Q1005" s="199">
        <f>TB_Parts_Lists[[#This Row],[Quantity Total]]*TB_Parts_Lists[[#This Row],[Unit Price AED]]</f>
        <v>250</v>
      </c>
      <c r="S1005" s="199" t="s">
        <v>8675</v>
      </c>
      <c r="T1005" s="199" t="s">
        <v>8675</v>
      </c>
      <c r="U1005" s="199" t="s">
        <v>8675</v>
      </c>
    </row>
    <row r="1006" spans="1:21" s="199" customFormat="1" x14ac:dyDescent="0.25">
      <c r="A1006" s="192" t="s">
        <v>7519</v>
      </c>
      <c r="B1006" s="203" t="s">
        <v>3330</v>
      </c>
      <c r="C1006" s="188" t="s">
        <v>6611</v>
      </c>
      <c r="D1006" s="199" t="s">
        <v>8732</v>
      </c>
      <c r="E1006" s="188" t="s">
        <v>5402</v>
      </c>
      <c r="F1006" s="189" t="s">
        <v>4189</v>
      </c>
      <c r="G1006" s="199" t="s">
        <v>8288</v>
      </c>
      <c r="H1006" s="199" t="s">
        <v>123</v>
      </c>
      <c r="I1006" s="199">
        <v>1</v>
      </c>
      <c r="J1006" s="199">
        <v>1</v>
      </c>
      <c r="K1006" s="199">
        <v>1</v>
      </c>
      <c r="L1006" s="199">
        <v>50</v>
      </c>
      <c r="M1006" s="202">
        <f>TB_Parts_Lists[[#This Row],[Quantity Initial]]+ SUMIF(TB_Transactions[Part number],TB_Parts_Lists[[#This Row],[Part Number]],TB_Transactions[Quantity])</f>
        <v>50</v>
      </c>
      <c r="N1006" s="200" t="s">
        <v>4593</v>
      </c>
      <c r="O1006" s="234">
        <v>5</v>
      </c>
      <c r="P1006" s="199">
        <f>TB_Parts_Lists[[#This Row],[Quantity Initial]]*TB_Parts_Lists[[#This Row],[Unit Price AED]]</f>
        <v>250</v>
      </c>
      <c r="Q1006" s="199">
        <f>TB_Parts_Lists[[#This Row],[Quantity Total]]*TB_Parts_Lists[[#This Row],[Unit Price AED]]</f>
        <v>250</v>
      </c>
      <c r="S1006" s="199" t="s">
        <v>118</v>
      </c>
      <c r="T1006" s="199" t="s">
        <v>8675</v>
      </c>
      <c r="U1006" s="199" t="s">
        <v>8675</v>
      </c>
    </row>
    <row r="1007" spans="1:21" s="199" customFormat="1" x14ac:dyDescent="0.25">
      <c r="A1007" s="192" t="s">
        <v>7520</v>
      </c>
      <c r="B1007" s="203" t="s">
        <v>6619</v>
      </c>
      <c r="C1007" s="188" t="s">
        <v>6620</v>
      </c>
      <c r="D1007" s="199" t="s">
        <v>8724</v>
      </c>
      <c r="E1007" s="188" t="s">
        <v>4238</v>
      </c>
      <c r="F1007" s="189" t="s">
        <v>4190</v>
      </c>
      <c r="G1007" s="199" t="s">
        <v>8288</v>
      </c>
      <c r="H1007" s="199" t="s">
        <v>123</v>
      </c>
      <c r="I1007" s="199">
        <v>1</v>
      </c>
      <c r="J1007" s="199">
        <v>1</v>
      </c>
      <c r="K1007" s="199">
        <v>1</v>
      </c>
      <c r="L1007" s="199">
        <v>50</v>
      </c>
      <c r="M1007" s="202">
        <f>TB_Parts_Lists[[#This Row],[Quantity Initial]]+ SUMIF(TB_Transactions[Part number],TB_Parts_Lists[[#This Row],[Part Number]],TB_Transactions[Quantity])</f>
        <v>50</v>
      </c>
      <c r="N1007" s="200" t="s">
        <v>4593</v>
      </c>
      <c r="O1007" s="234">
        <v>5</v>
      </c>
      <c r="P1007" s="199">
        <f>TB_Parts_Lists[[#This Row],[Quantity Initial]]*TB_Parts_Lists[[#This Row],[Unit Price AED]]</f>
        <v>250</v>
      </c>
      <c r="Q1007" s="199">
        <f>TB_Parts_Lists[[#This Row],[Quantity Total]]*TB_Parts_Lists[[#This Row],[Unit Price AED]]</f>
        <v>250</v>
      </c>
      <c r="S1007" s="199" t="s">
        <v>8675</v>
      </c>
      <c r="T1007" s="199" t="s">
        <v>8675</v>
      </c>
      <c r="U1007" s="199" t="s">
        <v>8675</v>
      </c>
    </row>
    <row r="1008" spans="1:21" s="199" customFormat="1" x14ac:dyDescent="0.25">
      <c r="A1008" s="192" t="s">
        <v>7521</v>
      </c>
      <c r="B1008" s="203" t="s">
        <v>3332</v>
      </c>
      <c r="C1008" s="188" t="s">
        <v>3357</v>
      </c>
      <c r="D1008" s="199" t="s">
        <v>8724</v>
      </c>
      <c r="E1008" s="188" t="s">
        <v>5403</v>
      </c>
      <c r="F1008" s="189" t="s">
        <v>4191</v>
      </c>
      <c r="G1008" s="199" t="s">
        <v>8288</v>
      </c>
      <c r="H1008" s="199" t="s">
        <v>123</v>
      </c>
      <c r="I1008" s="199">
        <v>1</v>
      </c>
      <c r="J1008" s="199">
        <v>1</v>
      </c>
      <c r="K1008" s="199">
        <v>1</v>
      </c>
      <c r="L1008" s="199">
        <v>50</v>
      </c>
      <c r="M1008" s="202">
        <f>TB_Parts_Lists[[#This Row],[Quantity Initial]]+ SUMIF(TB_Transactions[Part number],TB_Parts_Lists[[#This Row],[Part Number]],TB_Transactions[Quantity])</f>
        <v>50</v>
      </c>
      <c r="N1008" s="200" t="s">
        <v>4593</v>
      </c>
      <c r="O1008" s="234">
        <v>5</v>
      </c>
      <c r="P1008" s="199">
        <f>TB_Parts_Lists[[#This Row],[Quantity Initial]]*TB_Parts_Lists[[#This Row],[Unit Price AED]]</f>
        <v>250</v>
      </c>
      <c r="Q1008" s="199">
        <f>TB_Parts_Lists[[#This Row],[Quantity Total]]*TB_Parts_Lists[[#This Row],[Unit Price AED]]</f>
        <v>250</v>
      </c>
      <c r="S1008" s="199" t="s">
        <v>118</v>
      </c>
      <c r="T1008" s="199" t="s">
        <v>8691</v>
      </c>
      <c r="U1008" s="199" t="s">
        <v>8716</v>
      </c>
    </row>
    <row r="1009" spans="1:21" s="199" customFormat="1" x14ac:dyDescent="0.25">
      <c r="A1009" s="192" t="s">
        <v>7522</v>
      </c>
      <c r="B1009" s="203" t="s">
        <v>3330</v>
      </c>
      <c r="C1009" s="188" t="s">
        <v>6611</v>
      </c>
      <c r="D1009" s="199" t="s">
        <v>8724</v>
      </c>
      <c r="E1009" s="188" t="s">
        <v>5404</v>
      </c>
      <c r="F1009" s="189" t="s">
        <v>6053</v>
      </c>
      <c r="G1009" s="199" t="s">
        <v>8288</v>
      </c>
      <c r="H1009" s="199" t="s">
        <v>123</v>
      </c>
      <c r="I1009" s="199">
        <v>1</v>
      </c>
      <c r="J1009" s="199">
        <v>1</v>
      </c>
      <c r="K1009" s="199">
        <v>1</v>
      </c>
      <c r="L1009" s="199">
        <v>50</v>
      </c>
      <c r="M1009" s="202">
        <f>TB_Parts_Lists[[#This Row],[Quantity Initial]]+ SUMIF(TB_Transactions[Part number],TB_Parts_Lists[[#This Row],[Part Number]],TB_Transactions[Quantity])</f>
        <v>50</v>
      </c>
      <c r="N1009" s="200" t="s">
        <v>4593</v>
      </c>
      <c r="O1009" s="234">
        <v>5</v>
      </c>
      <c r="P1009" s="199">
        <f>TB_Parts_Lists[[#This Row],[Quantity Initial]]*TB_Parts_Lists[[#This Row],[Unit Price AED]]</f>
        <v>250</v>
      </c>
      <c r="Q1009" s="199">
        <f>TB_Parts_Lists[[#This Row],[Quantity Total]]*TB_Parts_Lists[[#This Row],[Unit Price AED]]</f>
        <v>250</v>
      </c>
      <c r="S1009" s="199" t="s">
        <v>118</v>
      </c>
      <c r="T1009" s="199" t="s">
        <v>8675</v>
      </c>
      <c r="U1009" s="199" t="s">
        <v>8675</v>
      </c>
    </row>
    <row r="1010" spans="1:21" s="199" customFormat="1" x14ac:dyDescent="0.25">
      <c r="A1010" s="192" t="s">
        <v>7523</v>
      </c>
      <c r="B1010" s="203" t="s">
        <v>3002</v>
      </c>
      <c r="C1010" s="188" t="s">
        <v>3006</v>
      </c>
      <c r="D1010" s="199" t="s">
        <v>8724</v>
      </c>
      <c r="E1010" s="188" t="s">
        <v>4646</v>
      </c>
      <c r="F1010" s="189" t="s">
        <v>4192</v>
      </c>
      <c r="G1010" s="199" t="s">
        <v>8288</v>
      </c>
      <c r="H1010" s="199" t="s">
        <v>123</v>
      </c>
      <c r="I1010" s="199">
        <v>1</v>
      </c>
      <c r="J1010" s="199">
        <v>1</v>
      </c>
      <c r="K1010" s="199">
        <v>1</v>
      </c>
      <c r="L1010" s="199">
        <v>50</v>
      </c>
      <c r="M1010" s="202">
        <f>TB_Parts_Lists[[#This Row],[Quantity Initial]]+ SUMIF(TB_Transactions[Part number],TB_Parts_Lists[[#This Row],[Part Number]],TB_Transactions[Quantity])</f>
        <v>50</v>
      </c>
      <c r="N1010" s="200" t="s">
        <v>4593</v>
      </c>
      <c r="O1010" s="234">
        <v>5</v>
      </c>
      <c r="P1010" s="199">
        <f>TB_Parts_Lists[[#This Row],[Quantity Initial]]*TB_Parts_Lists[[#This Row],[Unit Price AED]]</f>
        <v>250</v>
      </c>
      <c r="Q1010" s="199">
        <f>TB_Parts_Lists[[#This Row],[Quantity Total]]*TB_Parts_Lists[[#This Row],[Unit Price AED]]</f>
        <v>250</v>
      </c>
      <c r="S1010" s="199" t="s">
        <v>8675</v>
      </c>
      <c r="T1010" s="199" t="s">
        <v>8675</v>
      </c>
      <c r="U1010" s="199" t="s">
        <v>8675</v>
      </c>
    </row>
    <row r="1011" spans="1:21" s="199" customFormat="1" x14ac:dyDescent="0.25">
      <c r="A1011" s="192" t="s">
        <v>7524</v>
      </c>
      <c r="B1011" s="203" t="s">
        <v>3330</v>
      </c>
      <c r="C1011" s="188" t="s">
        <v>6611</v>
      </c>
      <c r="D1011" s="199" t="s">
        <v>8724</v>
      </c>
      <c r="E1011" s="188" t="s">
        <v>4146</v>
      </c>
      <c r="F1011" s="189" t="s">
        <v>4193</v>
      </c>
      <c r="G1011" s="199" t="s">
        <v>8288</v>
      </c>
      <c r="H1011" s="199" t="s">
        <v>123</v>
      </c>
      <c r="I1011" s="199">
        <v>1</v>
      </c>
      <c r="J1011" s="199">
        <v>1</v>
      </c>
      <c r="K1011" s="199">
        <v>1</v>
      </c>
      <c r="L1011" s="199">
        <v>50</v>
      </c>
      <c r="M1011" s="202">
        <f>TB_Parts_Lists[[#This Row],[Quantity Initial]]+ SUMIF(TB_Transactions[Part number],TB_Parts_Lists[[#This Row],[Part Number]],TB_Transactions[Quantity])</f>
        <v>50</v>
      </c>
      <c r="N1011" s="200" t="s">
        <v>4593</v>
      </c>
      <c r="O1011" s="234">
        <v>5</v>
      </c>
      <c r="P1011" s="199">
        <f>TB_Parts_Lists[[#This Row],[Quantity Initial]]*TB_Parts_Lists[[#This Row],[Unit Price AED]]</f>
        <v>250</v>
      </c>
      <c r="Q1011" s="199">
        <f>TB_Parts_Lists[[#This Row],[Quantity Total]]*TB_Parts_Lists[[#This Row],[Unit Price AED]]</f>
        <v>250</v>
      </c>
      <c r="S1011" s="199" t="s">
        <v>118</v>
      </c>
      <c r="T1011" s="199" t="s">
        <v>8675</v>
      </c>
      <c r="U1011" s="199" t="s">
        <v>8675</v>
      </c>
    </row>
    <row r="1012" spans="1:21" s="199" customFormat="1" x14ac:dyDescent="0.25">
      <c r="A1012" s="192" t="s">
        <v>7525</v>
      </c>
      <c r="B1012" s="203" t="s">
        <v>6619</v>
      </c>
      <c r="C1012" s="199" t="s">
        <v>6640</v>
      </c>
      <c r="D1012" s="199" t="s">
        <v>8724</v>
      </c>
      <c r="E1012" s="188" t="s">
        <v>5405</v>
      </c>
      <c r="F1012" s="189" t="s">
        <v>6054</v>
      </c>
      <c r="G1012" s="199" t="s">
        <v>8288</v>
      </c>
      <c r="H1012" s="199" t="s">
        <v>72</v>
      </c>
      <c r="I1012" s="199">
        <v>1</v>
      </c>
      <c r="J1012" s="199">
        <v>1</v>
      </c>
      <c r="K1012" s="199">
        <v>1</v>
      </c>
      <c r="L1012" s="199">
        <v>50</v>
      </c>
      <c r="M1012" s="202">
        <f>TB_Parts_Lists[[#This Row],[Quantity Initial]]+ SUMIF(TB_Transactions[Part number],TB_Parts_Lists[[#This Row],[Part Number]],TB_Transactions[Quantity])</f>
        <v>50</v>
      </c>
      <c r="N1012" s="200" t="s">
        <v>4593</v>
      </c>
      <c r="O1012" s="234">
        <v>5</v>
      </c>
      <c r="P1012" s="199">
        <f>TB_Parts_Lists[[#This Row],[Quantity Initial]]*TB_Parts_Lists[[#This Row],[Unit Price AED]]</f>
        <v>250</v>
      </c>
      <c r="Q1012" s="199">
        <f>TB_Parts_Lists[[#This Row],[Quantity Total]]*TB_Parts_Lists[[#This Row],[Unit Price AED]]</f>
        <v>250</v>
      </c>
      <c r="S1012" s="199" t="s">
        <v>118</v>
      </c>
      <c r="T1012" s="199" t="s">
        <v>8675</v>
      </c>
      <c r="U1012" s="199" t="s">
        <v>8675</v>
      </c>
    </row>
    <row r="1013" spans="1:21" s="199" customFormat="1" x14ac:dyDescent="0.25">
      <c r="A1013" s="192" t="s">
        <v>7526</v>
      </c>
      <c r="B1013" s="203" t="s">
        <v>3331</v>
      </c>
      <c r="C1013" s="199" t="s">
        <v>6673</v>
      </c>
      <c r="D1013" s="199" t="s">
        <v>8723</v>
      </c>
      <c r="E1013" s="188" t="s">
        <v>5406</v>
      </c>
      <c r="F1013" s="189" t="s">
        <v>6055</v>
      </c>
      <c r="G1013" s="199" t="s">
        <v>8288</v>
      </c>
      <c r="H1013" s="199" t="s">
        <v>8642</v>
      </c>
      <c r="I1013" s="199">
        <v>1</v>
      </c>
      <c r="J1013" s="199">
        <v>1</v>
      </c>
      <c r="K1013" s="199">
        <v>1</v>
      </c>
      <c r="L1013" s="199">
        <v>50</v>
      </c>
      <c r="M1013" s="202">
        <f>TB_Parts_Lists[[#This Row],[Quantity Initial]]+ SUMIF(TB_Transactions[Part number],TB_Parts_Lists[[#This Row],[Part Number]],TB_Transactions[Quantity])</f>
        <v>50</v>
      </c>
      <c r="N1013" s="200" t="s">
        <v>4593</v>
      </c>
      <c r="O1013" s="234">
        <v>5</v>
      </c>
      <c r="P1013" s="199">
        <f>TB_Parts_Lists[[#This Row],[Quantity Initial]]*TB_Parts_Lists[[#This Row],[Unit Price AED]]</f>
        <v>250</v>
      </c>
      <c r="Q1013" s="199">
        <f>TB_Parts_Lists[[#This Row],[Quantity Total]]*TB_Parts_Lists[[#This Row],[Unit Price AED]]</f>
        <v>250</v>
      </c>
      <c r="S1013" s="199" t="s">
        <v>8675</v>
      </c>
      <c r="T1013" s="199" t="s">
        <v>8675</v>
      </c>
      <c r="U1013" s="199" t="s">
        <v>8675</v>
      </c>
    </row>
    <row r="1014" spans="1:21" s="199" customFormat="1" x14ac:dyDescent="0.25">
      <c r="A1014" s="192" t="s">
        <v>7527</v>
      </c>
      <c r="B1014" s="203" t="s">
        <v>3330</v>
      </c>
      <c r="C1014" s="188" t="s">
        <v>3338</v>
      </c>
      <c r="D1014" s="188" t="s">
        <v>8724</v>
      </c>
      <c r="E1014" s="188" t="s">
        <v>5407</v>
      </c>
      <c r="F1014" s="189" t="s">
        <v>6056</v>
      </c>
      <c r="G1014" s="199" t="s">
        <v>8288</v>
      </c>
      <c r="H1014" s="199" t="s">
        <v>123</v>
      </c>
      <c r="I1014" s="199">
        <v>1</v>
      </c>
      <c r="J1014" s="199">
        <v>1</v>
      </c>
      <c r="K1014" s="199">
        <v>1</v>
      </c>
      <c r="L1014" s="199">
        <v>50</v>
      </c>
      <c r="M1014" s="202">
        <f>TB_Parts_Lists[[#This Row],[Quantity Initial]]+ SUMIF(TB_Transactions[Part number],TB_Parts_Lists[[#This Row],[Part Number]],TB_Transactions[Quantity])</f>
        <v>50</v>
      </c>
      <c r="N1014" s="200" t="s">
        <v>4593</v>
      </c>
      <c r="O1014" s="234">
        <v>5</v>
      </c>
      <c r="P1014" s="199">
        <f>TB_Parts_Lists[[#This Row],[Quantity Initial]]*TB_Parts_Lists[[#This Row],[Unit Price AED]]</f>
        <v>250</v>
      </c>
      <c r="Q1014" s="199">
        <f>TB_Parts_Lists[[#This Row],[Quantity Total]]*TB_Parts_Lists[[#This Row],[Unit Price AED]]</f>
        <v>250</v>
      </c>
      <c r="S1014" s="199" t="s">
        <v>118</v>
      </c>
      <c r="T1014" s="199" t="s">
        <v>8675</v>
      </c>
      <c r="U1014" s="199" t="s">
        <v>8675</v>
      </c>
    </row>
    <row r="1015" spans="1:21" s="199" customFormat="1" x14ac:dyDescent="0.25">
      <c r="A1015" s="192" t="s">
        <v>7528</v>
      </c>
      <c r="B1015" s="203" t="s">
        <v>3330</v>
      </c>
      <c r="C1015" s="188" t="s">
        <v>3567</v>
      </c>
      <c r="D1015" s="188" t="s">
        <v>8724</v>
      </c>
      <c r="E1015" s="188" t="s">
        <v>5408</v>
      </c>
      <c r="F1015" s="189" t="s">
        <v>6057</v>
      </c>
      <c r="G1015" s="199" t="s">
        <v>8288</v>
      </c>
      <c r="H1015" s="199" t="s">
        <v>123</v>
      </c>
      <c r="I1015" s="199">
        <v>1</v>
      </c>
      <c r="J1015" s="199">
        <v>1</v>
      </c>
      <c r="K1015" s="199">
        <v>1</v>
      </c>
      <c r="L1015" s="199">
        <v>50</v>
      </c>
      <c r="M1015" s="202">
        <f>TB_Parts_Lists[[#This Row],[Quantity Initial]]+ SUMIF(TB_Transactions[Part number],TB_Parts_Lists[[#This Row],[Part Number]],TB_Transactions[Quantity])</f>
        <v>50</v>
      </c>
      <c r="N1015" s="200" t="s">
        <v>4593</v>
      </c>
      <c r="O1015" s="234">
        <v>5</v>
      </c>
      <c r="P1015" s="199">
        <f>TB_Parts_Lists[[#This Row],[Quantity Initial]]*TB_Parts_Lists[[#This Row],[Unit Price AED]]</f>
        <v>250</v>
      </c>
      <c r="Q1015" s="199">
        <f>TB_Parts_Lists[[#This Row],[Quantity Total]]*TB_Parts_Lists[[#This Row],[Unit Price AED]]</f>
        <v>250</v>
      </c>
      <c r="S1015" s="199" t="s">
        <v>118</v>
      </c>
      <c r="T1015" s="199" t="s">
        <v>8675</v>
      </c>
      <c r="U1015" s="199" t="s">
        <v>8675</v>
      </c>
    </row>
    <row r="1016" spans="1:21" s="199" customFormat="1" x14ac:dyDescent="0.25">
      <c r="A1016" s="192" t="s">
        <v>7529</v>
      </c>
      <c r="B1016" s="203" t="s">
        <v>3330</v>
      </c>
      <c r="C1016" s="188" t="s">
        <v>6611</v>
      </c>
      <c r="D1016" s="199" t="s">
        <v>8732</v>
      </c>
      <c r="E1016" s="188" t="s">
        <v>5409</v>
      </c>
      <c r="F1016" s="189" t="s">
        <v>6058</v>
      </c>
      <c r="G1016" s="199" t="s">
        <v>8288</v>
      </c>
      <c r="H1016" s="199" t="s">
        <v>123</v>
      </c>
      <c r="I1016" s="199">
        <v>1</v>
      </c>
      <c r="J1016" s="199">
        <v>1</v>
      </c>
      <c r="K1016" s="199">
        <v>1</v>
      </c>
      <c r="L1016" s="199">
        <v>50</v>
      </c>
      <c r="M1016" s="202">
        <f>TB_Parts_Lists[[#This Row],[Quantity Initial]]+ SUMIF(TB_Transactions[Part number],TB_Parts_Lists[[#This Row],[Part Number]],TB_Transactions[Quantity])</f>
        <v>50</v>
      </c>
      <c r="N1016" s="200" t="s">
        <v>4593</v>
      </c>
      <c r="O1016" s="234">
        <v>5</v>
      </c>
      <c r="P1016" s="199">
        <f>TB_Parts_Lists[[#This Row],[Quantity Initial]]*TB_Parts_Lists[[#This Row],[Unit Price AED]]</f>
        <v>250</v>
      </c>
      <c r="Q1016" s="199">
        <f>TB_Parts_Lists[[#This Row],[Quantity Total]]*TB_Parts_Lists[[#This Row],[Unit Price AED]]</f>
        <v>250</v>
      </c>
      <c r="S1016" s="199" t="s">
        <v>118</v>
      </c>
      <c r="T1016" s="199" t="s">
        <v>8675</v>
      </c>
      <c r="U1016" s="199" t="s">
        <v>8675</v>
      </c>
    </row>
    <row r="1017" spans="1:21" s="199" customFormat="1" x14ac:dyDescent="0.25">
      <c r="A1017" s="192" t="s">
        <v>7530</v>
      </c>
      <c r="B1017" s="203" t="s">
        <v>6619</v>
      </c>
      <c r="C1017" s="188" t="s">
        <v>161</v>
      </c>
      <c r="D1017" s="199" t="s">
        <v>8724</v>
      </c>
      <c r="E1017" s="188" t="s">
        <v>5410</v>
      </c>
      <c r="F1017" s="189" t="s">
        <v>6059</v>
      </c>
      <c r="G1017" s="199" t="s">
        <v>8288</v>
      </c>
      <c r="H1017" s="199" t="s">
        <v>123</v>
      </c>
      <c r="I1017" s="199">
        <v>1</v>
      </c>
      <c r="J1017" s="199">
        <v>1</v>
      </c>
      <c r="K1017" s="199">
        <v>1</v>
      </c>
      <c r="L1017" s="199">
        <v>50</v>
      </c>
      <c r="M1017" s="202">
        <f>TB_Parts_Lists[[#This Row],[Quantity Initial]]+ SUMIF(TB_Transactions[Part number],TB_Parts_Lists[[#This Row],[Part Number]],TB_Transactions[Quantity])</f>
        <v>50</v>
      </c>
      <c r="N1017" s="200" t="s">
        <v>4593</v>
      </c>
      <c r="O1017" s="234">
        <v>5</v>
      </c>
      <c r="P1017" s="199">
        <f>TB_Parts_Lists[[#This Row],[Quantity Initial]]*TB_Parts_Lists[[#This Row],[Unit Price AED]]</f>
        <v>250</v>
      </c>
      <c r="Q1017" s="199">
        <f>TB_Parts_Lists[[#This Row],[Quantity Total]]*TB_Parts_Lists[[#This Row],[Unit Price AED]]</f>
        <v>250</v>
      </c>
      <c r="S1017" s="199" t="s">
        <v>118</v>
      </c>
      <c r="T1017" s="199" t="s">
        <v>8675</v>
      </c>
      <c r="U1017" s="199" t="s">
        <v>8675</v>
      </c>
    </row>
    <row r="1018" spans="1:21" s="199" customFormat="1" x14ac:dyDescent="0.25">
      <c r="A1018" s="192" t="s">
        <v>7531</v>
      </c>
      <c r="B1018" s="203" t="s">
        <v>3330</v>
      </c>
      <c r="C1018" s="188" t="s">
        <v>6611</v>
      </c>
      <c r="D1018" s="199" t="s">
        <v>8732</v>
      </c>
      <c r="E1018" s="188" t="s">
        <v>5411</v>
      </c>
      <c r="F1018" s="189" t="s">
        <v>6060</v>
      </c>
      <c r="G1018" s="199" t="s">
        <v>8288</v>
      </c>
      <c r="H1018" s="199" t="s">
        <v>123</v>
      </c>
      <c r="I1018" s="199">
        <v>1</v>
      </c>
      <c r="J1018" s="199">
        <v>1</v>
      </c>
      <c r="K1018" s="199">
        <v>1</v>
      </c>
      <c r="L1018" s="199">
        <v>50</v>
      </c>
      <c r="M1018" s="202">
        <f>TB_Parts_Lists[[#This Row],[Quantity Initial]]+ SUMIF(TB_Transactions[Part number],TB_Parts_Lists[[#This Row],[Part Number]],TB_Transactions[Quantity])</f>
        <v>50</v>
      </c>
      <c r="N1018" s="200" t="s">
        <v>4593</v>
      </c>
      <c r="O1018" s="234">
        <v>5</v>
      </c>
      <c r="P1018" s="199">
        <f>TB_Parts_Lists[[#This Row],[Quantity Initial]]*TB_Parts_Lists[[#This Row],[Unit Price AED]]</f>
        <v>250</v>
      </c>
      <c r="Q1018" s="199">
        <f>TB_Parts_Lists[[#This Row],[Quantity Total]]*TB_Parts_Lists[[#This Row],[Unit Price AED]]</f>
        <v>250</v>
      </c>
      <c r="S1018" s="199" t="s">
        <v>118</v>
      </c>
      <c r="T1018" s="199" t="s">
        <v>8675</v>
      </c>
      <c r="U1018" s="199" t="s">
        <v>8675</v>
      </c>
    </row>
    <row r="1019" spans="1:21" s="199" customFormat="1" x14ac:dyDescent="0.25">
      <c r="A1019" s="192" t="s">
        <v>7532</v>
      </c>
      <c r="B1019" s="203" t="s">
        <v>6619</v>
      </c>
      <c r="C1019" s="188" t="s">
        <v>161</v>
      </c>
      <c r="D1019" s="199" t="s">
        <v>8724</v>
      </c>
      <c r="E1019" s="188" t="s">
        <v>5412</v>
      </c>
      <c r="F1019" s="189" t="s">
        <v>6061</v>
      </c>
      <c r="G1019" s="199" t="s">
        <v>8288</v>
      </c>
      <c r="H1019" s="199" t="s">
        <v>123</v>
      </c>
      <c r="I1019" s="199">
        <v>1</v>
      </c>
      <c r="J1019" s="199">
        <v>1</v>
      </c>
      <c r="K1019" s="199">
        <v>1</v>
      </c>
      <c r="L1019" s="199">
        <v>50</v>
      </c>
      <c r="M1019" s="202">
        <f>TB_Parts_Lists[[#This Row],[Quantity Initial]]+ SUMIF(TB_Transactions[Part number],TB_Parts_Lists[[#This Row],[Part Number]],TB_Transactions[Quantity])</f>
        <v>50</v>
      </c>
      <c r="N1019" s="200" t="s">
        <v>4593</v>
      </c>
      <c r="O1019" s="234">
        <v>5</v>
      </c>
      <c r="P1019" s="199">
        <f>TB_Parts_Lists[[#This Row],[Quantity Initial]]*TB_Parts_Lists[[#This Row],[Unit Price AED]]</f>
        <v>250</v>
      </c>
      <c r="Q1019" s="199">
        <f>TB_Parts_Lists[[#This Row],[Quantity Total]]*TB_Parts_Lists[[#This Row],[Unit Price AED]]</f>
        <v>250</v>
      </c>
      <c r="S1019" s="199" t="s">
        <v>118</v>
      </c>
      <c r="T1019" s="199" t="s">
        <v>8675</v>
      </c>
      <c r="U1019" s="199" t="s">
        <v>8675</v>
      </c>
    </row>
    <row r="1020" spans="1:21" s="199" customFormat="1" x14ac:dyDescent="0.25">
      <c r="A1020" s="192" t="s">
        <v>7533</v>
      </c>
      <c r="B1020" s="203" t="s">
        <v>3332</v>
      </c>
      <c r="C1020" s="188" t="s">
        <v>3356</v>
      </c>
      <c r="D1020" s="199" t="s">
        <v>8723</v>
      </c>
      <c r="E1020" s="188" t="s">
        <v>5413</v>
      </c>
      <c r="F1020" s="189" t="s">
        <v>4194</v>
      </c>
      <c r="G1020" s="199" t="s">
        <v>8289</v>
      </c>
      <c r="H1020" s="199" t="s">
        <v>8642</v>
      </c>
      <c r="I1020" s="199">
        <v>1</v>
      </c>
      <c r="J1020" s="199">
        <v>1</v>
      </c>
      <c r="K1020" s="199">
        <v>1</v>
      </c>
      <c r="L1020" s="199">
        <v>50</v>
      </c>
      <c r="M1020" s="202">
        <f>TB_Parts_Lists[[#This Row],[Quantity Initial]]+ SUMIF(TB_Transactions[Part number],TB_Parts_Lists[[#This Row],[Part Number]],TB_Transactions[Quantity])</f>
        <v>50</v>
      </c>
      <c r="N1020" s="200" t="s">
        <v>4593</v>
      </c>
      <c r="O1020" s="234">
        <v>5</v>
      </c>
      <c r="P1020" s="199">
        <f>TB_Parts_Lists[[#This Row],[Quantity Initial]]*TB_Parts_Lists[[#This Row],[Unit Price AED]]</f>
        <v>250</v>
      </c>
      <c r="Q1020" s="199">
        <f>TB_Parts_Lists[[#This Row],[Quantity Total]]*TB_Parts_Lists[[#This Row],[Unit Price AED]]</f>
        <v>250</v>
      </c>
      <c r="S1020" s="199" t="s">
        <v>8675</v>
      </c>
      <c r="T1020" s="199" t="s">
        <v>8675</v>
      </c>
      <c r="U1020" s="199" t="s">
        <v>8675</v>
      </c>
    </row>
    <row r="1021" spans="1:21" s="199" customFormat="1" x14ac:dyDescent="0.25">
      <c r="A1021" s="192" t="s">
        <v>7534</v>
      </c>
      <c r="B1021" s="203" t="s">
        <v>3332</v>
      </c>
      <c r="C1021" s="188" t="s">
        <v>3356</v>
      </c>
      <c r="D1021" s="199" t="s">
        <v>8723</v>
      </c>
      <c r="E1021" s="188" t="s">
        <v>3356</v>
      </c>
      <c r="F1021" s="189" t="s">
        <v>4195</v>
      </c>
      <c r="G1021" s="199" t="s">
        <v>8289</v>
      </c>
      <c r="H1021" s="199" t="s">
        <v>8642</v>
      </c>
      <c r="I1021" s="199">
        <v>1</v>
      </c>
      <c r="J1021" s="199">
        <v>1</v>
      </c>
      <c r="K1021" s="199">
        <v>1</v>
      </c>
      <c r="L1021" s="199">
        <v>50</v>
      </c>
      <c r="M1021" s="202">
        <f>TB_Parts_Lists[[#This Row],[Quantity Initial]]+ SUMIF(TB_Transactions[Part number],TB_Parts_Lists[[#This Row],[Part Number]],TB_Transactions[Quantity])</f>
        <v>50</v>
      </c>
      <c r="N1021" s="200" t="s">
        <v>4593</v>
      </c>
      <c r="O1021" s="234">
        <v>5</v>
      </c>
      <c r="P1021" s="199">
        <f>TB_Parts_Lists[[#This Row],[Quantity Initial]]*TB_Parts_Lists[[#This Row],[Unit Price AED]]</f>
        <v>250</v>
      </c>
      <c r="Q1021" s="199">
        <f>TB_Parts_Lists[[#This Row],[Quantity Total]]*TB_Parts_Lists[[#This Row],[Unit Price AED]]</f>
        <v>250</v>
      </c>
      <c r="S1021" s="199" t="s">
        <v>8675</v>
      </c>
      <c r="T1021" s="199" t="s">
        <v>8675</v>
      </c>
      <c r="U1021" s="199" t="s">
        <v>8675</v>
      </c>
    </row>
    <row r="1022" spans="1:21" s="199" customFormat="1" x14ac:dyDescent="0.25">
      <c r="A1022" s="192" t="s">
        <v>7535</v>
      </c>
      <c r="B1022" s="203" t="s">
        <v>3330</v>
      </c>
      <c r="C1022" s="199" t="s">
        <v>6674</v>
      </c>
      <c r="D1022" s="188" t="s">
        <v>8724</v>
      </c>
      <c r="E1022" s="188" t="s">
        <v>4147</v>
      </c>
      <c r="F1022" s="189" t="s">
        <v>4196</v>
      </c>
      <c r="G1022" s="199" t="s">
        <v>8289</v>
      </c>
      <c r="H1022" s="199" t="s">
        <v>123</v>
      </c>
      <c r="I1022" s="199">
        <v>1</v>
      </c>
      <c r="J1022" s="199">
        <v>1</v>
      </c>
      <c r="K1022" s="199">
        <v>1</v>
      </c>
      <c r="L1022" s="199">
        <v>50</v>
      </c>
      <c r="M1022" s="202">
        <f>TB_Parts_Lists[[#This Row],[Quantity Initial]]+ SUMIF(TB_Transactions[Part number],TB_Parts_Lists[[#This Row],[Part Number]],TB_Transactions[Quantity])</f>
        <v>50</v>
      </c>
      <c r="N1022" s="200" t="s">
        <v>4593</v>
      </c>
      <c r="O1022" s="234">
        <v>5</v>
      </c>
      <c r="P1022" s="199">
        <f>TB_Parts_Lists[[#This Row],[Quantity Initial]]*TB_Parts_Lists[[#This Row],[Unit Price AED]]</f>
        <v>250</v>
      </c>
      <c r="Q1022" s="199">
        <f>TB_Parts_Lists[[#This Row],[Quantity Total]]*TB_Parts_Lists[[#This Row],[Unit Price AED]]</f>
        <v>250</v>
      </c>
      <c r="S1022" s="199" t="s">
        <v>8675</v>
      </c>
      <c r="T1022" s="199" t="s">
        <v>8675</v>
      </c>
      <c r="U1022" s="199" t="s">
        <v>8675</v>
      </c>
    </row>
    <row r="1023" spans="1:21" s="199" customFormat="1" x14ac:dyDescent="0.25">
      <c r="A1023" s="192" t="s">
        <v>7536</v>
      </c>
      <c r="B1023" s="203" t="s">
        <v>3332</v>
      </c>
      <c r="C1023" s="188" t="s">
        <v>3356</v>
      </c>
      <c r="D1023" s="199" t="s">
        <v>8723</v>
      </c>
      <c r="E1023" s="188" t="s">
        <v>4148</v>
      </c>
      <c r="F1023" s="189" t="s">
        <v>4197</v>
      </c>
      <c r="G1023" s="199" t="s">
        <v>8289</v>
      </c>
      <c r="H1023" s="199" t="s">
        <v>123</v>
      </c>
      <c r="I1023" s="199">
        <v>1</v>
      </c>
      <c r="J1023" s="199">
        <v>1</v>
      </c>
      <c r="K1023" s="199">
        <v>1</v>
      </c>
      <c r="L1023" s="199">
        <v>50</v>
      </c>
      <c r="M1023" s="202">
        <f>TB_Parts_Lists[[#This Row],[Quantity Initial]]+ SUMIF(TB_Transactions[Part number],TB_Parts_Lists[[#This Row],[Part Number]],TB_Transactions[Quantity])</f>
        <v>50</v>
      </c>
      <c r="N1023" s="200" t="s">
        <v>4593</v>
      </c>
      <c r="O1023" s="234">
        <v>5</v>
      </c>
      <c r="P1023" s="199">
        <f>TB_Parts_Lists[[#This Row],[Quantity Initial]]*TB_Parts_Lists[[#This Row],[Unit Price AED]]</f>
        <v>250</v>
      </c>
      <c r="Q1023" s="199">
        <f>TB_Parts_Lists[[#This Row],[Quantity Total]]*TB_Parts_Lists[[#This Row],[Unit Price AED]]</f>
        <v>250</v>
      </c>
      <c r="S1023" s="199" t="s">
        <v>8675</v>
      </c>
      <c r="T1023" s="199" t="s">
        <v>8675</v>
      </c>
      <c r="U1023" s="199" t="s">
        <v>8675</v>
      </c>
    </row>
    <row r="1024" spans="1:21" s="199" customFormat="1" x14ac:dyDescent="0.25">
      <c r="A1024" s="192" t="s">
        <v>7537</v>
      </c>
      <c r="B1024" s="203" t="s">
        <v>3332</v>
      </c>
      <c r="C1024" s="188" t="s">
        <v>3356</v>
      </c>
      <c r="D1024" s="199" t="s">
        <v>8723</v>
      </c>
      <c r="E1024" s="188" t="s">
        <v>4148</v>
      </c>
      <c r="F1024" s="189" t="s">
        <v>4198</v>
      </c>
      <c r="G1024" s="199" t="s">
        <v>8289</v>
      </c>
      <c r="H1024" s="199" t="s">
        <v>8642</v>
      </c>
      <c r="I1024" s="199">
        <v>1</v>
      </c>
      <c r="J1024" s="199">
        <v>1</v>
      </c>
      <c r="K1024" s="199">
        <v>1</v>
      </c>
      <c r="L1024" s="199">
        <v>50</v>
      </c>
      <c r="M1024" s="202">
        <f>TB_Parts_Lists[[#This Row],[Quantity Initial]]+ SUMIF(TB_Transactions[Part number],TB_Parts_Lists[[#This Row],[Part Number]],TB_Transactions[Quantity])</f>
        <v>50</v>
      </c>
      <c r="N1024" s="200" t="s">
        <v>4593</v>
      </c>
      <c r="O1024" s="234">
        <v>5</v>
      </c>
      <c r="P1024" s="199">
        <f>TB_Parts_Lists[[#This Row],[Quantity Initial]]*TB_Parts_Lists[[#This Row],[Unit Price AED]]</f>
        <v>250</v>
      </c>
      <c r="Q1024" s="199">
        <f>TB_Parts_Lists[[#This Row],[Quantity Total]]*TB_Parts_Lists[[#This Row],[Unit Price AED]]</f>
        <v>250</v>
      </c>
      <c r="S1024" s="199" t="s">
        <v>8675</v>
      </c>
      <c r="T1024" s="199" t="s">
        <v>8675</v>
      </c>
      <c r="U1024" s="199" t="s">
        <v>8675</v>
      </c>
    </row>
    <row r="1025" spans="1:21" s="199" customFormat="1" x14ac:dyDescent="0.25">
      <c r="A1025" s="192" t="s">
        <v>7538</v>
      </c>
      <c r="B1025" s="203" t="s">
        <v>3332</v>
      </c>
      <c r="C1025" s="188" t="s">
        <v>3356</v>
      </c>
      <c r="D1025" s="199" t="s">
        <v>8723</v>
      </c>
      <c r="E1025" s="188" t="s">
        <v>4148</v>
      </c>
      <c r="F1025" s="189" t="s">
        <v>4199</v>
      </c>
      <c r="G1025" s="199" t="s">
        <v>8289</v>
      </c>
      <c r="H1025" s="199" t="s">
        <v>8642</v>
      </c>
      <c r="I1025" s="199">
        <v>1</v>
      </c>
      <c r="J1025" s="199">
        <v>1</v>
      </c>
      <c r="K1025" s="199">
        <v>1</v>
      </c>
      <c r="L1025" s="199">
        <v>50</v>
      </c>
      <c r="M1025" s="202">
        <f>TB_Parts_Lists[[#This Row],[Quantity Initial]]+ SUMIF(TB_Transactions[Part number],TB_Parts_Lists[[#This Row],[Part Number]],TB_Transactions[Quantity])</f>
        <v>50</v>
      </c>
      <c r="N1025" s="200" t="s">
        <v>4593</v>
      </c>
      <c r="O1025" s="234">
        <v>5</v>
      </c>
      <c r="P1025" s="199">
        <f>TB_Parts_Lists[[#This Row],[Quantity Initial]]*TB_Parts_Lists[[#This Row],[Unit Price AED]]</f>
        <v>250</v>
      </c>
      <c r="Q1025" s="199">
        <f>TB_Parts_Lists[[#This Row],[Quantity Total]]*TB_Parts_Lists[[#This Row],[Unit Price AED]]</f>
        <v>250</v>
      </c>
      <c r="S1025" s="199" t="s">
        <v>8675</v>
      </c>
      <c r="T1025" s="199" t="s">
        <v>8675</v>
      </c>
      <c r="U1025" s="199" t="s">
        <v>8675</v>
      </c>
    </row>
    <row r="1026" spans="1:21" s="199" customFormat="1" x14ac:dyDescent="0.25">
      <c r="A1026" s="192" t="s">
        <v>7539</v>
      </c>
      <c r="B1026" s="203" t="s">
        <v>3330</v>
      </c>
      <c r="C1026" s="188" t="s">
        <v>3338</v>
      </c>
      <c r="D1026" s="199" t="s">
        <v>8724</v>
      </c>
      <c r="E1026" s="188" t="s">
        <v>4239</v>
      </c>
      <c r="F1026" s="189" t="s">
        <v>4200</v>
      </c>
      <c r="G1026" s="199" t="s">
        <v>8289</v>
      </c>
      <c r="H1026" s="199" t="s">
        <v>123</v>
      </c>
      <c r="I1026" s="199">
        <v>1</v>
      </c>
      <c r="J1026" s="199">
        <v>1</v>
      </c>
      <c r="K1026" s="199">
        <v>1</v>
      </c>
      <c r="L1026" s="199">
        <v>50</v>
      </c>
      <c r="M1026" s="202">
        <f>TB_Parts_Lists[[#This Row],[Quantity Initial]]+ SUMIF(TB_Transactions[Part number],TB_Parts_Lists[[#This Row],[Part Number]],TB_Transactions[Quantity])</f>
        <v>50</v>
      </c>
      <c r="N1026" s="200" t="s">
        <v>4593</v>
      </c>
      <c r="O1026" s="234">
        <v>5</v>
      </c>
      <c r="P1026" s="199">
        <f>TB_Parts_Lists[[#This Row],[Quantity Initial]]*TB_Parts_Lists[[#This Row],[Unit Price AED]]</f>
        <v>250</v>
      </c>
      <c r="Q1026" s="199">
        <f>TB_Parts_Lists[[#This Row],[Quantity Total]]*TB_Parts_Lists[[#This Row],[Unit Price AED]]</f>
        <v>250</v>
      </c>
      <c r="S1026" s="199" t="s">
        <v>8675</v>
      </c>
      <c r="T1026" s="199" t="s">
        <v>8675</v>
      </c>
      <c r="U1026" s="199" t="s">
        <v>8675</v>
      </c>
    </row>
    <row r="1027" spans="1:21" s="199" customFormat="1" x14ac:dyDescent="0.25">
      <c r="A1027" s="192" t="s">
        <v>7540</v>
      </c>
      <c r="B1027" s="203" t="s">
        <v>3332</v>
      </c>
      <c r="C1027" s="188" t="s">
        <v>3357</v>
      </c>
      <c r="D1027" s="199" t="s">
        <v>8723</v>
      </c>
      <c r="E1027" s="188" t="s">
        <v>5414</v>
      </c>
      <c r="F1027" s="189" t="s">
        <v>4201</v>
      </c>
      <c r="G1027" s="199" t="s">
        <v>8289</v>
      </c>
      <c r="H1027" s="199" t="s">
        <v>123</v>
      </c>
      <c r="I1027" s="199">
        <v>1</v>
      </c>
      <c r="J1027" s="199">
        <v>1</v>
      </c>
      <c r="K1027" s="199">
        <v>1</v>
      </c>
      <c r="L1027" s="199">
        <v>50</v>
      </c>
      <c r="M1027" s="202">
        <f>TB_Parts_Lists[[#This Row],[Quantity Initial]]+ SUMIF(TB_Transactions[Part number],TB_Parts_Lists[[#This Row],[Part Number]],TB_Transactions[Quantity])</f>
        <v>50</v>
      </c>
      <c r="N1027" s="200" t="s">
        <v>4593</v>
      </c>
      <c r="O1027" s="234">
        <v>5</v>
      </c>
      <c r="P1027" s="199">
        <f>TB_Parts_Lists[[#This Row],[Quantity Initial]]*TB_Parts_Lists[[#This Row],[Unit Price AED]]</f>
        <v>250</v>
      </c>
      <c r="Q1027" s="199">
        <f>TB_Parts_Lists[[#This Row],[Quantity Total]]*TB_Parts_Lists[[#This Row],[Unit Price AED]]</f>
        <v>250</v>
      </c>
      <c r="S1027" s="199" t="s">
        <v>8675</v>
      </c>
      <c r="T1027" s="199" t="s">
        <v>8675</v>
      </c>
      <c r="U1027" s="199" t="s">
        <v>8675</v>
      </c>
    </row>
    <row r="1028" spans="1:21" s="199" customFormat="1" x14ac:dyDescent="0.25">
      <c r="A1028" s="192" t="s">
        <v>7541</v>
      </c>
      <c r="B1028" s="203" t="s">
        <v>3335</v>
      </c>
      <c r="C1028" s="188" t="s">
        <v>3368</v>
      </c>
      <c r="D1028" s="199" t="s">
        <v>8732</v>
      </c>
      <c r="E1028" s="188" t="s">
        <v>5415</v>
      </c>
      <c r="F1028" s="189" t="s">
        <v>2692</v>
      </c>
      <c r="G1028" s="199" t="s">
        <v>8289</v>
      </c>
      <c r="H1028" s="199" t="s">
        <v>123</v>
      </c>
      <c r="I1028" s="199">
        <v>1</v>
      </c>
      <c r="J1028" s="199">
        <v>1</v>
      </c>
      <c r="K1028" s="199">
        <v>1</v>
      </c>
      <c r="L1028" s="199">
        <v>50</v>
      </c>
      <c r="M1028" s="202">
        <f>TB_Parts_Lists[[#This Row],[Quantity Initial]]+ SUMIF(TB_Transactions[Part number],TB_Parts_Lists[[#This Row],[Part Number]],TB_Transactions[Quantity])</f>
        <v>50</v>
      </c>
      <c r="N1028" s="200" t="s">
        <v>4593</v>
      </c>
      <c r="O1028" s="234">
        <v>5</v>
      </c>
      <c r="P1028" s="199">
        <f>TB_Parts_Lists[[#This Row],[Quantity Initial]]*TB_Parts_Lists[[#This Row],[Unit Price AED]]</f>
        <v>250</v>
      </c>
      <c r="Q1028" s="199">
        <f>TB_Parts_Lists[[#This Row],[Quantity Total]]*TB_Parts_Lists[[#This Row],[Unit Price AED]]</f>
        <v>250</v>
      </c>
      <c r="S1028" s="199" t="s">
        <v>122</v>
      </c>
      <c r="T1028" s="199" t="s">
        <v>312</v>
      </c>
      <c r="U1028" s="199" t="s">
        <v>311</v>
      </c>
    </row>
    <row r="1029" spans="1:21" s="199" customFormat="1" x14ac:dyDescent="0.25">
      <c r="A1029" s="192" t="s">
        <v>7542</v>
      </c>
      <c r="B1029" s="203" t="s">
        <v>3335</v>
      </c>
      <c r="C1029" s="188" t="s">
        <v>3373</v>
      </c>
      <c r="D1029" s="199" t="s">
        <v>8732</v>
      </c>
      <c r="E1029" s="188" t="s">
        <v>5416</v>
      </c>
      <c r="F1029" s="189" t="s">
        <v>2694</v>
      </c>
      <c r="G1029" s="199" t="s">
        <v>8289</v>
      </c>
      <c r="H1029" s="199" t="s">
        <v>72</v>
      </c>
      <c r="I1029" s="199">
        <v>1</v>
      </c>
      <c r="J1029" s="199">
        <v>1</v>
      </c>
      <c r="K1029" s="199">
        <v>1</v>
      </c>
      <c r="L1029" s="199">
        <v>50</v>
      </c>
      <c r="M1029" s="202">
        <f>TB_Parts_Lists[[#This Row],[Quantity Initial]]+ SUMIF(TB_Transactions[Part number],TB_Parts_Lists[[#This Row],[Part Number]],TB_Transactions[Quantity])</f>
        <v>50</v>
      </c>
      <c r="N1029" s="200" t="s">
        <v>4593</v>
      </c>
      <c r="O1029" s="234">
        <v>5</v>
      </c>
      <c r="P1029" s="199">
        <f>TB_Parts_Lists[[#This Row],[Quantity Initial]]*TB_Parts_Lists[[#This Row],[Unit Price AED]]</f>
        <v>250</v>
      </c>
      <c r="Q1029" s="199">
        <f>TB_Parts_Lists[[#This Row],[Quantity Total]]*TB_Parts_Lists[[#This Row],[Unit Price AED]]</f>
        <v>250</v>
      </c>
      <c r="S1029" s="199" t="s">
        <v>122</v>
      </c>
      <c r="T1029" s="199" t="s">
        <v>312</v>
      </c>
      <c r="U1029" s="199" t="s">
        <v>311</v>
      </c>
    </row>
    <row r="1030" spans="1:21" s="199" customFormat="1" x14ac:dyDescent="0.25">
      <c r="A1030" s="192" t="s">
        <v>7543</v>
      </c>
      <c r="B1030" s="203" t="s">
        <v>3330</v>
      </c>
      <c r="C1030" s="188" t="s">
        <v>6611</v>
      </c>
      <c r="D1030" s="188" t="s">
        <v>8724</v>
      </c>
      <c r="E1030" s="188" t="s">
        <v>4149</v>
      </c>
      <c r="F1030" s="189" t="s">
        <v>4202</v>
      </c>
      <c r="G1030" s="199" t="s">
        <v>8289</v>
      </c>
      <c r="H1030" s="199" t="s">
        <v>123</v>
      </c>
      <c r="I1030" s="199">
        <v>1</v>
      </c>
      <c r="J1030" s="199">
        <v>1</v>
      </c>
      <c r="K1030" s="199">
        <v>1</v>
      </c>
      <c r="L1030" s="199">
        <v>50</v>
      </c>
      <c r="M1030" s="202">
        <f>TB_Parts_Lists[[#This Row],[Quantity Initial]]+ SUMIF(TB_Transactions[Part number],TB_Parts_Lists[[#This Row],[Part Number]],TB_Transactions[Quantity])</f>
        <v>50</v>
      </c>
      <c r="N1030" s="200" t="s">
        <v>4593</v>
      </c>
      <c r="O1030" s="234">
        <v>5</v>
      </c>
      <c r="P1030" s="199">
        <f>TB_Parts_Lists[[#This Row],[Quantity Initial]]*TB_Parts_Lists[[#This Row],[Unit Price AED]]</f>
        <v>250</v>
      </c>
      <c r="Q1030" s="199">
        <f>TB_Parts_Lists[[#This Row],[Quantity Total]]*TB_Parts_Lists[[#This Row],[Unit Price AED]]</f>
        <v>250</v>
      </c>
      <c r="S1030" s="199" t="s">
        <v>8675</v>
      </c>
      <c r="T1030" s="199" t="s">
        <v>8675</v>
      </c>
      <c r="U1030" s="199" t="s">
        <v>8675</v>
      </c>
    </row>
    <row r="1031" spans="1:21" s="199" customFormat="1" x14ac:dyDescent="0.25">
      <c r="A1031" s="192" t="s">
        <v>7544</v>
      </c>
      <c r="B1031" s="203" t="s">
        <v>3330</v>
      </c>
      <c r="C1031" s="188" t="s">
        <v>3338</v>
      </c>
      <c r="D1031" s="199" t="s">
        <v>8724</v>
      </c>
      <c r="E1031" s="188" t="s">
        <v>5417</v>
      </c>
      <c r="F1031" s="189" t="s">
        <v>4203</v>
      </c>
      <c r="G1031" s="199" t="s">
        <v>8289</v>
      </c>
      <c r="H1031" s="199" t="s">
        <v>123</v>
      </c>
      <c r="I1031" s="199">
        <v>1</v>
      </c>
      <c r="J1031" s="199">
        <v>1</v>
      </c>
      <c r="K1031" s="199">
        <v>1</v>
      </c>
      <c r="L1031" s="199">
        <v>50</v>
      </c>
      <c r="M1031" s="202">
        <f>TB_Parts_Lists[[#This Row],[Quantity Initial]]+ SUMIF(TB_Transactions[Part number],TB_Parts_Lists[[#This Row],[Part Number]],TB_Transactions[Quantity])</f>
        <v>50</v>
      </c>
      <c r="N1031" s="200" t="s">
        <v>4593</v>
      </c>
      <c r="O1031" s="234">
        <v>5</v>
      </c>
      <c r="P1031" s="199">
        <f>TB_Parts_Lists[[#This Row],[Quantity Initial]]*TB_Parts_Lists[[#This Row],[Unit Price AED]]</f>
        <v>250</v>
      </c>
      <c r="Q1031" s="199">
        <f>TB_Parts_Lists[[#This Row],[Quantity Total]]*TB_Parts_Lists[[#This Row],[Unit Price AED]]</f>
        <v>250</v>
      </c>
      <c r="S1031" s="199" t="s">
        <v>122</v>
      </c>
      <c r="T1031" s="199" t="s">
        <v>8675</v>
      </c>
      <c r="U1031" s="199" t="s">
        <v>8675</v>
      </c>
    </row>
    <row r="1032" spans="1:21" s="199" customFormat="1" x14ac:dyDescent="0.25">
      <c r="A1032" s="192" t="s">
        <v>7545</v>
      </c>
      <c r="B1032" s="203" t="s">
        <v>3332</v>
      </c>
      <c r="C1032" s="188" t="s">
        <v>3357</v>
      </c>
      <c r="D1032" s="199" t="s">
        <v>8723</v>
      </c>
      <c r="E1032" s="188" t="s">
        <v>5418</v>
      </c>
      <c r="F1032" s="189" t="s">
        <v>4204</v>
      </c>
      <c r="G1032" s="199" t="s">
        <v>8289</v>
      </c>
      <c r="H1032" s="199" t="s">
        <v>8642</v>
      </c>
      <c r="I1032" s="199">
        <v>1</v>
      </c>
      <c r="J1032" s="199">
        <v>1</v>
      </c>
      <c r="K1032" s="199">
        <v>1</v>
      </c>
      <c r="L1032" s="199">
        <v>50</v>
      </c>
      <c r="M1032" s="202">
        <f>TB_Parts_Lists[[#This Row],[Quantity Initial]]+ SUMIF(TB_Transactions[Part number],TB_Parts_Lists[[#This Row],[Part Number]],TB_Transactions[Quantity])</f>
        <v>50</v>
      </c>
      <c r="N1032" s="200" t="s">
        <v>4593</v>
      </c>
      <c r="O1032" s="234">
        <v>5</v>
      </c>
      <c r="P1032" s="199">
        <f>TB_Parts_Lists[[#This Row],[Quantity Initial]]*TB_Parts_Lists[[#This Row],[Unit Price AED]]</f>
        <v>250</v>
      </c>
      <c r="Q1032" s="199">
        <f>TB_Parts_Lists[[#This Row],[Quantity Total]]*TB_Parts_Lists[[#This Row],[Unit Price AED]]</f>
        <v>250</v>
      </c>
      <c r="S1032" s="199" t="s">
        <v>8675</v>
      </c>
      <c r="T1032" s="199" t="s">
        <v>8675</v>
      </c>
      <c r="U1032" s="199" t="s">
        <v>8675</v>
      </c>
    </row>
    <row r="1033" spans="1:21" s="199" customFormat="1" x14ac:dyDescent="0.25">
      <c r="A1033" s="192" t="s">
        <v>7546</v>
      </c>
      <c r="B1033" s="203" t="s">
        <v>3330</v>
      </c>
      <c r="C1033" s="188" t="s">
        <v>3567</v>
      </c>
      <c r="D1033" s="199" t="s">
        <v>8723</v>
      </c>
      <c r="E1033" s="188" t="s">
        <v>5419</v>
      </c>
      <c r="F1033" s="189" t="s">
        <v>4647</v>
      </c>
      <c r="G1033" s="199" t="s">
        <v>8289</v>
      </c>
      <c r="H1033" s="199" t="s">
        <v>8642</v>
      </c>
      <c r="I1033" s="199">
        <v>1</v>
      </c>
      <c r="J1033" s="199">
        <v>1</v>
      </c>
      <c r="K1033" s="199">
        <v>1</v>
      </c>
      <c r="L1033" s="199">
        <v>50</v>
      </c>
      <c r="M1033" s="202">
        <f>TB_Parts_Lists[[#This Row],[Quantity Initial]]+ SUMIF(TB_Transactions[Part number],TB_Parts_Lists[[#This Row],[Part Number]],TB_Transactions[Quantity])</f>
        <v>50</v>
      </c>
      <c r="N1033" s="200" t="s">
        <v>4593</v>
      </c>
      <c r="O1033" s="234">
        <v>5</v>
      </c>
      <c r="P1033" s="199">
        <f>TB_Parts_Lists[[#This Row],[Quantity Initial]]*TB_Parts_Lists[[#This Row],[Unit Price AED]]</f>
        <v>250</v>
      </c>
      <c r="Q1033" s="199">
        <f>TB_Parts_Lists[[#This Row],[Quantity Total]]*TB_Parts_Lists[[#This Row],[Unit Price AED]]</f>
        <v>250</v>
      </c>
      <c r="S1033" s="199" t="s">
        <v>8675</v>
      </c>
      <c r="T1033" s="199" t="s">
        <v>8675</v>
      </c>
      <c r="U1033" s="199" t="s">
        <v>8675</v>
      </c>
    </row>
    <row r="1034" spans="1:21" s="199" customFormat="1" x14ac:dyDescent="0.25">
      <c r="A1034" s="192" t="s">
        <v>7547</v>
      </c>
      <c r="B1034" s="203" t="s">
        <v>3332</v>
      </c>
      <c r="C1034" s="188" t="s">
        <v>3357</v>
      </c>
      <c r="D1034" s="199" t="s">
        <v>8723</v>
      </c>
      <c r="E1034" s="188" t="s">
        <v>5420</v>
      </c>
      <c r="F1034" s="189" t="s">
        <v>4205</v>
      </c>
      <c r="G1034" s="199" t="s">
        <v>8289</v>
      </c>
      <c r="H1034" s="199" t="s">
        <v>8642</v>
      </c>
      <c r="I1034" s="199">
        <v>1</v>
      </c>
      <c r="J1034" s="199">
        <v>1</v>
      </c>
      <c r="K1034" s="199">
        <v>1</v>
      </c>
      <c r="L1034" s="199">
        <v>50</v>
      </c>
      <c r="M1034" s="202">
        <f>TB_Parts_Lists[[#This Row],[Quantity Initial]]+ SUMIF(TB_Transactions[Part number],TB_Parts_Lists[[#This Row],[Part Number]],TB_Transactions[Quantity])</f>
        <v>50</v>
      </c>
      <c r="N1034" s="200" t="s">
        <v>4593</v>
      </c>
      <c r="O1034" s="234">
        <v>5</v>
      </c>
      <c r="P1034" s="199">
        <f>TB_Parts_Lists[[#This Row],[Quantity Initial]]*TB_Parts_Lists[[#This Row],[Unit Price AED]]</f>
        <v>250</v>
      </c>
      <c r="Q1034" s="199">
        <f>TB_Parts_Lists[[#This Row],[Quantity Total]]*TB_Parts_Lists[[#This Row],[Unit Price AED]]</f>
        <v>250</v>
      </c>
      <c r="S1034" s="199" t="s">
        <v>8675</v>
      </c>
      <c r="T1034" s="199" t="s">
        <v>8675</v>
      </c>
      <c r="U1034" s="199" t="s">
        <v>8675</v>
      </c>
    </row>
    <row r="1035" spans="1:21" s="199" customFormat="1" x14ac:dyDescent="0.25">
      <c r="A1035" s="192" t="s">
        <v>7548</v>
      </c>
      <c r="B1035" s="203" t="s">
        <v>3330</v>
      </c>
      <c r="C1035" s="188" t="s">
        <v>3338</v>
      </c>
      <c r="D1035" s="199" t="s">
        <v>8724</v>
      </c>
      <c r="E1035" s="188" t="s">
        <v>5421</v>
      </c>
      <c r="F1035" s="189" t="s">
        <v>4206</v>
      </c>
      <c r="G1035" s="199" t="s">
        <v>8289</v>
      </c>
      <c r="H1035" s="199" t="s">
        <v>123</v>
      </c>
      <c r="I1035" s="199">
        <v>1</v>
      </c>
      <c r="J1035" s="199">
        <v>1</v>
      </c>
      <c r="K1035" s="199">
        <v>1</v>
      </c>
      <c r="L1035" s="199">
        <v>50</v>
      </c>
      <c r="M1035" s="202">
        <f>TB_Parts_Lists[[#This Row],[Quantity Initial]]+ SUMIF(TB_Transactions[Part number],TB_Parts_Lists[[#This Row],[Part Number]],TB_Transactions[Quantity])</f>
        <v>50</v>
      </c>
      <c r="N1035" s="200" t="s">
        <v>4593</v>
      </c>
      <c r="O1035" s="234">
        <v>5</v>
      </c>
      <c r="P1035" s="199">
        <f>TB_Parts_Lists[[#This Row],[Quantity Initial]]*TB_Parts_Lists[[#This Row],[Unit Price AED]]</f>
        <v>250</v>
      </c>
      <c r="Q1035" s="199">
        <f>TB_Parts_Lists[[#This Row],[Quantity Total]]*TB_Parts_Lists[[#This Row],[Unit Price AED]]</f>
        <v>250</v>
      </c>
      <c r="S1035" s="199" t="s">
        <v>122</v>
      </c>
      <c r="T1035" s="199" t="s">
        <v>8675</v>
      </c>
      <c r="U1035" s="199" t="s">
        <v>8675</v>
      </c>
    </row>
    <row r="1036" spans="1:21" s="199" customFormat="1" x14ac:dyDescent="0.25">
      <c r="A1036" s="192" t="s">
        <v>7549</v>
      </c>
      <c r="B1036" s="203" t="s">
        <v>3002</v>
      </c>
      <c r="C1036" s="188" t="s">
        <v>3006</v>
      </c>
      <c r="D1036" s="199" t="s">
        <v>8723</v>
      </c>
      <c r="E1036" s="188" t="s">
        <v>4240</v>
      </c>
      <c r="F1036" s="189" t="s">
        <v>4207</v>
      </c>
      <c r="G1036" s="199" t="s">
        <v>8289</v>
      </c>
      <c r="H1036" s="199" t="s">
        <v>123</v>
      </c>
      <c r="I1036" s="199">
        <v>1</v>
      </c>
      <c r="J1036" s="199">
        <v>1</v>
      </c>
      <c r="K1036" s="199">
        <v>1</v>
      </c>
      <c r="L1036" s="199">
        <v>50</v>
      </c>
      <c r="M1036" s="202">
        <f>TB_Parts_Lists[[#This Row],[Quantity Initial]]+ SUMIF(TB_Transactions[Part number],TB_Parts_Lists[[#This Row],[Part Number]],TB_Transactions[Quantity])</f>
        <v>50</v>
      </c>
      <c r="N1036" s="200" t="s">
        <v>4593</v>
      </c>
      <c r="O1036" s="234">
        <v>5</v>
      </c>
      <c r="P1036" s="199">
        <f>TB_Parts_Lists[[#This Row],[Quantity Initial]]*TB_Parts_Lists[[#This Row],[Unit Price AED]]</f>
        <v>250</v>
      </c>
      <c r="Q1036" s="199">
        <f>TB_Parts_Lists[[#This Row],[Quantity Total]]*TB_Parts_Lists[[#This Row],[Unit Price AED]]</f>
        <v>250</v>
      </c>
      <c r="S1036" s="199" t="s">
        <v>8675</v>
      </c>
      <c r="T1036" s="199" t="s">
        <v>8675</v>
      </c>
      <c r="U1036" s="199" t="s">
        <v>8675</v>
      </c>
    </row>
    <row r="1037" spans="1:21" s="199" customFormat="1" x14ac:dyDescent="0.25">
      <c r="A1037" s="192" t="s">
        <v>7550</v>
      </c>
      <c r="B1037" s="203" t="s">
        <v>3330</v>
      </c>
      <c r="C1037" s="188" t="s">
        <v>3338</v>
      </c>
      <c r="D1037" s="199" t="s">
        <v>8723</v>
      </c>
      <c r="E1037" s="188" t="s">
        <v>4150</v>
      </c>
      <c r="F1037" s="189" t="s">
        <v>4208</v>
      </c>
      <c r="G1037" s="199" t="s">
        <v>8289</v>
      </c>
      <c r="H1037" s="199" t="s">
        <v>123</v>
      </c>
      <c r="I1037" s="199">
        <v>1</v>
      </c>
      <c r="J1037" s="199">
        <v>1</v>
      </c>
      <c r="K1037" s="199">
        <v>1</v>
      </c>
      <c r="L1037" s="199">
        <v>50</v>
      </c>
      <c r="M1037" s="202">
        <f>TB_Parts_Lists[[#This Row],[Quantity Initial]]+ SUMIF(TB_Transactions[Part number],TB_Parts_Lists[[#This Row],[Part Number]],TB_Transactions[Quantity])</f>
        <v>50</v>
      </c>
      <c r="N1037" s="200" t="s">
        <v>4593</v>
      </c>
      <c r="O1037" s="234">
        <v>5</v>
      </c>
      <c r="P1037" s="199">
        <f>TB_Parts_Lists[[#This Row],[Quantity Initial]]*TB_Parts_Lists[[#This Row],[Unit Price AED]]</f>
        <v>250</v>
      </c>
      <c r="Q1037" s="199">
        <f>TB_Parts_Lists[[#This Row],[Quantity Total]]*TB_Parts_Lists[[#This Row],[Unit Price AED]]</f>
        <v>250</v>
      </c>
      <c r="S1037" s="199" t="s">
        <v>8675</v>
      </c>
      <c r="T1037" s="199" t="s">
        <v>8675</v>
      </c>
      <c r="U1037" s="199" t="s">
        <v>8675</v>
      </c>
    </row>
    <row r="1038" spans="1:21" s="199" customFormat="1" x14ac:dyDescent="0.25">
      <c r="A1038" s="192" t="s">
        <v>7551</v>
      </c>
      <c r="B1038" s="203" t="s">
        <v>3330</v>
      </c>
      <c r="C1038" s="188" t="s">
        <v>3338</v>
      </c>
      <c r="D1038" s="199" t="s">
        <v>8732</v>
      </c>
      <c r="E1038" s="188" t="s">
        <v>5422</v>
      </c>
      <c r="F1038" s="189" t="s">
        <v>4209</v>
      </c>
      <c r="G1038" s="199" t="s">
        <v>8289</v>
      </c>
      <c r="H1038" s="199" t="s">
        <v>123</v>
      </c>
      <c r="I1038" s="199">
        <v>1</v>
      </c>
      <c r="J1038" s="199">
        <v>1</v>
      </c>
      <c r="K1038" s="199">
        <v>1</v>
      </c>
      <c r="L1038" s="199">
        <v>50</v>
      </c>
      <c r="M1038" s="202">
        <f>TB_Parts_Lists[[#This Row],[Quantity Initial]]+ SUMIF(TB_Transactions[Part number],TB_Parts_Lists[[#This Row],[Part Number]],TB_Transactions[Quantity])</f>
        <v>50</v>
      </c>
      <c r="N1038" s="200" t="s">
        <v>4593</v>
      </c>
      <c r="O1038" s="234">
        <v>5</v>
      </c>
      <c r="P1038" s="199">
        <f>TB_Parts_Lists[[#This Row],[Quantity Initial]]*TB_Parts_Lists[[#This Row],[Unit Price AED]]</f>
        <v>250</v>
      </c>
      <c r="Q1038" s="199">
        <f>TB_Parts_Lists[[#This Row],[Quantity Total]]*TB_Parts_Lists[[#This Row],[Unit Price AED]]</f>
        <v>250</v>
      </c>
      <c r="S1038" s="199" t="s">
        <v>122</v>
      </c>
      <c r="T1038" s="199" t="s">
        <v>8675</v>
      </c>
      <c r="U1038" s="199" t="s">
        <v>8675</v>
      </c>
    </row>
    <row r="1039" spans="1:21" s="199" customFormat="1" x14ac:dyDescent="0.25">
      <c r="A1039" s="192" t="s">
        <v>7552</v>
      </c>
      <c r="B1039" s="203" t="s">
        <v>3331</v>
      </c>
      <c r="C1039" s="188" t="s">
        <v>6674</v>
      </c>
      <c r="D1039" s="199" t="s">
        <v>8723</v>
      </c>
      <c r="E1039" s="188" t="s">
        <v>5423</v>
      </c>
      <c r="F1039" s="189" t="s">
        <v>4210</v>
      </c>
      <c r="G1039" s="199" t="s">
        <v>8289</v>
      </c>
      <c r="H1039" s="199" t="s">
        <v>8642</v>
      </c>
      <c r="I1039" s="199">
        <v>1</v>
      </c>
      <c r="J1039" s="199">
        <v>1</v>
      </c>
      <c r="K1039" s="199">
        <v>1</v>
      </c>
      <c r="L1039" s="199">
        <v>50</v>
      </c>
      <c r="M1039" s="202">
        <f>TB_Parts_Lists[[#This Row],[Quantity Initial]]+ SUMIF(TB_Transactions[Part number],TB_Parts_Lists[[#This Row],[Part Number]],TB_Transactions[Quantity])</f>
        <v>50</v>
      </c>
      <c r="N1039" s="200" t="s">
        <v>4593</v>
      </c>
      <c r="O1039" s="234">
        <v>5</v>
      </c>
      <c r="P1039" s="199">
        <f>TB_Parts_Lists[[#This Row],[Quantity Initial]]*TB_Parts_Lists[[#This Row],[Unit Price AED]]</f>
        <v>250</v>
      </c>
      <c r="Q1039" s="199">
        <f>TB_Parts_Lists[[#This Row],[Quantity Total]]*TB_Parts_Lists[[#This Row],[Unit Price AED]]</f>
        <v>250</v>
      </c>
      <c r="S1039" s="199" t="s">
        <v>8675</v>
      </c>
      <c r="T1039" s="199" t="s">
        <v>8675</v>
      </c>
      <c r="U1039" s="199" t="s">
        <v>8675</v>
      </c>
    </row>
    <row r="1040" spans="1:21" s="199" customFormat="1" x14ac:dyDescent="0.25">
      <c r="A1040" s="192" t="s">
        <v>7553</v>
      </c>
      <c r="B1040" s="203" t="s">
        <v>3330</v>
      </c>
      <c r="C1040" s="188" t="s">
        <v>3567</v>
      </c>
      <c r="D1040" s="199" t="s">
        <v>8723</v>
      </c>
      <c r="E1040" s="188" t="s">
        <v>5424</v>
      </c>
      <c r="F1040" s="189" t="s">
        <v>4211</v>
      </c>
      <c r="G1040" s="199" t="s">
        <v>8289</v>
      </c>
      <c r="H1040" s="199" t="s">
        <v>8642</v>
      </c>
      <c r="I1040" s="199">
        <v>1</v>
      </c>
      <c r="J1040" s="199">
        <v>1</v>
      </c>
      <c r="K1040" s="199">
        <v>1</v>
      </c>
      <c r="L1040" s="199">
        <v>50</v>
      </c>
      <c r="M1040" s="202">
        <f>TB_Parts_Lists[[#This Row],[Quantity Initial]]+ SUMIF(TB_Transactions[Part number],TB_Parts_Lists[[#This Row],[Part Number]],TB_Transactions[Quantity])</f>
        <v>50</v>
      </c>
      <c r="N1040" s="200" t="s">
        <v>4593</v>
      </c>
      <c r="O1040" s="234">
        <v>5</v>
      </c>
      <c r="P1040" s="199">
        <f>TB_Parts_Lists[[#This Row],[Quantity Initial]]*TB_Parts_Lists[[#This Row],[Unit Price AED]]</f>
        <v>250</v>
      </c>
      <c r="Q1040" s="199">
        <f>TB_Parts_Lists[[#This Row],[Quantity Total]]*TB_Parts_Lists[[#This Row],[Unit Price AED]]</f>
        <v>250</v>
      </c>
      <c r="S1040" s="199" t="s">
        <v>8675</v>
      </c>
      <c r="T1040" s="199" t="s">
        <v>8675</v>
      </c>
      <c r="U1040" s="199" t="s">
        <v>8675</v>
      </c>
    </row>
    <row r="1041" spans="1:21" s="199" customFormat="1" x14ac:dyDescent="0.25">
      <c r="A1041" s="192" t="s">
        <v>7554</v>
      </c>
      <c r="B1041" s="203" t="s">
        <v>3330</v>
      </c>
      <c r="C1041" s="188" t="s">
        <v>6611</v>
      </c>
      <c r="D1041" s="199" t="s">
        <v>8723</v>
      </c>
      <c r="E1041" s="188" t="s">
        <v>4241</v>
      </c>
      <c r="F1041" s="189" t="s">
        <v>4212</v>
      </c>
      <c r="G1041" s="199" t="s">
        <v>8289</v>
      </c>
      <c r="H1041" s="199" t="s">
        <v>123</v>
      </c>
      <c r="I1041" s="199">
        <v>1</v>
      </c>
      <c r="J1041" s="199">
        <v>1</v>
      </c>
      <c r="K1041" s="199">
        <v>1</v>
      </c>
      <c r="L1041" s="199">
        <v>50</v>
      </c>
      <c r="M1041" s="202">
        <f>TB_Parts_Lists[[#This Row],[Quantity Initial]]+ SUMIF(TB_Transactions[Part number],TB_Parts_Lists[[#This Row],[Part Number]],TB_Transactions[Quantity])</f>
        <v>50</v>
      </c>
      <c r="N1041" s="200" t="s">
        <v>4593</v>
      </c>
      <c r="O1041" s="234">
        <v>5</v>
      </c>
      <c r="P1041" s="199">
        <f>TB_Parts_Lists[[#This Row],[Quantity Initial]]*TB_Parts_Lists[[#This Row],[Unit Price AED]]</f>
        <v>250</v>
      </c>
      <c r="Q1041" s="199">
        <f>TB_Parts_Lists[[#This Row],[Quantity Total]]*TB_Parts_Lists[[#This Row],[Unit Price AED]]</f>
        <v>250</v>
      </c>
      <c r="S1041" s="199" t="s">
        <v>8675</v>
      </c>
      <c r="T1041" s="199" t="s">
        <v>8675</v>
      </c>
      <c r="U1041" s="199" t="s">
        <v>8675</v>
      </c>
    </row>
    <row r="1042" spans="1:21" s="199" customFormat="1" x14ac:dyDescent="0.25">
      <c r="A1042" s="192" t="s">
        <v>7555</v>
      </c>
      <c r="B1042" s="203" t="s">
        <v>3329</v>
      </c>
      <c r="C1042" s="188" t="s">
        <v>3345</v>
      </c>
      <c r="D1042" s="199" t="s">
        <v>8724</v>
      </c>
      <c r="E1042" s="188" t="s">
        <v>4151</v>
      </c>
      <c r="F1042" s="189" t="s">
        <v>4213</v>
      </c>
      <c r="G1042" s="199" t="s">
        <v>8289</v>
      </c>
      <c r="H1042" s="199" t="s">
        <v>48</v>
      </c>
      <c r="I1042" s="199">
        <v>1</v>
      </c>
      <c r="J1042" s="199">
        <v>1</v>
      </c>
      <c r="K1042" s="199">
        <v>1</v>
      </c>
      <c r="L1042" s="199">
        <v>50</v>
      </c>
      <c r="M1042" s="202">
        <f>TB_Parts_Lists[[#This Row],[Quantity Initial]]+ SUMIF(TB_Transactions[Part number],TB_Parts_Lists[[#This Row],[Part Number]],TB_Transactions[Quantity])</f>
        <v>50</v>
      </c>
      <c r="N1042" s="200" t="s">
        <v>4593</v>
      </c>
      <c r="O1042" s="234">
        <v>5</v>
      </c>
      <c r="P1042" s="199">
        <f>TB_Parts_Lists[[#This Row],[Quantity Initial]]*TB_Parts_Lists[[#This Row],[Unit Price AED]]</f>
        <v>250</v>
      </c>
      <c r="Q1042" s="199">
        <f>TB_Parts_Lists[[#This Row],[Quantity Total]]*TB_Parts_Lists[[#This Row],[Unit Price AED]]</f>
        <v>250</v>
      </c>
      <c r="S1042" s="199" t="s">
        <v>122</v>
      </c>
      <c r="T1042" s="199" t="s">
        <v>8675</v>
      </c>
      <c r="U1042" s="199" t="s">
        <v>8675</v>
      </c>
    </row>
    <row r="1043" spans="1:21" s="199" customFormat="1" x14ac:dyDescent="0.25">
      <c r="A1043" s="192" t="s">
        <v>7556</v>
      </c>
      <c r="B1043" s="203" t="s">
        <v>3337</v>
      </c>
      <c r="C1043" s="188" t="s">
        <v>3378</v>
      </c>
      <c r="D1043" s="199" t="s">
        <v>8732</v>
      </c>
      <c r="E1043" s="188" t="s">
        <v>4242</v>
      </c>
      <c r="F1043" s="189" t="s">
        <v>4214</v>
      </c>
      <c r="G1043" s="199" t="s">
        <v>8289</v>
      </c>
      <c r="H1043" s="199" t="s">
        <v>51</v>
      </c>
      <c r="I1043" s="199">
        <v>1</v>
      </c>
      <c r="J1043" s="199">
        <v>1</v>
      </c>
      <c r="K1043" s="199">
        <v>1</v>
      </c>
      <c r="L1043" s="199">
        <v>50</v>
      </c>
      <c r="M1043" s="202">
        <f>TB_Parts_Lists[[#This Row],[Quantity Initial]]+ SUMIF(TB_Transactions[Part number],TB_Parts_Lists[[#This Row],[Part Number]],TB_Transactions[Quantity])</f>
        <v>50</v>
      </c>
      <c r="N1043" s="200" t="s">
        <v>4593</v>
      </c>
      <c r="O1043" s="234">
        <v>5</v>
      </c>
      <c r="P1043" s="199">
        <f>TB_Parts_Lists[[#This Row],[Quantity Initial]]*TB_Parts_Lists[[#This Row],[Unit Price AED]]</f>
        <v>250</v>
      </c>
      <c r="Q1043" s="199">
        <f>TB_Parts_Lists[[#This Row],[Quantity Total]]*TB_Parts_Lists[[#This Row],[Unit Price AED]]</f>
        <v>250</v>
      </c>
      <c r="S1043" s="199" t="s">
        <v>118</v>
      </c>
      <c r="T1043" s="199" t="s">
        <v>485</v>
      </c>
      <c r="U1043" s="199" t="s">
        <v>484</v>
      </c>
    </row>
    <row r="1044" spans="1:21" s="199" customFormat="1" x14ac:dyDescent="0.25">
      <c r="A1044" s="192" t="s">
        <v>7557</v>
      </c>
      <c r="B1044" s="203" t="s">
        <v>3337</v>
      </c>
      <c r="C1044" s="188" t="s">
        <v>3378</v>
      </c>
      <c r="D1044" s="199" t="s">
        <v>8724</v>
      </c>
      <c r="E1044" s="188" t="s">
        <v>4243</v>
      </c>
      <c r="F1044" s="189" t="s">
        <v>4215</v>
      </c>
      <c r="G1044" s="199" t="s">
        <v>8289</v>
      </c>
      <c r="H1044" s="199">
        <v>214</v>
      </c>
      <c r="I1044" s="199">
        <v>1</v>
      </c>
      <c r="J1044" s="199">
        <v>1</v>
      </c>
      <c r="K1044" s="199">
        <v>1</v>
      </c>
      <c r="L1044" s="199">
        <v>50</v>
      </c>
      <c r="M1044" s="202">
        <f>TB_Parts_Lists[[#This Row],[Quantity Initial]]+ SUMIF(TB_Transactions[Part number],TB_Parts_Lists[[#This Row],[Part Number]],TB_Transactions[Quantity])</f>
        <v>50</v>
      </c>
      <c r="N1044" s="200" t="s">
        <v>4593</v>
      </c>
      <c r="O1044" s="234">
        <v>5</v>
      </c>
      <c r="P1044" s="199">
        <f>TB_Parts_Lists[[#This Row],[Quantity Initial]]*TB_Parts_Lists[[#This Row],[Unit Price AED]]</f>
        <v>250</v>
      </c>
      <c r="Q1044" s="199">
        <f>TB_Parts_Lists[[#This Row],[Quantity Total]]*TB_Parts_Lists[[#This Row],[Unit Price AED]]</f>
        <v>250</v>
      </c>
      <c r="S1044" s="199" t="s">
        <v>118</v>
      </c>
      <c r="T1044" s="199" t="s">
        <v>485</v>
      </c>
      <c r="U1044" s="199" t="s">
        <v>484</v>
      </c>
    </row>
    <row r="1045" spans="1:21" s="199" customFormat="1" x14ac:dyDescent="0.25">
      <c r="A1045" s="192" t="s">
        <v>7558</v>
      </c>
      <c r="B1045" s="203" t="s">
        <v>3337</v>
      </c>
      <c r="C1045" s="188" t="s">
        <v>3378</v>
      </c>
      <c r="D1045" s="199" t="s">
        <v>8732</v>
      </c>
      <c r="E1045" s="188" t="s">
        <v>4244</v>
      </c>
      <c r="F1045" s="189" t="s">
        <v>4216</v>
      </c>
      <c r="G1045" s="199" t="s">
        <v>8289</v>
      </c>
      <c r="H1045" s="199">
        <v>214</v>
      </c>
      <c r="I1045" s="199">
        <v>1</v>
      </c>
      <c r="J1045" s="199">
        <v>1</v>
      </c>
      <c r="K1045" s="199">
        <v>1</v>
      </c>
      <c r="L1045" s="199">
        <v>50</v>
      </c>
      <c r="M1045" s="202">
        <f>TB_Parts_Lists[[#This Row],[Quantity Initial]]+ SUMIF(TB_Transactions[Part number],TB_Parts_Lists[[#This Row],[Part Number]],TB_Transactions[Quantity])</f>
        <v>50</v>
      </c>
      <c r="N1045" s="200" t="s">
        <v>4593</v>
      </c>
      <c r="O1045" s="234">
        <v>5</v>
      </c>
      <c r="P1045" s="199">
        <f>TB_Parts_Lists[[#This Row],[Quantity Initial]]*TB_Parts_Lists[[#This Row],[Unit Price AED]]</f>
        <v>250</v>
      </c>
      <c r="Q1045" s="199">
        <f>TB_Parts_Lists[[#This Row],[Quantity Total]]*TB_Parts_Lists[[#This Row],[Unit Price AED]]</f>
        <v>250</v>
      </c>
      <c r="S1045" s="199" t="s">
        <v>118</v>
      </c>
      <c r="T1045" s="199" t="s">
        <v>485</v>
      </c>
      <c r="U1045" s="199" t="s">
        <v>484</v>
      </c>
    </row>
    <row r="1046" spans="1:21" s="199" customFormat="1" x14ac:dyDescent="0.25">
      <c r="A1046" s="192" t="s">
        <v>7559</v>
      </c>
      <c r="B1046" s="203" t="s">
        <v>3337</v>
      </c>
      <c r="C1046" s="188" t="s">
        <v>3378</v>
      </c>
      <c r="D1046" s="199" t="s">
        <v>8723</v>
      </c>
      <c r="E1046" s="188" t="s">
        <v>4245</v>
      </c>
      <c r="F1046" s="189" t="s">
        <v>4217</v>
      </c>
      <c r="G1046" s="199" t="s">
        <v>8289</v>
      </c>
      <c r="H1046" s="199" t="s">
        <v>8642</v>
      </c>
      <c r="I1046" s="199">
        <v>1</v>
      </c>
      <c r="J1046" s="199">
        <v>1</v>
      </c>
      <c r="K1046" s="199">
        <v>1</v>
      </c>
      <c r="L1046" s="199">
        <v>50</v>
      </c>
      <c r="M1046" s="202">
        <f>TB_Parts_Lists[[#This Row],[Quantity Initial]]+ SUMIF(TB_Transactions[Part number],TB_Parts_Lists[[#This Row],[Part Number]],TB_Transactions[Quantity])</f>
        <v>50</v>
      </c>
      <c r="N1046" s="200" t="s">
        <v>4593</v>
      </c>
      <c r="O1046" s="234">
        <v>5</v>
      </c>
      <c r="P1046" s="199">
        <f>TB_Parts_Lists[[#This Row],[Quantity Initial]]*TB_Parts_Lists[[#This Row],[Unit Price AED]]</f>
        <v>250</v>
      </c>
      <c r="Q1046" s="199">
        <f>TB_Parts_Lists[[#This Row],[Quantity Total]]*TB_Parts_Lists[[#This Row],[Unit Price AED]]</f>
        <v>250</v>
      </c>
      <c r="S1046" s="199" t="s">
        <v>8675</v>
      </c>
      <c r="T1046" s="199" t="s">
        <v>8675</v>
      </c>
      <c r="U1046" s="199" t="s">
        <v>8675</v>
      </c>
    </row>
    <row r="1047" spans="1:21" s="199" customFormat="1" x14ac:dyDescent="0.25">
      <c r="A1047" s="192" t="s">
        <v>7560</v>
      </c>
      <c r="B1047" s="203" t="s">
        <v>3333</v>
      </c>
      <c r="C1047" s="199" t="s">
        <v>6423</v>
      </c>
      <c r="D1047" s="199" t="s">
        <v>8724</v>
      </c>
      <c r="E1047" s="188" t="s">
        <v>5425</v>
      </c>
      <c r="F1047" s="189" t="s">
        <v>4218</v>
      </c>
      <c r="G1047" s="199" t="s">
        <v>8289</v>
      </c>
      <c r="H1047" s="199" t="s">
        <v>72</v>
      </c>
      <c r="I1047" s="199">
        <v>1</v>
      </c>
      <c r="J1047" s="199">
        <v>1</v>
      </c>
      <c r="K1047" s="199">
        <v>1</v>
      </c>
      <c r="L1047" s="199">
        <v>50</v>
      </c>
      <c r="M1047" s="202">
        <f>TB_Parts_Lists[[#This Row],[Quantity Initial]]+ SUMIF(TB_Transactions[Part number],TB_Parts_Lists[[#This Row],[Part Number]],TB_Transactions[Quantity])</f>
        <v>50</v>
      </c>
      <c r="N1047" s="200" t="s">
        <v>4593</v>
      </c>
      <c r="O1047" s="234">
        <v>5</v>
      </c>
      <c r="P1047" s="199">
        <f>TB_Parts_Lists[[#This Row],[Quantity Initial]]*TB_Parts_Lists[[#This Row],[Unit Price AED]]</f>
        <v>250</v>
      </c>
      <c r="Q1047" s="199">
        <f>TB_Parts_Lists[[#This Row],[Quantity Total]]*TB_Parts_Lists[[#This Row],[Unit Price AED]]</f>
        <v>250</v>
      </c>
      <c r="S1047" s="199" t="s">
        <v>8675</v>
      </c>
      <c r="T1047" s="199" t="s">
        <v>8675</v>
      </c>
      <c r="U1047" s="199" t="s">
        <v>8675</v>
      </c>
    </row>
    <row r="1048" spans="1:21" s="199" customFormat="1" x14ac:dyDescent="0.25">
      <c r="A1048" s="192" t="s">
        <v>7561</v>
      </c>
      <c r="B1048" s="203" t="s">
        <v>3334</v>
      </c>
      <c r="C1048" s="188" t="s">
        <v>7287</v>
      </c>
      <c r="D1048" s="199" t="s">
        <v>8732</v>
      </c>
      <c r="E1048" s="188" t="s">
        <v>4152</v>
      </c>
      <c r="F1048" s="189" t="s">
        <v>4219</v>
      </c>
      <c r="G1048" s="199" t="s">
        <v>8289</v>
      </c>
      <c r="H1048" s="199" t="s">
        <v>72</v>
      </c>
      <c r="I1048" s="199">
        <v>1</v>
      </c>
      <c r="J1048" s="199">
        <v>1</v>
      </c>
      <c r="K1048" s="199">
        <v>1</v>
      </c>
      <c r="L1048" s="199">
        <v>50</v>
      </c>
      <c r="M1048" s="202">
        <f>TB_Parts_Lists[[#This Row],[Quantity Initial]]+ SUMIF(TB_Transactions[Part number],TB_Parts_Lists[[#This Row],[Part Number]],TB_Transactions[Quantity])</f>
        <v>50</v>
      </c>
      <c r="N1048" s="200" t="s">
        <v>4593</v>
      </c>
      <c r="O1048" s="234">
        <v>5</v>
      </c>
      <c r="P1048" s="199">
        <f>TB_Parts_Lists[[#This Row],[Quantity Initial]]*TB_Parts_Lists[[#This Row],[Unit Price AED]]</f>
        <v>250</v>
      </c>
      <c r="Q1048" s="199">
        <f>TB_Parts_Lists[[#This Row],[Quantity Total]]*TB_Parts_Lists[[#This Row],[Unit Price AED]]</f>
        <v>250</v>
      </c>
      <c r="S1048" s="199" t="s">
        <v>122</v>
      </c>
      <c r="T1048" s="199" t="s">
        <v>189</v>
      </c>
      <c r="U1048" s="199" t="s">
        <v>1720</v>
      </c>
    </row>
    <row r="1049" spans="1:21" s="199" customFormat="1" x14ac:dyDescent="0.25">
      <c r="A1049" s="192" t="s">
        <v>7562</v>
      </c>
      <c r="B1049" s="203" t="s">
        <v>3332</v>
      </c>
      <c r="C1049" s="188" t="s">
        <v>3356</v>
      </c>
      <c r="D1049" s="199" t="s">
        <v>8732</v>
      </c>
      <c r="E1049" s="188" t="s">
        <v>5426</v>
      </c>
      <c r="F1049" s="189" t="s">
        <v>4220</v>
      </c>
      <c r="G1049" s="199" t="s">
        <v>8289</v>
      </c>
      <c r="H1049" s="199" t="s">
        <v>123</v>
      </c>
      <c r="I1049" s="199">
        <v>1</v>
      </c>
      <c r="J1049" s="199">
        <v>1</v>
      </c>
      <c r="K1049" s="199">
        <v>1</v>
      </c>
      <c r="L1049" s="199">
        <v>50</v>
      </c>
      <c r="M1049" s="202">
        <f>TB_Parts_Lists[[#This Row],[Quantity Initial]]+ SUMIF(TB_Transactions[Part number],TB_Parts_Lists[[#This Row],[Part Number]],TB_Transactions[Quantity])</f>
        <v>50</v>
      </c>
      <c r="N1049" s="200" t="s">
        <v>4593</v>
      </c>
      <c r="O1049" s="234">
        <v>5</v>
      </c>
      <c r="P1049" s="199">
        <f>TB_Parts_Lists[[#This Row],[Quantity Initial]]*TB_Parts_Lists[[#This Row],[Unit Price AED]]</f>
        <v>250</v>
      </c>
      <c r="Q1049" s="199">
        <f>TB_Parts_Lists[[#This Row],[Quantity Total]]*TB_Parts_Lists[[#This Row],[Unit Price AED]]</f>
        <v>250</v>
      </c>
      <c r="S1049" s="199" t="s">
        <v>118</v>
      </c>
      <c r="T1049" s="199" t="s">
        <v>8691</v>
      </c>
      <c r="U1049" s="199" t="s">
        <v>8716</v>
      </c>
    </row>
    <row r="1050" spans="1:21" s="199" customFormat="1" x14ac:dyDescent="0.25">
      <c r="A1050" s="192" t="s">
        <v>7563</v>
      </c>
      <c r="B1050" s="203" t="s">
        <v>3332</v>
      </c>
      <c r="C1050" s="188" t="s">
        <v>3356</v>
      </c>
      <c r="D1050" s="199" t="s">
        <v>8723</v>
      </c>
      <c r="E1050" s="188" t="s">
        <v>4246</v>
      </c>
      <c r="F1050" s="189" t="s">
        <v>4221</v>
      </c>
      <c r="G1050" s="199" t="s">
        <v>8289</v>
      </c>
      <c r="H1050" s="199" t="s">
        <v>8642</v>
      </c>
      <c r="I1050" s="199">
        <v>1</v>
      </c>
      <c r="J1050" s="199">
        <v>1</v>
      </c>
      <c r="K1050" s="199">
        <v>1</v>
      </c>
      <c r="L1050" s="199">
        <v>50</v>
      </c>
      <c r="M1050" s="202">
        <f>TB_Parts_Lists[[#This Row],[Quantity Initial]]+ SUMIF(TB_Transactions[Part number],TB_Parts_Lists[[#This Row],[Part Number]],TB_Transactions[Quantity])</f>
        <v>50</v>
      </c>
      <c r="N1050" s="200" t="s">
        <v>4593</v>
      </c>
      <c r="O1050" s="234">
        <v>5</v>
      </c>
      <c r="P1050" s="199">
        <f>TB_Parts_Lists[[#This Row],[Quantity Initial]]*TB_Parts_Lists[[#This Row],[Unit Price AED]]</f>
        <v>250</v>
      </c>
      <c r="Q1050" s="199">
        <f>TB_Parts_Lists[[#This Row],[Quantity Total]]*TB_Parts_Lists[[#This Row],[Unit Price AED]]</f>
        <v>250</v>
      </c>
      <c r="S1050" s="199" t="s">
        <v>8675</v>
      </c>
      <c r="T1050" s="199" t="s">
        <v>8675</v>
      </c>
      <c r="U1050" s="199" t="s">
        <v>8675</v>
      </c>
    </row>
    <row r="1051" spans="1:21" s="199" customFormat="1" x14ac:dyDescent="0.25">
      <c r="A1051" s="192" t="s">
        <v>7564</v>
      </c>
      <c r="B1051" s="203" t="s">
        <v>3335</v>
      </c>
      <c r="C1051" s="188" t="s">
        <v>3353</v>
      </c>
      <c r="D1051" s="188" t="s">
        <v>8724</v>
      </c>
      <c r="E1051" s="188" t="s">
        <v>5427</v>
      </c>
      <c r="F1051" s="189" t="s">
        <v>4222</v>
      </c>
      <c r="G1051" s="199" t="s">
        <v>8289</v>
      </c>
      <c r="H1051" s="199" t="s">
        <v>123</v>
      </c>
      <c r="I1051" s="199">
        <v>1</v>
      </c>
      <c r="J1051" s="199">
        <v>1</v>
      </c>
      <c r="K1051" s="199">
        <v>1</v>
      </c>
      <c r="L1051" s="199">
        <v>50</v>
      </c>
      <c r="M1051" s="202">
        <f>TB_Parts_Lists[[#This Row],[Quantity Initial]]+ SUMIF(TB_Transactions[Part number],TB_Parts_Lists[[#This Row],[Part Number]],TB_Transactions[Quantity])</f>
        <v>50</v>
      </c>
      <c r="N1051" s="200" t="s">
        <v>4593</v>
      </c>
      <c r="O1051" s="234">
        <v>5</v>
      </c>
      <c r="P1051" s="199">
        <f>TB_Parts_Lists[[#This Row],[Quantity Initial]]*TB_Parts_Lists[[#This Row],[Unit Price AED]]</f>
        <v>250</v>
      </c>
      <c r="Q1051" s="199">
        <f>TB_Parts_Lists[[#This Row],[Quantity Total]]*TB_Parts_Lists[[#This Row],[Unit Price AED]]</f>
        <v>250</v>
      </c>
      <c r="S1051" s="199" t="s">
        <v>8675</v>
      </c>
      <c r="T1051" s="199" t="s">
        <v>8675</v>
      </c>
      <c r="U1051" s="199" t="s">
        <v>8675</v>
      </c>
    </row>
    <row r="1052" spans="1:21" s="199" customFormat="1" x14ac:dyDescent="0.25">
      <c r="A1052" s="192" t="s">
        <v>7565</v>
      </c>
      <c r="B1052" s="203" t="s">
        <v>3330</v>
      </c>
      <c r="C1052" s="188" t="s">
        <v>3338</v>
      </c>
      <c r="D1052" s="188" t="s">
        <v>8724</v>
      </c>
      <c r="E1052" s="188" t="s">
        <v>4649</v>
      </c>
      <c r="F1052" s="189" t="s">
        <v>4648</v>
      </c>
      <c r="G1052" s="199" t="s">
        <v>8289</v>
      </c>
      <c r="H1052" s="199" t="s">
        <v>123</v>
      </c>
      <c r="I1052" s="199">
        <v>1</v>
      </c>
      <c r="J1052" s="199">
        <v>1</v>
      </c>
      <c r="K1052" s="199">
        <v>1</v>
      </c>
      <c r="L1052" s="199">
        <v>50</v>
      </c>
      <c r="M1052" s="202">
        <f>TB_Parts_Lists[[#This Row],[Quantity Initial]]+ SUMIF(TB_Transactions[Part number],TB_Parts_Lists[[#This Row],[Part Number]],TB_Transactions[Quantity])</f>
        <v>50</v>
      </c>
      <c r="N1052" s="200" t="s">
        <v>4593</v>
      </c>
      <c r="O1052" s="234">
        <v>5</v>
      </c>
      <c r="P1052" s="199">
        <f>TB_Parts_Lists[[#This Row],[Quantity Initial]]*TB_Parts_Lists[[#This Row],[Unit Price AED]]</f>
        <v>250</v>
      </c>
      <c r="Q1052" s="199">
        <f>TB_Parts_Lists[[#This Row],[Quantity Total]]*TB_Parts_Lists[[#This Row],[Unit Price AED]]</f>
        <v>250</v>
      </c>
      <c r="S1052" s="199" t="s">
        <v>8675</v>
      </c>
      <c r="T1052" s="199" t="s">
        <v>8675</v>
      </c>
      <c r="U1052" s="199" t="s">
        <v>8675</v>
      </c>
    </row>
    <row r="1053" spans="1:21" s="199" customFormat="1" x14ac:dyDescent="0.25">
      <c r="A1053" s="192" t="s">
        <v>7566</v>
      </c>
      <c r="B1053" s="203" t="s">
        <v>3333</v>
      </c>
      <c r="C1053" s="199" t="s">
        <v>6423</v>
      </c>
      <c r="D1053" s="199" t="s">
        <v>8723</v>
      </c>
      <c r="E1053" s="188" t="s">
        <v>5428</v>
      </c>
      <c r="F1053" s="189" t="s">
        <v>4223</v>
      </c>
      <c r="G1053" s="199" t="s">
        <v>8289</v>
      </c>
      <c r="H1053" s="199" t="s">
        <v>72</v>
      </c>
      <c r="I1053" s="199">
        <v>1</v>
      </c>
      <c r="J1053" s="199">
        <v>1</v>
      </c>
      <c r="K1053" s="199">
        <v>1</v>
      </c>
      <c r="L1053" s="199">
        <v>50</v>
      </c>
      <c r="M1053" s="202">
        <f>TB_Parts_Lists[[#This Row],[Quantity Initial]]+ SUMIF(TB_Transactions[Part number],TB_Parts_Lists[[#This Row],[Part Number]],TB_Transactions[Quantity])</f>
        <v>50</v>
      </c>
      <c r="N1053" s="200" t="s">
        <v>4593</v>
      </c>
      <c r="O1053" s="234">
        <v>5</v>
      </c>
      <c r="P1053" s="199">
        <f>TB_Parts_Lists[[#This Row],[Quantity Initial]]*TB_Parts_Lists[[#This Row],[Unit Price AED]]</f>
        <v>250</v>
      </c>
      <c r="Q1053" s="199">
        <f>TB_Parts_Lists[[#This Row],[Quantity Total]]*TB_Parts_Lists[[#This Row],[Unit Price AED]]</f>
        <v>250</v>
      </c>
      <c r="S1053" s="199" t="s">
        <v>8675</v>
      </c>
      <c r="T1053" s="199" t="s">
        <v>8675</v>
      </c>
      <c r="U1053" s="199" t="s">
        <v>8675</v>
      </c>
    </row>
    <row r="1054" spans="1:21" s="199" customFormat="1" x14ac:dyDescent="0.25">
      <c r="A1054" s="192" t="s">
        <v>7567</v>
      </c>
      <c r="B1054" s="203" t="s">
        <v>3330</v>
      </c>
      <c r="C1054" s="188" t="s">
        <v>3567</v>
      </c>
      <c r="D1054" s="199" t="s">
        <v>8732</v>
      </c>
      <c r="E1054" s="188" t="s">
        <v>5429</v>
      </c>
      <c r="F1054" s="189" t="s">
        <v>4224</v>
      </c>
      <c r="G1054" s="199" t="s">
        <v>8289</v>
      </c>
      <c r="H1054" s="199" t="s">
        <v>72</v>
      </c>
      <c r="I1054" s="199">
        <v>1</v>
      </c>
      <c r="J1054" s="199">
        <v>1</v>
      </c>
      <c r="K1054" s="199">
        <v>1</v>
      </c>
      <c r="L1054" s="199">
        <v>50</v>
      </c>
      <c r="M1054" s="202">
        <f>TB_Parts_Lists[[#This Row],[Quantity Initial]]+ SUMIF(TB_Transactions[Part number],TB_Parts_Lists[[#This Row],[Part Number]],TB_Transactions[Quantity])</f>
        <v>50</v>
      </c>
      <c r="N1054" s="200" t="s">
        <v>4593</v>
      </c>
      <c r="O1054" s="234">
        <v>5</v>
      </c>
      <c r="P1054" s="199">
        <f>TB_Parts_Lists[[#This Row],[Quantity Initial]]*TB_Parts_Lists[[#This Row],[Unit Price AED]]</f>
        <v>250</v>
      </c>
      <c r="Q1054" s="199">
        <f>TB_Parts_Lists[[#This Row],[Quantity Total]]*TB_Parts_Lists[[#This Row],[Unit Price AED]]</f>
        <v>250</v>
      </c>
      <c r="S1054" s="199" t="s">
        <v>122</v>
      </c>
      <c r="T1054" s="199" t="s">
        <v>325</v>
      </c>
      <c r="U1054" s="199" t="s">
        <v>324</v>
      </c>
    </row>
    <row r="1055" spans="1:21" s="199" customFormat="1" x14ac:dyDescent="0.25">
      <c r="A1055" s="192" t="s">
        <v>7568</v>
      </c>
      <c r="B1055" s="204" t="s">
        <v>3337</v>
      </c>
      <c r="C1055" s="205" t="s">
        <v>3378</v>
      </c>
      <c r="D1055" s="199" t="s">
        <v>8724</v>
      </c>
      <c r="E1055" s="188" t="s">
        <v>4153</v>
      </c>
      <c r="F1055" s="189" t="s">
        <v>4225</v>
      </c>
      <c r="G1055" s="199" t="s">
        <v>8289</v>
      </c>
      <c r="H1055" s="199" t="s">
        <v>123</v>
      </c>
      <c r="I1055" s="199">
        <v>1</v>
      </c>
      <c r="J1055" s="199">
        <v>1</v>
      </c>
      <c r="K1055" s="199">
        <v>1</v>
      </c>
      <c r="L1055" s="199">
        <v>50</v>
      </c>
      <c r="M1055" s="206">
        <f>TB_Parts_Lists[[#This Row],[Quantity Initial]]+ SUMIF(TB_Transactions[Part number],TB_Parts_Lists[[#This Row],[Part Number]],TB_Transactions[Quantity])</f>
        <v>50</v>
      </c>
      <c r="N1055" s="200" t="s">
        <v>4593</v>
      </c>
      <c r="O1055" s="234">
        <v>5</v>
      </c>
      <c r="P1055" s="199">
        <f>TB_Parts_Lists[[#This Row],[Quantity Initial]]*TB_Parts_Lists[[#This Row],[Unit Price AED]]</f>
        <v>250</v>
      </c>
      <c r="Q1055" s="199">
        <f>TB_Parts_Lists[[#This Row],[Quantity Total]]*TB_Parts_Lists[[#This Row],[Unit Price AED]]</f>
        <v>250</v>
      </c>
      <c r="R1055" s="205"/>
      <c r="S1055" s="199" t="s">
        <v>122</v>
      </c>
      <c r="T1055" s="199" t="s">
        <v>8700</v>
      </c>
      <c r="U1055" s="199" t="s">
        <v>298</v>
      </c>
    </row>
    <row r="1056" spans="1:21" s="199" customFormat="1" x14ac:dyDescent="0.25">
      <c r="A1056" s="192" t="s">
        <v>7569</v>
      </c>
      <c r="B1056" s="203" t="s">
        <v>3332</v>
      </c>
      <c r="C1056" s="188" t="s">
        <v>3357</v>
      </c>
      <c r="D1056" s="199" t="s">
        <v>8723</v>
      </c>
      <c r="E1056" s="188" t="s">
        <v>4154</v>
      </c>
      <c r="F1056" s="189" t="s">
        <v>4226</v>
      </c>
      <c r="G1056" s="199" t="s">
        <v>8289</v>
      </c>
      <c r="H1056" s="199" t="s">
        <v>8642</v>
      </c>
      <c r="I1056" s="199">
        <v>1</v>
      </c>
      <c r="J1056" s="199">
        <v>1</v>
      </c>
      <c r="K1056" s="199">
        <v>1</v>
      </c>
      <c r="L1056" s="199">
        <v>50</v>
      </c>
      <c r="M1056" s="202">
        <f>TB_Parts_Lists[[#This Row],[Quantity Initial]]+ SUMIF(TB_Transactions[Part number],TB_Parts_Lists[[#This Row],[Part Number]],TB_Transactions[Quantity])</f>
        <v>50</v>
      </c>
      <c r="N1056" s="200" t="s">
        <v>4593</v>
      </c>
      <c r="O1056" s="234">
        <v>5</v>
      </c>
      <c r="P1056" s="199">
        <f>TB_Parts_Lists[[#This Row],[Quantity Initial]]*TB_Parts_Lists[[#This Row],[Unit Price AED]]</f>
        <v>250</v>
      </c>
      <c r="Q1056" s="199">
        <f>TB_Parts_Lists[[#This Row],[Quantity Total]]*TB_Parts_Lists[[#This Row],[Unit Price AED]]</f>
        <v>250</v>
      </c>
      <c r="S1056" s="199" t="s">
        <v>8675</v>
      </c>
      <c r="T1056" s="199" t="s">
        <v>8675</v>
      </c>
      <c r="U1056" s="199" t="s">
        <v>8675</v>
      </c>
    </row>
    <row r="1057" spans="1:21" s="199" customFormat="1" x14ac:dyDescent="0.25">
      <c r="A1057" s="192" t="s">
        <v>7570</v>
      </c>
      <c r="B1057" s="203" t="s">
        <v>3330</v>
      </c>
      <c r="C1057" s="188" t="s">
        <v>1836</v>
      </c>
      <c r="D1057" s="188" t="s">
        <v>8724</v>
      </c>
      <c r="E1057" s="188" t="s">
        <v>5430</v>
      </c>
      <c r="F1057" s="189" t="s">
        <v>4227</v>
      </c>
      <c r="G1057" s="199" t="s">
        <v>8289</v>
      </c>
      <c r="H1057" s="199" t="s">
        <v>123</v>
      </c>
      <c r="I1057" s="199">
        <v>1</v>
      </c>
      <c r="J1057" s="199">
        <v>1</v>
      </c>
      <c r="K1057" s="199">
        <v>1</v>
      </c>
      <c r="L1057" s="199">
        <v>50</v>
      </c>
      <c r="M1057" s="202">
        <f>TB_Parts_Lists[[#This Row],[Quantity Initial]]+ SUMIF(TB_Transactions[Part number],TB_Parts_Lists[[#This Row],[Part Number]],TB_Transactions[Quantity])</f>
        <v>50</v>
      </c>
      <c r="N1057" s="200" t="s">
        <v>4593</v>
      </c>
      <c r="O1057" s="234">
        <v>5</v>
      </c>
      <c r="P1057" s="199">
        <f>TB_Parts_Lists[[#This Row],[Quantity Initial]]*TB_Parts_Lists[[#This Row],[Unit Price AED]]</f>
        <v>250</v>
      </c>
      <c r="Q1057" s="199">
        <f>TB_Parts_Lists[[#This Row],[Quantity Total]]*TB_Parts_Lists[[#This Row],[Unit Price AED]]</f>
        <v>250</v>
      </c>
      <c r="S1057" s="199" t="s">
        <v>122</v>
      </c>
      <c r="T1057" s="199" t="s">
        <v>1835</v>
      </c>
      <c r="U1057" s="199" t="s">
        <v>1834</v>
      </c>
    </row>
    <row r="1058" spans="1:21" s="199" customFormat="1" x14ac:dyDescent="0.25">
      <c r="A1058" s="192" t="s">
        <v>7571</v>
      </c>
      <c r="B1058" s="203" t="s">
        <v>3335</v>
      </c>
      <c r="C1058" s="188" t="s">
        <v>3353</v>
      </c>
      <c r="D1058" s="199" t="s">
        <v>8723</v>
      </c>
      <c r="E1058" s="188" t="s">
        <v>4155</v>
      </c>
      <c r="F1058" s="189" t="s">
        <v>4228</v>
      </c>
      <c r="G1058" s="199" t="s">
        <v>8289</v>
      </c>
      <c r="H1058" s="199" t="s">
        <v>123</v>
      </c>
      <c r="I1058" s="199">
        <v>1</v>
      </c>
      <c r="J1058" s="199">
        <v>1</v>
      </c>
      <c r="K1058" s="199">
        <v>1</v>
      </c>
      <c r="L1058" s="199">
        <v>50</v>
      </c>
      <c r="M1058" s="202">
        <f>TB_Parts_Lists[[#This Row],[Quantity Initial]]+ SUMIF(TB_Transactions[Part number],TB_Parts_Lists[[#This Row],[Part Number]],TB_Transactions[Quantity])</f>
        <v>50</v>
      </c>
      <c r="N1058" s="200" t="s">
        <v>4593</v>
      </c>
      <c r="O1058" s="234">
        <v>5</v>
      </c>
      <c r="P1058" s="199">
        <f>TB_Parts_Lists[[#This Row],[Quantity Initial]]*TB_Parts_Lists[[#This Row],[Unit Price AED]]</f>
        <v>250</v>
      </c>
      <c r="Q1058" s="199">
        <f>TB_Parts_Lists[[#This Row],[Quantity Total]]*TB_Parts_Lists[[#This Row],[Unit Price AED]]</f>
        <v>250</v>
      </c>
      <c r="S1058" s="199" t="s">
        <v>122</v>
      </c>
      <c r="T1058" s="199" t="s">
        <v>8696</v>
      </c>
      <c r="U1058" s="199" t="s">
        <v>292</v>
      </c>
    </row>
    <row r="1059" spans="1:21" s="199" customFormat="1" x14ac:dyDescent="0.25">
      <c r="A1059" s="192" t="s">
        <v>7572</v>
      </c>
      <c r="B1059" s="203" t="s">
        <v>3335</v>
      </c>
      <c r="C1059" s="188" t="s">
        <v>3353</v>
      </c>
      <c r="D1059" s="199" t="s">
        <v>8732</v>
      </c>
      <c r="E1059" s="188" t="s">
        <v>4156</v>
      </c>
      <c r="F1059" s="189" t="s">
        <v>4229</v>
      </c>
      <c r="G1059" s="199" t="s">
        <v>8289</v>
      </c>
      <c r="H1059" s="199" t="s">
        <v>123</v>
      </c>
      <c r="I1059" s="199">
        <v>1</v>
      </c>
      <c r="J1059" s="199">
        <v>1</v>
      </c>
      <c r="K1059" s="199">
        <v>1</v>
      </c>
      <c r="L1059" s="199">
        <v>50</v>
      </c>
      <c r="M1059" s="202">
        <f>TB_Parts_Lists[[#This Row],[Quantity Initial]]+ SUMIF(TB_Transactions[Part number],TB_Parts_Lists[[#This Row],[Part Number]],TB_Transactions[Quantity])</f>
        <v>50</v>
      </c>
      <c r="N1059" s="200" t="s">
        <v>4593</v>
      </c>
      <c r="O1059" s="234">
        <v>5</v>
      </c>
      <c r="P1059" s="199">
        <f>TB_Parts_Lists[[#This Row],[Quantity Initial]]*TB_Parts_Lists[[#This Row],[Unit Price AED]]</f>
        <v>250</v>
      </c>
      <c r="Q1059" s="199">
        <f>TB_Parts_Lists[[#This Row],[Quantity Total]]*TB_Parts_Lists[[#This Row],[Unit Price AED]]</f>
        <v>250</v>
      </c>
      <c r="S1059" s="199" t="s">
        <v>122</v>
      </c>
      <c r="T1059" s="199" t="s">
        <v>8696</v>
      </c>
      <c r="U1059" s="199" t="s">
        <v>298</v>
      </c>
    </row>
    <row r="1060" spans="1:21" s="199" customFormat="1" x14ac:dyDescent="0.25">
      <c r="A1060" s="192" t="s">
        <v>7573</v>
      </c>
      <c r="B1060" s="203" t="s">
        <v>3337</v>
      </c>
      <c r="C1060" s="188" t="s">
        <v>3378</v>
      </c>
      <c r="D1060" s="199" t="s">
        <v>8724</v>
      </c>
      <c r="E1060" s="188" t="s">
        <v>4247</v>
      </c>
      <c r="F1060" s="189" t="s">
        <v>4230</v>
      </c>
      <c r="G1060" s="199" t="s">
        <v>8289</v>
      </c>
      <c r="H1060" s="199" t="s">
        <v>123</v>
      </c>
      <c r="I1060" s="199">
        <v>1</v>
      </c>
      <c r="J1060" s="199">
        <v>1</v>
      </c>
      <c r="K1060" s="199">
        <v>1</v>
      </c>
      <c r="L1060" s="199">
        <v>50</v>
      </c>
      <c r="M1060" s="202">
        <f>TB_Parts_Lists[[#This Row],[Quantity Initial]]+ SUMIF(TB_Transactions[Part number],TB_Parts_Lists[[#This Row],[Part Number]],TB_Transactions[Quantity])</f>
        <v>50</v>
      </c>
      <c r="N1060" s="200" t="s">
        <v>4593</v>
      </c>
      <c r="O1060" s="234">
        <v>5</v>
      </c>
      <c r="P1060" s="199">
        <f>TB_Parts_Lists[[#This Row],[Quantity Initial]]*TB_Parts_Lists[[#This Row],[Unit Price AED]]</f>
        <v>250</v>
      </c>
      <c r="Q1060" s="199">
        <f>TB_Parts_Lists[[#This Row],[Quantity Total]]*TB_Parts_Lists[[#This Row],[Unit Price AED]]</f>
        <v>250</v>
      </c>
      <c r="S1060" s="199" t="s">
        <v>8675</v>
      </c>
      <c r="T1060" s="199" t="s">
        <v>8675</v>
      </c>
      <c r="U1060" s="199" t="s">
        <v>8675</v>
      </c>
    </row>
    <row r="1061" spans="1:21" s="199" customFormat="1" x14ac:dyDescent="0.25">
      <c r="A1061" s="192" t="s">
        <v>7574</v>
      </c>
      <c r="B1061" s="203" t="s">
        <v>6619</v>
      </c>
      <c r="C1061" s="188" t="s">
        <v>161</v>
      </c>
      <c r="D1061" s="199" t="s">
        <v>8732</v>
      </c>
      <c r="E1061" s="188" t="s">
        <v>8325</v>
      </c>
      <c r="F1061" s="189" t="s">
        <v>6062</v>
      </c>
      <c r="G1061" s="199" t="s">
        <v>8290</v>
      </c>
      <c r="H1061" s="199" t="s">
        <v>123</v>
      </c>
      <c r="I1061" s="199">
        <v>1</v>
      </c>
      <c r="J1061" s="199">
        <v>1</v>
      </c>
      <c r="K1061" s="199">
        <v>1</v>
      </c>
      <c r="L1061" s="199">
        <v>50</v>
      </c>
      <c r="M1061" s="202">
        <f>TB_Parts_Lists[[#This Row],[Quantity Initial]]+ SUMIF(TB_Transactions[Part number],TB_Parts_Lists[[#This Row],[Part Number]],TB_Transactions[Quantity])</f>
        <v>50</v>
      </c>
      <c r="N1061" s="200" t="s">
        <v>4593</v>
      </c>
      <c r="O1061" s="234">
        <v>5</v>
      </c>
      <c r="P1061" s="199">
        <f>TB_Parts_Lists[[#This Row],[Quantity Initial]]*TB_Parts_Lists[[#This Row],[Unit Price AED]]</f>
        <v>250</v>
      </c>
      <c r="Q1061" s="199">
        <f>TB_Parts_Lists[[#This Row],[Quantity Total]]*TB_Parts_Lists[[#This Row],[Unit Price AED]]</f>
        <v>250</v>
      </c>
      <c r="S1061" s="199" t="s">
        <v>118</v>
      </c>
      <c r="T1061" s="199" t="s">
        <v>874</v>
      </c>
      <c r="U1061" s="199" t="s">
        <v>873</v>
      </c>
    </row>
    <row r="1062" spans="1:21" s="199" customFormat="1" x14ac:dyDescent="0.25">
      <c r="A1062" s="192" t="s">
        <v>7575</v>
      </c>
      <c r="B1062" s="203" t="s">
        <v>6619</v>
      </c>
      <c r="C1062" s="188" t="s">
        <v>161</v>
      </c>
      <c r="D1062" s="199" t="s">
        <v>8732</v>
      </c>
      <c r="E1062" s="188" t="s">
        <v>8326</v>
      </c>
      <c r="F1062" s="189" t="s">
        <v>6063</v>
      </c>
      <c r="G1062" s="199" t="s">
        <v>8290</v>
      </c>
      <c r="H1062" s="199" t="s">
        <v>123</v>
      </c>
      <c r="I1062" s="199">
        <v>1</v>
      </c>
      <c r="J1062" s="199">
        <v>1</v>
      </c>
      <c r="K1062" s="199">
        <v>1</v>
      </c>
      <c r="L1062" s="199">
        <v>50</v>
      </c>
      <c r="M1062" s="202">
        <f>TB_Parts_Lists[[#This Row],[Quantity Initial]]+ SUMIF(TB_Transactions[Part number],TB_Parts_Lists[[#This Row],[Part Number]],TB_Transactions[Quantity])</f>
        <v>50</v>
      </c>
      <c r="N1062" s="200" t="s">
        <v>4593</v>
      </c>
      <c r="O1062" s="234">
        <v>5</v>
      </c>
      <c r="P1062" s="199">
        <f>TB_Parts_Lists[[#This Row],[Quantity Initial]]*TB_Parts_Lists[[#This Row],[Unit Price AED]]</f>
        <v>250</v>
      </c>
      <c r="Q1062" s="199">
        <f>TB_Parts_Lists[[#This Row],[Quantity Total]]*TB_Parts_Lists[[#This Row],[Unit Price AED]]</f>
        <v>250</v>
      </c>
      <c r="S1062" s="199" t="s">
        <v>118</v>
      </c>
      <c r="T1062" s="199" t="s">
        <v>874</v>
      </c>
      <c r="U1062" s="199" t="s">
        <v>873</v>
      </c>
    </row>
    <row r="1063" spans="1:21" s="199" customFormat="1" x14ac:dyDescent="0.25">
      <c r="A1063" s="192" t="s">
        <v>7576</v>
      </c>
      <c r="B1063" s="203" t="s">
        <v>6619</v>
      </c>
      <c r="C1063" s="188" t="s">
        <v>161</v>
      </c>
      <c r="D1063" s="199" t="s">
        <v>8732</v>
      </c>
      <c r="E1063" s="188" t="s">
        <v>5431</v>
      </c>
      <c r="F1063" s="189" t="s">
        <v>6064</v>
      </c>
      <c r="G1063" s="199" t="s">
        <v>8290</v>
      </c>
      <c r="H1063" s="199" t="s">
        <v>123</v>
      </c>
      <c r="I1063" s="199">
        <v>1</v>
      </c>
      <c r="J1063" s="199">
        <v>1</v>
      </c>
      <c r="K1063" s="199">
        <v>1</v>
      </c>
      <c r="L1063" s="199">
        <v>50</v>
      </c>
      <c r="M1063" s="202">
        <f>TB_Parts_Lists[[#This Row],[Quantity Initial]]+ SUMIF(TB_Transactions[Part number],TB_Parts_Lists[[#This Row],[Part Number]],TB_Transactions[Quantity])</f>
        <v>50</v>
      </c>
      <c r="N1063" s="200" t="s">
        <v>4593</v>
      </c>
      <c r="O1063" s="234">
        <v>5</v>
      </c>
      <c r="P1063" s="199">
        <f>TB_Parts_Lists[[#This Row],[Quantity Initial]]*TB_Parts_Lists[[#This Row],[Unit Price AED]]</f>
        <v>250</v>
      </c>
      <c r="Q1063" s="199">
        <f>TB_Parts_Lists[[#This Row],[Quantity Total]]*TB_Parts_Lists[[#This Row],[Unit Price AED]]</f>
        <v>250</v>
      </c>
      <c r="S1063" s="199" t="s">
        <v>118</v>
      </c>
      <c r="T1063" s="199" t="s">
        <v>874</v>
      </c>
      <c r="U1063" s="199" t="s">
        <v>873</v>
      </c>
    </row>
    <row r="1064" spans="1:21" s="199" customFormat="1" x14ac:dyDescent="0.25">
      <c r="A1064" s="192" t="s">
        <v>7577</v>
      </c>
      <c r="B1064" s="203" t="s">
        <v>6619</v>
      </c>
      <c r="C1064" s="188" t="s">
        <v>161</v>
      </c>
      <c r="D1064" s="199" t="s">
        <v>8732</v>
      </c>
      <c r="E1064" s="188" t="s">
        <v>5432</v>
      </c>
      <c r="F1064" s="189" t="s">
        <v>6065</v>
      </c>
      <c r="G1064" s="199" t="s">
        <v>8290</v>
      </c>
      <c r="H1064" s="199" t="s">
        <v>123</v>
      </c>
      <c r="I1064" s="199">
        <v>1</v>
      </c>
      <c r="J1064" s="199">
        <v>1</v>
      </c>
      <c r="K1064" s="199">
        <v>1</v>
      </c>
      <c r="L1064" s="199">
        <v>50</v>
      </c>
      <c r="M1064" s="202">
        <f>TB_Parts_Lists[[#This Row],[Quantity Initial]]+ SUMIF(TB_Transactions[Part number],TB_Parts_Lists[[#This Row],[Part Number]],TB_Transactions[Quantity])</f>
        <v>50</v>
      </c>
      <c r="N1064" s="200" t="s">
        <v>4593</v>
      </c>
      <c r="O1064" s="234">
        <v>5</v>
      </c>
      <c r="P1064" s="199">
        <f>TB_Parts_Lists[[#This Row],[Quantity Initial]]*TB_Parts_Lists[[#This Row],[Unit Price AED]]</f>
        <v>250</v>
      </c>
      <c r="Q1064" s="199">
        <f>TB_Parts_Lists[[#This Row],[Quantity Total]]*TB_Parts_Lists[[#This Row],[Unit Price AED]]</f>
        <v>250</v>
      </c>
      <c r="S1064" s="199" t="s">
        <v>118</v>
      </c>
      <c r="T1064" s="199" t="s">
        <v>874</v>
      </c>
      <c r="U1064" s="199" t="s">
        <v>873</v>
      </c>
    </row>
    <row r="1065" spans="1:21" s="199" customFormat="1" x14ac:dyDescent="0.25">
      <c r="A1065" s="192" t="s">
        <v>7578</v>
      </c>
      <c r="B1065" s="203" t="s">
        <v>6619</v>
      </c>
      <c r="C1065" s="188" t="s">
        <v>161</v>
      </c>
      <c r="D1065" s="199" t="s">
        <v>8732</v>
      </c>
      <c r="E1065" s="188" t="s">
        <v>5433</v>
      </c>
      <c r="F1065" s="189" t="s">
        <v>6066</v>
      </c>
      <c r="G1065" s="199" t="s">
        <v>8290</v>
      </c>
      <c r="H1065" s="199" t="s">
        <v>123</v>
      </c>
      <c r="I1065" s="199">
        <v>1</v>
      </c>
      <c r="J1065" s="199">
        <v>1</v>
      </c>
      <c r="K1065" s="199">
        <v>1</v>
      </c>
      <c r="L1065" s="199">
        <v>50</v>
      </c>
      <c r="M1065" s="202">
        <f>TB_Parts_Lists[[#This Row],[Quantity Initial]]+ SUMIF(TB_Transactions[Part number],TB_Parts_Lists[[#This Row],[Part Number]],TB_Transactions[Quantity])</f>
        <v>50</v>
      </c>
      <c r="N1065" s="200" t="s">
        <v>4593</v>
      </c>
      <c r="O1065" s="234">
        <v>5</v>
      </c>
      <c r="P1065" s="199">
        <f>TB_Parts_Lists[[#This Row],[Quantity Initial]]*TB_Parts_Lists[[#This Row],[Unit Price AED]]</f>
        <v>250</v>
      </c>
      <c r="Q1065" s="199">
        <f>TB_Parts_Lists[[#This Row],[Quantity Total]]*TB_Parts_Lists[[#This Row],[Unit Price AED]]</f>
        <v>250</v>
      </c>
      <c r="S1065" s="199" t="s">
        <v>118</v>
      </c>
      <c r="T1065" s="199" t="s">
        <v>874</v>
      </c>
      <c r="U1065" s="199" t="s">
        <v>873</v>
      </c>
    </row>
    <row r="1066" spans="1:21" s="199" customFormat="1" x14ac:dyDescent="0.25">
      <c r="A1066" s="192" t="s">
        <v>7579</v>
      </c>
      <c r="B1066" s="203" t="s">
        <v>6619</v>
      </c>
      <c r="C1066" s="188" t="s">
        <v>161</v>
      </c>
      <c r="D1066" s="199" t="s">
        <v>8732</v>
      </c>
      <c r="E1066" s="188" t="s">
        <v>5434</v>
      </c>
      <c r="F1066" s="189" t="s">
        <v>6067</v>
      </c>
      <c r="G1066" s="199" t="s">
        <v>8290</v>
      </c>
      <c r="H1066" s="199" t="s">
        <v>123</v>
      </c>
      <c r="I1066" s="199">
        <v>1</v>
      </c>
      <c r="J1066" s="199">
        <v>1</v>
      </c>
      <c r="K1066" s="199">
        <v>1</v>
      </c>
      <c r="L1066" s="199">
        <v>50</v>
      </c>
      <c r="M1066" s="202">
        <f>TB_Parts_Lists[[#This Row],[Quantity Initial]]+ SUMIF(TB_Transactions[Part number],TB_Parts_Lists[[#This Row],[Part Number]],TB_Transactions[Quantity])</f>
        <v>50</v>
      </c>
      <c r="N1066" s="200" t="s">
        <v>4593</v>
      </c>
      <c r="O1066" s="234">
        <v>5</v>
      </c>
      <c r="P1066" s="199">
        <f>TB_Parts_Lists[[#This Row],[Quantity Initial]]*TB_Parts_Lists[[#This Row],[Unit Price AED]]</f>
        <v>250</v>
      </c>
      <c r="Q1066" s="199">
        <f>TB_Parts_Lists[[#This Row],[Quantity Total]]*TB_Parts_Lists[[#This Row],[Unit Price AED]]</f>
        <v>250</v>
      </c>
      <c r="S1066" s="199" t="s">
        <v>118</v>
      </c>
      <c r="T1066" s="199" t="s">
        <v>874</v>
      </c>
      <c r="U1066" s="199" t="s">
        <v>873</v>
      </c>
    </row>
    <row r="1067" spans="1:21" s="199" customFormat="1" x14ac:dyDescent="0.25">
      <c r="A1067" s="192" t="s">
        <v>7580</v>
      </c>
      <c r="B1067" s="203" t="s">
        <v>6619</v>
      </c>
      <c r="C1067" s="188" t="s">
        <v>161</v>
      </c>
      <c r="D1067" s="199" t="s">
        <v>8732</v>
      </c>
      <c r="E1067" s="188" t="s">
        <v>5435</v>
      </c>
      <c r="F1067" s="189" t="s">
        <v>6068</v>
      </c>
      <c r="G1067" s="199" t="s">
        <v>8290</v>
      </c>
      <c r="H1067" s="199" t="s">
        <v>123</v>
      </c>
      <c r="I1067" s="199">
        <v>1</v>
      </c>
      <c r="J1067" s="199">
        <v>1</v>
      </c>
      <c r="K1067" s="199">
        <v>1</v>
      </c>
      <c r="L1067" s="199">
        <v>50</v>
      </c>
      <c r="M1067" s="202">
        <f>TB_Parts_Lists[[#This Row],[Quantity Initial]]+ SUMIF(TB_Transactions[Part number],TB_Parts_Lists[[#This Row],[Part Number]],TB_Transactions[Quantity])</f>
        <v>50</v>
      </c>
      <c r="N1067" s="200" t="s">
        <v>4593</v>
      </c>
      <c r="O1067" s="234">
        <v>5</v>
      </c>
      <c r="P1067" s="199">
        <f>TB_Parts_Lists[[#This Row],[Quantity Initial]]*TB_Parts_Lists[[#This Row],[Unit Price AED]]</f>
        <v>250</v>
      </c>
      <c r="Q1067" s="199">
        <f>TB_Parts_Lists[[#This Row],[Quantity Total]]*TB_Parts_Lists[[#This Row],[Unit Price AED]]</f>
        <v>250</v>
      </c>
      <c r="S1067" s="199" t="s">
        <v>118</v>
      </c>
      <c r="T1067" s="199" t="s">
        <v>874</v>
      </c>
      <c r="U1067" s="199" t="s">
        <v>873</v>
      </c>
    </row>
    <row r="1068" spans="1:21" s="199" customFormat="1" x14ac:dyDescent="0.25">
      <c r="A1068" s="192" t="s">
        <v>7581</v>
      </c>
      <c r="B1068" s="203" t="s">
        <v>6619</v>
      </c>
      <c r="C1068" s="188" t="s">
        <v>161</v>
      </c>
      <c r="D1068" s="199" t="s">
        <v>8732</v>
      </c>
      <c r="E1068" s="188" t="s">
        <v>5436</v>
      </c>
      <c r="F1068" s="189" t="s">
        <v>6069</v>
      </c>
      <c r="G1068" s="199" t="s">
        <v>8290</v>
      </c>
      <c r="H1068" s="199" t="s">
        <v>123</v>
      </c>
      <c r="I1068" s="199">
        <v>1</v>
      </c>
      <c r="J1068" s="199">
        <v>1</v>
      </c>
      <c r="K1068" s="199">
        <v>1</v>
      </c>
      <c r="L1068" s="199">
        <v>50</v>
      </c>
      <c r="M1068" s="202">
        <f>TB_Parts_Lists[[#This Row],[Quantity Initial]]+ SUMIF(TB_Transactions[Part number],TB_Parts_Lists[[#This Row],[Part Number]],TB_Transactions[Quantity])</f>
        <v>50</v>
      </c>
      <c r="N1068" s="200" t="s">
        <v>4593</v>
      </c>
      <c r="O1068" s="234">
        <v>5</v>
      </c>
      <c r="P1068" s="199">
        <f>TB_Parts_Lists[[#This Row],[Quantity Initial]]*TB_Parts_Lists[[#This Row],[Unit Price AED]]</f>
        <v>250</v>
      </c>
      <c r="Q1068" s="199">
        <f>TB_Parts_Lists[[#This Row],[Quantity Total]]*TB_Parts_Lists[[#This Row],[Unit Price AED]]</f>
        <v>250</v>
      </c>
      <c r="S1068" s="199" t="s">
        <v>118</v>
      </c>
      <c r="T1068" s="199" t="s">
        <v>874</v>
      </c>
      <c r="U1068" s="199" t="s">
        <v>873</v>
      </c>
    </row>
    <row r="1069" spans="1:21" s="199" customFormat="1" x14ac:dyDescent="0.25">
      <c r="A1069" s="192" t="s">
        <v>7582</v>
      </c>
      <c r="B1069" s="203" t="s">
        <v>6619</v>
      </c>
      <c r="C1069" s="188" t="s">
        <v>161</v>
      </c>
      <c r="D1069" s="199" t="s">
        <v>8732</v>
      </c>
      <c r="E1069" s="188" t="s">
        <v>5437</v>
      </c>
      <c r="F1069" s="189" t="s">
        <v>6070</v>
      </c>
      <c r="G1069" s="199" t="s">
        <v>8290</v>
      </c>
      <c r="H1069" s="199" t="s">
        <v>8638</v>
      </c>
      <c r="I1069" s="199">
        <v>1</v>
      </c>
      <c r="J1069" s="199">
        <v>1</v>
      </c>
      <c r="K1069" s="199">
        <v>1</v>
      </c>
      <c r="L1069" s="199">
        <v>50</v>
      </c>
      <c r="M1069" s="202">
        <f>TB_Parts_Lists[[#This Row],[Quantity Initial]]+ SUMIF(TB_Transactions[Part number],TB_Parts_Lists[[#This Row],[Part Number]],TB_Transactions[Quantity])</f>
        <v>50</v>
      </c>
      <c r="N1069" s="200" t="s">
        <v>4593</v>
      </c>
      <c r="O1069" s="234">
        <v>5</v>
      </c>
      <c r="P1069" s="199">
        <f>TB_Parts_Lists[[#This Row],[Quantity Initial]]*TB_Parts_Lists[[#This Row],[Unit Price AED]]</f>
        <v>250</v>
      </c>
      <c r="Q1069" s="199">
        <f>TB_Parts_Lists[[#This Row],[Quantity Total]]*TB_Parts_Lists[[#This Row],[Unit Price AED]]</f>
        <v>250</v>
      </c>
      <c r="S1069" s="199" t="s">
        <v>118</v>
      </c>
      <c r="T1069" s="199" t="s">
        <v>874</v>
      </c>
      <c r="U1069" s="199" t="s">
        <v>873</v>
      </c>
    </row>
    <row r="1070" spans="1:21" s="199" customFormat="1" x14ac:dyDescent="0.25">
      <c r="A1070" s="192" t="s">
        <v>7583</v>
      </c>
      <c r="B1070" s="203" t="s">
        <v>6619</v>
      </c>
      <c r="C1070" s="188" t="s">
        <v>161</v>
      </c>
      <c r="D1070" s="199" t="s">
        <v>8732</v>
      </c>
      <c r="E1070" s="188" t="s">
        <v>5438</v>
      </c>
      <c r="F1070" s="189" t="s">
        <v>6071</v>
      </c>
      <c r="G1070" s="199" t="s">
        <v>8290</v>
      </c>
      <c r="H1070" s="199" t="s">
        <v>8638</v>
      </c>
      <c r="I1070" s="199">
        <v>1</v>
      </c>
      <c r="J1070" s="199">
        <v>1</v>
      </c>
      <c r="K1070" s="199">
        <v>1</v>
      </c>
      <c r="L1070" s="199">
        <v>50</v>
      </c>
      <c r="M1070" s="202">
        <f>TB_Parts_Lists[[#This Row],[Quantity Initial]]+ SUMIF(TB_Transactions[Part number],TB_Parts_Lists[[#This Row],[Part Number]],TB_Transactions[Quantity])</f>
        <v>50</v>
      </c>
      <c r="N1070" s="200" t="s">
        <v>4593</v>
      </c>
      <c r="O1070" s="234">
        <v>5</v>
      </c>
      <c r="P1070" s="199">
        <f>TB_Parts_Lists[[#This Row],[Quantity Initial]]*TB_Parts_Lists[[#This Row],[Unit Price AED]]</f>
        <v>250</v>
      </c>
      <c r="Q1070" s="199">
        <f>TB_Parts_Lists[[#This Row],[Quantity Total]]*TB_Parts_Lists[[#This Row],[Unit Price AED]]</f>
        <v>250</v>
      </c>
      <c r="S1070" s="199" t="s">
        <v>118</v>
      </c>
      <c r="T1070" s="199" t="s">
        <v>874</v>
      </c>
      <c r="U1070" s="199" t="s">
        <v>873</v>
      </c>
    </row>
    <row r="1071" spans="1:21" s="199" customFormat="1" x14ac:dyDescent="0.25">
      <c r="A1071" s="192" t="s">
        <v>7584</v>
      </c>
      <c r="B1071" s="203" t="s">
        <v>6619</v>
      </c>
      <c r="C1071" s="188" t="s">
        <v>161</v>
      </c>
      <c r="D1071" s="199" t="s">
        <v>8732</v>
      </c>
      <c r="E1071" s="188" t="s">
        <v>5439</v>
      </c>
      <c r="F1071" s="189" t="s">
        <v>6072</v>
      </c>
      <c r="G1071" s="199" t="s">
        <v>8290</v>
      </c>
      <c r="H1071" s="199" t="s">
        <v>8638</v>
      </c>
      <c r="I1071" s="199">
        <v>1</v>
      </c>
      <c r="J1071" s="199">
        <v>1</v>
      </c>
      <c r="K1071" s="199">
        <v>1</v>
      </c>
      <c r="L1071" s="199">
        <v>50</v>
      </c>
      <c r="M1071" s="202">
        <f>TB_Parts_Lists[[#This Row],[Quantity Initial]]+ SUMIF(TB_Transactions[Part number],TB_Parts_Lists[[#This Row],[Part Number]],TB_Transactions[Quantity])</f>
        <v>50</v>
      </c>
      <c r="N1071" s="200" t="s">
        <v>4593</v>
      </c>
      <c r="O1071" s="234">
        <v>5</v>
      </c>
      <c r="P1071" s="199">
        <f>TB_Parts_Lists[[#This Row],[Quantity Initial]]*TB_Parts_Lists[[#This Row],[Unit Price AED]]</f>
        <v>250</v>
      </c>
      <c r="Q1071" s="199">
        <f>TB_Parts_Lists[[#This Row],[Quantity Total]]*TB_Parts_Lists[[#This Row],[Unit Price AED]]</f>
        <v>250</v>
      </c>
      <c r="S1071" s="199" t="s">
        <v>118</v>
      </c>
      <c r="T1071" s="199" t="s">
        <v>874</v>
      </c>
      <c r="U1071" s="199" t="s">
        <v>873</v>
      </c>
    </row>
    <row r="1072" spans="1:21" s="199" customFormat="1" x14ac:dyDescent="0.25">
      <c r="A1072" s="192" t="s">
        <v>7585</v>
      </c>
      <c r="B1072" s="203" t="s">
        <v>6619</v>
      </c>
      <c r="C1072" s="188" t="s">
        <v>161</v>
      </c>
      <c r="D1072" s="199" t="s">
        <v>8732</v>
      </c>
      <c r="E1072" s="188" t="s">
        <v>5440</v>
      </c>
      <c r="F1072" s="189" t="s">
        <v>6073</v>
      </c>
      <c r="G1072" s="199" t="s">
        <v>8290</v>
      </c>
      <c r="H1072" s="199" t="s">
        <v>8638</v>
      </c>
      <c r="I1072" s="199">
        <v>1</v>
      </c>
      <c r="J1072" s="199">
        <v>1</v>
      </c>
      <c r="K1072" s="199">
        <v>1</v>
      </c>
      <c r="L1072" s="199">
        <v>50</v>
      </c>
      <c r="M1072" s="202">
        <f>TB_Parts_Lists[[#This Row],[Quantity Initial]]+ SUMIF(TB_Transactions[Part number],TB_Parts_Lists[[#This Row],[Part Number]],TB_Transactions[Quantity])</f>
        <v>50</v>
      </c>
      <c r="N1072" s="200" t="s">
        <v>4593</v>
      </c>
      <c r="O1072" s="234">
        <v>5</v>
      </c>
      <c r="P1072" s="199">
        <f>TB_Parts_Lists[[#This Row],[Quantity Initial]]*TB_Parts_Lists[[#This Row],[Unit Price AED]]</f>
        <v>250</v>
      </c>
      <c r="Q1072" s="199">
        <f>TB_Parts_Lists[[#This Row],[Quantity Total]]*TB_Parts_Lists[[#This Row],[Unit Price AED]]</f>
        <v>250</v>
      </c>
      <c r="S1072" s="199" t="s">
        <v>118</v>
      </c>
      <c r="T1072" s="199" t="s">
        <v>874</v>
      </c>
      <c r="U1072" s="199" t="s">
        <v>873</v>
      </c>
    </row>
    <row r="1073" spans="1:21" s="199" customFormat="1" x14ac:dyDescent="0.25">
      <c r="A1073" s="192" t="s">
        <v>7586</v>
      </c>
      <c r="B1073" s="203" t="s">
        <v>6619</v>
      </c>
      <c r="C1073" s="188" t="s">
        <v>161</v>
      </c>
      <c r="D1073" s="199" t="s">
        <v>8732</v>
      </c>
      <c r="E1073" s="188" t="s">
        <v>5441</v>
      </c>
      <c r="F1073" s="189" t="s">
        <v>6074</v>
      </c>
      <c r="G1073" s="199" t="s">
        <v>8290</v>
      </c>
      <c r="H1073" s="199" t="s">
        <v>8638</v>
      </c>
      <c r="I1073" s="199">
        <v>1</v>
      </c>
      <c r="J1073" s="199">
        <v>1</v>
      </c>
      <c r="K1073" s="199">
        <v>1</v>
      </c>
      <c r="L1073" s="199">
        <v>50</v>
      </c>
      <c r="M1073" s="202">
        <f>TB_Parts_Lists[[#This Row],[Quantity Initial]]+ SUMIF(TB_Transactions[Part number],TB_Parts_Lists[[#This Row],[Part Number]],TB_Transactions[Quantity])</f>
        <v>50</v>
      </c>
      <c r="N1073" s="200" t="s">
        <v>4593</v>
      </c>
      <c r="O1073" s="234">
        <v>5</v>
      </c>
      <c r="P1073" s="199">
        <f>TB_Parts_Lists[[#This Row],[Quantity Initial]]*TB_Parts_Lists[[#This Row],[Unit Price AED]]</f>
        <v>250</v>
      </c>
      <c r="Q1073" s="199">
        <f>TB_Parts_Lists[[#This Row],[Quantity Total]]*TB_Parts_Lists[[#This Row],[Unit Price AED]]</f>
        <v>250</v>
      </c>
      <c r="S1073" s="199" t="s">
        <v>118</v>
      </c>
      <c r="T1073" s="199" t="s">
        <v>874</v>
      </c>
      <c r="U1073" s="199" t="s">
        <v>873</v>
      </c>
    </row>
    <row r="1074" spans="1:21" s="199" customFormat="1" x14ac:dyDescent="0.25">
      <c r="A1074" s="192" t="s">
        <v>7587</v>
      </c>
      <c r="B1074" s="203" t="s">
        <v>6619</v>
      </c>
      <c r="C1074" s="188" t="s">
        <v>161</v>
      </c>
      <c r="D1074" s="199" t="s">
        <v>8732</v>
      </c>
      <c r="E1074" s="188" t="s">
        <v>5442</v>
      </c>
      <c r="F1074" s="189" t="s">
        <v>6075</v>
      </c>
      <c r="G1074" s="199" t="s">
        <v>8290</v>
      </c>
      <c r="H1074" s="199" t="s">
        <v>123</v>
      </c>
      <c r="I1074" s="199">
        <v>1</v>
      </c>
      <c r="J1074" s="199">
        <v>1</v>
      </c>
      <c r="K1074" s="199">
        <v>1</v>
      </c>
      <c r="L1074" s="199">
        <v>50</v>
      </c>
      <c r="M1074" s="202">
        <f>TB_Parts_Lists[[#This Row],[Quantity Initial]]+ SUMIF(TB_Transactions[Part number],TB_Parts_Lists[[#This Row],[Part Number]],TB_Transactions[Quantity])</f>
        <v>50</v>
      </c>
      <c r="N1074" s="200" t="s">
        <v>4593</v>
      </c>
      <c r="O1074" s="234">
        <v>5</v>
      </c>
      <c r="P1074" s="199">
        <f>TB_Parts_Lists[[#This Row],[Quantity Initial]]*TB_Parts_Lists[[#This Row],[Unit Price AED]]</f>
        <v>250</v>
      </c>
      <c r="Q1074" s="199">
        <f>TB_Parts_Lists[[#This Row],[Quantity Total]]*TB_Parts_Lists[[#This Row],[Unit Price AED]]</f>
        <v>250</v>
      </c>
      <c r="S1074" s="199" t="s">
        <v>118</v>
      </c>
      <c r="T1074" s="199" t="s">
        <v>874</v>
      </c>
      <c r="U1074" s="199" t="s">
        <v>873</v>
      </c>
    </row>
    <row r="1075" spans="1:21" s="199" customFormat="1" x14ac:dyDescent="0.25">
      <c r="A1075" s="192" t="s">
        <v>7588</v>
      </c>
      <c r="B1075" s="203" t="s">
        <v>6619</v>
      </c>
      <c r="C1075" s="188" t="s">
        <v>161</v>
      </c>
      <c r="D1075" s="199" t="s">
        <v>8732</v>
      </c>
      <c r="E1075" s="188" t="s">
        <v>5443</v>
      </c>
      <c r="F1075" s="189" t="s">
        <v>6076</v>
      </c>
      <c r="G1075" s="199" t="s">
        <v>8290</v>
      </c>
      <c r="H1075" s="199" t="s">
        <v>8638</v>
      </c>
      <c r="I1075" s="199">
        <v>1</v>
      </c>
      <c r="J1075" s="199">
        <v>1</v>
      </c>
      <c r="K1075" s="199">
        <v>1</v>
      </c>
      <c r="L1075" s="199">
        <v>50</v>
      </c>
      <c r="M1075" s="202">
        <f>TB_Parts_Lists[[#This Row],[Quantity Initial]]+ SUMIF(TB_Transactions[Part number],TB_Parts_Lists[[#This Row],[Part Number]],TB_Transactions[Quantity])</f>
        <v>50</v>
      </c>
      <c r="N1075" s="200" t="s">
        <v>4593</v>
      </c>
      <c r="O1075" s="234">
        <v>5</v>
      </c>
      <c r="P1075" s="199">
        <f>TB_Parts_Lists[[#This Row],[Quantity Initial]]*TB_Parts_Lists[[#This Row],[Unit Price AED]]</f>
        <v>250</v>
      </c>
      <c r="Q1075" s="199">
        <f>TB_Parts_Lists[[#This Row],[Quantity Total]]*TB_Parts_Lists[[#This Row],[Unit Price AED]]</f>
        <v>250</v>
      </c>
      <c r="S1075" s="199" t="s">
        <v>118</v>
      </c>
      <c r="T1075" s="199" t="s">
        <v>874</v>
      </c>
      <c r="U1075" s="199" t="s">
        <v>873</v>
      </c>
    </row>
    <row r="1076" spans="1:21" s="199" customFormat="1" x14ac:dyDescent="0.25">
      <c r="A1076" s="192" t="s">
        <v>7589</v>
      </c>
      <c r="B1076" s="203" t="s">
        <v>6619</v>
      </c>
      <c r="C1076" s="188" t="s">
        <v>161</v>
      </c>
      <c r="D1076" s="199" t="s">
        <v>8732</v>
      </c>
      <c r="E1076" s="188" t="s">
        <v>5444</v>
      </c>
      <c r="F1076" s="189" t="s">
        <v>6077</v>
      </c>
      <c r="G1076" s="199" t="s">
        <v>8290</v>
      </c>
      <c r="H1076" s="199" t="s">
        <v>8638</v>
      </c>
      <c r="I1076" s="199">
        <v>1</v>
      </c>
      <c r="J1076" s="199">
        <v>1</v>
      </c>
      <c r="K1076" s="199">
        <v>1</v>
      </c>
      <c r="L1076" s="199">
        <v>50</v>
      </c>
      <c r="M1076" s="202">
        <f>TB_Parts_Lists[[#This Row],[Quantity Initial]]+ SUMIF(TB_Transactions[Part number],TB_Parts_Lists[[#This Row],[Part Number]],TB_Transactions[Quantity])</f>
        <v>50</v>
      </c>
      <c r="N1076" s="200" t="s">
        <v>4593</v>
      </c>
      <c r="O1076" s="234">
        <v>5</v>
      </c>
      <c r="P1076" s="199">
        <f>TB_Parts_Lists[[#This Row],[Quantity Initial]]*TB_Parts_Lists[[#This Row],[Unit Price AED]]</f>
        <v>250</v>
      </c>
      <c r="Q1076" s="199">
        <f>TB_Parts_Lists[[#This Row],[Quantity Total]]*TB_Parts_Lists[[#This Row],[Unit Price AED]]</f>
        <v>250</v>
      </c>
      <c r="S1076" s="199" t="s">
        <v>118</v>
      </c>
      <c r="T1076" s="199" t="s">
        <v>874</v>
      </c>
      <c r="U1076" s="199" t="s">
        <v>873</v>
      </c>
    </row>
    <row r="1077" spans="1:21" s="199" customFormat="1" x14ac:dyDescent="0.25">
      <c r="A1077" s="192" t="s">
        <v>7590</v>
      </c>
      <c r="B1077" s="203" t="s">
        <v>6619</v>
      </c>
      <c r="C1077" s="188" t="s">
        <v>161</v>
      </c>
      <c r="D1077" s="199" t="s">
        <v>8732</v>
      </c>
      <c r="E1077" s="188" t="s">
        <v>5445</v>
      </c>
      <c r="F1077" s="189" t="s">
        <v>6078</v>
      </c>
      <c r="G1077" s="199" t="s">
        <v>8290</v>
      </c>
      <c r="H1077" s="199" t="s">
        <v>8638</v>
      </c>
      <c r="I1077" s="199">
        <v>1</v>
      </c>
      <c r="J1077" s="199">
        <v>1</v>
      </c>
      <c r="K1077" s="199">
        <v>1</v>
      </c>
      <c r="L1077" s="199">
        <v>50</v>
      </c>
      <c r="M1077" s="202">
        <f>TB_Parts_Lists[[#This Row],[Quantity Initial]]+ SUMIF(TB_Transactions[Part number],TB_Parts_Lists[[#This Row],[Part Number]],TB_Transactions[Quantity])</f>
        <v>50</v>
      </c>
      <c r="N1077" s="200" t="s">
        <v>4593</v>
      </c>
      <c r="O1077" s="234">
        <v>5</v>
      </c>
      <c r="P1077" s="199">
        <f>TB_Parts_Lists[[#This Row],[Quantity Initial]]*TB_Parts_Lists[[#This Row],[Unit Price AED]]</f>
        <v>250</v>
      </c>
      <c r="Q1077" s="199">
        <f>TB_Parts_Lists[[#This Row],[Quantity Total]]*TB_Parts_Lists[[#This Row],[Unit Price AED]]</f>
        <v>250</v>
      </c>
      <c r="S1077" s="199" t="s">
        <v>118</v>
      </c>
      <c r="T1077" s="199" t="s">
        <v>874</v>
      </c>
      <c r="U1077" s="199" t="s">
        <v>873</v>
      </c>
    </row>
    <row r="1078" spans="1:21" s="199" customFormat="1" x14ac:dyDescent="0.25">
      <c r="A1078" s="192" t="s">
        <v>7591</v>
      </c>
      <c r="B1078" s="203" t="s">
        <v>6619</v>
      </c>
      <c r="C1078" s="188" t="s">
        <v>161</v>
      </c>
      <c r="D1078" s="199" t="s">
        <v>8732</v>
      </c>
      <c r="E1078" s="188" t="s">
        <v>5446</v>
      </c>
      <c r="F1078" s="189" t="s">
        <v>6079</v>
      </c>
      <c r="G1078" s="199" t="s">
        <v>8290</v>
      </c>
      <c r="H1078" s="199" t="s">
        <v>8638</v>
      </c>
      <c r="I1078" s="199">
        <v>1</v>
      </c>
      <c r="J1078" s="199">
        <v>1</v>
      </c>
      <c r="K1078" s="199">
        <v>1</v>
      </c>
      <c r="L1078" s="199">
        <v>50</v>
      </c>
      <c r="M1078" s="202">
        <f>TB_Parts_Lists[[#This Row],[Quantity Initial]]+ SUMIF(TB_Transactions[Part number],TB_Parts_Lists[[#This Row],[Part Number]],TB_Transactions[Quantity])</f>
        <v>50</v>
      </c>
      <c r="N1078" s="200" t="s">
        <v>4593</v>
      </c>
      <c r="O1078" s="234">
        <v>5</v>
      </c>
      <c r="P1078" s="199">
        <f>TB_Parts_Lists[[#This Row],[Quantity Initial]]*TB_Parts_Lists[[#This Row],[Unit Price AED]]</f>
        <v>250</v>
      </c>
      <c r="Q1078" s="199">
        <f>TB_Parts_Lists[[#This Row],[Quantity Total]]*TB_Parts_Lists[[#This Row],[Unit Price AED]]</f>
        <v>250</v>
      </c>
      <c r="S1078" s="199" t="s">
        <v>118</v>
      </c>
      <c r="T1078" s="199" t="s">
        <v>874</v>
      </c>
      <c r="U1078" s="199" t="s">
        <v>873</v>
      </c>
    </row>
    <row r="1079" spans="1:21" s="199" customFormat="1" x14ac:dyDescent="0.25">
      <c r="A1079" s="192" t="s">
        <v>7592</v>
      </c>
      <c r="B1079" s="203" t="s">
        <v>6619</v>
      </c>
      <c r="C1079" s="188" t="s">
        <v>161</v>
      </c>
      <c r="D1079" s="199" t="s">
        <v>8732</v>
      </c>
      <c r="E1079" s="188" t="s">
        <v>5447</v>
      </c>
      <c r="F1079" s="189" t="s">
        <v>6080</v>
      </c>
      <c r="G1079" s="199" t="s">
        <v>8290</v>
      </c>
      <c r="H1079" s="199" t="s">
        <v>8638</v>
      </c>
      <c r="I1079" s="199">
        <v>1</v>
      </c>
      <c r="J1079" s="199">
        <v>1</v>
      </c>
      <c r="K1079" s="199">
        <v>1</v>
      </c>
      <c r="L1079" s="199">
        <v>50</v>
      </c>
      <c r="M1079" s="202">
        <f>TB_Parts_Lists[[#This Row],[Quantity Initial]]+ SUMIF(TB_Transactions[Part number],TB_Parts_Lists[[#This Row],[Part Number]],TB_Transactions[Quantity])</f>
        <v>50</v>
      </c>
      <c r="N1079" s="200" t="s">
        <v>4593</v>
      </c>
      <c r="O1079" s="234">
        <v>5</v>
      </c>
      <c r="P1079" s="199">
        <f>TB_Parts_Lists[[#This Row],[Quantity Initial]]*TB_Parts_Lists[[#This Row],[Unit Price AED]]</f>
        <v>250</v>
      </c>
      <c r="Q1079" s="199">
        <f>TB_Parts_Lists[[#This Row],[Quantity Total]]*TB_Parts_Lists[[#This Row],[Unit Price AED]]</f>
        <v>250</v>
      </c>
      <c r="S1079" s="199" t="s">
        <v>118</v>
      </c>
      <c r="T1079" s="199" t="s">
        <v>874</v>
      </c>
      <c r="U1079" s="199" t="s">
        <v>873</v>
      </c>
    </row>
    <row r="1080" spans="1:21" s="199" customFormat="1" x14ac:dyDescent="0.25">
      <c r="A1080" s="192" t="s">
        <v>7593</v>
      </c>
      <c r="B1080" s="203" t="s">
        <v>6619</v>
      </c>
      <c r="C1080" s="188" t="s">
        <v>161</v>
      </c>
      <c r="D1080" s="199" t="s">
        <v>8732</v>
      </c>
      <c r="E1080" s="188" t="s">
        <v>5448</v>
      </c>
      <c r="F1080" s="189" t="s">
        <v>6081</v>
      </c>
      <c r="G1080" s="199" t="s">
        <v>8290</v>
      </c>
      <c r="H1080" s="199" t="s">
        <v>8638</v>
      </c>
      <c r="I1080" s="199">
        <v>1</v>
      </c>
      <c r="J1080" s="199">
        <v>1</v>
      </c>
      <c r="K1080" s="199">
        <v>1</v>
      </c>
      <c r="L1080" s="199">
        <v>50</v>
      </c>
      <c r="M1080" s="202">
        <f>TB_Parts_Lists[[#This Row],[Quantity Initial]]+ SUMIF(TB_Transactions[Part number],TB_Parts_Lists[[#This Row],[Part Number]],TB_Transactions[Quantity])</f>
        <v>50</v>
      </c>
      <c r="N1080" s="200" t="s">
        <v>4593</v>
      </c>
      <c r="O1080" s="234">
        <v>5</v>
      </c>
      <c r="P1080" s="199">
        <f>TB_Parts_Lists[[#This Row],[Quantity Initial]]*TB_Parts_Lists[[#This Row],[Unit Price AED]]</f>
        <v>250</v>
      </c>
      <c r="Q1080" s="199">
        <f>TB_Parts_Lists[[#This Row],[Quantity Total]]*TB_Parts_Lists[[#This Row],[Unit Price AED]]</f>
        <v>250</v>
      </c>
      <c r="S1080" s="199" t="s">
        <v>118</v>
      </c>
      <c r="T1080" s="199" t="s">
        <v>874</v>
      </c>
      <c r="U1080" s="199" t="s">
        <v>873</v>
      </c>
    </row>
    <row r="1081" spans="1:21" s="199" customFormat="1" x14ac:dyDescent="0.25">
      <c r="A1081" s="192" t="s">
        <v>7594</v>
      </c>
      <c r="B1081" s="203" t="s">
        <v>6619</v>
      </c>
      <c r="C1081" s="188" t="s">
        <v>161</v>
      </c>
      <c r="D1081" s="199" t="s">
        <v>8732</v>
      </c>
      <c r="E1081" s="188" t="s">
        <v>5449</v>
      </c>
      <c r="F1081" s="189" t="s">
        <v>6082</v>
      </c>
      <c r="G1081" s="199" t="s">
        <v>8290</v>
      </c>
      <c r="H1081" s="199" t="s">
        <v>8638</v>
      </c>
      <c r="I1081" s="199">
        <v>1</v>
      </c>
      <c r="J1081" s="199">
        <v>1</v>
      </c>
      <c r="K1081" s="199">
        <v>1</v>
      </c>
      <c r="L1081" s="199">
        <v>50</v>
      </c>
      <c r="M1081" s="202">
        <f>TB_Parts_Lists[[#This Row],[Quantity Initial]]+ SUMIF(TB_Transactions[Part number],TB_Parts_Lists[[#This Row],[Part Number]],TB_Transactions[Quantity])</f>
        <v>50</v>
      </c>
      <c r="N1081" s="200" t="s">
        <v>4593</v>
      </c>
      <c r="O1081" s="234">
        <v>5</v>
      </c>
      <c r="P1081" s="199">
        <f>TB_Parts_Lists[[#This Row],[Quantity Initial]]*TB_Parts_Lists[[#This Row],[Unit Price AED]]</f>
        <v>250</v>
      </c>
      <c r="Q1081" s="199">
        <f>TB_Parts_Lists[[#This Row],[Quantity Total]]*TB_Parts_Lists[[#This Row],[Unit Price AED]]</f>
        <v>250</v>
      </c>
      <c r="S1081" s="199" t="s">
        <v>118</v>
      </c>
      <c r="T1081" s="199" t="s">
        <v>874</v>
      </c>
      <c r="U1081" s="199" t="s">
        <v>873</v>
      </c>
    </row>
    <row r="1082" spans="1:21" s="199" customFormat="1" x14ac:dyDescent="0.25">
      <c r="A1082" s="192" t="s">
        <v>7595</v>
      </c>
      <c r="B1082" s="203" t="s">
        <v>6619</v>
      </c>
      <c r="C1082" s="188" t="s">
        <v>161</v>
      </c>
      <c r="D1082" s="199" t="s">
        <v>8732</v>
      </c>
      <c r="E1082" s="188" t="s">
        <v>5450</v>
      </c>
      <c r="F1082" s="189" t="s">
        <v>6083</v>
      </c>
      <c r="G1082" s="199" t="s">
        <v>8290</v>
      </c>
      <c r="H1082" s="199" t="s">
        <v>8638</v>
      </c>
      <c r="I1082" s="199">
        <v>1</v>
      </c>
      <c r="J1082" s="199">
        <v>1</v>
      </c>
      <c r="K1082" s="199">
        <v>1</v>
      </c>
      <c r="L1082" s="199">
        <v>50</v>
      </c>
      <c r="M1082" s="202">
        <f>TB_Parts_Lists[[#This Row],[Quantity Initial]]+ SUMIF(TB_Transactions[Part number],TB_Parts_Lists[[#This Row],[Part Number]],TB_Transactions[Quantity])</f>
        <v>50</v>
      </c>
      <c r="N1082" s="200" t="s">
        <v>4593</v>
      </c>
      <c r="O1082" s="234">
        <v>5</v>
      </c>
      <c r="P1082" s="199">
        <f>TB_Parts_Lists[[#This Row],[Quantity Initial]]*TB_Parts_Lists[[#This Row],[Unit Price AED]]</f>
        <v>250</v>
      </c>
      <c r="Q1082" s="199">
        <f>TB_Parts_Lists[[#This Row],[Quantity Total]]*TB_Parts_Lists[[#This Row],[Unit Price AED]]</f>
        <v>250</v>
      </c>
      <c r="S1082" s="199" t="s">
        <v>118</v>
      </c>
      <c r="T1082" s="199" t="s">
        <v>874</v>
      </c>
      <c r="U1082" s="199" t="s">
        <v>873</v>
      </c>
    </row>
    <row r="1083" spans="1:21" s="199" customFormat="1" x14ac:dyDescent="0.25">
      <c r="A1083" s="192" t="s">
        <v>7596</v>
      </c>
      <c r="B1083" s="203" t="s">
        <v>6619</v>
      </c>
      <c r="C1083" s="188" t="s">
        <v>161</v>
      </c>
      <c r="D1083" s="199" t="s">
        <v>8732</v>
      </c>
      <c r="E1083" s="188" t="s">
        <v>5451</v>
      </c>
      <c r="F1083" s="189" t="s">
        <v>6084</v>
      </c>
      <c r="G1083" s="199" t="s">
        <v>8290</v>
      </c>
      <c r="H1083" s="199" t="s">
        <v>8638</v>
      </c>
      <c r="I1083" s="199">
        <v>1</v>
      </c>
      <c r="J1083" s="199">
        <v>1</v>
      </c>
      <c r="K1083" s="199">
        <v>1</v>
      </c>
      <c r="L1083" s="199">
        <v>50</v>
      </c>
      <c r="M1083" s="202">
        <f>TB_Parts_Lists[[#This Row],[Quantity Initial]]+ SUMIF(TB_Transactions[Part number],TB_Parts_Lists[[#This Row],[Part Number]],TB_Transactions[Quantity])</f>
        <v>50</v>
      </c>
      <c r="N1083" s="200" t="s">
        <v>4593</v>
      </c>
      <c r="O1083" s="234">
        <v>5</v>
      </c>
      <c r="P1083" s="199">
        <f>TB_Parts_Lists[[#This Row],[Quantity Initial]]*TB_Parts_Lists[[#This Row],[Unit Price AED]]</f>
        <v>250</v>
      </c>
      <c r="Q1083" s="199">
        <f>TB_Parts_Lists[[#This Row],[Quantity Total]]*TB_Parts_Lists[[#This Row],[Unit Price AED]]</f>
        <v>250</v>
      </c>
      <c r="S1083" s="199" t="s">
        <v>118</v>
      </c>
      <c r="T1083" s="199" t="s">
        <v>874</v>
      </c>
      <c r="U1083" s="199" t="s">
        <v>873</v>
      </c>
    </row>
    <row r="1084" spans="1:21" s="199" customFormat="1" x14ac:dyDescent="0.25">
      <c r="A1084" s="192" t="s">
        <v>7597</v>
      </c>
      <c r="B1084" s="203" t="s">
        <v>6619</v>
      </c>
      <c r="C1084" s="188" t="s">
        <v>161</v>
      </c>
      <c r="D1084" s="199" t="s">
        <v>8732</v>
      </c>
      <c r="E1084" s="188" t="s">
        <v>5452</v>
      </c>
      <c r="F1084" s="189" t="s">
        <v>6085</v>
      </c>
      <c r="G1084" s="199" t="s">
        <v>8290</v>
      </c>
      <c r="H1084" s="199" t="s">
        <v>8638</v>
      </c>
      <c r="I1084" s="199">
        <v>1</v>
      </c>
      <c r="J1084" s="199">
        <v>1</v>
      </c>
      <c r="K1084" s="199">
        <v>1</v>
      </c>
      <c r="L1084" s="199">
        <v>50</v>
      </c>
      <c r="M1084" s="202">
        <f>TB_Parts_Lists[[#This Row],[Quantity Initial]]+ SUMIF(TB_Transactions[Part number],TB_Parts_Lists[[#This Row],[Part Number]],TB_Transactions[Quantity])</f>
        <v>50</v>
      </c>
      <c r="N1084" s="200" t="s">
        <v>4593</v>
      </c>
      <c r="O1084" s="234">
        <v>5</v>
      </c>
      <c r="P1084" s="199">
        <f>TB_Parts_Lists[[#This Row],[Quantity Initial]]*TB_Parts_Lists[[#This Row],[Unit Price AED]]</f>
        <v>250</v>
      </c>
      <c r="Q1084" s="199">
        <f>TB_Parts_Lists[[#This Row],[Quantity Total]]*TB_Parts_Lists[[#This Row],[Unit Price AED]]</f>
        <v>250</v>
      </c>
      <c r="S1084" s="199" t="s">
        <v>118</v>
      </c>
      <c r="T1084" s="199" t="s">
        <v>874</v>
      </c>
      <c r="U1084" s="199" t="s">
        <v>873</v>
      </c>
    </row>
    <row r="1085" spans="1:21" s="199" customFormat="1" x14ac:dyDescent="0.25">
      <c r="A1085" s="192" t="s">
        <v>7598</v>
      </c>
      <c r="B1085" s="203" t="s">
        <v>6619</v>
      </c>
      <c r="C1085" s="188" t="s">
        <v>161</v>
      </c>
      <c r="D1085" s="199" t="s">
        <v>8732</v>
      </c>
      <c r="E1085" s="188" t="s">
        <v>5453</v>
      </c>
      <c r="F1085" s="189" t="s">
        <v>6086</v>
      </c>
      <c r="G1085" s="199" t="s">
        <v>8290</v>
      </c>
      <c r="H1085" s="199" t="s">
        <v>8638</v>
      </c>
      <c r="I1085" s="199">
        <v>1</v>
      </c>
      <c r="J1085" s="199">
        <v>1</v>
      </c>
      <c r="K1085" s="199">
        <v>1</v>
      </c>
      <c r="L1085" s="199">
        <v>50</v>
      </c>
      <c r="M1085" s="202">
        <f>TB_Parts_Lists[[#This Row],[Quantity Initial]]+ SUMIF(TB_Transactions[Part number],TB_Parts_Lists[[#This Row],[Part Number]],TB_Transactions[Quantity])</f>
        <v>50</v>
      </c>
      <c r="N1085" s="200" t="s">
        <v>4593</v>
      </c>
      <c r="O1085" s="234">
        <v>5</v>
      </c>
      <c r="P1085" s="199">
        <f>TB_Parts_Lists[[#This Row],[Quantity Initial]]*TB_Parts_Lists[[#This Row],[Unit Price AED]]</f>
        <v>250</v>
      </c>
      <c r="Q1085" s="199">
        <f>TB_Parts_Lists[[#This Row],[Quantity Total]]*TB_Parts_Lists[[#This Row],[Unit Price AED]]</f>
        <v>250</v>
      </c>
      <c r="S1085" s="199" t="s">
        <v>118</v>
      </c>
      <c r="T1085" s="199" t="s">
        <v>874</v>
      </c>
      <c r="U1085" s="199" t="s">
        <v>873</v>
      </c>
    </row>
    <row r="1086" spans="1:21" s="199" customFormat="1" x14ac:dyDescent="0.25">
      <c r="A1086" s="192" t="s">
        <v>7599</v>
      </c>
      <c r="B1086" s="203" t="s">
        <v>6619</v>
      </c>
      <c r="C1086" s="188" t="s">
        <v>161</v>
      </c>
      <c r="D1086" s="199" t="s">
        <v>8732</v>
      </c>
      <c r="E1086" s="188" t="s">
        <v>5454</v>
      </c>
      <c r="F1086" s="189" t="s">
        <v>6087</v>
      </c>
      <c r="G1086" s="199" t="s">
        <v>8290</v>
      </c>
      <c r="H1086" s="199" t="s">
        <v>8638</v>
      </c>
      <c r="I1086" s="199">
        <v>1</v>
      </c>
      <c r="J1086" s="199">
        <v>1</v>
      </c>
      <c r="K1086" s="199">
        <v>1</v>
      </c>
      <c r="L1086" s="199">
        <v>50</v>
      </c>
      <c r="M1086" s="202">
        <f>TB_Parts_Lists[[#This Row],[Quantity Initial]]+ SUMIF(TB_Transactions[Part number],TB_Parts_Lists[[#This Row],[Part Number]],TB_Transactions[Quantity])</f>
        <v>50</v>
      </c>
      <c r="N1086" s="200" t="s">
        <v>4593</v>
      </c>
      <c r="O1086" s="234">
        <v>5</v>
      </c>
      <c r="P1086" s="199">
        <f>TB_Parts_Lists[[#This Row],[Quantity Initial]]*TB_Parts_Lists[[#This Row],[Unit Price AED]]</f>
        <v>250</v>
      </c>
      <c r="Q1086" s="199">
        <f>TB_Parts_Lists[[#This Row],[Quantity Total]]*TB_Parts_Lists[[#This Row],[Unit Price AED]]</f>
        <v>250</v>
      </c>
      <c r="S1086" s="199">
        <v>0</v>
      </c>
      <c r="T1086" s="199" t="s">
        <v>874</v>
      </c>
      <c r="U1086" s="199" t="s">
        <v>873</v>
      </c>
    </row>
    <row r="1087" spans="1:21" s="199" customFormat="1" x14ac:dyDescent="0.25">
      <c r="A1087" s="192" t="s">
        <v>7600</v>
      </c>
      <c r="B1087" s="203" t="s">
        <v>6619</v>
      </c>
      <c r="C1087" s="188" t="s">
        <v>161</v>
      </c>
      <c r="D1087" s="199" t="s">
        <v>8732</v>
      </c>
      <c r="E1087" s="188" t="s">
        <v>5455</v>
      </c>
      <c r="F1087" s="189" t="s">
        <v>6088</v>
      </c>
      <c r="G1087" s="199" t="s">
        <v>8290</v>
      </c>
      <c r="H1087" s="199" t="s">
        <v>8638</v>
      </c>
      <c r="I1087" s="199">
        <v>1</v>
      </c>
      <c r="J1087" s="199">
        <v>1</v>
      </c>
      <c r="K1087" s="199">
        <v>1</v>
      </c>
      <c r="L1087" s="199">
        <v>50</v>
      </c>
      <c r="M1087" s="202">
        <f>TB_Parts_Lists[[#This Row],[Quantity Initial]]+ SUMIF(TB_Transactions[Part number],TB_Parts_Lists[[#This Row],[Part Number]],TB_Transactions[Quantity])</f>
        <v>50</v>
      </c>
      <c r="N1087" s="200" t="s">
        <v>4593</v>
      </c>
      <c r="O1087" s="234">
        <v>5</v>
      </c>
      <c r="P1087" s="199">
        <f>TB_Parts_Lists[[#This Row],[Quantity Initial]]*TB_Parts_Lists[[#This Row],[Unit Price AED]]</f>
        <v>250</v>
      </c>
      <c r="Q1087" s="199">
        <f>TB_Parts_Lists[[#This Row],[Quantity Total]]*TB_Parts_Lists[[#This Row],[Unit Price AED]]</f>
        <v>250</v>
      </c>
      <c r="S1087" s="199">
        <v>0</v>
      </c>
      <c r="T1087" s="199" t="s">
        <v>874</v>
      </c>
      <c r="U1087" s="199" t="s">
        <v>873</v>
      </c>
    </row>
    <row r="1088" spans="1:21" s="199" customFormat="1" x14ac:dyDescent="0.25">
      <c r="A1088" s="192" t="s">
        <v>7601</v>
      </c>
      <c r="B1088" s="203" t="s">
        <v>6619</v>
      </c>
      <c r="C1088" s="188" t="s">
        <v>161</v>
      </c>
      <c r="D1088" s="199" t="s">
        <v>8732</v>
      </c>
      <c r="E1088" s="188" t="s">
        <v>5456</v>
      </c>
      <c r="F1088" s="189" t="s">
        <v>6089</v>
      </c>
      <c r="G1088" s="199" t="s">
        <v>8290</v>
      </c>
      <c r="H1088" s="199" t="s">
        <v>8638</v>
      </c>
      <c r="I1088" s="199">
        <v>1</v>
      </c>
      <c r="J1088" s="199">
        <v>1</v>
      </c>
      <c r="K1088" s="199">
        <v>1</v>
      </c>
      <c r="L1088" s="199">
        <v>50</v>
      </c>
      <c r="M1088" s="202">
        <f>TB_Parts_Lists[[#This Row],[Quantity Initial]]+ SUMIF(TB_Transactions[Part number],TB_Parts_Lists[[#This Row],[Part Number]],TB_Transactions[Quantity])</f>
        <v>50</v>
      </c>
      <c r="N1088" s="200" t="s">
        <v>4593</v>
      </c>
      <c r="O1088" s="234">
        <v>5</v>
      </c>
      <c r="P1088" s="199">
        <f>TB_Parts_Lists[[#This Row],[Quantity Initial]]*TB_Parts_Lists[[#This Row],[Unit Price AED]]</f>
        <v>250</v>
      </c>
      <c r="Q1088" s="199">
        <f>TB_Parts_Lists[[#This Row],[Quantity Total]]*TB_Parts_Lists[[#This Row],[Unit Price AED]]</f>
        <v>250</v>
      </c>
      <c r="S1088" s="199">
        <v>0</v>
      </c>
      <c r="T1088" s="199" t="s">
        <v>874</v>
      </c>
      <c r="U1088" s="199" t="s">
        <v>873</v>
      </c>
    </row>
    <row r="1089" spans="1:21" s="199" customFormat="1" x14ac:dyDescent="0.25">
      <c r="A1089" s="192" t="s">
        <v>7602</v>
      </c>
      <c r="B1089" s="203" t="s">
        <v>6619</v>
      </c>
      <c r="C1089" s="188" t="s">
        <v>161</v>
      </c>
      <c r="D1089" s="199" t="s">
        <v>8732</v>
      </c>
      <c r="E1089" s="188" t="s">
        <v>4134</v>
      </c>
      <c r="F1089" s="189" t="s">
        <v>6090</v>
      </c>
      <c r="G1089" s="199" t="s">
        <v>8290</v>
      </c>
      <c r="H1089" s="199" t="s">
        <v>8638</v>
      </c>
      <c r="I1089" s="199">
        <v>1</v>
      </c>
      <c r="J1089" s="199">
        <v>1</v>
      </c>
      <c r="K1089" s="199">
        <v>1</v>
      </c>
      <c r="L1089" s="199">
        <v>50</v>
      </c>
      <c r="M1089" s="202">
        <f>TB_Parts_Lists[[#This Row],[Quantity Initial]]+ SUMIF(TB_Transactions[Part number],TB_Parts_Lists[[#This Row],[Part Number]],TB_Transactions[Quantity])</f>
        <v>50</v>
      </c>
      <c r="N1089" s="200" t="s">
        <v>4593</v>
      </c>
      <c r="O1089" s="234">
        <v>5</v>
      </c>
      <c r="P1089" s="199">
        <f>TB_Parts_Lists[[#This Row],[Quantity Initial]]*TB_Parts_Lists[[#This Row],[Unit Price AED]]</f>
        <v>250</v>
      </c>
      <c r="Q1089" s="199">
        <f>TB_Parts_Lists[[#This Row],[Quantity Total]]*TB_Parts_Lists[[#This Row],[Unit Price AED]]</f>
        <v>250</v>
      </c>
      <c r="S1089" s="199">
        <v>0</v>
      </c>
      <c r="T1089" s="199" t="s">
        <v>874</v>
      </c>
      <c r="U1089" s="199" t="s">
        <v>873</v>
      </c>
    </row>
    <row r="1090" spans="1:21" s="199" customFormat="1" x14ac:dyDescent="0.25">
      <c r="A1090" s="192" t="s">
        <v>7616</v>
      </c>
      <c r="B1090" s="203" t="s">
        <v>7603</v>
      </c>
      <c r="C1090" s="188" t="s">
        <v>7604</v>
      </c>
      <c r="D1090" s="199" t="s">
        <v>8732</v>
      </c>
      <c r="E1090" s="188" t="s">
        <v>5457</v>
      </c>
      <c r="F1090" s="189" t="s">
        <v>6091</v>
      </c>
      <c r="G1090" s="199" t="s">
        <v>8291</v>
      </c>
      <c r="H1090" s="199" t="s">
        <v>72</v>
      </c>
      <c r="I1090" s="199">
        <v>1</v>
      </c>
      <c r="J1090" s="199">
        <v>1</v>
      </c>
      <c r="K1090" s="199">
        <v>1</v>
      </c>
      <c r="L1090" s="199">
        <v>50</v>
      </c>
      <c r="M1090" s="202">
        <f>TB_Parts_Lists[[#This Row],[Quantity Initial]]+ SUMIF(TB_Transactions[Part number],TB_Parts_Lists[[#This Row],[Part Number]],TB_Transactions[Quantity])</f>
        <v>50</v>
      </c>
      <c r="N1090" s="200" t="s">
        <v>4593</v>
      </c>
      <c r="O1090" s="234">
        <v>5</v>
      </c>
      <c r="P1090" s="199">
        <f>TB_Parts_Lists[[#This Row],[Quantity Initial]]*TB_Parts_Lists[[#This Row],[Unit Price AED]]</f>
        <v>250</v>
      </c>
      <c r="Q1090" s="199">
        <f>TB_Parts_Lists[[#This Row],[Quantity Total]]*TB_Parts_Lists[[#This Row],[Unit Price AED]]</f>
        <v>250</v>
      </c>
      <c r="S1090" s="199" t="s">
        <v>118</v>
      </c>
      <c r="T1090" s="199" t="s">
        <v>8675</v>
      </c>
      <c r="U1090" s="199" t="s">
        <v>8675</v>
      </c>
    </row>
    <row r="1091" spans="1:21" s="199" customFormat="1" x14ac:dyDescent="0.25">
      <c r="A1091" s="192" t="s">
        <v>7617</v>
      </c>
      <c r="B1091" s="203" t="s">
        <v>7603</v>
      </c>
      <c r="C1091" s="188" t="s">
        <v>7604</v>
      </c>
      <c r="D1091" s="199" t="s">
        <v>8732</v>
      </c>
      <c r="E1091" s="188" t="s">
        <v>5458</v>
      </c>
      <c r="F1091" s="189" t="s">
        <v>6092</v>
      </c>
      <c r="G1091" s="199" t="s">
        <v>8291</v>
      </c>
      <c r="H1091" s="199" t="s">
        <v>72</v>
      </c>
      <c r="I1091" s="199">
        <v>1</v>
      </c>
      <c r="J1091" s="199">
        <v>1</v>
      </c>
      <c r="K1091" s="199">
        <v>1</v>
      </c>
      <c r="L1091" s="199">
        <v>50</v>
      </c>
      <c r="M1091" s="202">
        <f>TB_Parts_Lists[[#This Row],[Quantity Initial]]+ SUMIF(TB_Transactions[Part number],TB_Parts_Lists[[#This Row],[Part Number]],TB_Transactions[Quantity])</f>
        <v>50</v>
      </c>
      <c r="N1091" s="200" t="s">
        <v>4593</v>
      </c>
      <c r="O1091" s="234">
        <v>5</v>
      </c>
      <c r="P1091" s="199">
        <f>TB_Parts_Lists[[#This Row],[Quantity Initial]]*TB_Parts_Lists[[#This Row],[Unit Price AED]]</f>
        <v>250</v>
      </c>
      <c r="Q1091" s="199">
        <f>TB_Parts_Lists[[#This Row],[Quantity Total]]*TB_Parts_Lists[[#This Row],[Unit Price AED]]</f>
        <v>250</v>
      </c>
      <c r="S1091" s="199" t="s">
        <v>118</v>
      </c>
      <c r="T1091" s="199" t="s">
        <v>8701</v>
      </c>
      <c r="U1091" s="199" t="s">
        <v>8675</v>
      </c>
    </row>
    <row r="1092" spans="1:21" s="199" customFormat="1" x14ac:dyDescent="0.25">
      <c r="A1092" s="192" t="s">
        <v>7618</v>
      </c>
      <c r="B1092" s="203" t="s">
        <v>7603</v>
      </c>
      <c r="C1092" s="188" t="s">
        <v>7604</v>
      </c>
      <c r="D1092" s="199" t="s">
        <v>8732</v>
      </c>
      <c r="E1092" s="188" t="s">
        <v>5458</v>
      </c>
      <c r="F1092" s="189" t="s">
        <v>6092</v>
      </c>
      <c r="G1092" s="199" t="s">
        <v>8291</v>
      </c>
      <c r="H1092" s="199" t="s">
        <v>72</v>
      </c>
      <c r="I1092" s="199">
        <v>1</v>
      </c>
      <c r="J1092" s="199">
        <v>1</v>
      </c>
      <c r="K1092" s="199">
        <v>1</v>
      </c>
      <c r="L1092" s="199">
        <v>50</v>
      </c>
      <c r="M1092" s="202">
        <f>TB_Parts_Lists[[#This Row],[Quantity Initial]]+ SUMIF(TB_Transactions[Part number],TB_Parts_Lists[[#This Row],[Part Number]],TB_Transactions[Quantity])</f>
        <v>50</v>
      </c>
      <c r="N1092" s="200" t="s">
        <v>4593</v>
      </c>
      <c r="O1092" s="234">
        <v>5</v>
      </c>
      <c r="P1092" s="199">
        <f>TB_Parts_Lists[[#This Row],[Quantity Initial]]*TB_Parts_Lists[[#This Row],[Unit Price AED]]</f>
        <v>250</v>
      </c>
      <c r="Q1092" s="199">
        <f>TB_Parts_Lists[[#This Row],[Quantity Total]]*TB_Parts_Lists[[#This Row],[Unit Price AED]]</f>
        <v>250</v>
      </c>
      <c r="S1092" s="199" t="s">
        <v>118</v>
      </c>
      <c r="T1092" s="199" t="s">
        <v>8701</v>
      </c>
      <c r="U1092" s="199" t="s">
        <v>8675</v>
      </c>
    </row>
    <row r="1093" spans="1:21" s="199" customFormat="1" x14ac:dyDescent="0.25">
      <c r="A1093" s="192" t="s">
        <v>7619</v>
      </c>
      <c r="B1093" s="203" t="s">
        <v>7603</v>
      </c>
      <c r="C1093" s="188" t="s">
        <v>7604</v>
      </c>
      <c r="D1093" s="199" t="s">
        <v>8732</v>
      </c>
      <c r="E1093" s="188" t="s">
        <v>5459</v>
      </c>
      <c r="F1093" s="189" t="s">
        <v>6093</v>
      </c>
      <c r="G1093" s="199" t="s">
        <v>8291</v>
      </c>
      <c r="H1093" s="199" t="s">
        <v>72</v>
      </c>
      <c r="I1093" s="199">
        <v>1</v>
      </c>
      <c r="J1093" s="199">
        <v>1</v>
      </c>
      <c r="K1093" s="199">
        <v>1</v>
      </c>
      <c r="L1093" s="199">
        <v>50</v>
      </c>
      <c r="M1093" s="202">
        <f>TB_Parts_Lists[[#This Row],[Quantity Initial]]+ SUMIF(TB_Transactions[Part number],TB_Parts_Lists[[#This Row],[Part Number]],TB_Transactions[Quantity])</f>
        <v>50</v>
      </c>
      <c r="N1093" s="200" t="s">
        <v>4593</v>
      </c>
      <c r="O1093" s="234">
        <v>5</v>
      </c>
      <c r="P1093" s="199">
        <f>TB_Parts_Lists[[#This Row],[Quantity Initial]]*TB_Parts_Lists[[#This Row],[Unit Price AED]]</f>
        <v>250</v>
      </c>
      <c r="Q1093" s="199">
        <f>TB_Parts_Lists[[#This Row],[Quantity Total]]*TB_Parts_Lists[[#This Row],[Unit Price AED]]</f>
        <v>250</v>
      </c>
      <c r="S1093" s="199" t="s">
        <v>118</v>
      </c>
      <c r="T1093" s="199" t="s">
        <v>8701</v>
      </c>
      <c r="U1093" s="199" t="s">
        <v>8675</v>
      </c>
    </row>
    <row r="1094" spans="1:21" s="199" customFormat="1" x14ac:dyDescent="0.25">
      <c r="A1094" s="192" t="s">
        <v>7620</v>
      </c>
      <c r="B1094" s="203" t="s">
        <v>7603</v>
      </c>
      <c r="C1094" s="188" t="s">
        <v>7604</v>
      </c>
      <c r="D1094" s="199" t="s">
        <v>8732</v>
      </c>
      <c r="E1094" s="188" t="s">
        <v>5460</v>
      </c>
      <c r="F1094" s="189" t="s">
        <v>6094</v>
      </c>
      <c r="G1094" s="199" t="s">
        <v>8291</v>
      </c>
      <c r="H1094" s="199" t="s">
        <v>72</v>
      </c>
      <c r="I1094" s="199">
        <v>1</v>
      </c>
      <c r="J1094" s="199">
        <v>1</v>
      </c>
      <c r="K1094" s="199">
        <v>1</v>
      </c>
      <c r="L1094" s="199">
        <v>50</v>
      </c>
      <c r="M1094" s="202">
        <f>TB_Parts_Lists[[#This Row],[Quantity Initial]]+ SUMIF(TB_Transactions[Part number],TB_Parts_Lists[[#This Row],[Part Number]],TB_Transactions[Quantity])</f>
        <v>50</v>
      </c>
      <c r="N1094" s="200" t="s">
        <v>4593</v>
      </c>
      <c r="O1094" s="234">
        <v>5</v>
      </c>
      <c r="P1094" s="199">
        <f>TB_Parts_Lists[[#This Row],[Quantity Initial]]*TB_Parts_Lists[[#This Row],[Unit Price AED]]</f>
        <v>250</v>
      </c>
      <c r="Q1094" s="199">
        <f>TB_Parts_Lists[[#This Row],[Quantity Total]]*TB_Parts_Lists[[#This Row],[Unit Price AED]]</f>
        <v>250</v>
      </c>
      <c r="S1094" s="199" t="s">
        <v>118</v>
      </c>
      <c r="T1094" s="199" t="s">
        <v>8701</v>
      </c>
      <c r="U1094" s="199" t="s">
        <v>8675</v>
      </c>
    </row>
    <row r="1095" spans="1:21" s="199" customFormat="1" x14ac:dyDescent="0.25">
      <c r="A1095" s="192" t="s">
        <v>7621</v>
      </c>
      <c r="B1095" s="203" t="s">
        <v>7603</v>
      </c>
      <c r="C1095" s="188" t="s">
        <v>7604</v>
      </c>
      <c r="D1095" s="199" t="s">
        <v>8732</v>
      </c>
      <c r="E1095" s="188" t="s">
        <v>5461</v>
      </c>
      <c r="F1095" s="189" t="s">
        <v>6095</v>
      </c>
      <c r="G1095" s="199" t="s">
        <v>8291</v>
      </c>
      <c r="H1095" s="199" t="s">
        <v>72</v>
      </c>
      <c r="I1095" s="199">
        <v>1</v>
      </c>
      <c r="J1095" s="199">
        <v>1</v>
      </c>
      <c r="K1095" s="199">
        <v>1</v>
      </c>
      <c r="L1095" s="199">
        <v>50</v>
      </c>
      <c r="M1095" s="202">
        <f>TB_Parts_Lists[[#This Row],[Quantity Initial]]+ SUMIF(TB_Transactions[Part number],TB_Parts_Lists[[#This Row],[Part Number]],TB_Transactions[Quantity])</f>
        <v>50</v>
      </c>
      <c r="N1095" s="200" t="s">
        <v>4593</v>
      </c>
      <c r="O1095" s="234">
        <v>5</v>
      </c>
      <c r="P1095" s="199">
        <f>TB_Parts_Lists[[#This Row],[Quantity Initial]]*TB_Parts_Lists[[#This Row],[Unit Price AED]]</f>
        <v>250</v>
      </c>
      <c r="Q1095" s="199">
        <f>TB_Parts_Lists[[#This Row],[Quantity Total]]*TB_Parts_Lists[[#This Row],[Unit Price AED]]</f>
        <v>250</v>
      </c>
      <c r="S1095" s="199" t="s">
        <v>118</v>
      </c>
      <c r="T1095" s="199" t="s">
        <v>8701</v>
      </c>
      <c r="U1095" s="199" t="s">
        <v>8675</v>
      </c>
    </row>
    <row r="1096" spans="1:21" s="199" customFormat="1" x14ac:dyDescent="0.25">
      <c r="A1096" s="192" t="s">
        <v>7622</v>
      </c>
      <c r="B1096" s="203" t="s">
        <v>7603</v>
      </c>
      <c r="C1096" s="188" t="s">
        <v>7604</v>
      </c>
      <c r="D1096" s="199" t="s">
        <v>8732</v>
      </c>
      <c r="E1096" s="188" t="s">
        <v>5462</v>
      </c>
      <c r="F1096" s="189" t="s">
        <v>6096</v>
      </c>
      <c r="G1096" s="199" t="s">
        <v>8291</v>
      </c>
      <c r="H1096" s="199" t="s">
        <v>72</v>
      </c>
      <c r="I1096" s="199">
        <v>1</v>
      </c>
      <c r="J1096" s="199">
        <v>1</v>
      </c>
      <c r="K1096" s="199">
        <v>1</v>
      </c>
      <c r="L1096" s="199">
        <v>50</v>
      </c>
      <c r="M1096" s="202">
        <f>TB_Parts_Lists[[#This Row],[Quantity Initial]]+ SUMIF(TB_Transactions[Part number],TB_Parts_Lists[[#This Row],[Part Number]],TB_Transactions[Quantity])</f>
        <v>50</v>
      </c>
      <c r="N1096" s="200" t="s">
        <v>4593</v>
      </c>
      <c r="O1096" s="234">
        <v>5</v>
      </c>
      <c r="P1096" s="199">
        <f>TB_Parts_Lists[[#This Row],[Quantity Initial]]*TB_Parts_Lists[[#This Row],[Unit Price AED]]</f>
        <v>250</v>
      </c>
      <c r="Q1096" s="199">
        <f>TB_Parts_Lists[[#This Row],[Quantity Total]]*TB_Parts_Lists[[#This Row],[Unit Price AED]]</f>
        <v>250</v>
      </c>
      <c r="S1096" s="199" t="s">
        <v>118</v>
      </c>
      <c r="T1096" s="199" t="s">
        <v>8701</v>
      </c>
      <c r="U1096" s="199" t="s">
        <v>8675</v>
      </c>
    </row>
    <row r="1097" spans="1:21" s="199" customFormat="1" x14ac:dyDescent="0.25">
      <c r="A1097" s="192" t="s">
        <v>7623</v>
      </c>
      <c r="B1097" s="203" t="s">
        <v>7603</v>
      </c>
      <c r="C1097" s="188" t="s">
        <v>7604</v>
      </c>
      <c r="D1097" s="199" t="s">
        <v>8732</v>
      </c>
      <c r="E1097" s="188" t="s">
        <v>5463</v>
      </c>
      <c r="F1097" s="189" t="s">
        <v>6097</v>
      </c>
      <c r="G1097" s="199" t="s">
        <v>8291</v>
      </c>
      <c r="H1097" s="199" t="s">
        <v>72</v>
      </c>
      <c r="I1097" s="199">
        <v>1</v>
      </c>
      <c r="J1097" s="199">
        <v>1</v>
      </c>
      <c r="K1097" s="199">
        <v>1</v>
      </c>
      <c r="L1097" s="199">
        <v>50</v>
      </c>
      <c r="M1097" s="202">
        <f>TB_Parts_Lists[[#This Row],[Quantity Initial]]+ SUMIF(TB_Transactions[Part number],TB_Parts_Lists[[#This Row],[Part Number]],TB_Transactions[Quantity])</f>
        <v>50</v>
      </c>
      <c r="N1097" s="200" t="s">
        <v>4593</v>
      </c>
      <c r="O1097" s="234">
        <v>5</v>
      </c>
      <c r="P1097" s="199">
        <f>TB_Parts_Lists[[#This Row],[Quantity Initial]]*TB_Parts_Lists[[#This Row],[Unit Price AED]]</f>
        <v>250</v>
      </c>
      <c r="Q1097" s="199">
        <f>TB_Parts_Lists[[#This Row],[Quantity Total]]*TB_Parts_Lists[[#This Row],[Unit Price AED]]</f>
        <v>250</v>
      </c>
      <c r="S1097" s="199" t="s">
        <v>118</v>
      </c>
      <c r="T1097" s="199" t="s">
        <v>8701</v>
      </c>
      <c r="U1097" s="199" t="s">
        <v>8675</v>
      </c>
    </row>
    <row r="1098" spans="1:21" s="199" customFormat="1" x14ac:dyDescent="0.25">
      <c r="A1098" s="192" t="s">
        <v>7624</v>
      </c>
      <c r="B1098" s="203" t="s">
        <v>7603</v>
      </c>
      <c r="C1098" s="188" t="s">
        <v>7614</v>
      </c>
      <c r="D1098" s="199" t="s">
        <v>8732</v>
      </c>
      <c r="E1098" s="188" t="s">
        <v>5464</v>
      </c>
      <c r="F1098" s="189" t="s">
        <v>6098</v>
      </c>
      <c r="G1098" s="199" t="s">
        <v>8291</v>
      </c>
      <c r="H1098" s="199" t="s">
        <v>72</v>
      </c>
      <c r="I1098" s="199">
        <v>1</v>
      </c>
      <c r="J1098" s="199">
        <v>1</v>
      </c>
      <c r="K1098" s="199">
        <v>1</v>
      </c>
      <c r="L1098" s="199">
        <v>50</v>
      </c>
      <c r="M1098" s="202">
        <f>TB_Parts_Lists[[#This Row],[Quantity Initial]]+ SUMIF(TB_Transactions[Part number],TB_Parts_Lists[[#This Row],[Part Number]],TB_Transactions[Quantity])</f>
        <v>50</v>
      </c>
      <c r="N1098" s="200" t="s">
        <v>4593</v>
      </c>
      <c r="O1098" s="234">
        <v>5</v>
      </c>
      <c r="P1098" s="199">
        <f>TB_Parts_Lists[[#This Row],[Quantity Initial]]*TB_Parts_Lists[[#This Row],[Unit Price AED]]</f>
        <v>250</v>
      </c>
      <c r="Q1098" s="199">
        <f>TB_Parts_Lists[[#This Row],[Quantity Total]]*TB_Parts_Lists[[#This Row],[Unit Price AED]]</f>
        <v>250</v>
      </c>
      <c r="S1098" s="199" t="s">
        <v>118</v>
      </c>
      <c r="T1098" s="199" t="s">
        <v>8701</v>
      </c>
      <c r="U1098" s="199" t="s">
        <v>8675</v>
      </c>
    </row>
    <row r="1099" spans="1:21" s="199" customFormat="1" x14ac:dyDescent="0.25">
      <c r="A1099" s="192" t="s">
        <v>7625</v>
      </c>
      <c r="B1099" s="203" t="s">
        <v>7603</v>
      </c>
      <c r="C1099" s="188" t="s">
        <v>5465</v>
      </c>
      <c r="D1099" s="199" t="s">
        <v>8732</v>
      </c>
      <c r="E1099" s="188" t="s">
        <v>5465</v>
      </c>
      <c r="F1099" s="189" t="s">
        <v>6099</v>
      </c>
      <c r="G1099" s="199" t="s">
        <v>8291</v>
      </c>
      <c r="H1099" s="199" t="s">
        <v>72</v>
      </c>
      <c r="I1099" s="199">
        <v>1</v>
      </c>
      <c r="J1099" s="199">
        <v>1</v>
      </c>
      <c r="K1099" s="199">
        <v>1</v>
      </c>
      <c r="L1099" s="199">
        <v>50</v>
      </c>
      <c r="M1099" s="202">
        <f>TB_Parts_Lists[[#This Row],[Quantity Initial]]+ SUMIF(TB_Transactions[Part number],TB_Parts_Lists[[#This Row],[Part Number]],TB_Transactions[Quantity])</f>
        <v>50</v>
      </c>
      <c r="N1099" s="200" t="s">
        <v>4593</v>
      </c>
      <c r="O1099" s="234">
        <v>5</v>
      </c>
      <c r="P1099" s="199">
        <f>TB_Parts_Lists[[#This Row],[Quantity Initial]]*TB_Parts_Lists[[#This Row],[Unit Price AED]]</f>
        <v>250</v>
      </c>
      <c r="Q1099" s="199">
        <f>TB_Parts_Lists[[#This Row],[Quantity Total]]*TB_Parts_Lists[[#This Row],[Unit Price AED]]</f>
        <v>250</v>
      </c>
      <c r="S1099" s="199" t="s">
        <v>118</v>
      </c>
      <c r="T1099" s="199" t="s">
        <v>8701</v>
      </c>
      <c r="U1099" s="199" t="s">
        <v>8675</v>
      </c>
    </row>
    <row r="1100" spans="1:21" s="199" customFormat="1" x14ac:dyDescent="0.25">
      <c r="A1100" s="192" t="s">
        <v>7626</v>
      </c>
      <c r="B1100" s="203" t="s">
        <v>7603</v>
      </c>
      <c r="C1100" s="188" t="s">
        <v>7606</v>
      </c>
      <c r="D1100" s="199" t="s">
        <v>8732</v>
      </c>
      <c r="E1100" s="188" t="s">
        <v>5466</v>
      </c>
      <c r="F1100" s="189" t="s">
        <v>6100</v>
      </c>
      <c r="G1100" s="199" t="s">
        <v>8291</v>
      </c>
      <c r="H1100" s="199" t="s">
        <v>72</v>
      </c>
      <c r="I1100" s="199">
        <v>1</v>
      </c>
      <c r="J1100" s="199">
        <v>1</v>
      </c>
      <c r="K1100" s="199">
        <v>1</v>
      </c>
      <c r="L1100" s="199">
        <v>50</v>
      </c>
      <c r="M1100" s="202">
        <f>TB_Parts_Lists[[#This Row],[Quantity Initial]]+ SUMIF(TB_Transactions[Part number],TB_Parts_Lists[[#This Row],[Part Number]],TB_Transactions[Quantity])</f>
        <v>50</v>
      </c>
      <c r="N1100" s="200" t="s">
        <v>4593</v>
      </c>
      <c r="O1100" s="234">
        <v>5</v>
      </c>
      <c r="P1100" s="199">
        <f>TB_Parts_Lists[[#This Row],[Quantity Initial]]*TB_Parts_Lists[[#This Row],[Unit Price AED]]</f>
        <v>250</v>
      </c>
      <c r="Q1100" s="199">
        <f>TB_Parts_Lists[[#This Row],[Quantity Total]]*TB_Parts_Lists[[#This Row],[Unit Price AED]]</f>
        <v>250</v>
      </c>
      <c r="S1100" s="199" t="s">
        <v>118</v>
      </c>
      <c r="T1100" s="199" t="s">
        <v>8701</v>
      </c>
      <c r="U1100" s="199" t="s">
        <v>8675</v>
      </c>
    </row>
    <row r="1101" spans="1:21" s="199" customFormat="1" x14ac:dyDescent="0.25">
      <c r="A1101" s="192" t="s">
        <v>7627</v>
      </c>
      <c r="B1101" s="203" t="s">
        <v>7603</v>
      </c>
      <c r="C1101" s="188" t="s">
        <v>7607</v>
      </c>
      <c r="D1101" s="199" t="s">
        <v>8732</v>
      </c>
      <c r="E1101" s="188" t="s">
        <v>5467</v>
      </c>
      <c r="F1101" s="189" t="s">
        <v>6101</v>
      </c>
      <c r="G1101" s="199" t="s">
        <v>8291</v>
      </c>
      <c r="H1101" s="199" t="s">
        <v>72</v>
      </c>
      <c r="I1101" s="199">
        <v>1</v>
      </c>
      <c r="J1101" s="199">
        <v>1</v>
      </c>
      <c r="K1101" s="199">
        <v>1</v>
      </c>
      <c r="L1101" s="199">
        <v>50</v>
      </c>
      <c r="M1101" s="202">
        <f>TB_Parts_Lists[[#This Row],[Quantity Initial]]+ SUMIF(TB_Transactions[Part number],TB_Parts_Lists[[#This Row],[Part Number]],TB_Transactions[Quantity])</f>
        <v>50</v>
      </c>
      <c r="N1101" s="200" t="s">
        <v>4593</v>
      </c>
      <c r="O1101" s="234">
        <v>5</v>
      </c>
      <c r="P1101" s="199">
        <f>TB_Parts_Lists[[#This Row],[Quantity Initial]]*TB_Parts_Lists[[#This Row],[Unit Price AED]]</f>
        <v>250</v>
      </c>
      <c r="Q1101" s="199">
        <f>TB_Parts_Lists[[#This Row],[Quantity Total]]*TB_Parts_Lists[[#This Row],[Unit Price AED]]</f>
        <v>250</v>
      </c>
      <c r="S1101" s="199" t="s">
        <v>118</v>
      </c>
      <c r="T1101" s="199" t="s">
        <v>8675</v>
      </c>
      <c r="U1101" s="199" t="s">
        <v>8675</v>
      </c>
    </row>
    <row r="1102" spans="1:21" s="199" customFormat="1" x14ac:dyDescent="0.25">
      <c r="A1102" s="192" t="s">
        <v>7628</v>
      </c>
      <c r="B1102" s="203" t="s">
        <v>7603</v>
      </c>
      <c r="C1102" s="188" t="s">
        <v>7607</v>
      </c>
      <c r="D1102" s="199" t="s">
        <v>8732</v>
      </c>
      <c r="E1102" s="188" t="s">
        <v>5468</v>
      </c>
      <c r="F1102" s="189" t="s">
        <v>6102</v>
      </c>
      <c r="G1102" s="199" t="s">
        <v>8291</v>
      </c>
      <c r="H1102" s="199" t="s">
        <v>72</v>
      </c>
      <c r="I1102" s="199">
        <v>1</v>
      </c>
      <c r="J1102" s="199">
        <v>1</v>
      </c>
      <c r="K1102" s="199">
        <v>1</v>
      </c>
      <c r="L1102" s="199">
        <v>50</v>
      </c>
      <c r="M1102" s="202">
        <f>TB_Parts_Lists[[#This Row],[Quantity Initial]]+ SUMIF(TB_Transactions[Part number],TB_Parts_Lists[[#This Row],[Part Number]],TB_Transactions[Quantity])</f>
        <v>50</v>
      </c>
      <c r="N1102" s="200" t="s">
        <v>4593</v>
      </c>
      <c r="O1102" s="234">
        <v>5</v>
      </c>
      <c r="P1102" s="199">
        <f>TB_Parts_Lists[[#This Row],[Quantity Initial]]*TB_Parts_Lists[[#This Row],[Unit Price AED]]</f>
        <v>250</v>
      </c>
      <c r="Q1102" s="199">
        <f>TB_Parts_Lists[[#This Row],[Quantity Total]]*TB_Parts_Lists[[#This Row],[Unit Price AED]]</f>
        <v>250</v>
      </c>
      <c r="S1102" s="199" t="s">
        <v>118</v>
      </c>
      <c r="T1102" s="199" t="s">
        <v>8675</v>
      </c>
      <c r="U1102" s="199" t="s">
        <v>8675</v>
      </c>
    </row>
    <row r="1103" spans="1:21" s="199" customFormat="1" x14ac:dyDescent="0.25">
      <c r="A1103" s="192" t="s">
        <v>7629</v>
      </c>
      <c r="B1103" s="203" t="s">
        <v>7603</v>
      </c>
      <c r="C1103" s="188" t="s">
        <v>7607</v>
      </c>
      <c r="D1103" s="199" t="s">
        <v>8732</v>
      </c>
      <c r="E1103" s="188" t="s">
        <v>5469</v>
      </c>
      <c r="F1103" s="189" t="s">
        <v>6103</v>
      </c>
      <c r="G1103" s="199" t="s">
        <v>8291</v>
      </c>
      <c r="H1103" s="199" t="s">
        <v>72</v>
      </c>
      <c r="I1103" s="199">
        <v>1</v>
      </c>
      <c r="J1103" s="199">
        <v>1</v>
      </c>
      <c r="K1103" s="199">
        <v>1</v>
      </c>
      <c r="L1103" s="199">
        <v>50</v>
      </c>
      <c r="M1103" s="202">
        <f>TB_Parts_Lists[[#This Row],[Quantity Initial]]+ SUMIF(TB_Transactions[Part number],TB_Parts_Lists[[#This Row],[Part Number]],TB_Transactions[Quantity])</f>
        <v>50</v>
      </c>
      <c r="N1103" s="200" t="s">
        <v>4593</v>
      </c>
      <c r="O1103" s="234">
        <v>5</v>
      </c>
      <c r="P1103" s="199">
        <f>TB_Parts_Lists[[#This Row],[Quantity Initial]]*TB_Parts_Lists[[#This Row],[Unit Price AED]]</f>
        <v>250</v>
      </c>
      <c r="Q1103" s="199">
        <f>TB_Parts_Lists[[#This Row],[Quantity Total]]*TB_Parts_Lists[[#This Row],[Unit Price AED]]</f>
        <v>250</v>
      </c>
      <c r="S1103" s="199" t="s">
        <v>118</v>
      </c>
      <c r="T1103" s="199" t="s">
        <v>8675</v>
      </c>
      <c r="U1103" s="199" t="s">
        <v>8675</v>
      </c>
    </row>
    <row r="1104" spans="1:21" s="199" customFormat="1" x14ac:dyDescent="0.25">
      <c r="A1104" s="192" t="s">
        <v>7630</v>
      </c>
      <c r="B1104" s="203" t="s">
        <v>7603</v>
      </c>
      <c r="C1104" s="188" t="s">
        <v>7607</v>
      </c>
      <c r="D1104" s="199" t="s">
        <v>8732</v>
      </c>
      <c r="E1104" s="188" t="s">
        <v>5470</v>
      </c>
      <c r="F1104" s="189" t="s">
        <v>6104</v>
      </c>
      <c r="G1104" s="199" t="s">
        <v>8291</v>
      </c>
      <c r="H1104" s="199" t="s">
        <v>72</v>
      </c>
      <c r="I1104" s="199">
        <v>1</v>
      </c>
      <c r="J1104" s="199">
        <v>1</v>
      </c>
      <c r="K1104" s="199">
        <v>1</v>
      </c>
      <c r="L1104" s="199">
        <v>50</v>
      </c>
      <c r="M1104" s="202">
        <f>TB_Parts_Lists[[#This Row],[Quantity Initial]]+ SUMIF(TB_Transactions[Part number],TB_Parts_Lists[[#This Row],[Part Number]],TB_Transactions[Quantity])</f>
        <v>50</v>
      </c>
      <c r="N1104" s="200" t="s">
        <v>4593</v>
      </c>
      <c r="O1104" s="234">
        <v>5</v>
      </c>
      <c r="P1104" s="199">
        <f>TB_Parts_Lists[[#This Row],[Quantity Initial]]*TB_Parts_Lists[[#This Row],[Unit Price AED]]</f>
        <v>250</v>
      </c>
      <c r="Q1104" s="199">
        <f>TB_Parts_Lists[[#This Row],[Quantity Total]]*TB_Parts_Lists[[#This Row],[Unit Price AED]]</f>
        <v>250</v>
      </c>
      <c r="S1104" s="199" t="s">
        <v>118</v>
      </c>
      <c r="T1104" s="199" t="s">
        <v>8675</v>
      </c>
      <c r="U1104" s="199" t="s">
        <v>8675</v>
      </c>
    </row>
    <row r="1105" spans="1:21" s="199" customFormat="1" x14ac:dyDescent="0.25">
      <c r="A1105" s="192" t="s">
        <v>7631</v>
      </c>
      <c r="B1105" s="203" t="s">
        <v>3341</v>
      </c>
      <c r="C1105" s="188" t="s">
        <v>4301</v>
      </c>
      <c r="D1105" s="199" t="s">
        <v>8732</v>
      </c>
      <c r="E1105" s="188" t="s">
        <v>5471</v>
      </c>
      <c r="F1105" s="189" t="s">
        <v>6105</v>
      </c>
      <c r="G1105" s="199" t="s">
        <v>8291</v>
      </c>
      <c r="H1105" s="199" t="s">
        <v>72</v>
      </c>
      <c r="I1105" s="199">
        <v>1</v>
      </c>
      <c r="J1105" s="199">
        <v>1</v>
      </c>
      <c r="K1105" s="199">
        <v>1</v>
      </c>
      <c r="L1105" s="199">
        <v>50</v>
      </c>
      <c r="M1105" s="202">
        <f>TB_Parts_Lists[[#This Row],[Quantity Initial]]+ SUMIF(TB_Transactions[Part number],TB_Parts_Lists[[#This Row],[Part Number]],TB_Transactions[Quantity])</f>
        <v>50</v>
      </c>
      <c r="N1105" s="200" t="s">
        <v>4593</v>
      </c>
      <c r="O1105" s="234">
        <v>5</v>
      </c>
      <c r="P1105" s="199">
        <f>TB_Parts_Lists[[#This Row],[Quantity Initial]]*TB_Parts_Lists[[#This Row],[Unit Price AED]]</f>
        <v>250</v>
      </c>
      <c r="Q1105" s="199">
        <f>TB_Parts_Lists[[#This Row],[Quantity Total]]*TB_Parts_Lists[[#This Row],[Unit Price AED]]</f>
        <v>250</v>
      </c>
      <c r="S1105" s="199" t="s">
        <v>118</v>
      </c>
      <c r="T1105" s="199" t="s">
        <v>8675</v>
      </c>
      <c r="U1105" s="199" t="s">
        <v>8675</v>
      </c>
    </row>
    <row r="1106" spans="1:21" s="199" customFormat="1" x14ac:dyDescent="0.25">
      <c r="A1106" s="192" t="s">
        <v>7632</v>
      </c>
      <c r="B1106" s="203" t="s">
        <v>7603</v>
      </c>
      <c r="C1106" s="188" t="s">
        <v>7604</v>
      </c>
      <c r="D1106" s="199" t="s">
        <v>8732</v>
      </c>
      <c r="E1106" s="188" t="s">
        <v>5472</v>
      </c>
      <c r="F1106" s="189" t="s">
        <v>6106</v>
      </c>
      <c r="G1106" s="199" t="s">
        <v>8291</v>
      </c>
      <c r="H1106" s="199" t="s">
        <v>72</v>
      </c>
      <c r="I1106" s="199">
        <v>1</v>
      </c>
      <c r="J1106" s="199">
        <v>1</v>
      </c>
      <c r="K1106" s="199">
        <v>1</v>
      </c>
      <c r="L1106" s="199">
        <v>50</v>
      </c>
      <c r="M1106" s="202">
        <f>TB_Parts_Lists[[#This Row],[Quantity Initial]]+ SUMIF(TB_Transactions[Part number],TB_Parts_Lists[[#This Row],[Part Number]],TB_Transactions[Quantity])</f>
        <v>50</v>
      </c>
      <c r="N1106" s="200" t="s">
        <v>4593</v>
      </c>
      <c r="O1106" s="234">
        <v>5</v>
      </c>
      <c r="P1106" s="199">
        <f>TB_Parts_Lists[[#This Row],[Quantity Initial]]*TB_Parts_Lists[[#This Row],[Unit Price AED]]</f>
        <v>250</v>
      </c>
      <c r="Q1106" s="199">
        <f>TB_Parts_Lists[[#This Row],[Quantity Total]]*TB_Parts_Lists[[#This Row],[Unit Price AED]]</f>
        <v>250</v>
      </c>
      <c r="S1106" s="199" t="s">
        <v>118</v>
      </c>
      <c r="T1106" s="199" t="s">
        <v>8701</v>
      </c>
      <c r="U1106" s="199" t="s">
        <v>8675</v>
      </c>
    </row>
    <row r="1107" spans="1:21" s="199" customFormat="1" x14ac:dyDescent="0.25">
      <c r="A1107" s="192" t="s">
        <v>7633</v>
      </c>
      <c r="B1107" s="203" t="s">
        <v>7603</v>
      </c>
      <c r="C1107" s="188" t="s">
        <v>7612</v>
      </c>
      <c r="D1107" s="199" t="s">
        <v>8732</v>
      </c>
      <c r="E1107" s="188" t="s">
        <v>5473</v>
      </c>
      <c r="F1107" s="189" t="s">
        <v>6107</v>
      </c>
      <c r="G1107" s="199" t="s">
        <v>8291</v>
      </c>
      <c r="H1107" s="199" t="s">
        <v>72</v>
      </c>
      <c r="I1107" s="199">
        <v>1</v>
      </c>
      <c r="J1107" s="199">
        <v>1</v>
      </c>
      <c r="K1107" s="199">
        <v>1</v>
      </c>
      <c r="L1107" s="199">
        <v>50</v>
      </c>
      <c r="M1107" s="202">
        <f>TB_Parts_Lists[[#This Row],[Quantity Initial]]+ SUMIF(TB_Transactions[Part number],TB_Parts_Lists[[#This Row],[Part Number]],TB_Transactions[Quantity])</f>
        <v>50</v>
      </c>
      <c r="N1107" s="200" t="s">
        <v>4593</v>
      </c>
      <c r="O1107" s="234">
        <v>5</v>
      </c>
      <c r="P1107" s="199">
        <f>TB_Parts_Lists[[#This Row],[Quantity Initial]]*TB_Parts_Lists[[#This Row],[Unit Price AED]]</f>
        <v>250</v>
      </c>
      <c r="Q1107" s="199">
        <f>TB_Parts_Lists[[#This Row],[Quantity Total]]*TB_Parts_Lists[[#This Row],[Unit Price AED]]</f>
        <v>250</v>
      </c>
      <c r="S1107" s="199" t="s">
        <v>118</v>
      </c>
      <c r="T1107" s="199" t="s">
        <v>8701</v>
      </c>
      <c r="U1107" s="199" t="s">
        <v>8675</v>
      </c>
    </row>
    <row r="1108" spans="1:21" s="199" customFormat="1" x14ac:dyDescent="0.25">
      <c r="A1108" s="192" t="s">
        <v>7634</v>
      </c>
      <c r="B1108" s="203" t="s">
        <v>7603</v>
      </c>
      <c r="C1108" s="188" t="s">
        <v>7612</v>
      </c>
      <c r="D1108" s="199" t="s">
        <v>8732</v>
      </c>
      <c r="E1108" s="188" t="s">
        <v>5474</v>
      </c>
      <c r="F1108" s="189" t="s">
        <v>6108</v>
      </c>
      <c r="G1108" s="199" t="s">
        <v>8291</v>
      </c>
      <c r="H1108" s="199" t="s">
        <v>72</v>
      </c>
      <c r="I1108" s="199">
        <v>1</v>
      </c>
      <c r="J1108" s="199">
        <v>1</v>
      </c>
      <c r="K1108" s="199">
        <v>1</v>
      </c>
      <c r="L1108" s="199">
        <v>50</v>
      </c>
      <c r="M1108" s="202">
        <f>TB_Parts_Lists[[#This Row],[Quantity Initial]]+ SUMIF(TB_Transactions[Part number],TB_Parts_Lists[[#This Row],[Part Number]],TB_Transactions[Quantity])</f>
        <v>50</v>
      </c>
      <c r="N1108" s="200" t="s">
        <v>4593</v>
      </c>
      <c r="O1108" s="234">
        <v>5</v>
      </c>
      <c r="P1108" s="199">
        <f>TB_Parts_Lists[[#This Row],[Quantity Initial]]*TB_Parts_Lists[[#This Row],[Unit Price AED]]</f>
        <v>250</v>
      </c>
      <c r="Q1108" s="199">
        <f>TB_Parts_Lists[[#This Row],[Quantity Total]]*TB_Parts_Lists[[#This Row],[Unit Price AED]]</f>
        <v>250</v>
      </c>
      <c r="S1108" s="199" t="s">
        <v>118</v>
      </c>
      <c r="T1108" s="199" t="s">
        <v>8701</v>
      </c>
      <c r="U1108" s="199" t="s">
        <v>8675</v>
      </c>
    </row>
    <row r="1109" spans="1:21" s="199" customFormat="1" x14ac:dyDescent="0.25">
      <c r="A1109" s="192" t="s">
        <v>7635</v>
      </c>
      <c r="B1109" s="203" t="s">
        <v>7603</v>
      </c>
      <c r="C1109" s="188" t="s">
        <v>7612</v>
      </c>
      <c r="D1109" s="199" t="s">
        <v>8732</v>
      </c>
      <c r="E1109" s="188" t="s">
        <v>5475</v>
      </c>
      <c r="F1109" s="189" t="s">
        <v>6109</v>
      </c>
      <c r="G1109" s="199" t="s">
        <v>8291</v>
      </c>
      <c r="H1109" s="199" t="s">
        <v>72</v>
      </c>
      <c r="I1109" s="199">
        <v>1</v>
      </c>
      <c r="J1109" s="199">
        <v>1</v>
      </c>
      <c r="K1109" s="199">
        <v>1</v>
      </c>
      <c r="L1109" s="199">
        <v>50</v>
      </c>
      <c r="M1109" s="202">
        <f>TB_Parts_Lists[[#This Row],[Quantity Initial]]+ SUMIF(TB_Transactions[Part number],TB_Parts_Lists[[#This Row],[Part Number]],TB_Transactions[Quantity])</f>
        <v>50</v>
      </c>
      <c r="N1109" s="200" t="s">
        <v>4593</v>
      </c>
      <c r="O1109" s="234">
        <v>5</v>
      </c>
      <c r="P1109" s="199">
        <f>TB_Parts_Lists[[#This Row],[Quantity Initial]]*TB_Parts_Lists[[#This Row],[Unit Price AED]]</f>
        <v>250</v>
      </c>
      <c r="Q1109" s="199">
        <f>TB_Parts_Lists[[#This Row],[Quantity Total]]*TB_Parts_Lists[[#This Row],[Unit Price AED]]</f>
        <v>250</v>
      </c>
      <c r="S1109" s="199" t="s">
        <v>118</v>
      </c>
      <c r="T1109" s="199" t="s">
        <v>8701</v>
      </c>
      <c r="U1109" s="199" t="s">
        <v>8675</v>
      </c>
    </row>
    <row r="1110" spans="1:21" s="199" customFormat="1" x14ac:dyDescent="0.25">
      <c r="A1110" s="192" t="s">
        <v>7636</v>
      </c>
      <c r="B1110" s="203" t="s">
        <v>7603</v>
      </c>
      <c r="C1110" s="188" t="s">
        <v>7612</v>
      </c>
      <c r="D1110" s="199" t="s">
        <v>8732</v>
      </c>
      <c r="E1110" s="188" t="s">
        <v>5476</v>
      </c>
      <c r="F1110" s="189" t="s">
        <v>6110</v>
      </c>
      <c r="G1110" s="199" t="s">
        <v>8291</v>
      </c>
      <c r="H1110" s="199" t="s">
        <v>72</v>
      </c>
      <c r="I1110" s="199">
        <v>1</v>
      </c>
      <c r="J1110" s="199">
        <v>1</v>
      </c>
      <c r="K1110" s="199">
        <v>1</v>
      </c>
      <c r="L1110" s="199">
        <v>50</v>
      </c>
      <c r="M1110" s="202">
        <f>TB_Parts_Lists[[#This Row],[Quantity Initial]]+ SUMIF(TB_Transactions[Part number],TB_Parts_Lists[[#This Row],[Part Number]],TB_Transactions[Quantity])</f>
        <v>50</v>
      </c>
      <c r="N1110" s="200" t="s">
        <v>4593</v>
      </c>
      <c r="O1110" s="234">
        <v>5</v>
      </c>
      <c r="P1110" s="199">
        <f>TB_Parts_Lists[[#This Row],[Quantity Initial]]*TB_Parts_Lists[[#This Row],[Unit Price AED]]</f>
        <v>250</v>
      </c>
      <c r="Q1110" s="199">
        <f>TB_Parts_Lists[[#This Row],[Quantity Total]]*TB_Parts_Lists[[#This Row],[Unit Price AED]]</f>
        <v>250</v>
      </c>
      <c r="S1110" s="199" t="s">
        <v>118</v>
      </c>
      <c r="T1110" s="199" t="s">
        <v>8701</v>
      </c>
      <c r="U1110" s="199" t="s">
        <v>8675</v>
      </c>
    </row>
    <row r="1111" spans="1:21" s="199" customFormat="1" x14ac:dyDescent="0.25">
      <c r="A1111" s="192" t="s">
        <v>7637</v>
      </c>
      <c r="B1111" s="203" t="s">
        <v>7603</v>
      </c>
      <c r="C1111" s="188" t="s">
        <v>7612</v>
      </c>
      <c r="D1111" s="199" t="s">
        <v>8732</v>
      </c>
      <c r="E1111" s="188" t="s">
        <v>5477</v>
      </c>
      <c r="F1111" s="189" t="s">
        <v>6111</v>
      </c>
      <c r="G1111" s="199" t="s">
        <v>8291</v>
      </c>
      <c r="H1111" s="199" t="s">
        <v>72</v>
      </c>
      <c r="I1111" s="199">
        <v>1</v>
      </c>
      <c r="J1111" s="199">
        <v>1</v>
      </c>
      <c r="K1111" s="199">
        <v>1</v>
      </c>
      <c r="L1111" s="199">
        <v>50</v>
      </c>
      <c r="M1111" s="202">
        <f>TB_Parts_Lists[[#This Row],[Quantity Initial]]+ SUMIF(TB_Transactions[Part number],TB_Parts_Lists[[#This Row],[Part Number]],TB_Transactions[Quantity])</f>
        <v>50</v>
      </c>
      <c r="N1111" s="200" t="s">
        <v>4593</v>
      </c>
      <c r="O1111" s="234">
        <v>5</v>
      </c>
      <c r="P1111" s="199">
        <f>TB_Parts_Lists[[#This Row],[Quantity Initial]]*TB_Parts_Lists[[#This Row],[Unit Price AED]]</f>
        <v>250</v>
      </c>
      <c r="Q1111" s="199">
        <f>TB_Parts_Lists[[#This Row],[Quantity Total]]*TB_Parts_Lists[[#This Row],[Unit Price AED]]</f>
        <v>250</v>
      </c>
      <c r="S1111" s="199" t="s">
        <v>118</v>
      </c>
      <c r="T1111" s="199" t="s">
        <v>8701</v>
      </c>
      <c r="U1111" s="199" t="s">
        <v>8675</v>
      </c>
    </row>
    <row r="1112" spans="1:21" s="199" customFormat="1" x14ac:dyDescent="0.25">
      <c r="A1112" s="192" t="s">
        <v>7638</v>
      </c>
      <c r="B1112" s="203" t="s">
        <v>7603</v>
      </c>
      <c r="C1112" s="188" t="s">
        <v>7609</v>
      </c>
      <c r="D1112" s="199" t="s">
        <v>8732</v>
      </c>
      <c r="E1112" s="188" t="s">
        <v>5478</v>
      </c>
      <c r="F1112" s="189" t="s">
        <v>6112</v>
      </c>
      <c r="G1112" s="199" t="s">
        <v>8291</v>
      </c>
      <c r="H1112" s="199" t="s">
        <v>72</v>
      </c>
      <c r="I1112" s="199">
        <v>1</v>
      </c>
      <c r="J1112" s="199">
        <v>1</v>
      </c>
      <c r="K1112" s="199">
        <v>1</v>
      </c>
      <c r="L1112" s="199">
        <v>50</v>
      </c>
      <c r="M1112" s="202">
        <f>TB_Parts_Lists[[#This Row],[Quantity Initial]]+ SUMIF(TB_Transactions[Part number],TB_Parts_Lists[[#This Row],[Part Number]],TB_Transactions[Quantity])</f>
        <v>50</v>
      </c>
      <c r="N1112" s="200" t="s">
        <v>4593</v>
      </c>
      <c r="O1112" s="234">
        <v>5</v>
      </c>
      <c r="P1112" s="199">
        <f>TB_Parts_Lists[[#This Row],[Quantity Initial]]*TB_Parts_Lists[[#This Row],[Unit Price AED]]</f>
        <v>250</v>
      </c>
      <c r="Q1112" s="199">
        <f>TB_Parts_Lists[[#This Row],[Quantity Total]]*TB_Parts_Lists[[#This Row],[Unit Price AED]]</f>
        <v>250</v>
      </c>
      <c r="S1112" s="199" t="s">
        <v>118</v>
      </c>
      <c r="T1112" s="199" t="s">
        <v>8702</v>
      </c>
      <c r="U1112" s="199" t="s">
        <v>8675</v>
      </c>
    </row>
    <row r="1113" spans="1:21" s="199" customFormat="1" x14ac:dyDescent="0.25">
      <c r="A1113" s="192" t="s">
        <v>7639</v>
      </c>
      <c r="B1113" s="203" t="s">
        <v>7603</v>
      </c>
      <c r="C1113" s="188" t="s">
        <v>7609</v>
      </c>
      <c r="D1113" s="199" t="s">
        <v>8732</v>
      </c>
      <c r="E1113" s="188" t="s">
        <v>5479</v>
      </c>
      <c r="F1113" s="189" t="s">
        <v>6113</v>
      </c>
      <c r="G1113" s="199" t="s">
        <v>8291</v>
      </c>
      <c r="H1113" s="199" t="s">
        <v>72</v>
      </c>
      <c r="I1113" s="199">
        <v>1</v>
      </c>
      <c r="J1113" s="199">
        <v>1</v>
      </c>
      <c r="K1113" s="199">
        <v>1</v>
      </c>
      <c r="L1113" s="199">
        <v>50</v>
      </c>
      <c r="M1113" s="202">
        <f>TB_Parts_Lists[[#This Row],[Quantity Initial]]+ SUMIF(TB_Transactions[Part number],TB_Parts_Lists[[#This Row],[Part Number]],TB_Transactions[Quantity])</f>
        <v>50</v>
      </c>
      <c r="N1113" s="200" t="s">
        <v>4593</v>
      </c>
      <c r="O1113" s="234">
        <v>5</v>
      </c>
      <c r="P1113" s="199">
        <f>TB_Parts_Lists[[#This Row],[Quantity Initial]]*TB_Parts_Lists[[#This Row],[Unit Price AED]]</f>
        <v>250</v>
      </c>
      <c r="Q1113" s="199">
        <f>TB_Parts_Lists[[#This Row],[Quantity Total]]*TB_Parts_Lists[[#This Row],[Unit Price AED]]</f>
        <v>250</v>
      </c>
      <c r="S1113" s="199" t="s">
        <v>118</v>
      </c>
      <c r="T1113" s="199" t="s">
        <v>8702</v>
      </c>
      <c r="U1113" s="199" t="s">
        <v>8675</v>
      </c>
    </row>
    <row r="1114" spans="1:21" s="199" customFormat="1" x14ac:dyDescent="0.25">
      <c r="A1114" s="192" t="s">
        <v>7640</v>
      </c>
      <c r="B1114" s="203" t="s">
        <v>7603</v>
      </c>
      <c r="C1114" s="188" t="s">
        <v>7609</v>
      </c>
      <c r="D1114" s="199" t="s">
        <v>8732</v>
      </c>
      <c r="E1114" s="188" t="s">
        <v>5480</v>
      </c>
      <c r="F1114" s="189" t="s">
        <v>6114</v>
      </c>
      <c r="G1114" s="199" t="s">
        <v>8291</v>
      </c>
      <c r="H1114" s="199" t="s">
        <v>72</v>
      </c>
      <c r="I1114" s="199">
        <v>1</v>
      </c>
      <c r="J1114" s="199">
        <v>1</v>
      </c>
      <c r="K1114" s="199">
        <v>1</v>
      </c>
      <c r="L1114" s="199">
        <v>50</v>
      </c>
      <c r="M1114" s="202">
        <f>TB_Parts_Lists[[#This Row],[Quantity Initial]]+ SUMIF(TB_Transactions[Part number],TB_Parts_Lists[[#This Row],[Part Number]],TB_Transactions[Quantity])</f>
        <v>50</v>
      </c>
      <c r="N1114" s="200" t="s">
        <v>4593</v>
      </c>
      <c r="O1114" s="234">
        <v>5</v>
      </c>
      <c r="P1114" s="199">
        <f>TB_Parts_Lists[[#This Row],[Quantity Initial]]*TB_Parts_Lists[[#This Row],[Unit Price AED]]</f>
        <v>250</v>
      </c>
      <c r="Q1114" s="199">
        <f>TB_Parts_Lists[[#This Row],[Quantity Total]]*TB_Parts_Lists[[#This Row],[Unit Price AED]]</f>
        <v>250</v>
      </c>
      <c r="S1114" s="199" t="s">
        <v>118</v>
      </c>
      <c r="T1114" s="199" t="s">
        <v>8702</v>
      </c>
      <c r="U1114" s="199" t="s">
        <v>8675</v>
      </c>
    </row>
    <row r="1115" spans="1:21" s="199" customFormat="1" x14ac:dyDescent="0.25">
      <c r="A1115" s="192" t="s">
        <v>7641</v>
      </c>
      <c r="B1115" s="203" t="s">
        <v>7603</v>
      </c>
      <c r="C1115" s="188" t="s">
        <v>7609</v>
      </c>
      <c r="D1115" s="199" t="s">
        <v>8732</v>
      </c>
      <c r="E1115" s="188" t="s">
        <v>5481</v>
      </c>
      <c r="F1115" s="189" t="s">
        <v>6115</v>
      </c>
      <c r="G1115" s="199" t="s">
        <v>8291</v>
      </c>
      <c r="H1115" s="199" t="s">
        <v>72</v>
      </c>
      <c r="I1115" s="199">
        <v>1</v>
      </c>
      <c r="J1115" s="199">
        <v>1</v>
      </c>
      <c r="K1115" s="199">
        <v>1</v>
      </c>
      <c r="L1115" s="199">
        <v>50</v>
      </c>
      <c r="M1115" s="202">
        <f>TB_Parts_Lists[[#This Row],[Quantity Initial]]+ SUMIF(TB_Transactions[Part number],TB_Parts_Lists[[#This Row],[Part Number]],TB_Transactions[Quantity])</f>
        <v>50</v>
      </c>
      <c r="N1115" s="200" t="s">
        <v>4593</v>
      </c>
      <c r="O1115" s="234">
        <v>5</v>
      </c>
      <c r="P1115" s="199">
        <f>TB_Parts_Lists[[#This Row],[Quantity Initial]]*TB_Parts_Lists[[#This Row],[Unit Price AED]]</f>
        <v>250</v>
      </c>
      <c r="Q1115" s="199">
        <f>TB_Parts_Lists[[#This Row],[Quantity Total]]*TB_Parts_Lists[[#This Row],[Unit Price AED]]</f>
        <v>250</v>
      </c>
      <c r="S1115" s="199" t="s">
        <v>118</v>
      </c>
      <c r="T1115" s="199" t="s">
        <v>8702</v>
      </c>
      <c r="U1115" s="199" t="s">
        <v>8675</v>
      </c>
    </row>
    <row r="1116" spans="1:21" s="199" customFormat="1" x14ac:dyDescent="0.25">
      <c r="A1116" s="192" t="s">
        <v>7642</v>
      </c>
      <c r="B1116" s="203" t="s">
        <v>7603</v>
      </c>
      <c r="C1116" s="188" t="s">
        <v>7609</v>
      </c>
      <c r="D1116" s="199" t="s">
        <v>8732</v>
      </c>
      <c r="E1116" s="188" t="s">
        <v>5482</v>
      </c>
      <c r="F1116" s="189" t="s">
        <v>6116</v>
      </c>
      <c r="G1116" s="199" t="s">
        <v>8291</v>
      </c>
      <c r="H1116" s="199" t="s">
        <v>72</v>
      </c>
      <c r="I1116" s="199">
        <v>1</v>
      </c>
      <c r="J1116" s="199">
        <v>1</v>
      </c>
      <c r="K1116" s="199">
        <v>1</v>
      </c>
      <c r="L1116" s="199">
        <v>50</v>
      </c>
      <c r="M1116" s="202">
        <f>TB_Parts_Lists[[#This Row],[Quantity Initial]]+ SUMIF(TB_Transactions[Part number],TB_Parts_Lists[[#This Row],[Part Number]],TB_Transactions[Quantity])</f>
        <v>50</v>
      </c>
      <c r="N1116" s="200" t="s">
        <v>4593</v>
      </c>
      <c r="O1116" s="234">
        <v>5</v>
      </c>
      <c r="P1116" s="199">
        <f>TB_Parts_Lists[[#This Row],[Quantity Initial]]*TB_Parts_Lists[[#This Row],[Unit Price AED]]</f>
        <v>250</v>
      </c>
      <c r="Q1116" s="199">
        <f>TB_Parts_Lists[[#This Row],[Quantity Total]]*TB_Parts_Lists[[#This Row],[Unit Price AED]]</f>
        <v>250</v>
      </c>
      <c r="S1116" s="199" t="s">
        <v>118</v>
      </c>
      <c r="T1116" s="199" t="s">
        <v>8702</v>
      </c>
      <c r="U1116" s="199" t="s">
        <v>8675</v>
      </c>
    </row>
    <row r="1117" spans="1:21" s="199" customFormat="1" x14ac:dyDescent="0.25">
      <c r="A1117" s="192" t="s">
        <v>7643</v>
      </c>
      <c r="B1117" s="203" t="s">
        <v>7603</v>
      </c>
      <c r="C1117" s="188" t="s">
        <v>7608</v>
      </c>
      <c r="D1117" s="199" t="s">
        <v>8732</v>
      </c>
      <c r="E1117" s="188" t="s">
        <v>5483</v>
      </c>
      <c r="F1117" s="189" t="s">
        <v>6117</v>
      </c>
      <c r="G1117" s="199" t="s">
        <v>8291</v>
      </c>
      <c r="H1117" s="199" t="s">
        <v>72</v>
      </c>
      <c r="I1117" s="199">
        <v>1</v>
      </c>
      <c r="J1117" s="199">
        <v>1</v>
      </c>
      <c r="K1117" s="199">
        <v>1</v>
      </c>
      <c r="L1117" s="199">
        <v>50</v>
      </c>
      <c r="M1117" s="202">
        <f>TB_Parts_Lists[[#This Row],[Quantity Initial]]+ SUMIF(TB_Transactions[Part number],TB_Parts_Lists[[#This Row],[Part Number]],TB_Transactions[Quantity])</f>
        <v>50</v>
      </c>
      <c r="N1117" s="200" t="s">
        <v>4593</v>
      </c>
      <c r="O1117" s="234">
        <v>5</v>
      </c>
      <c r="P1117" s="199">
        <f>TB_Parts_Lists[[#This Row],[Quantity Initial]]*TB_Parts_Lists[[#This Row],[Unit Price AED]]</f>
        <v>250</v>
      </c>
      <c r="Q1117" s="199">
        <f>TB_Parts_Lists[[#This Row],[Quantity Total]]*TB_Parts_Lists[[#This Row],[Unit Price AED]]</f>
        <v>250</v>
      </c>
      <c r="S1117" s="199" t="s">
        <v>118</v>
      </c>
      <c r="T1117" s="199" t="s">
        <v>8702</v>
      </c>
      <c r="U1117" s="199" t="s">
        <v>8675</v>
      </c>
    </row>
    <row r="1118" spans="1:21" s="199" customFormat="1" x14ac:dyDescent="0.25">
      <c r="A1118" s="192" t="s">
        <v>7644</v>
      </c>
      <c r="B1118" s="203" t="s">
        <v>7603</v>
      </c>
      <c r="C1118" s="188" t="s">
        <v>7605</v>
      </c>
      <c r="D1118" s="199" t="s">
        <v>8732</v>
      </c>
      <c r="E1118" s="188" t="s">
        <v>5484</v>
      </c>
      <c r="F1118" s="189" t="s">
        <v>6118</v>
      </c>
      <c r="G1118" s="199" t="s">
        <v>8291</v>
      </c>
      <c r="H1118" s="199" t="s">
        <v>72</v>
      </c>
      <c r="I1118" s="199">
        <v>1</v>
      </c>
      <c r="J1118" s="199">
        <v>1</v>
      </c>
      <c r="K1118" s="199">
        <v>1</v>
      </c>
      <c r="L1118" s="199">
        <v>50</v>
      </c>
      <c r="M1118" s="202">
        <f>TB_Parts_Lists[[#This Row],[Quantity Initial]]+ SUMIF(TB_Transactions[Part number],TB_Parts_Lists[[#This Row],[Part Number]],TB_Transactions[Quantity])</f>
        <v>50</v>
      </c>
      <c r="N1118" s="200" t="s">
        <v>4593</v>
      </c>
      <c r="O1118" s="234">
        <v>5</v>
      </c>
      <c r="P1118" s="199">
        <f>TB_Parts_Lists[[#This Row],[Quantity Initial]]*TB_Parts_Lists[[#This Row],[Unit Price AED]]</f>
        <v>250</v>
      </c>
      <c r="Q1118" s="199">
        <f>TB_Parts_Lists[[#This Row],[Quantity Total]]*TB_Parts_Lists[[#This Row],[Unit Price AED]]</f>
        <v>250</v>
      </c>
      <c r="S1118" s="199" t="s">
        <v>118</v>
      </c>
      <c r="T1118" s="199" t="s">
        <v>8702</v>
      </c>
      <c r="U1118" s="199" t="s">
        <v>8675</v>
      </c>
    </row>
    <row r="1119" spans="1:21" s="199" customFormat="1" x14ac:dyDescent="0.25">
      <c r="A1119" s="192" t="s">
        <v>7645</v>
      </c>
      <c r="B1119" s="203" t="s">
        <v>4605</v>
      </c>
      <c r="C1119" s="188" t="s">
        <v>5485</v>
      </c>
      <c r="D1119" s="199" t="s">
        <v>8732</v>
      </c>
      <c r="E1119" s="188" t="s">
        <v>5485</v>
      </c>
      <c r="F1119" s="189" t="s">
        <v>4255</v>
      </c>
      <c r="G1119" s="199" t="s">
        <v>8292</v>
      </c>
      <c r="H1119" s="199" t="s">
        <v>72</v>
      </c>
      <c r="I1119" s="199">
        <v>1</v>
      </c>
      <c r="J1119" s="199">
        <v>1</v>
      </c>
      <c r="K1119" s="199">
        <v>1</v>
      </c>
      <c r="L1119" s="199">
        <v>50</v>
      </c>
      <c r="M1119" s="202">
        <f>TB_Parts_Lists[[#This Row],[Quantity Initial]]+ SUMIF(TB_Transactions[Part number],TB_Parts_Lists[[#This Row],[Part Number]],TB_Transactions[Quantity])</f>
        <v>50</v>
      </c>
      <c r="N1119" s="200" t="s">
        <v>4593</v>
      </c>
      <c r="O1119" s="234">
        <v>5</v>
      </c>
      <c r="P1119" s="199">
        <f>TB_Parts_Lists[[#This Row],[Quantity Initial]]*TB_Parts_Lists[[#This Row],[Unit Price AED]]</f>
        <v>250</v>
      </c>
      <c r="Q1119" s="199">
        <f>TB_Parts_Lists[[#This Row],[Quantity Total]]*TB_Parts_Lists[[#This Row],[Unit Price AED]]</f>
        <v>250</v>
      </c>
      <c r="S1119" s="199" t="s">
        <v>118</v>
      </c>
      <c r="T1119" s="199" t="s">
        <v>8703</v>
      </c>
      <c r="U1119" s="199" t="s">
        <v>8675</v>
      </c>
    </row>
    <row r="1120" spans="1:21" s="199" customFormat="1" x14ac:dyDescent="0.25">
      <c r="A1120" s="192" t="s">
        <v>7647</v>
      </c>
      <c r="B1120" s="203" t="s">
        <v>3338</v>
      </c>
      <c r="C1120" s="188" t="s">
        <v>7646</v>
      </c>
      <c r="D1120" s="199" t="s">
        <v>8732</v>
      </c>
      <c r="E1120" s="188" t="s">
        <v>4248</v>
      </c>
      <c r="F1120" s="189" t="s">
        <v>4256</v>
      </c>
      <c r="G1120" s="199" t="s">
        <v>8292</v>
      </c>
      <c r="H1120" s="199">
        <v>214</v>
      </c>
      <c r="I1120" s="199">
        <v>1</v>
      </c>
      <c r="J1120" s="199">
        <v>1</v>
      </c>
      <c r="K1120" s="199">
        <v>1</v>
      </c>
      <c r="L1120" s="199">
        <v>50</v>
      </c>
      <c r="M1120" s="202">
        <f>TB_Parts_Lists[[#This Row],[Quantity Initial]]+ SUMIF(TB_Transactions[Part number],TB_Parts_Lists[[#This Row],[Part Number]],TB_Transactions[Quantity])</f>
        <v>50</v>
      </c>
      <c r="N1120" s="200" t="s">
        <v>4593</v>
      </c>
      <c r="O1120" s="234">
        <v>5</v>
      </c>
      <c r="P1120" s="199">
        <f>TB_Parts_Lists[[#This Row],[Quantity Initial]]*TB_Parts_Lists[[#This Row],[Unit Price AED]]</f>
        <v>250</v>
      </c>
      <c r="Q1120" s="199">
        <f>TB_Parts_Lists[[#This Row],[Quantity Total]]*TB_Parts_Lists[[#This Row],[Unit Price AED]]</f>
        <v>250</v>
      </c>
      <c r="S1120" s="199" t="s">
        <v>118</v>
      </c>
      <c r="T1120" s="199" t="s">
        <v>8703</v>
      </c>
      <c r="U1120" s="199" t="s">
        <v>8675</v>
      </c>
    </row>
    <row r="1121" spans="1:21" s="199" customFormat="1" x14ac:dyDescent="0.25">
      <c r="A1121" s="192" t="s">
        <v>7649</v>
      </c>
      <c r="B1121" s="203" t="s">
        <v>3338</v>
      </c>
      <c r="C1121" s="188" t="s">
        <v>6708</v>
      </c>
      <c r="D1121" s="199" t="s">
        <v>8724</v>
      </c>
      <c r="E1121" s="188" t="s">
        <v>5486</v>
      </c>
      <c r="F1121" s="189" t="s">
        <v>4257</v>
      </c>
      <c r="G1121" s="199" t="s">
        <v>8292</v>
      </c>
      <c r="H1121" s="199" t="s">
        <v>8657</v>
      </c>
      <c r="I1121" s="199">
        <v>1</v>
      </c>
      <c r="J1121" s="199">
        <v>1</v>
      </c>
      <c r="K1121" s="199">
        <v>1</v>
      </c>
      <c r="L1121" s="199">
        <v>50</v>
      </c>
      <c r="M1121" s="202">
        <f>TB_Parts_Lists[[#This Row],[Quantity Initial]]+ SUMIF(TB_Transactions[Part number],TB_Parts_Lists[[#This Row],[Part Number]],TB_Transactions[Quantity])</f>
        <v>50</v>
      </c>
      <c r="N1121" s="200" t="s">
        <v>4593</v>
      </c>
      <c r="O1121" s="234">
        <v>5</v>
      </c>
      <c r="P1121" s="199">
        <f>TB_Parts_Lists[[#This Row],[Quantity Initial]]*TB_Parts_Lists[[#This Row],[Unit Price AED]]</f>
        <v>250</v>
      </c>
      <c r="Q1121" s="199">
        <f>TB_Parts_Lists[[#This Row],[Quantity Total]]*TB_Parts_Lists[[#This Row],[Unit Price AED]]</f>
        <v>250</v>
      </c>
      <c r="S1121" s="199" t="s">
        <v>118</v>
      </c>
      <c r="T1121" s="199" t="s">
        <v>8675</v>
      </c>
      <c r="U1121" s="199" t="s">
        <v>8675</v>
      </c>
    </row>
    <row r="1122" spans="1:21" s="199" customFormat="1" x14ac:dyDescent="0.25">
      <c r="A1122" s="192" t="s">
        <v>7650</v>
      </c>
      <c r="B1122" s="203" t="s">
        <v>3338</v>
      </c>
      <c r="C1122" s="188" t="s">
        <v>6708</v>
      </c>
      <c r="D1122" s="199" t="s">
        <v>8724</v>
      </c>
      <c r="E1122" s="188" t="s">
        <v>5487</v>
      </c>
      <c r="F1122" s="189" t="s">
        <v>4258</v>
      </c>
      <c r="G1122" s="199" t="s">
        <v>8292</v>
      </c>
      <c r="H1122" s="199" t="s">
        <v>8657</v>
      </c>
      <c r="I1122" s="199">
        <v>1</v>
      </c>
      <c r="J1122" s="199">
        <v>1</v>
      </c>
      <c r="K1122" s="199">
        <v>1</v>
      </c>
      <c r="L1122" s="199">
        <v>50</v>
      </c>
      <c r="M1122" s="202">
        <f>TB_Parts_Lists[[#This Row],[Quantity Initial]]+ SUMIF(TB_Transactions[Part number],TB_Parts_Lists[[#This Row],[Part Number]],TB_Transactions[Quantity])</f>
        <v>50</v>
      </c>
      <c r="N1122" s="200" t="s">
        <v>4593</v>
      </c>
      <c r="O1122" s="234">
        <v>5</v>
      </c>
      <c r="P1122" s="199">
        <f>TB_Parts_Lists[[#This Row],[Quantity Initial]]*TB_Parts_Lists[[#This Row],[Unit Price AED]]</f>
        <v>250</v>
      </c>
      <c r="Q1122" s="199">
        <f>TB_Parts_Lists[[#This Row],[Quantity Total]]*TB_Parts_Lists[[#This Row],[Unit Price AED]]</f>
        <v>250</v>
      </c>
      <c r="S1122" s="199" t="s">
        <v>118</v>
      </c>
      <c r="T1122" s="199" t="s">
        <v>8675</v>
      </c>
      <c r="U1122" s="199" t="s">
        <v>8675</v>
      </c>
    </row>
    <row r="1123" spans="1:21" s="199" customFormat="1" x14ac:dyDescent="0.25">
      <c r="A1123" s="192" t="s">
        <v>7651</v>
      </c>
      <c r="B1123" s="203" t="s">
        <v>3338</v>
      </c>
      <c r="C1123" s="188" t="s">
        <v>7648</v>
      </c>
      <c r="D1123" s="199" t="s">
        <v>8724</v>
      </c>
      <c r="E1123" s="188" t="s">
        <v>5488</v>
      </c>
      <c r="F1123" s="189" t="s">
        <v>4650</v>
      </c>
      <c r="G1123" s="199" t="s">
        <v>8292</v>
      </c>
      <c r="H1123" s="199" t="s">
        <v>53</v>
      </c>
      <c r="I1123" s="199">
        <v>1</v>
      </c>
      <c r="J1123" s="199">
        <v>1</v>
      </c>
      <c r="K1123" s="199">
        <v>1</v>
      </c>
      <c r="L1123" s="199">
        <v>50</v>
      </c>
      <c r="M1123" s="202">
        <f>TB_Parts_Lists[[#This Row],[Quantity Initial]]+ SUMIF(TB_Transactions[Part number],TB_Parts_Lists[[#This Row],[Part Number]],TB_Transactions[Quantity])</f>
        <v>50</v>
      </c>
      <c r="N1123" s="200" t="s">
        <v>4593</v>
      </c>
      <c r="O1123" s="234">
        <v>5</v>
      </c>
      <c r="P1123" s="199">
        <f>TB_Parts_Lists[[#This Row],[Quantity Initial]]*TB_Parts_Lists[[#This Row],[Unit Price AED]]</f>
        <v>250</v>
      </c>
      <c r="Q1123" s="199">
        <f>TB_Parts_Lists[[#This Row],[Quantity Total]]*TB_Parts_Lists[[#This Row],[Unit Price AED]]</f>
        <v>250</v>
      </c>
      <c r="S1123" s="199" t="s">
        <v>118</v>
      </c>
      <c r="T1123" s="199" t="s">
        <v>8675</v>
      </c>
      <c r="U1123" s="199" t="s">
        <v>8675</v>
      </c>
    </row>
    <row r="1124" spans="1:21" s="199" customFormat="1" x14ac:dyDescent="0.25">
      <c r="A1124" s="192" t="s">
        <v>7652</v>
      </c>
      <c r="B1124" s="203" t="s">
        <v>3341</v>
      </c>
      <c r="C1124" s="188" t="s">
        <v>4249</v>
      </c>
      <c r="D1124" s="199" t="s">
        <v>8732</v>
      </c>
      <c r="E1124" s="188" t="s">
        <v>4249</v>
      </c>
      <c r="F1124" s="189" t="s">
        <v>4259</v>
      </c>
      <c r="G1124" s="199" t="s">
        <v>8292</v>
      </c>
      <c r="H1124" s="199" t="s">
        <v>8650</v>
      </c>
      <c r="I1124" s="199">
        <v>1</v>
      </c>
      <c r="J1124" s="199">
        <v>1</v>
      </c>
      <c r="K1124" s="199">
        <v>1</v>
      </c>
      <c r="L1124" s="199">
        <v>50</v>
      </c>
      <c r="M1124" s="202">
        <f>TB_Parts_Lists[[#This Row],[Quantity Initial]]+ SUMIF(TB_Transactions[Part number],TB_Parts_Lists[[#This Row],[Part Number]],TB_Transactions[Quantity])</f>
        <v>50</v>
      </c>
      <c r="N1124" s="200" t="s">
        <v>4593</v>
      </c>
      <c r="O1124" s="234">
        <v>5</v>
      </c>
      <c r="P1124" s="199">
        <f>TB_Parts_Lists[[#This Row],[Quantity Initial]]*TB_Parts_Lists[[#This Row],[Unit Price AED]]</f>
        <v>250</v>
      </c>
      <c r="Q1124" s="199">
        <f>TB_Parts_Lists[[#This Row],[Quantity Total]]*TB_Parts_Lists[[#This Row],[Unit Price AED]]</f>
        <v>250</v>
      </c>
      <c r="S1124" s="199" t="s">
        <v>118</v>
      </c>
      <c r="T1124" s="199" t="s">
        <v>8675</v>
      </c>
      <c r="U1124" s="199" t="s">
        <v>8675</v>
      </c>
    </row>
    <row r="1125" spans="1:21" s="199" customFormat="1" x14ac:dyDescent="0.25">
      <c r="A1125" s="192" t="s">
        <v>7660</v>
      </c>
      <c r="B1125" s="203" t="s">
        <v>3339</v>
      </c>
      <c r="C1125" s="188" t="s">
        <v>7653</v>
      </c>
      <c r="D1125" s="199" t="s">
        <v>8724</v>
      </c>
      <c r="E1125" s="188" t="s">
        <v>4652</v>
      </c>
      <c r="F1125" s="189" t="s">
        <v>4651</v>
      </c>
      <c r="G1125" s="199" t="s">
        <v>8292</v>
      </c>
      <c r="H1125" s="199" t="s">
        <v>8657</v>
      </c>
      <c r="I1125" s="199">
        <v>1</v>
      </c>
      <c r="J1125" s="199">
        <v>1</v>
      </c>
      <c r="K1125" s="199">
        <v>1</v>
      </c>
      <c r="L1125" s="199">
        <v>50</v>
      </c>
      <c r="M1125" s="202">
        <f>TB_Parts_Lists[[#This Row],[Quantity Initial]]+ SUMIF(TB_Transactions[Part number],TB_Parts_Lists[[#This Row],[Part Number]],TB_Transactions[Quantity])</f>
        <v>50</v>
      </c>
      <c r="N1125" s="200" t="s">
        <v>4593</v>
      </c>
      <c r="O1125" s="234">
        <v>5</v>
      </c>
      <c r="P1125" s="199">
        <f>TB_Parts_Lists[[#This Row],[Quantity Initial]]*TB_Parts_Lists[[#This Row],[Unit Price AED]]</f>
        <v>250</v>
      </c>
      <c r="Q1125" s="199">
        <f>TB_Parts_Lists[[#This Row],[Quantity Total]]*TB_Parts_Lists[[#This Row],[Unit Price AED]]</f>
        <v>250</v>
      </c>
      <c r="S1125" s="199" t="s">
        <v>118</v>
      </c>
      <c r="T1125" s="199" t="s">
        <v>8675</v>
      </c>
      <c r="U1125" s="199" t="s">
        <v>8675</v>
      </c>
    </row>
    <row r="1126" spans="1:21" s="199" customFormat="1" x14ac:dyDescent="0.25">
      <c r="A1126" s="192" t="s">
        <v>7661</v>
      </c>
      <c r="B1126" s="203" t="s">
        <v>3338</v>
      </c>
      <c r="C1126" s="188" t="s">
        <v>7608</v>
      </c>
      <c r="D1126" s="199" t="s">
        <v>8732</v>
      </c>
      <c r="E1126" s="188" t="s">
        <v>5489</v>
      </c>
      <c r="F1126" s="189" t="s">
        <v>4260</v>
      </c>
      <c r="G1126" s="199" t="s">
        <v>8292</v>
      </c>
      <c r="H1126" s="199" t="s">
        <v>8657</v>
      </c>
      <c r="I1126" s="199">
        <v>1</v>
      </c>
      <c r="J1126" s="199">
        <v>1</v>
      </c>
      <c r="K1126" s="199">
        <v>1</v>
      </c>
      <c r="L1126" s="199">
        <v>50</v>
      </c>
      <c r="M1126" s="202">
        <f>TB_Parts_Lists[[#This Row],[Quantity Initial]]+ SUMIF(TB_Transactions[Part number],TB_Parts_Lists[[#This Row],[Part Number]],TB_Transactions[Quantity])</f>
        <v>50</v>
      </c>
      <c r="N1126" s="200" t="s">
        <v>4593</v>
      </c>
      <c r="O1126" s="234">
        <v>5</v>
      </c>
      <c r="P1126" s="199">
        <f>TB_Parts_Lists[[#This Row],[Quantity Initial]]*TB_Parts_Lists[[#This Row],[Unit Price AED]]</f>
        <v>250</v>
      </c>
      <c r="Q1126" s="199">
        <f>TB_Parts_Lists[[#This Row],[Quantity Total]]*TB_Parts_Lists[[#This Row],[Unit Price AED]]</f>
        <v>250</v>
      </c>
      <c r="S1126" s="199" t="s">
        <v>118</v>
      </c>
      <c r="T1126" s="199" t="s">
        <v>8675</v>
      </c>
      <c r="U1126" s="199" t="s">
        <v>8675</v>
      </c>
    </row>
    <row r="1127" spans="1:21" s="199" customFormat="1" x14ac:dyDescent="0.25">
      <c r="A1127" s="192" t="s">
        <v>7662</v>
      </c>
      <c r="B1127" s="203" t="s">
        <v>3338</v>
      </c>
      <c r="C1127" s="188" t="s">
        <v>6708</v>
      </c>
      <c r="D1127" s="199" t="s">
        <v>8724</v>
      </c>
      <c r="E1127" s="188" t="s">
        <v>5490</v>
      </c>
      <c r="F1127" s="189" t="s">
        <v>4653</v>
      </c>
      <c r="G1127" s="199" t="s">
        <v>8292</v>
      </c>
      <c r="H1127" s="199" t="s">
        <v>8657</v>
      </c>
      <c r="I1127" s="199">
        <v>1</v>
      </c>
      <c r="J1127" s="199">
        <v>1</v>
      </c>
      <c r="K1127" s="199">
        <v>1</v>
      </c>
      <c r="L1127" s="199">
        <v>50</v>
      </c>
      <c r="M1127" s="202">
        <f>TB_Parts_Lists[[#This Row],[Quantity Initial]]+ SUMIF(TB_Transactions[Part number],TB_Parts_Lists[[#This Row],[Part Number]],TB_Transactions[Quantity])</f>
        <v>50</v>
      </c>
      <c r="N1127" s="200" t="s">
        <v>4593</v>
      </c>
      <c r="O1127" s="234">
        <v>5</v>
      </c>
      <c r="P1127" s="199">
        <f>TB_Parts_Lists[[#This Row],[Quantity Initial]]*TB_Parts_Lists[[#This Row],[Unit Price AED]]</f>
        <v>250</v>
      </c>
      <c r="Q1127" s="199">
        <f>TB_Parts_Lists[[#This Row],[Quantity Total]]*TB_Parts_Lists[[#This Row],[Unit Price AED]]</f>
        <v>250</v>
      </c>
      <c r="S1127" s="199" t="s">
        <v>118</v>
      </c>
      <c r="T1127" s="199" t="s">
        <v>8675</v>
      </c>
      <c r="U1127" s="199" t="s">
        <v>8675</v>
      </c>
    </row>
    <row r="1128" spans="1:21" s="199" customFormat="1" x14ac:dyDescent="0.25">
      <c r="A1128" s="192" t="s">
        <v>7663</v>
      </c>
      <c r="B1128" s="203" t="s">
        <v>3341</v>
      </c>
      <c r="C1128" s="188" t="s">
        <v>4304</v>
      </c>
      <c r="D1128" s="199" t="s">
        <v>8732</v>
      </c>
      <c r="E1128" s="188" t="s">
        <v>5491</v>
      </c>
      <c r="F1128" s="189" t="s">
        <v>6119</v>
      </c>
      <c r="G1128" s="199" t="s">
        <v>8292</v>
      </c>
      <c r="H1128" s="199" t="s">
        <v>8650</v>
      </c>
      <c r="I1128" s="199">
        <v>1</v>
      </c>
      <c r="J1128" s="199">
        <v>1</v>
      </c>
      <c r="K1128" s="199">
        <v>1</v>
      </c>
      <c r="L1128" s="199">
        <v>50</v>
      </c>
      <c r="M1128" s="202">
        <f>TB_Parts_Lists[[#This Row],[Quantity Initial]]+ SUMIF(TB_Transactions[Part number],TB_Parts_Lists[[#This Row],[Part Number]],TB_Transactions[Quantity])</f>
        <v>50</v>
      </c>
      <c r="N1128" s="200" t="s">
        <v>4593</v>
      </c>
      <c r="O1128" s="234">
        <v>5</v>
      </c>
      <c r="P1128" s="199">
        <f>TB_Parts_Lists[[#This Row],[Quantity Initial]]*TB_Parts_Lists[[#This Row],[Unit Price AED]]</f>
        <v>250</v>
      </c>
      <c r="Q1128" s="199">
        <f>TB_Parts_Lists[[#This Row],[Quantity Total]]*TB_Parts_Lists[[#This Row],[Unit Price AED]]</f>
        <v>250</v>
      </c>
      <c r="S1128" s="199" t="s">
        <v>118</v>
      </c>
      <c r="T1128" s="199" t="s">
        <v>8675</v>
      </c>
      <c r="U1128" s="199" t="s">
        <v>8675</v>
      </c>
    </row>
    <row r="1129" spans="1:21" s="199" customFormat="1" x14ac:dyDescent="0.25">
      <c r="A1129" s="192" t="s">
        <v>7664</v>
      </c>
      <c r="B1129" s="203" t="s">
        <v>3338</v>
      </c>
      <c r="C1129" s="188" t="s">
        <v>7608</v>
      </c>
      <c r="D1129" s="199" t="s">
        <v>8732</v>
      </c>
      <c r="E1129" s="188" t="s">
        <v>4250</v>
      </c>
      <c r="F1129" s="189" t="s">
        <v>4261</v>
      </c>
      <c r="G1129" s="199" t="s">
        <v>8293</v>
      </c>
      <c r="H1129" s="199" t="s">
        <v>8657</v>
      </c>
      <c r="I1129" s="199">
        <v>1</v>
      </c>
      <c r="J1129" s="199">
        <v>1</v>
      </c>
      <c r="K1129" s="199">
        <v>1</v>
      </c>
      <c r="L1129" s="199">
        <v>50</v>
      </c>
      <c r="M1129" s="202">
        <f>TB_Parts_Lists[[#This Row],[Quantity Initial]]+ SUMIF(TB_Transactions[Part number],TB_Parts_Lists[[#This Row],[Part Number]],TB_Transactions[Quantity])</f>
        <v>50</v>
      </c>
      <c r="N1129" s="200" t="s">
        <v>4593</v>
      </c>
      <c r="O1129" s="234">
        <v>5</v>
      </c>
      <c r="P1129" s="199">
        <f>TB_Parts_Lists[[#This Row],[Quantity Initial]]*TB_Parts_Lists[[#This Row],[Unit Price AED]]</f>
        <v>250</v>
      </c>
      <c r="Q1129" s="199">
        <f>TB_Parts_Lists[[#This Row],[Quantity Total]]*TB_Parts_Lists[[#This Row],[Unit Price AED]]</f>
        <v>250</v>
      </c>
      <c r="S1129" s="199" t="s">
        <v>118</v>
      </c>
      <c r="T1129" s="199" t="s">
        <v>8675</v>
      </c>
      <c r="U1129" s="199" t="s">
        <v>8675</v>
      </c>
    </row>
    <row r="1130" spans="1:21" s="199" customFormat="1" x14ac:dyDescent="0.25">
      <c r="A1130" s="192" t="s">
        <v>7665</v>
      </c>
      <c r="B1130" s="203" t="s">
        <v>3338</v>
      </c>
      <c r="C1130" s="188" t="s">
        <v>7608</v>
      </c>
      <c r="D1130" s="199" t="s">
        <v>8732</v>
      </c>
      <c r="E1130" s="188" t="s">
        <v>4251</v>
      </c>
      <c r="F1130" s="189" t="s">
        <v>4262</v>
      </c>
      <c r="G1130" s="199" t="s">
        <v>8293</v>
      </c>
      <c r="H1130" s="199" t="s">
        <v>8657</v>
      </c>
      <c r="I1130" s="199">
        <v>1</v>
      </c>
      <c r="J1130" s="199">
        <v>1</v>
      </c>
      <c r="K1130" s="199">
        <v>1</v>
      </c>
      <c r="L1130" s="199">
        <v>50</v>
      </c>
      <c r="M1130" s="202">
        <f>TB_Parts_Lists[[#This Row],[Quantity Initial]]+ SUMIF(TB_Transactions[Part number],TB_Parts_Lists[[#This Row],[Part Number]],TB_Transactions[Quantity])</f>
        <v>50</v>
      </c>
      <c r="N1130" s="200" t="s">
        <v>4593</v>
      </c>
      <c r="O1130" s="234">
        <v>5</v>
      </c>
      <c r="P1130" s="199">
        <f>TB_Parts_Lists[[#This Row],[Quantity Initial]]*TB_Parts_Lists[[#This Row],[Unit Price AED]]</f>
        <v>250</v>
      </c>
      <c r="Q1130" s="199">
        <f>TB_Parts_Lists[[#This Row],[Quantity Total]]*TB_Parts_Lists[[#This Row],[Unit Price AED]]</f>
        <v>250</v>
      </c>
      <c r="S1130" s="199" t="s">
        <v>118</v>
      </c>
      <c r="T1130" s="199" t="s">
        <v>8675</v>
      </c>
      <c r="U1130" s="199" t="s">
        <v>8675</v>
      </c>
    </row>
    <row r="1131" spans="1:21" s="199" customFormat="1" x14ac:dyDescent="0.25">
      <c r="A1131" s="192" t="s">
        <v>7666</v>
      </c>
      <c r="B1131" s="203" t="s">
        <v>3338</v>
      </c>
      <c r="C1131" s="188" t="s">
        <v>7608</v>
      </c>
      <c r="D1131" s="199" t="s">
        <v>8732</v>
      </c>
      <c r="E1131" s="188" t="s">
        <v>4654</v>
      </c>
      <c r="F1131" s="189" t="s">
        <v>4263</v>
      </c>
      <c r="G1131" s="199" t="s">
        <v>8293</v>
      </c>
      <c r="H1131" s="199" t="s">
        <v>8657</v>
      </c>
      <c r="I1131" s="199">
        <v>1</v>
      </c>
      <c r="J1131" s="199">
        <v>1</v>
      </c>
      <c r="K1131" s="199">
        <v>1</v>
      </c>
      <c r="L1131" s="199">
        <v>50</v>
      </c>
      <c r="M1131" s="202">
        <f>TB_Parts_Lists[[#This Row],[Quantity Initial]]+ SUMIF(TB_Transactions[Part number],TB_Parts_Lists[[#This Row],[Part Number]],TB_Transactions[Quantity])</f>
        <v>50</v>
      </c>
      <c r="N1131" s="200" t="s">
        <v>4593</v>
      </c>
      <c r="O1131" s="234">
        <v>5</v>
      </c>
      <c r="P1131" s="199">
        <f>TB_Parts_Lists[[#This Row],[Quantity Initial]]*TB_Parts_Lists[[#This Row],[Unit Price AED]]</f>
        <v>250</v>
      </c>
      <c r="Q1131" s="199">
        <f>TB_Parts_Lists[[#This Row],[Quantity Total]]*TB_Parts_Lists[[#This Row],[Unit Price AED]]</f>
        <v>250</v>
      </c>
      <c r="S1131" s="199" t="s">
        <v>118</v>
      </c>
      <c r="T1131" s="199" t="s">
        <v>8675</v>
      </c>
      <c r="U1131" s="199" t="s">
        <v>8675</v>
      </c>
    </row>
    <row r="1132" spans="1:21" s="199" customFormat="1" x14ac:dyDescent="0.25">
      <c r="A1132" s="192" t="s">
        <v>7667</v>
      </c>
      <c r="B1132" s="203" t="s">
        <v>3338</v>
      </c>
      <c r="C1132" s="188" t="s">
        <v>7608</v>
      </c>
      <c r="D1132" s="199" t="s">
        <v>8732</v>
      </c>
      <c r="E1132" s="188" t="s">
        <v>4655</v>
      </c>
      <c r="F1132" s="189" t="s">
        <v>4264</v>
      </c>
      <c r="G1132" s="199" t="s">
        <v>8293</v>
      </c>
      <c r="H1132" s="199" t="s">
        <v>8657</v>
      </c>
      <c r="I1132" s="199">
        <v>1</v>
      </c>
      <c r="J1132" s="199">
        <v>1</v>
      </c>
      <c r="K1132" s="199">
        <v>1</v>
      </c>
      <c r="L1132" s="199">
        <v>50</v>
      </c>
      <c r="M1132" s="202">
        <f>TB_Parts_Lists[[#This Row],[Quantity Initial]]+ SUMIF(TB_Transactions[Part number],TB_Parts_Lists[[#This Row],[Part Number]],TB_Transactions[Quantity])</f>
        <v>50</v>
      </c>
      <c r="N1132" s="200" t="s">
        <v>4593</v>
      </c>
      <c r="O1132" s="234">
        <v>5</v>
      </c>
      <c r="P1132" s="199">
        <f>TB_Parts_Lists[[#This Row],[Quantity Initial]]*TB_Parts_Lists[[#This Row],[Unit Price AED]]</f>
        <v>250</v>
      </c>
      <c r="Q1132" s="199">
        <f>TB_Parts_Lists[[#This Row],[Quantity Total]]*TB_Parts_Lists[[#This Row],[Unit Price AED]]</f>
        <v>250</v>
      </c>
      <c r="S1132" s="199" t="s">
        <v>118</v>
      </c>
      <c r="T1132" s="199" t="s">
        <v>8675</v>
      </c>
      <c r="U1132" s="199" t="s">
        <v>8675</v>
      </c>
    </row>
    <row r="1133" spans="1:21" s="199" customFormat="1" x14ac:dyDescent="0.25">
      <c r="A1133" s="192" t="s">
        <v>7668</v>
      </c>
      <c r="B1133" s="203" t="s">
        <v>3337</v>
      </c>
      <c r="C1133" s="188" t="s">
        <v>3378</v>
      </c>
      <c r="D1133" s="199" t="s">
        <v>8732</v>
      </c>
      <c r="E1133" s="188" t="s">
        <v>4295</v>
      </c>
      <c r="F1133" s="189" t="s">
        <v>4265</v>
      </c>
      <c r="G1133" s="199" t="s">
        <v>8293</v>
      </c>
      <c r="H1133" s="199" t="s">
        <v>72</v>
      </c>
      <c r="I1133" s="199">
        <v>1</v>
      </c>
      <c r="J1133" s="199">
        <v>1</v>
      </c>
      <c r="K1133" s="199">
        <v>1</v>
      </c>
      <c r="L1133" s="199">
        <v>50</v>
      </c>
      <c r="M1133" s="202">
        <f>TB_Parts_Lists[[#This Row],[Quantity Initial]]+ SUMIF(TB_Transactions[Part number],TB_Parts_Lists[[#This Row],[Part Number]],TB_Transactions[Quantity])</f>
        <v>50</v>
      </c>
      <c r="N1133" s="200" t="s">
        <v>4593</v>
      </c>
      <c r="O1133" s="234">
        <v>5</v>
      </c>
      <c r="P1133" s="199">
        <f>TB_Parts_Lists[[#This Row],[Quantity Initial]]*TB_Parts_Lists[[#This Row],[Unit Price AED]]</f>
        <v>250</v>
      </c>
      <c r="Q1133" s="199">
        <f>TB_Parts_Lists[[#This Row],[Quantity Total]]*TB_Parts_Lists[[#This Row],[Unit Price AED]]</f>
        <v>250</v>
      </c>
      <c r="S1133" s="199" t="s">
        <v>118</v>
      </c>
      <c r="T1133" s="199" t="s">
        <v>485</v>
      </c>
      <c r="U1133" s="199" t="s">
        <v>484</v>
      </c>
    </row>
    <row r="1134" spans="1:21" s="199" customFormat="1" x14ac:dyDescent="0.25">
      <c r="A1134" s="192" t="s">
        <v>7669</v>
      </c>
      <c r="B1134" s="203" t="s">
        <v>3337</v>
      </c>
      <c r="C1134" s="188" t="s">
        <v>3378</v>
      </c>
      <c r="D1134" s="199" t="s">
        <v>8732</v>
      </c>
      <c r="E1134" s="188" t="s">
        <v>4296</v>
      </c>
      <c r="F1134" s="189" t="s">
        <v>4266</v>
      </c>
      <c r="G1134" s="199" t="s">
        <v>8293</v>
      </c>
      <c r="H1134" s="199" t="s">
        <v>72</v>
      </c>
      <c r="I1134" s="199">
        <v>1</v>
      </c>
      <c r="J1134" s="199">
        <v>1</v>
      </c>
      <c r="K1134" s="199">
        <v>1</v>
      </c>
      <c r="L1134" s="199">
        <v>50</v>
      </c>
      <c r="M1134" s="202">
        <f>TB_Parts_Lists[[#This Row],[Quantity Initial]]+ SUMIF(TB_Transactions[Part number],TB_Parts_Lists[[#This Row],[Part Number]],TB_Transactions[Quantity])</f>
        <v>50</v>
      </c>
      <c r="N1134" s="200" t="s">
        <v>4593</v>
      </c>
      <c r="O1134" s="234">
        <v>5</v>
      </c>
      <c r="P1134" s="199">
        <f>TB_Parts_Lists[[#This Row],[Quantity Initial]]*TB_Parts_Lists[[#This Row],[Unit Price AED]]</f>
        <v>250</v>
      </c>
      <c r="Q1134" s="199">
        <f>TB_Parts_Lists[[#This Row],[Quantity Total]]*TB_Parts_Lists[[#This Row],[Unit Price AED]]</f>
        <v>250</v>
      </c>
      <c r="S1134" s="199" t="s">
        <v>118</v>
      </c>
      <c r="T1134" s="199" t="s">
        <v>485</v>
      </c>
      <c r="U1134" s="199" t="s">
        <v>484</v>
      </c>
    </row>
    <row r="1135" spans="1:21" s="199" customFormat="1" x14ac:dyDescent="0.25">
      <c r="A1135" s="192" t="s">
        <v>7670</v>
      </c>
      <c r="B1135" s="203" t="s">
        <v>3338</v>
      </c>
      <c r="C1135" s="188" t="s">
        <v>7608</v>
      </c>
      <c r="D1135" s="199" t="s">
        <v>8732</v>
      </c>
      <c r="E1135" s="188" t="s">
        <v>5492</v>
      </c>
      <c r="F1135" s="189" t="s">
        <v>4656</v>
      </c>
      <c r="G1135" s="199" t="s">
        <v>8293</v>
      </c>
      <c r="H1135" s="199" t="s">
        <v>8657</v>
      </c>
      <c r="I1135" s="199">
        <v>1</v>
      </c>
      <c r="J1135" s="199">
        <v>1</v>
      </c>
      <c r="K1135" s="199">
        <v>1</v>
      </c>
      <c r="L1135" s="199">
        <v>50</v>
      </c>
      <c r="M1135" s="202">
        <f>TB_Parts_Lists[[#This Row],[Quantity Initial]]+ SUMIF(TB_Transactions[Part number],TB_Parts_Lists[[#This Row],[Part Number]],TB_Transactions[Quantity])</f>
        <v>50</v>
      </c>
      <c r="N1135" s="200" t="s">
        <v>4593</v>
      </c>
      <c r="O1135" s="234">
        <v>5</v>
      </c>
      <c r="P1135" s="199">
        <f>TB_Parts_Lists[[#This Row],[Quantity Initial]]*TB_Parts_Lists[[#This Row],[Unit Price AED]]</f>
        <v>250</v>
      </c>
      <c r="Q1135" s="199">
        <f>TB_Parts_Lists[[#This Row],[Quantity Total]]*TB_Parts_Lists[[#This Row],[Unit Price AED]]</f>
        <v>250</v>
      </c>
      <c r="S1135" s="199" t="s">
        <v>118</v>
      </c>
      <c r="T1135" s="199" t="s">
        <v>8675</v>
      </c>
      <c r="U1135" s="199" t="s">
        <v>8675</v>
      </c>
    </row>
    <row r="1136" spans="1:21" s="199" customFormat="1" x14ac:dyDescent="0.25">
      <c r="A1136" s="192" t="s">
        <v>7671</v>
      </c>
      <c r="B1136" s="203" t="s">
        <v>3338</v>
      </c>
      <c r="C1136" s="188" t="s">
        <v>7608</v>
      </c>
      <c r="D1136" s="199" t="s">
        <v>8732</v>
      </c>
      <c r="E1136" s="188" t="s">
        <v>5493</v>
      </c>
      <c r="F1136" s="189" t="s">
        <v>4657</v>
      </c>
      <c r="G1136" s="199" t="s">
        <v>8293</v>
      </c>
      <c r="H1136" s="199" t="s">
        <v>8657</v>
      </c>
      <c r="I1136" s="199">
        <v>1</v>
      </c>
      <c r="J1136" s="199">
        <v>1</v>
      </c>
      <c r="K1136" s="199">
        <v>1</v>
      </c>
      <c r="L1136" s="199">
        <v>50</v>
      </c>
      <c r="M1136" s="202">
        <f>TB_Parts_Lists[[#This Row],[Quantity Initial]]+ SUMIF(TB_Transactions[Part number],TB_Parts_Lists[[#This Row],[Part Number]],TB_Transactions[Quantity])</f>
        <v>50</v>
      </c>
      <c r="N1136" s="200" t="s">
        <v>4593</v>
      </c>
      <c r="O1136" s="234">
        <v>5</v>
      </c>
      <c r="P1136" s="199">
        <f>TB_Parts_Lists[[#This Row],[Quantity Initial]]*TB_Parts_Lists[[#This Row],[Unit Price AED]]</f>
        <v>250</v>
      </c>
      <c r="Q1136" s="199">
        <f>TB_Parts_Lists[[#This Row],[Quantity Total]]*TB_Parts_Lists[[#This Row],[Unit Price AED]]</f>
        <v>250</v>
      </c>
      <c r="S1136" s="199" t="s">
        <v>118</v>
      </c>
      <c r="T1136" s="199" t="s">
        <v>8675</v>
      </c>
      <c r="U1136" s="199" t="s">
        <v>8675</v>
      </c>
    </row>
    <row r="1137" spans="1:21" s="199" customFormat="1" x14ac:dyDescent="0.25">
      <c r="A1137" s="192" t="s">
        <v>7672</v>
      </c>
      <c r="B1137" s="203" t="s">
        <v>3338</v>
      </c>
      <c r="C1137" s="188" t="s">
        <v>7608</v>
      </c>
      <c r="D1137" s="199" t="s">
        <v>8732</v>
      </c>
      <c r="E1137" s="188" t="s">
        <v>5494</v>
      </c>
      <c r="F1137" s="189" t="s">
        <v>6120</v>
      </c>
      <c r="G1137" s="199" t="s">
        <v>8293</v>
      </c>
      <c r="H1137" s="199" t="s">
        <v>8657</v>
      </c>
      <c r="I1137" s="199">
        <v>1</v>
      </c>
      <c r="J1137" s="199">
        <v>1</v>
      </c>
      <c r="K1137" s="199">
        <v>1</v>
      </c>
      <c r="L1137" s="199">
        <v>50</v>
      </c>
      <c r="M1137" s="202">
        <f>TB_Parts_Lists[[#This Row],[Quantity Initial]]+ SUMIF(TB_Transactions[Part number],TB_Parts_Lists[[#This Row],[Part Number]],TB_Transactions[Quantity])</f>
        <v>50</v>
      </c>
      <c r="N1137" s="200" t="s">
        <v>4593</v>
      </c>
      <c r="O1137" s="234">
        <v>5</v>
      </c>
      <c r="P1137" s="199">
        <f>TB_Parts_Lists[[#This Row],[Quantity Initial]]*TB_Parts_Lists[[#This Row],[Unit Price AED]]</f>
        <v>250</v>
      </c>
      <c r="Q1137" s="199">
        <f>TB_Parts_Lists[[#This Row],[Quantity Total]]*TB_Parts_Lists[[#This Row],[Unit Price AED]]</f>
        <v>250</v>
      </c>
      <c r="S1137" s="199" t="s">
        <v>118</v>
      </c>
      <c r="T1137" s="199" t="s">
        <v>8675</v>
      </c>
      <c r="U1137" s="199" t="s">
        <v>8675</v>
      </c>
    </row>
    <row r="1138" spans="1:21" s="199" customFormat="1" x14ac:dyDescent="0.25">
      <c r="A1138" s="192" t="s">
        <v>7674</v>
      </c>
      <c r="B1138" s="203" t="s">
        <v>3337</v>
      </c>
      <c r="C1138" s="188" t="s">
        <v>3375</v>
      </c>
      <c r="D1138" s="199" t="s">
        <v>8732</v>
      </c>
      <c r="E1138" s="188" t="s">
        <v>3375</v>
      </c>
      <c r="F1138" s="189" t="s">
        <v>6121</v>
      </c>
      <c r="G1138" s="199" t="s">
        <v>8293</v>
      </c>
      <c r="H1138" s="199" t="s">
        <v>8657</v>
      </c>
      <c r="I1138" s="199">
        <v>1</v>
      </c>
      <c r="J1138" s="199">
        <v>1</v>
      </c>
      <c r="K1138" s="199">
        <v>1</v>
      </c>
      <c r="L1138" s="199">
        <v>50</v>
      </c>
      <c r="M1138" s="202">
        <f>TB_Parts_Lists[[#This Row],[Quantity Initial]]+ SUMIF(TB_Transactions[Part number],TB_Parts_Lists[[#This Row],[Part Number]],TB_Transactions[Quantity])</f>
        <v>50</v>
      </c>
      <c r="N1138" s="200" t="s">
        <v>4593</v>
      </c>
      <c r="O1138" s="234">
        <v>5</v>
      </c>
      <c r="P1138" s="199">
        <f>TB_Parts_Lists[[#This Row],[Quantity Initial]]*TB_Parts_Lists[[#This Row],[Unit Price AED]]</f>
        <v>250</v>
      </c>
      <c r="Q1138" s="199">
        <f>TB_Parts_Lists[[#This Row],[Quantity Total]]*TB_Parts_Lists[[#This Row],[Unit Price AED]]</f>
        <v>250</v>
      </c>
      <c r="S1138" s="199" t="s">
        <v>118</v>
      </c>
      <c r="T1138" s="199" t="s">
        <v>8675</v>
      </c>
      <c r="U1138" s="199" t="s">
        <v>8675</v>
      </c>
    </row>
    <row r="1139" spans="1:21" s="199" customFormat="1" x14ac:dyDescent="0.25">
      <c r="A1139" s="192" t="s">
        <v>7675</v>
      </c>
      <c r="B1139" s="203" t="s">
        <v>3337</v>
      </c>
      <c r="C1139" s="188" t="s">
        <v>3375</v>
      </c>
      <c r="D1139" s="199" t="s">
        <v>8732</v>
      </c>
      <c r="E1139" s="188" t="s">
        <v>4252</v>
      </c>
      <c r="F1139" s="189" t="s">
        <v>4267</v>
      </c>
      <c r="G1139" s="199" t="s">
        <v>8294</v>
      </c>
      <c r="H1139" s="199" t="s">
        <v>72</v>
      </c>
      <c r="I1139" s="199">
        <v>1</v>
      </c>
      <c r="J1139" s="199">
        <v>1</v>
      </c>
      <c r="K1139" s="199">
        <v>1</v>
      </c>
      <c r="L1139" s="199">
        <v>50</v>
      </c>
      <c r="M1139" s="202">
        <f>TB_Parts_Lists[[#This Row],[Quantity Initial]]+ SUMIF(TB_Transactions[Part number],TB_Parts_Lists[[#This Row],[Part Number]],TB_Transactions[Quantity])</f>
        <v>50</v>
      </c>
      <c r="N1139" s="200" t="s">
        <v>4593</v>
      </c>
      <c r="O1139" s="234">
        <v>5</v>
      </c>
      <c r="P1139" s="199">
        <f>TB_Parts_Lists[[#This Row],[Quantity Initial]]*TB_Parts_Lists[[#This Row],[Unit Price AED]]</f>
        <v>250</v>
      </c>
      <c r="Q1139" s="199">
        <f>TB_Parts_Lists[[#This Row],[Quantity Total]]*TB_Parts_Lists[[#This Row],[Unit Price AED]]</f>
        <v>250</v>
      </c>
      <c r="S1139" s="199" t="s">
        <v>118</v>
      </c>
      <c r="T1139" s="199" t="s">
        <v>8703</v>
      </c>
      <c r="U1139" s="199" t="s">
        <v>8675</v>
      </c>
    </row>
    <row r="1140" spans="1:21" s="199" customFormat="1" x14ac:dyDescent="0.25">
      <c r="A1140" s="192" t="s">
        <v>7676</v>
      </c>
      <c r="B1140" s="203" t="s">
        <v>3337</v>
      </c>
      <c r="C1140" s="188" t="s">
        <v>7673</v>
      </c>
      <c r="D1140" s="199" t="s">
        <v>8732</v>
      </c>
      <c r="E1140" s="188" t="s">
        <v>5495</v>
      </c>
      <c r="F1140" s="189" t="s">
        <v>4268</v>
      </c>
      <c r="G1140" s="199" t="s">
        <v>8294</v>
      </c>
      <c r="H1140" s="199" t="s">
        <v>8657</v>
      </c>
      <c r="I1140" s="199">
        <v>1</v>
      </c>
      <c r="J1140" s="199">
        <v>1</v>
      </c>
      <c r="K1140" s="199">
        <v>1</v>
      </c>
      <c r="L1140" s="199">
        <v>50</v>
      </c>
      <c r="M1140" s="202">
        <f>TB_Parts_Lists[[#This Row],[Quantity Initial]]+ SUMIF(TB_Transactions[Part number],TB_Parts_Lists[[#This Row],[Part Number]],TB_Transactions[Quantity])</f>
        <v>50</v>
      </c>
      <c r="N1140" s="200" t="s">
        <v>4593</v>
      </c>
      <c r="O1140" s="234">
        <v>5</v>
      </c>
      <c r="P1140" s="199">
        <f>TB_Parts_Lists[[#This Row],[Quantity Initial]]*TB_Parts_Lists[[#This Row],[Unit Price AED]]</f>
        <v>250</v>
      </c>
      <c r="Q1140" s="199">
        <f>TB_Parts_Lists[[#This Row],[Quantity Total]]*TB_Parts_Lists[[#This Row],[Unit Price AED]]</f>
        <v>250</v>
      </c>
      <c r="S1140" s="199" t="s">
        <v>118</v>
      </c>
      <c r="T1140" s="199" t="s">
        <v>8703</v>
      </c>
      <c r="U1140" s="199" t="s">
        <v>8675</v>
      </c>
    </row>
    <row r="1141" spans="1:21" s="199" customFormat="1" x14ac:dyDescent="0.25">
      <c r="A1141" s="192" t="s">
        <v>7677</v>
      </c>
      <c r="B1141" s="203" t="s">
        <v>3337</v>
      </c>
      <c r="C1141" s="188" t="s">
        <v>3376</v>
      </c>
      <c r="D1141" s="199" t="s">
        <v>8732</v>
      </c>
      <c r="E1141" s="188" t="s">
        <v>4253</v>
      </c>
      <c r="F1141" s="189" t="s">
        <v>4269</v>
      </c>
      <c r="G1141" s="199" t="s">
        <v>8294</v>
      </c>
      <c r="H1141" s="199" t="s">
        <v>8657</v>
      </c>
      <c r="I1141" s="199">
        <v>1</v>
      </c>
      <c r="J1141" s="199">
        <v>1</v>
      </c>
      <c r="K1141" s="199">
        <v>1</v>
      </c>
      <c r="L1141" s="199">
        <v>50</v>
      </c>
      <c r="M1141" s="202">
        <f>TB_Parts_Lists[[#This Row],[Quantity Initial]]+ SUMIF(TB_Transactions[Part number],TB_Parts_Lists[[#This Row],[Part Number]],TB_Transactions[Quantity])</f>
        <v>50</v>
      </c>
      <c r="N1141" s="200" t="s">
        <v>4593</v>
      </c>
      <c r="O1141" s="234">
        <v>5</v>
      </c>
      <c r="P1141" s="199">
        <f>TB_Parts_Lists[[#This Row],[Quantity Initial]]*TB_Parts_Lists[[#This Row],[Unit Price AED]]</f>
        <v>250</v>
      </c>
      <c r="Q1141" s="199">
        <f>TB_Parts_Lists[[#This Row],[Quantity Total]]*TB_Parts_Lists[[#This Row],[Unit Price AED]]</f>
        <v>250</v>
      </c>
      <c r="S1141" s="199" t="s">
        <v>118</v>
      </c>
      <c r="T1141" s="199" t="s">
        <v>8703</v>
      </c>
      <c r="U1141" s="199" t="s">
        <v>8675</v>
      </c>
    </row>
    <row r="1142" spans="1:21" s="199" customFormat="1" x14ac:dyDescent="0.25">
      <c r="A1142" s="192" t="s">
        <v>7678</v>
      </c>
      <c r="B1142" s="203" t="s">
        <v>3338</v>
      </c>
      <c r="C1142" s="188" t="s">
        <v>7608</v>
      </c>
      <c r="D1142" s="199" t="s">
        <v>8732</v>
      </c>
      <c r="E1142" s="188" t="s">
        <v>4254</v>
      </c>
      <c r="F1142" s="189" t="s">
        <v>4270</v>
      </c>
      <c r="G1142" s="199" t="s">
        <v>8294</v>
      </c>
      <c r="H1142" s="199" t="s">
        <v>72</v>
      </c>
      <c r="I1142" s="199">
        <v>1</v>
      </c>
      <c r="J1142" s="199">
        <v>1</v>
      </c>
      <c r="K1142" s="199">
        <v>1</v>
      </c>
      <c r="L1142" s="199">
        <v>50</v>
      </c>
      <c r="M1142" s="202">
        <f>TB_Parts_Lists[[#This Row],[Quantity Initial]]+ SUMIF(TB_Transactions[Part number],TB_Parts_Lists[[#This Row],[Part Number]],TB_Transactions[Quantity])</f>
        <v>50</v>
      </c>
      <c r="N1142" s="200" t="s">
        <v>4593</v>
      </c>
      <c r="O1142" s="234">
        <v>5</v>
      </c>
      <c r="P1142" s="199">
        <f>TB_Parts_Lists[[#This Row],[Quantity Initial]]*TB_Parts_Lists[[#This Row],[Unit Price AED]]</f>
        <v>250</v>
      </c>
      <c r="Q1142" s="199">
        <f>TB_Parts_Lists[[#This Row],[Quantity Total]]*TB_Parts_Lists[[#This Row],[Unit Price AED]]</f>
        <v>250</v>
      </c>
      <c r="S1142" s="199" t="s">
        <v>118</v>
      </c>
      <c r="T1142" s="199" t="s">
        <v>8703</v>
      </c>
      <c r="U1142" s="199" t="s">
        <v>8675</v>
      </c>
    </row>
    <row r="1143" spans="1:21" s="199" customFormat="1" x14ac:dyDescent="0.25">
      <c r="A1143" s="192" t="s">
        <v>7679</v>
      </c>
      <c r="B1143" s="203" t="s">
        <v>3337</v>
      </c>
      <c r="C1143" s="188" t="s">
        <v>7168</v>
      </c>
      <c r="D1143" s="199" t="s">
        <v>8732</v>
      </c>
      <c r="E1143" s="188" t="s">
        <v>5496</v>
      </c>
      <c r="F1143" s="189" t="s">
        <v>4271</v>
      </c>
      <c r="G1143" s="199" t="s">
        <v>8294</v>
      </c>
      <c r="H1143" s="199" t="s">
        <v>8657</v>
      </c>
      <c r="I1143" s="199">
        <v>1</v>
      </c>
      <c r="J1143" s="199">
        <v>1</v>
      </c>
      <c r="K1143" s="199">
        <v>1</v>
      </c>
      <c r="L1143" s="199">
        <v>50</v>
      </c>
      <c r="M1143" s="202">
        <f>TB_Parts_Lists[[#This Row],[Quantity Initial]]+ SUMIF(TB_Transactions[Part number],TB_Parts_Lists[[#This Row],[Part Number]],TB_Transactions[Quantity])</f>
        <v>50</v>
      </c>
      <c r="N1143" s="200" t="s">
        <v>4593</v>
      </c>
      <c r="O1143" s="234">
        <v>5</v>
      </c>
      <c r="P1143" s="199">
        <f>TB_Parts_Lists[[#This Row],[Quantity Initial]]*TB_Parts_Lists[[#This Row],[Unit Price AED]]</f>
        <v>250</v>
      </c>
      <c r="Q1143" s="199">
        <f>TB_Parts_Lists[[#This Row],[Quantity Total]]*TB_Parts_Lists[[#This Row],[Unit Price AED]]</f>
        <v>250</v>
      </c>
      <c r="S1143" s="199" t="s">
        <v>118</v>
      </c>
      <c r="T1143" s="199" t="s">
        <v>8675</v>
      </c>
      <c r="U1143" s="199" t="s">
        <v>8675</v>
      </c>
    </row>
    <row r="1144" spans="1:21" s="199" customFormat="1" x14ac:dyDescent="0.25">
      <c r="A1144" s="192" t="s">
        <v>7680</v>
      </c>
      <c r="B1144" s="203" t="s">
        <v>3337</v>
      </c>
      <c r="C1144" s="188" t="s">
        <v>7673</v>
      </c>
      <c r="D1144" s="199" t="s">
        <v>8732</v>
      </c>
      <c r="E1144" s="188" t="s">
        <v>5495</v>
      </c>
      <c r="F1144" s="189" t="s">
        <v>4272</v>
      </c>
      <c r="G1144" s="199" t="s">
        <v>8294</v>
      </c>
      <c r="H1144" s="199" t="s">
        <v>72</v>
      </c>
      <c r="I1144" s="199">
        <v>1</v>
      </c>
      <c r="J1144" s="199">
        <v>1</v>
      </c>
      <c r="K1144" s="199">
        <v>1</v>
      </c>
      <c r="L1144" s="199">
        <v>50</v>
      </c>
      <c r="M1144" s="202">
        <f>TB_Parts_Lists[[#This Row],[Quantity Initial]]+ SUMIF(TB_Transactions[Part number],TB_Parts_Lists[[#This Row],[Part Number]],TB_Transactions[Quantity])</f>
        <v>50</v>
      </c>
      <c r="N1144" s="200" t="s">
        <v>4593</v>
      </c>
      <c r="O1144" s="234">
        <v>5</v>
      </c>
      <c r="P1144" s="199">
        <f>TB_Parts_Lists[[#This Row],[Quantity Initial]]*TB_Parts_Lists[[#This Row],[Unit Price AED]]</f>
        <v>250</v>
      </c>
      <c r="Q1144" s="199">
        <f>TB_Parts_Lists[[#This Row],[Quantity Total]]*TB_Parts_Lists[[#This Row],[Unit Price AED]]</f>
        <v>250</v>
      </c>
      <c r="S1144" s="199" t="s">
        <v>118</v>
      </c>
      <c r="T1144" s="199" t="s">
        <v>8675</v>
      </c>
      <c r="U1144" s="199" t="s">
        <v>8675</v>
      </c>
    </row>
    <row r="1145" spans="1:21" s="199" customFormat="1" x14ac:dyDescent="0.25">
      <c r="A1145" s="192" t="s">
        <v>7681</v>
      </c>
      <c r="B1145" s="203" t="s">
        <v>3338</v>
      </c>
      <c r="C1145" s="188" t="s">
        <v>7608</v>
      </c>
      <c r="D1145" s="199" t="s">
        <v>8732</v>
      </c>
      <c r="E1145" s="188" t="s">
        <v>5497</v>
      </c>
      <c r="F1145" s="189" t="s">
        <v>4273</v>
      </c>
      <c r="G1145" s="199" t="s">
        <v>8294</v>
      </c>
      <c r="H1145" s="199" t="s">
        <v>72</v>
      </c>
      <c r="I1145" s="199">
        <v>1</v>
      </c>
      <c r="J1145" s="199">
        <v>1</v>
      </c>
      <c r="K1145" s="199">
        <v>1</v>
      </c>
      <c r="L1145" s="199">
        <v>50</v>
      </c>
      <c r="M1145" s="202">
        <f>TB_Parts_Lists[[#This Row],[Quantity Initial]]+ SUMIF(TB_Transactions[Part number],TB_Parts_Lists[[#This Row],[Part Number]],TB_Transactions[Quantity])</f>
        <v>50</v>
      </c>
      <c r="N1145" s="200" t="s">
        <v>4593</v>
      </c>
      <c r="O1145" s="234">
        <v>5</v>
      </c>
      <c r="P1145" s="199">
        <f>TB_Parts_Lists[[#This Row],[Quantity Initial]]*TB_Parts_Lists[[#This Row],[Unit Price AED]]</f>
        <v>250</v>
      </c>
      <c r="Q1145" s="199">
        <f>TB_Parts_Lists[[#This Row],[Quantity Total]]*TB_Parts_Lists[[#This Row],[Unit Price AED]]</f>
        <v>250</v>
      </c>
      <c r="S1145" s="199" t="s">
        <v>118</v>
      </c>
      <c r="T1145" s="199" t="s">
        <v>8675</v>
      </c>
      <c r="U1145" s="199" t="s">
        <v>8675</v>
      </c>
    </row>
    <row r="1146" spans="1:21" s="199" customFormat="1" x14ac:dyDescent="0.25">
      <c r="A1146" s="192" t="s">
        <v>7682</v>
      </c>
      <c r="B1146" s="203" t="s">
        <v>3335</v>
      </c>
      <c r="C1146" s="188" t="s">
        <v>6623</v>
      </c>
      <c r="D1146" s="199" t="s">
        <v>8732</v>
      </c>
      <c r="E1146" s="188" t="s">
        <v>5498</v>
      </c>
      <c r="F1146" s="189" t="s">
        <v>4274</v>
      </c>
      <c r="G1146" s="199" t="s">
        <v>8295</v>
      </c>
      <c r="H1146" s="199" t="s">
        <v>72</v>
      </c>
      <c r="I1146" s="199">
        <v>1</v>
      </c>
      <c r="J1146" s="199">
        <v>1</v>
      </c>
      <c r="K1146" s="199">
        <v>1</v>
      </c>
      <c r="L1146" s="199">
        <v>50</v>
      </c>
      <c r="M1146" s="202">
        <f>TB_Parts_Lists[[#This Row],[Quantity Initial]]+ SUMIF(TB_Transactions[Part number],TB_Parts_Lists[[#This Row],[Part Number]],TB_Transactions[Quantity])</f>
        <v>50</v>
      </c>
      <c r="N1146" s="200" t="s">
        <v>4593</v>
      </c>
      <c r="O1146" s="234">
        <v>5</v>
      </c>
      <c r="P1146" s="199">
        <f>TB_Parts_Lists[[#This Row],[Quantity Initial]]*TB_Parts_Lists[[#This Row],[Unit Price AED]]</f>
        <v>250</v>
      </c>
      <c r="Q1146" s="199">
        <f>TB_Parts_Lists[[#This Row],[Quantity Total]]*TB_Parts_Lists[[#This Row],[Unit Price AED]]</f>
        <v>250</v>
      </c>
      <c r="S1146" s="199" t="s">
        <v>122</v>
      </c>
      <c r="T1146" s="199" t="s">
        <v>312</v>
      </c>
      <c r="U1146" s="199" t="s">
        <v>311</v>
      </c>
    </row>
    <row r="1147" spans="1:21" s="199" customFormat="1" x14ac:dyDescent="0.25">
      <c r="A1147" s="192" t="s">
        <v>7683</v>
      </c>
      <c r="B1147" s="203" t="s">
        <v>3335</v>
      </c>
      <c r="C1147" s="188" t="s">
        <v>6623</v>
      </c>
      <c r="D1147" s="199" t="s">
        <v>8732</v>
      </c>
      <c r="E1147" s="188" t="s">
        <v>5499</v>
      </c>
      <c r="F1147" s="189" t="s">
        <v>4275</v>
      </c>
      <c r="G1147" s="199" t="s">
        <v>8295</v>
      </c>
      <c r="H1147" s="199" t="s">
        <v>72</v>
      </c>
      <c r="I1147" s="199">
        <v>1</v>
      </c>
      <c r="J1147" s="199">
        <v>1</v>
      </c>
      <c r="K1147" s="199">
        <v>1</v>
      </c>
      <c r="L1147" s="199">
        <v>50</v>
      </c>
      <c r="M1147" s="202">
        <f>TB_Parts_Lists[[#This Row],[Quantity Initial]]+ SUMIF(TB_Transactions[Part number],TB_Parts_Lists[[#This Row],[Part Number]],TB_Transactions[Quantity])</f>
        <v>50</v>
      </c>
      <c r="N1147" s="200" t="s">
        <v>4593</v>
      </c>
      <c r="O1147" s="234">
        <v>5</v>
      </c>
      <c r="P1147" s="199">
        <f>TB_Parts_Lists[[#This Row],[Quantity Initial]]*TB_Parts_Lists[[#This Row],[Unit Price AED]]</f>
        <v>250</v>
      </c>
      <c r="Q1147" s="199">
        <f>TB_Parts_Lists[[#This Row],[Quantity Total]]*TB_Parts_Lists[[#This Row],[Unit Price AED]]</f>
        <v>250</v>
      </c>
      <c r="S1147" s="199" t="s">
        <v>122</v>
      </c>
      <c r="T1147" s="199" t="s">
        <v>312</v>
      </c>
      <c r="U1147" s="199" t="s">
        <v>311</v>
      </c>
    </row>
    <row r="1148" spans="1:21" s="199" customFormat="1" x14ac:dyDescent="0.25">
      <c r="A1148" s="192" t="s">
        <v>7684</v>
      </c>
      <c r="B1148" s="203" t="s">
        <v>3335</v>
      </c>
      <c r="C1148" s="188" t="s">
        <v>6623</v>
      </c>
      <c r="D1148" s="199" t="s">
        <v>8732</v>
      </c>
      <c r="E1148" s="188" t="s">
        <v>5500</v>
      </c>
      <c r="F1148" s="189" t="s">
        <v>4276</v>
      </c>
      <c r="G1148" s="199" t="s">
        <v>8295</v>
      </c>
      <c r="H1148" s="199" t="s">
        <v>72</v>
      </c>
      <c r="I1148" s="199">
        <v>1</v>
      </c>
      <c r="J1148" s="199">
        <v>1</v>
      </c>
      <c r="K1148" s="199">
        <v>1</v>
      </c>
      <c r="L1148" s="199">
        <v>50</v>
      </c>
      <c r="M1148" s="202">
        <f>TB_Parts_Lists[[#This Row],[Quantity Initial]]+ SUMIF(TB_Transactions[Part number],TB_Parts_Lists[[#This Row],[Part Number]],TB_Transactions[Quantity])</f>
        <v>50</v>
      </c>
      <c r="N1148" s="200" t="s">
        <v>4593</v>
      </c>
      <c r="O1148" s="234">
        <v>5</v>
      </c>
      <c r="P1148" s="199">
        <f>TB_Parts_Lists[[#This Row],[Quantity Initial]]*TB_Parts_Lists[[#This Row],[Unit Price AED]]</f>
        <v>250</v>
      </c>
      <c r="Q1148" s="199">
        <f>TB_Parts_Lists[[#This Row],[Quantity Total]]*TB_Parts_Lists[[#This Row],[Unit Price AED]]</f>
        <v>250</v>
      </c>
      <c r="S1148" s="199" t="s">
        <v>122</v>
      </c>
      <c r="T1148" s="199" t="s">
        <v>312</v>
      </c>
      <c r="U1148" s="199" t="s">
        <v>311</v>
      </c>
    </row>
    <row r="1149" spans="1:21" s="199" customFormat="1" x14ac:dyDescent="0.25">
      <c r="A1149" s="192" t="s">
        <v>7685</v>
      </c>
      <c r="B1149" s="203" t="s">
        <v>3335</v>
      </c>
      <c r="C1149" s="188" t="s">
        <v>6623</v>
      </c>
      <c r="D1149" s="199" t="s">
        <v>8732</v>
      </c>
      <c r="E1149" s="188" t="s">
        <v>4143</v>
      </c>
      <c r="F1149" s="189" t="s">
        <v>4277</v>
      </c>
      <c r="G1149" s="199" t="s">
        <v>8295</v>
      </c>
      <c r="H1149" s="199" t="s">
        <v>72</v>
      </c>
      <c r="I1149" s="199">
        <v>1</v>
      </c>
      <c r="J1149" s="199">
        <v>1</v>
      </c>
      <c r="K1149" s="199">
        <v>1</v>
      </c>
      <c r="L1149" s="199">
        <v>50</v>
      </c>
      <c r="M1149" s="202">
        <f>TB_Parts_Lists[[#This Row],[Quantity Initial]]+ SUMIF(TB_Transactions[Part number],TB_Parts_Lists[[#This Row],[Part Number]],TB_Transactions[Quantity])</f>
        <v>50</v>
      </c>
      <c r="N1149" s="200" t="s">
        <v>4593</v>
      </c>
      <c r="O1149" s="234">
        <v>5</v>
      </c>
      <c r="P1149" s="199">
        <f>TB_Parts_Lists[[#This Row],[Quantity Initial]]*TB_Parts_Lists[[#This Row],[Unit Price AED]]</f>
        <v>250</v>
      </c>
      <c r="Q1149" s="199">
        <f>TB_Parts_Lists[[#This Row],[Quantity Total]]*TB_Parts_Lists[[#This Row],[Unit Price AED]]</f>
        <v>250</v>
      </c>
      <c r="S1149" s="199" t="s">
        <v>122</v>
      </c>
      <c r="T1149" s="199" t="s">
        <v>312</v>
      </c>
      <c r="U1149" s="199" t="s">
        <v>311</v>
      </c>
    </row>
    <row r="1150" spans="1:21" s="199" customFormat="1" x14ac:dyDescent="0.25">
      <c r="A1150" s="192" t="s">
        <v>7686</v>
      </c>
      <c r="B1150" s="203" t="s">
        <v>3335</v>
      </c>
      <c r="C1150" s="188" t="s">
        <v>6623</v>
      </c>
      <c r="D1150" s="199" t="s">
        <v>8732</v>
      </c>
      <c r="E1150" s="188" t="s">
        <v>5501</v>
      </c>
      <c r="F1150" s="189" t="s">
        <v>2688</v>
      </c>
      <c r="G1150" s="199" t="s">
        <v>8295</v>
      </c>
      <c r="H1150" s="199" t="s">
        <v>72</v>
      </c>
      <c r="I1150" s="199">
        <v>1</v>
      </c>
      <c r="J1150" s="199">
        <v>1</v>
      </c>
      <c r="K1150" s="199">
        <v>1</v>
      </c>
      <c r="L1150" s="199">
        <v>50</v>
      </c>
      <c r="M1150" s="202">
        <f>TB_Parts_Lists[[#This Row],[Quantity Initial]]+ SUMIF(TB_Transactions[Part number],TB_Parts_Lists[[#This Row],[Part Number]],TB_Transactions[Quantity])</f>
        <v>50</v>
      </c>
      <c r="N1150" s="200" t="s">
        <v>4593</v>
      </c>
      <c r="O1150" s="234">
        <v>5</v>
      </c>
      <c r="P1150" s="199">
        <f>TB_Parts_Lists[[#This Row],[Quantity Initial]]*TB_Parts_Lists[[#This Row],[Unit Price AED]]</f>
        <v>250</v>
      </c>
      <c r="Q1150" s="199">
        <f>TB_Parts_Lists[[#This Row],[Quantity Total]]*TB_Parts_Lists[[#This Row],[Unit Price AED]]</f>
        <v>250</v>
      </c>
      <c r="S1150" s="199" t="s">
        <v>122</v>
      </c>
      <c r="T1150" s="199" t="s">
        <v>312</v>
      </c>
      <c r="U1150" s="199" t="s">
        <v>311</v>
      </c>
    </row>
    <row r="1151" spans="1:21" s="199" customFormat="1" x14ac:dyDescent="0.25">
      <c r="A1151" s="192" t="s">
        <v>7687</v>
      </c>
      <c r="B1151" s="203" t="s">
        <v>3335</v>
      </c>
      <c r="C1151" s="188" t="s">
        <v>6623</v>
      </c>
      <c r="D1151" s="188" t="s">
        <v>8724</v>
      </c>
      <c r="E1151" s="188" t="s">
        <v>5502</v>
      </c>
      <c r="F1151" s="189" t="s">
        <v>4278</v>
      </c>
      <c r="G1151" s="199" t="s">
        <v>8295</v>
      </c>
      <c r="H1151" s="199" t="e">
        <v>#N/A</v>
      </c>
      <c r="I1151" s="199">
        <v>1</v>
      </c>
      <c r="J1151" s="199">
        <v>1</v>
      </c>
      <c r="K1151" s="199">
        <v>1</v>
      </c>
      <c r="L1151" s="199">
        <v>50</v>
      </c>
      <c r="M1151" s="202">
        <f>TB_Parts_Lists[[#This Row],[Quantity Initial]]+ SUMIF(TB_Transactions[Part number],TB_Parts_Lists[[#This Row],[Part Number]],TB_Transactions[Quantity])</f>
        <v>50</v>
      </c>
      <c r="N1151" s="200" t="s">
        <v>4593</v>
      </c>
      <c r="O1151" s="234">
        <v>5</v>
      </c>
      <c r="P1151" s="199">
        <f>TB_Parts_Lists[[#This Row],[Quantity Initial]]*TB_Parts_Lists[[#This Row],[Unit Price AED]]</f>
        <v>250</v>
      </c>
      <c r="Q1151" s="199">
        <f>TB_Parts_Lists[[#This Row],[Quantity Total]]*TB_Parts_Lists[[#This Row],[Unit Price AED]]</f>
        <v>250</v>
      </c>
      <c r="S1151" s="199" t="e">
        <v>#N/A</v>
      </c>
      <c r="T1151" s="199" t="e">
        <v>#N/A</v>
      </c>
      <c r="U1151" s="199" t="e">
        <v>#N/A</v>
      </c>
    </row>
    <row r="1152" spans="1:21" s="199" customFormat="1" x14ac:dyDescent="0.25">
      <c r="A1152" s="192" t="s">
        <v>7688</v>
      </c>
      <c r="B1152" s="203" t="s">
        <v>3335</v>
      </c>
      <c r="C1152" s="188" t="s">
        <v>6623</v>
      </c>
      <c r="D1152" s="188" t="s">
        <v>8724</v>
      </c>
      <c r="E1152" s="188" t="s">
        <v>5503</v>
      </c>
      <c r="F1152" s="189" t="s">
        <v>4279</v>
      </c>
      <c r="G1152" s="199" t="s">
        <v>8295</v>
      </c>
      <c r="H1152" s="199" t="e">
        <v>#N/A</v>
      </c>
      <c r="I1152" s="199">
        <v>1</v>
      </c>
      <c r="J1152" s="199">
        <v>1</v>
      </c>
      <c r="K1152" s="199">
        <v>1</v>
      </c>
      <c r="L1152" s="199">
        <v>50</v>
      </c>
      <c r="M1152" s="202">
        <f>TB_Parts_Lists[[#This Row],[Quantity Initial]]+ SUMIF(TB_Transactions[Part number],TB_Parts_Lists[[#This Row],[Part Number]],TB_Transactions[Quantity])</f>
        <v>50</v>
      </c>
      <c r="N1152" s="200" t="s">
        <v>4593</v>
      </c>
      <c r="O1152" s="234">
        <v>5</v>
      </c>
      <c r="P1152" s="199">
        <f>TB_Parts_Lists[[#This Row],[Quantity Initial]]*TB_Parts_Lists[[#This Row],[Unit Price AED]]</f>
        <v>250</v>
      </c>
      <c r="Q1152" s="199">
        <f>TB_Parts_Lists[[#This Row],[Quantity Total]]*TB_Parts_Lists[[#This Row],[Unit Price AED]]</f>
        <v>250</v>
      </c>
      <c r="S1152" s="199" t="e">
        <v>#N/A</v>
      </c>
      <c r="T1152" s="199" t="e">
        <v>#N/A</v>
      </c>
      <c r="U1152" s="199" t="e">
        <v>#N/A</v>
      </c>
    </row>
    <row r="1153" spans="1:21" s="199" customFormat="1" x14ac:dyDescent="0.25">
      <c r="A1153" s="192" t="s">
        <v>7689</v>
      </c>
      <c r="B1153" s="203" t="s">
        <v>3335</v>
      </c>
      <c r="C1153" s="188" t="s">
        <v>6623</v>
      </c>
      <c r="D1153" s="188" t="s">
        <v>8724</v>
      </c>
      <c r="E1153" s="188" t="s">
        <v>5504</v>
      </c>
      <c r="F1153" s="189" t="s">
        <v>4280</v>
      </c>
      <c r="G1153" s="199" t="s">
        <v>8295</v>
      </c>
      <c r="H1153" s="199" t="e">
        <v>#N/A</v>
      </c>
      <c r="I1153" s="199">
        <v>1</v>
      </c>
      <c r="J1153" s="199">
        <v>1</v>
      </c>
      <c r="K1153" s="199">
        <v>1</v>
      </c>
      <c r="L1153" s="199">
        <v>50</v>
      </c>
      <c r="M1153" s="202">
        <f>TB_Parts_Lists[[#This Row],[Quantity Initial]]+ SUMIF(TB_Transactions[Part number],TB_Parts_Lists[[#This Row],[Part Number]],TB_Transactions[Quantity])</f>
        <v>50</v>
      </c>
      <c r="N1153" s="200" t="s">
        <v>4593</v>
      </c>
      <c r="O1153" s="234">
        <v>5</v>
      </c>
      <c r="P1153" s="199">
        <f>TB_Parts_Lists[[#This Row],[Quantity Initial]]*TB_Parts_Lists[[#This Row],[Unit Price AED]]</f>
        <v>250</v>
      </c>
      <c r="Q1153" s="199">
        <f>TB_Parts_Lists[[#This Row],[Quantity Total]]*TB_Parts_Lists[[#This Row],[Unit Price AED]]</f>
        <v>250</v>
      </c>
      <c r="S1153" s="199" t="e">
        <v>#N/A</v>
      </c>
      <c r="T1153" s="199" t="e">
        <v>#N/A</v>
      </c>
      <c r="U1153" s="199" t="e">
        <v>#N/A</v>
      </c>
    </row>
    <row r="1154" spans="1:21" s="199" customFormat="1" x14ac:dyDescent="0.25">
      <c r="A1154" s="192" t="s">
        <v>7690</v>
      </c>
      <c r="B1154" s="203" t="s">
        <v>3335</v>
      </c>
      <c r="C1154" s="188" t="s">
        <v>6623</v>
      </c>
      <c r="D1154" s="188" t="s">
        <v>8724</v>
      </c>
      <c r="E1154" s="188" t="s">
        <v>5505</v>
      </c>
      <c r="F1154" s="189" t="s">
        <v>4281</v>
      </c>
      <c r="G1154" s="199" t="s">
        <v>8295</v>
      </c>
      <c r="H1154" s="199" t="e">
        <v>#N/A</v>
      </c>
      <c r="I1154" s="199">
        <v>1</v>
      </c>
      <c r="J1154" s="199">
        <v>1</v>
      </c>
      <c r="K1154" s="199">
        <v>1</v>
      </c>
      <c r="L1154" s="199">
        <v>50</v>
      </c>
      <c r="M1154" s="202">
        <f>TB_Parts_Lists[[#This Row],[Quantity Initial]]+ SUMIF(TB_Transactions[Part number],TB_Parts_Lists[[#This Row],[Part Number]],TB_Transactions[Quantity])</f>
        <v>50</v>
      </c>
      <c r="N1154" s="200" t="s">
        <v>4593</v>
      </c>
      <c r="O1154" s="234">
        <v>5</v>
      </c>
      <c r="P1154" s="199">
        <f>TB_Parts_Lists[[#This Row],[Quantity Initial]]*TB_Parts_Lists[[#This Row],[Unit Price AED]]</f>
        <v>250</v>
      </c>
      <c r="Q1154" s="199">
        <f>TB_Parts_Lists[[#This Row],[Quantity Total]]*TB_Parts_Lists[[#This Row],[Unit Price AED]]</f>
        <v>250</v>
      </c>
      <c r="S1154" s="199" t="e">
        <v>#N/A</v>
      </c>
      <c r="T1154" s="199" t="e">
        <v>#N/A</v>
      </c>
      <c r="U1154" s="199" t="e">
        <v>#N/A</v>
      </c>
    </row>
    <row r="1155" spans="1:21" s="199" customFormat="1" x14ac:dyDescent="0.25">
      <c r="A1155" s="192" t="s">
        <v>7691</v>
      </c>
      <c r="B1155" s="203" t="s">
        <v>3335</v>
      </c>
      <c r="C1155" s="188" t="s">
        <v>6623</v>
      </c>
      <c r="D1155" s="188" t="s">
        <v>8724</v>
      </c>
      <c r="E1155" s="188" t="s">
        <v>5506</v>
      </c>
      <c r="F1155" s="189" t="s">
        <v>4282</v>
      </c>
      <c r="G1155" s="199" t="s">
        <v>8295</v>
      </c>
      <c r="H1155" s="199" t="e">
        <v>#N/A</v>
      </c>
      <c r="I1155" s="199">
        <v>1</v>
      </c>
      <c r="J1155" s="199">
        <v>1</v>
      </c>
      <c r="K1155" s="199">
        <v>1</v>
      </c>
      <c r="L1155" s="199">
        <v>50</v>
      </c>
      <c r="M1155" s="202">
        <f>TB_Parts_Lists[[#This Row],[Quantity Initial]]+ SUMIF(TB_Transactions[Part number],TB_Parts_Lists[[#This Row],[Part Number]],TB_Transactions[Quantity])</f>
        <v>50</v>
      </c>
      <c r="N1155" s="200" t="s">
        <v>4593</v>
      </c>
      <c r="O1155" s="234">
        <v>5</v>
      </c>
      <c r="P1155" s="199">
        <f>TB_Parts_Lists[[#This Row],[Quantity Initial]]*TB_Parts_Lists[[#This Row],[Unit Price AED]]</f>
        <v>250</v>
      </c>
      <c r="Q1155" s="199">
        <f>TB_Parts_Lists[[#This Row],[Quantity Total]]*TB_Parts_Lists[[#This Row],[Unit Price AED]]</f>
        <v>250</v>
      </c>
      <c r="S1155" s="199" t="e">
        <v>#N/A</v>
      </c>
      <c r="T1155" s="199" t="e">
        <v>#N/A</v>
      </c>
      <c r="U1155" s="199" t="e">
        <v>#N/A</v>
      </c>
    </row>
    <row r="1156" spans="1:21" s="199" customFormat="1" x14ac:dyDescent="0.25">
      <c r="A1156" s="192" t="s">
        <v>7692</v>
      </c>
      <c r="B1156" s="203" t="s">
        <v>3335</v>
      </c>
      <c r="C1156" s="188" t="s">
        <v>6623</v>
      </c>
      <c r="D1156" s="188" t="s">
        <v>8724</v>
      </c>
      <c r="E1156" s="188" t="s">
        <v>5507</v>
      </c>
      <c r="F1156" s="189" t="s">
        <v>4283</v>
      </c>
      <c r="G1156" s="199" t="s">
        <v>8295</v>
      </c>
      <c r="H1156" s="199" t="e">
        <v>#N/A</v>
      </c>
      <c r="I1156" s="199">
        <v>1</v>
      </c>
      <c r="J1156" s="199">
        <v>1</v>
      </c>
      <c r="K1156" s="199">
        <v>1</v>
      </c>
      <c r="L1156" s="199">
        <v>50</v>
      </c>
      <c r="M1156" s="202">
        <f>TB_Parts_Lists[[#This Row],[Quantity Initial]]+ SUMIF(TB_Transactions[Part number],TB_Parts_Lists[[#This Row],[Part Number]],TB_Transactions[Quantity])</f>
        <v>50</v>
      </c>
      <c r="N1156" s="200" t="s">
        <v>4593</v>
      </c>
      <c r="O1156" s="234">
        <v>5</v>
      </c>
      <c r="P1156" s="199">
        <f>TB_Parts_Lists[[#This Row],[Quantity Initial]]*TB_Parts_Lists[[#This Row],[Unit Price AED]]</f>
        <v>250</v>
      </c>
      <c r="Q1156" s="199">
        <f>TB_Parts_Lists[[#This Row],[Quantity Total]]*TB_Parts_Lists[[#This Row],[Unit Price AED]]</f>
        <v>250</v>
      </c>
      <c r="S1156" s="199" t="e">
        <v>#N/A</v>
      </c>
      <c r="T1156" s="199" t="e">
        <v>#N/A</v>
      </c>
      <c r="U1156" s="199" t="e">
        <v>#N/A</v>
      </c>
    </row>
    <row r="1157" spans="1:21" s="199" customFormat="1" x14ac:dyDescent="0.25">
      <c r="A1157" s="192" t="s">
        <v>7693</v>
      </c>
      <c r="B1157" s="203" t="s">
        <v>3335</v>
      </c>
      <c r="C1157" s="188" t="s">
        <v>6623</v>
      </c>
      <c r="D1157" s="188" t="s">
        <v>8724</v>
      </c>
      <c r="E1157" s="188" t="s">
        <v>5508</v>
      </c>
      <c r="F1157" s="189" t="s">
        <v>4284</v>
      </c>
      <c r="G1157" s="199" t="s">
        <v>8295</v>
      </c>
      <c r="H1157" s="199" t="e">
        <v>#N/A</v>
      </c>
      <c r="I1157" s="199">
        <v>1</v>
      </c>
      <c r="J1157" s="199">
        <v>1</v>
      </c>
      <c r="K1157" s="199">
        <v>1</v>
      </c>
      <c r="L1157" s="199">
        <v>50</v>
      </c>
      <c r="M1157" s="202">
        <f>TB_Parts_Lists[[#This Row],[Quantity Initial]]+ SUMIF(TB_Transactions[Part number],TB_Parts_Lists[[#This Row],[Part Number]],TB_Transactions[Quantity])</f>
        <v>50</v>
      </c>
      <c r="N1157" s="200" t="s">
        <v>4593</v>
      </c>
      <c r="O1157" s="234">
        <v>5</v>
      </c>
      <c r="P1157" s="199">
        <f>TB_Parts_Lists[[#This Row],[Quantity Initial]]*TB_Parts_Lists[[#This Row],[Unit Price AED]]</f>
        <v>250</v>
      </c>
      <c r="Q1157" s="199">
        <f>TB_Parts_Lists[[#This Row],[Quantity Total]]*TB_Parts_Lists[[#This Row],[Unit Price AED]]</f>
        <v>250</v>
      </c>
      <c r="S1157" s="199" t="e">
        <v>#N/A</v>
      </c>
      <c r="T1157" s="199" t="e">
        <v>#N/A</v>
      </c>
      <c r="U1157" s="199" t="e">
        <v>#N/A</v>
      </c>
    </row>
    <row r="1158" spans="1:21" s="199" customFormat="1" x14ac:dyDescent="0.25">
      <c r="A1158" s="192" t="s">
        <v>7694</v>
      </c>
      <c r="B1158" s="203" t="s">
        <v>3335</v>
      </c>
      <c r="C1158" s="188" t="s">
        <v>6623</v>
      </c>
      <c r="D1158" s="188" t="s">
        <v>8724</v>
      </c>
      <c r="E1158" s="188" t="s">
        <v>5509</v>
      </c>
      <c r="F1158" s="189" t="s">
        <v>4285</v>
      </c>
      <c r="G1158" s="199" t="s">
        <v>8295</v>
      </c>
      <c r="H1158" s="199" t="e">
        <v>#N/A</v>
      </c>
      <c r="I1158" s="199">
        <v>1</v>
      </c>
      <c r="J1158" s="199">
        <v>1</v>
      </c>
      <c r="K1158" s="199">
        <v>1</v>
      </c>
      <c r="L1158" s="199">
        <v>50</v>
      </c>
      <c r="M1158" s="202">
        <f>TB_Parts_Lists[[#This Row],[Quantity Initial]]+ SUMIF(TB_Transactions[Part number],TB_Parts_Lists[[#This Row],[Part Number]],TB_Transactions[Quantity])</f>
        <v>50</v>
      </c>
      <c r="N1158" s="200" t="s">
        <v>4593</v>
      </c>
      <c r="O1158" s="234">
        <v>5</v>
      </c>
      <c r="P1158" s="199">
        <f>TB_Parts_Lists[[#This Row],[Quantity Initial]]*TB_Parts_Lists[[#This Row],[Unit Price AED]]</f>
        <v>250</v>
      </c>
      <c r="Q1158" s="199">
        <f>TB_Parts_Lists[[#This Row],[Quantity Total]]*TB_Parts_Lists[[#This Row],[Unit Price AED]]</f>
        <v>250</v>
      </c>
      <c r="S1158" s="199" t="e">
        <v>#N/A</v>
      </c>
      <c r="T1158" s="199" t="e">
        <v>#N/A</v>
      </c>
      <c r="U1158" s="199" t="e">
        <v>#N/A</v>
      </c>
    </row>
    <row r="1159" spans="1:21" s="199" customFormat="1" x14ac:dyDescent="0.25">
      <c r="A1159" s="192" t="s">
        <v>7695</v>
      </c>
      <c r="B1159" s="203" t="s">
        <v>3335</v>
      </c>
      <c r="C1159" s="188" t="s">
        <v>6623</v>
      </c>
      <c r="D1159" s="188" t="s">
        <v>8724</v>
      </c>
      <c r="E1159" s="188" t="s">
        <v>5510</v>
      </c>
      <c r="F1159" s="189" t="s">
        <v>4286</v>
      </c>
      <c r="G1159" s="199" t="s">
        <v>8295</v>
      </c>
      <c r="H1159" s="199" t="e">
        <v>#N/A</v>
      </c>
      <c r="I1159" s="199">
        <v>1</v>
      </c>
      <c r="J1159" s="199">
        <v>1</v>
      </c>
      <c r="K1159" s="199">
        <v>1</v>
      </c>
      <c r="L1159" s="199">
        <v>50</v>
      </c>
      <c r="M1159" s="202">
        <f>TB_Parts_Lists[[#This Row],[Quantity Initial]]+ SUMIF(TB_Transactions[Part number],TB_Parts_Lists[[#This Row],[Part Number]],TB_Transactions[Quantity])</f>
        <v>50</v>
      </c>
      <c r="N1159" s="200" t="s">
        <v>4593</v>
      </c>
      <c r="O1159" s="234">
        <v>5</v>
      </c>
      <c r="P1159" s="199">
        <f>TB_Parts_Lists[[#This Row],[Quantity Initial]]*TB_Parts_Lists[[#This Row],[Unit Price AED]]</f>
        <v>250</v>
      </c>
      <c r="Q1159" s="199">
        <f>TB_Parts_Lists[[#This Row],[Quantity Total]]*TB_Parts_Lists[[#This Row],[Unit Price AED]]</f>
        <v>250</v>
      </c>
      <c r="S1159" s="199" t="e">
        <v>#N/A</v>
      </c>
      <c r="T1159" s="199" t="e">
        <v>#N/A</v>
      </c>
      <c r="U1159" s="199" t="e">
        <v>#N/A</v>
      </c>
    </row>
    <row r="1160" spans="1:21" s="199" customFormat="1" x14ac:dyDescent="0.25">
      <c r="A1160" s="192" t="s">
        <v>7696</v>
      </c>
      <c r="B1160" s="203" t="s">
        <v>3335</v>
      </c>
      <c r="C1160" s="188" t="s">
        <v>6623</v>
      </c>
      <c r="D1160" s="188" t="s">
        <v>8724</v>
      </c>
      <c r="E1160" s="188" t="s">
        <v>5511</v>
      </c>
      <c r="F1160" s="189" t="s">
        <v>4287</v>
      </c>
      <c r="G1160" s="199" t="s">
        <v>8295</v>
      </c>
      <c r="H1160" s="199" t="e">
        <v>#N/A</v>
      </c>
      <c r="I1160" s="199">
        <v>1</v>
      </c>
      <c r="J1160" s="199">
        <v>1</v>
      </c>
      <c r="K1160" s="199">
        <v>1</v>
      </c>
      <c r="L1160" s="199">
        <v>50</v>
      </c>
      <c r="M1160" s="202">
        <f>TB_Parts_Lists[[#This Row],[Quantity Initial]]+ SUMIF(TB_Transactions[Part number],TB_Parts_Lists[[#This Row],[Part Number]],TB_Transactions[Quantity])</f>
        <v>50</v>
      </c>
      <c r="N1160" s="200" t="s">
        <v>4593</v>
      </c>
      <c r="O1160" s="234">
        <v>5</v>
      </c>
      <c r="P1160" s="199">
        <f>TB_Parts_Lists[[#This Row],[Quantity Initial]]*TB_Parts_Lists[[#This Row],[Unit Price AED]]</f>
        <v>250</v>
      </c>
      <c r="Q1160" s="199">
        <f>TB_Parts_Lists[[#This Row],[Quantity Total]]*TB_Parts_Lists[[#This Row],[Unit Price AED]]</f>
        <v>250</v>
      </c>
      <c r="S1160" s="199" t="e">
        <v>#N/A</v>
      </c>
      <c r="T1160" s="199" t="e">
        <v>#N/A</v>
      </c>
      <c r="U1160" s="199" t="e">
        <v>#N/A</v>
      </c>
    </row>
    <row r="1161" spans="1:21" s="199" customFormat="1" x14ac:dyDescent="0.25">
      <c r="A1161" s="192" t="s">
        <v>7697</v>
      </c>
      <c r="B1161" s="203" t="s">
        <v>3335</v>
      </c>
      <c r="C1161" s="188" t="s">
        <v>6623</v>
      </c>
      <c r="D1161" s="188" t="s">
        <v>8724</v>
      </c>
      <c r="E1161" s="188" t="s">
        <v>5512</v>
      </c>
      <c r="F1161" s="189" t="s">
        <v>4288</v>
      </c>
      <c r="G1161" s="199" t="s">
        <v>8295</v>
      </c>
      <c r="H1161" s="199" t="e">
        <v>#N/A</v>
      </c>
      <c r="I1161" s="199">
        <v>1</v>
      </c>
      <c r="J1161" s="199">
        <v>1</v>
      </c>
      <c r="K1161" s="199">
        <v>1</v>
      </c>
      <c r="L1161" s="199">
        <v>50</v>
      </c>
      <c r="M1161" s="202">
        <f>TB_Parts_Lists[[#This Row],[Quantity Initial]]+ SUMIF(TB_Transactions[Part number],TB_Parts_Lists[[#This Row],[Part Number]],TB_Transactions[Quantity])</f>
        <v>50</v>
      </c>
      <c r="N1161" s="200" t="s">
        <v>4593</v>
      </c>
      <c r="O1161" s="234">
        <v>5</v>
      </c>
      <c r="P1161" s="199">
        <f>TB_Parts_Lists[[#This Row],[Quantity Initial]]*TB_Parts_Lists[[#This Row],[Unit Price AED]]</f>
        <v>250</v>
      </c>
      <c r="Q1161" s="199">
        <f>TB_Parts_Lists[[#This Row],[Quantity Total]]*TB_Parts_Lists[[#This Row],[Unit Price AED]]</f>
        <v>250</v>
      </c>
      <c r="S1161" s="199" t="e">
        <v>#N/A</v>
      </c>
      <c r="T1161" s="199" t="e">
        <v>#N/A</v>
      </c>
      <c r="U1161" s="199" t="e">
        <v>#N/A</v>
      </c>
    </row>
    <row r="1162" spans="1:21" s="199" customFormat="1" x14ac:dyDescent="0.25">
      <c r="A1162" s="192" t="s">
        <v>7698</v>
      </c>
      <c r="B1162" s="203" t="s">
        <v>3335</v>
      </c>
      <c r="C1162" s="188" t="s">
        <v>6623</v>
      </c>
      <c r="D1162" s="188" t="s">
        <v>8724</v>
      </c>
      <c r="E1162" s="188" t="s">
        <v>5513</v>
      </c>
      <c r="F1162" s="189" t="s">
        <v>2690</v>
      </c>
      <c r="G1162" s="199" t="s">
        <v>8295</v>
      </c>
      <c r="H1162" s="199" t="e">
        <v>#N/A</v>
      </c>
      <c r="I1162" s="199">
        <v>1</v>
      </c>
      <c r="J1162" s="199">
        <v>1</v>
      </c>
      <c r="K1162" s="199">
        <v>1</v>
      </c>
      <c r="L1162" s="199">
        <v>50</v>
      </c>
      <c r="M1162" s="202">
        <f>TB_Parts_Lists[[#This Row],[Quantity Initial]]+ SUMIF(TB_Transactions[Part number],TB_Parts_Lists[[#This Row],[Part Number]],TB_Transactions[Quantity])</f>
        <v>50</v>
      </c>
      <c r="N1162" s="200" t="s">
        <v>4593</v>
      </c>
      <c r="O1162" s="234">
        <v>5</v>
      </c>
      <c r="P1162" s="199">
        <f>TB_Parts_Lists[[#This Row],[Quantity Initial]]*TB_Parts_Lists[[#This Row],[Unit Price AED]]</f>
        <v>250</v>
      </c>
      <c r="Q1162" s="199">
        <f>TB_Parts_Lists[[#This Row],[Quantity Total]]*TB_Parts_Lists[[#This Row],[Unit Price AED]]</f>
        <v>250</v>
      </c>
      <c r="S1162" s="199" t="e">
        <v>#N/A</v>
      </c>
      <c r="T1162" s="199" t="e">
        <v>#N/A</v>
      </c>
      <c r="U1162" s="199" t="e">
        <v>#N/A</v>
      </c>
    </row>
    <row r="1163" spans="1:21" s="199" customFormat="1" x14ac:dyDescent="0.25">
      <c r="A1163" s="192" t="s">
        <v>7699</v>
      </c>
      <c r="B1163" s="203" t="s">
        <v>3335</v>
      </c>
      <c r="C1163" s="188" t="s">
        <v>6623</v>
      </c>
      <c r="D1163" s="188" t="s">
        <v>8724</v>
      </c>
      <c r="E1163" s="188" t="s">
        <v>5514</v>
      </c>
      <c r="F1163" s="189" t="s">
        <v>4658</v>
      </c>
      <c r="G1163" s="199" t="s">
        <v>8295</v>
      </c>
      <c r="H1163" s="199" t="e">
        <v>#N/A</v>
      </c>
      <c r="I1163" s="199">
        <v>1</v>
      </c>
      <c r="J1163" s="199">
        <v>1</v>
      </c>
      <c r="K1163" s="199">
        <v>1</v>
      </c>
      <c r="L1163" s="199">
        <v>50</v>
      </c>
      <c r="M1163" s="202">
        <f>TB_Parts_Lists[[#This Row],[Quantity Initial]]+ SUMIF(TB_Transactions[Part number],TB_Parts_Lists[[#This Row],[Part Number]],TB_Transactions[Quantity])</f>
        <v>50</v>
      </c>
      <c r="N1163" s="200" t="s">
        <v>4593</v>
      </c>
      <c r="O1163" s="234">
        <v>5</v>
      </c>
      <c r="P1163" s="199">
        <f>TB_Parts_Lists[[#This Row],[Quantity Initial]]*TB_Parts_Lists[[#This Row],[Unit Price AED]]</f>
        <v>250</v>
      </c>
      <c r="Q1163" s="199">
        <f>TB_Parts_Lists[[#This Row],[Quantity Total]]*TB_Parts_Lists[[#This Row],[Unit Price AED]]</f>
        <v>250</v>
      </c>
      <c r="S1163" s="199" t="e">
        <v>#N/A</v>
      </c>
      <c r="T1163" s="199" t="e">
        <v>#N/A</v>
      </c>
      <c r="U1163" s="199" t="e">
        <v>#N/A</v>
      </c>
    </row>
    <row r="1164" spans="1:21" s="199" customFormat="1" x14ac:dyDescent="0.25">
      <c r="A1164" s="192" t="s">
        <v>7700</v>
      </c>
      <c r="B1164" s="203" t="s">
        <v>3335</v>
      </c>
      <c r="C1164" s="188" t="s">
        <v>6623</v>
      </c>
      <c r="D1164" s="188" t="s">
        <v>8724</v>
      </c>
      <c r="E1164" s="188" t="s">
        <v>5515</v>
      </c>
      <c r="F1164" s="189" t="s">
        <v>4659</v>
      </c>
      <c r="G1164" s="199" t="s">
        <v>8295</v>
      </c>
      <c r="H1164" s="199" t="e">
        <v>#N/A</v>
      </c>
      <c r="I1164" s="199">
        <v>1</v>
      </c>
      <c r="J1164" s="199">
        <v>1</v>
      </c>
      <c r="K1164" s="199">
        <v>1</v>
      </c>
      <c r="L1164" s="199">
        <v>50</v>
      </c>
      <c r="M1164" s="202">
        <f>TB_Parts_Lists[[#This Row],[Quantity Initial]]+ SUMIF(TB_Transactions[Part number],TB_Parts_Lists[[#This Row],[Part Number]],TB_Transactions[Quantity])</f>
        <v>50</v>
      </c>
      <c r="N1164" s="200" t="s">
        <v>4593</v>
      </c>
      <c r="O1164" s="234">
        <v>5</v>
      </c>
      <c r="P1164" s="199">
        <f>TB_Parts_Lists[[#This Row],[Quantity Initial]]*TB_Parts_Lists[[#This Row],[Unit Price AED]]</f>
        <v>250</v>
      </c>
      <c r="Q1164" s="199">
        <f>TB_Parts_Lists[[#This Row],[Quantity Total]]*TB_Parts_Lists[[#This Row],[Unit Price AED]]</f>
        <v>250</v>
      </c>
      <c r="S1164" s="199" t="e">
        <v>#N/A</v>
      </c>
      <c r="T1164" s="199" t="e">
        <v>#N/A</v>
      </c>
      <c r="U1164" s="199" t="e">
        <v>#N/A</v>
      </c>
    </row>
    <row r="1165" spans="1:21" s="199" customFormat="1" x14ac:dyDescent="0.25">
      <c r="A1165" s="192" t="s">
        <v>7701</v>
      </c>
      <c r="B1165" s="203" t="s">
        <v>3335</v>
      </c>
      <c r="C1165" s="188" t="s">
        <v>6623</v>
      </c>
      <c r="D1165" s="188" t="s">
        <v>8724</v>
      </c>
      <c r="E1165" s="188" t="s">
        <v>5516</v>
      </c>
      <c r="F1165" s="189" t="s">
        <v>4660</v>
      </c>
      <c r="G1165" s="199" t="s">
        <v>8295</v>
      </c>
      <c r="H1165" s="199" t="e">
        <v>#N/A</v>
      </c>
      <c r="I1165" s="199">
        <v>1</v>
      </c>
      <c r="J1165" s="199">
        <v>1</v>
      </c>
      <c r="K1165" s="199">
        <v>1</v>
      </c>
      <c r="L1165" s="199">
        <v>50</v>
      </c>
      <c r="M1165" s="202">
        <f>TB_Parts_Lists[[#This Row],[Quantity Initial]]+ SUMIF(TB_Transactions[Part number],TB_Parts_Lists[[#This Row],[Part Number]],TB_Transactions[Quantity])</f>
        <v>50</v>
      </c>
      <c r="N1165" s="200" t="s">
        <v>4593</v>
      </c>
      <c r="O1165" s="234">
        <v>5</v>
      </c>
      <c r="P1165" s="199">
        <f>TB_Parts_Lists[[#This Row],[Quantity Initial]]*TB_Parts_Lists[[#This Row],[Unit Price AED]]</f>
        <v>250</v>
      </c>
      <c r="Q1165" s="199">
        <f>TB_Parts_Lists[[#This Row],[Quantity Total]]*TB_Parts_Lists[[#This Row],[Unit Price AED]]</f>
        <v>250</v>
      </c>
      <c r="S1165" s="199" t="e">
        <v>#N/A</v>
      </c>
      <c r="T1165" s="199" t="e">
        <v>#N/A</v>
      </c>
      <c r="U1165" s="199" t="e">
        <v>#N/A</v>
      </c>
    </row>
    <row r="1166" spans="1:21" s="199" customFormat="1" x14ac:dyDescent="0.25">
      <c r="A1166" s="192" t="s">
        <v>7702</v>
      </c>
      <c r="B1166" s="203" t="s">
        <v>3335</v>
      </c>
      <c r="C1166" s="188" t="s">
        <v>6623</v>
      </c>
      <c r="D1166" s="188" t="s">
        <v>8724</v>
      </c>
      <c r="E1166" s="188" t="s">
        <v>5517</v>
      </c>
      <c r="F1166" s="189" t="s">
        <v>4661</v>
      </c>
      <c r="G1166" s="199" t="s">
        <v>8295</v>
      </c>
      <c r="H1166" s="199" t="e">
        <v>#N/A</v>
      </c>
      <c r="I1166" s="199">
        <v>1</v>
      </c>
      <c r="J1166" s="199">
        <v>1</v>
      </c>
      <c r="K1166" s="199">
        <v>1</v>
      </c>
      <c r="L1166" s="199">
        <v>50</v>
      </c>
      <c r="M1166" s="202">
        <f>TB_Parts_Lists[[#This Row],[Quantity Initial]]+ SUMIF(TB_Transactions[Part number],TB_Parts_Lists[[#This Row],[Part Number]],TB_Transactions[Quantity])</f>
        <v>50</v>
      </c>
      <c r="N1166" s="200" t="s">
        <v>4593</v>
      </c>
      <c r="O1166" s="234">
        <v>5</v>
      </c>
      <c r="P1166" s="199">
        <f>TB_Parts_Lists[[#This Row],[Quantity Initial]]*TB_Parts_Lists[[#This Row],[Unit Price AED]]</f>
        <v>250</v>
      </c>
      <c r="Q1166" s="199">
        <f>TB_Parts_Lists[[#This Row],[Quantity Total]]*TB_Parts_Lists[[#This Row],[Unit Price AED]]</f>
        <v>250</v>
      </c>
      <c r="S1166" s="199" t="e">
        <v>#N/A</v>
      </c>
      <c r="T1166" s="199" t="e">
        <v>#N/A</v>
      </c>
      <c r="U1166" s="199" t="e">
        <v>#N/A</v>
      </c>
    </row>
    <row r="1167" spans="1:21" s="199" customFormat="1" x14ac:dyDescent="0.25">
      <c r="A1167" s="192" t="s">
        <v>7703</v>
      </c>
      <c r="B1167" s="203" t="s">
        <v>3335</v>
      </c>
      <c r="C1167" s="188" t="s">
        <v>6623</v>
      </c>
      <c r="D1167" s="188" t="s">
        <v>8724</v>
      </c>
      <c r="E1167" s="188" t="s">
        <v>5518</v>
      </c>
      <c r="F1167" s="189" t="s">
        <v>4662</v>
      </c>
      <c r="G1167" s="199" t="s">
        <v>8295</v>
      </c>
      <c r="H1167" s="199" t="e">
        <v>#N/A</v>
      </c>
      <c r="I1167" s="199">
        <v>1</v>
      </c>
      <c r="J1167" s="199">
        <v>1</v>
      </c>
      <c r="K1167" s="199">
        <v>1</v>
      </c>
      <c r="L1167" s="199">
        <v>50</v>
      </c>
      <c r="M1167" s="202">
        <f>TB_Parts_Lists[[#This Row],[Quantity Initial]]+ SUMIF(TB_Transactions[Part number],TB_Parts_Lists[[#This Row],[Part Number]],TB_Transactions[Quantity])</f>
        <v>50</v>
      </c>
      <c r="N1167" s="200" t="s">
        <v>4593</v>
      </c>
      <c r="O1167" s="234">
        <v>5</v>
      </c>
      <c r="P1167" s="199">
        <f>TB_Parts_Lists[[#This Row],[Quantity Initial]]*TB_Parts_Lists[[#This Row],[Unit Price AED]]</f>
        <v>250</v>
      </c>
      <c r="Q1167" s="199">
        <f>TB_Parts_Lists[[#This Row],[Quantity Total]]*TB_Parts_Lists[[#This Row],[Unit Price AED]]</f>
        <v>250</v>
      </c>
      <c r="S1167" s="199" t="e">
        <v>#N/A</v>
      </c>
      <c r="T1167" s="199" t="e">
        <v>#N/A</v>
      </c>
      <c r="U1167" s="199" t="e">
        <v>#N/A</v>
      </c>
    </row>
    <row r="1168" spans="1:21" s="199" customFormat="1" x14ac:dyDescent="0.25">
      <c r="A1168" s="192" t="s">
        <v>7704</v>
      </c>
      <c r="B1168" s="203" t="s">
        <v>3335</v>
      </c>
      <c r="C1168" s="188" t="s">
        <v>6623</v>
      </c>
      <c r="D1168" s="188" t="s">
        <v>8724</v>
      </c>
      <c r="E1168" s="188" t="s">
        <v>5519</v>
      </c>
      <c r="F1168" s="189" t="s">
        <v>4663</v>
      </c>
      <c r="G1168" s="199" t="s">
        <v>8295</v>
      </c>
      <c r="H1168" s="199" t="e">
        <v>#N/A</v>
      </c>
      <c r="I1168" s="199">
        <v>1</v>
      </c>
      <c r="J1168" s="199">
        <v>1</v>
      </c>
      <c r="K1168" s="199">
        <v>1</v>
      </c>
      <c r="L1168" s="199">
        <v>50</v>
      </c>
      <c r="M1168" s="202">
        <f>TB_Parts_Lists[[#This Row],[Quantity Initial]]+ SUMIF(TB_Transactions[Part number],TB_Parts_Lists[[#This Row],[Part Number]],TB_Transactions[Quantity])</f>
        <v>50</v>
      </c>
      <c r="N1168" s="200" t="s">
        <v>4593</v>
      </c>
      <c r="O1168" s="234">
        <v>5</v>
      </c>
      <c r="P1168" s="199">
        <f>TB_Parts_Lists[[#This Row],[Quantity Initial]]*TB_Parts_Lists[[#This Row],[Unit Price AED]]</f>
        <v>250</v>
      </c>
      <c r="Q1168" s="199">
        <f>TB_Parts_Lists[[#This Row],[Quantity Total]]*TB_Parts_Lists[[#This Row],[Unit Price AED]]</f>
        <v>250</v>
      </c>
      <c r="S1168" s="199" t="e">
        <v>#N/A</v>
      </c>
      <c r="T1168" s="199" t="e">
        <v>#N/A</v>
      </c>
      <c r="U1168" s="199" t="e">
        <v>#N/A</v>
      </c>
    </row>
    <row r="1169" spans="1:21" s="199" customFormat="1" x14ac:dyDescent="0.25">
      <c r="A1169" s="192" t="s">
        <v>7705</v>
      </c>
      <c r="B1169" s="203" t="s">
        <v>3331</v>
      </c>
      <c r="C1169" s="188" t="s">
        <v>6674</v>
      </c>
      <c r="D1169" s="188" t="s">
        <v>8724</v>
      </c>
      <c r="E1169" s="188" t="s">
        <v>5520</v>
      </c>
      <c r="F1169" s="189" t="s">
        <v>4289</v>
      </c>
      <c r="G1169" s="199" t="s">
        <v>8296</v>
      </c>
      <c r="H1169" s="199" t="e">
        <v>#N/A</v>
      </c>
      <c r="I1169" s="199">
        <v>1</v>
      </c>
      <c r="J1169" s="199">
        <v>1</v>
      </c>
      <c r="K1169" s="199">
        <v>1</v>
      </c>
      <c r="L1169" s="199">
        <v>50</v>
      </c>
      <c r="M1169" s="202">
        <f>TB_Parts_Lists[[#This Row],[Quantity Initial]]+ SUMIF(TB_Transactions[Part number],TB_Parts_Lists[[#This Row],[Part Number]],TB_Transactions[Quantity])</f>
        <v>50</v>
      </c>
      <c r="N1169" s="200" t="s">
        <v>4593</v>
      </c>
      <c r="O1169" s="234">
        <v>5</v>
      </c>
      <c r="P1169" s="199">
        <f>TB_Parts_Lists[[#This Row],[Quantity Initial]]*TB_Parts_Lists[[#This Row],[Unit Price AED]]</f>
        <v>250</v>
      </c>
      <c r="Q1169" s="199">
        <f>TB_Parts_Lists[[#This Row],[Quantity Total]]*TB_Parts_Lists[[#This Row],[Unit Price AED]]</f>
        <v>250</v>
      </c>
      <c r="S1169" s="199" t="e">
        <v>#N/A</v>
      </c>
      <c r="T1169" s="199" t="e">
        <v>#N/A</v>
      </c>
      <c r="U1169" s="199" t="e">
        <v>#N/A</v>
      </c>
    </row>
    <row r="1170" spans="1:21" s="199" customFormat="1" x14ac:dyDescent="0.25">
      <c r="A1170" s="192" t="s">
        <v>7706</v>
      </c>
      <c r="B1170" s="203" t="s">
        <v>3331</v>
      </c>
      <c r="C1170" s="188" t="s">
        <v>6674</v>
      </c>
      <c r="D1170" s="188" t="s">
        <v>8724</v>
      </c>
      <c r="E1170" s="188" t="s">
        <v>4305</v>
      </c>
      <c r="F1170" s="189" t="s">
        <v>4290</v>
      </c>
      <c r="G1170" s="199" t="s">
        <v>8296</v>
      </c>
      <c r="H1170" s="199" t="e">
        <v>#N/A</v>
      </c>
      <c r="I1170" s="199">
        <v>1</v>
      </c>
      <c r="J1170" s="199">
        <v>1</v>
      </c>
      <c r="K1170" s="199">
        <v>1</v>
      </c>
      <c r="L1170" s="199">
        <v>50</v>
      </c>
      <c r="M1170" s="202">
        <f>TB_Parts_Lists[[#This Row],[Quantity Initial]]+ SUMIF(TB_Transactions[Part number],TB_Parts_Lists[[#This Row],[Part Number]],TB_Transactions[Quantity])</f>
        <v>50</v>
      </c>
      <c r="N1170" s="200" t="s">
        <v>4593</v>
      </c>
      <c r="O1170" s="234">
        <v>5</v>
      </c>
      <c r="P1170" s="199">
        <f>TB_Parts_Lists[[#This Row],[Quantity Initial]]*TB_Parts_Lists[[#This Row],[Unit Price AED]]</f>
        <v>250</v>
      </c>
      <c r="Q1170" s="199">
        <f>TB_Parts_Lists[[#This Row],[Quantity Total]]*TB_Parts_Lists[[#This Row],[Unit Price AED]]</f>
        <v>250</v>
      </c>
      <c r="S1170" s="199" t="e">
        <v>#N/A</v>
      </c>
      <c r="T1170" s="199" t="e">
        <v>#N/A</v>
      </c>
      <c r="U1170" s="199" t="e">
        <v>#N/A</v>
      </c>
    </row>
    <row r="1171" spans="1:21" s="199" customFormat="1" x14ac:dyDescent="0.25">
      <c r="A1171" s="192" t="s">
        <v>7707</v>
      </c>
      <c r="B1171" s="203" t="s">
        <v>3330</v>
      </c>
      <c r="C1171" s="188" t="s">
        <v>7002</v>
      </c>
      <c r="D1171" s="188" t="s">
        <v>8724</v>
      </c>
      <c r="E1171" s="188" t="s">
        <v>4306</v>
      </c>
      <c r="F1171" s="189" t="s">
        <v>4291</v>
      </c>
      <c r="G1171" s="199" t="s">
        <v>8296</v>
      </c>
      <c r="H1171" s="199" t="e">
        <v>#N/A</v>
      </c>
      <c r="I1171" s="199">
        <v>1</v>
      </c>
      <c r="J1171" s="199">
        <v>1</v>
      </c>
      <c r="K1171" s="199">
        <v>1</v>
      </c>
      <c r="L1171" s="199">
        <v>50</v>
      </c>
      <c r="M1171" s="202">
        <f>TB_Parts_Lists[[#This Row],[Quantity Initial]]+ SUMIF(TB_Transactions[Part number],TB_Parts_Lists[[#This Row],[Part Number]],TB_Transactions[Quantity])</f>
        <v>50</v>
      </c>
      <c r="N1171" s="200" t="s">
        <v>4593</v>
      </c>
      <c r="O1171" s="234">
        <v>5</v>
      </c>
      <c r="P1171" s="199">
        <f>TB_Parts_Lists[[#This Row],[Quantity Initial]]*TB_Parts_Lists[[#This Row],[Unit Price AED]]</f>
        <v>250</v>
      </c>
      <c r="Q1171" s="199">
        <f>TB_Parts_Lists[[#This Row],[Quantity Total]]*TB_Parts_Lists[[#This Row],[Unit Price AED]]</f>
        <v>250</v>
      </c>
      <c r="S1171" s="199" t="e">
        <v>#N/A</v>
      </c>
      <c r="T1171" s="199" t="e">
        <v>#N/A</v>
      </c>
      <c r="U1171" s="199" t="e">
        <v>#N/A</v>
      </c>
    </row>
    <row r="1172" spans="1:21" s="199" customFormat="1" x14ac:dyDescent="0.25">
      <c r="A1172" s="192" t="s">
        <v>7708</v>
      </c>
      <c r="B1172" s="203" t="s">
        <v>3335</v>
      </c>
      <c r="C1172" s="188" t="s">
        <v>3373</v>
      </c>
      <c r="D1172" s="188" t="s">
        <v>8724</v>
      </c>
      <c r="E1172" s="188" t="s">
        <v>4307</v>
      </c>
      <c r="F1172" s="189" t="s">
        <v>4292</v>
      </c>
      <c r="G1172" s="199" t="s">
        <v>8296</v>
      </c>
      <c r="H1172" s="199" t="e">
        <v>#N/A</v>
      </c>
      <c r="I1172" s="199">
        <v>1</v>
      </c>
      <c r="J1172" s="199">
        <v>1</v>
      </c>
      <c r="K1172" s="199">
        <v>1</v>
      </c>
      <c r="L1172" s="199">
        <v>50</v>
      </c>
      <c r="M1172" s="202">
        <f>TB_Parts_Lists[[#This Row],[Quantity Initial]]+ SUMIF(TB_Transactions[Part number],TB_Parts_Lists[[#This Row],[Part Number]],TB_Transactions[Quantity])</f>
        <v>50</v>
      </c>
      <c r="N1172" s="200" t="s">
        <v>4593</v>
      </c>
      <c r="O1172" s="234">
        <v>5</v>
      </c>
      <c r="P1172" s="199">
        <f>TB_Parts_Lists[[#This Row],[Quantity Initial]]*TB_Parts_Lists[[#This Row],[Unit Price AED]]</f>
        <v>250</v>
      </c>
      <c r="Q1172" s="199">
        <f>TB_Parts_Lists[[#This Row],[Quantity Total]]*TB_Parts_Lists[[#This Row],[Unit Price AED]]</f>
        <v>250</v>
      </c>
      <c r="S1172" s="199" t="e">
        <v>#N/A</v>
      </c>
      <c r="T1172" s="199" t="e">
        <v>#N/A</v>
      </c>
      <c r="U1172" s="199" t="e">
        <v>#N/A</v>
      </c>
    </row>
    <row r="1173" spans="1:21" s="199" customFormat="1" x14ac:dyDescent="0.25">
      <c r="A1173" s="192" t="s">
        <v>7709</v>
      </c>
      <c r="B1173" s="203" t="s">
        <v>3331</v>
      </c>
      <c r="C1173" s="188" t="s">
        <v>6672</v>
      </c>
      <c r="D1173" s="188" t="s">
        <v>8724</v>
      </c>
      <c r="E1173" s="188" t="s">
        <v>5521</v>
      </c>
      <c r="F1173" s="189" t="s">
        <v>4293</v>
      </c>
      <c r="G1173" s="199" t="s">
        <v>8296</v>
      </c>
      <c r="H1173" s="199" t="e">
        <v>#N/A</v>
      </c>
      <c r="I1173" s="199">
        <v>1</v>
      </c>
      <c r="J1173" s="199">
        <v>1</v>
      </c>
      <c r="K1173" s="199">
        <v>1</v>
      </c>
      <c r="L1173" s="199">
        <v>50</v>
      </c>
      <c r="M1173" s="202">
        <f>TB_Parts_Lists[[#This Row],[Quantity Initial]]+ SUMIF(TB_Transactions[Part number],TB_Parts_Lists[[#This Row],[Part Number]],TB_Transactions[Quantity])</f>
        <v>50</v>
      </c>
      <c r="N1173" s="200" t="s">
        <v>4593</v>
      </c>
      <c r="O1173" s="234">
        <v>5</v>
      </c>
      <c r="P1173" s="199">
        <f>TB_Parts_Lists[[#This Row],[Quantity Initial]]*TB_Parts_Lists[[#This Row],[Unit Price AED]]</f>
        <v>250</v>
      </c>
      <c r="Q1173" s="199">
        <f>TB_Parts_Lists[[#This Row],[Quantity Total]]*TB_Parts_Lists[[#This Row],[Unit Price AED]]</f>
        <v>250</v>
      </c>
      <c r="S1173" s="199" t="e">
        <v>#N/A</v>
      </c>
      <c r="T1173" s="199" t="e">
        <v>#N/A</v>
      </c>
      <c r="U1173" s="199" t="e">
        <v>#N/A</v>
      </c>
    </row>
    <row r="1174" spans="1:21" s="199" customFormat="1" x14ac:dyDescent="0.25">
      <c r="A1174" s="192" t="s">
        <v>7710</v>
      </c>
      <c r="B1174" s="203" t="s">
        <v>3331</v>
      </c>
      <c r="C1174" s="188" t="s">
        <v>6672</v>
      </c>
      <c r="D1174" s="188" t="s">
        <v>8724</v>
      </c>
      <c r="E1174" s="188" t="s">
        <v>5522</v>
      </c>
      <c r="F1174" s="189" t="s">
        <v>4294</v>
      </c>
      <c r="G1174" s="199" t="s">
        <v>8296</v>
      </c>
      <c r="H1174" s="199" t="e">
        <v>#N/A</v>
      </c>
      <c r="I1174" s="199">
        <v>1</v>
      </c>
      <c r="J1174" s="199">
        <v>1</v>
      </c>
      <c r="K1174" s="199">
        <v>1</v>
      </c>
      <c r="L1174" s="199">
        <v>50</v>
      </c>
      <c r="M1174" s="202">
        <f>TB_Parts_Lists[[#This Row],[Quantity Initial]]+ SUMIF(TB_Transactions[Part number],TB_Parts_Lists[[#This Row],[Part Number]],TB_Transactions[Quantity])</f>
        <v>50</v>
      </c>
      <c r="N1174" s="200" t="s">
        <v>4593</v>
      </c>
      <c r="O1174" s="234">
        <v>5</v>
      </c>
      <c r="P1174" s="199">
        <f>TB_Parts_Lists[[#This Row],[Quantity Initial]]*TB_Parts_Lists[[#This Row],[Unit Price AED]]</f>
        <v>250</v>
      </c>
      <c r="Q1174" s="199">
        <f>TB_Parts_Lists[[#This Row],[Quantity Total]]*TB_Parts_Lists[[#This Row],[Unit Price AED]]</f>
        <v>250</v>
      </c>
      <c r="S1174" s="199" t="e">
        <v>#N/A</v>
      </c>
      <c r="T1174" s="199" t="e">
        <v>#N/A</v>
      </c>
      <c r="U1174" s="199" t="e">
        <v>#N/A</v>
      </c>
    </row>
    <row r="1175" spans="1:21" s="199" customFormat="1" x14ac:dyDescent="0.25">
      <c r="A1175" s="192" t="s">
        <v>7711</v>
      </c>
      <c r="B1175" s="203" t="s">
        <v>3341</v>
      </c>
      <c r="C1175" s="188" t="s">
        <v>4299</v>
      </c>
      <c r="D1175" s="199" t="s">
        <v>8732</v>
      </c>
      <c r="E1175" s="188" t="s">
        <v>5523</v>
      </c>
      <c r="F1175" s="189" t="s">
        <v>4308</v>
      </c>
      <c r="G1175" s="199" t="s">
        <v>8297</v>
      </c>
      <c r="H1175" s="199" t="s">
        <v>8650</v>
      </c>
      <c r="I1175" s="199">
        <v>1</v>
      </c>
      <c r="J1175" s="199">
        <v>1</v>
      </c>
      <c r="K1175" s="199">
        <v>1</v>
      </c>
      <c r="L1175" s="199">
        <v>50</v>
      </c>
      <c r="M1175" s="202">
        <f>TB_Parts_Lists[[#This Row],[Quantity Initial]]+ SUMIF(TB_Transactions[Part number],TB_Parts_Lists[[#This Row],[Part Number]],TB_Transactions[Quantity])</f>
        <v>50</v>
      </c>
      <c r="N1175" s="200" t="s">
        <v>4593</v>
      </c>
      <c r="O1175" s="234">
        <v>5</v>
      </c>
      <c r="P1175" s="199">
        <f>TB_Parts_Lists[[#This Row],[Quantity Initial]]*TB_Parts_Lists[[#This Row],[Unit Price AED]]</f>
        <v>250</v>
      </c>
      <c r="Q1175" s="199">
        <f>TB_Parts_Lists[[#This Row],[Quantity Total]]*TB_Parts_Lists[[#This Row],[Unit Price AED]]</f>
        <v>250</v>
      </c>
      <c r="S1175" s="199" t="s">
        <v>118</v>
      </c>
      <c r="T1175" s="199" t="s">
        <v>8675</v>
      </c>
      <c r="U1175" s="199" t="s">
        <v>8675</v>
      </c>
    </row>
    <row r="1176" spans="1:21" s="199" customFormat="1" x14ac:dyDescent="0.25">
      <c r="A1176" s="192" t="s">
        <v>7712</v>
      </c>
      <c r="B1176" s="203" t="s">
        <v>3341</v>
      </c>
      <c r="C1176" s="188" t="s">
        <v>4299</v>
      </c>
      <c r="D1176" s="199" t="s">
        <v>8732</v>
      </c>
      <c r="E1176" s="188" t="s">
        <v>5524</v>
      </c>
      <c r="F1176" s="189" t="s">
        <v>4309</v>
      </c>
      <c r="G1176" s="199" t="s">
        <v>8297</v>
      </c>
      <c r="H1176" s="199" t="s">
        <v>8650</v>
      </c>
      <c r="I1176" s="199">
        <v>1</v>
      </c>
      <c r="J1176" s="199">
        <v>1</v>
      </c>
      <c r="K1176" s="199">
        <v>1</v>
      </c>
      <c r="L1176" s="199">
        <v>50</v>
      </c>
      <c r="M1176" s="202">
        <f>TB_Parts_Lists[[#This Row],[Quantity Initial]]+ SUMIF(TB_Transactions[Part number],TB_Parts_Lists[[#This Row],[Part Number]],TB_Transactions[Quantity])</f>
        <v>50</v>
      </c>
      <c r="N1176" s="200" t="s">
        <v>4593</v>
      </c>
      <c r="O1176" s="234">
        <v>5</v>
      </c>
      <c r="P1176" s="199">
        <f>TB_Parts_Lists[[#This Row],[Quantity Initial]]*TB_Parts_Lists[[#This Row],[Unit Price AED]]</f>
        <v>250</v>
      </c>
      <c r="Q1176" s="199">
        <f>TB_Parts_Lists[[#This Row],[Quantity Total]]*TB_Parts_Lists[[#This Row],[Unit Price AED]]</f>
        <v>250</v>
      </c>
      <c r="S1176" s="199" t="s">
        <v>118</v>
      </c>
      <c r="T1176" s="199" t="s">
        <v>8675</v>
      </c>
      <c r="U1176" s="199" t="s">
        <v>8675</v>
      </c>
    </row>
    <row r="1177" spans="1:21" s="199" customFormat="1" x14ac:dyDescent="0.25">
      <c r="A1177" s="192" t="s">
        <v>7713</v>
      </c>
      <c r="B1177" s="203" t="s">
        <v>3341</v>
      </c>
      <c r="C1177" s="188" t="s">
        <v>4299</v>
      </c>
      <c r="D1177" s="199" t="s">
        <v>8732</v>
      </c>
      <c r="E1177" s="188" t="s">
        <v>5525</v>
      </c>
      <c r="F1177" s="189" t="s">
        <v>4310</v>
      </c>
      <c r="G1177" s="199" t="s">
        <v>8297</v>
      </c>
      <c r="H1177" s="199" t="s">
        <v>8650</v>
      </c>
      <c r="I1177" s="199">
        <v>1</v>
      </c>
      <c r="J1177" s="199">
        <v>1</v>
      </c>
      <c r="K1177" s="199">
        <v>1</v>
      </c>
      <c r="L1177" s="199">
        <v>50</v>
      </c>
      <c r="M1177" s="202">
        <f>TB_Parts_Lists[[#This Row],[Quantity Initial]]+ SUMIF(TB_Transactions[Part number],TB_Parts_Lists[[#This Row],[Part Number]],TB_Transactions[Quantity])</f>
        <v>50</v>
      </c>
      <c r="N1177" s="200" t="s">
        <v>4593</v>
      </c>
      <c r="O1177" s="234">
        <v>5</v>
      </c>
      <c r="P1177" s="199">
        <f>TB_Parts_Lists[[#This Row],[Quantity Initial]]*TB_Parts_Lists[[#This Row],[Unit Price AED]]</f>
        <v>250</v>
      </c>
      <c r="Q1177" s="199">
        <f>TB_Parts_Lists[[#This Row],[Quantity Total]]*TB_Parts_Lists[[#This Row],[Unit Price AED]]</f>
        <v>250</v>
      </c>
      <c r="S1177" s="199" t="s">
        <v>118</v>
      </c>
      <c r="T1177" s="199" t="s">
        <v>8675</v>
      </c>
      <c r="U1177" s="199" t="s">
        <v>8675</v>
      </c>
    </row>
    <row r="1178" spans="1:21" s="199" customFormat="1" x14ac:dyDescent="0.25">
      <c r="A1178" s="192" t="s">
        <v>7714</v>
      </c>
      <c r="B1178" s="203" t="s">
        <v>3341</v>
      </c>
      <c r="C1178" s="188" t="s">
        <v>4299</v>
      </c>
      <c r="D1178" s="199" t="s">
        <v>8732</v>
      </c>
      <c r="E1178" s="188" t="s">
        <v>5526</v>
      </c>
      <c r="F1178" s="189" t="s">
        <v>4311</v>
      </c>
      <c r="G1178" s="199" t="s">
        <v>8297</v>
      </c>
      <c r="H1178" s="199" t="s">
        <v>8650</v>
      </c>
      <c r="I1178" s="199">
        <v>1</v>
      </c>
      <c r="J1178" s="199">
        <v>1</v>
      </c>
      <c r="K1178" s="199">
        <v>1</v>
      </c>
      <c r="L1178" s="199">
        <v>50</v>
      </c>
      <c r="M1178" s="202">
        <f>TB_Parts_Lists[[#This Row],[Quantity Initial]]+ SUMIF(TB_Transactions[Part number],TB_Parts_Lists[[#This Row],[Part Number]],TB_Transactions[Quantity])</f>
        <v>50</v>
      </c>
      <c r="N1178" s="200" t="s">
        <v>4593</v>
      </c>
      <c r="O1178" s="234">
        <v>5</v>
      </c>
      <c r="P1178" s="199">
        <f>TB_Parts_Lists[[#This Row],[Quantity Initial]]*TB_Parts_Lists[[#This Row],[Unit Price AED]]</f>
        <v>250</v>
      </c>
      <c r="Q1178" s="199">
        <f>TB_Parts_Lists[[#This Row],[Quantity Total]]*TB_Parts_Lists[[#This Row],[Unit Price AED]]</f>
        <v>250</v>
      </c>
      <c r="S1178" s="199" t="s">
        <v>118</v>
      </c>
      <c r="T1178" s="199" t="s">
        <v>8675</v>
      </c>
      <c r="U1178" s="199" t="s">
        <v>8675</v>
      </c>
    </row>
    <row r="1179" spans="1:21" s="199" customFormat="1" x14ac:dyDescent="0.25">
      <c r="A1179" s="192" t="s">
        <v>7715</v>
      </c>
      <c r="B1179" s="203" t="s">
        <v>3341</v>
      </c>
      <c r="C1179" s="188" t="s">
        <v>4299</v>
      </c>
      <c r="D1179" s="199" t="s">
        <v>8732</v>
      </c>
      <c r="E1179" s="188" t="s">
        <v>5527</v>
      </c>
      <c r="F1179" s="189" t="s">
        <v>4664</v>
      </c>
      <c r="G1179" s="199" t="s">
        <v>8297</v>
      </c>
      <c r="H1179" s="199" t="s">
        <v>8650</v>
      </c>
      <c r="I1179" s="199">
        <v>1</v>
      </c>
      <c r="J1179" s="199">
        <v>1</v>
      </c>
      <c r="K1179" s="199">
        <v>1</v>
      </c>
      <c r="L1179" s="199">
        <v>50</v>
      </c>
      <c r="M1179" s="202">
        <f>TB_Parts_Lists[[#This Row],[Quantity Initial]]+ SUMIF(TB_Transactions[Part number],TB_Parts_Lists[[#This Row],[Part Number]],TB_Transactions[Quantity])</f>
        <v>50</v>
      </c>
      <c r="N1179" s="200" t="s">
        <v>4593</v>
      </c>
      <c r="O1179" s="234">
        <v>5</v>
      </c>
      <c r="P1179" s="199">
        <f>TB_Parts_Lists[[#This Row],[Quantity Initial]]*TB_Parts_Lists[[#This Row],[Unit Price AED]]</f>
        <v>250</v>
      </c>
      <c r="Q1179" s="199">
        <f>TB_Parts_Lists[[#This Row],[Quantity Total]]*TB_Parts_Lists[[#This Row],[Unit Price AED]]</f>
        <v>250</v>
      </c>
      <c r="S1179" s="199" t="s">
        <v>118</v>
      </c>
      <c r="T1179" s="199" t="s">
        <v>8675</v>
      </c>
      <c r="U1179" s="199" t="s">
        <v>8675</v>
      </c>
    </row>
    <row r="1180" spans="1:21" s="199" customFormat="1" x14ac:dyDescent="0.25">
      <c r="A1180" s="192" t="s">
        <v>7716</v>
      </c>
      <c r="B1180" s="203" t="s">
        <v>3341</v>
      </c>
      <c r="C1180" s="188" t="s">
        <v>4299</v>
      </c>
      <c r="D1180" s="199" t="s">
        <v>8732</v>
      </c>
      <c r="E1180" s="188" t="s">
        <v>5528</v>
      </c>
      <c r="F1180" s="189" t="s">
        <v>4312</v>
      </c>
      <c r="G1180" s="199" t="s">
        <v>8297</v>
      </c>
      <c r="H1180" s="199" t="s">
        <v>8650</v>
      </c>
      <c r="I1180" s="199">
        <v>1</v>
      </c>
      <c r="J1180" s="199">
        <v>1</v>
      </c>
      <c r="K1180" s="199">
        <v>1</v>
      </c>
      <c r="L1180" s="199">
        <v>50</v>
      </c>
      <c r="M1180" s="202">
        <f>TB_Parts_Lists[[#This Row],[Quantity Initial]]+ SUMIF(TB_Transactions[Part number],TB_Parts_Lists[[#This Row],[Part Number]],TB_Transactions[Quantity])</f>
        <v>50</v>
      </c>
      <c r="N1180" s="200" t="s">
        <v>4593</v>
      </c>
      <c r="O1180" s="234">
        <v>5</v>
      </c>
      <c r="P1180" s="199">
        <f>TB_Parts_Lists[[#This Row],[Quantity Initial]]*TB_Parts_Lists[[#This Row],[Unit Price AED]]</f>
        <v>250</v>
      </c>
      <c r="Q1180" s="199">
        <f>TB_Parts_Lists[[#This Row],[Quantity Total]]*TB_Parts_Lists[[#This Row],[Unit Price AED]]</f>
        <v>250</v>
      </c>
      <c r="S1180" s="199" t="s">
        <v>118</v>
      </c>
      <c r="T1180" s="199" t="s">
        <v>8675</v>
      </c>
      <c r="U1180" s="199" t="s">
        <v>8675</v>
      </c>
    </row>
    <row r="1181" spans="1:21" s="199" customFormat="1" x14ac:dyDescent="0.25">
      <c r="A1181" s="192" t="s">
        <v>7717</v>
      </c>
      <c r="B1181" s="203" t="s">
        <v>3341</v>
      </c>
      <c r="C1181" s="188" t="s">
        <v>4297</v>
      </c>
      <c r="D1181" s="199" t="s">
        <v>8732</v>
      </c>
      <c r="E1181" s="188" t="s">
        <v>5529</v>
      </c>
      <c r="F1181" s="189" t="s">
        <v>4313</v>
      </c>
      <c r="G1181" s="199" t="s">
        <v>8298</v>
      </c>
      <c r="H1181" s="199" t="s">
        <v>8650</v>
      </c>
      <c r="I1181" s="199">
        <v>1</v>
      </c>
      <c r="J1181" s="199">
        <v>1</v>
      </c>
      <c r="K1181" s="199">
        <v>1</v>
      </c>
      <c r="L1181" s="199">
        <v>50</v>
      </c>
      <c r="M1181" s="202">
        <f>TB_Parts_Lists[[#This Row],[Quantity Initial]]+ SUMIF(TB_Transactions[Part number],TB_Parts_Lists[[#This Row],[Part Number]],TB_Transactions[Quantity])</f>
        <v>50</v>
      </c>
      <c r="N1181" s="200" t="s">
        <v>4593</v>
      </c>
      <c r="O1181" s="234">
        <v>5</v>
      </c>
      <c r="P1181" s="199">
        <f>TB_Parts_Lists[[#This Row],[Quantity Initial]]*TB_Parts_Lists[[#This Row],[Unit Price AED]]</f>
        <v>250</v>
      </c>
      <c r="Q1181" s="199">
        <f>TB_Parts_Lists[[#This Row],[Quantity Total]]*TB_Parts_Lists[[#This Row],[Unit Price AED]]</f>
        <v>250</v>
      </c>
      <c r="S1181" s="199" t="s">
        <v>118</v>
      </c>
      <c r="T1181" s="199" t="s">
        <v>8675</v>
      </c>
      <c r="U1181" s="199" t="s">
        <v>8675</v>
      </c>
    </row>
    <row r="1182" spans="1:21" s="199" customFormat="1" x14ac:dyDescent="0.25">
      <c r="A1182" s="192" t="s">
        <v>7718</v>
      </c>
      <c r="B1182" s="203" t="s">
        <v>3341</v>
      </c>
      <c r="C1182" s="188" t="s">
        <v>4297</v>
      </c>
      <c r="D1182" s="199" t="s">
        <v>8732</v>
      </c>
      <c r="E1182" s="188" t="s">
        <v>5530</v>
      </c>
      <c r="F1182" s="189" t="s">
        <v>4314</v>
      </c>
      <c r="G1182" s="199" t="s">
        <v>8298</v>
      </c>
      <c r="H1182" s="199" t="s">
        <v>8650</v>
      </c>
      <c r="I1182" s="199">
        <v>1</v>
      </c>
      <c r="J1182" s="199">
        <v>1</v>
      </c>
      <c r="K1182" s="199">
        <v>1</v>
      </c>
      <c r="L1182" s="199">
        <v>50</v>
      </c>
      <c r="M1182" s="202">
        <f>TB_Parts_Lists[[#This Row],[Quantity Initial]]+ SUMIF(TB_Transactions[Part number],TB_Parts_Lists[[#This Row],[Part Number]],TB_Transactions[Quantity])</f>
        <v>50</v>
      </c>
      <c r="N1182" s="200" t="s">
        <v>4593</v>
      </c>
      <c r="O1182" s="234">
        <v>5</v>
      </c>
      <c r="P1182" s="199">
        <f>TB_Parts_Lists[[#This Row],[Quantity Initial]]*TB_Parts_Lists[[#This Row],[Unit Price AED]]</f>
        <v>250</v>
      </c>
      <c r="Q1182" s="199">
        <f>TB_Parts_Lists[[#This Row],[Quantity Total]]*TB_Parts_Lists[[#This Row],[Unit Price AED]]</f>
        <v>250</v>
      </c>
      <c r="S1182" s="199" t="s">
        <v>118</v>
      </c>
      <c r="T1182" s="199" t="s">
        <v>8675</v>
      </c>
      <c r="U1182" s="199" t="s">
        <v>8675</v>
      </c>
    </row>
    <row r="1183" spans="1:21" s="199" customFormat="1" x14ac:dyDescent="0.25">
      <c r="A1183" s="192" t="s">
        <v>7719</v>
      </c>
      <c r="B1183" s="203" t="s">
        <v>3341</v>
      </c>
      <c r="C1183" s="188" t="s">
        <v>4297</v>
      </c>
      <c r="D1183" s="199" t="s">
        <v>8732</v>
      </c>
      <c r="E1183" s="188" t="s">
        <v>5531</v>
      </c>
      <c r="F1183" s="189" t="s">
        <v>4315</v>
      </c>
      <c r="G1183" s="199" t="s">
        <v>8298</v>
      </c>
      <c r="H1183" s="199" t="s">
        <v>8650</v>
      </c>
      <c r="I1183" s="199">
        <v>1</v>
      </c>
      <c r="J1183" s="199">
        <v>1</v>
      </c>
      <c r="K1183" s="199">
        <v>1</v>
      </c>
      <c r="L1183" s="199">
        <v>50</v>
      </c>
      <c r="M1183" s="202">
        <f>TB_Parts_Lists[[#This Row],[Quantity Initial]]+ SUMIF(TB_Transactions[Part number],TB_Parts_Lists[[#This Row],[Part Number]],TB_Transactions[Quantity])</f>
        <v>50</v>
      </c>
      <c r="N1183" s="200" t="s">
        <v>4593</v>
      </c>
      <c r="O1183" s="234">
        <v>5</v>
      </c>
      <c r="P1183" s="199">
        <f>TB_Parts_Lists[[#This Row],[Quantity Initial]]*TB_Parts_Lists[[#This Row],[Unit Price AED]]</f>
        <v>250</v>
      </c>
      <c r="Q1183" s="199">
        <f>TB_Parts_Lists[[#This Row],[Quantity Total]]*TB_Parts_Lists[[#This Row],[Unit Price AED]]</f>
        <v>250</v>
      </c>
      <c r="S1183" s="199" t="s">
        <v>118</v>
      </c>
      <c r="T1183" s="199" t="s">
        <v>8675</v>
      </c>
      <c r="U1183" s="199" t="s">
        <v>8675</v>
      </c>
    </row>
    <row r="1184" spans="1:21" s="199" customFormat="1" x14ac:dyDescent="0.25">
      <c r="A1184" s="192" t="s">
        <v>7720</v>
      </c>
      <c r="B1184" s="203" t="s">
        <v>3341</v>
      </c>
      <c r="C1184" s="188" t="s">
        <v>4297</v>
      </c>
      <c r="D1184" s="199" t="s">
        <v>8732</v>
      </c>
      <c r="E1184" s="188" t="s">
        <v>5532</v>
      </c>
      <c r="F1184" s="189" t="s">
        <v>4316</v>
      </c>
      <c r="G1184" s="199" t="s">
        <v>8298</v>
      </c>
      <c r="H1184" s="199" t="s">
        <v>8650</v>
      </c>
      <c r="I1184" s="199">
        <v>1</v>
      </c>
      <c r="J1184" s="199">
        <v>1</v>
      </c>
      <c r="K1184" s="199">
        <v>1</v>
      </c>
      <c r="L1184" s="199">
        <v>50</v>
      </c>
      <c r="M1184" s="202">
        <f>TB_Parts_Lists[[#This Row],[Quantity Initial]]+ SUMIF(TB_Transactions[Part number],TB_Parts_Lists[[#This Row],[Part Number]],TB_Transactions[Quantity])</f>
        <v>50</v>
      </c>
      <c r="N1184" s="200" t="s">
        <v>4593</v>
      </c>
      <c r="O1184" s="234">
        <v>5</v>
      </c>
      <c r="P1184" s="199">
        <f>TB_Parts_Lists[[#This Row],[Quantity Initial]]*TB_Parts_Lists[[#This Row],[Unit Price AED]]</f>
        <v>250</v>
      </c>
      <c r="Q1184" s="199">
        <f>TB_Parts_Lists[[#This Row],[Quantity Total]]*TB_Parts_Lists[[#This Row],[Unit Price AED]]</f>
        <v>250</v>
      </c>
      <c r="S1184" s="199" t="s">
        <v>118</v>
      </c>
      <c r="T1184" s="199" t="s">
        <v>8675</v>
      </c>
      <c r="U1184" s="199" t="s">
        <v>8675</v>
      </c>
    </row>
    <row r="1185" spans="1:21" s="199" customFormat="1" x14ac:dyDescent="0.25">
      <c r="A1185" s="192" t="s">
        <v>7721</v>
      </c>
      <c r="B1185" s="203" t="s">
        <v>3341</v>
      </c>
      <c r="C1185" s="188" t="s">
        <v>4297</v>
      </c>
      <c r="D1185" s="199" t="s">
        <v>8732</v>
      </c>
      <c r="E1185" s="188" t="s">
        <v>5533</v>
      </c>
      <c r="F1185" s="189" t="s">
        <v>4317</v>
      </c>
      <c r="G1185" s="199" t="s">
        <v>8298</v>
      </c>
      <c r="H1185" s="199" t="s">
        <v>8650</v>
      </c>
      <c r="I1185" s="199">
        <v>1</v>
      </c>
      <c r="J1185" s="199">
        <v>1</v>
      </c>
      <c r="K1185" s="199">
        <v>1</v>
      </c>
      <c r="L1185" s="199">
        <v>50</v>
      </c>
      <c r="M1185" s="202">
        <f>TB_Parts_Lists[[#This Row],[Quantity Initial]]+ SUMIF(TB_Transactions[Part number],TB_Parts_Lists[[#This Row],[Part Number]],TB_Transactions[Quantity])</f>
        <v>50</v>
      </c>
      <c r="N1185" s="200" t="s">
        <v>4593</v>
      </c>
      <c r="O1185" s="234">
        <v>5</v>
      </c>
      <c r="P1185" s="199">
        <f>TB_Parts_Lists[[#This Row],[Quantity Initial]]*TB_Parts_Lists[[#This Row],[Unit Price AED]]</f>
        <v>250</v>
      </c>
      <c r="Q1185" s="199">
        <f>TB_Parts_Lists[[#This Row],[Quantity Total]]*TB_Parts_Lists[[#This Row],[Unit Price AED]]</f>
        <v>250</v>
      </c>
      <c r="S1185" s="199" t="s">
        <v>118</v>
      </c>
      <c r="T1185" s="199" t="s">
        <v>8675</v>
      </c>
      <c r="U1185" s="199" t="s">
        <v>8675</v>
      </c>
    </row>
    <row r="1186" spans="1:21" s="199" customFormat="1" x14ac:dyDescent="0.25">
      <c r="A1186" s="192" t="s">
        <v>7722</v>
      </c>
      <c r="B1186" s="203" t="s">
        <v>3341</v>
      </c>
      <c r="C1186" s="188" t="s">
        <v>4297</v>
      </c>
      <c r="D1186" s="199" t="s">
        <v>8732</v>
      </c>
      <c r="E1186" s="188" t="s">
        <v>5534</v>
      </c>
      <c r="F1186" s="189" t="s">
        <v>4318</v>
      </c>
      <c r="G1186" s="199" t="s">
        <v>8298</v>
      </c>
      <c r="H1186" s="199" t="s">
        <v>8650</v>
      </c>
      <c r="I1186" s="199">
        <v>1</v>
      </c>
      <c r="J1186" s="199">
        <v>1</v>
      </c>
      <c r="K1186" s="199">
        <v>1</v>
      </c>
      <c r="L1186" s="199">
        <v>50</v>
      </c>
      <c r="M1186" s="202">
        <f>TB_Parts_Lists[[#This Row],[Quantity Initial]]+ SUMIF(TB_Transactions[Part number],TB_Parts_Lists[[#This Row],[Part Number]],TB_Transactions[Quantity])</f>
        <v>50</v>
      </c>
      <c r="N1186" s="200" t="s">
        <v>4593</v>
      </c>
      <c r="O1186" s="234">
        <v>5</v>
      </c>
      <c r="P1186" s="199">
        <f>TB_Parts_Lists[[#This Row],[Quantity Initial]]*TB_Parts_Lists[[#This Row],[Unit Price AED]]</f>
        <v>250</v>
      </c>
      <c r="Q1186" s="199">
        <f>TB_Parts_Lists[[#This Row],[Quantity Total]]*TB_Parts_Lists[[#This Row],[Unit Price AED]]</f>
        <v>250</v>
      </c>
      <c r="S1186" s="199" t="s">
        <v>118</v>
      </c>
      <c r="T1186" s="199" t="s">
        <v>8675</v>
      </c>
      <c r="U1186" s="199" t="s">
        <v>8675</v>
      </c>
    </row>
    <row r="1187" spans="1:21" s="199" customFormat="1" x14ac:dyDescent="0.25">
      <c r="A1187" s="192" t="s">
        <v>7723</v>
      </c>
      <c r="B1187" s="203" t="s">
        <v>3341</v>
      </c>
      <c r="C1187" s="188" t="s">
        <v>4297</v>
      </c>
      <c r="D1187" s="199" t="s">
        <v>8732</v>
      </c>
      <c r="E1187" s="188" t="s">
        <v>5535</v>
      </c>
      <c r="F1187" s="189" t="s">
        <v>4319</v>
      </c>
      <c r="G1187" s="199" t="s">
        <v>8298</v>
      </c>
      <c r="H1187" s="199" t="s">
        <v>8650</v>
      </c>
      <c r="I1187" s="199">
        <v>1</v>
      </c>
      <c r="J1187" s="199">
        <v>1</v>
      </c>
      <c r="K1187" s="199">
        <v>1</v>
      </c>
      <c r="L1187" s="199">
        <v>50</v>
      </c>
      <c r="M1187" s="202">
        <f>TB_Parts_Lists[[#This Row],[Quantity Initial]]+ SUMIF(TB_Transactions[Part number],TB_Parts_Lists[[#This Row],[Part Number]],TB_Transactions[Quantity])</f>
        <v>50</v>
      </c>
      <c r="N1187" s="200" t="s">
        <v>4593</v>
      </c>
      <c r="O1187" s="234">
        <v>5</v>
      </c>
      <c r="P1187" s="199">
        <f>TB_Parts_Lists[[#This Row],[Quantity Initial]]*TB_Parts_Lists[[#This Row],[Unit Price AED]]</f>
        <v>250</v>
      </c>
      <c r="Q1187" s="199">
        <f>TB_Parts_Lists[[#This Row],[Quantity Total]]*TB_Parts_Lists[[#This Row],[Unit Price AED]]</f>
        <v>250</v>
      </c>
      <c r="S1187" s="199" t="s">
        <v>118</v>
      </c>
      <c r="T1187" s="199" t="s">
        <v>8675</v>
      </c>
      <c r="U1187" s="199" t="s">
        <v>8675</v>
      </c>
    </row>
    <row r="1188" spans="1:21" s="199" customFormat="1" x14ac:dyDescent="0.25">
      <c r="A1188" s="192" t="s">
        <v>7724</v>
      </c>
      <c r="B1188" s="203" t="s">
        <v>3341</v>
      </c>
      <c r="C1188" s="188" t="s">
        <v>4299</v>
      </c>
      <c r="D1188" s="199" t="s">
        <v>8732</v>
      </c>
      <c r="E1188" s="188" t="s">
        <v>5536</v>
      </c>
      <c r="F1188" s="189" t="s">
        <v>6122</v>
      </c>
      <c r="G1188" s="199" t="s">
        <v>8299</v>
      </c>
      <c r="H1188" s="199" t="s">
        <v>8650</v>
      </c>
      <c r="I1188" s="199">
        <v>1</v>
      </c>
      <c r="J1188" s="199">
        <v>1</v>
      </c>
      <c r="K1188" s="199">
        <v>1</v>
      </c>
      <c r="L1188" s="199">
        <v>50</v>
      </c>
      <c r="M1188" s="202">
        <f>TB_Parts_Lists[[#This Row],[Quantity Initial]]+ SUMIF(TB_Transactions[Part number],TB_Parts_Lists[[#This Row],[Part Number]],TB_Transactions[Quantity])</f>
        <v>50</v>
      </c>
      <c r="N1188" s="200" t="s">
        <v>4593</v>
      </c>
      <c r="O1188" s="234">
        <v>5</v>
      </c>
      <c r="P1188" s="199">
        <f>TB_Parts_Lists[[#This Row],[Quantity Initial]]*TB_Parts_Lists[[#This Row],[Unit Price AED]]</f>
        <v>250</v>
      </c>
      <c r="Q1188" s="199">
        <f>TB_Parts_Lists[[#This Row],[Quantity Total]]*TB_Parts_Lists[[#This Row],[Unit Price AED]]</f>
        <v>250</v>
      </c>
      <c r="S1188" s="199" t="s">
        <v>8675</v>
      </c>
      <c r="T1188" s="199" t="s">
        <v>8675</v>
      </c>
      <c r="U1188" s="199" t="s">
        <v>8675</v>
      </c>
    </row>
    <row r="1189" spans="1:21" s="199" customFormat="1" x14ac:dyDescent="0.25">
      <c r="A1189" s="192" t="s">
        <v>7725</v>
      </c>
      <c r="B1189" s="203" t="s">
        <v>3341</v>
      </c>
      <c r="C1189" s="188" t="s">
        <v>4299</v>
      </c>
      <c r="D1189" s="199" t="s">
        <v>8732</v>
      </c>
      <c r="E1189" s="188" t="s">
        <v>5537</v>
      </c>
      <c r="F1189" s="189" t="s">
        <v>6123</v>
      </c>
      <c r="G1189" s="199" t="s">
        <v>8299</v>
      </c>
      <c r="H1189" s="199" t="s">
        <v>8650</v>
      </c>
      <c r="I1189" s="199">
        <v>1</v>
      </c>
      <c r="J1189" s="199">
        <v>1</v>
      </c>
      <c r="K1189" s="199">
        <v>1</v>
      </c>
      <c r="L1189" s="199">
        <v>50</v>
      </c>
      <c r="M1189" s="202">
        <f>TB_Parts_Lists[[#This Row],[Quantity Initial]]+ SUMIF(TB_Transactions[Part number],TB_Parts_Lists[[#This Row],[Part Number]],TB_Transactions[Quantity])</f>
        <v>50</v>
      </c>
      <c r="N1189" s="200" t="s">
        <v>4593</v>
      </c>
      <c r="O1189" s="234">
        <v>5</v>
      </c>
      <c r="P1189" s="199">
        <f>TB_Parts_Lists[[#This Row],[Quantity Initial]]*TB_Parts_Lists[[#This Row],[Unit Price AED]]</f>
        <v>250</v>
      </c>
      <c r="Q1189" s="199">
        <f>TB_Parts_Lists[[#This Row],[Quantity Total]]*TB_Parts_Lists[[#This Row],[Unit Price AED]]</f>
        <v>250</v>
      </c>
      <c r="S1189" s="199" t="s">
        <v>8675</v>
      </c>
      <c r="T1189" s="199" t="s">
        <v>8675</v>
      </c>
      <c r="U1189" s="199" t="s">
        <v>8675</v>
      </c>
    </row>
    <row r="1190" spans="1:21" s="199" customFormat="1" x14ac:dyDescent="0.25">
      <c r="A1190" s="192" t="s">
        <v>7726</v>
      </c>
      <c r="B1190" s="203" t="s">
        <v>3338</v>
      </c>
      <c r="C1190" s="188" t="s">
        <v>651</v>
      </c>
      <c r="D1190" s="188" t="s">
        <v>8724</v>
      </c>
      <c r="E1190" s="188" t="s">
        <v>5538</v>
      </c>
      <c r="F1190" s="189" t="s">
        <v>4321</v>
      </c>
      <c r="G1190" s="199" t="s">
        <v>8300</v>
      </c>
      <c r="H1190" s="199" t="s">
        <v>8658</v>
      </c>
      <c r="I1190" s="199">
        <v>1</v>
      </c>
      <c r="J1190" s="199">
        <v>1</v>
      </c>
      <c r="K1190" s="199">
        <v>1</v>
      </c>
      <c r="L1190" s="199">
        <v>50</v>
      </c>
      <c r="M1190" s="202">
        <f>TB_Parts_Lists[[#This Row],[Quantity Initial]]+ SUMIF(TB_Transactions[Part number],TB_Parts_Lists[[#This Row],[Part Number]],TB_Transactions[Quantity])</f>
        <v>50</v>
      </c>
      <c r="N1190" s="200" t="s">
        <v>4593</v>
      </c>
      <c r="O1190" s="234">
        <v>5</v>
      </c>
      <c r="P1190" s="199">
        <f>TB_Parts_Lists[[#This Row],[Quantity Initial]]*TB_Parts_Lists[[#This Row],[Unit Price AED]]</f>
        <v>250</v>
      </c>
      <c r="Q1190" s="199">
        <f>TB_Parts_Lists[[#This Row],[Quantity Total]]*TB_Parts_Lists[[#This Row],[Unit Price AED]]</f>
        <v>250</v>
      </c>
      <c r="S1190" s="199" t="s">
        <v>118</v>
      </c>
      <c r="T1190" s="199" t="s">
        <v>8704</v>
      </c>
      <c r="U1190" s="199" t="s">
        <v>8720</v>
      </c>
    </row>
    <row r="1191" spans="1:21" s="199" customFormat="1" x14ac:dyDescent="0.25">
      <c r="A1191" s="192" t="s">
        <v>7727</v>
      </c>
      <c r="B1191" s="203" t="s">
        <v>3338</v>
      </c>
      <c r="C1191" s="188" t="s">
        <v>651</v>
      </c>
      <c r="D1191" s="188" t="s">
        <v>8724</v>
      </c>
      <c r="E1191" s="188" t="s">
        <v>5539</v>
      </c>
      <c r="F1191" s="189" t="s">
        <v>4322</v>
      </c>
      <c r="G1191" s="199" t="s">
        <v>8300</v>
      </c>
      <c r="H1191" s="199" t="s">
        <v>8658</v>
      </c>
      <c r="I1191" s="199">
        <v>1</v>
      </c>
      <c r="J1191" s="199">
        <v>1</v>
      </c>
      <c r="K1191" s="199">
        <v>1</v>
      </c>
      <c r="L1191" s="199">
        <v>50</v>
      </c>
      <c r="M1191" s="202">
        <f>TB_Parts_Lists[[#This Row],[Quantity Initial]]+ SUMIF(TB_Transactions[Part number],TB_Parts_Lists[[#This Row],[Part Number]],TB_Transactions[Quantity])</f>
        <v>50</v>
      </c>
      <c r="N1191" s="200" t="s">
        <v>4593</v>
      </c>
      <c r="O1191" s="234">
        <v>5</v>
      </c>
      <c r="P1191" s="199">
        <f>TB_Parts_Lists[[#This Row],[Quantity Initial]]*TB_Parts_Lists[[#This Row],[Unit Price AED]]</f>
        <v>250</v>
      </c>
      <c r="Q1191" s="199">
        <f>TB_Parts_Lists[[#This Row],[Quantity Total]]*TB_Parts_Lists[[#This Row],[Unit Price AED]]</f>
        <v>250</v>
      </c>
      <c r="S1191" s="199" t="s">
        <v>118</v>
      </c>
      <c r="T1191" s="199" t="s">
        <v>8704</v>
      </c>
      <c r="U1191" s="199" t="s">
        <v>8720</v>
      </c>
    </row>
    <row r="1192" spans="1:21" s="199" customFormat="1" x14ac:dyDescent="0.25">
      <c r="A1192" s="192" t="s">
        <v>7728</v>
      </c>
      <c r="B1192" s="203" t="s">
        <v>3338</v>
      </c>
      <c r="C1192" s="188" t="s">
        <v>651</v>
      </c>
      <c r="D1192" s="188" t="s">
        <v>8724</v>
      </c>
      <c r="E1192" s="188" t="s">
        <v>5540</v>
      </c>
      <c r="F1192" s="189" t="s">
        <v>4323</v>
      </c>
      <c r="G1192" s="199" t="s">
        <v>8300</v>
      </c>
      <c r="H1192" s="199" t="s">
        <v>8658</v>
      </c>
      <c r="I1192" s="199">
        <v>1</v>
      </c>
      <c r="J1192" s="199">
        <v>1</v>
      </c>
      <c r="K1192" s="199">
        <v>1</v>
      </c>
      <c r="L1192" s="199">
        <v>50</v>
      </c>
      <c r="M1192" s="202">
        <f>TB_Parts_Lists[[#This Row],[Quantity Initial]]+ SUMIF(TB_Transactions[Part number],TB_Parts_Lists[[#This Row],[Part Number]],TB_Transactions[Quantity])</f>
        <v>50</v>
      </c>
      <c r="N1192" s="200" t="s">
        <v>4593</v>
      </c>
      <c r="O1192" s="234">
        <v>5</v>
      </c>
      <c r="P1192" s="199">
        <f>TB_Parts_Lists[[#This Row],[Quantity Initial]]*TB_Parts_Lists[[#This Row],[Unit Price AED]]</f>
        <v>250</v>
      </c>
      <c r="Q1192" s="199">
        <f>TB_Parts_Lists[[#This Row],[Quantity Total]]*TB_Parts_Lists[[#This Row],[Unit Price AED]]</f>
        <v>250</v>
      </c>
      <c r="S1192" s="199" t="s">
        <v>118</v>
      </c>
      <c r="T1192" s="199" t="s">
        <v>8704</v>
      </c>
      <c r="U1192" s="199" t="s">
        <v>8720</v>
      </c>
    </row>
    <row r="1193" spans="1:21" s="199" customFormat="1" x14ac:dyDescent="0.25">
      <c r="A1193" s="192" t="s">
        <v>7729</v>
      </c>
      <c r="B1193" s="203" t="s">
        <v>3338</v>
      </c>
      <c r="C1193" s="188" t="s">
        <v>651</v>
      </c>
      <c r="D1193" s="188" t="s">
        <v>8724</v>
      </c>
      <c r="E1193" s="188" t="s">
        <v>5541</v>
      </c>
      <c r="F1193" s="189" t="s">
        <v>4324</v>
      </c>
      <c r="G1193" s="199" t="s">
        <v>8300</v>
      </c>
      <c r="H1193" s="199" t="s">
        <v>8658</v>
      </c>
      <c r="I1193" s="199">
        <v>1</v>
      </c>
      <c r="J1193" s="199">
        <v>1</v>
      </c>
      <c r="K1193" s="199">
        <v>1</v>
      </c>
      <c r="L1193" s="199">
        <v>50</v>
      </c>
      <c r="M1193" s="202">
        <f>TB_Parts_Lists[[#This Row],[Quantity Initial]]+ SUMIF(TB_Transactions[Part number],TB_Parts_Lists[[#This Row],[Part Number]],TB_Transactions[Quantity])</f>
        <v>50</v>
      </c>
      <c r="N1193" s="200" t="s">
        <v>4593</v>
      </c>
      <c r="O1193" s="234">
        <v>5</v>
      </c>
      <c r="P1193" s="199">
        <f>TB_Parts_Lists[[#This Row],[Quantity Initial]]*TB_Parts_Lists[[#This Row],[Unit Price AED]]</f>
        <v>250</v>
      </c>
      <c r="Q1193" s="199">
        <f>TB_Parts_Lists[[#This Row],[Quantity Total]]*TB_Parts_Lists[[#This Row],[Unit Price AED]]</f>
        <v>250</v>
      </c>
      <c r="S1193" s="199" t="s">
        <v>118</v>
      </c>
      <c r="T1193" s="199" t="s">
        <v>8704</v>
      </c>
      <c r="U1193" s="199" t="s">
        <v>8720</v>
      </c>
    </row>
    <row r="1194" spans="1:21" s="199" customFormat="1" x14ac:dyDescent="0.25">
      <c r="A1194" s="192" t="s">
        <v>7730</v>
      </c>
      <c r="B1194" s="203" t="s">
        <v>3338</v>
      </c>
      <c r="C1194" s="188" t="s">
        <v>651</v>
      </c>
      <c r="D1194" s="188" t="s">
        <v>8724</v>
      </c>
      <c r="E1194" s="188" t="s">
        <v>5542</v>
      </c>
      <c r="F1194" s="189" t="s">
        <v>4325</v>
      </c>
      <c r="G1194" s="199" t="s">
        <v>8300</v>
      </c>
      <c r="H1194" s="199" t="s">
        <v>8658</v>
      </c>
      <c r="I1194" s="199">
        <v>1</v>
      </c>
      <c r="J1194" s="199">
        <v>1</v>
      </c>
      <c r="K1194" s="199">
        <v>1</v>
      </c>
      <c r="L1194" s="199">
        <v>50</v>
      </c>
      <c r="M1194" s="202">
        <f>TB_Parts_Lists[[#This Row],[Quantity Initial]]+ SUMIF(TB_Transactions[Part number],TB_Parts_Lists[[#This Row],[Part Number]],TB_Transactions[Quantity])</f>
        <v>50</v>
      </c>
      <c r="N1194" s="200" t="s">
        <v>4593</v>
      </c>
      <c r="O1194" s="234">
        <v>5</v>
      </c>
      <c r="P1194" s="199">
        <f>TB_Parts_Lists[[#This Row],[Quantity Initial]]*TB_Parts_Lists[[#This Row],[Unit Price AED]]</f>
        <v>250</v>
      </c>
      <c r="Q1194" s="199">
        <f>TB_Parts_Lists[[#This Row],[Quantity Total]]*TB_Parts_Lists[[#This Row],[Unit Price AED]]</f>
        <v>250</v>
      </c>
      <c r="S1194" s="199" t="s">
        <v>118</v>
      </c>
      <c r="T1194" s="199" t="s">
        <v>8704</v>
      </c>
      <c r="U1194" s="199" t="s">
        <v>8720</v>
      </c>
    </row>
    <row r="1195" spans="1:21" s="199" customFormat="1" x14ac:dyDescent="0.25">
      <c r="A1195" s="192" t="s">
        <v>7731</v>
      </c>
      <c r="B1195" s="203" t="s">
        <v>3338</v>
      </c>
      <c r="C1195" s="188" t="s">
        <v>651</v>
      </c>
      <c r="D1195" s="199" t="s">
        <v>8724</v>
      </c>
      <c r="E1195" s="188" t="s">
        <v>8746</v>
      </c>
      <c r="F1195" s="189" t="s">
        <v>4326</v>
      </c>
      <c r="G1195" s="199" t="s">
        <v>8301</v>
      </c>
      <c r="H1195" s="199" t="s">
        <v>8659</v>
      </c>
      <c r="I1195" s="199">
        <v>1</v>
      </c>
      <c r="J1195" s="199">
        <v>1</v>
      </c>
      <c r="K1195" s="199">
        <v>1</v>
      </c>
      <c r="L1195" s="199">
        <v>50</v>
      </c>
      <c r="M1195" s="202">
        <f>TB_Parts_Lists[[#This Row],[Quantity Initial]]+ SUMIF(TB_Transactions[Part number],TB_Parts_Lists[[#This Row],[Part Number]],TB_Transactions[Quantity])</f>
        <v>50</v>
      </c>
      <c r="N1195" s="200" t="s">
        <v>4593</v>
      </c>
      <c r="O1195" s="234">
        <v>5</v>
      </c>
      <c r="P1195" s="199">
        <f>TB_Parts_Lists[[#This Row],[Quantity Initial]]*TB_Parts_Lists[[#This Row],[Unit Price AED]]</f>
        <v>250</v>
      </c>
      <c r="Q1195" s="199">
        <f>TB_Parts_Lists[[#This Row],[Quantity Total]]*TB_Parts_Lists[[#This Row],[Unit Price AED]]</f>
        <v>250</v>
      </c>
      <c r="S1195" s="199" t="s">
        <v>118</v>
      </c>
      <c r="T1195" s="199" t="s">
        <v>8675</v>
      </c>
      <c r="U1195" s="199" t="s">
        <v>8675</v>
      </c>
    </row>
    <row r="1196" spans="1:21" s="199" customFormat="1" x14ac:dyDescent="0.25">
      <c r="A1196" s="192" t="s">
        <v>7732</v>
      </c>
      <c r="B1196" s="203" t="s">
        <v>3338</v>
      </c>
      <c r="C1196" s="188" t="s">
        <v>651</v>
      </c>
      <c r="D1196" s="188" t="s">
        <v>8724</v>
      </c>
      <c r="E1196" s="188" t="s">
        <v>5543</v>
      </c>
      <c r="F1196" s="189" t="s">
        <v>4665</v>
      </c>
      <c r="G1196" s="199" t="s">
        <v>8301</v>
      </c>
      <c r="H1196" s="199" t="s">
        <v>8660</v>
      </c>
      <c r="I1196" s="199">
        <v>1</v>
      </c>
      <c r="J1196" s="199">
        <v>1</v>
      </c>
      <c r="K1196" s="199">
        <v>1</v>
      </c>
      <c r="L1196" s="199">
        <v>50</v>
      </c>
      <c r="M1196" s="202">
        <f>TB_Parts_Lists[[#This Row],[Quantity Initial]]+ SUMIF(TB_Transactions[Part number],TB_Parts_Lists[[#This Row],[Part Number]],TB_Transactions[Quantity])</f>
        <v>50</v>
      </c>
      <c r="N1196" s="200" t="s">
        <v>4593</v>
      </c>
      <c r="O1196" s="234">
        <v>5</v>
      </c>
      <c r="P1196" s="199">
        <f>TB_Parts_Lists[[#This Row],[Quantity Initial]]*TB_Parts_Lists[[#This Row],[Unit Price AED]]</f>
        <v>250</v>
      </c>
      <c r="Q1196" s="199">
        <f>TB_Parts_Lists[[#This Row],[Quantity Total]]*TB_Parts_Lists[[#This Row],[Unit Price AED]]</f>
        <v>250</v>
      </c>
      <c r="S1196" s="199" t="s">
        <v>118</v>
      </c>
      <c r="T1196" s="199" t="s">
        <v>8675</v>
      </c>
      <c r="U1196" s="199" t="s">
        <v>8675</v>
      </c>
    </row>
    <row r="1197" spans="1:21" s="199" customFormat="1" x14ac:dyDescent="0.25">
      <c r="A1197" s="192" t="s">
        <v>7733</v>
      </c>
      <c r="B1197" s="203" t="s">
        <v>6619</v>
      </c>
      <c r="C1197" s="188" t="s">
        <v>6639</v>
      </c>
      <c r="D1197" s="199" t="s">
        <v>8732</v>
      </c>
      <c r="E1197" s="188" t="s">
        <v>5544</v>
      </c>
      <c r="F1197" s="189" t="s">
        <v>4327</v>
      </c>
      <c r="G1197" s="199" t="s">
        <v>8302</v>
      </c>
      <c r="H1197" s="199" t="s">
        <v>72</v>
      </c>
      <c r="I1197" s="199">
        <v>1</v>
      </c>
      <c r="J1197" s="199">
        <v>1</v>
      </c>
      <c r="K1197" s="199">
        <v>1</v>
      </c>
      <c r="L1197" s="199">
        <v>50</v>
      </c>
      <c r="M1197" s="202">
        <f>TB_Parts_Lists[[#This Row],[Quantity Initial]]+ SUMIF(TB_Transactions[Part number],TB_Parts_Lists[[#This Row],[Part Number]],TB_Transactions[Quantity])</f>
        <v>50</v>
      </c>
      <c r="N1197" s="200" t="s">
        <v>4593</v>
      </c>
      <c r="O1197" s="234">
        <v>5</v>
      </c>
      <c r="P1197" s="199">
        <f>TB_Parts_Lists[[#This Row],[Quantity Initial]]*TB_Parts_Lists[[#This Row],[Unit Price AED]]</f>
        <v>250</v>
      </c>
      <c r="Q1197" s="199">
        <f>TB_Parts_Lists[[#This Row],[Quantity Total]]*TB_Parts_Lists[[#This Row],[Unit Price AED]]</f>
        <v>250</v>
      </c>
      <c r="S1197" s="199" t="s">
        <v>118</v>
      </c>
      <c r="T1197" s="199" t="s">
        <v>8675</v>
      </c>
      <c r="U1197" s="199" t="s">
        <v>8675</v>
      </c>
    </row>
    <row r="1198" spans="1:21" s="199" customFormat="1" x14ac:dyDescent="0.25">
      <c r="A1198" s="192" t="s">
        <v>7734</v>
      </c>
      <c r="B1198" s="203" t="s">
        <v>3338</v>
      </c>
      <c r="C1198" s="188" t="s">
        <v>651</v>
      </c>
      <c r="D1198" s="199" t="s">
        <v>8724</v>
      </c>
      <c r="E1198" s="188" t="s">
        <v>5545</v>
      </c>
      <c r="F1198" s="189" t="s">
        <v>4328</v>
      </c>
      <c r="G1198" s="199" t="s">
        <v>8302</v>
      </c>
      <c r="H1198" s="199" t="s">
        <v>72</v>
      </c>
      <c r="I1198" s="199">
        <v>1</v>
      </c>
      <c r="J1198" s="199">
        <v>1</v>
      </c>
      <c r="K1198" s="199">
        <v>1</v>
      </c>
      <c r="L1198" s="199">
        <v>50</v>
      </c>
      <c r="M1198" s="202">
        <f>TB_Parts_Lists[[#This Row],[Quantity Initial]]+ SUMIF(TB_Transactions[Part number],TB_Parts_Lists[[#This Row],[Part Number]],TB_Transactions[Quantity])</f>
        <v>50</v>
      </c>
      <c r="N1198" s="200" t="s">
        <v>4593</v>
      </c>
      <c r="O1198" s="234">
        <v>5</v>
      </c>
      <c r="P1198" s="199">
        <f>TB_Parts_Lists[[#This Row],[Quantity Initial]]*TB_Parts_Lists[[#This Row],[Unit Price AED]]</f>
        <v>250</v>
      </c>
      <c r="Q1198" s="199">
        <f>TB_Parts_Lists[[#This Row],[Quantity Total]]*TB_Parts_Lists[[#This Row],[Unit Price AED]]</f>
        <v>250</v>
      </c>
      <c r="S1198" s="199" t="s">
        <v>8675</v>
      </c>
      <c r="T1198" s="199" t="s">
        <v>8675</v>
      </c>
      <c r="U1198" s="199" t="s">
        <v>8675</v>
      </c>
    </row>
    <row r="1199" spans="1:21" s="199" customFormat="1" x14ac:dyDescent="0.25">
      <c r="A1199" s="192" t="s">
        <v>7735</v>
      </c>
      <c r="B1199" s="203" t="s">
        <v>3329</v>
      </c>
      <c r="C1199" s="188" t="s">
        <v>5277</v>
      </c>
      <c r="D1199" s="199" t="s">
        <v>8724</v>
      </c>
      <c r="E1199" s="188" t="s">
        <v>5546</v>
      </c>
      <c r="F1199" s="189" t="s">
        <v>4329</v>
      </c>
      <c r="G1199" s="199" t="s">
        <v>8302</v>
      </c>
      <c r="H1199" s="199" t="s">
        <v>8661</v>
      </c>
      <c r="I1199" s="199">
        <v>1</v>
      </c>
      <c r="J1199" s="199">
        <v>1</v>
      </c>
      <c r="K1199" s="199">
        <v>1</v>
      </c>
      <c r="L1199" s="199">
        <v>50</v>
      </c>
      <c r="M1199" s="202">
        <f>TB_Parts_Lists[[#This Row],[Quantity Initial]]+ SUMIF(TB_Transactions[Part number],TB_Parts_Lists[[#This Row],[Part Number]],TB_Transactions[Quantity])</f>
        <v>50</v>
      </c>
      <c r="N1199" s="200" t="s">
        <v>4593</v>
      </c>
      <c r="O1199" s="234">
        <v>5</v>
      </c>
      <c r="P1199" s="199">
        <f>TB_Parts_Lists[[#This Row],[Quantity Initial]]*TB_Parts_Lists[[#This Row],[Unit Price AED]]</f>
        <v>250</v>
      </c>
      <c r="Q1199" s="199">
        <f>TB_Parts_Lists[[#This Row],[Quantity Total]]*TB_Parts_Lists[[#This Row],[Unit Price AED]]</f>
        <v>250</v>
      </c>
      <c r="S1199" s="199" t="s">
        <v>8675</v>
      </c>
      <c r="T1199" s="199" t="s">
        <v>8675</v>
      </c>
      <c r="U1199" s="199" t="s">
        <v>8675</v>
      </c>
    </row>
    <row r="1200" spans="1:21" s="199" customFormat="1" x14ac:dyDescent="0.25">
      <c r="A1200" s="192" t="s">
        <v>7736</v>
      </c>
      <c r="B1200" s="203" t="s">
        <v>3331</v>
      </c>
      <c r="C1200" s="188" t="s">
        <v>4700</v>
      </c>
      <c r="D1200" s="199" t="s">
        <v>8724</v>
      </c>
      <c r="E1200" s="188" t="s">
        <v>5547</v>
      </c>
      <c r="F1200" s="189" t="s">
        <v>4330</v>
      </c>
      <c r="G1200" s="199" t="s">
        <v>8302</v>
      </c>
      <c r="H1200" s="199" t="s">
        <v>72</v>
      </c>
      <c r="I1200" s="199">
        <v>1</v>
      </c>
      <c r="J1200" s="199">
        <v>1</v>
      </c>
      <c r="K1200" s="199">
        <v>1</v>
      </c>
      <c r="L1200" s="199">
        <v>50</v>
      </c>
      <c r="M1200" s="202">
        <f>TB_Parts_Lists[[#This Row],[Quantity Initial]]+ SUMIF(TB_Transactions[Part number],TB_Parts_Lists[[#This Row],[Part Number]],TB_Transactions[Quantity])</f>
        <v>50</v>
      </c>
      <c r="N1200" s="200" t="s">
        <v>4593</v>
      </c>
      <c r="O1200" s="234">
        <v>5</v>
      </c>
      <c r="P1200" s="199">
        <f>TB_Parts_Lists[[#This Row],[Quantity Initial]]*TB_Parts_Lists[[#This Row],[Unit Price AED]]</f>
        <v>250</v>
      </c>
      <c r="Q1200" s="199">
        <f>TB_Parts_Lists[[#This Row],[Quantity Total]]*TB_Parts_Lists[[#This Row],[Unit Price AED]]</f>
        <v>250</v>
      </c>
      <c r="S1200" s="199" t="s">
        <v>8675</v>
      </c>
      <c r="T1200" s="199" t="s">
        <v>8675</v>
      </c>
      <c r="U1200" s="199" t="s">
        <v>8675</v>
      </c>
    </row>
    <row r="1201" spans="1:21" s="199" customFormat="1" x14ac:dyDescent="0.25">
      <c r="A1201" s="192" t="s">
        <v>7737</v>
      </c>
      <c r="B1201" s="203" t="s">
        <v>3338</v>
      </c>
      <c r="C1201" s="188" t="s">
        <v>651</v>
      </c>
      <c r="D1201" s="199" t="s">
        <v>8724</v>
      </c>
      <c r="E1201" s="188" t="s">
        <v>5548</v>
      </c>
      <c r="F1201" s="189" t="s">
        <v>4331</v>
      </c>
      <c r="G1201" s="199" t="s">
        <v>8302</v>
      </c>
      <c r="H1201" s="199" t="s">
        <v>72</v>
      </c>
      <c r="I1201" s="199">
        <v>1</v>
      </c>
      <c r="J1201" s="199">
        <v>1</v>
      </c>
      <c r="K1201" s="199">
        <v>1</v>
      </c>
      <c r="L1201" s="199">
        <v>50</v>
      </c>
      <c r="M1201" s="202">
        <f>TB_Parts_Lists[[#This Row],[Quantity Initial]]+ SUMIF(TB_Transactions[Part number],TB_Parts_Lists[[#This Row],[Part Number]],TB_Transactions[Quantity])</f>
        <v>50</v>
      </c>
      <c r="N1201" s="200" t="s">
        <v>4593</v>
      </c>
      <c r="O1201" s="234">
        <v>5</v>
      </c>
      <c r="P1201" s="199">
        <f>TB_Parts_Lists[[#This Row],[Quantity Initial]]*TB_Parts_Lists[[#This Row],[Unit Price AED]]</f>
        <v>250</v>
      </c>
      <c r="Q1201" s="199">
        <f>TB_Parts_Lists[[#This Row],[Quantity Total]]*TB_Parts_Lists[[#This Row],[Unit Price AED]]</f>
        <v>250</v>
      </c>
      <c r="S1201" s="199" t="s">
        <v>8675</v>
      </c>
      <c r="T1201" s="199" t="s">
        <v>8675</v>
      </c>
      <c r="U1201" s="199" t="s">
        <v>8675</v>
      </c>
    </row>
    <row r="1202" spans="1:21" s="199" customFormat="1" x14ac:dyDescent="0.25">
      <c r="A1202" s="192" t="s">
        <v>7738</v>
      </c>
      <c r="B1202" s="203" t="s">
        <v>3338</v>
      </c>
      <c r="C1202" s="188" t="s">
        <v>651</v>
      </c>
      <c r="D1202" s="199" t="s">
        <v>8724</v>
      </c>
      <c r="E1202" s="188" t="s">
        <v>5549</v>
      </c>
      <c r="F1202" s="189" t="s">
        <v>4332</v>
      </c>
      <c r="G1202" s="199" t="s">
        <v>8302</v>
      </c>
      <c r="H1202" s="199" t="s">
        <v>72</v>
      </c>
      <c r="I1202" s="199">
        <v>1</v>
      </c>
      <c r="J1202" s="199">
        <v>1</v>
      </c>
      <c r="K1202" s="199">
        <v>1</v>
      </c>
      <c r="L1202" s="199">
        <v>50</v>
      </c>
      <c r="M1202" s="202">
        <f>TB_Parts_Lists[[#This Row],[Quantity Initial]]+ SUMIF(TB_Transactions[Part number],TB_Parts_Lists[[#This Row],[Part Number]],TB_Transactions[Quantity])</f>
        <v>50</v>
      </c>
      <c r="N1202" s="200" t="s">
        <v>4593</v>
      </c>
      <c r="O1202" s="234">
        <v>5</v>
      </c>
      <c r="P1202" s="199">
        <f>TB_Parts_Lists[[#This Row],[Quantity Initial]]*TB_Parts_Lists[[#This Row],[Unit Price AED]]</f>
        <v>250</v>
      </c>
      <c r="Q1202" s="199">
        <f>TB_Parts_Lists[[#This Row],[Quantity Total]]*TB_Parts_Lists[[#This Row],[Unit Price AED]]</f>
        <v>250</v>
      </c>
      <c r="S1202" s="199" t="s">
        <v>8675</v>
      </c>
      <c r="T1202" s="199" t="s">
        <v>8675</v>
      </c>
      <c r="U1202" s="199" t="s">
        <v>8675</v>
      </c>
    </row>
    <row r="1203" spans="1:21" s="199" customFormat="1" x14ac:dyDescent="0.25">
      <c r="A1203" s="192" t="s">
        <v>7739</v>
      </c>
      <c r="B1203" s="203" t="s">
        <v>3338</v>
      </c>
      <c r="C1203" s="188" t="s">
        <v>651</v>
      </c>
      <c r="D1203" s="199" t="s">
        <v>8724</v>
      </c>
      <c r="E1203" s="188" t="s">
        <v>5550</v>
      </c>
      <c r="F1203" s="189" t="s">
        <v>6124</v>
      </c>
      <c r="G1203" s="199" t="s">
        <v>8302</v>
      </c>
      <c r="H1203" s="199" t="s">
        <v>72</v>
      </c>
      <c r="I1203" s="199">
        <v>1</v>
      </c>
      <c r="J1203" s="199">
        <v>1</v>
      </c>
      <c r="K1203" s="199">
        <v>1</v>
      </c>
      <c r="L1203" s="199">
        <v>50</v>
      </c>
      <c r="M1203" s="202">
        <f>TB_Parts_Lists[[#This Row],[Quantity Initial]]+ SUMIF(TB_Transactions[Part number],TB_Parts_Lists[[#This Row],[Part Number]],TB_Transactions[Quantity])</f>
        <v>50</v>
      </c>
      <c r="N1203" s="200" t="s">
        <v>4593</v>
      </c>
      <c r="O1203" s="234">
        <v>5</v>
      </c>
      <c r="P1203" s="199">
        <f>TB_Parts_Lists[[#This Row],[Quantity Initial]]*TB_Parts_Lists[[#This Row],[Unit Price AED]]</f>
        <v>250</v>
      </c>
      <c r="Q1203" s="199">
        <f>TB_Parts_Lists[[#This Row],[Quantity Total]]*TB_Parts_Lists[[#This Row],[Unit Price AED]]</f>
        <v>250</v>
      </c>
      <c r="S1203" s="199" t="s">
        <v>8675</v>
      </c>
      <c r="T1203" s="199" t="s">
        <v>8675</v>
      </c>
      <c r="U1203" s="199" t="s">
        <v>8675</v>
      </c>
    </row>
    <row r="1204" spans="1:21" s="199" customFormat="1" x14ac:dyDescent="0.25">
      <c r="A1204" s="192" t="s">
        <v>7740</v>
      </c>
      <c r="B1204" s="203" t="s">
        <v>3338</v>
      </c>
      <c r="C1204" s="188" t="s">
        <v>651</v>
      </c>
      <c r="D1204" s="199" t="s">
        <v>8724</v>
      </c>
      <c r="E1204" s="188" t="s">
        <v>5551</v>
      </c>
      <c r="F1204" s="189" t="s">
        <v>6125</v>
      </c>
      <c r="G1204" s="199" t="s">
        <v>8302</v>
      </c>
      <c r="H1204" s="199" t="s">
        <v>72</v>
      </c>
      <c r="I1204" s="199">
        <v>1</v>
      </c>
      <c r="J1204" s="199">
        <v>1</v>
      </c>
      <c r="K1204" s="199">
        <v>1</v>
      </c>
      <c r="L1204" s="199">
        <v>50</v>
      </c>
      <c r="M1204" s="202">
        <f>TB_Parts_Lists[[#This Row],[Quantity Initial]]+ SUMIF(TB_Transactions[Part number],TB_Parts_Lists[[#This Row],[Part Number]],TB_Transactions[Quantity])</f>
        <v>50</v>
      </c>
      <c r="N1204" s="200" t="s">
        <v>4593</v>
      </c>
      <c r="O1204" s="234">
        <v>5</v>
      </c>
      <c r="P1204" s="199">
        <f>TB_Parts_Lists[[#This Row],[Quantity Initial]]*TB_Parts_Lists[[#This Row],[Unit Price AED]]</f>
        <v>250</v>
      </c>
      <c r="Q1204" s="199">
        <f>TB_Parts_Lists[[#This Row],[Quantity Total]]*TB_Parts_Lists[[#This Row],[Unit Price AED]]</f>
        <v>250</v>
      </c>
      <c r="S1204" s="199" t="s">
        <v>8675</v>
      </c>
      <c r="T1204" s="199" t="s">
        <v>8675</v>
      </c>
      <c r="U1204" s="199" t="s">
        <v>8675</v>
      </c>
    </row>
    <row r="1205" spans="1:21" s="199" customFormat="1" x14ac:dyDescent="0.25">
      <c r="A1205" s="192" t="s">
        <v>7742</v>
      </c>
      <c r="B1205" s="203" t="s">
        <v>3329</v>
      </c>
      <c r="C1205" s="188" t="s">
        <v>7741</v>
      </c>
      <c r="D1205" s="199" t="s">
        <v>8724</v>
      </c>
      <c r="E1205" s="188" t="s">
        <v>5552</v>
      </c>
      <c r="F1205" s="189" t="s">
        <v>4333</v>
      </c>
      <c r="G1205" s="199" t="s">
        <v>8303</v>
      </c>
      <c r="H1205" s="199" t="s">
        <v>8662</v>
      </c>
      <c r="I1205" s="199">
        <v>1</v>
      </c>
      <c r="J1205" s="199">
        <v>1</v>
      </c>
      <c r="K1205" s="199">
        <v>1</v>
      </c>
      <c r="L1205" s="199">
        <v>50</v>
      </c>
      <c r="M1205" s="202">
        <f>TB_Parts_Lists[[#This Row],[Quantity Initial]]+ SUMIF(TB_Transactions[Part number],TB_Parts_Lists[[#This Row],[Part Number]],TB_Transactions[Quantity])</f>
        <v>50</v>
      </c>
      <c r="N1205" s="200" t="s">
        <v>4593</v>
      </c>
      <c r="O1205" s="234">
        <v>5</v>
      </c>
      <c r="P1205" s="199">
        <f>TB_Parts_Lists[[#This Row],[Quantity Initial]]*TB_Parts_Lists[[#This Row],[Unit Price AED]]</f>
        <v>250</v>
      </c>
      <c r="Q1205" s="199">
        <f>TB_Parts_Lists[[#This Row],[Quantity Total]]*TB_Parts_Lists[[#This Row],[Unit Price AED]]</f>
        <v>250</v>
      </c>
      <c r="S1205" s="199" t="s">
        <v>8675</v>
      </c>
      <c r="T1205" s="199" t="s">
        <v>8675</v>
      </c>
      <c r="U1205" s="199" t="s">
        <v>8675</v>
      </c>
    </row>
    <row r="1206" spans="1:21" s="199" customFormat="1" x14ac:dyDescent="0.25">
      <c r="A1206" s="192" t="s">
        <v>7743</v>
      </c>
      <c r="B1206" s="203" t="s">
        <v>3329</v>
      </c>
      <c r="C1206" s="188" t="s">
        <v>3345</v>
      </c>
      <c r="D1206" s="199" t="s">
        <v>8724</v>
      </c>
      <c r="E1206" s="188" t="s">
        <v>4340</v>
      </c>
      <c r="F1206" s="189" t="s">
        <v>4334</v>
      </c>
      <c r="G1206" s="199" t="s">
        <v>8303</v>
      </c>
      <c r="H1206" s="199" t="s">
        <v>8638</v>
      </c>
      <c r="I1206" s="199">
        <v>1</v>
      </c>
      <c r="J1206" s="199">
        <v>1</v>
      </c>
      <c r="K1206" s="199">
        <v>1</v>
      </c>
      <c r="L1206" s="199">
        <v>50</v>
      </c>
      <c r="M1206" s="202">
        <f>TB_Parts_Lists[[#This Row],[Quantity Initial]]+ SUMIF(TB_Transactions[Part number],TB_Parts_Lists[[#This Row],[Part Number]],TB_Transactions[Quantity])</f>
        <v>50</v>
      </c>
      <c r="N1206" s="200" t="s">
        <v>4593</v>
      </c>
      <c r="O1206" s="234">
        <v>5</v>
      </c>
      <c r="P1206" s="199">
        <f>TB_Parts_Lists[[#This Row],[Quantity Initial]]*TB_Parts_Lists[[#This Row],[Unit Price AED]]</f>
        <v>250</v>
      </c>
      <c r="Q1206" s="199">
        <f>TB_Parts_Lists[[#This Row],[Quantity Total]]*TB_Parts_Lists[[#This Row],[Unit Price AED]]</f>
        <v>250</v>
      </c>
      <c r="S1206" s="199" t="s">
        <v>8675</v>
      </c>
      <c r="T1206" s="199" t="s">
        <v>8675</v>
      </c>
      <c r="U1206" s="199" t="s">
        <v>8675</v>
      </c>
    </row>
    <row r="1207" spans="1:21" s="199" customFormat="1" x14ac:dyDescent="0.25">
      <c r="A1207" s="192" t="s">
        <v>7744</v>
      </c>
      <c r="B1207" s="203" t="s">
        <v>3329</v>
      </c>
      <c r="C1207" s="188" t="s">
        <v>7083</v>
      </c>
      <c r="D1207" s="199" t="s">
        <v>8724</v>
      </c>
      <c r="E1207" s="188" t="s">
        <v>5553</v>
      </c>
      <c r="F1207" s="189" t="s">
        <v>4335</v>
      </c>
      <c r="G1207" s="199" t="s">
        <v>8303</v>
      </c>
      <c r="H1207" s="199" t="s">
        <v>8662</v>
      </c>
      <c r="I1207" s="199">
        <v>1</v>
      </c>
      <c r="J1207" s="199">
        <v>1</v>
      </c>
      <c r="K1207" s="199">
        <v>1</v>
      </c>
      <c r="L1207" s="199">
        <v>50</v>
      </c>
      <c r="M1207" s="202">
        <f>TB_Parts_Lists[[#This Row],[Quantity Initial]]+ SUMIF(TB_Transactions[Part number],TB_Parts_Lists[[#This Row],[Part Number]],TB_Transactions[Quantity])</f>
        <v>50</v>
      </c>
      <c r="N1207" s="200" t="s">
        <v>4593</v>
      </c>
      <c r="O1207" s="234">
        <v>5</v>
      </c>
      <c r="P1207" s="199">
        <f>TB_Parts_Lists[[#This Row],[Quantity Initial]]*TB_Parts_Lists[[#This Row],[Unit Price AED]]</f>
        <v>250</v>
      </c>
      <c r="Q1207" s="199">
        <f>TB_Parts_Lists[[#This Row],[Quantity Total]]*TB_Parts_Lists[[#This Row],[Unit Price AED]]</f>
        <v>250</v>
      </c>
      <c r="S1207" s="199" t="s">
        <v>118</v>
      </c>
      <c r="T1207" s="199" t="s">
        <v>8675</v>
      </c>
      <c r="U1207" s="199" t="s">
        <v>8675</v>
      </c>
    </row>
    <row r="1208" spans="1:21" s="199" customFormat="1" x14ac:dyDescent="0.25">
      <c r="A1208" s="192" t="s">
        <v>7745</v>
      </c>
      <c r="B1208" s="203" t="s">
        <v>3329</v>
      </c>
      <c r="C1208" s="188" t="s">
        <v>6811</v>
      </c>
      <c r="D1208" s="199" t="s">
        <v>8724</v>
      </c>
      <c r="E1208" s="188" t="s">
        <v>4341</v>
      </c>
      <c r="F1208" s="189" t="s">
        <v>4336</v>
      </c>
      <c r="G1208" s="199" t="s">
        <v>8303</v>
      </c>
      <c r="H1208" s="199" t="s">
        <v>8662</v>
      </c>
      <c r="I1208" s="199">
        <v>1</v>
      </c>
      <c r="J1208" s="199">
        <v>1</v>
      </c>
      <c r="K1208" s="199">
        <v>1</v>
      </c>
      <c r="L1208" s="199">
        <v>50</v>
      </c>
      <c r="M1208" s="202">
        <f>TB_Parts_Lists[[#This Row],[Quantity Initial]]+ SUMIF(TB_Transactions[Part number],TB_Parts_Lists[[#This Row],[Part Number]],TB_Transactions[Quantity])</f>
        <v>50</v>
      </c>
      <c r="N1208" s="200" t="s">
        <v>4593</v>
      </c>
      <c r="O1208" s="234">
        <v>5</v>
      </c>
      <c r="P1208" s="199">
        <f>TB_Parts_Lists[[#This Row],[Quantity Initial]]*TB_Parts_Lists[[#This Row],[Unit Price AED]]</f>
        <v>250</v>
      </c>
      <c r="Q1208" s="199">
        <f>TB_Parts_Lists[[#This Row],[Quantity Total]]*TB_Parts_Lists[[#This Row],[Unit Price AED]]</f>
        <v>250</v>
      </c>
      <c r="S1208" s="199" t="s">
        <v>118</v>
      </c>
      <c r="T1208" s="199" t="s">
        <v>8675</v>
      </c>
      <c r="U1208" s="199" t="s">
        <v>8675</v>
      </c>
    </row>
    <row r="1209" spans="1:21" s="199" customFormat="1" x14ac:dyDescent="0.25">
      <c r="A1209" s="192" t="s">
        <v>7746</v>
      </c>
      <c r="B1209" s="203" t="s">
        <v>3329</v>
      </c>
      <c r="C1209" s="188" t="s">
        <v>7741</v>
      </c>
      <c r="D1209" s="199" t="s">
        <v>8724</v>
      </c>
      <c r="E1209" s="188" t="s">
        <v>6460</v>
      </c>
      <c r="F1209" s="189" t="s">
        <v>6126</v>
      </c>
      <c r="G1209" s="199" t="s">
        <v>8303</v>
      </c>
      <c r="H1209" s="199" t="s">
        <v>8662</v>
      </c>
      <c r="I1209" s="199">
        <v>1</v>
      </c>
      <c r="J1209" s="199">
        <v>1</v>
      </c>
      <c r="K1209" s="199">
        <v>1</v>
      </c>
      <c r="L1209" s="199">
        <v>50</v>
      </c>
      <c r="M1209" s="202">
        <f>TB_Parts_Lists[[#This Row],[Quantity Initial]]+ SUMIF(TB_Transactions[Part number],TB_Parts_Lists[[#This Row],[Part Number]],TB_Transactions[Quantity])</f>
        <v>50</v>
      </c>
      <c r="N1209" s="200" t="s">
        <v>4593</v>
      </c>
      <c r="O1209" s="234">
        <v>5</v>
      </c>
      <c r="P1209" s="199">
        <f>TB_Parts_Lists[[#This Row],[Quantity Initial]]*TB_Parts_Lists[[#This Row],[Unit Price AED]]</f>
        <v>250</v>
      </c>
      <c r="Q1209" s="199">
        <f>TB_Parts_Lists[[#This Row],[Quantity Total]]*TB_Parts_Lists[[#This Row],[Unit Price AED]]</f>
        <v>250</v>
      </c>
      <c r="S1209" s="199" t="s">
        <v>118</v>
      </c>
      <c r="T1209" s="199" t="s">
        <v>8675</v>
      </c>
      <c r="U1209" s="199" t="s">
        <v>8675</v>
      </c>
    </row>
    <row r="1210" spans="1:21" s="199" customFormat="1" x14ac:dyDescent="0.25">
      <c r="A1210" s="192" t="s">
        <v>7747</v>
      </c>
      <c r="B1210" s="203" t="s">
        <v>3329</v>
      </c>
      <c r="C1210" s="188" t="s">
        <v>7741</v>
      </c>
      <c r="D1210" s="199" t="s">
        <v>8724</v>
      </c>
      <c r="E1210" s="188" t="s">
        <v>5554</v>
      </c>
      <c r="F1210" s="189" t="s">
        <v>6127</v>
      </c>
      <c r="G1210" s="199" t="s">
        <v>8303</v>
      </c>
      <c r="H1210" s="199" t="s">
        <v>8662</v>
      </c>
      <c r="I1210" s="199">
        <v>1</v>
      </c>
      <c r="J1210" s="199">
        <v>1</v>
      </c>
      <c r="K1210" s="199">
        <v>1</v>
      </c>
      <c r="L1210" s="199">
        <v>50</v>
      </c>
      <c r="M1210" s="202">
        <f>TB_Parts_Lists[[#This Row],[Quantity Initial]]+ SUMIF(TB_Transactions[Part number],TB_Parts_Lists[[#This Row],[Part Number]],TB_Transactions[Quantity])</f>
        <v>50</v>
      </c>
      <c r="N1210" s="200" t="s">
        <v>4593</v>
      </c>
      <c r="O1210" s="234">
        <v>5</v>
      </c>
      <c r="P1210" s="199">
        <f>TB_Parts_Lists[[#This Row],[Quantity Initial]]*TB_Parts_Lists[[#This Row],[Unit Price AED]]</f>
        <v>250</v>
      </c>
      <c r="Q1210" s="199">
        <f>TB_Parts_Lists[[#This Row],[Quantity Total]]*TB_Parts_Lists[[#This Row],[Unit Price AED]]</f>
        <v>250</v>
      </c>
      <c r="S1210" s="199" t="s">
        <v>118</v>
      </c>
      <c r="T1210" s="199" t="s">
        <v>8675</v>
      </c>
      <c r="U1210" s="199" t="s">
        <v>8675</v>
      </c>
    </row>
    <row r="1211" spans="1:21" s="199" customFormat="1" x14ac:dyDescent="0.25">
      <c r="A1211" s="192" t="s">
        <v>7748</v>
      </c>
      <c r="B1211" s="203" t="s">
        <v>3338</v>
      </c>
      <c r="C1211" s="188" t="s">
        <v>651</v>
      </c>
      <c r="D1211" s="199" t="s">
        <v>8724</v>
      </c>
      <c r="E1211" s="188" t="s">
        <v>5555</v>
      </c>
      <c r="F1211" s="189" t="s">
        <v>4337</v>
      </c>
      <c r="G1211" s="199" t="s">
        <v>8304</v>
      </c>
      <c r="H1211" s="199" t="s">
        <v>8663</v>
      </c>
      <c r="I1211" s="199">
        <v>1</v>
      </c>
      <c r="J1211" s="199">
        <v>1</v>
      </c>
      <c r="K1211" s="199">
        <v>1</v>
      </c>
      <c r="L1211" s="199">
        <v>50</v>
      </c>
      <c r="M1211" s="202">
        <f>TB_Parts_Lists[[#This Row],[Quantity Initial]]+ SUMIF(TB_Transactions[Part number],TB_Parts_Lists[[#This Row],[Part Number]],TB_Transactions[Quantity])</f>
        <v>50</v>
      </c>
      <c r="N1211" s="200" t="s">
        <v>4593</v>
      </c>
      <c r="O1211" s="234">
        <v>5</v>
      </c>
      <c r="P1211" s="199">
        <f>TB_Parts_Lists[[#This Row],[Quantity Initial]]*TB_Parts_Lists[[#This Row],[Unit Price AED]]</f>
        <v>250</v>
      </c>
      <c r="Q1211" s="199">
        <f>TB_Parts_Lists[[#This Row],[Quantity Total]]*TB_Parts_Lists[[#This Row],[Unit Price AED]]</f>
        <v>250</v>
      </c>
      <c r="S1211" s="199" t="s">
        <v>122</v>
      </c>
      <c r="T1211" s="199" t="s">
        <v>8675</v>
      </c>
      <c r="U1211" s="199" t="s">
        <v>8675</v>
      </c>
    </row>
    <row r="1212" spans="1:21" s="199" customFormat="1" x14ac:dyDescent="0.25">
      <c r="A1212" s="192" t="s">
        <v>7749</v>
      </c>
      <c r="B1212" s="203" t="s">
        <v>3338</v>
      </c>
      <c r="C1212" s="188" t="s">
        <v>651</v>
      </c>
      <c r="D1212" s="199" t="s">
        <v>8724</v>
      </c>
      <c r="E1212" s="188" t="s">
        <v>4342</v>
      </c>
      <c r="F1212" s="189" t="s">
        <v>4338</v>
      </c>
      <c r="G1212" s="199" t="s">
        <v>8304</v>
      </c>
      <c r="H1212" s="199" t="s">
        <v>8664</v>
      </c>
      <c r="I1212" s="199">
        <v>1</v>
      </c>
      <c r="J1212" s="199">
        <v>1</v>
      </c>
      <c r="K1212" s="199">
        <v>1</v>
      </c>
      <c r="L1212" s="199">
        <v>50</v>
      </c>
      <c r="M1212" s="202">
        <f>TB_Parts_Lists[[#This Row],[Quantity Initial]]+ SUMIF(TB_Transactions[Part number],TB_Parts_Lists[[#This Row],[Part Number]],TB_Transactions[Quantity])</f>
        <v>50</v>
      </c>
      <c r="N1212" s="200" t="s">
        <v>4593</v>
      </c>
      <c r="O1212" s="234">
        <v>5</v>
      </c>
      <c r="P1212" s="199">
        <f>TB_Parts_Lists[[#This Row],[Quantity Initial]]*TB_Parts_Lists[[#This Row],[Unit Price AED]]</f>
        <v>250</v>
      </c>
      <c r="Q1212" s="199">
        <f>TB_Parts_Lists[[#This Row],[Quantity Total]]*TB_Parts_Lists[[#This Row],[Unit Price AED]]</f>
        <v>250</v>
      </c>
      <c r="S1212" s="199" t="s">
        <v>122</v>
      </c>
      <c r="T1212" s="199" t="s">
        <v>8675</v>
      </c>
      <c r="U1212" s="199" t="s">
        <v>8675</v>
      </c>
    </row>
    <row r="1213" spans="1:21" s="199" customFormat="1" x14ac:dyDescent="0.25">
      <c r="A1213" s="192" t="s">
        <v>7750</v>
      </c>
      <c r="B1213" s="203" t="s">
        <v>4697</v>
      </c>
      <c r="C1213" s="188" t="s">
        <v>6674</v>
      </c>
      <c r="D1213" s="188" t="s">
        <v>8724</v>
      </c>
      <c r="E1213" s="188" t="s">
        <v>4320</v>
      </c>
      <c r="F1213" s="189" t="s">
        <v>4339</v>
      </c>
      <c r="G1213" s="199" t="s">
        <v>8304</v>
      </c>
      <c r="H1213" s="199" t="s">
        <v>8640</v>
      </c>
      <c r="I1213" s="199">
        <v>1</v>
      </c>
      <c r="J1213" s="199">
        <v>1</v>
      </c>
      <c r="K1213" s="199">
        <v>1</v>
      </c>
      <c r="L1213" s="199">
        <v>50</v>
      </c>
      <c r="M1213" s="202">
        <f>TB_Parts_Lists[[#This Row],[Quantity Initial]]+ SUMIF(TB_Transactions[Part number],TB_Parts_Lists[[#This Row],[Part Number]],TB_Transactions[Quantity])</f>
        <v>50</v>
      </c>
      <c r="N1213" s="200" t="s">
        <v>4593</v>
      </c>
      <c r="O1213" s="234">
        <v>5</v>
      </c>
      <c r="P1213" s="199">
        <f>TB_Parts_Lists[[#This Row],[Quantity Initial]]*TB_Parts_Lists[[#This Row],[Unit Price AED]]</f>
        <v>250</v>
      </c>
      <c r="Q1213" s="199">
        <f>TB_Parts_Lists[[#This Row],[Quantity Total]]*TB_Parts_Lists[[#This Row],[Unit Price AED]]</f>
        <v>250</v>
      </c>
      <c r="S1213" s="199" t="s">
        <v>118</v>
      </c>
      <c r="T1213" s="199" t="s">
        <v>8675</v>
      </c>
      <c r="U1213" s="199" t="s">
        <v>8675</v>
      </c>
    </row>
    <row r="1214" spans="1:21" s="199" customFormat="1" x14ac:dyDescent="0.25">
      <c r="A1214" s="192" t="s">
        <v>7752</v>
      </c>
      <c r="B1214" s="203" t="s">
        <v>4697</v>
      </c>
      <c r="C1214" s="188" t="s">
        <v>7751</v>
      </c>
      <c r="D1214" s="188" t="s">
        <v>8724</v>
      </c>
      <c r="E1214" s="188" t="s">
        <v>5556</v>
      </c>
      <c r="F1214" s="189" t="s">
        <v>6128</v>
      </c>
      <c r="G1214" s="199" t="s">
        <v>8304</v>
      </c>
      <c r="H1214" s="199" t="s">
        <v>72</v>
      </c>
      <c r="I1214" s="199">
        <v>1</v>
      </c>
      <c r="J1214" s="199">
        <v>1</v>
      </c>
      <c r="K1214" s="199">
        <v>1</v>
      </c>
      <c r="L1214" s="199">
        <v>50</v>
      </c>
      <c r="M1214" s="202">
        <f>TB_Parts_Lists[[#This Row],[Quantity Initial]]+ SUMIF(TB_Transactions[Part number],TB_Parts_Lists[[#This Row],[Part Number]],TB_Transactions[Quantity])</f>
        <v>50</v>
      </c>
      <c r="N1214" s="200" t="s">
        <v>4593</v>
      </c>
      <c r="O1214" s="234">
        <v>5</v>
      </c>
      <c r="P1214" s="199">
        <f>TB_Parts_Lists[[#This Row],[Quantity Initial]]*TB_Parts_Lists[[#This Row],[Unit Price AED]]</f>
        <v>250</v>
      </c>
      <c r="Q1214" s="199">
        <f>TB_Parts_Lists[[#This Row],[Quantity Total]]*TB_Parts_Lists[[#This Row],[Unit Price AED]]</f>
        <v>250</v>
      </c>
      <c r="S1214" s="199" t="s">
        <v>118</v>
      </c>
      <c r="T1214" s="199" t="s">
        <v>8675</v>
      </c>
      <c r="U1214" s="199" t="s">
        <v>8675</v>
      </c>
    </row>
    <row r="1215" spans="1:21" s="199" customFormat="1" x14ac:dyDescent="0.25">
      <c r="A1215" s="192" t="s">
        <v>7753</v>
      </c>
      <c r="B1215" s="203" t="s">
        <v>3329</v>
      </c>
      <c r="C1215" s="188" t="s">
        <v>3342</v>
      </c>
      <c r="D1215" s="188" t="s">
        <v>8724</v>
      </c>
      <c r="E1215" s="188" t="s">
        <v>4482</v>
      </c>
      <c r="F1215" s="189" t="s">
        <v>4343</v>
      </c>
      <c r="G1215" s="199" t="s">
        <v>8305</v>
      </c>
      <c r="H1215" s="199" t="s">
        <v>8665</v>
      </c>
      <c r="I1215" s="199">
        <v>1</v>
      </c>
      <c r="J1215" s="199">
        <v>1</v>
      </c>
      <c r="K1215" s="199">
        <v>1</v>
      </c>
      <c r="L1215" s="199">
        <v>50</v>
      </c>
      <c r="M1215" s="202">
        <f>TB_Parts_Lists[[#This Row],[Quantity Initial]]+ SUMIF(TB_Transactions[Part number],TB_Parts_Lists[[#This Row],[Part Number]],TB_Transactions[Quantity])</f>
        <v>50</v>
      </c>
      <c r="N1215" s="200" t="s">
        <v>4593</v>
      </c>
      <c r="O1215" s="234">
        <v>5</v>
      </c>
      <c r="P1215" s="199">
        <f>TB_Parts_Lists[[#This Row],[Quantity Initial]]*TB_Parts_Lists[[#This Row],[Unit Price AED]]</f>
        <v>250</v>
      </c>
      <c r="Q1215" s="199">
        <f>TB_Parts_Lists[[#This Row],[Quantity Total]]*TB_Parts_Lists[[#This Row],[Unit Price AED]]</f>
        <v>250</v>
      </c>
      <c r="S1215" s="199" t="s">
        <v>122</v>
      </c>
      <c r="T1215" s="199" t="s">
        <v>129</v>
      </c>
      <c r="U1215" s="199" t="s">
        <v>262</v>
      </c>
    </row>
    <row r="1216" spans="1:21" s="199" customFormat="1" x14ac:dyDescent="0.25">
      <c r="A1216" s="192" t="s">
        <v>7754</v>
      </c>
      <c r="B1216" s="203" t="s">
        <v>3339</v>
      </c>
      <c r="C1216" s="188" t="s">
        <v>7653</v>
      </c>
      <c r="D1216" s="199" t="s">
        <v>8732</v>
      </c>
      <c r="E1216" s="188" t="s">
        <v>4483</v>
      </c>
      <c r="F1216" s="189" t="s">
        <v>4344</v>
      </c>
      <c r="G1216" s="199" t="s">
        <v>8305</v>
      </c>
      <c r="H1216" s="199" t="s">
        <v>8665</v>
      </c>
      <c r="I1216" s="199">
        <v>1</v>
      </c>
      <c r="J1216" s="199">
        <v>1</v>
      </c>
      <c r="K1216" s="199">
        <v>1</v>
      </c>
      <c r="L1216" s="199">
        <v>50</v>
      </c>
      <c r="M1216" s="202">
        <f>TB_Parts_Lists[[#This Row],[Quantity Initial]]+ SUMIF(TB_Transactions[Part number],TB_Parts_Lists[[#This Row],[Part Number]],TB_Transactions[Quantity])</f>
        <v>50</v>
      </c>
      <c r="N1216" s="200" t="s">
        <v>4593</v>
      </c>
      <c r="O1216" s="234">
        <v>5</v>
      </c>
      <c r="P1216" s="199">
        <f>TB_Parts_Lists[[#This Row],[Quantity Initial]]*TB_Parts_Lists[[#This Row],[Unit Price AED]]</f>
        <v>250</v>
      </c>
      <c r="Q1216" s="199">
        <f>TB_Parts_Lists[[#This Row],[Quantity Total]]*TB_Parts_Lists[[#This Row],[Unit Price AED]]</f>
        <v>250</v>
      </c>
      <c r="S1216" s="199" t="s">
        <v>122</v>
      </c>
      <c r="T1216" s="199" t="s">
        <v>129</v>
      </c>
      <c r="U1216" s="199" t="s">
        <v>262</v>
      </c>
    </row>
    <row r="1217" spans="1:21" s="199" customFormat="1" x14ac:dyDescent="0.25">
      <c r="A1217" s="192" t="s">
        <v>7755</v>
      </c>
      <c r="B1217" s="203" t="s">
        <v>3330</v>
      </c>
      <c r="C1217" s="188" t="s">
        <v>7047</v>
      </c>
      <c r="D1217" s="199" t="s">
        <v>8732</v>
      </c>
      <c r="E1217" s="188" t="s">
        <v>4484</v>
      </c>
      <c r="F1217" s="189" t="s">
        <v>4345</v>
      </c>
      <c r="G1217" s="199" t="s">
        <v>8305</v>
      </c>
      <c r="H1217" s="199" t="s">
        <v>8665</v>
      </c>
      <c r="I1217" s="199">
        <v>1</v>
      </c>
      <c r="J1217" s="199">
        <v>1</v>
      </c>
      <c r="K1217" s="199">
        <v>1</v>
      </c>
      <c r="L1217" s="199">
        <v>50</v>
      </c>
      <c r="M1217" s="202">
        <f>TB_Parts_Lists[[#This Row],[Quantity Initial]]+ SUMIF(TB_Transactions[Part number],TB_Parts_Lists[[#This Row],[Part Number]],TB_Transactions[Quantity])</f>
        <v>50</v>
      </c>
      <c r="N1217" s="200" t="s">
        <v>4593</v>
      </c>
      <c r="O1217" s="234">
        <v>5</v>
      </c>
      <c r="P1217" s="199">
        <f>TB_Parts_Lists[[#This Row],[Quantity Initial]]*TB_Parts_Lists[[#This Row],[Unit Price AED]]</f>
        <v>250</v>
      </c>
      <c r="Q1217" s="199">
        <f>TB_Parts_Lists[[#This Row],[Quantity Total]]*TB_Parts_Lists[[#This Row],[Unit Price AED]]</f>
        <v>250</v>
      </c>
      <c r="S1217" s="199" t="s">
        <v>122</v>
      </c>
      <c r="T1217" s="199" t="s">
        <v>129</v>
      </c>
      <c r="U1217" s="199" t="s">
        <v>262</v>
      </c>
    </row>
    <row r="1218" spans="1:21" s="199" customFormat="1" x14ac:dyDescent="0.25">
      <c r="A1218" s="192" t="s">
        <v>7756</v>
      </c>
      <c r="B1218" s="203" t="s">
        <v>3330</v>
      </c>
      <c r="C1218" s="188" t="s">
        <v>7002</v>
      </c>
      <c r="D1218" s="199" t="s">
        <v>8732</v>
      </c>
      <c r="E1218" s="188" t="s">
        <v>4485</v>
      </c>
      <c r="F1218" s="189" t="s">
        <v>4346</v>
      </c>
      <c r="G1218" s="199" t="s">
        <v>8305</v>
      </c>
      <c r="H1218" s="199" t="s">
        <v>8665</v>
      </c>
      <c r="I1218" s="199">
        <v>1</v>
      </c>
      <c r="J1218" s="199">
        <v>1</v>
      </c>
      <c r="K1218" s="199">
        <v>1</v>
      </c>
      <c r="L1218" s="199">
        <v>50</v>
      </c>
      <c r="M1218" s="202">
        <f>TB_Parts_Lists[[#This Row],[Quantity Initial]]+ SUMIF(TB_Transactions[Part number],TB_Parts_Lists[[#This Row],[Part Number]],TB_Transactions[Quantity])</f>
        <v>50</v>
      </c>
      <c r="N1218" s="200" t="s">
        <v>4593</v>
      </c>
      <c r="O1218" s="234">
        <v>5</v>
      </c>
      <c r="P1218" s="199">
        <f>TB_Parts_Lists[[#This Row],[Quantity Initial]]*TB_Parts_Lists[[#This Row],[Unit Price AED]]</f>
        <v>250</v>
      </c>
      <c r="Q1218" s="199">
        <f>TB_Parts_Lists[[#This Row],[Quantity Total]]*TB_Parts_Lists[[#This Row],[Unit Price AED]]</f>
        <v>250</v>
      </c>
      <c r="S1218" s="199" t="s">
        <v>122</v>
      </c>
      <c r="T1218" s="199" t="s">
        <v>129</v>
      </c>
      <c r="U1218" s="199" t="s">
        <v>262</v>
      </c>
    </row>
    <row r="1219" spans="1:21" s="199" customFormat="1" x14ac:dyDescent="0.25">
      <c r="A1219" s="192" t="s">
        <v>7757</v>
      </c>
      <c r="B1219" s="203" t="s">
        <v>3330</v>
      </c>
      <c r="C1219" s="188" t="s">
        <v>3338</v>
      </c>
      <c r="D1219" s="188" t="s">
        <v>8724</v>
      </c>
      <c r="E1219" s="188" t="s">
        <v>4486</v>
      </c>
      <c r="F1219" s="189" t="s">
        <v>4347</v>
      </c>
      <c r="G1219" s="199" t="s">
        <v>8305</v>
      </c>
      <c r="H1219" s="199" t="s">
        <v>8665</v>
      </c>
      <c r="I1219" s="199">
        <v>1</v>
      </c>
      <c r="J1219" s="199">
        <v>1</v>
      </c>
      <c r="K1219" s="199">
        <v>1</v>
      </c>
      <c r="L1219" s="199">
        <v>50</v>
      </c>
      <c r="M1219" s="202">
        <f>TB_Parts_Lists[[#This Row],[Quantity Initial]]+ SUMIF(TB_Transactions[Part number],TB_Parts_Lists[[#This Row],[Part Number]],TB_Transactions[Quantity])</f>
        <v>50</v>
      </c>
      <c r="N1219" s="200" t="s">
        <v>4593</v>
      </c>
      <c r="O1219" s="234">
        <v>5</v>
      </c>
      <c r="P1219" s="199">
        <f>TB_Parts_Lists[[#This Row],[Quantity Initial]]*TB_Parts_Lists[[#This Row],[Unit Price AED]]</f>
        <v>250</v>
      </c>
      <c r="Q1219" s="199">
        <f>TB_Parts_Lists[[#This Row],[Quantity Total]]*TB_Parts_Lists[[#This Row],[Unit Price AED]]</f>
        <v>250</v>
      </c>
      <c r="S1219" s="199" t="s">
        <v>122</v>
      </c>
      <c r="T1219" s="199" t="s">
        <v>129</v>
      </c>
      <c r="U1219" s="199" t="s">
        <v>262</v>
      </c>
    </row>
    <row r="1220" spans="1:21" s="199" customFormat="1" x14ac:dyDescent="0.25">
      <c r="A1220" s="192" t="s">
        <v>7758</v>
      </c>
      <c r="B1220" s="203" t="s">
        <v>3330</v>
      </c>
      <c r="C1220" s="188" t="s">
        <v>7002</v>
      </c>
      <c r="D1220" s="188" t="s">
        <v>8724</v>
      </c>
      <c r="E1220" s="188" t="s">
        <v>4487</v>
      </c>
      <c r="F1220" s="189" t="s">
        <v>4348</v>
      </c>
      <c r="G1220" s="199" t="s">
        <v>8305</v>
      </c>
      <c r="H1220" s="199" t="s">
        <v>8665</v>
      </c>
      <c r="I1220" s="199">
        <v>1</v>
      </c>
      <c r="J1220" s="199">
        <v>1</v>
      </c>
      <c r="K1220" s="199">
        <v>1</v>
      </c>
      <c r="L1220" s="199">
        <v>50</v>
      </c>
      <c r="M1220" s="202">
        <f>TB_Parts_Lists[[#This Row],[Quantity Initial]]+ SUMIF(TB_Transactions[Part number],TB_Parts_Lists[[#This Row],[Part Number]],TB_Transactions[Quantity])</f>
        <v>50</v>
      </c>
      <c r="N1220" s="200" t="s">
        <v>4593</v>
      </c>
      <c r="O1220" s="234">
        <v>5</v>
      </c>
      <c r="P1220" s="199">
        <f>TB_Parts_Lists[[#This Row],[Quantity Initial]]*TB_Parts_Lists[[#This Row],[Unit Price AED]]</f>
        <v>250</v>
      </c>
      <c r="Q1220" s="199">
        <f>TB_Parts_Lists[[#This Row],[Quantity Total]]*TB_Parts_Lists[[#This Row],[Unit Price AED]]</f>
        <v>250</v>
      </c>
      <c r="S1220" s="199" t="s">
        <v>122</v>
      </c>
      <c r="T1220" s="199" t="s">
        <v>129</v>
      </c>
      <c r="U1220" s="199" t="s">
        <v>262</v>
      </c>
    </row>
    <row r="1221" spans="1:21" s="199" customFormat="1" x14ac:dyDescent="0.25">
      <c r="A1221" s="192" t="s">
        <v>7760</v>
      </c>
      <c r="B1221" s="203" t="s">
        <v>3330</v>
      </c>
      <c r="C1221" s="188" t="s">
        <v>7759</v>
      </c>
      <c r="D1221" s="188" t="s">
        <v>8724</v>
      </c>
      <c r="E1221" s="188" t="s">
        <v>5557</v>
      </c>
      <c r="F1221" s="189" t="s">
        <v>4349</v>
      </c>
      <c r="G1221" s="199" t="s">
        <v>8305</v>
      </c>
      <c r="H1221" s="199" t="s">
        <v>8665</v>
      </c>
      <c r="I1221" s="199">
        <v>1</v>
      </c>
      <c r="J1221" s="199">
        <v>1</v>
      </c>
      <c r="K1221" s="199">
        <v>1</v>
      </c>
      <c r="L1221" s="199">
        <v>50</v>
      </c>
      <c r="M1221" s="202">
        <f>TB_Parts_Lists[[#This Row],[Quantity Initial]]+ SUMIF(TB_Transactions[Part number],TB_Parts_Lists[[#This Row],[Part Number]],TB_Transactions[Quantity])</f>
        <v>50</v>
      </c>
      <c r="N1221" s="200" t="s">
        <v>4593</v>
      </c>
      <c r="O1221" s="234">
        <v>5</v>
      </c>
      <c r="P1221" s="199">
        <f>TB_Parts_Lists[[#This Row],[Quantity Initial]]*TB_Parts_Lists[[#This Row],[Unit Price AED]]</f>
        <v>250</v>
      </c>
      <c r="Q1221" s="199">
        <f>TB_Parts_Lists[[#This Row],[Quantity Total]]*TB_Parts_Lists[[#This Row],[Unit Price AED]]</f>
        <v>250</v>
      </c>
      <c r="S1221" s="199" t="s">
        <v>122</v>
      </c>
      <c r="T1221" s="199" t="s">
        <v>8696</v>
      </c>
      <c r="U1221" s="199" t="s">
        <v>292</v>
      </c>
    </row>
    <row r="1222" spans="1:21" s="199" customFormat="1" x14ac:dyDescent="0.25">
      <c r="A1222" s="192" t="s">
        <v>7761</v>
      </c>
      <c r="B1222" s="203" t="s">
        <v>3330</v>
      </c>
      <c r="C1222" s="188" t="s">
        <v>7759</v>
      </c>
      <c r="D1222" s="188" t="s">
        <v>8724</v>
      </c>
      <c r="E1222" s="188" t="s">
        <v>5558</v>
      </c>
      <c r="F1222" s="189" t="s">
        <v>4350</v>
      </c>
      <c r="G1222" s="199" t="s">
        <v>8305</v>
      </c>
      <c r="H1222" s="199" t="s">
        <v>8665</v>
      </c>
      <c r="I1222" s="199">
        <v>1</v>
      </c>
      <c r="J1222" s="199">
        <v>1</v>
      </c>
      <c r="K1222" s="199">
        <v>1</v>
      </c>
      <c r="L1222" s="199">
        <v>50</v>
      </c>
      <c r="M1222" s="202">
        <f>TB_Parts_Lists[[#This Row],[Quantity Initial]]+ SUMIF(TB_Transactions[Part number],TB_Parts_Lists[[#This Row],[Part Number]],TB_Transactions[Quantity])</f>
        <v>50</v>
      </c>
      <c r="N1222" s="200" t="s">
        <v>4593</v>
      </c>
      <c r="O1222" s="234">
        <v>5</v>
      </c>
      <c r="P1222" s="199">
        <f>TB_Parts_Lists[[#This Row],[Quantity Initial]]*TB_Parts_Lists[[#This Row],[Unit Price AED]]</f>
        <v>250</v>
      </c>
      <c r="Q1222" s="199">
        <f>TB_Parts_Lists[[#This Row],[Quantity Total]]*TB_Parts_Lists[[#This Row],[Unit Price AED]]</f>
        <v>250</v>
      </c>
      <c r="S1222" s="199" t="s">
        <v>122</v>
      </c>
      <c r="T1222" s="199" t="s">
        <v>8696</v>
      </c>
      <c r="U1222" s="199" t="s">
        <v>292</v>
      </c>
    </row>
    <row r="1223" spans="1:21" s="199" customFormat="1" x14ac:dyDescent="0.25">
      <c r="A1223" s="192" t="s">
        <v>7762</v>
      </c>
      <c r="B1223" s="203" t="s">
        <v>3330</v>
      </c>
      <c r="C1223" s="188" t="s">
        <v>6704</v>
      </c>
      <c r="D1223" s="188" t="s">
        <v>8724</v>
      </c>
      <c r="E1223" s="188" t="s">
        <v>4351</v>
      </c>
      <c r="F1223" s="189" t="s">
        <v>4352</v>
      </c>
      <c r="G1223" s="199" t="s">
        <v>8305</v>
      </c>
      <c r="H1223" s="199" t="s">
        <v>8665</v>
      </c>
      <c r="I1223" s="199">
        <v>1</v>
      </c>
      <c r="J1223" s="199">
        <v>1</v>
      </c>
      <c r="K1223" s="199">
        <v>1</v>
      </c>
      <c r="L1223" s="199">
        <v>50</v>
      </c>
      <c r="M1223" s="202">
        <f>TB_Parts_Lists[[#This Row],[Quantity Initial]]+ SUMIF(TB_Transactions[Part number],TB_Parts_Lists[[#This Row],[Part Number]],TB_Transactions[Quantity])</f>
        <v>50</v>
      </c>
      <c r="N1223" s="200" t="s">
        <v>4593</v>
      </c>
      <c r="O1223" s="234">
        <v>5</v>
      </c>
      <c r="P1223" s="199">
        <f>TB_Parts_Lists[[#This Row],[Quantity Initial]]*TB_Parts_Lists[[#This Row],[Unit Price AED]]</f>
        <v>250</v>
      </c>
      <c r="Q1223" s="199">
        <f>TB_Parts_Lists[[#This Row],[Quantity Total]]*TB_Parts_Lists[[#This Row],[Unit Price AED]]</f>
        <v>250</v>
      </c>
      <c r="S1223" s="199" t="s">
        <v>122</v>
      </c>
      <c r="T1223" s="199" t="s">
        <v>8696</v>
      </c>
      <c r="U1223" s="199" t="s">
        <v>292</v>
      </c>
    </row>
    <row r="1224" spans="1:21" s="199" customFormat="1" x14ac:dyDescent="0.25">
      <c r="A1224" s="192" t="s">
        <v>7763</v>
      </c>
      <c r="B1224" s="203" t="s">
        <v>3330</v>
      </c>
      <c r="C1224" s="188" t="s">
        <v>7047</v>
      </c>
      <c r="D1224" s="188" t="s">
        <v>8724</v>
      </c>
      <c r="E1224" s="188" t="s">
        <v>4488</v>
      </c>
      <c r="F1224" s="189" t="s">
        <v>4353</v>
      </c>
      <c r="G1224" s="199" t="s">
        <v>8305</v>
      </c>
      <c r="H1224" s="199" t="s">
        <v>8665</v>
      </c>
      <c r="I1224" s="199">
        <v>1</v>
      </c>
      <c r="J1224" s="199">
        <v>1</v>
      </c>
      <c r="K1224" s="199">
        <v>1</v>
      </c>
      <c r="L1224" s="199">
        <v>50</v>
      </c>
      <c r="M1224" s="202">
        <f>TB_Parts_Lists[[#This Row],[Quantity Initial]]+ SUMIF(TB_Transactions[Part number],TB_Parts_Lists[[#This Row],[Part Number]],TB_Transactions[Quantity])</f>
        <v>50</v>
      </c>
      <c r="N1224" s="200" t="s">
        <v>4593</v>
      </c>
      <c r="O1224" s="234">
        <v>5</v>
      </c>
      <c r="P1224" s="199">
        <f>TB_Parts_Lists[[#This Row],[Quantity Initial]]*TB_Parts_Lists[[#This Row],[Unit Price AED]]</f>
        <v>250</v>
      </c>
      <c r="Q1224" s="199">
        <f>TB_Parts_Lists[[#This Row],[Quantity Total]]*TB_Parts_Lists[[#This Row],[Unit Price AED]]</f>
        <v>250</v>
      </c>
      <c r="S1224" s="199" t="s">
        <v>122</v>
      </c>
      <c r="T1224" s="199" t="s">
        <v>129</v>
      </c>
      <c r="U1224" s="199" t="s">
        <v>262</v>
      </c>
    </row>
    <row r="1225" spans="1:21" s="199" customFormat="1" x14ac:dyDescent="0.25">
      <c r="A1225" s="192" t="s">
        <v>7764</v>
      </c>
      <c r="B1225" s="203" t="s">
        <v>3330</v>
      </c>
      <c r="C1225" s="188" t="s">
        <v>7047</v>
      </c>
      <c r="D1225" s="199" t="s">
        <v>8732</v>
      </c>
      <c r="E1225" s="188" t="s">
        <v>4489</v>
      </c>
      <c r="F1225" s="189" t="s">
        <v>4354</v>
      </c>
      <c r="G1225" s="199" t="s">
        <v>8305</v>
      </c>
      <c r="H1225" s="199" t="s">
        <v>8665</v>
      </c>
      <c r="I1225" s="199">
        <v>1</v>
      </c>
      <c r="J1225" s="199">
        <v>1</v>
      </c>
      <c r="K1225" s="199">
        <v>1</v>
      </c>
      <c r="L1225" s="199">
        <v>50</v>
      </c>
      <c r="M1225" s="202">
        <f>TB_Parts_Lists[[#This Row],[Quantity Initial]]+ SUMIF(TB_Transactions[Part number],TB_Parts_Lists[[#This Row],[Part Number]],TB_Transactions[Quantity])</f>
        <v>50</v>
      </c>
      <c r="N1225" s="200" t="s">
        <v>4593</v>
      </c>
      <c r="O1225" s="234">
        <v>5</v>
      </c>
      <c r="P1225" s="199">
        <f>TB_Parts_Lists[[#This Row],[Quantity Initial]]*TB_Parts_Lists[[#This Row],[Unit Price AED]]</f>
        <v>250</v>
      </c>
      <c r="Q1225" s="199">
        <f>TB_Parts_Lists[[#This Row],[Quantity Total]]*TB_Parts_Lists[[#This Row],[Unit Price AED]]</f>
        <v>250</v>
      </c>
      <c r="S1225" s="199" t="s">
        <v>122</v>
      </c>
      <c r="T1225" s="199" t="s">
        <v>129</v>
      </c>
      <c r="U1225" s="199" t="s">
        <v>262</v>
      </c>
    </row>
    <row r="1226" spans="1:21" s="199" customFormat="1" x14ac:dyDescent="0.25">
      <c r="A1226" s="192" t="s">
        <v>7765</v>
      </c>
      <c r="B1226" s="203" t="s">
        <v>3330</v>
      </c>
      <c r="C1226" s="188" t="s">
        <v>7047</v>
      </c>
      <c r="D1226" s="188" t="s">
        <v>8724</v>
      </c>
      <c r="E1226" s="188" t="s">
        <v>4490</v>
      </c>
      <c r="F1226" s="189" t="s">
        <v>4355</v>
      </c>
      <c r="G1226" s="199" t="s">
        <v>8305</v>
      </c>
      <c r="H1226" s="199" t="s">
        <v>8665</v>
      </c>
      <c r="I1226" s="199">
        <v>1</v>
      </c>
      <c r="J1226" s="199">
        <v>1</v>
      </c>
      <c r="K1226" s="199">
        <v>1</v>
      </c>
      <c r="L1226" s="199">
        <v>50</v>
      </c>
      <c r="M1226" s="202">
        <f>TB_Parts_Lists[[#This Row],[Quantity Initial]]+ SUMIF(TB_Transactions[Part number],TB_Parts_Lists[[#This Row],[Part Number]],TB_Transactions[Quantity])</f>
        <v>50</v>
      </c>
      <c r="N1226" s="200" t="s">
        <v>4593</v>
      </c>
      <c r="O1226" s="234">
        <v>5</v>
      </c>
      <c r="P1226" s="199">
        <f>TB_Parts_Lists[[#This Row],[Quantity Initial]]*TB_Parts_Lists[[#This Row],[Unit Price AED]]</f>
        <v>250</v>
      </c>
      <c r="Q1226" s="199">
        <f>TB_Parts_Lists[[#This Row],[Quantity Total]]*TB_Parts_Lists[[#This Row],[Unit Price AED]]</f>
        <v>250</v>
      </c>
      <c r="S1226" s="199" t="s">
        <v>122</v>
      </c>
      <c r="T1226" s="199" t="s">
        <v>129</v>
      </c>
      <c r="U1226" s="199" t="s">
        <v>262</v>
      </c>
    </row>
    <row r="1227" spans="1:21" s="199" customFormat="1" x14ac:dyDescent="0.25">
      <c r="A1227" s="192" t="s">
        <v>7766</v>
      </c>
      <c r="B1227" s="203" t="s">
        <v>3330</v>
      </c>
      <c r="C1227" s="188" t="s">
        <v>7047</v>
      </c>
      <c r="D1227" s="199" t="s">
        <v>8732</v>
      </c>
      <c r="E1227" s="188" t="s">
        <v>4491</v>
      </c>
      <c r="F1227" s="189" t="s">
        <v>4356</v>
      </c>
      <c r="G1227" s="199" t="s">
        <v>8305</v>
      </c>
      <c r="H1227" s="199" t="s">
        <v>8665</v>
      </c>
      <c r="I1227" s="199">
        <v>1</v>
      </c>
      <c r="J1227" s="199">
        <v>1</v>
      </c>
      <c r="K1227" s="199">
        <v>1</v>
      </c>
      <c r="L1227" s="199">
        <v>50</v>
      </c>
      <c r="M1227" s="202">
        <f>TB_Parts_Lists[[#This Row],[Quantity Initial]]+ SUMIF(TB_Transactions[Part number],TB_Parts_Lists[[#This Row],[Part Number]],TB_Transactions[Quantity])</f>
        <v>50</v>
      </c>
      <c r="N1227" s="200" t="s">
        <v>4593</v>
      </c>
      <c r="O1227" s="234">
        <v>5</v>
      </c>
      <c r="P1227" s="199">
        <f>TB_Parts_Lists[[#This Row],[Quantity Initial]]*TB_Parts_Lists[[#This Row],[Unit Price AED]]</f>
        <v>250</v>
      </c>
      <c r="Q1227" s="199">
        <f>TB_Parts_Lists[[#This Row],[Quantity Total]]*TB_Parts_Lists[[#This Row],[Unit Price AED]]</f>
        <v>250</v>
      </c>
      <c r="S1227" s="199" t="s">
        <v>122</v>
      </c>
      <c r="T1227" s="199" t="s">
        <v>129</v>
      </c>
      <c r="U1227" s="199" t="s">
        <v>262</v>
      </c>
    </row>
    <row r="1228" spans="1:21" s="199" customFormat="1" x14ac:dyDescent="0.25">
      <c r="A1228" s="192" t="s">
        <v>7767</v>
      </c>
      <c r="B1228" s="203" t="s">
        <v>3330</v>
      </c>
      <c r="C1228" s="188" t="s">
        <v>7047</v>
      </c>
      <c r="D1228" s="199" t="s">
        <v>8732</v>
      </c>
      <c r="E1228" s="188" t="s">
        <v>4492</v>
      </c>
      <c r="F1228" s="189" t="s">
        <v>4357</v>
      </c>
      <c r="G1228" s="199" t="s">
        <v>8305</v>
      </c>
      <c r="H1228" s="199" t="s">
        <v>8665</v>
      </c>
      <c r="I1228" s="199">
        <v>1</v>
      </c>
      <c r="J1228" s="199">
        <v>1</v>
      </c>
      <c r="K1228" s="199">
        <v>1</v>
      </c>
      <c r="L1228" s="199">
        <v>50</v>
      </c>
      <c r="M1228" s="202">
        <f>TB_Parts_Lists[[#This Row],[Quantity Initial]]+ SUMIF(TB_Transactions[Part number],TB_Parts_Lists[[#This Row],[Part Number]],TB_Transactions[Quantity])</f>
        <v>50</v>
      </c>
      <c r="N1228" s="200" t="s">
        <v>4593</v>
      </c>
      <c r="O1228" s="234">
        <v>5</v>
      </c>
      <c r="P1228" s="199">
        <f>TB_Parts_Lists[[#This Row],[Quantity Initial]]*TB_Parts_Lists[[#This Row],[Unit Price AED]]</f>
        <v>250</v>
      </c>
      <c r="Q1228" s="199">
        <f>TB_Parts_Lists[[#This Row],[Quantity Total]]*TB_Parts_Lists[[#This Row],[Unit Price AED]]</f>
        <v>250</v>
      </c>
      <c r="S1228" s="199" t="s">
        <v>122</v>
      </c>
      <c r="T1228" s="199" t="s">
        <v>129</v>
      </c>
      <c r="U1228" s="199" t="s">
        <v>262</v>
      </c>
    </row>
    <row r="1229" spans="1:21" s="199" customFormat="1" x14ac:dyDescent="0.25">
      <c r="A1229" s="192" t="s">
        <v>7768</v>
      </c>
      <c r="B1229" s="203" t="s">
        <v>3330</v>
      </c>
      <c r="C1229" s="188" t="s">
        <v>7047</v>
      </c>
      <c r="D1229" s="199" t="s">
        <v>8732</v>
      </c>
      <c r="E1229" s="188" t="s">
        <v>4493</v>
      </c>
      <c r="F1229" s="189" t="s">
        <v>4358</v>
      </c>
      <c r="G1229" s="199" t="s">
        <v>8305</v>
      </c>
      <c r="H1229" s="199" t="s">
        <v>8665</v>
      </c>
      <c r="I1229" s="199">
        <v>1</v>
      </c>
      <c r="J1229" s="199">
        <v>1</v>
      </c>
      <c r="K1229" s="199">
        <v>1</v>
      </c>
      <c r="L1229" s="199">
        <v>50</v>
      </c>
      <c r="M1229" s="202">
        <f>TB_Parts_Lists[[#This Row],[Quantity Initial]]+ SUMIF(TB_Transactions[Part number],TB_Parts_Lists[[#This Row],[Part Number]],TB_Transactions[Quantity])</f>
        <v>50</v>
      </c>
      <c r="N1229" s="200" t="s">
        <v>4593</v>
      </c>
      <c r="O1229" s="234">
        <v>5</v>
      </c>
      <c r="P1229" s="199">
        <f>TB_Parts_Lists[[#This Row],[Quantity Initial]]*TB_Parts_Lists[[#This Row],[Unit Price AED]]</f>
        <v>250</v>
      </c>
      <c r="Q1229" s="199">
        <f>TB_Parts_Lists[[#This Row],[Quantity Total]]*TB_Parts_Lists[[#This Row],[Unit Price AED]]</f>
        <v>250</v>
      </c>
      <c r="S1229" s="199" t="s">
        <v>122</v>
      </c>
      <c r="T1229" s="199" t="s">
        <v>129</v>
      </c>
      <c r="U1229" s="199" t="s">
        <v>262</v>
      </c>
    </row>
    <row r="1230" spans="1:21" s="199" customFormat="1" x14ac:dyDescent="0.25">
      <c r="A1230" s="192" t="s">
        <v>7769</v>
      </c>
      <c r="B1230" s="203" t="s">
        <v>3330</v>
      </c>
      <c r="C1230" s="188" t="s">
        <v>7047</v>
      </c>
      <c r="D1230" s="199" t="s">
        <v>8732</v>
      </c>
      <c r="E1230" s="188" t="s">
        <v>4496</v>
      </c>
      <c r="F1230" s="189" t="s">
        <v>4359</v>
      </c>
      <c r="G1230" s="199" t="s">
        <v>8305</v>
      </c>
      <c r="H1230" s="199" t="s">
        <v>8665</v>
      </c>
      <c r="I1230" s="199">
        <v>1</v>
      </c>
      <c r="J1230" s="199">
        <v>1</v>
      </c>
      <c r="K1230" s="199">
        <v>1</v>
      </c>
      <c r="L1230" s="199">
        <v>50</v>
      </c>
      <c r="M1230" s="202">
        <f>TB_Parts_Lists[[#This Row],[Quantity Initial]]+ SUMIF(TB_Transactions[Part number],TB_Parts_Lists[[#This Row],[Part Number]],TB_Transactions[Quantity])</f>
        <v>50</v>
      </c>
      <c r="N1230" s="200" t="s">
        <v>4593</v>
      </c>
      <c r="O1230" s="234">
        <v>5</v>
      </c>
      <c r="P1230" s="199">
        <f>TB_Parts_Lists[[#This Row],[Quantity Initial]]*TB_Parts_Lists[[#This Row],[Unit Price AED]]</f>
        <v>250</v>
      </c>
      <c r="Q1230" s="199">
        <f>TB_Parts_Lists[[#This Row],[Quantity Total]]*TB_Parts_Lists[[#This Row],[Unit Price AED]]</f>
        <v>250</v>
      </c>
      <c r="S1230" s="199" t="s">
        <v>122</v>
      </c>
      <c r="T1230" s="199" t="s">
        <v>129</v>
      </c>
      <c r="U1230" s="199" t="s">
        <v>262</v>
      </c>
    </row>
    <row r="1231" spans="1:21" s="199" customFormat="1" x14ac:dyDescent="0.25">
      <c r="A1231" s="192" t="s">
        <v>7770</v>
      </c>
      <c r="B1231" s="203" t="s">
        <v>3330</v>
      </c>
      <c r="C1231" s="188" t="s">
        <v>7047</v>
      </c>
      <c r="D1231" s="199" t="s">
        <v>8732</v>
      </c>
      <c r="E1231" s="188" t="s">
        <v>4495</v>
      </c>
      <c r="F1231" s="189" t="s">
        <v>4360</v>
      </c>
      <c r="G1231" s="199" t="s">
        <v>8305</v>
      </c>
      <c r="H1231" s="199" t="s">
        <v>8665</v>
      </c>
      <c r="I1231" s="199">
        <v>1</v>
      </c>
      <c r="J1231" s="199">
        <v>1</v>
      </c>
      <c r="K1231" s="199">
        <v>1</v>
      </c>
      <c r="L1231" s="199">
        <v>50</v>
      </c>
      <c r="M1231" s="202">
        <f>TB_Parts_Lists[[#This Row],[Quantity Initial]]+ SUMIF(TB_Transactions[Part number],TB_Parts_Lists[[#This Row],[Part Number]],TB_Transactions[Quantity])</f>
        <v>50</v>
      </c>
      <c r="N1231" s="200" t="s">
        <v>4593</v>
      </c>
      <c r="O1231" s="234">
        <v>5</v>
      </c>
      <c r="P1231" s="199">
        <f>TB_Parts_Lists[[#This Row],[Quantity Initial]]*TB_Parts_Lists[[#This Row],[Unit Price AED]]</f>
        <v>250</v>
      </c>
      <c r="Q1231" s="199">
        <f>TB_Parts_Lists[[#This Row],[Quantity Total]]*TB_Parts_Lists[[#This Row],[Unit Price AED]]</f>
        <v>250</v>
      </c>
      <c r="S1231" s="199" t="s">
        <v>122</v>
      </c>
      <c r="T1231" s="199" t="s">
        <v>129</v>
      </c>
      <c r="U1231" s="199" t="s">
        <v>262</v>
      </c>
    </row>
    <row r="1232" spans="1:21" s="199" customFormat="1" x14ac:dyDescent="0.25">
      <c r="A1232" s="192" t="s">
        <v>7771</v>
      </c>
      <c r="B1232" s="203" t="s">
        <v>3330</v>
      </c>
      <c r="C1232" s="188" t="s">
        <v>7047</v>
      </c>
      <c r="D1232" s="199" t="s">
        <v>8732</v>
      </c>
      <c r="E1232" s="188" t="s">
        <v>4494</v>
      </c>
      <c r="F1232" s="189" t="s">
        <v>4361</v>
      </c>
      <c r="G1232" s="199" t="s">
        <v>8305</v>
      </c>
      <c r="H1232" s="199" t="s">
        <v>8665</v>
      </c>
      <c r="I1232" s="199">
        <v>1</v>
      </c>
      <c r="J1232" s="199">
        <v>1</v>
      </c>
      <c r="K1232" s="199">
        <v>1</v>
      </c>
      <c r="L1232" s="199">
        <v>50</v>
      </c>
      <c r="M1232" s="202">
        <f>TB_Parts_Lists[[#This Row],[Quantity Initial]]+ SUMIF(TB_Transactions[Part number],TB_Parts_Lists[[#This Row],[Part Number]],TB_Transactions[Quantity])</f>
        <v>50</v>
      </c>
      <c r="N1232" s="200" t="s">
        <v>4593</v>
      </c>
      <c r="O1232" s="234">
        <v>5</v>
      </c>
      <c r="P1232" s="199">
        <f>TB_Parts_Lists[[#This Row],[Quantity Initial]]*TB_Parts_Lists[[#This Row],[Unit Price AED]]</f>
        <v>250</v>
      </c>
      <c r="Q1232" s="199">
        <f>TB_Parts_Lists[[#This Row],[Quantity Total]]*TB_Parts_Lists[[#This Row],[Unit Price AED]]</f>
        <v>250</v>
      </c>
      <c r="S1232" s="199" t="s">
        <v>122</v>
      </c>
      <c r="T1232" s="199" t="s">
        <v>129</v>
      </c>
      <c r="U1232" s="199" t="s">
        <v>262</v>
      </c>
    </row>
    <row r="1233" spans="1:21" s="199" customFormat="1" x14ac:dyDescent="0.25">
      <c r="A1233" s="192" t="s">
        <v>7772</v>
      </c>
      <c r="B1233" s="203" t="s">
        <v>3338</v>
      </c>
      <c r="C1233" s="188" t="s">
        <v>651</v>
      </c>
      <c r="D1233" s="188" t="s">
        <v>8724</v>
      </c>
      <c r="E1233" s="188" t="s">
        <v>4497</v>
      </c>
      <c r="F1233" s="189" t="s">
        <v>4362</v>
      </c>
      <c r="G1233" s="199" t="s">
        <v>8305</v>
      </c>
      <c r="H1233" s="199" t="s">
        <v>8665</v>
      </c>
      <c r="I1233" s="199">
        <v>1</v>
      </c>
      <c r="J1233" s="199">
        <v>1</v>
      </c>
      <c r="K1233" s="199">
        <v>1</v>
      </c>
      <c r="L1233" s="199">
        <v>50</v>
      </c>
      <c r="M1233" s="202">
        <f>TB_Parts_Lists[[#This Row],[Quantity Initial]]+ SUMIF(TB_Transactions[Part number],TB_Parts_Lists[[#This Row],[Part Number]],TB_Transactions[Quantity])</f>
        <v>50</v>
      </c>
      <c r="N1233" s="200" t="s">
        <v>4593</v>
      </c>
      <c r="O1233" s="234">
        <v>5</v>
      </c>
      <c r="P1233" s="199">
        <f>TB_Parts_Lists[[#This Row],[Quantity Initial]]*TB_Parts_Lists[[#This Row],[Unit Price AED]]</f>
        <v>250</v>
      </c>
      <c r="Q1233" s="199">
        <f>TB_Parts_Lists[[#This Row],[Quantity Total]]*TB_Parts_Lists[[#This Row],[Unit Price AED]]</f>
        <v>250</v>
      </c>
      <c r="S1233" s="199" t="s">
        <v>122</v>
      </c>
      <c r="T1233" s="199" t="s">
        <v>129</v>
      </c>
      <c r="U1233" s="199" t="s">
        <v>262</v>
      </c>
    </row>
    <row r="1234" spans="1:21" s="199" customFormat="1" x14ac:dyDescent="0.25">
      <c r="A1234" s="192" t="s">
        <v>7773</v>
      </c>
      <c r="B1234" s="203" t="s">
        <v>3330</v>
      </c>
      <c r="C1234" s="188" t="s">
        <v>7066</v>
      </c>
      <c r="D1234" s="199" t="s">
        <v>8732</v>
      </c>
      <c r="E1234" s="188" t="s">
        <v>4498</v>
      </c>
      <c r="F1234" s="189" t="s">
        <v>4363</v>
      </c>
      <c r="G1234" s="199" t="s">
        <v>8305</v>
      </c>
      <c r="H1234" s="199" t="s">
        <v>8665</v>
      </c>
      <c r="I1234" s="199">
        <v>1</v>
      </c>
      <c r="J1234" s="199">
        <v>1</v>
      </c>
      <c r="K1234" s="199">
        <v>1</v>
      </c>
      <c r="L1234" s="199">
        <v>50</v>
      </c>
      <c r="M1234" s="202">
        <f>TB_Parts_Lists[[#This Row],[Quantity Initial]]+ SUMIF(TB_Transactions[Part number],TB_Parts_Lists[[#This Row],[Part Number]],TB_Transactions[Quantity])</f>
        <v>50</v>
      </c>
      <c r="N1234" s="200" t="s">
        <v>4593</v>
      </c>
      <c r="O1234" s="234">
        <v>5</v>
      </c>
      <c r="P1234" s="199">
        <f>TB_Parts_Lists[[#This Row],[Quantity Initial]]*TB_Parts_Lists[[#This Row],[Unit Price AED]]</f>
        <v>250</v>
      </c>
      <c r="Q1234" s="199">
        <f>TB_Parts_Lists[[#This Row],[Quantity Total]]*TB_Parts_Lists[[#This Row],[Unit Price AED]]</f>
        <v>250</v>
      </c>
      <c r="S1234" s="199" t="s">
        <v>122</v>
      </c>
      <c r="T1234" s="199" t="s">
        <v>129</v>
      </c>
      <c r="U1234" s="199" t="s">
        <v>262</v>
      </c>
    </row>
    <row r="1235" spans="1:21" s="199" customFormat="1" x14ac:dyDescent="0.25">
      <c r="A1235" s="192" t="s">
        <v>7774</v>
      </c>
      <c r="B1235" s="203" t="s">
        <v>3330</v>
      </c>
      <c r="C1235" s="188" t="s">
        <v>4608</v>
      </c>
      <c r="D1235" s="199" t="s">
        <v>8732</v>
      </c>
      <c r="E1235" s="188" t="s">
        <v>4499</v>
      </c>
      <c r="F1235" s="189" t="s">
        <v>4364</v>
      </c>
      <c r="G1235" s="199" t="s">
        <v>8305</v>
      </c>
      <c r="H1235" s="199" t="s">
        <v>8665</v>
      </c>
      <c r="I1235" s="199">
        <v>1</v>
      </c>
      <c r="J1235" s="199">
        <v>1</v>
      </c>
      <c r="K1235" s="199">
        <v>1</v>
      </c>
      <c r="L1235" s="199">
        <v>50</v>
      </c>
      <c r="M1235" s="202">
        <f>TB_Parts_Lists[[#This Row],[Quantity Initial]]+ SUMIF(TB_Transactions[Part number],TB_Parts_Lists[[#This Row],[Part Number]],TB_Transactions[Quantity])</f>
        <v>50</v>
      </c>
      <c r="N1235" s="200" t="s">
        <v>4593</v>
      </c>
      <c r="O1235" s="234">
        <v>5</v>
      </c>
      <c r="P1235" s="199">
        <f>TB_Parts_Lists[[#This Row],[Quantity Initial]]*TB_Parts_Lists[[#This Row],[Unit Price AED]]</f>
        <v>250</v>
      </c>
      <c r="Q1235" s="199">
        <f>TB_Parts_Lists[[#This Row],[Quantity Total]]*TB_Parts_Lists[[#This Row],[Unit Price AED]]</f>
        <v>250</v>
      </c>
      <c r="S1235" s="199" t="s">
        <v>122</v>
      </c>
      <c r="T1235" s="199" t="s">
        <v>129</v>
      </c>
      <c r="U1235" s="199" t="s">
        <v>262</v>
      </c>
    </row>
    <row r="1236" spans="1:21" s="199" customFormat="1" x14ac:dyDescent="0.25">
      <c r="A1236" s="192" t="s">
        <v>7775</v>
      </c>
      <c r="B1236" s="203" t="s">
        <v>3330</v>
      </c>
      <c r="C1236" s="188" t="s">
        <v>6679</v>
      </c>
      <c r="D1236" s="188" t="s">
        <v>8724</v>
      </c>
      <c r="E1236" s="188" t="s">
        <v>4500</v>
      </c>
      <c r="F1236" s="189" t="s">
        <v>4365</v>
      </c>
      <c r="G1236" s="199" t="s">
        <v>8305</v>
      </c>
      <c r="H1236" s="199" t="s">
        <v>8665</v>
      </c>
      <c r="I1236" s="199">
        <v>1</v>
      </c>
      <c r="J1236" s="199">
        <v>1</v>
      </c>
      <c r="K1236" s="199">
        <v>1</v>
      </c>
      <c r="L1236" s="199">
        <v>50</v>
      </c>
      <c r="M1236" s="202">
        <f>TB_Parts_Lists[[#This Row],[Quantity Initial]]+ SUMIF(TB_Transactions[Part number],TB_Parts_Lists[[#This Row],[Part Number]],TB_Transactions[Quantity])</f>
        <v>50</v>
      </c>
      <c r="N1236" s="200" t="s">
        <v>4593</v>
      </c>
      <c r="O1236" s="234">
        <v>5</v>
      </c>
      <c r="P1236" s="199">
        <f>TB_Parts_Lists[[#This Row],[Quantity Initial]]*TB_Parts_Lists[[#This Row],[Unit Price AED]]</f>
        <v>250</v>
      </c>
      <c r="Q1236" s="199">
        <f>TB_Parts_Lists[[#This Row],[Quantity Total]]*TB_Parts_Lists[[#This Row],[Unit Price AED]]</f>
        <v>250</v>
      </c>
      <c r="S1236" s="199" t="s">
        <v>122</v>
      </c>
      <c r="T1236" s="199" t="s">
        <v>129</v>
      </c>
      <c r="U1236" s="199" t="s">
        <v>262</v>
      </c>
    </row>
    <row r="1237" spans="1:21" s="199" customFormat="1" x14ac:dyDescent="0.25">
      <c r="A1237" s="192" t="s">
        <v>7777</v>
      </c>
      <c r="B1237" s="203" t="s">
        <v>3330</v>
      </c>
      <c r="C1237" s="199" t="s">
        <v>7776</v>
      </c>
      <c r="D1237" s="188" t="s">
        <v>8724</v>
      </c>
      <c r="E1237" s="188" t="s">
        <v>4501</v>
      </c>
      <c r="F1237" s="189" t="s">
        <v>4366</v>
      </c>
      <c r="G1237" s="199" t="s">
        <v>8305</v>
      </c>
      <c r="H1237" s="199" t="s">
        <v>8665</v>
      </c>
      <c r="I1237" s="199">
        <v>1</v>
      </c>
      <c r="J1237" s="199">
        <v>1</v>
      </c>
      <c r="K1237" s="199">
        <v>1</v>
      </c>
      <c r="L1237" s="199">
        <v>50</v>
      </c>
      <c r="M1237" s="202">
        <f>TB_Parts_Lists[[#This Row],[Quantity Initial]]+ SUMIF(TB_Transactions[Part number],TB_Parts_Lists[[#This Row],[Part Number]],TB_Transactions[Quantity])</f>
        <v>50</v>
      </c>
      <c r="N1237" s="200" t="s">
        <v>4593</v>
      </c>
      <c r="O1237" s="234">
        <v>5</v>
      </c>
      <c r="P1237" s="199">
        <f>TB_Parts_Lists[[#This Row],[Quantity Initial]]*TB_Parts_Lists[[#This Row],[Unit Price AED]]</f>
        <v>250</v>
      </c>
      <c r="Q1237" s="199">
        <f>TB_Parts_Lists[[#This Row],[Quantity Total]]*TB_Parts_Lists[[#This Row],[Unit Price AED]]</f>
        <v>250</v>
      </c>
      <c r="S1237" s="199" t="s">
        <v>122</v>
      </c>
      <c r="T1237" s="199" t="s">
        <v>129</v>
      </c>
      <c r="U1237" s="199" t="s">
        <v>262</v>
      </c>
    </row>
    <row r="1238" spans="1:21" s="199" customFormat="1" x14ac:dyDescent="0.25">
      <c r="A1238" s="192" t="s">
        <v>7778</v>
      </c>
      <c r="B1238" s="203" t="s">
        <v>3339</v>
      </c>
      <c r="C1238" s="199" t="s">
        <v>7655</v>
      </c>
      <c r="D1238" s="188" t="s">
        <v>8724</v>
      </c>
      <c r="E1238" s="188" t="s">
        <v>4502</v>
      </c>
      <c r="F1238" s="189" t="s">
        <v>4367</v>
      </c>
      <c r="G1238" s="199" t="s">
        <v>8305</v>
      </c>
      <c r="H1238" s="199" t="s">
        <v>8665</v>
      </c>
      <c r="I1238" s="199">
        <v>1</v>
      </c>
      <c r="J1238" s="199">
        <v>1</v>
      </c>
      <c r="K1238" s="199">
        <v>1</v>
      </c>
      <c r="L1238" s="199">
        <v>50</v>
      </c>
      <c r="M1238" s="202">
        <f>TB_Parts_Lists[[#This Row],[Quantity Initial]]+ SUMIF(TB_Transactions[Part number],TB_Parts_Lists[[#This Row],[Part Number]],TB_Transactions[Quantity])</f>
        <v>50</v>
      </c>
      <c r="N1238" s="200" t="s">
        <v>4593</v>
      </c>
      <c r="O1238" s="234">
        <v>5</v>
      </c>
      <c r="P1238" s="199">
        <f>TB_Parts_Lists[[#This Row],[Quantity Initial]]*TB_Parts_Lists[[#This Row],[Unit Price AED]]</f>
        <v>250</v>
      </c>
      <c r="Q1238" s="199">
        <f>TB_Parts_Lists[[#This Row],[Quantity Total]]*TB_Parts_Lists[[#This Row],[Unit Price AED]]</f>
        <v>250</v>
      </c>
      <c r="S1238" s="199" t="s">
        <v>122</v>
      </c>
      <c r="T1238" s="199" t="s">
        <v>129</v>
      </c>
      <c r="U1238" s="199" t="s">
        <v>262</v>
      </c>
    </row>
    <row r="1239" spans="1:21" s="199" customFormat="1" x14ac:dyDescent="0.25">
      <c r="A1239" s="192" t="s">
        <v>7779</v>
      </c>
      <c r="B1239" s="203" t="s">
        <v>3338</v>
      </c>
      <c r="C1239" s="188" t="s">
        <v>651</v>
      </c>
      <c r="D1239" s="188" t="s">
        <v>8724</v>
      </c>
      <c r="E1239" s="188" t="s">
        <v>4503</v>
      </c>
      <c r="F1239" s="189" t="s">
        <v>4368</v>
      </c>
      <c r="G1239" s="199" t="s">
        <v>8305</v>
      </c>
      <c r="H1239" s="199" t="s">
        <v>8665</v>
      </c>
      <c r="I1239" s="199">
        <v>1</v>
      </c>
      <c r="J1239" s="199">
        <v>1</v>
      </c>
      <c r="K1239" s="199">
        <v>1</v>
      </c>
      <c r="L1239" s="199">
        <v>50</v>
      </c>
      <c r="M1239" s="202">
        <f>TB_Parts_Lists[[#This Row],[Quantity Initial]]+ SUMIF(TB_Transactions[Part number],TB_Parts_Lists[[#This Row],[Part Number]],TB_Transactions[Quantity])</f>
        <v>50</v>
      </c>
      <c r="N1239" s="200" t="s">
        <v>4593</v>
      </c>
      <c r="O1239" s="234">
        <v>5</v>
      </c>
      <c r="P1239" s="199">
        <f>TB_Parts_Lists[[#This Row],[Quantity Initial]]*TB_Parts_Lists[[#This Row],[Unit Price AED]]</f>
        <v>250</v>
      </c>
      <c r="Q1239" s="199">
        <f>TB_Parts_Lists[[#This Row],[Quantity Total]]*TB_Parts_Lists[[#This Row],[Unit Price AED]]</f>
        <v>250</v>
      </c>
      <c r="S1239" s="199" t="s">
        <v>122</v>
      </c>
      <c r="T1239" s="199" t="s">
        <v>129</v>
      </c>
      <c r="U1239" s="199" t="s">
        <v>262</v>
      </c>
    </row>
    <row r="1240" spans="1:21" s="199" customFormat="1" x14ac:dyDescent="0.25">
      <c r="A1240" s="192" t="s">
        <v>7780</v>
      </c>
      <c r="B1240" s="203" t="s">
        <v>3331</v>
      </c>
      <c r="C1240" s="188" t="s">
        <v>6652</v>
      </c>
      <c r="D1240" s="199" t="s">
        <v>8732</v>
      </c>
      <c r="E1240" s="188" t="s">
        <v>5559</v>
      </c>
      <c r="F1240" s="189" t="s">
        <v>4369</v>
      </c>
      <c r="G1240" s="199" t="s">
        <v>8305</v>
      </c>
      <c r="H1240" s="199" t="s">
        <v>8665</v>
      </c>
      <c r="I1240" s="199">
        <v>1</v>
      </c>
      <c r="J1240" s="199">
        <v>1</v>
      </c>
      <c r="K1240" s="199">
        <v>1</v>
      </c>
      <c r="L1240" s="199">
        <v>50</v>
      </c>
      <c r="M1240" s="202">
        <f>TB_Parts_Lists[[#This Row],[Quantity Initial]]+ SUMIF(TB_Transactions[Part number],TB_Parts_Lists[[#This Row],[Part Number]],TB_Transactions[Quantity])</f>
        <v>50</v>
      </c>
      <c r="N1240" s="200" t="s">
        <v>4593</v>
      </c>
      <c r="O1240" s="234">
        <v>5</v>
      </c>
      <c r="P1240" s="199">
        <f>TB_Parts_Lists[[#This Row],[Quantity Initial]]*TB_Parts_Lists[[#This Row],[Unit Price AED]]</f>
        <v>250</v>
      </c>
      <c r="Q1240" s="199">
        <f>TB_Parts_Lists[[#This Row],[Quantity Total]]*TB_Parts_Lists[[#This Row],[Unit Price AED]]</f>
        <v>250</v>
      </c>
      <c r="S1240" s="199" t="s">
        <v>122</v>
      </c>
      <c r="T1240" s="199" t="s">
        <v>129</v>
      </c>
      <c r="U1240" s="199" t="s">
        <v>262</v>
      </c>
    </row>
    <row r="1241" spans="1:21" s="199" customFormat="1" x14ac:dyDescent="0.25">
      <c r="A1241" s="192" t="s">
        <v>7781</v>
      </c>
      <c r="B1241" s="203" t="s">
        <v>3330</v>
      </c>
      <c r="C1241" s="188" t="s">
        <v>7002</v>
      </c>
      <c r="D1241" s="199" t="s">
        <v>8732</v>
      </c>
      <c r="E1241" s="188" t="s">
        <v>4504</v>
      </c>
      <c r="F1241" s="189" t="s">
        <v>4370</v>
      </c>
      <c r="G1241" s="199" t="s">
        <v>8305</v>
      </c>
      <c r="H1241" s="199" t="s">
        <v>8665</v>
      </c>
      <c r="I1241" s="199">
        <v>1</v>
      </c>
      <c r="J1241" s="199">
        <v>1</v>
      </c>
      <c r="K1241" s="199">
        <v>1</v>
      </c>
      <c r="L1241" s="199">
        <v>50</v>
      </c>
      <c r="M1241" s="202">
        <f>TB_Parts_Lists[[#This Row],[Quantity Initial]]+ SUMIF(TB_Transactions[Part number],TB_Parts_Lists[[#This Row],[Part Number]],TB_Transactions[Quantity])</f>
        <v>50</v>
      </c>
      <c r="N1241" s="200" t="s">
        <v>4593</v>
      </c>
      <c r="O1241" s="234">
        <v>5</v>
      </c>
      <c r="P1241" s="199">
        <f>TB_Parts_Lists[[#This Row],[Quantity Initial]]*TB_Parts_Lists[[#This Row],[Unit Price AED]]</f>
        <v>250</v>
      </c>
      <c r="Q1241" s="199">
        <f>TB_Parts_Lists[[#This Row],[Quantity Total]]*TB_Parts_Lists[[#This Row],[Unit Price AED]]</f>
        <v>250</v>
      </c>
      <c r="S1241" s="199" t="s">
        <v>122</v>
      </c>
      <c r="T1241" s="199" t="s">
        <v>129</v>
      </c>
      <c r="U1241" s="199" t="s">
        <v>262</v>
      </c>
    </row>
    <row r="1242" spans="1:21" s="199" customFormat="1" x14ac:dyDescent="0.25">
      <c r="A1242" s="192" t="s">
        <v>7782</v>
      </c>
      <c r="B1242" s="203" t="s">
        <v>3329</v>
      </c>
      <c r="C1242" s="188" t="s">
        <v>4633</v>
      </c>
      <c r="D1242" s="188" t="s">
        <v>8724</v>
      </c>
      <c r="E1242" s="188" t="s">
        <v>4505</v>
      </c>
      <c r="F1242" s="189" t="s">
        <v>4371</v>
      </c>
      <c r="G1242" s="199" t="s">
        <v>8305</v>
      </c>
      <c r="H1242" s="199" t="s">
        <v>8665</v>
      </c>
      <c r="I1242" s="199">
        <v>1</v>
      </c>
      <c r="J1242" s="199">
        <v>1</v>
      </c>
      <c r="K1242" s="199">
        <v>1</v>
      </c>
      <c r="L1242" s="199">
        <v>50</v>
      </c>
      <c r="M1242" s="202">
        <f>TB_Parts_Lists[[#This Row],[Quantity Initial]]+ SUMIF(TB_Transactions[Part number],TB_Parts_Lists[[#This Row],[Part Number]],TB_Transactions[Quantity])</f>
        <v>50</v>
      </c>
      <c r="N1242" s="200" t="s">
        <v>4593</v>
      </c>
      <c r="O1242" s="234">
        <v>5</v>
      </c>
      <c r="P1242" s="199">
        <f>TB_Parts_Lists[[#This Row],[Quantity Initial]]*TB_Parts_Lists[[#This Row],[Unit Price AED]]</f>
        <v>250</v>
      </c>
      <c r="Q1242" s="199">
        <f>TB_Parts_Lists[[#This Row],[Quantity Total]]*TB_Parts_Lists[[#This Row],[Unit Price AED]]</f>
        <v>250</v>
      </c>
      <c r="S1242" s="199" t="s">
        <v>122</v>
      </c>
      <c r="T1242" s="199" t="s">
        <v>129</v>
      </c>
      <c r="U1242" s="199" t="s">
        <v>262</v>
      </c>
    </row>
    <row r="1243" spans="1:21" s="199" customFormat="1" x14ac:dyDescent="0.25">
      <c r="A1243" s="192" t="s">
        <v>7783</v>
      </c>
      <c r="B1243" s="203" t="s">
        <v>3330</v>
      </c>
      <c r="C1243" s="188" t="s">
        <v>6704</v>
      </c>
      <c r="D1243" s="188" t="s">
        <v>8724</v>
      </c>
      <c r="E1243" s="188" t="s">
        <v>5560</v>
      </c>
      <c r="F1243" s="189" t="s">
        <v>4372</v>
      </c>
      <c r="G1243" s="199" t="s">
        <v>8305</v>
      </c>
      <c r="H1243" s="199" t="s">
        <v>8665</v>
      </c>
      <c r="I1243" s="199">
        <v>1</v>
      </c>
      <c r="J1243" s="199">
        <v>1</v>
      </c>
      <c r="K1243" s="199">
        <v>1</v>
      </c>
      <c r="L1243" s="199">
        <v>50</v>
      </c>
      <c r="M1243" s="202">
        <f>TB_Parts_Lists[[#This Row],[Quantity Initial]]+ SUMIF(TB_Transactions[Part number],TB_Parts_Lists[[#This Row],[Part Number]],TB_Transactions[Quantity])</f>
        <v>50</v>
      </c>
      <c r="N1243" s="200" t="s">
        <v>4593</v>
      </c>
      <c r="O1243" s="234">
        <v>5</v>
      </c>
      <c r="P1243" s="199">
        <f>TB_Parts_Lists[[#This Row],[Quantity Initial]]*TB_Parts_Lists[[#This Row],[Unit Price AED]]</f>
        <v>250</v>
      </c>
      <c r="Q1243" s="199">
        <f>TB_Parts_Lists[[#This Row],[Quantity Total]]*TB_Parts_Lists[[#This Row],[Unit Price AED]]</f>
        <v>250</v>
      </c>
      <c r="S1243" s="199" t="s">
        <v>122</v>
      </c>
      <c r="T1243" s="199" t="s">
        <v>129</v>
      </c>
      <c r="U1243" s="199" t="s">
        <v>262</v>
      </c>
    </row>
    <row r="1244" spans="1:21" s="199" customFormat="1" x14ac:dyDescent="0.25">
      <c r="A1244" s="192" t="s">
        <v>7784</v>
      </c>
      <c r="B1244" s="203" t="s">
        <v>3330</v>
      </c>
      <c r="C1244" s="188" t="s">
        <v>7047</v>
      </c>
      <c r="D1244" s="188" t="s">
        <v>8724</v>
      </c>
      <c r="E1244" s="188" t="s">
        <v>5561</v>
      </c>
      <c r="F1244" s="189" t="s">
        <v>4373</v>
      </c>
      <c r="G1244" s="199" t="s">
        <v>8305</v>
      </c>
      <c r="H1244" s="199" t="s">
        <v>8665</v>
      </c>
      <c r="I1244" s="199">
        <v>1</v>
      </c>
      <c r="J1244" s="199">
        <v>1</v>
      </c>
      <c r="K1244" s="199">
        <v>1</v>
      </c>
      <c r="L1244" s="199">
        <v>50</v>
      </c>
      <c r="M1244" s="202">
        <f>TB_Parts_Lists[[#This Row],[Quantity Initial]]+ SUMIF(TB_Transactions[Part number],TB_Parts_Lists[[#This Row],[Part Number]],TB_Transactions[Quantity])</f>
        <v>50</v>
      </c>
      <c r="N1244" s="200" t="s">
        <v>4593</v>
      </c>
      <c r="O1244" s="234">
        <v>5</v>
      </c>
      <c r="P1244" s="199">
        <f>TB_Parts_Lists[[#This Row],[Quantity Initial]]*TB_Parts_Lists[[#This Row],[Unit Price AED]]</f>
        <v>250</v>
      </c>
      <c r="Q1244" s="199">
        <f>TB_Parts_Lists[[#This Row],[Quantity Total]]*TB_Parts_Lists[[#This Row],[Unit Price AED]]</f>
        <v>250</v>
      </c>
      <c r="S1244" s="199" t="s">
        <v>8675</v>
      </c>
      <c r="T1244" s="199" t="s">
        <v>8675</v>
      </c>
      <c r="U1244" s="199" t="s">
        <v>8675</v>
      </c>
    </row>
    <row r="1245" spans="1:21" s="199" customFormat="1" x14ac:dyDescent="0.25">
      <c r="A1245" s="192" t="s">
        <v>7785</v>
      </c>
      <c r="B1245" s="203" t="s">
        <v>3330</v>
      </c>
      <c r="C1245" s="188" t="s">
        <v>6674</v>
      </c>
      <c r="D1245" s="199" t="s">
        <v>8732</v>
      </c>
      <c r="E1245" s="188" t="s">
        <v>5562</v>
      </c>
      <c r="F1245" s="189" t="s">
        <v>4671</v>
      </c>
      <c r="G1245" s="199" t="s">
        <v>8305</v>
      </c>
      <c r="H1245" s="199" t="s">
        <v>8665</v>
      </c>
      <c r="I1245" s="199">
        <v>1</v>
      </c>
      <c r="J1245" s="199">
        <v>1</v>
      </c>
      <c r="K1245" s="199">
        <v>1</v>
      </c>
      <c r="L1245" s="199">
        <v>50</v>
      </c>
      <c r="M1245" s="202">
        <f>TB_Parts_Lists[[#This Row],[Quantity Initial]]+ SUMIF(TB_Transactions[Part number],TB_Parts_Lists[[#This Row],[Part Number]],TB_Transactions[Quantity])</f>
        <v>50</v>
      </c>
      <c r="N1245" s="200" t="s">
        <v>4593</v>
      </c>
      <c r="O1245" s="234">
        <v>5</v>
      </c>
      <c r="P1245" s="199">
        <f>TB_Parts_Lists[[#This Row],[Quantity Initial]]*TB_Parts_Lists[[#This Row],[Unit Price AED]]</f>
        <v>250</v>
      </c>
      <c r="Q1245" s="199">
        <f>TB_Parts_Lists[[#This Row],[Quantity Total]]*TB_Parts_Lists[[#This Row],[Unit Price AED]]</f>
        <v>250</v>
      </c>
      <c r="S1245" s="199" t="s">
        <v>122</v>
      </c>
      <c r="T1245" s="199" t="s">
        <v>129</v>
      </c>
      <c r="U1245" s="199" t="s">
        <v>262</v>
      </c>
    </row>
    <row r="1246" spans="1:21" s="199" customFormat="1" x14ac:dyDescent="0.25">
      <c r="A1246" s="192" t="s">
        <v>7786</v>
      </c>
      <c r="B1246" s="203" t="s">
        <v>6619</v>
      </c>
      <c r="C1246" s="188" t="s">
        <v>3629</v>
      </c>
      <c r="D1246" s="188" t="s">
        <v>8724</v>
      </c>
      <c r="E1246" s="188" t="s">
        <v>5563</v>
      </c>
      <c r="F1246" s="189" t="s">
        <v>4672</v>
      </c>
      <c r="G1246" s="199" t="s">
        <v>8305</v>
      </c>
      <c r="H1246" s="199" t="s">
        <v>8665</v>
      </c>
      <c r="I1246" s="199">
        <v>1</v>
      </c>
      <c r="J1246" s="199">
        <v>1</v>
      </c>
      <c r="K1246" s="199">
        <v>1</v>
      </c>
      <c r="L1246" s="199">
        <v>50</v>
      </c>
      <c r="M1246" s="202">
        <f>TB_Parts_Lists[[#This Row],[Quantity Initial]]+ SUMIF(TB_Transactions[Part number],TB_Parts_Lists[[#This Row],[Part Number]],TB_Transactions[Quantity])</f>
        <v>50</v>
      </c>
      <c r="N1246" s="200" t="s">
        <v>4593</v>
      </c>
      <c r="O1246" s="234">
        <v>5</v>
      </c>
      <c r="P1246" s="199">
        <f>TB_Parts_Lists[[#This Row],[Quantity Initial]]*TB_Parts_Lists[[#This Row],[Unit Price AED]]</f>
        <v>250</v>
      </c>
      <c r="Q1246" s="199">
        <f>TB_Parts_Lists[[#This Row],[Quantity Total]]*TB_Parts_Lists[[#This Row],[Unit Price AED]]</f>
        <v>250</v>
      </c>
      <c r="S1246" s="199" t="s">
        <v>122</v>
      </c>
      <c r="T1246" s="199" t="s">
        <v>129</v>
      </c>
      <c r="U1246" s="199" t="s">
        <v>262</v>
      </c>
    </row>
    <row r="1247" spans="1:21" s="199" customFormat="1" x14ac:dyDescent="0.25">
      <c r="A1247" s="192" t="s">
        <v>7787</v>
      </c>
      <c r="B1247" s="203" t="s">
        <v>3330</v>
      </c>
      <c r="C1247" s="188" t="s">
        <v>7047</v>
      </c>
      <c r="D1247" s="199" t="s">
        <v>8732</v>
      </c>
      <c r="E1247" s="188" t="s">
        <v>5564</v>
      </c>
      <c r="F1247" s="189" t="s">
        <v>4673</v>
      </c>
      <c r="G1247" s="199" t="s">
        <v>8305</v>
      </c>
      <c r="H1247" s="199" t="s">
        <v>8665</v>
      </c>
      <c r="I1247" s="199">
        <v>1</v>
      </c>
      <c r="J1247" s="199">
        <v>1</v>
      </c>
      <c r="K1247" s="199">
        <v>1</v>
      </c>
      <c r="L1247" s="199">
        <v>50</v>
      </c>
      <c r="M1247" s="202">
        <f>TB_Parts_Lists[[#This Row],[Quantity Initial]]+ SUMIF(TB_Transactions[Part number],TB_Parts_Lists[[#This Row],[Part Number]],TB_Transactions[Quantity])</f>
        <v>50</v>
      </c>
      <c r="N1247" s="200" t="s">
        <v>4593</v>
      </c>
      <c r="O1247" s="234">
        <v>5</v>
      </c>
      <c r="P1247" s="199">
        <f>TB_Parts_Lists[[#This Row],[Quantity Initial]]*TB_Parts_Lists[[#This Row],[Unit Price AED]]</f>
        <v>250</v>
      </c>
      <c r="Q1247" s="199">
        <f>TB_Parts_Lists[[#This Row],[Quantity Total]]*TB_Parts_Lists[[#This Row],[Unit Price AED]]</f>
        <v>250</v>
      </c>
      <c r="S1247" s="199" t="s">
        <v>122</v>
      </c>
      <c r="T1247" s="199" t="s">
        <v>129</v>
      </c>
      <c r="U1247" s="199" t="s">
        <v>262</v>
      </c>
    </row>
    <row r="1248" spans="1:21" s="199" customFormat="1" x14ac:dyDescent="0.25">
      <c r="A1248" s="192" t="s">
        <v>7788</v>
      </c>
      <c r="B1248" s="203" t="s">
        <v>3330</v>
      </c>
      <c r="C1248" s="188" t="s">
        <v>7002</v>
      </c>
      <c r="D1248" s="188" t="s">
        <v>8724</v>
      </c>
      <c r="E1248" s="188" t="s">
        <v>5565</v>
      </c>
      <c r="F1248" s="189" t="s">
        <v>4674</v>
      </c>
      <c r="G1248" s="199" t="s">
        <v>8305</v>
      </c>
      <c r="H1248" s="199" t="s">
        <v>8665</v>
      </c>
      <c r="I1248" s="199">
        <v>1</v>
      </c>
      <c r="J1248" s="199">
        <v>1</v>
      </c>
      <c r="K1248" s="199">
        <v>1</v>
      </c>
      <c r="L1248" s="199">
        <v>50</v>
      </c>
      <c r="M1248" s="202">
        <f>TB_Parts_Lists[[#This Row],[Quantity Initial]]+ SUMIF(TB_Transactions[Part number],TB_Parts_Lists[[#This Row],[Part Number]],TB_Transactions[Quantity])</f>
        <v>50</v>
      </c>
      <c r="N1248" s="200" t="s">
        <v>4593</v>
      </c>
      <c r="O1248" s="234">
        <v>5</v>
      </c>
      <c r="P1248" s="199">
        <f>TB_Parts_Lists[[#This Row],[Quantity Initial]]*TB_Parts_Lists[[#This Row],[Unit Price AED]]</f>
        <v>250</v>
      </c>
      <c r="Q1248" s="199">
        <f>TB_Parts_Lists[[#This Row],[Quantity Total]]*TB_Parts_Lists[[#This Row],[Unit Price AED]]</f>
        <v>250</v>
      </c>
      <c r="S1248" s="199" t="s">
        <v>122</v>
      </c>
      <c r="T1248" s="199" t="s">
        <v>129</v>
      </c>
      <c r="U1248" s="199" t="s">
        <v>262</v>
      </c>
    </row>
    <row r="1249" spans="1:21" s="199" customFormat="1" x14ac:dyDescent="0.25">
      <c r="A1249" s="192" t="s">
        <v>7789</v>
      </c>
      <c r="B1249" s="203" t="s">
        <v>3330</v>
      </c>
      <c r="C1249" s="199" t="s">
        <v>7776</v>
      </c>
      <c r="D1249" s="199" t="s">
        <v>8732</v>
      </c>
      <c r="E1249" s="188" t="s">
        <v>5566</v>
      </c>
      <c r="F1249" s="189" t="s">
        <v>4675</v>
      </c>
      <c r="G1249" s="199" t="s">
        <v>8305</v>
      </c>
      <c r="H1249" s="199" t="s">
        <v>8665</v>
      </c>
      <c r="I1249" s="199">
        <v>1</v>
      </c>
      <c r="J1249" s="199">
        <v>1</v>
      </c>
      <c r="K1249" s="199">
        <v>1</v>
      </c>
      <c r="L1249" s="199">
        <v>50</v>
      </c>
      <c r="M1249" s="202">
        <f>TB_Parts_Lists[[#This Row],[Quantity Initial]]+ SUMIF(TB_Transactions[Part number],TB_Parts_Lists[[#This Row],[Part Number]],TB_Transactions[Quantity])</f>
        <v>50</v>
      </c>
      <c r="N1249" s="200" t="s">
        <v>4593</v>
      </c>
      <c r="O1249" s="234">
        <v>5</v>
      </c>
      <c r="P1249" s="199">
        <f>TB_Parts_Lists[[#This Row],[Quantity Initial]]*TB_Parts_Lists[[#This Row],[Unit Price AED]]</f>
        <v>250</v>
      </c>
      <c r="Q1249" s="199">
        <f>TB_Parts_Lists[[#This Row],[Quantity Total]]*TB_Parts_Lists[[#This Row],[Unit Price AED]]</f>
        <v>250</v>
      </c>
      <c r="S1249" s="199" t="s">
        <v>122</v>
      </c>
      <c r="T1249" s="199" t="s">
        <v>129</v>
      </c>
      <c r="U1249" s="199" t="s">
        <v>262</v>
      </c>
    </row>
    <row r="1250" spans="1:21" s="199" customFormat="1" x14ac:dyDescent="0.25">
      <c r="A1250" s="192" t="s">
        <v>7790</v>
      </c>
      <c r="B1250" s="203" t="s">
        <v>3330</v>
      </c>
      <c r="C1250" s="188" t="s">
        <v>6704</v>
      </c>
      <c r="D1250" s="188" t="s">
        <v>8724</v>
      </c>
      <c r="E1250" s="188" t="s">
        <v>5567</v>
      </c>
      <c r="F1250" s="189" t="s">
        <v>6129</v>
      </c>
      <c r="G1250" s="199" t="s">
        <v>8305</v>
      </c>
      <c r="H1250" s="199" t="s">
        <v>8665</v>
      </c>
      <c r="I1250" s="199">
        <v>1</v>
      </c>
      <c r="J1250" s="199">
        <v>1</v>
      </c>
      <c r="K1250" s="199">
        <v>1</v>
      </c>
      <c r="L1250" s="199">
        <v>50</v>
      </c>
      <c r="M1250" s="202">
        <f>TB_Parts_Lists[[#This Row],[Quantity Initial]]+ SUMIF(TB_Transactions[Part number],TB_Parts_Lists[[#This Row],[Part Number]],TB_Transactions[Quantity])</f>
        <v>50</v>
      </c>
      <c r="N1250" s="200" t="s">
        <v>4593</v>
      </c>
      <c r="O1250" s="234">
        <v>5</v>
      </c>
      <c r="P1250" s="199">
        <f>TB_Parts_Lists[[#This Row],[Quantity Initial]]*TB_Parts_Lists[[#This Row],[Unit Price AED]]</f>
        <v>250</v>
      </c>
      <c r="Q1250" s="199">
        <f>TB_Parts_Lists[[#This Row],[Quantity Total]]*TB_Parts_Lists[[#This Row],[Unit Price AED]]</f>
        <v>250</v>
      </c>
      <c r="S1250" s="199" t="s">
        <v>122</v>
      </c>
      <c r="T1250" s="199" t="s">
        <v>8696</v>
      </c>
      <c r="U1250" s="199" t="s">
        <v>292</v>
      </c>
    </row>
    <row r="1251" spans="1:21" s="199" customFormat="1" x14ac:dyDescent="0.25">
      <c r="A1251" s="192" t="s">
        <v>7791</v>
      </c>
      <c r="B1251" s="203" t="s">
        <v>3330</v>
      </c>
      <c r="C1251" s="188" t="s">
        <v>7759</v>
      </c>
      <c r="D1251" s="188" t="s">
        <v>8724</v>
      </c>
      <c r="E1251" s="188" t="s">
        <v>5568</v>
      </c>
      <c r="F1251" s="189" t="s">
        <v>6130</v>
      </c>
      <c r="G1251" s="199" t="s">
        <v>8305</v>
      </c>
      <c r="H1251" s="199" t="s">
        <v>72</v>
      </c>
      <c r="I1251" s="199">
        <v>1</v>
      </c>
      <c r="J1251" s="199">
        <v>1</v>
      </c>
      <c r="K1251" s="199">
        <v>1</v>
      </c>
      <c r="L1251" s="199">
        <v>50</v>
      </c>
      <c r="M1251" s="202">
        <f>TB_Parts_Lists[[#This Row],[Quantity Initial]]+ SUMIF(TB_Transactions[Part number],TB_Parts_Lists[[#This Row],[Part Number]],TB_Transactions[Quantity])</f>
        <v>50</v>
      </c>
      <c r="N1251" s="200" t="s">
        <v>4593</v>
      </c>
      <c r="O1251" s="234">
        <v>5</v>
      </c>
      <c r="P1251" s="199">
        <f>TB_Parts_Lists[[#This Row],[Quantity Initial]]*TB_Parts_Lists[[#This Row],[Unit Price AED]]</f>
        <v>250</v>
      </c>
      <c r="Q1251" s="199">
        <f>TB_Parts_Lists[[#This Row],[Quantity Total]]*TB_Parts_Lists[[#This Row],[Unit Price AED]]</f>
        <v>250</v>
      </c>
      <c r="S1251" s="199" t="s">
        <v>8675</v>
      </c>
      <c r="T1251" s="199" t="s">
        <v>8675</v>
      </c>
      <c r="U1251" s="199" t="s">
        <v>8675</v>
      </c>
    </row>
    <row r="1252" spans="1:21" s="199" customFormat="1" x14ac:dyDescent="0.25">
      <c r="A1252" s="192" t="s">
        <v>7792</v>
      </c>
      <c r="B1252" s="203" t="s">
        <v>3330</v>
      </c>
      <c r="C1252" s="188" t="s">
        <v>7759</v>
      </c>
      <c r="D1252" s="188" t="s">
        <v>8724</v>
      </c>
      <c r="E1252" s="188" t="s">
        <v>5569</v>
      </c>
      <c r="F1252" s="189" t="s">
        <v>6131</v>
      </c>
      <c r="G1252" s="199" t="s">
        <v>8305</v>
      </c>
      <c r="H1252" s="199" t="s">
        <v>72</v>
      </c>
      <c r="I1252" s="199">
        <v>1</v>
      </c>
      <c r="J1252" s="199">
        <v>1</v>
      </c>
      <c r="K1252" s="199">
        <v>1</v>
      </c>
      <c r="L1252" s="199">
        <v>50</v>
      </c>
      <c r="M1252" s="202">
        <f>TB_Parts_Lists[[#This Row],[Quantity Initial]]+ SUMIF(TB_Transactions[Part number],TB_Parts_Lists[[#This Row],[Part Number]],TB_Transactions[Quantity])</f>
        <v>50</v>
      </c>
      <c r="N1252" s="200" t="s">
        <v>4593</v>
      </c>
      <c r="O1252" s="234">
        <v>5</v>
      </c>
      <c r="P1252" s="199">
        <f>TB_Parts_Lists[[#This Row],[Quantity Initial]]*TB_Parts_Lists[[#This Row],[Unit Price AED]]</f>
        <v>250</v>
      </c>
      <c r="Q1252" s="199">
        <f>TB_Parts_Lists[[#This Row],[Quantity Total]]*TB_Parts_Lists[[#This Row],[Unit Price AED]]</f>
        <v>250</v>
      </c>
      <c r="S1252" s="199" t="s">
        <v>8675</v>
      </c>
      <c r="T1252" s="199" t="s">
        <v>8675</v>
      </c>
      <c r="U1252" s="199" t="s">
        <v>8675</v>
      </c>
    </row>
    <row r="1253" spans="1:21" s="199" customFormat="1" x14ac:dyDescent="0.25">
      <c r="A1253" s="192" t="s">
        <v>7793</v>
      </c>
      <c r="B1253" s="203" t="s">
        <v>3330</v>
      </c>
      <c r="C1253" s="188" t="s">
        <v>7759</v>
      </c>
      <c r="D1253" s="188" t="s">
        <v>8724</v>
      </c>
      <c r="E1253" s="188" t="s">
        <v>5570</v>
      </c>
      <c r="F1253" s="189" t="s">
        <v>6132</v>
      </c>
      <c r="G1253" s="199" t="s">
        <v>8305</v>
      </c>
      <c r="H1253" s="199" t="s">
        <v>8665</v>
      </c>
      <c r="I1253" s="199">
        <v>1</v>
      </c>
      <c r="J1253" s="199">
        <v>1</v>
      </c>
      <c r="K1253" s="199">
        <v>1</v>
      </c>
      <c r="L1253" s="199">
        <v>50</v>
      </c>
      <c r="M1253" s="202">
        <f>TB_Parts_Lists[[#This Row],[Quantity Initial]]+ SUMIF(TB_Transactions[Part number],TB_Parts_Lists[[#This Row],[Part Number]],TB_Transactions[Quantity])</f>
        <v>50</v>
      </c>
      <c r="N1253" s="200" t="s">
        <v>4593</v>
      </c>
      <c r="O1253" s="234">
        <v>5</v>
      </c>
      <c r="P1253" s="199">
        <f>TB_Parts_Lists[[#This Row],[Quantity Initial]]*TB_Parts_Lists[[#This Row],[Unit Price AED]]</f>
        <v>250</v>
      </c>
      <c r="Q1253" s="199">
        <f>TB_Parts_Lists[[#This Row],[Quantity Total]]*TB_Parts_Lists[[#This Row],[Unit Price AED]]</f>
        <v>250</v>
      </c>
      <c r="S1253" s="199" t="s">
        <v>122</v>
      </c>
      <c r="T1253" s="199" t="s">
        <v>129</v>
      </c>
      <c r="U1253" s="199" t="s">
        <v>262</v>
      </c>
    </row>
    <row r="1254" spans="1:21" s="199" customFormat="1" x14ac:dyDescent="0.25">
      <c r="A1254" s="192" t="s">
        <v>7794</v>
      </c>
      <c r="B1254" s="203" t="s">
        <v>3330</v>
      </c>
      <c r="C1254" s="188" t="s">
        <v>3338</v>
      </c>
      <c r="D1254" s="188" t="s">
        <v>8724</v>
      </c>
      <c r="E1254" s="188" t="s">
        <v>5571</v>
      </c>
      <c r="F1254" s="189" t="s">
        <v>6133</v>
      </c>
      <c r="G1254" s="199" t="s">
        <v>8305</v>
      </c>
      <c r="H1254" s="199" t="s">
        <v>8665</v>
      </c>
      <c r="I1254" s="199">
        <v>1</v>
      </c>
      <c r="J1254" s="199">
        <v>1</v>
      </c>
      <c r="K1254" s="199">
        <v>1</v>
      </c>
      <c r="L1254" s="199">
        <v>50</v>
      </c>
      <c r="M1254" s="202">
        <f>TB_Parts_Lists[[#This Row],[Quantity Initial]]+ SUMIF(TB_Transactions[Part number],TB_Parts_Lists[[#This Row],[Part Number]],TB_Transactions[Quantity])</f>
        <v>50</v>
      </c>
      <c r="N1254" s="200" t="s">
        <v>4593</v>
      </c>
      <c r="O1254" s="234">
        <v>5</v>
      </c>
      <c r="P1254" s="199">
        <f>TB_Parts_Lists[[#This Row],[Quantity Initial]]*TB_Parts_Lists[[#This Row],[Unit Price AED]]</f>
        <v>250</v>
      </c>
      <c r="Q1254" s="199">
        <f>TB_Parts_Lists[[#This Row],[Quantity Total]]*TB_Parts_Lists[[#This Row],[Unit Price AED]]</f>
        <v>250</v>
      </c>
      <c r="S1254" s="199" t="s">
        <v>122</v>
      </c>
      <c r="T1254" s="199" t="s">
        <v>129</v>
      </c>
      <c r="U1254" s="199" t="s">
        <v>262</v>
      </c>
    </row>
    <row r="1255" spans="1:21" s="199" customFormat="1" x14ac:dyDescent="0.25">
      <c r="A1255" s="192" t="s">
        <v>7795</v>
      </c>
      <c r="B1255" s="203" t="s">
        <v>6619</v>
      </c>
      <c r="C1255" s="188" t="s">
        <v>161</v>
      </c>
      <c r="D1255" s="188" t="s">
        <v>8724</v>
      </c>
      <c r="E1255" s="188" t="s">
        <v>5572</v>
      </c>
      <c r="F1255" s="189" t="s">
        <v>6134</v>
      </c>
      <c r="G1255" s="199" t="s">
        <v>8305</v>
      </c>
      <c r="H1255" s="199" t="s">
        <v>8665</v>
      </c>
      <c r="I1255" s="199">
        <v>1</v>
      </c>
      <c r="J1255" s="199">
        <v>1</v>
      </c>
      <c r="K1255" s="199">
        <v>1</v>
      </c>
      <c r="L1255" s="199">
        <v>50</v>
      </c>
      <c r="M1255" s="202">
        <f>TB_Parts_Lists[[#This Row],[Quantity Initial]]+ SUMIF(TB_Transactions[Part number],TB_Parts_Lists[[#This Row],[Part Number]],TB_Transactions[Quantity])</f>
        <v>50</v>
      </c>
      <c r="N1255" s="200" t="s">
        <v>4593</v>
      </c>
      <c r="O1255" s="234">
        <v>5</v>
      </c>
      <c r="P1255" s="199">
        <f>TB_Parts_Lists[[#This Row],[Quantity Initial]]*TB_Parts_Lists[[#This Row],[Unit Price AED]]</f>
        <v>250</v>
      </c>
      <c r="Q1255" s="199">
        <f>TB_Parts_Lists[[#This Row],[Quantity Total]]*TB_Parts_Lists[[#This Row],[Unit Price AED]]</f>
        <v>250</v>
      </c>
      <c r="S1255" s="199" t="s">
        <v>122</v>
      </c>
      <c r="T1255" s="199" t="s">
        <v>129</v>
      </c>
      <c r="U1255" s="199" t="s">
        <v>262</v>
      </c>
    </row>
    <row r="1256" spans="1:21" s="199" customFormat="1" x14ac:dyDescent="0.25">
      <c r="A1256" s="192" t="s">
        <v>7796</v>
      </c>
      <c r="B1256" s="203" t="s">
        <v>3330</v>
      </c>
      <c r="C1256" s="188" t="s">
        <v>3338</v>
      </c>
      <c r="D1256" s="188" t="s">
        <v>8724</v>
      </c>
      <c r="E1256" s="188" t="s">
        <v>5573</v>
      </c>
      <c r="F1256" s="189" t="s">
        <v>6135</v>
      </c>
      <c r="G1256" s="199" t="s">
        <v>8305</v>
      </c>
      <c r="H1256" s="199" t="s">
        <v>8665</v>
      </c>
      <c r="I1256" s="199">
        <v>1</v>
      </c>
      <c r="J1256" s="199">
        <v>1</v>
      </c>
      <c r="K1256" s="199">
        <v>1</v>
      </c>
      <c r="L1256" s="199">
        <v>50</v>
      </c>
      <c r="M1256" s="202">
        <f>TB_Parts_Lists[[#This Row],[Quantity Initial]]+ SUMIF(TB_Transactions[Part number],TB_Parts_Lists[[#This Row],[Part Number]],TB_Transactions[Quantity])</f>
        <v>50</v>
      </c>
      <c r="N1256" s="200" t="s">
        <v>4593</v>
      </c>
      <c r="O1256" s="234">
        <v>5</v>
      </c>
      <c r="P1256" s="199">
        <f>TB_Parts_Lists[[#This Row],[Quantity Initial]]*TB_Parts_Lists[[#This Row],[Unit Price AED]]</f>
        <v>250</v>
      </c>
      <c r="Q1256" s="199">
        <f>TB_Parts_Lists[[#This Row],[Quantity Total]]*TB_Parts_Lists[[#This Row],[Unit Price AED]]</f>
        <v>250</v>
      </c>
      <c r="S1256" s="199" t="s">
        <v>122</v>
      </c>
      <c r="T1256" s="199" t="s">
        <v>129</v>
      </c>
      <c r="U1256" s="199" t="s">
        <v>262</v>
      </c>
    </row>
    <row r="1257" spans="1:21" s="199" customFormat="1" x14ac:dyDescent="0.25">
      <c r="A1257" s="192" t="s">
        <v>7797</v>
      </c>
      <c r="B1257" s="203" t="s">
        <v>3330</v>
      </c>
      <c r="C1257" s="188" t="s">
        <v>3338</v>
      </c>
      <c r="D1257" s="188" t="s">
        <v>8724</v>
      </c>
      <c r="E1257" s="188" t="s">
        <v>5574</v>
      </c>
      <c r="F1257" s="189" t="s">
        <v>6136</v>
      </c>
      <c r="G1257" s="199" t="s">
        <v>8305</v>
      </c>
      <c r="H1257" s="199" t="s">
        <v>8665</v>
      </c>
      <c r="I1257" s="199">
        <v>1</v>
      </c>
      <c r="J1257" s="199">
        <v>1</v>
      </c>
      <c r="K1257" s="199">
        <v>1</v>
      </c>
      <c r="L1257" s="199">
        <v>50</v>
      </c>
      <c r="M1257" s="202">
        <f>TB_Parts_Lists[[#This Row],[Quantity Initial]]+ SUMIF(TB_Transactions[Part number],TB_Parts_Lists[[#This Row],[Part Number]],TB_Transactions[Quantity])</f>
        <v>50</v>
      </c>
      <c r="N1257" s="200" t="s">
        <v>4593</v>
      </c>
      <c r="O1257" s="234">
        <v>5</v>
      </c>
      <c r="P1257" s="199">
        <f>TB_Parts_Lists[[#This Row],[Quantity Initial]]*TB_Parts_Lists[[#This Row],[Unit Price AED]]</f>
        <v>250</v>
      </c>
      <c r="Q1257" s="199">
        <f>TB_Parts_Lists[[#This Row],[Quantity Total]]*TB_Parts_Lists[[#This Row],[Unit Price AED]]</f>
        <v>250</v>
      </c>
      <c r="S1257" s="199" t="s">
        <v>122</v>
      </c>
      <c r="T1257" s="199" t="s">
        <v>129</v>
      </c>
      <c r="U1257" s="199" t="s">
        <v>262</v>
      </c>
    </row>
    <row r="1258" spans="1:21" s="199" customFormat="1" x14ac:dyDescent="0.25">
      <c r="A1258" s="192" t="s">
        <v>7798</v>
      </c>
      <c r="B1258" s="203" t="s">
        <v>3338</v>
      </c>
      <c r="C1258" s="188" t="s">
        <v>651</v>
      </c>
      <c r="D1258" s="199" t="s">
        <v>8724</v>
      </c>
      <c r="E1258" s="188" t="s">
        <v>5575</v>
      </c>
      <c r="F1258" s="189" t="s">
        <v>4374</v>
      </c>
      <c r="G1258" s="199" t="s">
        <v>8306</v>
      </c>
      <c r="H1258" s="199" t="s">
        <v>8637</v>
      </c>
      <c r="I1258" s="199">
        <v>1</v>
      </c>
      <c r="J1258" s="199">
        <v>1</v>
      </c>
      <c r="K1258" s="199">
        <v>1</v>
      </c>
      <c r="L1258" s="199">
        <v>50</v>
      </c>
      <c r="M1258" s="202">
        <f>TB_Parts_Lists[[#This Row],[Quantity Initial]]+ SUMIF(TB_Transactions[Part number],TB_Parts_Lists[[#This Row],[Part Number]],TB_Transactions[Quantity])</f>
        <v>50</v>
      </c>
      <c r="N1258" s="200" t="s">
        <v>4593</v>
      </c>
      <c r="O1258" s="234">
        <v>5</v>
      </c>
      <c r="P1258" s="199">
        <f>TB_Parts_Lists[[#This Row],[Quantity Initial]]*TB_Parts_Lists[[#This Row],[Unit Price AED]]</f>
        <v>250</v>
      </c>
      <c r="Q1258" s="199">
        <f>TB_Parts_Lists[[#This Row],[Quantity Total]]*TB_Parts_Lists[[#This Row],[Unit Price AED]]</f>
        <v>250</v>
      </c>
      <c r="S1258" s="199" t="s">
        <v>118</v>
      </c>
      <c r="T1258" s="199" t="s">
        <v>8675</v>
      </c>
      <c r="U1258" s="199" t="s">
        <v>8675</v>
      </c>
    </row>
    <row r="1259" spans="1:21" s="199" customFormat="1" x14ac:dyDescent="0.25">
      <c r="A1259" s="192" t="s">
        <v>7799</v>
      </c>
      <c r="B1259" s="203" t="s">
        <v>3330</v>
      </c>
      <c r="C1259" s="188" t="s">
        <v>3338</v>
      </c>
      <c r="D1259" s="199" t="s">
        <v>8723</v>
      </c>
      <c r="E1259" s="188" t="s">
        <v>1928</v>
      </c>
      <c r="F1259" s="189" t="s">
        <v>4375</v>
      </c>
      <c r="G1259" s="199" t="s">
        <v>8306</v>
      </c>
      <c r="H1259" s="199" t="s">
        <v>8637</v>
      </c>
      <c r="I1259" s="199">
        <v>1</v>
      </c>
      <c r="J1259" s="199">
        <v>1</v>
      </c>
      <c r="K1259" s="199">
        <v>1</v>
      </c>
      <c r="L1259" s="199">
        <v>50</v>
      </c>
      <c r="M1259" s="202">
        <f>TB_Parts_Lists[[#This Row],[Quantity Initial]]+ SUMIF(TB_Transactions[Part number],TB_Parts_Lists[[#This Row],[Part Number]],TB_Transactions[Quantity])</f>
        <v>50</v>
      </c>
      <c r="N1259" s="200" t="s">
        <v>4593</v>
      </c>
      <c r="O1259" s="234">
        <v>5</v>
      </c>
      <c r="P1259" s="199">
        <f>TB_Parts_Lists[[#This Row],[Quantity Initial]]*TB_Parts_Lists[[#This Row],[Unit Price AED]]</f>
        <v>250</v>
      </c>
      <c r="Q1259" s="199">
        <f>TB_Parts_Lists[[#This Row],[Quantity Total]]*TB_Parts_Lists[[#This Row],[Unit Price AED]]</f>
        <v>250</v>
      </c>
      <c r="S1259" s="199" t="s">
        <v>8675</v>
      </c>
      <c r="T1259" s="199" t="s">
        <v>8675</v>
      </c>
      <c r="U1259" s="199" t="s">
        <v>8675</v>
      </c>
    </row>
    <row r="1260" spans="1:21" s="199" customFormat="1" x14ac:dyDescent="0.25">
      <c r="A1260" s="192" t="s">
        <v>7800</v>
      </c>
      <c r="B1260" s="203" t="s">
        <v>3330</v>
      </c>
      <c r="C1260" s="188" t="s">
        <v>7066</v>
      </c>
      <c r="D1260" s="199" t="s">
        <v>8732</v>
      </c>
      <c r="E1260" s="188" t="s">
        <v>5576</v>
      </c>
      <c r="F1260" s="189" t="s">
        <v>4376</v>
      </c>
      <c r="G1260" s="199" t="s">
        <v>8306</v>
      </c>
      <c r="H1260" s="199" t="s">
        <v>8637</v>
      </c>
      <c r="I1260" s="199">
        <v>1</v>
      </c>
      <c r="J1260" s="199">
        <v>1</v>
      </c>
      <c r="K1260" s="199">
        <v>1</v>
      </c>
      <c r="L1260" s="199">
        <v>50</v>
      </c>
      <c r="M1260" s="202">
        <f>TB_Parts_Lists[[#This Row],[Quantity Initial]]+ SUMIF(TB_Transactions[Part number],TB_Parts_Lists[[#This Row],[Part Number]],TB_Transactions[Quantity])</f>
        <v>50</v>
      </c>
      <c r="N1260" s="200" t="s">
        <v>4593</v>
      </c>
      <c r="O1260" s="234">
        <v>5</v>
      </c>
      <c r="P1260" s="199">
        <f>TB_Parts_Lists[[#This Row],[Quantity Initial]]*TB_Parts_Lists[[#This Row],[Unit Price AED]]</f>
        <v>250</v>
      </c>
      <c r="Q1260" s="199">
        <f>TB_Parts_Lists[[#This Row],[Quantity Total]]*TB_Parts_Lists[[#This Row],[Unit Price AED]]</f>
        <v>250</v>
      </c>
      <c r="S1260" s="199" t="s">
        <v>122</v>
      </c>
      <c r="T1260" s="199" t="s">
        <v>254</v>
      </c>
      <c r="U1260" s="199" t="s">
        <v>253</v>
      </c>
    </row>
    <row r="1261" spans="1:21" s="199" customFormat="1" x14ac:dyDescent="0.25">
      <c r="A1261" s="192" t="s">
        <v>7801</v>
      </c>
      <c r="B1261" s="203" t="s">
        <v>3330</v>
      </c>
      <c r="C1261" s="188" t="s">
        <v>7002</v>
      </c>
      <c r="D1261" s="199" t="s">
        <v>8732</v>
      </c>
      <c r="E1261" s="188" t="s">
        <v>4506</v>
      </c>
      <c r="F1261" s="189" t="s">
        <v>4377</v>
      </c>
      <c r="G1261" s="199" t="s">
        <v>8306</v>
      </c>
      <c r="H1261" s="199" t="s">
        <v>8637</v>
      </c>
      <c r="I1261" s="199">
        <v>1</v>
      </c>
      <c r="J1261" s="199">
        <v>1</v>
      </c>
      <c r="K1261" s="199">
        <v>1</v>
      </c>
      <c r="L1261" s="199">
        <v>50</v>
      </c>
      <c r="M1261" s="202">
        <f>TB_Parts_Lists[[#This Row],[Quantity Initial]]+ SUMIF(TB_Transactions[Part number],TB_Parts_Lists[[#This Row],[Part Number]],TB_Transactions[Quantity])</f>
        <v>50</v>
      </c>
      <c r="N1261" s="200" t="s">
        <v>4593</v>
      </c>
      <c r="O1261" s="234">
        <v>5</v>
      </c>
      <c r="P1261" s="199">
        <f>TB_Parts_Lists[[#This Row],[Quantity Initial]]*TB_Parts_Lists[[#This Row],[Unit Price AED]]</f>
        <v>250</v>
      </c>
      <c r="Q1261" s="199">
        <f>TB_Parts_Lists[[#This Row],[Quantity Total]]*TB_Parts_Lists[[#This Row],[Unit Price AED]]</f>
        <v>250</v>
      </c>
      <c r="S1261" s="199" t="s">
        <v>122</v>
      </c>
      <c r="T1261" s="199" t="s">
        <v>254</v>
      </c>
      <c r="U1261" s="199" t="s">
        <v>253</v>
      </c>
    </row>
    <row r="1262" spans="1:21" s="199" customFormat="1" x14ac:dyDescent="0.25">
      <c r="A1262" s="192" t="s">
        <v>7802</v>
      </c>
      <c r="B1262" s="203" t="s">
        <v>3330</v>
      </c>
      <c r="C1262" s="188" t="s">
        <v>7776</v>
      </c>
      <c r="D1262" s="199" t="s">
        <v>8732</v>
      </c>
      <c r="E1262" s="188" t="s">
        <v>4507</v>
      </c>
      <c r="F1262" s="189" t="s">
        <v>4378</v>
      </c>
      <c r="G1262" s="199" t="s">
        <v>8306</v>
      </c>
      <c r="H1262" s="199" t="s">
        <v>8637</v>
      </c>
      <c r="I1262" s="199">
        <v>1</v>
      </c>
      <c r="J1262" s="199">
        <v>1</v>
      </c>
      <c r="K1262" s="199">
        <v>1</v>
      </c>
      <c r="L1262" s="199">
        <v>50</v>
      </c>
      <c r="M1262" s="202">
        <f>TB_Parts_Lists[[#This Row],[Quantity Initial]]+ SUMIF(TB_Transactions[Part number],TB_Parts_Lists[[#This Row],[Part Number]],TB_Transactions[Quantity])</f>
        <v>50</v>
      </c>
      <c r="N1262" s="200" t="s">
        <v>4593</v>
      </c>
      <c r="O1262" s="234">
        <v>5</v>
      </c>
      <c r="P1262" s="199">
        <f>TB_Parts_Lists[[#This Row],[Quantity Initial]]*TB_Parts_Lists[[#This Row],[Unit Price AED]]</f>
        <v>250</v>
      </c>
      <c r="Q1262" s="199">
        <f>TB_Parts_Lists[[#This Row],[Quantity Total]]*TB_Parts_Lists[[#This Row],[Unit Price AED]]</f>
        <v>250</v>
      </c>
      <c r="S1262" s="199" t="s">
        <v>122</v>
      </c>
      <c r="T1262" s="199" t="s">
        <v>254</v>
      </c>
      <c r="U1262" s="199" t="s">
        <v>253</v>
      </c>
    </row>
    <row r="1263" spans="1:21" s="199" customFormat="1" x14ac:dyDescent="0.25">
      <c r="A1263" s="192" t="s">
        <v>7803</v>
      </c>
      <c r="B1263" s="203" t="s">
        <v>3330</v>
      </c>
      <c r="C1263" s="188" t="s">
        <v>3338</v>
      </c>
      <c r="D1263" s="199" t="s">
        <v>8724</v>
      </c>
      <c r="E1263" s="188" t="s">
        <v>5577</v>
      </c>
      <c r="F1263" s="189" t="s">
        <v>4379</v>
      </c>
      <c r="G1263" s="199" t="s">
        <v>8306</v>
      </c>
      <c r="H1263" s="199" t="s">
        <v>8637</v>
      </c>
      <c r="I1263" s="199">
        <v>1</v>
      </c>
      <c r="J1263" s="199">
        <v>1</v>
      </c>
      <c r="K1263" s="199">
        <v>1</v>
      </c>
      <c r="L1263" s="199">
        <v>50</v>
      </c>
      <c r="M1263" s="202">
        <f>TB_Parts_Lists[[#This Row],[Quantity Initial]]+ SUMIF(TB_Transactions[Part number],TB_Parts_Lists[[#This Row],[Part Number]],TB_Transactions[Quantity])</f>
        <v>50</v>
      </c>
      <c r="N1263" s="200" t="s">
        <v>4593</v>
      </c>
      <c r="O1263" s="234">
        <v>5</v>
      </c>
      <c r="P1263" s="199">
        <f>TB_Parts_Lists[[#This Row],[Quantity Initial]]*TB_Parts_Lists[[#This Row],[Unit Price AED]]</f>
        <v>250</v>
      </c>
      <c r="Q1263" s="199">
        <f>TB_Parts_Lists[[#This Row],[Quantity Total]]*TB_Parts_Lists[[#This Row],[Unit Price AED]]</f>
        <v>250</v>
      </c>
      <c r="S1263" s="199" t="s">
        <v>122</v>
      </c>
      <c r="T1263" s="199" t="s">
        <v>254</v>
      </c>
      <c r="U1263" s="199" t="s">
        <v>253</v>
      </c>
    </row>
    <row r="1264" spans="1:21" s="199" customFormat="1" x14ac:dyDescent="0.25">
      <c r="A1264" s="192" t="s">
        <v>7804</v>
      </c>
      <c r="B1264" s="203" t="s">
        <v>3330</v>
      </c>
      <c r="C1264" s="188" t="s">
        <v>7759</v>
      </c>
      <c r="D1264" s="199" t="s">
        <v>8723</v>
      </c>
      <c r="E1264" s="188" t="s">
        <v>5578</v>
      </c>
      <c r="F1264" s="189" t="s">
        <v>4380</v>
      </c>
      <c r="G1264" s="199" t="s">
        <v>8306</v>
      </c>
      <c r="H1264" s="199" t="s">
        <v>8637</v>
      </c>
      <c r="I1264" s="199">
        <v>1</v>
      </c>
      <c r="J1264" s="199">
        <v>1</v>
      </c>
      <c r="K1264" s="199">
        <v>1</v>
      </c>
      <c r="L1264" s="199">
        <v>50</v>
      </c>
      <c r="M1264" s="202">
        <f>TB_Parts_Lists[[#This Row],[Quantity Initial]]+ SUMIF(TB_Transactions[Part number],TB_Parts_Lists[[#This Row],[Part Number]],TB_Transactions[Quantity])</f>
        <v>50</v>
      </c>
      <c r="N1264" s="200" t="s">
        <v>4593</v>
      </c>
      <c r="O1264" s="234">
        <v>5</v>
      </c>
      <c r="P1264" s="199">
        <f>TB_Parts_Lists[[#This Row],[Quantity Initial]]*TB_Parts_Lists[[#This Row],[Unit Price AED]]</f>
        <v>250</v>
      </c>
      <c r="Q1264" s="199">
        <f>TB_Parts_Lists[[#This Row],[Quantity Total]]*TB_Parts_Lists[[#This Row],[Unit Price AED]]</f>
        <v>250</v>
      </c>
      <c r="S1264" s="199" t="s">
        <v>122</v>
      </c>
      <c r="T1264" s="199" t="s">
        <v>254</v>
      </c>
      <c r="U1264" s="199" t="s">
        <v>253</v>
      </c>
    </row>
    <row r="1265" spans="1:21" s="199" customFormat="1" x14ac:dyDescent="0.25">
      <c r="A1265" s="192" t="s">
        <v>7805</v>
      </c>
      <c r="B1265" s="203" t="s">
        <v>3330</v>
      </c>
      <c r="C1265" s="188" t="s">
        <v>3338</v>
      </c>
      <c r="D1265" s="199" t="s">
        <v>8723</v>
      </c>
      <c r="E1265" s="188" t="s">
        <v>4508</v>
      </c>
      <c r="F1265" s="189" t="s">
        <v>4381</v>
      </c>
      <c r="G1265" s="199" t="s">
        <v>8306</v>
      </c>
      <c r="H1265" s="199" t="s">
        <v>8637</v>
      </c>
      <c r="I1265" s="199">
        <v>1</v>
      </c>
      <c r="J1265" s="199">
        <v>1</v>
      </c>
      <c r="K1265" s="199">
        <v>1</v>
      </c>
      <c r="L1265" s="199">
        <v>50</v>
      </c>
      <c r="M1265" s="202">
        <f>TB_Parts_Lists[[#This Row],[Quantity Initial]]+ SUMIF(TB_Transactions[Part number],TB_Parts_Lists[[#This Row],[Part Number]],TB_Transactions[Quantity])</f>
        <v>50</v>
      </c>
      <c r="N1265" s="200" t="s">
        <v>4593</v>
      </c>
      <c r="O1265" s="234">
        <v>5</v>
      </c>
      <c r="P1265" s="199">
        <f>TB_Parts_Lists[[#This Row],[Quantity Initial]]*TB_Parts_Lists[[#This Row],[Unit Price AED]]</f>
        <v>250</v>
      </c>
      <c r="Q1265" s="199">
        <f>TB_Parts_Lists[[#This Row],[Quantity Total]]*TB_Parts_Lists[[#This Row],[Unit Price AED]]</f>
        <v>250</v>
      </c>
      <c r="S1265" s="199" t="s">
        <v>122</v>
      </c>
      <c r="T1265" s="199" t="s">
        <v>254</v>
      </c>
      <c r="U1265" s="199" t="s">
        <v>253</v>
      </c>
    </row>
    <row r="1266" spans="1:21" s="199" customFormat="1" x14ac:dyDescent="0.25">
      <c r="A1266" s="192" t="s">
        <v>7806</v>
      </c>
      <c r="B1266" s="203" t="s">
        <v>3330</v>
      </c>
      <c r="C1266" s="188" t="s">
        <v>3338</v>
      </c>
      <c r="D1266" s="199" t="s">
        <v>8732</v>
      </c>
      <c r="E1266" s="188" t="s">
        <v>4509</v>
      </c>
      <c r="F1266" s="189" t="s">
        <v>4382</v>
      </c>
      <c r="G1266" s="199" t="s">
        <v>8306</v>
      </c>
      <c r="H1266" s="199" t="s">
        <v>8637</v>
      </c>
      <c r="I1266" s="199">
        <v>1</v>
      </c>
      <c r="J1266" s="199">
        <v>1</v>
      </c>
      <c r="K1266" s="199">
        <v>1</v>
      </c>
      <c r="L1266" s="199">
        <v>50</v>
      </c>
      <c r="M1266" s="202">
        <f>TB_Parts_Lists[[#This Row],[Quantity Initial]]+ SUMIF(TB_Transactions[Part number],TB_Parts_Lists[[#This Row],[Part Number]],TB_Transactions[Quantity])</f>
        <v>50</v>
      </c>
      <c r="N1266" s="200" t="s">
        <v>4593</v>
      </c>
      <c r="O1266" s="234">
        <v>5</v>
      </c>
      <c r="P1266" s="199">
        <f>TB_Parts_Lists[[#This Row],[Quantity Initial]]*TB_Parts_Lists[[#This Row],[Unit Price AED]]</f>
        <v>250</v>
      </c>
      <c r="Q1266" s="199">
        <f>TB_Parts_Lists[[#This Row],[Quantity Total]]*TB_Parts_Lists[[#This Row],[Unit Price AED]]</f>
        <v>250</v>
      </c>
      <c r="S1266" s="199" t="s">
        <v>122</v>
      </c>
      <c r="T1266" s="199" t="s">
        <v>254</v>
      </c>
      <c r="U1266" s="199" t="s">
        <v>253</v>
      </c>
    </row>
    <row r="1267" spans="1:21" s="199" customFormat="1" x14ac:dyDescent="0.25">
      <c r="A1267" s="192" t="s">
        <v>7807</v>
      </c>
      <c r="B1267" s="203" t="s">
        <v>3331</v>
      </c>
      <c r="C1267" s="188" t="s">
        <v>4700</v>
      </c>
      <c r="D1267" s="199" t="s">
        <v>8732</v>
      </c>
      <c r="E1267" s="188" t="s">
        <v>5579</v>
      </c>
      <c r="F1267" s="189" t="s">
        <v>4383</v>
      </c>
      <c r="G1267" s="199" t="s">
        <v>8306</v>
      </c>
      <c r="H1267" s="199" t="s">
        <v>8637</v>
      </c>
      <c r="I1267" s="199">
        <v>1</v>
      </c>
      <c r="J1267" s="199">
        <v>1</v>
      </c>
      <c r="K1267" s="199">
        <v>1</v>
      </c>
      <c r="L1267" s="199">
        <v>50</v>
      </c>
      <c r="M1267" s="202">
        <f>TB_Parts_Lists[[#This Row],[Quantity Initial]]+ SUMIF(TB_Transactions[Part number],TB_Parts_Lists[[#This Row],[Part Number]],TB_Transactions[Quantity])</f>
        <v>50</v>
      </c>
      <c r="N1267" s="200" t="s">
        <v>4593</v>
      </c>
      <c r="O1267" s="234">
        <v>5</v>
      </c>
      <c r="P1267" s="199">
        <f>TB_Parts_Lists[[#This Row],[Quantity Initial]]*TB_Parts_Lists[[#This Row],[Unit Price AED]]</f>
        <v>250</v>
      </c>
      <c r="Q1267" s="199">
        <f>TB_Parts_Lists[[#This Row],[Quantity Total]]*TB_Parts_Lists[[#This Row],[Unit Price AED]]</f>
        <v>250</v>
      </c>
      <c r="S1267" s="199" t="s">
        <v>122</v>
      </c>
      <c r="T1267" s="199" t="s">
        <v>254</v>
      </c>
      <c r="U1267" s="199" t="s">
        <v>253</v>
      </c>
    </row>
    <row r="1268" spans="1:21" s="199" customFormat="1" x14ac:dyDescent="0.25">
      <c r="A1268" s="192" t="s">
        <v>7810</v>
      </c>
      <c r="B1268" s="203" t="s">
        <v>3330</v>
      </c>
      <c r="C1268" s="188" t="s">
        <v>3338</v>
      </c>
      <c r="D1268" s="199" t="s">
        <v>8724</v>
      </c>
      <c r="E1268" s="188" t="s">
        <v>4510</v>
      </c>
      <c r="F1268" s="189" t="s">
        <v>4384</v>
      </c>
      <c r="G1268" s="199" t="s">
        <v>8306</v>
      </c>
      <c r="H1268" s="199" t="s">
        <v>8637</v>
      </c>
      <c r="I1268" s="199">
        <v>1</v>
      </c>
      <c r="J1268" s="199">
        <v>1</v>
      </c>
      <c r="K1268" s="199">
        <v>1</v>
      </c>
      <c r="L1268" s="199">
        <v>50</v>
      </c>
      <c r="M1268" s="202">
        <f>TB_Parts_Lists[[#This Row],[Quantity Initial]]+ SUMIF(TB_Transactions[Part number],TB_Parts_Lists[[#This Row],[Part Number]],TB_Transactions[Quantity])</f>
        <v>50</v>
      </c>
      <c r="N1268" s="200" t="s">
        <v>4593</v>
      </c>
      <c r="O1268" s="234">
        <v>5</v>
      </c>
      <c r="P1268" s="199">
        <f>TB_Parts_Lists[[#This Row],[Quantity Initial]]*TB_Parts_Lists[[#This Row],[Unit Price AED]]</f>
        <v>250</v>
      </c>
      <c r="Q1268" s="199">
        <f>TB_Parts_Lists[[#This Row],[Quantity Total]]*TB_Parts_Lists[[#This Row],[Unit Price AED]]</f>
        <v>250</v>
      </c>
      <c r="S1268" s="199" t="s">
        <v>122</v>
      </c>
      <c r="T1268" s="199" t="s">
        <v>254</v>
      </c>
      <c r="U1268" s="199" t="s">
        <v>253</v>
      </c>
    </row>
    <row r="1269" spans="1:21" s="199" customFormat="1" x14ac:dyDescent="0.25">
      <c r="A1269" s="192" t="s">
        <v>7811</v>
      </c>
      <c r="B1269" s="203" t="s">
        <v>3330</v>
      </c>
      <c r="C1269" s="188" t="s">
        <v>7808</v>
      </c>
      <c r="D1269" s="199" t="s">
        <v>8723</v>
      </c>
      <c r="E1269" s="188" t="s">
        <v>4511</v>
      </c>
      <c r="F1269" s="189" t="s">
        <v>4385</v>
      </c>
      <c r="G1269" s="199" t="s">
        <v>8306</v>
      </c>
      <c r="H1269" s="199" t="s">
        <v>8637</v>
      </c>
      <c r="I1269" s="199">
        <v>1</v>
      </c>
      <c r="J1269" s="199">
        <v>1</v>
      </c>
      <c r="K1269" s="199">
        <v>1</v>
      </c>
      <c r="L1269" s="199">
        <v>50</v>
      </c>
      <c r="M1269" s="202">
        <f>TB_Parts_Lists[[#This Row],[Quantity Initial]]+ SUMIF(TB_Transactions[Part number],TB_Parts_Lists[[#This Row],[Part Number]],TB_Transactions[Quantity])</f>
        <v>50</v>
      </c>
      <c r="N1269" s="200" t="s">
        <v>4593</v>
      </c>
      <c r="O1269" s="234">
        <v>5</v>
      </c>
      <c r="P1269" s="199">
        <f>TB_Parts_Lists[[#This Row],[Quantity Initial]]*TB_Parts_Lists[[#This Row],[Unit Price AED]]</f>
        <v>250</v>
      </c>
      <c r="Q1269" s="199">
        <f>TB_Parts_Lists[[#This Row],[Quantity Total]]*TB_Parts_Lists[[#This Row],[Unit Price AED]]</f>
        <v>250</v>
      </c>
      <c r="S1269" s="199" t="s">
        <v>122</v>
      </c>
      <c r="T1269" s="199" t="s">
        <v>254</v>
      </c>
      <c r="U1269" s="199" t="s">
        <v>253</v>
      </c>
    </row>
    <row r="1270" spans="1:21" s="199" customFormat="1" x14ac:dyDescent="0.25">
      <c r="A1270" s="192" t="s">
        <v>7812</v>
      </c>
      <c r="B1270" s="203" t="s">
        <v>3330</v>
      </c>
      <c r="C1270" s="188" t="s">
        <v>7002</v>
      </c>
      <c r="D1270" s="199" t="s">
        <v>8724</v>
      </c>
      <c r="E1270" s="188" t="s">
        <v>4512</v>
      </c>
      <c r="F1270" s="189" t="s">
        <v>4386</v>
      </c>
      <c r="G1270" s="199" t="s">
        <v>8306</v>
      </c>
      <c r="H1270" s="199" t="s">
        <v>8637</v>
      </c>
      <c r="I1270" s="199">
        <v>1</v>
      </c>
      <c r="J1270" s="199">
        <v>1</v>
      </c>
      <c r="K1270" s="199">
        <v>1</v>
      </c>
      <c r="L1270" s="199">
        <v>50</v>
      </c>
      <c r="M1270" s="202">
        <f>TB_Parts_Lists[[#This Row],[Quantity Initial]]+ SUMIF(TB_Transactions[Part number],TB_Parts_Lists[[#This Row],[Part Number]],TB_Transactions[Quantity])</f>
        <v>50</v>
      </c>
      <c r="N1270" s="200" t="s">
        <v>4593</v>
      </c>
      <c r="O1270" s="234">
        <v>5</v>
      </c>
      <c r="P1270" s="199">
        <f>TB_Parts_Lists[[#This Row],[Quantity Initial]]*TB_Parts_Lists[[#This Row],[Unit Price AED]]</f>
        <v>250</v>
      </c>
      <c r="Q1270" s="199">
        <f>TB_Parts_Lists[[#This Row],[Quantity Total]]*TB_Parts_Lists[[#This Row],[Unit Price AED]]</f>
        <v>250</v>
      </c>
      <c r="S1270" s="199" t="s">
        <v>122</v>
      </c>
      <c r="T1270" s="199" t="s">
        <v>254</v>
      </c>
      <c r="U1270" s="199" t="s">
        <v>253</v>
      </c>
    </row>
    <row r="1271" spans="1:21" s="199" customFormat="1" x14ac:dyDescent="0.25">
      <c r="A1271" s="192" t="s">
        <v>7813</v>
      </c>
      <c r="B1271" s="203" t="s">
        <v>3330</v>
      </c>
      <c r="C1271" s="188" t="s">
        <v>6679</v>
      </c>
      <c r="D1271" s="199" t="s">
        <v>8724</v>
      </c>
      <c r="E1271" s="188" t="s">
        <v>4513</v>
      </c>
      <c r="F1271" s="189" t="s">
        <v>4387</v>
      </c>
      <c r="G1271" s="199" t="s">
        <v>8306</v>
      </c>
      <c r="H1271" s="199" t="s">
        <v>8637</v>
      </c>
      <c r="I1271" s="199">
        <v>1</v>
      </c>
      <c r="J1271" s="199">
        <v>1</v>
      </c>
      <c r="K1271" s="199">
        <v>1</v>
      </c>
      <c r="L1271" s="199">
        <v>50</v>
      </c>
      <c r="M1271" s="202">
        <f>TB_Parts_Lists[[#This Row],[Quantity Initial]]+ SUMIF(TB_Transactions[Part number],TB_Parts_Lists[[#This Row],[Part Number]],TB_Transactions[Quantity])</f>
        <v>50</v>
      </c>
      <c r="N1271" s="200" t="s">
        <v>4593</v>
      </c>
      <c r="O1271" s="234">
        <v>5</v>
      </c>
      <c r="P1271" s="199">
        <f>TB_Parts_Lists[[#This Row],[Quantity Initial]]*TB_Parts_Lists[[#This Row],[Unit Price AED]]</f>
        <v>250</v>
      </c>
      <c r="Q1271" s="199">
        <f>TB_Parts_Lists[[#This Row],[Quantity Total]]*TB_Parts_Lists[[#This Row],[Unit Price AED]]</f>
        <v>250</v>
      </c>
      <c r="S1271" s="199" t="s">
        <v>122</v>
      </c>
      <c r="T1271" s="199" t="s">
        <v>254</v>
      </c>
      <c r="U1271" s="199" t="s">
        <v>253</v>
      </c>
    </row>
    <row r="1272" spans="1:21" s="199" customFormat="1" x14ac:dyDescent="0.25">
      <c r="A1272" s="192" t="s">
        <v>7814</v>
      </c>
      <c r="B1272" s="203" t="s">
        <v>3330</v>
      </c>
      <c r="C1272" s="188" t="s">
        <v>6704</v>
      </c>
      <c r="D1272" s="199" t="s">
        <v>8724</v>
      </c>
      <c r="E1272" s="188" t="s">
        <v>4514</v>
      </c>
      <c r="F1272" s="189" t="s">
        <v>4388</v>
      </c>
      <c r="G1272" s="199" t="s">
        <v>8306</v>
      </c>
      <c r="H1272" s="199" t="s">
        <v>8637</v>
      </c>
      <c r="I1272" s="199">
        <v>1</v>
      </c>
      <c r="J1272" s="199">
        <v>1</v>
      </c>
      <c r="K1272" s="199">
        <v>1</v>
      </c>
      <c r="L1272" s="199">
        <v>50</v>
      </c>
      <c r="M1272" s="202">
        <f>TB_Parts_Lists[[#This Row],[Quantity Initial]]+ SUMIF(TB_Transactions[Part number],TB_Parts_Lists[[#This Row],[Part Number]],TB_Transactions[Quantity])</f>
        <v>50</v>
      </c>
      <c r="N1272" s="200" t="s">
        <v>4593</v>
      </c>
      <c r="O1272" s="234">
        <v>5</v>
      </c>
      <c r="P1272" s="199">
        <f>TB_Parts_Lists[[#This Row],[Quantity Initial]]*TB_Parts_Lists[[#This Row],[Unit Price AED]]</f>
        <v>250</v>
      </c>
      <c r="Q1272" s="199">
        <f>TB_Parts_Lists[[#This Row],[Quantity Total]]*TB_Parts_Lists[[#This Row],[Unit Price AED]]</f>
        <v>250</v>
      </c>
      <c r="S1272" s="199" t="s">
        <v>122</v>
      </c>
      <c r="T1272" s="199" t="s">
        <v>254</v>
      </c>
      <c r="U1272" s="199" t="s">
        <v>253</v>
      </c>
    </row>
    <row r="1273" spans="1:21" s="199" customFormat="1" x14ac:dyDescent="0.25">
      <c r="A1273" s="192" t="s">
        <v>7815</v>
      </c>
      <c r="B1273" s="203" t="s">
        <v>3330</v>
      </c>
      <c r="C1273" s="188" t="s">
        <v>6704</v>
      </c>
      <c r="D1273" s="199" t="s">
        <v>8723</v>
      </c>
      <c r="E1273" s="188" t="s">
        <v>4515</v>
      </c>
      <c r="F1273" s="189" t="s">
        <v>4389</v>
      </c>
      <c r="G1273" s="199" t="s">
        <v>8306</v>
      </c>
      <c r="H1273" s="199" t="s">
        <v>8637</v>
      </c>
      <c r="I1273" s="199">
        <v>1</v>
      </c>
      <c r="J1273" s="199">
        <v>1</v>
      </c>
      <c r="K1273" s="199">
        <v>1</v>
      </c>
      <c r="L1273" s="199">
        <v>50</v>
      </c>
      <c r="M1273" s="202">
        <f>TB_Parts_Lists[[#This Row],[Quantity Initial]]+ SUMIF(TB_Transactions[Part number],TB_Parts_Lists[[#This Row],[Part Number]],TB_Transactions[Quantity])</f>
        <v>50</v>
      </c>
      <c r="N1273" s="200" t="s">
        <v>4593</v>
      </c>
      <c r="O1273" s="234">
        <v>5</v>
      </c>
      <c r="P1273" s="199">
        <f>TB_Parts_Lists[[#This Row],[Quantity Initial]]*TB_Parts_Lists[[#This Row],[Unit Price AED]]</f>
        <v>250</v>
      </c>
      <c r="Q1273" s="199">
        <f>TB_Parts_Lists[[#This Row],[Quantity Total]]*TB_Parts_Lists[[#This Row],[Unit Price AED]]</f>
        <v>250</v>
      </c>
      <c r="S1273" s="199" t="s">
        <v>122</v>
      </c>
      <c r="T1273" s="199" t="s">
        <v>254</v>
      </c>
      <c r="U1273" s="199" t="s">
        <v>253</v>
      </c>
    </row>
    <row r="1274" spans="1:21" s="199" customFormat="1" x14ac:dyDescent="0.25">
      <c r="A1274" s="192" t="s">
        <v>7816</v>
      </c>
      <c r="B1274" s="203" t="s">
        <v>3331</v>
      </c>
      <c r="C1274" s="188" t="s">
        <v>6652</v>
      </c>
      <c r="D1274" s="188" t="s">
        <v>8724</v>
      </c>
      <c r="E1274" s="188" t="s">
        <v>4516</v>
      </c>
      <c r="F1274" s="189" t="s">
        <v>4390</v>
      </c>
      <c r="G1274" s="199" t="s">
        <v>8306</v>
      </c>
      <c r="H1274" s="199" t="s">
        <v>8637</v>
      </c>
      <c r="I1274" s="199">
        <v>1</v>
      </c>
      <c r="J1274" s="199">
        <v>1</v>
      </c>
      <c r="K1274" s="199">
        <v>1</v>
      </c>
      <c r="L1274" s="199">
        <v>50</v>
      </c>
      <c r="M1274" s="202">
        <f>TB_Parts_Lists[[#This Row],[Quantity Initial]]+ SUMIF(TB_Transactions[Part number],TB_Parts_Lists[[#This Row],[Part Number]],TB_Transactions[Quantity])</f>
        <v>50</v>
      </c>
      <c r="N1274" s="200" t="s">
        <v>4593</v>
      </c>
      <c r="O1274" s="234">
        <v>5</v>
      </c>
      <c r="P1274" s="199">
        <f>TB_Parts_Lists[[#This Row],[Quantity Initial]]*TB_Parts_Lists[[#This Row],[Unit Price AED]]</f>
        <v>250</v>
      </c>
      <c r="Q1274" s="199">
        <f>TB_Parts_Lists[[#This Row],[Quantity Total]]*TB_Parts_Lists[[#This Row],[Unit Price AED]]</f>
        <v>250</v>
      </c>
      <c r="S1274" s="199" t="s">
        <v>122</v>
      </c>
      <c r="T1274" s="199" t="s">
        <v>254</v>
      </c>
      <c r="U1274" s="199" t="s">
        <v>253</v>
      </c>
    </row>
    <row r="1275" spans="1:21" s="199" customFormat="1" x14ac:dyDescent="0.25">
      <c r="A1275" s="192" t="s">
        <v>7817</v>
      </c>
      <c r="B1275" s="203" t="s">
        <v>6619</v>
      </c>
      <c r="C1275" s="188" t="s">
        <v>161</v>
      </c>
      <c r="D1275" s="199" t="s">
        <v>8732</v>
      </c>
      <c r="E1275" s="188" t="s">
        <v>4667</v>
      </c>
      <c r="F1275" s="189" t="s">
        <v>4391</v>
      </c>
      <c r="G1275" s="199" t="s">
        <v>8306</v>
      </c>
      <c r="H1275" s="199" t="s">
        <v>8637</v>
      </c>
      <c r="I1275" s="199">
        <v>1</v>
      </c>
      <c r="J1275" s="199">
        <v>1</v>
      </c>
      <c r="K1275" s="199">
        <v>1</v>
      </c>
      <c r="L1275" s="199">
        <v>50</v>
      </c>
      <c r="M1275" s="202">
        <f>TB_Parts_Lists[[#This Row],[Quantity Initial]]+ SUMIF(TB_Transactions[Part number],TB_Parts_Lists[[#This Row],[Part Number]],TB_Transactions[Quantity])</f>
        <v>50</v>
      </c>
      <c r="N1275" s="200" t="s">
        <v>4593</v>
      </c>
      <c r="O1275" s="234">
        <v>5</v>
      </c>
      <c r="P1275" s="199">
        <f>TB_Parts_Lists[[#This Row],[Quantity Initial]]*TB_Parts_Lists[[#This Row],[Unit Price AED]]</f>
        <v>250</v>
      </c>
      <c r="Q1275" s="199">
        <f>TB_Parts_Lists[[#This Row],[Quantity Total]]*TB_Parts_Lists[[#This Row],[Unit Price AED]]</f>
        <v>250</v>
      </c>
      <c r="S1275" s="199" t="s">
        <v>122</v>
      </c>
      <c r="T1275" s="199" t="s">
        <v>254</v>
      </c>
      <c r="U1275" s="199" t="s">
        <v>253</v>
      </c>
    </row>
    <row r="1276" spans="1:21" s="199" customFormat="1" x14ac:dyDescent="0.25">
      <c r="A1276" s="192" t="s">
        <v>7819</v>
      </c>
      <c r="B1276" s="203" t="s">
        <v>3330</v>
      </c>
      <c r="C1276" s="188" t="s">
        <v>3338</v>
      </c>
      <c r="D1276" s="199" t="s">
        <v>8723</v>
      </c>
      <c r="E1276" s="188" t="s">
        <v>4517</v>
      </c>
      <c r="F1276" s="189" t="s">
        <v>4392</v>
      </c>
      <c r="G1276" s="199" t="s">
        <v>8306</v>
      </c>
      <c r="H1276" s="199" t="s">
        <v>8637</v>
      </c>
      <c r="I1276" s="199">
        <v>1</v>
      </c>
      <c r="J1276" s="199">
        <v>1</v>
      </c>
      <c r="K1276" s="199">
        <v>1</v>
      </c>
      <c r="L1276" s="199">
        <v>50</v>
      </c>
      <c r="M1276" s="202">
        <f>TB_Parts_Lists[[#This Row],[Quantity Initial]]+ SUMIF(TB_Transactions[Part number],TB_Parts_Lists[[#This Row],[Part Number]],TB_Transactions[Quantity])</f>
        <v>50</v>
      </c>
      <c r="N1276" s="200" t="s">
        <v>4593</v>
      </c>
      <c r="O1276" s="234">
        <v>5</v>
      </c>
      <c r="P1276" s="199">
        <f>TB_Parts_Lists[[#This Row],[Quantity Initial]]*TB_Parts_Lists[[#This Row],[Unit Price AED]]</f>
        <v>250</v>
      </c>
      <c r="Q1276" s="199">
        <f>TB_Parts_Lists[[#This Row],[Quantity Total]]*TB_Parts_Lists[[#This Row],[Unit Price AED]]</f>
        <v>250</v>
      </c>
      <c r="S1276" s="199" t="s">
        <v>122</v>
      </c>
      <c r="T1276" s="199" t="s">
        <v>254</v>
      </c>
      <c r="U1276" s="199" t="s">
        <v>253</v>
      </c>
    </row>
    <row r="1277" spans="1:21" s="199" customFormat="1" x14ac:dyDescent="0.25">
      <c r="A1277" s="192" t="s">
        <v>7820</v>
      </c>
      <c r="B1277" s="203" t="s">
        <v>3330</v>
      </c>
      <c r="C1277" s="188" t="s">
        <v>7759</v>
      </c>
      <c r="D1277" s="199" t="s">
        <v>8723</v>
      </c>
      <c r="E1277" s="188" t="s">
        <v>4518</v>
      </c>
      <c r="F1277" s="189" t="s">
        <v>4393</v>
      </c>
      <c r="G1277" s="199" t="s">
        <v>8306</v>
      </c>
      <c r="H1277" s="199" t="s">
        <v>8637</v>
      </c>
      <c r="I1277" s="199">
        <v>1</v>
      </c>
      <c r="J1277" s="199">
        <v>1</v>
      </c>
      <c r="K1277" s="199">
        <v>1</v>
      </c>
      <c r="L1277" s="199">
        <v>50</v>
      </c>
      <c r="M1277" s="202">
        <f>TB_Parts_Lists[[#This Row],[Quantity Initial]]+ SUMIF(TB_Transactions[Part number],TB_Parts_Lists[[#This Row],[Part Number]],TB_Transactions[Quantity])</f>
        <v>50</v>
      </c>
      <c r="N1277" s="200" t="s">
        <v>4593</v>
      </c>
      <c r="O1277" s="234">
        <v>5</v>
      </c>
      <c r="P1277" s="199">
        <f>TB_Parts_Lists[[#This Row],[Quantity Initial]]*TB_Parts_Lists[[#This Row],[Unit Price AED]]</f>
        <v>250</v>
      </c>
      <c r="Q1277" s="199">
        <f>TB_Parts_Lists[[#This Row],[Quantity Total]]*TB_Parts_Lists[[#This Row],[Unit Price AED]]</f>
        <v>250</v>
      </c>
      <c r="S1277" s="199" t="s">
        <v>122</v>
      </c>
      <c r="T1277" s="199" t="s">
        <v>254</v>
      </c>
      <c r="U1277" s="199" t="s">
        <v>253</v>
      </c>
    </row>
    <row r="1278" spans="1:21" s="199" customFormat="1" x14ac:dyDescent="0.25">
      <c r="A1278" s="192" t="s">
        <v>7821</v>
      </c>
      <c r="B1278" s="203" t="s">
        <v>6619</v>
      </c>
      <c r="C1278" s="188" t="s">
        <v>161</v>
      </c>
      <c r="D1278" s="188" t="s">
        <v>8724</v>
      </c>
      <c r="E1278" s="188" t="s">
        <v>5580</v>
      </c>
      <c r="F1278" s="189" t="s">
        <v>4394</v>
      </c>
      <c r="G1278" s="199" t="s">
        <v>8306</v>
      </c>
      <c r="H1278" s="199" t="s">
        <v>8637</v>
      </c>
      <c r="I1278" s="199">
        <v>1</v>
      </c>
      <c r="J1278" s="199">
        <v>1</v>
      </c>
      <c r="K1278" s="199">
        <v>1</v>
      </c>
      <c r="L1278" s="199">
        <v>50</v>
      </c>
      <c r="M1278" s="202">
        <f>TB_Parts_Lists[[#This Row],[Quantity Initial]]+ SUMIF(TB_Transactions[Part number],TB_Parts_Lists[[#This Row],[Part Number]],TB_Transactions[Quantity])</f>
        <v>50</v>
      </c>
      <c r="N1278" s="200" t="s">
        <v>4593</v>
      </c>
      <c r="O1278" s="234">
        <v>5</v>
      </c>
      <c r="P1278" s="199">
        <f>TB_Parts_Lists[[#This Row],[Quantity Initial]]*TB_Parts_Lists[[#This Row],[Unit Price AED]]</f>
        <v>250</v>
      </c>
      <c r="Q1278" s="199">
        <f>TB_Parts_Lists[[#This Row],[Quantity Total]]*TB_Parts_Lists[[#This Row],[Unit Price AED]]</f>
        <v>250</v>
      </c>
      <c r="S1278" s="199" t="s">
        <v>122</v>
      </c>
      <c r="T1278" s="199" t="s">
        <v>254</v>
      </c>
      <c r="U1278" s="199" t="s">
        <v>253</v>
      </c>
    </row>
    <row r="1279" spans="1:21" s="199" customFormat="1" x14ac:dyDescent="0.25">
      <c r="A1279" s="192" t="s">
        <v>7822</v>
      </c>
      <c r="B1279" s="203" t="s">
        <v>3338</v>
      </c>
      <c r="C1279" s="188" t="s">
        <v>651</v>
      </c>
      <c r="D1279" s="188" t="s">
        <v>8724</v>
      </c>
      <c r="E1279" s="188" t="s">
        <v>5581</v>
      </c>
      <c r="F1279" s="189" t="s">
        <v>4395</v>
      </c>
      <c r="G1279" s="199" t="s">
        <v>8306</v>
      </c>
      <c r="H1279" s="199" t="s">
        <v>8637</v>
      </c>
      <c r="I1279" s="199">
        <v>1</v>
      </c>
      <c r="J1279" s="199">
        <v>1</v>
      </c>
      <c r="K1279" s="199">
        <v>1</v>
      </c>
      <c r="L1279" s="199">
        <v>50</v>
      </c>
      <c r="M1279" s="202">
        <f>TB_Parts_Lists[[#This Row],[Quantity Initial]]+ SUMIF(TB_Transactions[Part number],TB_Parts_Lists[[#This Row],[Part Number]],TB_Transactions[Quantity])</f>
        <v>50</v>
      </c>
      <c r="N1279" s="200" t="s">
        <v>4593</v>
      </c>
      <c r="O1279" s="234">
        <v>5</v>
      </c>
      <c r="P1279" s="199">
        <f>TB_Parts_Lists[[#This Row],[Quantity Initial]]*TB_Parts_Lists[[#This Row],[Unit Price AED]]</f>
        <v>250</v>
      </c>
      <c r="Q1279" s="199">
        <f>TB_Parts_Lists[[#This Row],[Quantity Total]]*TB_Parts_Lists[[#This Row],[Unit Price AED]]</f>
        <v>250</v>
      </c>
      <c r="S1279" s="199" t="s">
        <v>8675</v>
      </c>
      <c r="T1279" s="199" t="s">
        <v>8675</v>
      </c>
      <c r="U1279" s="199" t="s">
        <v>8675</v>
      </c>
    </row>
    <row r="1280" spans="1:21" s="199" customFormat="1" x14ac:dyDescent="0.25">
      <c r="A1280" s="192" t="s">
        <v>7823</v>
      </c>
      <c r="B1280" s="203" t="s">
        <v>3330</v>
      </c>
      <c r="C1280" s="188" t="s">
        <v>6704</v>
      </c>
      <c r="D1280" s="199" t="s">
        <v>8732</v>
      </c>
      <c r="E1280" s="188" t="s">
        <v>4519</v>
      </c>
      <c r="F1280" s="189" t="s">
        <v>4396</v>
      </c>
      <c r="G1280" s="199" t="s">
        <v>8306</v>
      </c>
      <c r="H1280" s="199" t="s">
        <v>8637</v>
      </c>
      <c r="I1280" s="199">
        <v>1</v>
      </c>
      <c r="J1280" s="199">
        <v>1</v>
      </c>
      <c r="K1280" s="199">
        <v>1</v>
      </c>
      <c r="L1280" s="199">
        <v>50</v>
      </c>
      <c r="M1280" s="202">
        <f>TB_Parts_Lists[[#This Row],[Quantity Initial]]+ SUMIF(TB_Transactions[Part number],TB_Parts_Lists[[#This Row],[Part Number]],TB_Transactions[Quantity])</f>
        <v>50</v>
      </c>
      <c r="N1280" s="200" t="s">
        <v>4593</v>
      </c>
      <c r="O1280" s="234">
        <v>5</v>
      </c>
      <c r="P1280" s="199">
        <f>TB_Parts_Lists[[#This Row],[Quantity Initial]]*TB_Parts_Lists[[#This Row],[Unit Price AED]]</f>
        <v>250</v>
      </c>
      <c r="Q1280" s="199">
        <f>TB_Parts_Lists[[#This Row],[Quantity Total]]*TB_Parts_Lists[[#This Row],[Unit Price AED]]</f>
        <v>250</v>
      </c>
      <c r="S1280" s="199" t="s">
        <v>122</v>
      </c>
      <c r="T1280" s="199" t="s">
        <v>254</v>
      </c>
      <c r="U1280" s="199" t="s">
        <v>253</v>
      </c>
    </row>
    <row r="1281" spans="1:21" s="199" customFormat="1" x14ac:dyDescent="0.25">
      <c r="A1281" s="192" t="s">
        <v>7824</v>
      </c>
      <c r="B1281" s="203" t="s">
        <v>3330</v>
      </c>
      <c r="C1281" s="188" t="s">
        <v>7759</v>
      </c>
      <c r="D1281" s="199" t="s">
        <v>8723</v>
      </c>
      <c r="E1281" s="188" t="s">
        <v>4520</v>
      </c>
      <c r="F1281" s="189" t="s">
        <v>4397</v>
      </c>
      <c r="G1281" s="199" t="s">
        <v>8306</v>
      </c>
      <c r="H1281" s="199" t="s">
        <v>8637</v>
      </c>
      <c r="I1281" s="199">
        <v>1</v>
      </c>
      <c r="J1281" s="199">
        <v>1</v>
      </c>
      <c r="K1281" s="199">
        <v>1</v>
      </c>
      <c r="L1281" s="199">
        <v>50</v>
      </c>
      <c r="M1281" s="202">
        <f>TB_Parts_Lists[[#This Row],[Quantity Initial]]+ SUMIF(TB_Transactions[Part number],TB_Parts_Lists[[#This Row],[Part Number]],TB_Transactions[Quantity])</f>
        <v>50</v>
      </c>
      <c r="N1281" s="200" t="s">
        <v>4593</v>
      </c>
      <c r="O1281" s="234">
        <v>5</v>
      </c>
      <c r="P1281" s="199">
        <f>TB_Parts_Lists[[#This Row],[Quantity Initial]]*TB_Parts_Lists[[#This Row],[Unit Price AED]]</f>
        <v>250</v>
      </c>
      <c r="Q1281" s="199">
        <f>TB_Parts_Lists[[#This Row],[Quantity Total]]*TB_Parts_Lists[[#This Row],[Unit Price AED]]</f>
        <v>250</v>
      </c>
      <c r="S1281" s="199" t="s">
        <v>122</v>
      </c>
      <c r="T1281" s="199" t="s">
        <v>254</v>
      </c>
      <c r="U1281" s="199" t="s">
        <v>253</v>
      </c>
    </row>
    <row r="1282" spans="1:21" s="199" customFormat="1" x14ac:dyDescent="0.25">
      <c r="A1282" s="192" t="s">
        <v>7825</v>
      </c>
      <c r="B1282" s="203" t="s">
        <v>3339</v>
      </c>
      <c r="C1282" s="188" t="s">
        <v>7653</v>
      </c>
      <c r="D1282" s="199" t="s">
        <v>8732</v>
      </c>
      <c r="E1282" s="188" t="s">
        <v>5582</v>
      </c>
      <c r="F1282" s="189" t="s">
        <v>4398</v>
      </c>
      <c r="G1282" s="199" t="s">
        <v>8306</v>
      </c>
      <c r="H1282" s="199" t="s">
        <v>8637</v>
      </c>
      <c r="I1282" s="199">
        <v>1</v>
      </c>
      <c r="J1282" s="199">
        <v>1</v>
      </c>
      <c r="K1282" s="199">
        <v>1</v>
      </c>
      <c r="L1282" s="199">
        <v>50</v>
      </c>
      <c r="M1282" s="202">
        <f>TB_Parts_Lists[[#This Row],[Quantity Initial]]+ SUMIF(TB_Transactions[Part number],TB_Parts_Lists[[#This Row],[Part Number]],TB_Transactions[Quantity])</f>
        <v>50</v>
      </c>
      <c r="N1282" s="200" t="s">
        <v>4593</v>
      </c>
      <c r="O1282" s="234">
        <v>5</v>
      </c>
      <c r="P1282" s="199">
        <f>TB_Parts_Lists[[#This Row],[Quantity Initial]]*TB_Parts_Lists[[#This Row],[Unit Price AED]]</f>
        <v>250</v>
      </c>
      <c r="Q1282" s="199">
        <f>TB_Parts_Lists[[#This Row],[Quantity Total]]*TB_Parts_Lists[[#This Row],[Unit Price AED]]</f>
        <v>250</v>
      </c>
      <c r="S1282" s="199" t="s">
        <v>122</v>
      </c>
      <c r="T1282" s="199" t="s">
        <v>254</v>
      </c>
      <c r="U1282" s="199" t="s">
        <v>253</v>
      </c>
    </row>
    <row r="1283" spans="1:21" s="199" customFormat="1" x14ac:dyDescent="0.25">
      <c r="A1283" s="192" t="s">
        <v>7826</v>
      </c>
      <c r="B1283" s="203" t="s">
        <v>3330</v>
      </c>
      <c r="C1283" s="188" t="s">
        <v>6704</v>
      </c>
      <c r="D1283" s="199" t="s">
        <v>8732</v>
      </c>
      <c r="E1283" s="188" t="s">
        <v>4521</v>
      </c>
      <c r="F1283" s="189" t="s">
        <v>4399</v>
      </c>
      <c r="G1283" s="199" t="s">
        <v>8306</v>
      </c>
      <c r="H1283" s="199" t="s">
        <v>8637</v>
      </c>
      <c r="I1283" s="199">
        <v>1</v>
      </c>
      <c r="J1283" s="199">
        <v>1</v>
      </c>
      <c r="K1283" s="199">
        <v>1</v>
      </c>
      <c r="L1283" s="199">
        <v>50</v>
      </c>
      <c r="M1283" s="202">
        <f>TB_Parts_Lists[[#This Row],[Quantity Initial]]+ SUMIF(TB_Transactions[Part number],TB_Parts_Lists[[#This Row],[Part Number]],TB_Transactions[Quantity])</f>
        <v>50</v>
      </c>
      <c r="N1283" s="200" t="s">
        <v>4593</v>
      </c>
      <c r="O1283" s="234">
        <v>5</v>
      </c>
      <c r="P1283" s="199">
        <f>TB_Parts_Lists[[#This Row],[Quantity Initial]]*TB_Parts_Lists[[#This Row],[Unit Price AED]]</f>
        <v>250</v>
      </c>
      <c r="Q1283" s="199">
        <f>TB_Parts_Lists[[#This Row],[Quantity Total]]*TB_Parts_Lists[[#This Row],[Unit Price AED]]</f>
        <v>250</v>
      </c>
      <c r="S1283" s="199" t="s">
        <v>122</v>
      </c>
      <c r="T1283" s="199" t="s">
        <v>254</v>
      </c>
      <c r="U1283" s="199" t="s">
        <v>253</v>
      </c>
    </row>
    <row r="1284" spans="1:21" s="199" customFormat="1" x14ac:dyDescent="0.25">
      <c r="A1284" s="192" t="s">
        <v>7827</v>
      </c>
      <c r="B1284" s="203" t="s">
        <v>4697</v>
      </c>
      <c r="C1284" s="188" t="s">
        <v>7818</v>
      </c>
      <c r="D1284" s="199">
        <v>0</v>
      </c>
      <c r="E1284" s="188" t="s">
        <v>4522</v>
      </c>
      <c r="F1284" s="189" t="s">
        <v>4400</v>
      </c>
      <c r="G1284" s="199" t="s">
        <v>8306</v>
      </c>
      <c r="H1284" s="199" t="s">
        <v>8637</v>
      </c>
      <c r="I1284" s="199">
        <v>1</v>
      </c>
      <c r="J1284" s="199">
        <v>1</v>
      </c>
      <c r="K1284" s="199">
        <v>1</v>
      </c>
      <c r="L1284" s="199">
        <v>50</v>
      </c>
      <c r="M1284" s="202">
        <f>TB_Parts_Lists[[#This Row],[Quantity Initial]]+ SUMIF(TB_Transactions[Part number],TB_Parts_Lists[[#This Row],[Part Number]],TB_Transactions[Quantity])</f>
        <v>50</v>
      </c>
      <c r="N1284" s="200" t="s">
        <v>4593</v>
      </c>
      <c r="O1284" s="234">
        <v>5</v>
      </c>
      <c r="P1284" s="199">
        <f>TB_Parts_Lists[[#This Row],[Quantity Initial]]*TB_Parts_Lists[[#This Row],[Unit Price AED]]</f>
        <v>250</v>
      </c>
      <c r="Q1284" s="199">
        <f>TB_Parts_Lists[[#This Row],[Quantity Total]]*TB_Parts_Lists[[#This Row],[Unit Price AED]]</f>
        <v>250</v>
      </c>
      <c r="S1284" s="199" t="s">
        <v>122</v>
      </c>
      <c r="T1284" s="199" t="s">
        <v>254</v>
      </c>
      <c r="U1284" s="199" t="s">
        <v>253</v>
      </c>
    </row>
    <row r="1285" spans="1:21" s="199" customFormat="1" x14ac:dyDescent="0.25">
      <c r="A1285" s="192" t="s">
        <v>7828</v>
      </c>
      <c r="B1285" s="203" t="s">
        <v>3330</v>
      </c>
      <c r="C1285" s="188" t="s">
        <v>7002</v>
      </c>
      <c r="D1285" s="199" t="s">
        <v>8732</v>
      </c>
      <c r="E1285" s="188" t="s">
        <v>4523</v>
      </c>
      <c r="F1285" s="189" t="s">
        <v>4401</v>
      </c>
      <c r="G1285" s="199" t="s">
        <v>8306</v>
      </c>
      <c r="H1285" s="199" t="s">
        <v>8637</v>
      </c>
      <c r="I1285" s="199">
        <v>1</v>
      </c>
      <c r="J1285" s="199">
        <v>1</v>
      </c>
      <c r="K1285" s="199">
        <v>1</v>
      </c>
      <c r="L1285" s="199">
        <v>50</v>
      </c>
      <c r="M1285" s="202">
        <f>TB_Parts_Lists[[#This Row],[Quantity Initial]]+ SUMIF(TB_Transactions[Part number],TB_Parts_Lists[[#This Row],[Part Number]],TB_Transactions[Quantity])</f>
        <v>50</v>
      </c>
      <c r="N1285" s="200" t="s">
        <v>4593</v>
      </c>
      <c r="O1285" s="234">
        <v>5</v>
      </c>
      <c r="P1285" s="199">
        <f>TB_Parts_Lists[[#This Row],[Quantity Initial]]*TB_Parts_Lists[[#This Row],[Unit Price AED]]</f>
        <v>250</v>
      </c>
      <c r="Q1285" s="199">
        <f>TB_Parts_Lists[[#This Row],[Quantity Total]]*TB_Parts_Lists[[#This Row],[Unit Price AED]]</f>
        <v>250</v>
      </c>
      <c r="S1285" s="199" t="s">
        <v>122</v>
      </c>
      <c r="T1285" s="199" t="s">
        <v>254</v>
      </c>
      <c r="U1285" s="199" t="s">
        <v>253</v>
      </c>
    </row>
    <row r="1286" spans="1:21" s="199" customFormat="1" x14ac:dyDescent="0.25">
      <c r="A1286" s="192" t="s">
        <v>7829</v>
      </c>
      <c r="B1286" s="203" t="s">
        <v>3329</v>
      </c>
      <c r="C1286" s="188" t="s">
        <v>7219</v>
      </c>
      <c r="D1286" s="188" t="s">
        <v>8724</v>
      </c>
      <c r="E1286" s="188" t="s">
        <v>5583</v>
      </c>
      <c r="F1286" s="189" t="s">
        <v>4402</v>
      </c>
      <c r="G1286" s="199" t="s">
        <v>8306</v>
      </c>
      <c r="H1286" s="199" t="s">
        <v>8637</v>
      </c>
      <c r="I1286" s="199">
        <v>1</v>
      </c>
      <c r="J1286" s="199">
        <v>1</v>
      </c>
      <c r="K1286" s="199">
        <v>1</v>
      </c>
      <c r="L1286" s="199">
        <v>50</v>
      </c>
      <c r="M1286" s="202">
        <f>TB_Parts_Lists[[#This Row],[Quantity Initial]]+ SUMIF(TB_Transactions[Part number],TB_Parts_Lists[[#This Row],[Part Number]],TB_Transactions[Quantity])</f>
        <v>50</v>
      </c>
      <c r="N1286" s="200" t="s">
        <v>4593</v>
      </c>
      <c r="O1286" s="234">
        <v>5</v>
      </c>
      <c r="P1286" s="199">
        <f>TB_Parts_Lists[[#This Row],[Quantity Initial]]*TB_Parts_Lists[[#This Row],[Unit Price AED]]</f>
        <v>250</v>
      </c>
      <c r="Q1286" s="199">
        <f>TB_Parts_Lists[[#This Row],[Quantity Total]]*TB_Parts_Lists[[#This Row],[Unit Price AED]]</f>
        <v>250</v>
      </c>
      <c r="S1286" s="199" t="s">
        <v>122</v>
      </c>
      <c r="T1286" s="199" t="s">
        <v>254</v>
      </c>
      <c r="U1286" s="199" t="s">
        <v>253</v>
      </c>
    </row>
    <row r="1287" spans="1:21" s="199" customFormat="1" x14ac:dyDescent="0.25">
      <c r="A1287" s="192" t="s">
        <v>7830</v>
      </c>
      <c r="B1287" s="203" t="s">
        <v>3330</v>
      </c>
      <c r="C1287" s="188" t="s">
        <v>7002</v>
      </c>
      <c r="D1287" s="188" t="s">
        <v>8724</v>
      </c>
      <c r="E1287" s="188" t="s">
        <v>4524</v>
      </c>
      <c r="F1287" s="189" t="s">
        <v>4403</v>
      </c>
      <c r="G1287" s="199" t="s">
        <v>8306</v>
      </c>
      <c r="H1287" s="199" t="s">
        <v>3336</v>
      </c>
      <c r="I1287" s="199">
        <v>1</v>
      </c>
      <c r="J1287" s="199">
        <v>1</v>
      </c>
      <c r="K1287" s="199">
        <v>1</v>
      </c>
      <c r="L1287" s="199">
        <v>50</v>
      </c>
      <c r="M1287" s="202">
        <f>TB_Parts_Lists[[#This Row],[Quantity Initial]]+ SUMIF(TB_Transactions[Part number],TB_Parts_Lists[[#This Row],[Part Number]],TB_Transactions[Quantity])</f>
        <v>50</v>
      </c>
      <c r="N1287" s="200" t="s">
        <v>4593</v>
      </c>
      <c r="O1287" s="234">
        <v>5</v>
      </c>
      <c r="P1287" s="199">
        <f>TB_Parts_Lists[[#This Row],[Quantity Initial]]*TB_Parts_Lists[[#This Row],[Unit Price AED]]</f>
        <v>250</v>
      </c>
      <c r="Q1287" s="199">
        <f>TB_Parts_Lists[[#This Row],[Quantity Total]]*TB_Parts_Lists[[#This Row],[Unit Price AED]]</f>
        <v>250</v>
      </c>
      <c r="S1287" s="199" t="s">
        <v>122</v>
      </c>
      <c r="T1287" s="199" t="s">
        <v>254</v>
      </c>
      <c r="U1287" s="199" t="s">
        <v>253</v>
      </c>
    </row>
    <row r="1288" spans="1:21" s="199" customFormat="1" x14ac:dyDescent="0.25">
      <c r="A1288" s="192" t="s">
        <v>7831</v>
      </c>
      <c r="B1288" s="203" t="s">
        <v>3330</v>
      </c>
      <c r="C1288" s="188" t="s">
        <v>7002</v>
      </c>
      <c r="D1288" s="199" t="s">
        <v>8732</v>
      </c>
      <c r="E1288" s="188" t="s">
        <v>4525</v>
      </c>
      <c r="F1288" s="189" t="s">
        <v>4404</v>
      </c>
      <c r="G1288" s="199" t="s">
        <v>8306</v>
      </c>
      <c r="H1288" s="199" t="s">
        <v>8637</v>
      </c>
      <c r="I1288" s="199">
        <v>1</v>
      </c>
      <c r="J1288" s="199">
        <v>1</v>
      </c>
      <c r="K1288" s="199">
        <v>1</v>
      </c>
      <c r="L1288" s="199">
        <v>50</v>
      </c>
      <c r="M1288" s="202">
        <f>TB_Parts_Lists[[#This Row],[Quantity Initial]]+ SUMIF(TB_Transactions[Part number],TB_Parts_Lists[[#This Row],[Part Number]],TB_Transactions[Quantity])</f>
        <v>50</v>
      </c>
      <c r="N1288" s="200" t="s">
        <v>4593</v>
      </c>
      <c r="O1288" s="234">
        <v>5</v>
      </c>
      <c r="P1288" s="199">
        <f>TB_Parts_Lists[[#This Row],[Quantity Initial]]*TB_Parts_Lists[[#This Row],[Unit Price AED]]</f>
        <v>250</v>
      </c>
      <c r="Q1288" s="199">
        <f>TB_Parts_Lists[[#This Row],[Quantity Total]]*TB_Parts_Lists[[#This Row],[Unit Price AED]]</f>
        <v>250</v>
      </c>
      <c r="S1288" s="199" t="s">
        <v>122</v>
      </c>
      <c r="T1288" s="199" t="s">
        <v>254</v>
      </c>
      <c r="U1288" s="199" t="s">
        <v>253</v>
      </c>
    </row>
    <row r="1289" spans="1:21" s="199" customFormat="1" x14ac:dyDescent="0.25">
      <c r="A1289" s="192" t="s">
        <v>7832</v>
      </c>
      <c r="B1289" s="203" t="s">
        <v>3334</v>
      </c>
      <c r="C1289" s="188" t="s">
        <v>3367</v>
      </c>
      <c r="D1289" s="199" t="s">
        <v>8732</v>
      </c>
      <c r="E1289" s="188" t="s">
        <v>4405</v>
      </c>
      <c r="F1289" s="189" t="s">
        <v>4406</v>
      </c>
      <c r="G1289" s="199" t="s">
        <v>8306</v>
      </c>
      <c r="H1289" s="199" t="s">
        <v>8638</v>
      </c>
      <c r="I1289" s="199">
        <v>1</v>
      </c>
      <c r="J1289" s="199">
        <v>1</v>
      </c>
      <c r="K1289" s="199">
        <v>1</v>
      </c>
      <c r="L1289" s="199">
        <v>50</v>
      </c>
      <c r="M1289" s="202">
        <f>TB_Parts_Lists[[#This Row],[Quantity Initial]]+ SUMIF(TB_Transactions[Part number],TB_Parts_Lists[[#This Row],[Part Number]],TB_Transactions[Quantity])</f>
        <v>50</v>
      </c>
      <c r="N1289" s="200" t="s">
        <v>4593</v>
      </c>
      <c r="O1289" s="234">
        <v>5</v>
      </c>
      <c r="P1289" s="199">
        <f>TB_Parts_Lists[[#This Row],[Quantity Initial]]*TB_Parts_Lists[[#This Row],[Unit Price AED]]</f>
        <v>250</v>
      </c>
      <c r="Q1289" s="199">
        <f>TB_Parts_Lists[[#This Row],[Quantity Total]]*TB_Parts_Lists[[#This Row],[Unit Price AED]]</f>
        <v>250</v>
      </c>
      <c r="S1289" s="199" t="s">
        <v>122</v>
      </c>
      <c r="T1289" s="199" t="s">
        <v>8696</v>
      </c>
      <c r="U1289" s="199" t="s">
        <v>292</v>
      </c>
    </row>
    <row r="1290" spans="1:21" s="199" customFormat="1" x14ac:dyDescent="0.25">
      <c r="A1290" s="192" t="s">
        <v>7833</v>
      </c>
      <c r="B1290" s="203" t="s">
        <v>3334</v>
      </c>
      <c r="C1290" s="188" t="s">
        <v>3367</v>
      </c>
      <c r="D1290" s="199" t="s">
        <v>8732</v>
      </c>
      <c r="E1290" s="188" t="s">
        <v>4407</v>
      </c>
      <c r="F1290" s="189" t="s">
        <v>4408</v>
      </c>
      <c r="G1290" s="199" t="s">
        <v>8306</v>
      </c>
      <c r="H1290" s="199" t="s">
        <v>8638</v>
      </c>
      <c r="I1290" s="199">
        <v>1</v>
      </c>
      <c r="J1290" s="199">
        <v>1</v>
      </c>
      <c r="K1290" s="199">
        <v>1</v>
      </c>
      <c r="L1290" s="199">
        <v>50</v>
      </c>
      <c r="M1290" s="202">
        <f>TB_Parts_Lists[[#This Row],[Quantity Initial]]+ SUMIF(TB_Transactions[Part number],TB_Parts_Lists[[#This Row],[Part Number]],TB_Transactions[Quantity])</f>
        <v>50</v>
      </c>
      <c r="N1290" s="200" t="s">
        <v>4593</v>
      </c>
      <c r="O1290" s="234">
        <v>5</v>
      </c>
      <c r="P1290" s="199">
        <f>TB_Parts_Lists[[#This Row],[Quantity Initial]]*TB_Parts_Lists[[#This Row],[Unit Price AED]]</f>
        <v>250</v>
      </c>
      <c r="Q1290" s="199">
        <f>TB_Parts_Lists[[#This Row],[Quantity Total]]*TB_Parts_Lists[[#This Row],[Unit Price AED]]</f>
        <v>250</v>
      </c>
      <c r="S1290" s="199" t="s">
        <v>122</v>
      </c>
      <c r="T1290" s="199" t="s">
        <v>8696</v>
      </c>
      <c r="U1290" s="199" t="s">
        <v>292</v>
      </c>
    </row>
    <row r="1291" spans="1:21" s="199" customFormat="1" x14ac:dyDescent="0.25">
      <c r="A1291" s="192" t="s">
        <v>7834</v>
      </c>
      <c r="B1291" s="203" t="s">
        <v>3329</v>
      </c>
      <c r="C1291" s="188" t="s">
        <v>6940</v>
      </c>
      <c r="D1291" s="188" t="s">
        <v>8724</v>
      </c>
      <c r="E1291" s="188" t="s">
        <v>5584</v>
      </c>
      <c r="F1291" s="189" t="s">
        <v>4409</v>
      </c>
      <c r="G1291" s="199" t="s">
        <v>8306</v>
      </c>
      <c r="H1291" s="199" t="s">
        <v>8637</v>
      </c>
      <c r="I1291" s="199">
        <v>1</v>
      </c>
      <c r="J1291" s="199">
        <v>1</v>
      </c>
      <c r="K1291" s="199">
        <v>1</v>
      </c>
      <c r="L1291" s="199">
        <v>50</v>
      </c>
      <c r="M1291" s="202">
        <f>TB_Parts_Lists[[#This Row],[Quantity Initial]]+ SUMIF(TB_Transactions[Part number],TB_Parts_Lists[[#This Row],[Part Number]],TB_Transactions[Quantity])</f>
        <v>50</v>
      </c>
      <c r="N1291" s="200" t="s">
        <v>4593</v>
      </c>
      <c r="O1291" s="234">
        <v>5</v>
      </c>
      <c r="P1291" s="199">
        <f>TB_Parts_Lists[[#This Row],[Quantity Initial]]*TB_Parts_Lists[[#This Row],[Unit Price AED]]</f>
        <v>250</v>
      </c>
      <c r="Q1291" s="199">
        <f>TB_Parts_Lists[[#This Row],[Quantity Total]]*TB_Parts_Lists[[#This Row],[Unit Price AED]]</f>
        <v>250</v>
      </c>
      <c r="S1291" s="199" t="s">
        <v>122</v>
      </c>
      <c r="T1291" s="199" t="s">
        <v>254</v>
      </c>
      <c r="U1291" s="199" t="s">
        <v>253</v>
      </c>
    </row>
    <row r="1292" spans="1:21" s="199" customFormat="1" x14ac:dyDescent="0.25">
      <c r="A1292" s="192" t="s">
        <v>7835</v>
      </c>
      <c r="B1292" s="203" t="s">
        <v>3330</v>
      </c>
      <c r="C1292" s="188" t="s">
        <v>3338</v>
      </c>
      <c r="D1292" s="199">
        <v>0</v>
      </c>
      <c r="E1292" s="188" t="s">
        <v>4526</v>
      </c>
      <c r="F1292" s="189" t="s">
        <v>4410</v>
      </c>
      <c r="G1292" s="199" t="s">
        <v>8306</v>
      </c>
      <c r="H1292" s="199" t="s">
        <v>8637</v>
      </c>
      <c r="I1292" s="199">
        <v>1</v>
      </c>
      <c r="J1292" s="199">
        <v>1</v>
      </c>
      <c r="K1292" s="199">
        <v>1</v>
      </c>
      <c r="L1292" s="199">
        <v>50</v>
      </c>
      <c r="M1292" s="202">
        <f>TB_Parts_Lists[[#This Row],[Quantity Initial]]+ SUMIF(TB_Transactions[Part number],TB_Parts_Lists[[#This Row],[Part Number]],TB_Transactions[Quantity])</f>
        <v>50</v>
      </c>
      <c r="N1292" s="200" t="s">
        <v>4593</v>
      </c>
      <c r="O1292" s="234">
        <v>5</v>
      </c>
      <c r="P1292" s="199">
        <f>TB_Parts_Lists[[#This Row],[Quantity Initial]]*TB_Parts_Lists[[#This Row],[Unit Price AED]]</f>
        <v>250</v>
      </c>
      <c r="Q1292" s="199">
        <f>TB_Parts_Lists[[#This Row],[Quantity Total]]*TB_Parts_Lists[[#This Row],[Unit Price AED]]</f>
        <v>250</v>
      </c>
      <c r="S1292" s="199" t="s">
        <v>122</v>
      </c>
      <c r="T1292" s="199" t="s">
        <v>254</v>
      </c>
      <c r="U1292" s="199" t="s">
        <v>253</v>
      </c>
    </row>
    <row r="1293" spans="1:21" s="199" customFormat="1" x14ac:dyDescent="0.25">
      <c r="A1293" s="192" t="s">
        <v>7836</v>
      </c>
      <c r="B1293" s="203" t="s">
        <v>3334</v>
      </c>
      <c r="C1293" s="188" t="s">
        <v>3367</v>
      </c>
      <c r="D1293" s="199" t="s">
        <v>8723</v>
      </c>
      <c r="E1293" s="188" t="s">
        <v>4411</v>
      </c>
      <c r="F1293" s="189" t="s">
        <v>4412</v>
      </c>
      <c r="G1293" s="199" t="s">
        <v>8306</v>
      </c>
      <c r="H1293" s="199" t="s">
        <v>8638</v>
      </c>
      <c r="I1293" s="199">
        <v>1</v>
      </c>
      <c r="J1293" s="199">
        <v>1</v>
      </c>
      <c r="K1293" s="199">
        <v>1</v>
      </c>
      <c r="L1293" s="199">
        <v>50</v>
      </c>
      <c r="M1293" s="202">
        <f>TB_Parts_Lists[[#This Row],[Quantity Initial]]+ SUMIF(TB_Transactions[Part number],TB_Parts_Lists[[#This Row],[Part Number]],TB_Transactions[Quantity])</f>
        <v>50</v>
      </c>
      <c r="N1293" s="200" t="s">
        <v>4593</v>
      </c>
      <c r="O1293" s="234">
        <v>5</v>
      </c>
      <c r="P1293" s="199">
        <f>TB_Parts_Lists[[#This Row],[Quantity Initial]]*TB_Parts_Lists[[#This Row],[Unit Price AED]]</f>
        <v>250</v>
      </c>
      <c r="Q1293" s="199">
        <f>TB_Parts_Lists[[#This Row],[Quantity Total]]*TB_Parts_Lists[[#This Row],[Unit Price AED]]</f>
        <v>250</v>
      </c>
      <c r="S1293" s="199" t="s">
        <v>122</v>
      </c>
      <c r="T1293" s="199" t="s">
        <v>8696</v>
      </c>
      <c r="U1293" s="199" t="s">
        <v>292</v>
      </c>
    </row>
    <row r="1294" spans="1:21" s="199" customFormat="1" x14ac:dyDescent="0.25">
      <c r="A1294" s="192" t="s">
        <v>7837</v>
      </c>
      <c r="B1294" s="203" t="s">
        <v>3329</v>
      </c>
      <c r="C1294" s="188" t="s">
        <v>3348</v>
      </c>
      <c r="D1294" s="188" t="s">
        <v>8724</v>
      </c>
      <c r="E1294" s="188" t="s">
        <v>4527</v>
      </c>
      <c r="F1294" s="189" t="s">
        <v>4413</v>
      </c>
      <c r="G1294" s="199" t="s">
        <v>8306</v>
      </c>
      <c r="H1294" s="199" t="s">
        <v>8637</v>
      </c>
      <c r="I1294" s="199">
        <v>1</v>
      </c>
      <c r="J1294" s="199">
        <v>1</v>
      </c>
      <c r="K1294" s="199">
        <v>1</v>
      </c>
      <c r="L1294" s="199">
        <v>50</v>
      </c>
      <c r="M1294" s="202">
        <f>TB_Parts_Lists[[#This Row],[Quantity Initial]]+ SUMIF(TB_Transactions[Part number],TB_Parts_Lists[[#This Row],[Part Number]],TB_Transactions[Quantity])</f>
        <v>50</v>
      </c>
      <c r="N1294" s="200" t="s">
        <v>4593</v>
      </c>
      <c r="O1294" s="234">
        <v>5</v>
      </c>
      <c r="P1294" s="199">
        <f>TB_Parts_Lists[[#This Row],[Quantity Initial]]*TB_Parts_Lists[[#This Row],[Unit Price AED]]</f>
        <v>250</v>
      </c>
      <c r="Q1294" s="199">
        <f>TB_Parts_Lists[[#This Row],[Quantity Total]]*TB_Parts_Lists[[#This Row],[Unit Price AED]]</f>
        <v>250</v>
      </c>
      <c r="S1294" s="199" t="s">
        <v>122</v>
      </c>
      <c r="T1294" s="199" t="s">
        <v>254</v>
      </c>
      <c r="U1294" s="199" t="s">
        <v>253</v>
      </c>
    </row>
    <row r="1295" spans="1:21" s="199" customFormat="1" x14ac:dyDescent="0.25">
      <c r="A1295" s="192" t="s">
        <v>7838</v>
      </c>
      <c r="B1295" s="203" t="s">
        <v>3329</v>
      </c>
      <c r="C1295" s="188" t="s">
        <v>6652</v>
      </c>
      <c r="D1295" s="199" t="s">
        <v>8732</v>
      </c>
      <c r="E1295" s="188" t="s">
        <v>5585</v>
      </c>
      <c r="F1295" s="189" t="s">
        <v>4414</v>
      </c>
      <c r="G1295" s="199" t="s">
        <v>8306</v>
      </c>
      <c r="H1295" s="199" t="s">
        <v>8637</v>
      </c>
      <c r="I1295" s="199">
        <v>1</v>
      </c>
      <c r="J1295" s="199">
        <v>1</v>
      </c>
      <c r="K1295" s="199">
        <v>1</v>
      </c>
      <c r="L1295" s="199">
        <v>50</v>
      </c>
      <c r="M1295" s="202">
        <f>TB_Parts_Lists[[#This Row],[Quantity Initial]]+ SUMIF(TB_Transactions[Part number],TB_Parts_Lists[[#This Row],[Part Number]],TB_Transactions[Quantity])</f>
        <v>50</v>
      </c>
      <c r="N1295" s="200" t="s">
        <v>4593</v>
      </c>
      <c r="O1295" s="234">
        <v>5</v>
      </c>
      <c r="P1295" s="199">
        <f>TB_Parts_Lists[[#This Row],[Quantity Initial]]*TB_Parts_Lists[[#This Row],[Unit Price AED]]</f>
        <v>250</v>
      </c>
      <c r="Q1295" s="199">
        <f>TB_Parts_Lists[[#This Row],[Quantity Total]]*TB_Parts_Lists[[#This Row],[Unit Price AED]]</f>
        <v>250</v>
      </c>
      <c r="S1295" s="199" t="s">
        <v>122</v>
      </c>
      <c r="T1295" s="199" t="s">
        <v>254</v>
      </c>
      <c r="U1295" s="199" t="s">
        <v>253</v>
      </c>
    </row>
    <row r="1296" spans="1:21" s="199" customFormat="1" x14ac:dyDescent="0.25">
      <c r="A1296" s="192" t="s">
        <v>7839</v>
      </c>
      <c r="B1296" s="203" t="s">
        <v>3330</v>
      </c>
      <c r="C1296" s="188" t="s">
        <v>3338</v>
      </c>
      <c r="D1296" s="199" t="s">
        <v>8723</v>
      </c>
      <c r="E1296" s="188" t="s">
        <v>5586</v>
      </c>
      <c r="F1296" s="189" t="s">
        <v>4415</v>
      </c>
      <c r="G1296" s="199" t="s">
        <v>8306</v>
      </c>
      <c r="H1296" s="199" t="s">
        <v>8637</v>
      </c>
      <c r="I1296" s="199">
        <v>1</v>
      </c>
      <c r="J1296" s="199">
        <v>1</v>
      </c>
      <c r="K1296" s="199">
        <v>1</v>
      </c>
      <c r="L1296" s="199">
        <v>50</v>
      </c>
      <c r="M1296" s="202">
        <f>TB_Parts_Lists[[#This Row],[Quantity Initial]]+ SUMIF(TB_Transactions[Part number],TB_Parts_Lists[[#This Row],[Part Number]],TB_Transactions[Quantity])</f>
        <v>50</v>
      </c>
      <c r="N1296" s="200" t="s">
        <v>4593</v>
      </c>
      <c r="O1296" s="234">
        <v>5</v>
      </c>
      <c r="P1296" s="199">
        <f>TB_Parts_Lists[[#This Row],[Quantity Initial]]*TB_Parts_Lists[[#This Row],[Unit Price AED]]</f>
        <v>250</v>
      </c>
      <c r="Q1296" s="199">
        <f>TB_Parts_Lists[[#This Row],[Quantity Total]]*TB_Parts_Lists[[#This Row],[Unit Price AED]]</f>
        <v>250</v>
      </c>
      <c r="S1296" s="199" t="s">
        <v>122</v>
      </c>
      <c r="T1296" s="199" t="s">
        <v>254</v>
      </c>
      <c r="U1296" s="199" t="s">
        <v>253</v>
      </c>
    </row>
    <row r="1297" spans="1:21" s="199" customFormat="1" x14ac:dyDescent="0.25">
      <c r="A1297" s="192" t="s">
        <v>7840</v>
      </c>
      <c r="B1297" s="203" t="s">
        <v>3329</v>
      </c>
      <c r="C1297" s="188" t="s">
        <v>6804</v>
      </c>
      <c r="D1297" s="199" t="s">
        <v>8732</v>
      </c>
      <c r="E1297" s="188" t="s">
        <v>5587</v>
      </c>
      <c r="F1297" s="189" t="s">
        <v>4416</v>
      </c>
      <c r="G1297" s="199" t="s">
        <v>8306</v>
      </c>
      <c r="H1297" s="199" t="s">
        <v>8637</v>
      </c>
      <c r="I1297" s="199">
        <v>1</v>
      </c>
      <c r="J1297" s="199">
        <v>1</v>
      </c>
      <c r="K1297" s="199">
        <v>1</v>
      </c>
      <c r="L1297" s="199">
        <v>50</v>
      </c>
      <c r="M1297" s="202">
        <f>TB_Parts_Lists[[#This Row],[Quantity Initial]]+ SUMIF(TB_Transactions[Part number],TB_Parts_Lists[[#This Row],[Part Number]],TB_Transactions[Quantity])</f>
        <v>50</v>
      </c>
      <c r="N1297" s="200" t="s">
        <v>4593</v>
      </c>
      <c r="O1297" s="234">
        <v>5</v>
      </c>
      <c r="P1297" s="199">
        <f>TB_Parts_Lists[[#This Row],[Quantity Initial]]*TB_Parts_Lists[[#This Row],[Unit Price AED]]</f>
        <v>250</v>
      </c>
      <c r="Q1297" s="199">
        <f>TB_Parts_Lists[[#This Row],[Quantity Total]]*TB_Parts_Lists[[#This Row],[Unit Price AED]]</f>
        <v>250</v>
      </c>
      <c r="S1297" s="199" t="s">
        <v>8675</v>
      </c>
      <c r="T1297" s="199" t="s">
        <v>8675</v>
      </c>
      <c r="U1297" s="199" t="s">
        <v>8675</v>
      </c>
    </row>
    <row r="1298" spans="1:21" s="199" customFormat="1" x14ac:dyDescent="0.25">
      <c r="A1298" s="192" t="s">
        <v>7841</v>
      </c>
      <c r="B1298" s="203" t="s">
        <v>3330</v>
      </c>
      <c r="C1298" s="188" t="s">
        <v>7047</v>
      </c>
      <c r="D1298" s="199" t="s">
        <v>8732</v>
      </c>
      <c r="E1298" s="188" t="s">
        <v>5588</v>
      </c>
      <c r="F1298" s="189" t="s">
        <v>4417</v>
      </c>
      <c r="G1298" s="199" t="s">
        <v>8306</v>
      </c>
      <c r="H1298" s="199" t="s">
        <v>8637</v>
      </c>
      <c r="I1298" s="199">
        <v>1</v>
      </c>
      <c r="J1298" s="199">
        <v>1</v>
      </c>
      <c r="K1298" s="199">
        <v>1</v>
      </c>
      <c r="L1298" s="199">
        <v>50</v>
      </c>
      <c r="M1298" s="202">
        <f>TB_Parts_Lists[[#This Row],[Quantity Initial]]+ SUMIF(TB_Transactions[Part number],TB_Parts_Lists[[#This Row],[Part Number]],TB_Transactions[Quantity])</f>
        <v>50</v>
      </c>
      <c r="N1298" s="200" t="s">
        <v>4593</v>
      </c>
      <c r="O1298" s="234">
        <v>5</v>
      </c>
      <c r="P1298" s="199">
        <f>TB_Parts_Lists[[#This Row],[Quantity Initial]]*TB_Parts_Lists[[#This Row],[Unit Price AED]]</f>
        <v>250</v>
      </c>
      <c r="Q1298" s="199">
        <f>TB_Parts_Lists[[#This Row],[Quantity Total]]*TB_Parts_Lists[[#This Row],[Unit Price AED]]</f>
        <v>250</v>
      </c>
      <c r="S1298" s="199" t="s">
        <v>122</v>
      </c>
      <c r="T1298" s="199" t="s">
        <v>254</v>
      </c>
      <c r="U1298" s="199" t="s">
        <v>253</v>
      </c>
    </row>
    <row r="1299" spans="1:21" s="199" customFormat="1" x14ac:dyDescent="0.25">
      <c r="A1299" s="192" t="s">
        <v>7842</v>
      </c>
      <c r="B1299" s="203" t="s">
        <v>3330</v>
      </c>
      <c r="C1299" s="188" t="s">
        <v>7066</v>
      </c>
      <c r="D1299" s="199" t="s">
        <v>8732</v>
      </c>
      <c r="E1299" s="188" t="s">
        <v>1959</v>
      </c>
      <c r="F1299" s="189" t="s">
        <v>4418</v>
      </c>
      <c r="G1299" s="199" t="s">
        <v>8306</v>
      </c>
      <c r="H1299" s="199" t="s">
        <v>8637</v>
      </c>
      <c r="I1299" s="199">
        <v>1</v>
      </c>
      <c r="J1299" s="199">
        <v>1</v>
      </c>
      <c r="K1299" s="199">
        <v>1</v>
      </c>
      <c r="L1299" s="199">
        <v>50</v>
      </c>
      <c r="M1299" s="202">
        <f>TB_Parts_Lists[[#This Row],[Quantity Initial]]+ SUMIF(TB_Transactions[Part number],TB_Parts_Lists[[#This Row],[Part Number]],TB_Transactions[Quantity])</f>
        <v>50</v>
      </c>
      <c r="N1299" s="200" t="s">
        <v>4593</v>
      </c>
      <c r="O1299" s="234">
        <v>5</v>
      </c>
      <c r="P1299" s="199">
        <f>TB_Parts_Lists[[#This Row],[Quantity Initial]]*TB_Parts_Lists[[#This Row],[Unit Price AED]]</f>
        <v>250</v>
      </c>
      <c r="Q1299" s="199">
        <f>TB_Parts_Lists[[#This Row],[Quantity Total]]*TB_Parts_Lists[[#This Row],[Unit Price AED]]</f>
        <v>250</v>
      </c>
      <c r="S1299" s="199" t="s">
        <v>122</v>
      </c>
      <c r="T1299" s="199" t="s">
        <v>254</v>
      </c>
      <c r="U1299" s="199" t="s">
        <v>253</v>
      </c>
    </row>
    <row r="1300" spans="1:21" s="199" customFormat="1" x14ac:dyDescent="0.25">
      <c r="A1300" s="192" t="s">
        <v>7843</v>
      </c>
      <c r="B1300" s="203" t="s">
        <v>3330</v>
      </c>
      <c r="C1300" s="188" t="s">
        <v>7047</v>
      </c>
      <c r="D1300" s="199" t="s">
        <v>8732</v>
      </c>
      <c r="E1300" s="188" t="s">
        <v>5589</v>
      </c>
      <c r="F1300" s="189" t="s">
        <v>4419</v>
      </c>
      <c r="G1300" s="199" t="s">
        <v>8306</v>
      </c>
      <c r="H1300" s="199" t="s">
        <v>8637</v>
      </c>
      <c r="I1300" s="199">
        <v>1</v>
      </c>
      <c r="J1300" s="199">
        <v>1</v>
      </c>
      <c r="K1300" s="199">
        <v>1</v>
      </c>
      <c r="L1300" s="199">
        <v>50</v>
      </c>
      <c r="M1300" s="202">
        <f>TB_Parts_Lists[[#This Row],[Quantity Initial]]+ SUMIF(TB_Transactions[Part number],TB_Parts_Lists[[#This Row],[Part Number]],TB_Transactions[Quantity])</f>
        <v>50</v>
      </c>
      <c r="N1300" s="200" t="s">
        <v>4593</v>
      </c>
      <c r="O1300" s="234">
        <v>5</v>
      </c>
      <c r="P1300" s="199">
        <f>TB_Parts_Lists[[#This Row],[Quantity Initial]]*TB_Parts_Lists[[#This Row],[Unit Price AED]]</f>
        <v>250</v>
      </c>
      <c r="Q1300" s="199">
        <f>TB_Parts_Lists[[#This Row],[Quantity Total]]*TB_Parts_Lists[[#This Row],[Unit Price AED]]</f>
        <v>250</v>
      </c>
      <c r="S1300" s="199" t="s">
        <v>122</v>
      </c>
      <c r="T1300" s="199" t="s">
        <v>254</v>
      </c>
      <c r="U1300" s="199" t="s">
        <v>253</v>
      </c>
    </row>
    <row r="1301" spans="1:21" s="199" customFormat="1" x14ac:dyDescent="0.25">
      <c r="A1301" s="192" t="s">
        <v>7844</v>
      </c>
      <c r="B1301" s="203" t="s">
        <v>3330</v>
      </c>
      <c r="C1301" s="188" t="s">
        <v>7759</v>
      </c>
      <c r="D1301" s="188" t="s">
        <v>8724</v>
      </c>
      <c r="E1301" s="188" t="s">
        <v>5590</v>
      </c>
      <c r="F1301" s="189" t="s">
        <v>4420</v>
      </c>
      <c r="G1301" s="199" t="s">
        <v>8306</v>
      </c>
      <c r="H1301" s="199" t="s">
        <v>8637</v>
      </c>
      <c r="I1301" s="199">
        <v>1</v>
      </c>
      <c r="J1301" s="199">
        <v>1</v>
      </c>
      <c r="K1301" s="199">
        <v>1</v>
      </c>
      <c r="L1301" s="199">
        <v>50</v>
      </c>
      <c r="M1301" s="202">
        <f>TB_Parts_Lists[[#This Row],[Quantity Initial]]+ SUMIF(TB_Transactions[Part number],TB_Parts_Lists[[#This Row],[Part Number]],TB_Transactions[Quantity])</f>
        <v>50</v>
      </c>
      <c r="N1301" s="200" t="s">
        <v>4593</v>
      </c>
      <c r="O1301" s="234">
        <v>5</v>
      </c>
      <c r="P1301" s="199">
        <f>TB_Parts_Lists[[#This Row],[Quantity Initial]]*TB_Parts_Lists[[#This Row],[Unit Price AED]]</f>
        <v>250</v>
      </c>
      <c r="Q1301" s="199">
        <f>TB_Parts_Lists[[#This Row],[Quantity Total]]*TB_Parts_Lists[[#This Row],[Unit Price AED]]</f>
        <v>250</v>
      </c>
      <c r="S1301" s="199" t="s">
        <v>8675</v>
      </c>
      <c r="T1301" s="199" t="s">
        <v>8675</v>
      </c>
      <c r="U1301" s="199" t="s">
        <v>8675</v>
      </c>
    </row>
    <row r="1302" spans="1:21" s="199" customFormat="1" x14ac:dyDescent="0.25">
      <c r="A1302" s="192" t="s">
        <v>7845</v>
      </c>
      <c r="B1302" s="203" t="s">
        <v>3330</v>
      </c>
      <c r="C1302" s="188" t="s">
        <v>7809</v>
      </c>
      <c r="D1302" s="199" t="s">
        <v>8732</v>
      </c>
      <c r="E1302" s="188" t="s">
        <v>1960</v>
      </c>
      <c r="F1302" s="189" t="s">
        <v>4421</v>
      </c>
      <c r="G1302" s="199" t="s">
        <v>8306</v>
      </c>
      <c r="H1302" s="199" t="s">
        <v>8637</v>
      </c>
      <c r="I1302" s="199">
        <v>1</v>
      </c>
      <c r="J1302" s="199">
        <v>1</v>
      </c>
      <c r="K1302" s="199">
        <v>1</v>
      </c>
      <c r="L1302" s="199">
        <v>50</v>
      </c>
      <c r="M1302" s="202">
        <f>TB_Parts_Lists[[#This Row],[Quantity Initial]]+ SUMIF(TB_Transactions[Part number],TB_Parts_Lists[[#This Row],[Part Number]],TB_Transactions[Quantity])</f>
        <v>50</v>
      </c>
      <c r="N1302" s="200" t="s">
        <v>4593</v>
      </c>
      <c r="O1302" s="234">
        <v>5</v>
      </c>
      <c r="P1302" s="199">
        <f>TB_Parts_Lists[[#This Row],[Quantity Initial]]*TB_Parts_Lists[[#This Row],[Unit Price AED]]</f>
        <v>250</v>
      </c>
      <c r="Q1302" s="199">
        <f>TB_Parts_Lists[[#This Row],[Quantity Total]]*TB_Parts_Lists[[#This Row],[Unit Price AED]]</f>
        <v>250</v>
      </c>
      <c r="S1302" s="199" t="s">
        <v>122</v>
      </c>
      <c r="T1302" s="199" t="s">
        <v>254</v>
      </c>
      <c r="U1302" s="199" t="s">
        <v>253</v>
      </c>
    </row>
    <row r="1303" spans="1:21" s="199" customFormat="1" x14ac:dyDescent="0.25">
      <c r="A1303" s="192" t="s">
        <v>7846</v>
      </c>
      <c r="B1303" s="203" t="s">
        <v>3330</v>
      </c>
      <c r="C1303" s="188" t="s">
        <v>3338</v>
      </c>
      <c r="D1303" s="188" t="s">
        <v>8724</v>
      </c>
      <c r="E1303" s="188" t="s">
        <v>1958</v>
      </c>
      <c r="F1303" s="189" t="s">
        <v>4422</v>
      </c>
      <c r="G1303" s="199" t="s">
        <v>8306</v>
      </c>
      <c r="H1303" s="199" t="s">
        <v>8637</v>
      </c>
      <c r="I1303" s="199">
        <v>1</v>
      </c>
      <c r="J1303" s="199">
        <v>1</v>
      </c>
      <c r="K1303" s="199">
        <v>1</v>
      </c>
      <c r="L1303" s="199">
        <v>50</v>
      </c>
      <c r="M1303" s="202">
        <f>TB_Parts_Lists[[#This Row],[Quantity Initial]]+ SUMIF(TB_Transactions[Part number],TB_Parts_Lists[[#This Row],[Part Number]],TB_Transactions[Quantity])</f>
        <v>50</v>
      </c>
      <c r="N1303" s="200" t="s">
        <v>4593</v>
      </c>
      <c r="O1303" s="234">
        <v>5</v>
      </c>
      <c r="P1303" s="199">
        <f>TB_Parts_Lists[[#This Row],[Quantity Initial]]*TB_Parts_Lists[[#This Row],[Unit Price AED]]</f>
        <v>250</v>
      </c>
      <c r="Q1303" s="199">
        <f>TB_Parts_Lists[[#This Row],[Quantity Total]]*TB_Parts_Lists[[#This Row],[Unit Price AED]]</f>
        <v>250</v>
      </c>
      <c r="S1303" s="199" t="s">
        <v>122</v>
      </c>
      <c r="T1303" s="199" t="s">
        <v>254</v>
      </c>
      <c r="U1303" s="199" t="s">
        <v>253</v>
      </c>
    </row>
    <row r="1304" spans="1:21" s="199" customFormat="1" x14ac:dyDescent="0.25">
      <c r="A1304" s="192" t="s">
        <v>7847</v>
      </c>
      <c r="B1304" s="203" t="s">
        <v>3330</v>
      </c>
      <c r="C1304" s="188" t="s">
        <v>7047</v>
      </c>
      <c r="D1304" s="199" t="s">
        <v>8732</v>
      </c>
      <c r="E1304" s="188" t="s">
        <v>5591</v>
      </c>
      <c r="F1304" s="189" t="s">
        <v>4423</v>
      </c>
      <c r="G1304" s="199" t="s">
        <v>8306</v>
      </c>
      <c r="H1304" s="199" t="s">
        <v>8637</v>
      </c>
      <c r="I1304" s="199">
        <v>1</v>
      </c>
      <c r="J1304" s="199">
        <v>1</v>
      </c>
      <c r="K1304" s="199">
        <v>1</v>
      </c>
      <c r="L1304" s="199">
        <v>50</v>
      </c>
      <c r="M1304" s="202">
        <f>TB_Parts_Lists[[#This Row],[Quantity Initial]]+ SUMIF(TB_Transactions[Part number],TB_Parts_Lists[[#This Row],[Part Number]],TB_Transactions[Quantity])</f>
        <v>50</v>
      </c>
      <c r="N1304" s="200" t="s">
        <v>4593</v>
      </c>
      <c r="O1304" s="234">
        <v>5</v>
      </c>
      <c r="P1304" s="199">
        <f>TB_Parts_Lists[[#This Row],[Quantity Initial]]*TB_Parts_Lists[[#This Row],[Unit Price AED]]</f>
        <v>250</v>
      </c>
      <c r="Q1304" s="199">
        <f>TB_Parts_Lists[[#This Row],[Quantity Total]]*TB_Parts_Lists[[#This Row],[Unit Price AED]]</f>
        <v>250</v>
      </c>
      <c r="S1304" s="199" t="s">
        <v>122</v>
      </c>
      <c r="T1304" s="199" t="s">
        <v>254</v>
      </c>
      <c r="U1304" s="199" t="s">
        <v>253</v>
      </c>
    </row>
    <row r="1305" spans="1:21" s="199" customFormat="1" x14ac:dyDescent="0.25">
      <c r="A1305" s="192" t="s">
        <v>7848</v>
      </c>
      <c r="B1305" s="203" t="s">
        <v>3330</v>
      </c>
      <c r="C1305" s="188" t="s">
        <v>7066</v>
      </c>
      <c r="D1305" s="188" t="s">
        <v>8724</v>
      </c>
      <c r="E1305" s="188" t="s">
        <v>4528</v>
      </c>
      <c r="F1305" s="189" t="s">
        <v>4424</v>
      </c>
      <c r="G1305" s="199" t="s">
        <v>8306</v>
      </c>
      <c r="H1305" s="199" t="s">
        <v>8637</v>
      </c>
      <c r="I1305" s="199">
        <v>1</v>
      </c>
      <c r="J1305" s="199">
        <v>1</v>
      </c>
      <c r="K1305" s="199">
        <v>1</v>
      </c>
      <c r="L1305" s="199">
        <v>50</v>
      </c>
      <c r="M1305" s="202">
        <f>TB_Parts_Lists[[#This Row],[Quantity Initial]]+ SUMIF(TB_Transactions[Part number],TB_Parts_Lists[[#This Row],[Part Number]],TB_Transactions[Quantity])</f>
        <v>50</v>
      </c>
      <c r="N1305" s="200" t="s">
        <v>4593</v>
      </c>
      <c r="O1305" s="234">
        <v>5</v>
      </c>
      <c r="P1305" s="199">
        <f>TB_Parts_Lists[[#This Row],[Quantity Initial]]*TB_Parts_Lists[[#This Row],[Unit Price AED]]</f>
        <v>250</v>
      </c>
      <c r="Q1305" s="199">
        <f>TB_Parts_Lists[[#This Row],[Quantity Total]]*TB_Parts_Lists[[#This Row],[Unit Price AED]]</f>
        <v>250</v>
      </c>
      <c r="S1305" s="199" t="s">
        <v>8675</v>
      </c>
      <c r="T1305" s="199" t="s">
        <v>8675</v>
      </c>
      <c r="U1305" s="199" t="s">
        <v>8675</v>
      </c>
    </row>
    <row r="1306" spans="1:21" s="199" customFormat="1" x14ac:dyDescent="0.25">
      <c r="A1306" s="192" t="s">
        <v>7849</v>
      </c>
      <c r="B1306" s="203" t="s">
        <v>3330</v>
      </c>
      <c r="C1306" s="188" t="s">
        <v>7047</v>
      </c>
      <c r="D1306" s="199" t="s">
        <v>8732</v>
      </c>
      <c r="E1306" s="188" t="s">
        <v>5592</v>
      </c>
      <c r="F1306" s="189" t="s">
        <v>4425</v>
      </c>
      <c r="G1306" s="199" t="s">
        <v>8306</v>
      </c>
      <c r="H1306" s="199" t="s">
        <v>8637</v>
      </c>
      <c r="I1306" s="199">
        <v>1</v>
      </c>
      <c r="J1306" s="199">
        <v>1</v>
      </c>
      <c r="K1306" s="199">
        <v>1</v>
      </c>
      <c r="L1306" s="199">
        <v>50</v>
      </c>
      <c r="M1306" s="202">
        <f>TB_Parts_Lists[[#This Row],[Quantity Initial]]+ SUMIF(TB_Transactions[Part number],TB_Parts_Lists[[#This Row],[Part Number]],TB_Transactions[Quantity])</f>
        <v>50</v>
      </c>
      <c r="N1306" s="200" t="s">
        <v>4593</v>
      </c>
      <c r="O1306" s="234">
        <v>5</v>
      </c>
      <c r="P1306" s="199">
        <f>TB_Parts_Lists[[#This Row],[Quantity Initial]]*TB_Parts_Lists[[#This Row],[Unit Price AED]]</f>
        <v>250</v>
      </c>
      <c r="Q1306" s="199">
        <f>TB_Parts_Lists[[#This Row],[Quantity Total]]*TB_Parts_Lists[[#This Row],[Unit Price AED]]</f>
        <v>250</v>
      </c>
      <c r="S1306" s="199" t="s">
        <v>122</v>
      </c>
      <c r="T1306" s="199" t="s">
        <v>254</v>
      </c>
      <c r="U1306" s="199" t="s">
        <v>253</v>
      </c>
    </row>
    <row r="1307" spans="1:21" s="199" customFormat="1" x14ac:dyDescent="0.25">
      <c r="A1307" s="192" t="s">
        <v>7850</v>
      </c>
      <c r="B1307" s="203" t="s">
        <v>3330</v>
      </c>
      <c r="C1307" s="188" t="s">
        <v>7047</v>
      </c>
      <c r="D1307" s="199" t="s">
        <v>8732</v>
      </c>
      <c r="E1307" s="188" t="s">
        <v>5593</v>
      </c>
      <c r="F1307" s="189" t="s">
        <v>4426</v>
      </c>
      <c r="G1307" s="199" t="s">
        <v>8306</v>
      </c>
      <c r="H1307" s="199" t="s">
        <v>8637</v>
      </c>
      <c r="I1307" s="199">
        <v>1</v>
      </c>
      <c r="J1307" s="199">
        <v>1</v>
      </c>
      <c r="K1307" s="199">
        <v>1</v>
      </c>
      <c r="L1307" s="199">
        <v>50</v>
      </c>
      <c r="M1307" s="202">
        <f>TB_Parts_Lists[[#This Row],[Quantity Initial]]+ SUMIF(TB_Transactions[Part number],TB_Parts_Lists[[#This Row],[Part Number]],TB_Transactions[Quantity])</f>
        <v>50</v>
      </c>
      <c r="N1307" s="200" t="s">
        <v>4593</v>
      </c>
      <c r="O1307" s="234">
        <v>5</v>
      </c>
      <c r="P1307" s="199">
        <f>TB_Parts_Lists[[#This Row],[Quantity Initial]]*TB_Parts_Lists[[#This Row],[Unit Price AED]]</f>
        <v>250</v>
      </c>
      <c r="Q1307" s="199">
        <f>TB_Parts_Lists[[#This Row],[Quantity Total]]*TB_Parts_Lists[[#This Row],[Unit Price AED]]</f>
        <v>250</v>
      </c>
      <c r="S1307" s="199" t="s">
        <v>122</v>
      </c>
      <c r="T1307" s="199" t="s">
        <v>254</v>
      </c>
      <c r="U1307" s="199" t="s">
        <v>253</v>
      </c>
    </row>
    <row r="1308" spans="1:21" s="199" customFormat="1" x14ac:dyDescent="0.25">
      <c r="A1308" s="192" t="s">
        <v>7851</v>
      </c>
      <c r="B1308" s="203" t="s">
        <v>3329</v>
      </c>
      <c r="C1308" s="188" t="s">
        <v>6940</v>
      </c>
      <c r="D1308" s="188" t="s">
        <v>8724</v>
      </c>
      <c r="E1308" s="188" t="s">
        <v>4668</v>
      </c>
      <c r="F1308" s="189" t="s">
        <v>4427</v>
      </c>
      <c r="G1308" s="199" t="s">
        <v>8306</v>
      </c>
      <c r="H1308" s="199" t="e">
        <v>#N/A</v>
      </c>
      <c r="I1308" s="199">
        <v>1</v>
      </c>
      <c r="J1308" s="199">
        <v>1</v>
      </c>
      <c r="K1308" s="199">
        <v>1</v>
      </c>
      <c r="L1308" s="199">
        <v>50</v>
      </c>
      <c r="M1308" s="202">
        <f>TB_Parts_Lists[[#This Row],[Quantity Initial]]+ SUMIF(TB_Transactions[Part number],TB_Parts_Lists[[#This Row],[Part Number]],TB_Transactions[Quantity])</f>
        <v>50</v>
      </c>
      <c r="N1308" s="200" t="s">
        <v>4593</v>
      </c>
      <c r="O1308" s="234">
        <v>5</v>
      </c>
      <c r="P1308" s="199">
        <f>TB_Parts_Lists[[#This Row],[Quantity Initial]]*TB_Parts_Lists[[#This Row],[Unit Price AED]]</f>
        <v>250</v>
      </c>
      <c r="Q1308" s="199">
        <f>TB_Parts_Lists[[#This Row],[Quantity Total]]*TB_Parts_Lists[[#This Row],[Unit Price AED]]</f>
        <v>250</v>
      </c>
      <c r="S1308" s="199" t="e">
        <v>#N/A</v>
      </c>
      <c r="T1308" s="199" t="e">
        <v>#N/A</v>
      </c>
      <c r="U1308" s="199" t="e">
        <v>#N/A</v>
      </c>
    </row>
    <row r="1309" spans="1:21" s="199" customFormat="1" x14ac:dyDescent="0.25">
      <c r="A1309" s="192" t="s">
        <v>7852</v>
      </c>
      <c r="B1309" s="203" t="s">
        <v>3329</v>
      </c>
      <c r="C1309" s="188" t="s">
        <v>6804</v>
      </c>
      <c r="D1309" s="188" t="s">
        <v>8724</v>
      </c>
      <c r="E1309" s="188" t="s">
        <v>5594</v>
      </c>
      <c r="F1309" s="189" t="s">
        <v>4428</v>
      </c>
      <c r="G1309" s="199" t="s">
        <v>8306</v>
      </c>
      <c r="H1309" s="199" t="s">
        <v>8637</v>
      </c>
      <c r="I1309" s="199">
        <v>1</v>
      </c>
      <c r="J1309" s="199">
        <v>1</v>
      </c>
      <c r="K1309" s="199">
        <v>1</v>
      </c>
      <c r="L1309" s="199">
        <v>50</v>
      </c>
      <c r="M1309" s="202">
        <f>TB_Parts_Lists[[#This Row],[Quantity Initial]]+ SUMIF(TB_Transactions[Part number],TB_Parts_Lists[[#This Row],[Part Number]],TB_Transactions[Quantity])</f>
        <v>50</v>
      </c>
      <c r="N1309" s="200" t="s">
        <v>4593</v>
      </c>
      <c r="O1309" s="234">
        <v>5</v>
      </c>
      <c r="P1309" s="199">
        <f>TB_Parts_Lists[[#This Row],[Quantity Initial]]*TB_Parts_Lists[[#This Row],[Unit Price AED]]</f>
        <v>250</v>
      </c>
      <c r="Q1309" s="199">
        <f>TB_Parts_Lists[[#This Row],[Quantity Total]]*TB_Parts_Lists[[#This Row],[Unit Price AED]]</f>
        <v>250</v>
      </c>
      <c r="S1309" s="199" t="s">
        <v>8675</v>
      </c>
      <c r="T1309" s="199" t="s">
        <v>8675</v>
      </c>
      <c r="U1309" s="199" t="s">
        <v>8675</v>
      </c>
    </row>
    <row r="1310" spans="1:21" s="199" customFormat="1" x14ac:dyDescent="0.25">
      <c r="A1310" s="192" t="s">
        <v>7853</v>
      </c>
      <c r="B1310" s="203" t="s">
        <v>4697</v>
      </c>
      <c r="C1310" s="188" t="s">
        <v>4700</v>
      </c>
      <c r="D1310" s="188" t="s">
        <v>8724</v>
      </c>
      <c r="E1310" s="188" t="s">
        <v>4529</v>
      </c>
      <c r="F1310" s="189" t="s">
        <v>4429</v>
      </c>
      <c r="G1310" s="199" t="s">
        <v>8306</v>
      </c>
      <c r="H1310" s="199" t="s">
        <v>8637</v>
      </c>
      <c r="I1310" s="199">
        <v>1</v>
      </c>
      <c r="J1310" s="199">
        <v>1</v>
      </c>
      <c r="K1310" s="199">
        <v>1</v>
      </c>
      <c r="L1310" s="199">
        <v>50</v>
      </c>
      <c r="M1310" s="202">
        <f>TB_Parts_Lists[[#This Row],[Quantity Initial]]+ SUMIF(TB_Transactions[Part number],TB_Parts_Lists[[#This Row],[Part Number]],TB_Transactions[Quantity])</f>
        <v>50</v>
      </c>
      <c r="N1310" s="200" t="s">
        <v>4593</v>
      </c>
      <c r="O1310" s="234">
        <v>5</v>
      </c>
      <c r="P1310" s="199">
        <f>TB_Parts_Lists[[#This Row],[Quantity Initial]]*TB_Parts_Lists[[#This Row],[Unit Price AED]]</f>
        <v>250</v>
      </c>
      <c r="Q1310" s="199">
        <f>TB_Parts_Lists[[#This Row],[Quantity Total]]*TB_Parts_Lists[[#This Row],[Unit Price AED]]</f>
        <v>250</v>
      </c>
      <c r="S1310" s="199" t="s">
        <v>122</v>
      </c>
      <c r="T1310" s="199" t="s">
        <v>254</v>
      </c>
      <c r="U1310" s="199" t="s">
        <v>253</v>
      </c>
    </row>
    <row r="1311" spans="1:21" s="199" customFormat="1" x14ac:dyDescent="0.25">
      <c r="A1311" s="192" t="s">
        <v>7855</v>
      </c>
      <c r="B1311" s="203" t="s">
        <v>3330</v>
      </c>
      <c r="C1311" s="188" t="s">
        <v>7854</v>
      </c>
      <c r="D1311" s="199" t="s">
        <v>8732</v>
      </c>
      <c r="E1311" s="188" t="s">
        <v>4430</v>
      </c>
      <c r="F1311" s="189" t="s">
        <v>4431</v>
      </c>
      <c r="G1311" s="199" t="s">
        <v>8306</v>
      </c>
      <c r="H1311" s="199" t="s">
        <v>8637</v>
      </c>
      <c r="I1311" s="199">
        <v>1</v>
      </c>
      <c r="J1311" s="199">
        <v>1</v>
      </c>
      <c r="K1311" s="199">
        <v>1</v>
      </c>
      <c r="L1311" s="199">
        <v>50</v>
      </c>
      <c r="M1311" s="202">
        <f>TB_Parts_Lists[[#This Row],[Quantity Initial]]+ SUMIF(TB_Transactions[Part number],TB_Parts_Lists[[#This Row],[Part Number]],TB_Transactions[Quantity])</f>
        <v>50</v>
      </c>
      <c r="N1311" s="200" t="s">
        <v>4593</v>
      </c>
      <c r="O1311" s="234">
        <v>5</v>
      </c>
      <c r="P1311" s="199">
        <f>TB_Parts_Lists[[#This Row],[Quantity Initial]]*TB_Parts_Lists[[#This Row],[Unit Price AED]]</f>
        <v>250</v>
      </c>
      <c r="Q1311" s="199">
        <f>TB_Parts_Lists[[#This Row],[Quantity Total]]*TB_Parts_Lists[[#This Row],[Unit Price AED]]</f>
        <v>250</v>
      </c>
      <c r="S1311" s="199" t="s">
        <v>8675</v>
      </c>
      <c r="T1311" s="199" t="s">
        <v>8675</v>
      </c>
      <c r="U1311" s="199" t="s">
        <v>8675</v>
      </c>
    </row>
    <row r="1312" spans="1:21" s="199" customFormat="1" x14ac:dyDescent="0.25">
      <c r="A1312" s="192" t="s">
        <v>7856</v>
      </c>
      <c r="B1312" s="203" t="s">
        <v>3334</v>
      </c>
      <c r="C1312" s="188" t="s">
        <v>3367</v>
      </c>
      <c r="D1312" s="199" t="s">
        <v>8732</v>
      </c>
      <c r="E1312" s="188" t="s">
        <v>5595</v>
      </c>
      <c r="F1312" s="189" t="s">
        <v>4432</v>
      </c>
      <c r="G1312" s="199" t="s">
        <v>8306</v>
      </c>
      <c r="H1312" s="199" t="s">
        <v>123</v>
      </c>
      <c r="I1312" s="199">
        <v>1</v>
      </c>
      <c r="J1312" s="199">
        <v>1</v>
      </c>
      <c r="K1312" s="199">
        <v>1</v>
      </c>
      <c r="L1312" s="199">
        <v>50</v>
      </c>
      <c r="M1312" s="202">
        <f>TB_Parts_Lists[[#This Row],[Quantity Initial]]+ SUMIF(TB_Transactions[Part number],TB_Parts_Lists[[#This Row],[Part Number]],TB_Transactions[Quantity])</f>
        <v>50</v>
      </c>
      <c r="N1312" s="200" t="s">
        <v>4593</v>
      </c>
      <c r="O1312" s="234">
        <v>5</v>
      </c>
      <c r="P1312" s="199">
        <f>TB_Parts_Lists[[#This Row],[Quantity Initial]]*TB_Parts_Lists[[#This Row],[Unit Price AED]]</f>
        <v>250</v>
      </c>
      <c r="Q1312" s="199">
        <f>TB_Parts_Lists[[#This Row],[Quantity Total]]*TB_Parts_Lists[[#This Row],[Unit Price AED]]</f>
        <v>250</v>
      </c>
      <c r="S1312" s="199" t="s">
        <v>122</v>
      </c>
      <c r="T1312" s="199" t="s">
        <v>8696</v>
      </c>
      <c r="U1312" s="199" t="s">
        <v>292</v>
      </c>
    </row>
    <row r="1313" spans="1:21" s="199" customFormat="1" x14ac:dyDescent="0.25">
      <c r="A1313" s="192" t="s">
        <v>7857</v>
      </c>
      <c r="B1313" s="203" t="s">
        <v>3329</v>
      </c>
      <c r="C1313" s="188" t="s">
        <v>6940</v>
      </c>
      <c r="D1313" s="188" t="s">
        <v>8724</v>
      </c>
      <c r="E1313" s="188" t="s">
        <v>5596</v>
      </c>
      <c r="F1313" s="189" t="s">
        <v>4433</v>
      </c>
      <c r="G1313" s="199" t="s">
        <v>8306</v>
      </c>
      <c r="H1313" s="199" t="s">
        <v>8637</v>
      </c>
      <c r="I1313" s="199">
        <v>1</v>
      </c>
      <c r="J1313" s="199">
        <v>1</v>
      </c>
      <c r="K1313" s="199">
        <v>1</v>
      </c>
      <c r="L1313" s="199">
        <v>50</v>
      </c>
      <c r="M1313" s="202">
        <f>TB_Parts_Lists[[#This Row],[Quantity Initial]]+ SUMIF(TB_Transactions[Part number],TB_Parts_Lists[[#This Row],[Part Number]],TB_Transactions[Quantity])</f>
        <v>50</v>
      </c>
      <c r="N1313" s="200" t="s">
        <v>4593</v>
      </c>
      <c r="O1313" s="234">
        <v>5</v>
      </c>
      <c r="P1313" s="199">
        <f>TB_Parts_Lists[[#This Row],[Quantity Initial]]*TB_Parts_Lists[[#This Row],[Unit Price AED]]</f>
        <v>250</v>
      </c>
      <c r="Q1313" s="199">
        <f>TB_Parts_Lists[[#This Row],[Quantity Total]]*TB_Parts_Lists[[#This Row],[Unit Price AED]]</f>
        <v>250</v>
      </c>
      <c r="S1313" s="199" t="s">
        <v>122</v>
      </c>
      <c r="T1313" s="199" t="s">
        <v>254</v>
      </c>
      <c r="U1313" s="199" t="s">
        <v>253</v>
      </c>
    </row>
    <row r="1314" spans="1:21" s="199" customFormat="1" x14ac:dyDescent="0.25">
      <c r="A1314" s="192" t="s">
        <v>7858</v>
      </c>
      <c r="B1314" s="203" t="s">
        <v>3330</v>
      </c>
      <c r="C1314" s="188" t="s">
        <v>7047</v>
      </c>
      <c r="D1314" s="199" t="s">
        <v>8732</v>
      </c>
      <c r="E1314" s="188" t="s">
        <v>5597</v>
      </c>
      <c r="F1314" s="189" t="s">
        <v>4434</v>
      </c>
      <c r="G1314" s="199" t="s">
        <v>8306</v>
      </c>
      <c r="H1314" s="199" t="s">
        <v>8637</v>
      </c>
      <c r="I1314" s="199">
        <v>1</v>
      </c>
      <c r="J1314" s="199">
        <v>1</v>
      </c>
      <c r="K1314" s="199">
        <v>1</v>
      </c>
      <c r="L1314" s="199">
        <v>50</v>
      </c>
      <c r="M1314" s="202">
        <f>TB_Parts_Lists[[#This Row],[Quantity Initial]]+ SUMIF(TB_Transactions[Part number],TB_Parts_Lists[[#This Row],[Part Number]],TB_Transactions[Quantity])</f>
        <v>50</v>
      </c>
      <c r="N1314" s="200" t="s">
        <v>4593</v>
      </c>
      <c r="O1314" s="234">
        <v>5</v>
      </c>
      <c r="P1314" s="199">
        <f>TB_Parts_Lists[[#This Row],[Quantity Initial]]*TB_Parts_Lists[[#This Row],[Unit Price AED]]</f>
        <v>250</v>
      </c>
      <c r="Q1314" s="199">
        <f>TB_Parts_Lists[[#This Row],[Quantity Total]]*TB_Parts_Lists[[#This Row],[Unit Price AED]]</f>
        <v>250</v>
      </c>
      <c r="S1314" s="199" t="s">
        <v>122</v>
      </c>
      <c r="T1314" s="199" t="s">
        <v>254</v>
      </c>
      <c r="U1314" s="199" t="s">
        <v>253</v>
      </c>
    </row>
    <row r="1315" spans="1:21" s="199" customFormat="1" x14ac:dyDescent="0.25">
      <c r="A1315" s="192" t="s">
        <v>7859</v>
      </c>
      <c r="B1315" s="203" t="s">
        <v>3330</v>
      </c>
      <c r="C1315" s="188" t="s">
        <v>7047</v>
      </c>
      <c r="D1315" s="199" t="s">
        <v>8732</v>
      </c>
      <c r="E1315" s="188" t="s">
        <v>5598</v>
      </c>
      <c r="F1315" s="189" t="s">
        <v>4435</v>
      </c>
      <c r="G1315" s="199" t="s">
        <v>8306</v>
      </c>
      <c r="H1315" s="199" t="s">
        <v>8637</v>
      </c>
      <c r="I1315" s="199">
        <v>1</v>
      </c>
      <c r="J1315" s="199">
        <v>1</v>
      </c>
      <c r="K1315" s="199">
        <v>1</v>
      </c>
      <c r="L1315" s="199">
        <v>50</v>
      </c>
      <c r="M1315" s="202">
        <f>TB_Parts_Lists[[#This Row],[Quantity Initial]]+ SUMIF(TB_Transactions[Part number],TB_Parts_Lists[[#This Row],[Part Number]],TB_Transactions[Quantity])</f>
        <v>50</v>
      </c>
      <c r="N1315" s="200" t="s">
        <v>4593</v>
      </c>
      <c r="O1315" s="234">
        <v>5</v>
      </c>
      <c r="P1315" s="199">
        <f>TB_Parts_Lists[[#This Row],[Quantity Initial]]*TB_Parts_Lists[[#This Row],[Unit Price AED]]</f>
        <v>250</v>
      </c>
      <c r="Q1315" s="199">
        <f>TB_Parts_Lists[[#This Row],[Quantity Total]]*TB_Parts_Lists[[#This Row],[Unit Price AED]]</f>
        <v>250</v>
      </c>
      <c r="S1315" s="199" t="s">
        <v>122</v>
      </c>
      <c r="T1315" s="199" t="s">
        <v>254</v>
      </c>
      <c r="U1315" s="199" t="s">
        <v>253</v>
      </c>
    </row>
    <row r="1316" spans="1:21" s="199" customFormat="1" x14ac:dyDescent="0.25">
      <c r="A1316" s="192" t="s">
        <v>7860</v>
      </c>
      <c r="B1316" s="203" t="s">
        <v>3330</v>
      </c>
      <c r="C1316" s="188" t="s">
        <v>7047</v>
      </c>
      <c r="D1316" s="199" t="s">
        <v>8732</v>
      </c>
      <c r="E1316" s="188" t="s">
        <v>5599</v>
      </c>
      <c r="F1316" s="189" t="s">
        <v>4436</v>
      </c>
      <c r="G1316" s="199" t="s">
        <v>8306</v>
      </c>
      <c r="H1316" s="199" t="s">
        <v>8637</v>
      </c>
      <c r="I1316" s="199">
        <v>1</v>
      </c>
      <c r="J1316" s="199">
        <v>1</v>
      </c>
      <c r="K1316" s="199">
        <v>1</v>
      </c>
      <c r="L1316" s="199">
        <v>50</v>
      </c>
      <c r="M1316" s="202">
        <f>TB_Parts_Lists[[#This Row],[Quantity Initial]]+ SUMIF(TB_Transactions[Part number],TB_Parts_Lists[[#This Row],[Part Number]],TB_Transactions[Quantity])</f>
        <v>50</v>
      </c>
      <c r="N1316" s="200" t="s">
        <v>4593</v>
      </c>
      <c r="O1316" s="234">
        <v>5</v>
      </c>
      <c r="P1316" s="199">
        <f>TB_Parts_Lists[[#This Row],[Quantity Initial]]*TB_Parts_Lists[[#This Row],[Unit Price AED]]</f>
        <v>250</v>
      </c>
      <c r="Q1316" s="199">
        <f>TB_Parts_Lists[[#This Row],[Quantity Total]]*TB_Parts_Lists[[#This Row],[Unit Price AED]]</f>
        <v>250</v>
      </c>
      <c r="S1316" s="199" t="s">
        <v>122</v>
      </c>
      <c r="T1316" s="199" t="s">
        <v>254</v>
      </c>
      <c r="U1316" s="199" t="s">
        <v>253</v>
      </c>
    </row>
    <row r="1317" spans="1:21" s="199" customFormat="1" x14ac:dyDescent="0.25">
      <c r="A1317" s="192" t="s">
        <v>7861</v>
      </c>
      <c r="B1317" s="203" t="s">
        <v>3330</v>
      </c>
      <c r="C1317" s="188" t="s">
        <v>7047</v>
      </c>
      <c r="D1317" s="188" t="s">
        <v>8724</v>
      </c>
      <c r="E1317" s="188" t="s">
        <v>4669</v>
      </c>
      <c r="F1317" s="189" t="s">
        <v>4437</v>
      </c>
      <c r="G1317" s="199" t="s">
        <v>8306</v>
      </c>
      <c r="H1317" s="199" t="s">
        <v>8637</v>
      </c>
      <c r="I1317" s="199">
        <v>1</v>
      </c>
      <c r="J1317" s="199">
        <v>1</v>
      </c>
      <c r="K1317" s="199">
        <v>1</v>
      </c>
      <c r="L1317" s="199">
        <v>50</v>
      </c>
      <c r="M1317" s="202">
        <f>TB_Parts_Lists[[#This Row],[Quantity Initial]]+ SUMIF(TB_Transactions[Part number],TB_Parts_Lists[[#This Row],[Part Number]],TB_Transactions[Quantity])</f>
        <v>50</v>
      </c>
      <c r="N1317" s="200" t="s">
        <v>4593</v>
      </c>
      <c r="O1317" s="234">
        <v>5</v>
      </c>
      <c r="P1317" s="199">
        <f>TB_Parts_Lists[[#This Row],[Quantity Initial]]*TB_Parts_Lists[[#This Row],[Unit Price AED]]</f>
        <v>250</v>
      </c>
      <c r="Q1317" s="199">
        <f>TB_Parts_Lists[[#This Row],[Quantity Total]]*TB_Parts_Lists[[#This Row],[Unit Price AED]]</f>
        <v>250</v>
      </c>
      <c r="S1317" s="199" t="s">
        <v>122</v>
      </c>
      <c r="T1317" s="199" t="s">
        <v>254</v>
      </c>
      <c r="U1317" s="199" t="s">
        <v>253</v>
      </c>
    </row>
    <row r="1318" spans="1:21" s="199" customFormat="1" x14ac:dyDescent="0.25">
      <c r="A1318" s="192" t="s">
        <v>7862</v>
      </c>
      <c r="B1318" s="203" t="s">
        <v>3330</v>
      </c>
      <c r="C1318" s="188" t="s">
        <v>7047</v>
      </c>
      <c r="D1318" s="199" t="s">
        <v>8732</v>
      </c>
      <c r="E1318" s="188" t="s">
        <v>5600</v>
      </c>
      <c r="F1318" s="189" t="s">
        <v>4438</v>
      </c>
      <c r="G1318" s="199" t="s">
        <v>8306</v>
      </c>
      <c r="H1318" s="199" t="s">
        <v>8637</v>
      </c>
      <c r="I1318" s="199">
        <v>1</v>
      </c>
      <c r="J1318" s="199">
        <v>1</v>
      </c>
      <c r="K1318" s="199">
        <v>1</v>
      </c>
      <c r="L1318" s="199">
        <v>50</v>
      </c>
      <c r="M1318" s="202">
        <f>TB_Parts_Lists[[#This Row],[Quantity Initial]]+ SUMIF(TB_Transactions[Part number],TB_Parts_Lists[[#This Row],[Part Number]],TB_Transactions[Quantity])</f>
        <v>50</v>
      </c>
      <c r="N1318" s="200" t="s">
        <v>4593</v>
      </c>
      <c r="O1318" s="234">
        <v>5</v>
      </c>
      <c r="P1318" s="199">
        <f>TB_Parts_Lists[[#This Row],[Quantity Initial]]*TB_Parts_Lists[[#This Row],[Unit Price AED]]</f>
        <v>250</v>
      </c>
      <c r="Q1318" s="199">
        <f>TB_Parts_Lists[[#This Row],[Quantity Total]]*TB_Parts_Lists[[#This Row],[Unit Price AED]]</f>
        <v>250</v>
      </c>
      <c r="S1318" s="199" t="s">
        <v>122</v>
      </c>
      <c r="T1318" s="199" t="s">
        <v>254</v>
      </c>
      <c r="U1318" s="199" t="s">
        <v>253</v>
      </c>
    </row>
    <row r="1319" spans="1:21" s="199" customFormat="1" x14ac:dyDescent="0.25">
      <c r="A1319" s="192" t="s">
        <v>7863</v>
      </c>
      <c r="B1319" s="203" t="s">
        <v>3330</v>
      </c>
      <c r="C1319" s="188" t="s">
        <v>7047</v>
      </c>
      <c r="D1319" s="199" t="s">
        <v>8732</v>
      </c>
      <c r="E1319" s="188" t="s">
        <v>5601</v>
      </c>
      <c r="F1319" s="189" t="s">
        <v>4439</v>
      </c>
      <c r="G1319" s="199" t="s">
        <v>8306</v>
      </c>
      <c r="H1319" s="199" t="s">
        <v>8637</v>
      </c>
      <c r="I1319" s="199">
        <v>1</v>
      </c>
      <c r="J1319" s="199">
        <v>1</v>
      </c>
      <c r="K1319" s="199">
        <v>1</v>
      </c>
      <c r="L1319" s="199">
        <v>50</v>
      </c>
      <c r="M1319" s="202">
        <f>TB_Parts_Lists[[#This Row],[Quantity Initial]]+ SUMIF(TB_Transactions[Part number],TB_Parts_Lists[[#This Row],[Part Number]],TB_Transactions[Quantity])</f>
        <v>50</v>
      </c>
      <c r="N1319" s="200" t="s">
        <v>4593</v>
      </c>
      <c r="O1319" s="234">
        <v>5</v>
      </c>
      <c r="P1319" s="199">
        <f>TB_Parts_Lists[[#This Row],[Quantity Initial]]*TB_Parts_Lists[[#This Row],[Unit Price AED]]</f>
        <v>250</v>
      </c>
      <c r="Q1319" s="199">
        <f>TB_Parts_Lists[[#This Row],[Quantity Total]]*TB_Parts_Lists[[#This Row],[Unit Price AED]]</f>
        <v>250</v>
      </c>
      <c r="S1319" s="199" t="s">
        <v>122</v>
      </c>
      <c r="T1319" s="199" t="s">
        <v>254</v>
      </c>
      <c r="U1319" s="199" t="s">
        <v>253</v>
      </c>
    </row>
    <row r="1320" spans="1:21" s="199" customFormat="1" x14ac:dyDescent="0.25">
      <c r="A1320" s="192" t="s">
        <v>7864</v>
      </c>
      <c r="B1320" s="203" t="s">
        <v>3330</v>
      </c>
      <c r="C1320" s="188" t="s">
        <v>7047</v>
      </c>
      <c r="D1320" s="199" t="s">
        <v>8732</v>
      </c>
      <c r="E1320" s="188" t="s">
        <v>5602</v>
      </c>
      <c r="F1320" s="189" t="s">
        <v>4440</v>
      </c>
      <c r="G1320" s="199" t="s">
        <v>8306</v>
      </c>
      <c r="H1320" s="199" t="s">
        <v>8637</v>
      </c>
      <c r="I1320" s="199">
        <v>1</v>
      </c>
      <c r="J1320" s="199">
        <v>1</v>
      </c>
      <c r="K1320" s="199">
        <v>1</v>
      </c>
      <c r="L1320" s="199">
        <v>50</v>
      </c>
      <c r="M1320" s="202">
        <f>TB_Parts_Lists[[#This Row],[Quantity Initial]]+ SUMIF(TB_Transactions[Part number],TB_Parts_Lists[[#This Row],[Part Number]],TB_Transactions[Quantity])</f>
        <v>50</v>
      </c>
      <c r="N1320" s="200" t="s">
        <v>4593</v>
      </c>
      <c r="O1320" s="234">
        <v>5</v>
      </c>
      <c r="P1320" s="199">
        <f>TB_Parts_Lists[[#This Row],[Quantity Initial]]*TB_Parts_Lists[[#This Row],[Unit Price AED]]</f>
        <v>250</v>
      </c>
      <c r="Q1320" s="199">
        <f>TB_Parts_Lists[[#This Row],[Quantity Total]]*TB_Parts_Lists[[#This Row],[Unit Price AED]]</f>
        <v>250</v>
      </c>
      <c r="S1320" s="199" t="s">
        <v>122</v>
      </c>
      <c r="T1320" s="199" t="s">
        <v>254</v>
      </c>
      <c r="U1320" s="199" t="s">
        <v>253</v>
      </c>
    </row>
    <row r="1321" spans="1:21" s="199" customFormat="1" x14ac:dyDescent="0.25">
      <c r="A1321" s="192" t="s">
        <v>7865</v>
      </c>
      <c r="B1321" s="203" t="s">
        <v>3330</v>
      </c>
      <c r="C1321" s="188" t="s">
        <v>7047</v>
      </c>
      <c r="D1321" s="199" t="s">
        <v>8732</v>
      </c>
      <c r="E1321" s="188" t="s">
        <v>5603</v>
      </c>
      <c r="F1321" s="189" t="s">
        <v>4441</v>
      </c>
      <c r="G1321" s="199" t="s">
        <v>8306</v>
      </c>
      <c r="H1321" s="199" t="s">
        <v>8637</v>
      </c>
      <c r="I1321" s="199">
        <v>1</v>
      </c>
      <c r="J1321" s="199">
        <v>1</v>
      </c>
      <c r="K1321" s="199">
        <v>1</v>
      </c>
      <c r="L1321" s="199">
        <v>50</v>
      </c>
      <c r="M1321" s="202">
        <f>TB_Parts_Lists[[#This Row],[Quantity Initial]]+ SUMIF(TB_Transactions[Part number],TB_Parts_Lists[[#This Row],[Part Number]],TB_Transactions[Quantity])</f>
        <v>50</v>
      </c>
      <c r="N1321" s="200" t="s">
        <v>4593</v>
      </c>
      <c r="O1321" s="234">
        <v>5</v>
      </c>
      <c r="P1321" s="199">
        <f>TB_Parts_Lists[[#This Row],[Quantity Initial]]*TB_Parts_Lists[[#This Row],[Unit Price AED]]</f>
        <v>250</v>
      </c>
      <c r="Q1321" s="199">
        <f>TB_Parts_Lists[[#This Row],[Quantity Total]]*TB_Parts_Lists[[#This Row],[Unit Price AED]]</f>
        <v>250</v>
      </c>
      <c r="S1321" s="199" t="s">
        <v>122</v>
      </c>
      <c r="T1321" s="199" t="s">
        <v>254</v>
      </c>
      <c r="U1321" s="199" t="s">
        <v>253</v>
      </c>
    </row>
    <row r="1322" spans="1:21" s="199" customFormat="1" x14ac:dyDescent="0.25">
      <c r="A1322" s="192" t="s">
        <v>7866</v>
      </c>
      <c r="B1322" s="203" t="s">
        <v>3334</v>
      </c>
      <c r="C1322" s="188" t="s">
        <v>3367</v>
      </c>
      <c r="D1322" s="199" t="s">
        <v>8732</v>
      </c>
      <c r="E1322" s="188" t="s">
        <v>5604</v>
      </c>
      <c r="F1322" s="189" t="s">
        <v>4442</v>
      </c>
      <c r="G1322" s="199" t="s">
        <v>8306</v>
      </c>
      <c r="H1322" s="199" t="s">
        <v>123</v>
      </c>
      <c r="I1322" s="199">
        <v>1</v>
      </c>
      <c r="J1322" s="199">
        <v>1</v>
      </c>
      <c r="K1322" s="199">
        <v>1</v>
      </c>
      <c r="L1322" s="199">
        <v>50</v>
      </c>
      <c r="M1322" s="202">
        <f>TB_Parts_Lists[[#This Row],[Quantity Initial]]+ SUMIF(TB_Transactions[Part number],TB_Parts_Lists[[#This Row],[Part Number]],TB_Transactions[Quantity])</f>
        <v>50</v>
      </c>
      <c r="N1322" s="200" t="s">
        <v>4593</v>
      </c>
      <c r="O1322" s="234">
        <v>5</v>
      </c>
      <c r="P1322" s="199">
        <f>TB_Parts_Lists[[#This Row],[Quantity Initial]]*TB_Parts_Lists[[#This Row],[Unit Price AED]]</f>
        <v>250</v>
      </c>
      <c r="Q1322" s="199">
        <f>TB_Parts_Lists[[#This Row],[Quantity Total]]*TB_Parts_Lists[[#This Row],[Unit Price AED]]</f>
        <v>250</v>
      </c>
      <c r="S1322" s="199" t="s">
        <v>122</v>
      </c>
      <c r="T1322" s="199" t="s">
        <v>8696</v>
      </c>
      <c r="U1322" s="199" t="s">
        <v>292</v>
      </c>
    </row>
    <row r="1323" spans="1:21" s="199" customFormat="1" x14ac:dyDescent="0.25">
      <c r="A1323" s="192" t="s">
        <v>7867</v>
      </c>
      <c r="B1323" s="203" t="s">
        <v>3330</v>
      </c>
      <c r="C1323" s="188" t="s">
        <v>6704</v>
      </c>
      <c r="D1323" s="188" t="s">
        <v>8724</v>
      </c>
      <c r="E1323" s="188" t="s">
        <v>4530</v>
      </c>
      <c r="F1323" s="189" t="s">
        <v>4443</v>
      </c>
      <c r="G1323" s="199" t="s">
        <v>8306</v>
      </c>
      <c r="H1323" s="199" t="s">
        <v>8637</v>
      </c>
      <c r="I1323" s="199">
        <v>1</v>
      </c>
      <c r="J1323" s="199">
        <v>1</v>
      </c>
      <c r="K1323" s="199">
        <v>1</v>
      </c>
      <c r="L1323" s="199">
        <v>50</v>
      </c>
      <c r="M1323" s="202">
        <f>TB_Parts_Lists[[#This Row],[Quantity Initial]]+ SUMIF(TB_Transactions[Part number],TB_Parts_Lists[[#This Row],[Part Number]],TB_Transactions[Quantity])</f>
        <v>50</v>
      </c>
      <c r="N1323" s="200" t="s">
        <v>4593</v>
      </c>
      <c r="O1323" s="234">
        <v>5</v>
      </c>
      <c r="P1323" s="199">
        <f>TB_Parts_Lists[[#This Row],[Quantity Initial]]*TB_Parts_Lists[[#This Row],[Unit Price AED]]</f>
        <v>250</v>
      </c>
      <c r="Q1323" s="199">
        <f>TB_Parts_Lists[[#This Row],[Quantity Total]]*TB_Parts_Lists[[#This Row],[Unit Price AED]]</f>
        <v>250</v>
      </c>
      <c r="S1323" s="199" t="s">
        <v>122</v>
      </c>
      <c r="T1323" s="199" t="s">
        <v>254</v>
      </c>
      <c r="U1323" s="199" t="s">
        <v>253</v>
      </c>
    </row>
    <row r="1324" spans="1:21" s="199" customFormat="1" x14ac:dyDescent="0.25">
      <c r="A1324" s="192" t="s">
        <v>7868</v>
      </c>
      <c r="B1324" s="203" t="s">
        <v>3330</v>
      </c>
      <c r="C1324" s="188" t="s">
        <v>3338</v>
      </c>
      <c r="D1324" s="188" t="s">
        <v>8724</v>
      </c>
      <c r="E1324" s="188" t="s">
        <v>4531</v>
      </c>
      <c r="F1324" s="189" t="s">
        <v>4444</v>
      </c>
      <c r="G1324" s="199" t="s">
        <v>8306</v>
      </c>
      <c r="H1324" s="199" t="s">
        <v>8637</v>
      </c>
      <c r="I1324" s="199">
        <v>1</v>
      </c>
      <c r="J1324" s="199">
        <v>1</v>
      </c>
      <c r="K1324" s="199">
        <v>1</v>
      </c>
      <c r="L1324" s="199">
        <v>50</v>
      </c>
      <c r="M1324" s="202">
        <f>TB_Parts_Lists[[#This Row],[Quantity Initial]]+ SUMIF(TB_Transactions[Part number],TB_Parts_Lists[[#This Row],[Part Number]],TB_Transactions[Quantity])</f>
        <v>50</v>
      </c>
      <c r="N1324" s="200" t="s">
        <v>4593</v>
      </c>
      <c r="O1324" s="234">
        <v>5</v>
      </c>
      <c r="P1324" s="199">
        <f>TB_Parts_Lists[[#This Row],[Quantity Initial]]*TB_Parts_Lists[[#This Row],[Unit Price AED]]</f>
        <v>250</v>
      </c>
      <c r="Q1324" s="199">
        <f>TB_Parts_Lists[[#This Row],[Quantity Total]]*TB_Parts_Lists[[#This Row],[Unit Price AED]]</f>
        <v>250</v>
      </c>
      <c r="S1324" s="199" t="s">
        <v>122</v>
      </c>
      <c r="T1324" s="199" t="s">
        <v>254</v>
      </c>
      <c r="U1324" s="199" t="s">
        <v>253</v>
      </c>
    </row>
    <row r="1325" spans="1:21" s="199" customFormat="1" x14ac:dyDescent="0.25">
      <c r="A1325" s="192" t="s">
        <v>7869</v>
      </c>
      <c r="B1325" s="203" t="s">
        <v>3330</v>
      </c>
      <c r="C1325" s="188" t="s">
        <v>3003</v>
      </c>
      <c r="D1325" s="188" t="s">
        <v>8724</v>
      </c>
      <c r="E1325" s="188" t="s">
        <v>5605</v>
      </c>
      <c r="F1325" s="189" t="s">
        <v>6137</v>
      </c>
      <c r="G1325" s="199" t="s">
        <v>8306</v>
      </c>
      <c r="H1325" s="199" t="s">
        <v>8637</v>
      </c>
      <c r="I1325" s="199">
        <v>1</v>
      </c>
      <c r="J1325" s="199">
        <v>1</v>
      </c>
      <c r="K1325" s="199">
        <v>1</v>
      </c>
      <c r="L1325" s="199">
        <v>50</v>
      </c>
      <c r="M1325" s="202">
        <f>TB_Parts_Lists[[#This Row],[Quantity Initial]]+ SUMIF(TB_Transactions[Part number],TB_Parts_Lists[[#This Row],[Part Number]],TB_Transactions[Quantity])</f>
        <v>50</v>
      </c>
      <c r="N1325" s="200" t="s">
        <v>4593</v>
      </c>
      <c r="O1325" s="234">
        <v>5</v>
      </c>
      <c r="P1325" s="199">
        <f>TB_Parts_Lists[[#This Row],[Quantity Initial]]*TB_Parts_Lists[[#This Row],[Unit Price AED]]</f>
        <v>250</v>
      </c>
      <c r="Q1325" s="199">
        <f>TB_Parts_Lists[[#This Row],[Quantity Total]]*TB_Parts_Lists[[#This Row],[Unit Price AED]]</f>
        <v>250</v>
      </c>
      <c r="S1325" s="199" t="s">
        <v>122</v>
      </c>
      <c r="T1325" s="199" t="s">
        <v>254</v>
      </c>
      <c r="U1325" s="199" t="s">
        <v>253</v>
      </c>
    </row>
    <row r="1326" spans="1:21" s="199" customFormat="1" x14ac:dyDescent="0.25">
      <c r="A1326" s="192" t="s">
        <v>7870</v>
      </c>
      <c r="B1326" s="203" t="s">
        <v>3330</v>
      </c>
      <c r="C1326" s="188" t="s">
        <v>6704</v>
      </c>
      <c r="D1326" s="188" t="s">
        <v>8724</v>
      </c>
      <c r="E1326" s="188" t="s">
        <v>5606</v>
      </c>
      <c r="F1326" s="189" t="s">
        <v>4670</v>
      </c>
      <c r="G1326" s="199" t="s">
        <v>8306</v>
      </c>
      <c r="H1326" s="199" t="s">
        <v>8637</v>
      </c>
      <c r="I1326" s="199">
        <v>1</v>
      </c>
      <c r="J1326" s="199">
        <v>1</v>
      </c>
      <c r="K1326" s="199">
        <v>1</v>
      </c>
      <c r="L1326" s="199">
        <v>50</v>
      </c>
      <c r="M1326" s="202">
        <f>TB_Parts_Lists[[#This Row],[Quantity Initial]]+ SUMIF(TB_Transactions[Part number],TB_Parts_Lists[[#This Row],[Part Number]],TB_Transactions[Quantity])</f>
        <v>50</v>
      </c>
      <c r="N1326" s="200" t="s">
        <v>4593</v>
      </c>
      <c r="O1326" s="234">
        <v>5</v>
      </c>
      <c r="P1326" s="199">
        <f>TB_Parts_Lists[[#This Row],[Quantity Initial]]*TB_Parts_Lists[[#This Row],[Unit Price AED]]</f>
        <v>250</v>
      </c>
      <c r="Q1326" s="199">
        <f>TB_Parts_Lists[[#This Row],[Quantity Total]]*TB_Parts_Lists[[#This Row],[Unit Price AED]]</f>
        <v>250</v>
      </c>
      <c r="S1326" s="199" t="s">
        <v>122</v>
      </c>
      <c r="T1326" s="199" t="s">
        <v>254</v>
      </c>
      <c r="U1326" s="199" t="s">
        <v>253</v>
      </c>
    </row>
    <row r="1327" spans="1:21" s="199" customFormat="1" x14ac:dyDescent="0.25">
      <c r="A1327" s="192" t="s">
        <v>7871</v>
      </c>
      <c r="B1327" s="203" t="s">
        <v>3330</v>
      </c>
      <c r="C1327" s="188" t="s">
        <v>3338</v>
      </c>
      <c r="D1327" s="188" t="s">
        <v>8724</v>
      </c>
      <c r="E1327" s="188" t="s">
        <v>5607</v>
      </c>
      <c r="F1327" s="189" t="s">
        <v>4676</v>
      </c>
      <c r="G1327" s="199" t="s">
        <v>8306</v>
      </c>
      <c r="H1327" s="199" t="s">
        <v>8637</v>
      </c>
      <c r="I1327" s="199">
        <v>1</v>
      </c>
      <c r="J1327" s="199">
        <v>1</v>
      </c>
      <c r="K1327" s="199">
        <v>1</v>
      </c>
      <c r="L1327" s="199">
        <v>50</v>
      </c>
      <c r="M1327" s="202">
        <f>TB_Parts_Lists[[#This Row],[Quantity Initial]]+ SUMIF(TB_Transactions[Part number],TB_Parts_Lists[[#This Row],[Part Number]],TB_Transactions[Quantity])</f>
        <v>50</v>
      </c>
      <c r="N1327" s="200" t="s">
        <v>4593</v>
      </c>
      <c r="O1327" s="234">
        <v>5</v>
      </c>
      <c r="P1327" s="199">
        <f>TB_Parts_Lists[[#This Row],[Quantity Initial]]*TB_Parts_Lists[[#This Row],[Unit Price AED]]</f>
        <v>250</v>
      </c>
      <c r="Q1327" s="199">
        <f>TB_Parts_Lists[[#This Row],[Quantity Total]]*TB_Parts_Lists[[#This Row],[Unit Price AED]]</f>
        <v>250</v>
      </c>
      <c r="S1327" s="199" t="s">
        <v>122</v>
      </c>
      <c r="T1327" s="199" t="s">
        <v>254</v>
      </c>
      <c r="U1327" s="199" t="s">
        <v>253</v>
      </c>
    </row>
    <row r="1328" spans="1:21" s="199" customFormat="1" x14ac:dyDescent="0.25">
      <c r="A1328" s="192" t="s">
        <v>7872</v>
      </c>
      <c r="B1328" s="203" t="s">
        <v>3329</v>
      </c>
      <c r="C1328" s="188" t="s">
        <v>7219</v>
      </c>
      <c r="D1328" s="188" t="s">
        <v>8724</v>
      </c>
      <c r="E1328" s="188" t="s">
        <v>5608</v>
      </c>
      <c r="F1328" s="189" t="s">
        <v>4677</v>
      </c>
      <c r="G1328" s="199" t="s">
        <v>8306</v>
      </c>
      <c r="H1328" s="199" t="s">
        <v>8637</v>
      </c>
      <c r="I1328" s="199">
        <v>1</v>
      </c>
      <c r="J1328" s="199">
        <v>1</v>
      </c>
      <c r="K1328" s="199">
        <v>1</v>
      </c>
      <c r="L1328" s="199">
        <v>50</v>
      </c>
      <c r="M1328" s="202">
        <f>TB_Parts_Lists[[#This Row],[Quantity Initial]]+ SUMIF(TB_Transactions[Part number],TB_Parts_Lists[[#This Row],[Part Number]],TB_Transactions[Quantity])</f>
        <v>50</v>
      </c>
      <c r="N1328" s="200" t="s">
        <v>4593</v>
      </c>
      <c r="O1328" s="234">
        <v>5</v>
      </c>
      <c r="P1328" s="199">
        <f>TB_Parts_Lists[[#This Row],[Quantity Initial]]*TB_Parts_Lists[[#This Row],[Unit Price AED]]</f>
        <v>250</v>
      </c>
      <c r="Q1328" s="199">
        <f>TB_Parts_Lists[[#This Row],[Quantity Total]]*TB_Parts_Lists[[#This Row],[Unit Price AED]]</f>
        <v>250</v>
      </c>
      <c r="S1328" s="199" t="s">
        <v>122</v>
      </c>
      <c r="T1328" s="199" t="s">
        <v>254</v>
      </c>
      <c r="U1328" s="199" t="s">
        <v>253</v>
      </c>
    </row>
    <row r="1329" spans="1:21" s="199" customFormat="1" x14ac:dyDescent="0.25">
      <c r="A1329" s="192" t="s">
        <v>7873</v>
      </c>
      <c r="B1329" s="203" t="s">
        <v>3329</v>
      </c>
      <c r="C1329" s="188" t="s">
        <v>7219</v>
      </c>
      <c r="D1329" s="188" t="s">
        <v>8724</v>
      </c>
      <c r="E1329" s="188" t="s">
        <v>5609</v>
      </c>
      <c r="F1329" s="189" t="s">
        <v>4678</v>
      </c>
      <c r="G1329" s="199" t="s">
        <v>8306</v>
      </c>
      <c r="H1329" s="199" t="s">
        <v>8637</v>
      </c>
      <c r="I1329" s="199">
        <v>1</v>
      </c>
      <c r="J1329" s="199">
        <v>1</v>
      </c>
      <c r="K1329" s="199">
        <v>1</v>
      </c>
      <c r="L1329" s="199">
        <v>50</v>
      </c>
      <c r="M1329" s="202">
        <f>TB_Parts_Lists[[#This Row],[Quantity Initial]]+ SUMIF(TB_Transactions[Part number],TB_Parts_Lists[[#This Row],[Part Number]],TB_Transactions[Quantity])</f>
        <v>50</v>
      </c>
      <c r="N1329" s="200" t="s">
        <v>4593</v>
      </c>
      <c r="O1329" s="234">
        <v>5</v>
      </c>
      <c r="P1329" s="199">
        <f>TB_Parts_Lists[[#This Row],[Quantity Initial]]*TB_Parts_Lists[[#This Row],[Unit Price AED]]</f>
        <v>250</v>
      </c>
      <c r="Q1329" s="199">
        <f>TB_Parts_Lists[[#This Row],[Quantity Total]]*TB_Parts_Lists[[#This Row],[Unit Price AED]]</f>
        <v>250</v>
      </c>
      <c r="S1329" s="199" t="s">
        <v>122</v>
      </c>
      <c r="T1329" s="199" t="s">
        <v>254</v>
      </c>
      <c r="U1329" s="199" t="s">
        <v>253</v>
      </c>
    </row>
    <row r="1330" spans="1:21" s="199" customFormat="1" x14ac:dyDescent="0.25">
      <c r="A1330" s="192" t="s">
        <v>7874</v>
      </c>
      <c r="B1330" s="203" t="s">
        <v>3329</v>
      </c>
      <c r="C1330" s="188" t="s">
        <v>3345</v>
      </c>
      <c r="D1330" s="188" t="s">
        <v>8724</v>
      </c>
      <c r="E1330" s="188" t="s">
        <v>5610</v>
      </c>
      <c r="F1330" s="189" t="s">
        <v>4679</v>
      </c>
      <c r="G1330" s="199" t="s">
        <v>8306</v>
      </c>
      <c r="H1330" s="199" t="s">
        <v>8637</v>
      </c>
      <c r="I1330" s="199">
        <v>1</v>
      </c>
      <c r="J1330" s="199">
        <v>1</v>
      </c>
      <c r="K1330" s="199">
        <v>1</v>
      </c>
      <c r="L1330" s="199">
        <v>50</v>
      </c>
      <c r="M1330" s="202">
        <f>TB_Parts_Lists[[#This Row],[Quantity Initial]]+ SUMIF(TB_Transactions[Part number],TB_Parts_Lists[[#This Row],[Part Number]],TB_Transactions[Quantity])</f>
        <v>50</v>
      </c>
      <c r="N1330" s="200" t="s">
        <v>4593</v>
      </c>
      <c r="O1330" s="234">
        <v>5</v>
      </c>
      <c r="P1330" s="199">
        <f>TB_Parts_Lists[[#This Row],[Quantity Initial]]*TB_Parts_Lists[[#This Row],[Unit Price AED]]</f>
        <v>250</v>
      </c>
      <c r="Q1330" s="199">
        <f>TB_Parts_Lists[[#This Row],[Quantity Total]]*TB_Parts_Lists[[#This Row],[Unit Price AED]]</f>
        <v>250</v>
      </c>
      <c r="S1330" s="199" t="s">
        <v>122</v>
      </c>
      <c r="T1330" s="199" t="s">
        <v>254</v>
      </c>
      <c r="U1330" s="199" t="s">
        <v>253</v>
      </c>
    </row>
    <row r="1331" spans="1:21" s="199" customFormat="1" x14ac:dyDescent="0.25">
      <c r="A1331" s="192" t="s">
        <v>7875</v>
      </c>
      <c r="B1331" s="203" t="s">
        <v>3329</v>
      </c>
      <c r="C1331" s="188" t="s">
        <v>6940</v>
      </c>
      <c r="D1331" s="188" t="s">
        <v>8724</v>
      </c>
      <c r="E1331" s="188" t="s">
        <v>4680</v>
      </c>
      <c r="F1331" s="189" t="s">
        <v>4681</v>
      </c>
      <c r="G1331" s="199" t="s">
        <v>8306</v>
      </c>
      <c r="H1331" s="199" t="s">
        <v>8637</v>
      </c>
      <c r="I1331" s="199">
        <v>1</v>
      </c>
      <c r="J1331" s="199">
        <v>1</v>
      </c>
      <c r="K1331" s="199">
        <v>1</v>
      </c>
      <c r="L1331" s="199">
        <v>50</v>
      </c>
      <c r="M1331" s="202">
        <f>TB_Parts_Lists[[#This Row],[Quantity Initial]]+ SUMIF(TB_Transactions[Part number],TB_Parts_Lists[[#This Row],[Part Number]],TB_Transactions[Quantity])</f>
        <v>50</v>
      </c>
      <c r="N1331" s="200" t="s">
        <v>4593</v>
      </c>
      <c r="O1331" s="234">
        <v>5</v>
      </c>
      <c r="P1331" s="199">
        <f>TB_Parts_Lists[[#This Row],[Quantity Initial]]*TB_Parts_Lists[[#This Row],[Unit Price AED]]</f>
        <v>250</v>
      </c>
      <c r="Q1331" s="199">
        <f>TB_Parts_Lists[[#This Row],[Quantity Total]]*TB_Parts_Lists[[#This Row],[Unit Price AED]]</f>
        <v>250</v>
      </c>
      <c r="S1331" s="199" t="s">
        <v>122</v>
      </c>
      <c r="T1331" s="199" t="s">
        <v>254</v>
      </c>
      <c r="U1331" s="199" t="s">
        <v>253</v>
      </c>
    </row>
    <row r="1332" spans="1:21" s="199" customFormat="1" x14ac:dyDescent="0.25">
      <c r="A1332" s="192" t="s">
        <v>7876</v>
      </c>
      <c r="B1332" s="203" t="s">
        <v>3329</v>
      </c>
      <c r="C1332" s="188" t="s">
        <v>6940</v>
      </c>
      <c r="D1332" s="188" t="s">
        <v>8724</v>
      </c>
      <c r="E1332" s="188" t="s">
        <v>4682</v>
      </c>
      <c r="F1332" s="189" t="s">
        <v>4683</v>
      </c>
      <c r="G1332" s="199" t="s">
        <v>8306</v>
      </c>
      <c r="H1332" s="199" t="s">
        <v>8637</v>
      </c>
      <c r="I1332" s="199">
        <v>1</v>
      </c>
      <c r="J1332" s="199">
        <v>1</v>
      </c>
      <c r="K1332" s="199">
        <v>1</v>
      </c>
      <c r="L1332" s="199">
        <v>50</v>
      </c>
      <c r="M1332" s="202">
        <f>TB_Parts_Lists[[#This Row],[Quantity Initial]]+ SUMIF(TB_Transactions[Part number],TB_Parts_Lists[[#This Row],[Part Number]],TB_Transactions[Quantity])</f>
        <v>50</v>
      </c>
      <c r="N1332" s="200" t="s">
        <v>4593</v>
      </c>
      <c r="O1332" s="234">
        <v>5</v>
      </c>
      <c r="P1332" s="199">
        <f>TB_Parts_Lists[[#This Row],[Quantity Initial]]*TB_Parts_Lists[[#This Row],[Unit Price AED]]</f>
        <v>250</v>
      </c>
      <c r="Q1332" s="199">
        <f>TB_Parts_Lists[[#This Row],[Quantity Total]]*TB_Parts_Lists[[#This Row],[Unit Price AED]]</f>
        <v>250</v>
      </c>
      <c r="S1332" s="199" t="s">
        <v>122</v>
      </c>
      <c r="T1332" s="199" t="s">
        <v>254</v>
      </c>
      <c r="U1332" s="199" t="s">
        <v>253</v>
      </c>
    </row>
    <row r="1333" spans="1:21" s="199" customFormat="1" x14ac:dyDescent="0.25">
      <c r="A1333" s="192" t="s">
        <v>7877</v>
      </c>
      <c r="B1333" s="203" t="s">
        <v>3329</v>
      </c>
      <c r="C1333" s="188" t="s">
        <v>7219</v>
      </c>
      <c r="D1333" s="188" t="s">
        <v>8724</v>
      </c>
      <c r="E1333" s="188" t="s">
        <v>4684</v>
      </c>
      <c r="F1333" s="189" t="s">
        <v>4685</v>
      </c>
      <c r="G1333" s="199" t="s">
        <v>8306</v>
      </c>
      <c r="H1333" s="199" t="s">
        <v>8637</v>
      </c>
      <c r="I1333" s="199">
        <v>1</v>
      </c>
      <c r="J1333" s="199">
        <v>1</v>
      </c>
      <c r="K1333" s="199">
        <v>1</v>
      </c>
      <c r="L1333" s="199">
        <v>50</v>
      </c>
      <c r="M1333" s="202">
        <f>TB_Parts_Lists[[#This Row],[Quantity Initial]]+ SUMIF(TB_Transactions[Part number],TB_Parts_Lists[[#This Row],[Part Number]],TB_Transactions[Quantity])</f>
        <v>50</v>
      </c>
      <c r="N1333" s="200" t="s">
        <v>4593</v>
      </c>
      <c r="O1333" s="234">
        <v>5</v>
      </c>
      <c r="P1333" s="199">
        <f>TB_Parts_Lists[[#This Row],[Quantity Initial]]*TB_Parts_Lists[[#This Row],[Unit Price AED]]</f>
        <v>250</v>
      </c>
      <c r="Q1333" s="199">
        <f>TB_Parts_Lists[[#This Row],[Quantity Total]]*TB_Parts_Lists[[#This Row],[Unit Price AED]]</f>
        <v>250</v>
      </c>
      <c r="S1333" s="199" t="s">
        <v>122</v>
      </c>
      <c r="T1333" s="199" t="s">
        <v>254</v>
      </c>
      <c r="U1333" s="199" t="s">
        <v>253</v>
      </c>
    </row>
    <row r="1334" spans="1:21" s="199" customFormat="1" x14ac:dyDescent="0.25">
      <c r="A1334" s="192" t="s">
        <v>7878</v>
      </c>
      <c r="B1334" s="203" t="s">
        <v>3329</v>
      </c>
      <c r="C1334" s="188" t="s">
        <v>4633</v>
      </c>
      <c r="D1334" s="188" t="s">
        <v>8724</v>
      </c>
      <c r="E1334" s="188" t="s">
        <v>4686</v>
      </c>
      <c r="F1334" s="189" t="s">
        <v>4687</v>
      </c>
      <c r="G1334" s="199" t="s">
        <v>8306</v>
      </c>
      <c r="H1334" s="199" t="s">
        <v>8637</v>
      </c>
      <c r="I1334" s="199">
        <v>1</v>
      </c>
      <c r="J1334" s="199">
        <v>1</v>
      </c>
      <c r="K1334" s="199">
        <v>1</v>
      </c>
      <c r="L1334" s="199">
        <v>50</v>
      </c>
      <c r="M1334" s="202">
        <f>TB_Parts_Lists[[#This Row],[Quantity Initial]]+ SUMIF(TB_Transactions[Part number],TB_Parts_Lists[[#This Row],[Part Number]],TB_Transactions[Quantity])</f>
        <v>50</v>
      </c>
      <c r="N1334" s="200" t="s">
        <v>4593</v>
      </c>
      <c r="O1334" s="234">
        <v>5</v>
      </c>
      <c r="P1334" s="199">
        <f>TB_Parts_Lists[[#This Row],[Quantity Initial]]*TB_Parts_Lists[[#This Row],[Unit Price AED]]</f>
        <v>250</v>
      </c>
      <c r="Q1334" s="199">
        <f>TB_Parts_Lists[[#This Row],[Quantity Total]]*TB_Parts_Lists[[#This Row],[Unit Price AED]]</f>
        <v>250</v>
      </c>
      <c r="S1334" s="199" t="s">
        <v>122</v>
      </c>
      <c r="T1334" s="199" t="s">
        <v>254</v>
      </c>
      <c r="U1334" s="199" t="s">
        <v>253</v>
      </c>
    </row>
    <row r="1335" spans="1:21" s="199" customFormat="1" x14ac:dyDescent="0.25">
      <c r="A1335" s="192" t="s">
        <v>7879</v>
      </c>
      <c r="B1335" s="203" t="s">
        <v>3329</v>
      </c>
      <c r="C1335" s="188" t="s">
        <v>4633</v>
      </c>
      <c r="D1335" s="188" t="s">
        <v>8724</v>
      </c>
      <c r="E1335" s="188" t="s">
        <v>5611</v>
      </c>
      <c r="F1335" s="189" t="s">
        <v>6138</v>
      </c>
      <c r="G1335" s="199" t="s">
        <v>8306</v>
      </c>
      <c r="H1335" s="199" t="s">
        <v>8637</v>
      </c>
      <c r="I1335" s="199">
        <v>1</v>
      </c>
      <c r="J1335" s="199">
        <v>1</v>
      </c>
      <c r="K1335" s="199">
        <v>1</v>
      </c>
      <c r="L1335" s="199">
        <v>50</v>
      </c>
      <c r="M1335" s="202">
        <f>TB_Parts_Lists[[#This Row],[Quantity Initial]]+ SUMIF(TB_Transactions[Part number],TB_Parts_Lists[[#This Row],[Part Number]],TB_Transactions[Quantity])</f>
        <v>50</v>
      </c>
      <c r="N1335" s="200" t="s">
        <v>4593</v>
      </c>
      <c r="O1335" s="234">
        <v>5</v>
      </c>
      <c r="P1335" s="199">
        <f>TB_Parts_Lists[[#This Row],[Quantity Initial]]*TB_Parts_Lists[[#This Row],[Unit Price AED]]</f>
        <v>250</v>
      </c>
      <c r="Q1335" s="199">
        <f>TB_Parts_Lists[[#This Row],[Quantity Total]]*TB_Parts_Lists[[#This Row],[Unit Price AED]]</f>
        <v>250</v>
      </c>
      <c r="S1335" s="199" t="s">
        <v>122</v>
      </c>
      <c r="T1335" s="199" t="s">
        <v>254</v>
      </c>
      <c r="U1335" s="199" t="s">
        <v>253</v>
      </c>
    </row>
    <row r="1336" spans="1:21" s="199" customFormat="1" x14ac:dyDescent="0.25">
      <c r="A1336" s="192" t="s">
        <v>7880</v>
      </c>
      <c r="B1336" s="203" t="s">
        <v>3330</v>
      </c>
      <c r="C1336" s="188" t="s">
        <v>6611</v>
      </c>
      <c r="D1336" s="188" t="s">
        <v>8724</v>
      </c>
      <c r="E1336" s="188" t="s">
        <v>5612</v>
      </c>
      <c r="F1336" s="189" t="s">
        <v>6139</v>
      </c>
      <c r="G1336" s="199" t="s">
        <v>8306</v>
      </c>
      <c r="H1336" s="199" t="s">
        <v>8637</v>
      </c>
      <c r="I1336" s="199">
        <v>1</v>
      </c>
      <c r="J1336" s="199">
        <v>1</v>
      </c>
      <c r="K1336" s="199">
        <v>1</v>
      </c>
      <c r="L1336" s="199">
        <v>50</v>
      </c>
      <c r="M1336" s="202">
        <f>TB_Parts_Lists[[#This Row],[Quantity Initial]]+ SUMIF(TB_Transactions[Part number],TB_Parts_Lists[[#This Row],[Part Number]],TB_Transactions[Quantity])</f>
        <v>50</v>
      </c>
      <c r="N1336" s="200" t="s">
        <v>4593</v>
      </c>
      <c r="O1336" s="234">
        <v>5</v>
      </c>
      <c r="P1336" s="199">
        <f>TB_Parts_Lists[[#This Row],[Quantity Initial]]*TB_Parts_Lists[[#This Row],[Unit Price AED]]</f>
        <v>250</v>
      </c>
      <c r="Q1336" s="199">
        <f>TB_Parts_Lists[[#This Row],[Quantity Total]]*TB_Parts_Lists[[#This Row],[Unit Price AED]]</f>
        <v>250</v>
      </c>
      <c r="S1336" s="199" t="s">
        <v>122</v>
      </c>
      <c r="T1336" s="199" t="s">
        <v>254</v>
      </c>
      <c r="U1336" s="199" t="s">
        <v>253</v>
      </c>
    </row>
    <row r="1337" spans="1:21" s="199" customFormat="1" x14ac:dyDescent="0.25">
      <c r="A1337" s="192" t="s">
        <v>7881</v>
      </c>
      <c r="B1337" s="203" t="s">
        <v>3330</v>
      </c>
      <c r="C1337" s="188" t="s">
        <v>4090</v>
      </c>
      <c r="D1337" s="188" t="s">
        <v>8724</v>
      </c>
      <c r="E1337" s="188" t="s">
        <v>5613</v>
      </c>
      <c r="F1337" s="189" t="s">
        <v>6140</v>
      </c>
      <c r="G1337" s="199" t="s">
        <v>8306</v>
      </c>
      <c r="H1337" s="199" t="s">
        <v>8637</v>
      </c>
      <c r="I1337" s="199">
        <v>1</v>
      </c>
      <c r="J1337" s="199">
        <v>1</v>
      </c>
      <c r="K1337" s="199">
        <v>1</v>
      </c>
      <c r="L1337" s="199">
        <v>50</v>
      </c>
      <c r="M1337" s="202">
        <f>TB_Parts_Lists[[#This Row],[Quantity Initial]]+ SUMIF(TB_Transactions[Part number],TB_Parts_Lists[[#This Row],[Part Number]],TB_Transactions[Quantity])</f>
        <v>50</v>
      </c>
      <c r="N1337" s="200" t="s">
        <v>4593</v>
      </c>
      <c r="O1337" s="234">
        <v>5</v>
      </c>
      <c r="P1337" s="199">
        <f>TB_Parts_Lists[[#This Row],[Quantity Initial]]*TB_Parts_Lists[[#This Row],[Unit Price AED]]</f>
        <v>250</v>
      </c>
      <c r="Q1337" s="199">
        <f>TB_Parts_Lists[[#This Row],[Quantity Total]]*TB_Parts_Lists[[#This Row],[Unit Price AED]]</f>
        <v>250</v>
      </c>
      <c r="S1337" s="199" t="s">
        <v>122</v>
      </c>
      <c r="T1337" s="199" t="s">
        <v>254</v>
      </c>
      <c r="U1337" s="199" t="s">
        <v>253</v>
      </c>
    </row>
    <row r="1338" spans="1:21" s="199" customFormat="1" x14ac:dyDescent="0.25">
      <c r="A1338" s="192" t="s">
        <v>7882</v>
      </c>
      <c r="B1338" s="203" t="s">
        <v>3330</v>
      </c>
      <c r="C1338" s="188" t="s">
        <v>4608</v>
      </c>
      <c r="D1338" s="188" t="s">
        <v>8724</v>
      </c>
      <c r="E1338" s="188" t="s">
        <v>5614</v>
      </c>
      <c r="F1338" s="189" t="s">
        <v>6141</v>
      </c>
      <c r="G1338" s="199" t="s">
        <v>8306</v>
      </c>
      <c r="H1338" s="199" t="s">
        <v>8637</v>
      </c>
      <c r="I1338" s="199">
        <v>1</v>
      </c>
      <c r="J1338" s="199">
        <v>1</v>
      </c>
      <c r="K1338" s="199">
        <v>1</v>
      </c>
      <c r="L1338" s="199">
        <v>50</v>
      </c>
      <c r="M1338" s="202">
        <f>TB_Parts_Lists[[#This Row],[Quantity Initial]]+ SUMIF(TB_Transactions[Part number],TB_Parts_Lists[[#This Row],[Part Number]],TB_Transactions[Quantity])</f>
        <v>50</v>
      </c>
      <c r="N1338" s="200" t="s">
        <v>4593</v>
      </c>
      <c r="O1338" s="234">
        <v>5</v>
      </c>
      <c r="P1338" s="199">
        <f>TB_Parts_Lists[[#This Row],[Quantity Initial]]*TB_Parts_Lists[[#This Row],[Unit Price AED]]</f>
        <v>250</v>
      </c>
      <c r="Q1338" s="199">
        <f>TB_Parts_Lists[[#This Row],[Quantity Total]]*TB_Parts_Lists[[#This Row],[Unit Price AED]]</f>
        <v>250</v>
      </c>
      <c r="S1338" s="199" t="s">
        <v>122</v>
      </c>
      <c r="T1338" s="199" t="s">
        <v>254</v>
      </c>
      <c r="U1338" s="199" t="s">
        <v>253</v>
      </c>
    </row>
    <row r="1339" spans="1:21" s="199" customFormat="1" x14ac:dyDescent="0.25">
      <c r="A1339" s="192" t="s">
        <v>7883</v>
      </c>
      <c r="B1339" s="203" t="s">
        <v>3329</v>
      </c>
      <c r="C1339" s="188" t="s">
        <v>6811</v>
      </c>
      <c r="D1339" s="188" t="s">
        <v>8724</v>
      </c>
      <c r="E1339" s="188" t="s">
        <v>5615</v>
      </c>
      <c r="F1339" s="189" t="s">
        <v>6142</v>
      </c>
      <c r="G1339" s="199" t="s">
        <v>8306</v>
      </c>
      <c r="H1339" s="199" t="s">
        <v>8637</v>
      </c>
      <c r="I1339" s="199">
        <v>1</v>
      </c>
      <c r="J1339" s="199">
        <v>1</v>
      </c>
      <c r="K1339" s="199">
        <v>1</v>
      </c>
      <c r="L1339" s="199">
        <v>50</v>
      </c>
      <c r="M1339" s="202">
        <f>TB_Parts_Lists[[#This Row],[Quantity Initial]]+ SUMIF(TB_Transactions[Part number],TB_Parts_Lists[[#This Row],[Part Number]],TB_Transactions[Quantity])</f>
        <v>50</v>
      </c>
      <c r="N1339" s="200" t="s">
        <v>4593</v>
      </c>
      <c r="O1339" s="234">
        <v>5</v>
      </c>
      <c r="P1339" s="199">
        <f>TB_Parts_Lists[[#This Row],[Quantity Initial]]*TB_Parts_Lists[[#This Row],[Unit Price AED]]</f>
        <v>250</v>
      </c>
      <c r="Q1339" s="199">
        <f>TB_Parts_Lists[[#This Row],[Quantity Total]]*TB_Parts_Lists[[#This Row],[Unit Price AED]]</f>
        <v>250</v>
      </c>
      <c r="S1339" s="199" t="s">
        <v>122</v>
      </c>
      <c r="T1339" s="199" t="s">
        <v>254</v>
      </c>
      <c r="U1339" s="199" t="s">
        <v>253</v>
      </c>
    </row>
    <row r="1340" spans="1:21" s="199" customFormat="1" x14ac:dyDescent="0.25">
      <c r="A1340" s="192" t="s">
        <v>7884</v>
      </c>
      <c r="B1340" s="203" t="s">
        <v>3329</v>
      </c>
      <c r="C1340" s="188" t="s">
        <v>3343</v>
      </c>
      <c r="D1340" s="188" t="s">
        <v>8724</v>
      </c>
      <c r="E1340" s="188" t="s">
        <v>5616</v>
      </c>
      <c r="F1340" s="189" t="s">
        <v>6143</v>
      </c>
      <c r="G1340" s="199" t="s">
        <v>8306</v>
      </c>
      <c r="H1340" s="199" t="s">
        <v>8637</v>
      </c>
      <c r="I1340" s="199">
        <v>1</v>
      </c>
      <c r="J1340" s="199">
        <v>1</v>
      </c>
      <c r="K1340" s="199">
        <v>1</v>
      </c>
      <c r="L1340" s="199">
        <v>50</v>
      </c>
      <c r="M1340" s="202">
        <f>TB_Parts_Lists[[#This Row],[Quantity Initial]]+ SUMIF(TB_Transactions[Part number],TB_Parts_Lists[[#This Row],[Part Number]],TB_Transactions[Quantity])</f>
        <v>50</v>
      </c>
      <c r="N1340" s="200" t="s">
        <v>4593</v>
      </c>
      <c r="O1340" s="234">
        <v>5</v>
      </c>
      <c r="P1340" s="199">
        <f>TB_Parts_Lists[[#This Row],[Quantity Initial]]*TB_Parts_Lists[[#This Row],[Unit Price AED]]</f>
        <v>250</v>
      </c>
      <c r="Q1340" s="199">
        <f>TB_Parts_Lists[[#This Row],[Quantity Total]]*TB_Parts_Lists[[#This Row],[Unit Price AED]]</f>
        <v>250</v>
      </c>
      <c r="S1340" s="199" t="s">
        <v>8675</v>
      </c>
      <c r="T1340" s="199" t="s">
        <v>8675</v>
      </c>
      <c r="U1340" s="199" t="s">
        <v>8675</v>
      </c>
    </row>
    <row r="1341" spans="1:21" s="199" customFormat="1" x14ac:dyDescent="0.25">
      <c r="A1341" s="192" t="s">
        <v>7885</v>
      </c>
      <c r="B1341" s="203" t="s">
        <v>3329</v>
      </c>
      <c r="C1341" s="188" t="s">
        <v>3348</v>
      </c>
      <c r="D1341" s="199" t="s">
        <v>8732</v>
      </c>
      <c r="E1341" s="188" t="s">
        <v>5617</v>
      </c>
      <c r="F1341" s="189" t="s">
        <v>4445</v>
      </c>
      <c r="G1341" s="199" t="s">
        <v>8307</v>
      </c>
      <c r="H1341" s="199" t="s">
        <v>72</v>
      </c>
      <c r="I1341" s="199">
        <v>1</v>
      </c>
      <c r="J1341" s="199">
        <v>1</v>
      </c>
      <c r="K1341" s="199">
        <v>1</v>
      </c>
      <c r="L1341" s="199">
        <v>50</v>
      </c>
      <c r="M1341" s="202">
        <f>TB_Parts_Lists[[#This Row],[Quantity Initial]]+ SUMIF(TB_Transactions[Part number],TB_Parts_Lists[[#This Row],[Part Number]],TB_Transactions[Quantity])</f>
        <v>50</v>
      </c>
      <c r="N1341" s="200" t="s">
        <v>4593</v>
      </c>
      <c r="O1341" s="234">
        <v>5</v>
      </c>
      <c r="P1341" s="199">
        <f>TB_Parts_Lists[[#This Row],[Quantity Initial]]*TB_Parts_Lists[[#This Row],[Unit Price AED]]</f>
        <v>250</v>
      </c>
      <c r="Q1341" s="199">
        <f>TB_Parts_Lists[[#This Row],[Quantity Total]]*TB_Parts_Lists[[#This Row],[Unit Price AED]]</f>
        <v>250</v>
      </c>
      <c r="S1341" s="199" t="s">
        <v>8675</v>
      </c>
      <c r="T1341" s="199" t="s">
        <v>8675</v>
      </c>
      <c r="U1341" s="199" t="s">
        <v>8675</v>
      </c>
    </row>
    <row r="1342" spans="1:21" s="199" customFormat="1" x14ac:dyDescent="0.25">
      <c r="A1342" s="192" t="s">
        <v>7887</v>
      </c>
      <c r="B1342" s="203" t="s">
        <v>3330</v>
      </c>
      <c r="C1342" s="188" t="s">
        <v>6679</v>
      </c>
      <c r="D1342" s="188" t="s">
        <v>8724</v>
      </c>
      <c r="E1342" s="188" t="s">
        <v>5618</v>
      </c>
      <c r="F1342" s="189" t="s">
        <v>4446</v>
      </c>
      <c r="G1342" s="199" t="s">
        <v>8308</v>
      </c>
      <c r="H1342" s="199" t="s">
        <v>3336</v>
      </c>
      <c r="I1342" s="199">
        <v>1</v>
      </c>
      <c r="J1342" s="199">
        <v>1</v>
      </c>
      <c r="K1342" s="199">
        <v>1</v>
      </c>
      <c r="L1342" s="199">
        <v>50</v>
      </c>
      <c r="M1342" s="202">
        <f>TB_Parts_Lists[[#This Row],[Quantity Initial]]+ SUMIF(TB_Transactions[Part number],TB_Parts_Lists[[#This Row],[Part Number]],TB_Transactions[Quantity])</f>
        <v>50</v>
      </c>
      <c r="N1342" s="200" t="s">
        <v>4593</v>
      </c>
      <c r="O1342" s="234">
        <v>5</v>
      </c>
      <c r="P1342" s="199">
        <f>TB_Parts_Lists[[#This Row],[Quantity Initial]]*TB_Parts_Lists[[#This Row],[Unit Price AED]]</f>
        <v>250</v>
      </c>
      <c r="Q1342" s="199">
        <f>TB_Parts_Lists[[#This Row],[Quantity Total]]*TB_Parts_Lists[[#This Row],[Unit Price AED]]</f>
        <v>250</v>
      </c>
      <c r="S1342" s="199" t="s">
        <v>122</v>
      </c>
      <c r="T1342" s="199" t="s">
        <v>129</v>
      </c>
      <c r="U1342" s="199" t="s">
        <v>262</v>
      </c>
    </row>
    <row r="1343" spans="1:21" s="199" customFormat="1" x14ac:dyDescent="0.25">
      <c r="A1343" s="192" t="s">
        <v>7888</v>
      </c>
      <c r="B1343" s="203" t="s">
        <v>3330</v>
      </c>
      <c r="C1343" s="188" t="s">
        <v>6679</v>
      </c>
      <c r="D1343" s="188" t="s">
        <v>8724</v>
      </c>
      <c r="E1343" s="188" t="s">
        <v>5619</v>
      </c>
      <c r="F1343" s="189" t="s">
        <v>4447</v>
      </c>
      <c r="G1343" s="199" t="s">
        <v>8308</v>
      </c>
      <c r="H1343" s="199" t="s">
        <v>3336</v>
      </c>
      <c r="I1343" s="199">
        <v>1</v>
      </c>
      <c r="J1343" s="199">
        <v>1</v>
      </c>
      <c r="K1343" s="199">
        <v>1</v>
      </c>
      <c r="L1343" s="199">
        <v>50</v>
      </c>
      <c r="M1343" s="202">
        <f>TB_Parts_Lists[[#This Row],[Quantity Initial]]+ SUMIF(TB_Transactions[Part number],TB_Parts_Lists[[#This Row],[Part Number]],TB_Transactions[Quantity])</f>
        <v>50</v>
      </c>
      <c r="N1343" s="200" t="s">
        <v>4593</v>
      </c>
      <c r="O1343" s="234">
        <v>5</v>
      </c>
      <c r="P1343" s="199">
        <f>TB_Parts_Lists[[#This Row],[Quantity Initial]]*TB_Parts_Lists[[#This Row],[Unit Price AED]]</f>
        <v>250</v>
      </c>
      <c r="Q1343" s="199">
        <f>TB_Parts_Lists[[#This Row],[Quantity Total]]*TB_Parts_Lists[[#This Row],[Unit Price AED]]</f>
        <v>250</v>
      </c>
      <c r="S1343" s="199" t="s">
        <v>122</v>
      </c>
      <c r="T1343" s="199" t="s">
        <v>129</v>
      </c>
      <c r="U1343" s="199" t="s">
        <v>262</v>
      </c>
    </row>
    <row r="1344" spans="1:21" s="199" customFormat="1" x14ac:dyDescent="0.25">
      <c r="A1344" s="192" t="s">
        <v>7889</v>
      </c>
      <c r="B1344" s="203" t="s">
        <v>3329</v>
      </c>
      <c r="C1344" s="188" t="s">
        <v>7886</v>
      </c>
      <c r="D1344" s="188" t="s">
        <v>8724</v>
      </c>
      <c r="E1344" s="188" t="s">
        <v>5620</v>
      </c>
      <c r="F1344" s="189" t="s">
        <v>6144</v>
      </c>
      <c r="G1344" s="199" t="s">
        <v>8308</v>
      </c>
      <c r="H1344" s="199" t="s">
        <v>3336</v>
      </c>
      <c r="I1344" s="199">
        <v>1</v>
      </c>
      <c r="J1344" s="199">
        <v>1</v>
      </c>
      <c r="K1344" s="199">
        <v>1</v>
      </c>
      <c r="L1344" s="199">
        <v>50</v>
      </c>
      <c r="M1344" s="202">
        <f>TB_Parts_Lists[[#This Row],[Quantity Initial]]+ SUMIF(TB_Transactions[Part number],TB_Parts_Lists[[#This Row],[Part Number]],TB_Transactions[Quantity])</f>
        <v>50</v>
      </c>
      <c r="N1344" s="200" t="s">
        <v>4593</v>
      </c>
      <c r="O1344" s="234">
        <v>5</v>
      </c>
      <c r="P1344" s="199">
        <f>TB_Parts_Lists[[#This Row],[Quantity Initial]]*TB_Parts_Lists[[#This Row],[Unit Price AED]]</f>
        <v>250</v>
      </c>
      <c r="Q1344" s="199">
        <f>TB_Parts_Lists[[#This Row],[Quantity Total]]*TB_Parts_Lists[[#This Row],[Unit Price AED]]</f>
        <v>250</v>
      </c>
      <c r="S1344" s="199" t="s">
        <v>122</v>
      </c>
      <c r="T1344" s="199" t="s">
        <v>129</v>
      </c>
      <c r="U1344" s="199" t="s">
        <v>262</v>
      </c>
    </row>
    <row r="1345" spans="1:21" s="199" customFormat="1" x14ac:dyDescent="0.25">
      <c r="A1345" s="192" t="s">
        <v>7890</v>
      </c>
      <c r="B1345" s="203" t="s">
        <v>3338</v>
      </c>
      <c r="C1345" s="188" t="s">
        <v>651</v>
      </c>
      <c r="D1345" s="199" t="s">
        <v>8732</v>
      </c>
      <c r="E1345" s="188" t="s">
        <v>5621</v>
      </c>
      <c r="F1345" s="189" t="s">
        <v>4448</v>
      </c>
      <c r="G1345" s="199" t="s">
        <v>8308</v>
      </c>
      <c r="H1345" s="199" t="s">
        <v>3336</v>
      </c>
      <c r="I1345" s="199">
        <v>1</v>
      </c>
      <c r="J1345" s="199">
        <v>1</v>
      </c>
      <c r="K1345" s="199">
        <v>1</v>
      </c>
      <c r="L1345" s="199">
        <v>50</v>
      </c>
      <c r="M1345" s="202">
        <f>TB_Parts_Lists[[#This Row],[Quantity Initial]]+ SUMIF(TB_Transactions[Part number],TB_Parts_Lists[[#This Row],[Part Number]],TB_Transactions[Quantity])</f>
        <v>50</v>
      </c>
      <c r="N1345" s="200" t="s">
        <v>4593</v>
      </c>
      <c r="O1345" s="234">
        <v>5</v>
      </c>
      <c r="P1345" s="199">
        <f>TB_Parts_Lists[[#This Row],[Quantity Initial]]*TB_Parts_Lists[[#This Row],[Unit Price AED]]</f>
        <v>250</v>
      </c>
      <c r="Q1345" s="199">
        <f>TB_Parts_Lists[[#This Row],[Quantity Total]]*TB_Parts_Lists[[#This Row],[Unit Price AED]]</f>
        <v>250</v>
      </c>
      <c r="S1345" s="199" t="s">
        <v>122</v>
      </c>
      <c r="T1345" s="199" t="s">
        <v>129</v>
      </c>
      <c r="U1345" s="199" t="s">
        <v>262</v>
      </c>
    </row>
    <row r="1346" spans="1:21" s="199" customFormat="1" x14ac:dyDescent="0.25">
      <c r="A1346" s="192" t="s">
        <v>7891</v>
      </c>
      <c r="B1346" s="203" t="s">
        <v>3329</v>
      </c>
      <c r="C1346" s="188" t="s">
        <v>3343</v>
      </c>
      <c r="D1346" s="199" t="s">
        <v>8732</v>
      </c>
      <c r="E1346" s="188" t="s">
        <v>5622</v>
      </c>
      <c r="F1346" s="189" t="s">
        <v>4449</v>
      </c>
      <c r="G1346" s="199" t="s">
        <v>8308</v>
      </c>
      <c r="H1346" s="199" t="s">
        <v>3336</v>
      </c>
      <c r="I1346" s="199">
        <v>1</v>
      </c>
      <c r="J1346" s="199">
        <v>1</v>
      </c>
      <c r="K1346" s="199">
        <v>1</v>
      </c>
      <c r="L1346" s="199">
        <v>50</v>
      </c>
      <c r="M1346" s="202">
        <f>TB_Parts_Lists[[#This Row],[Quantity Initial]]+ SUMIF(TB_Transactions[Part number],TB_Parts_Lists[[#This Row],[Part Number]],TB_Transactions[Quantity])</f>
        <v>50</v>
      </c>
      <c r="N1346" s="200" t="s">
        <v>4593</v>
      </c>
      <c r="O1346" s="234">
        <v>5</v>
      </c>
      <c r="P1346" s="199">
        <f>TB_Parts_Lists[[#This Row],[Quantity Initial]]*TB_Parts_Lists[[#This Row],[Unit Price AED]]</f>
        <v>250</v>
      </c>
      <c r="Q1346" s="199">
        <f>TB_Parts_Lists[[#This Row],[Quantity Total]]*TB_Parts_Lists[[#This Row],[Unit Price AED]]</f>
        <v>250</v>
      </c>
      <c r="S1346" s="199" t="s">
        <v>122</v>
      </c>
      <c r="T1346" s="199" t="s">
        <v>129</v>
      </c>
      <c r="U1346" s="199" t="s">
        <v>262</v>
      </c>
    </row>
    <row r="1347" spans="1:21" s="199" customFormat="1" x14ac:dyDescent="0.25">
      <c r="A1347" s="192" t="s">
        <v>7892</v>
      </c>
      <c r="B1347" s="203" t="s">
        <v>3329</v>
      </c>
      <c r="C1347" s="188" t="s">
        <v>3348</v>
      </c>
      <c r="D1347" s="188" t="s">
        <v>8724</v>
      </c>
      <c r="E1347" s="188" t="s">
        <v>5623</v>
      </c>
      <c r="F1347" s="189" t="s">
        <v>4450</v>
      </c>
      <c r="G1347" s="199" t="s">
        <v>8308</v>
      </c>
      <c r="H1347" s="199" t="s">
        <v>3336</v>
      </c>
      <c r="I1347" s="199">
        <v>1</v>
      </c>
      <c r="J1347" s="199">
        <v>1</v>
      </c>
      <c r="K1347" s="199">
        <v>1</v>
      </c>
      <c r="L1347" s="199">
        <v>50</v>
      </c>
      <c r="M1347" s="202">
        <f>TB_Parts_Lists[[#This Row],[Quantity Initial]]+ SUMIF(TB_Transactions[Part number],TB_Parts_Lists[[#This Row],[Part Number]],TB_Transactions[Quantity])</f>
        <v>50</v>
      </c>
      <c r="N1347" s="200" t="s">
        <v>4593</v>
      </c>
      <c r="O1347" s="234">
        <v>5</v>
      </c>
      <c r="P1347" s="199">
        <f>TB_Parts_Lists[[#This Row],[Quantity Initial]]*TB_Parts_Lists[[#This Row],[Unit Price AED]]</f>
        <v>250</v>
      </c>
      <c r="Q1347" s="199">
        <f>TB_Parts_Lists[[#This Row],[Quantity Total]]*TB_Parts_Lists[[#This Row],[Unit Price AED]]</f>
        <v>250</v>
      </c>
      <c r="S1347" s="199" t="s">
        <v>122</v>
      </c>
      <c r="T1347" s="199" t="s">
        <v>129</v>
      </c>
      <c r="U1347" s="199" t="s">
        <v>262</v>
      </c>
    </row>
    <row r="1348" spans="1:21" s="199" customFormat="1" x14ac:dyDescent="0.25">
      <c r="A1348" s="192" t="s">
        <v>7893</v>
      </c>
      <c r="B1348" s="203" t="s">
        <v>3330</v>
      </c>
      <c r="C1348" s="188" t="s">
        <v>7808</v>
      </c>
      <c r="D1348" s="199" t="s">
        <v>8732</v>
      </c>
      <c r="E1348" s="188" t="s">
        <v>5624</v>
      </c>
      <c r="F1348" s="189" t="s">
        <v>4451</v>
      </c>
      <c r="G1348" s="199" t="s">
        <v>8308</v>
      </c>
      <c r="H1348" s="199" t="s">
        <v>3336</v>
      </c>
      <c r="I1348" s="199">
        <v>1</v>
      </c>
      <c r="J1348" s="199">
        <v>1</v>
      </c>
      <c r="K1348" s="199">
        <v>1</v>
      </c>
      <c r="L1348" s="199">
        <v>50</v>
      </c>
      <c r="M1348" s="202">
        <f>TB_Parts_Lists[[#This Row],[Quantity Initial]]+ SUMIF(TB_Transactions[Part number],TB_Parts_Lists[[#This Row],[Part Number]],TB_Transactions[Quantity])</f>
        <v>50</v>
      </c>
      <c r="N1348" s="200" t="s">
        <v>4593</v>
      </c>
      <c r="O1348" s="234">
        <v>5</v>
      </c>
      <c r="P1348" s="199">
        <f>TB_Parts_Lists[[#This Row],[Quantity Initial]]*TB_Parts_Lists[[#This Row],[Unit Price AED]]</f>
        <v>250</v>
      </c>
      <c r="Q1348" s="199">
        <f>TB_Parts_Lists[[#This Row],[Quantity Total]]*TB_Parts_Lists[[#This Row],[Unit Price AED]]</f>
        <v>250</v>
      </c>
      <c r="S1348" s="199" t="s">
        <v>122</v>
      </c>
      <c r="T1348" s="199" t="s">
        <v>129</v>
      </c>
      <c r="U1348" s="199" t="s">
        <v>262</v>
      </c>
    </row>
    <row r="1349" spans="1:21" s="199" customFormat="1" x14ac:dyDescent="0.25">
      <c r="A1349" s="192" t="s">
        <v>7894</v>
      </c>
      <c r="B1349" s="203" t="s">
        <v>3330</v>
      </c>
      <c r="C1349" s="188" t="s">
        <v>7809</v>
      </c>
      <c r="D1349" s="199" t="s">
        <v>8732</v>
      </c>
      <c r="E1349" s="188" t="s">
        <v>5625</v>
      </c>
      <c r="F1349" s="189" t="s">
        <v>4452</v>
      </c>
      <c r="G1349" s="199" t="s">
        <v>8308</v>
      </c>
      <c r="H1349" s="199" t="s">
        <v>3336</v>
      </c>
      <c r="I1349" s="199">
        <v>1</v>
      </c>
      <c r="J1349" s="199">
        <v>1</v>
      </c>
      <c r="K1349" s="199">
        <v>1</v>
      </c>
      <c r="L1349" s="199">
        <v>50</v>
      </c>
      <c r="M1349" s="202">
        <f>TB_Parts_Lists[[#This Row],[Quantity Initial]]+ SUMIF(TB_Transactions[Part number],TB_Parts_Lists[[#This Row],[Part Number]],TB_Transactions[Quantity])</f>
        <v>50</v>
      </c>
      <c r="N1349" s="200" t="s">
        <v>4593</v>
      </c>
      <c r="O1349" s="234">
        <v>5</v>
      </c>
      <c r="P1349" s="199">
        <f>TB_Parts_Lists[[#This Row],[Quantity Initial]]*TB_Parts_Lists[[#This Row],[Unit Price AED]]</f>
        <v>250</v>
      </c>
      <c r="Q1349" s="199">
        <f>TB_Parts_Lists[[#This Row],[Quantity Total]]*TB_Parts_Lists[[#This Row],[Unit Price AED]]</f>
        <v>250</v>
      </c>
      <c r="S1349" s="199" t="s">
        <v>122</v>
      </c>
      <c r="T1349" s="199" t="s">
        <v>129</v>
      </c>
      <c r="U1349" s="199" t="s">
        <v>262</v>
      </c>
    </row>
    <row r="1350" spans="1:21" s="199" customFormat="1" x14ac:dyDescent="0.25">
      <c r="A1350" s="192" t="s">
        <v>7895</v>
      </c>
      <c r="B1350" s="203" t="s">
        <v>3329</v>
      </c>
      <c r="C1350" s="188" t="s">
        <v>6652</v>
      </c>
      <c r="D1350" s="188" t="s">
        <v>8724</v>
      </c>
      <c r="E1350" s="188" t="s">
        <v>5626</v>
      </c>
      <c r="F1350" s="189" t="s">
        <v>4453</v>
      </c>
      <c r="G1350" s="199" t="s">
        <v>8308</v>
      </c>
      <c r="H1350" s="199" t="s">
        <v>3336</v>
      </c>
      <c r="I1350" s="199">
        <v>1</v>
      </c>
      <c r="J1350" s="199">
        <v>1</v>
      </c>
      <c r="K1350" s="199">
        <v>1</v>
      </c>
      <c r="L1350" s="199">
        <v>50</v>
      </c>
      <c r="M1350" s="202">
        <f>TB_Parts_Lists[[#This Row],[Quantity Initial]]+ SUMIF(TB_Transactions[Part number],TB_Parts_Lists[[#This Row],[Part Number]],TB_Transactions[Quantity])</f>
        <v>50</v>
      </c>
      <c r="N1350" s="200" t="s">
        <v>4593</v>
      </c>
      <c r="O1350" s="234">
        <v>5</v>
      </c>
      <c r="P1350" s="199">
        <f>TB_Parts_Lists[[#This Row],[Quantity Initial]]*TB_Parts_Lists[[#This Row],[Unit Price AED]]</f>
        <v>250</v>
      </c>
      <c r="Q1350" s="199">
        <f>TB_Parts_Lists[[#This Row],[Quantity Total]]*TB_Parts_Lists[[#This Row],[Unit Price AED]]</f>
        <v>250</v>
      </c>
      <c r="S1350" s="199" t="s">
        <v>122</v>
      </c>
      <c r="T1350" s="199" t="s">
        <v>129</v>
      </c>
      <c r="U1350" s="199" t="s">
        <v>262</v>
      </c>
    </row>
    <row r="1351" spans="1:21" s="199" customFormat="1" x14ac:dyDescent="0.25">
      <c r="A1351" s="192" t="s">
        <v>7896</v>
      </c>
      <c r="B1351" s="203" t="s">
        <v>3329</v>
      </c>
      <c r="C1351" s="188" t="s">
        <v>3342</v>
      </c>
      <c r="D1351" s="188" t="s">
        <v>8724</v>
      </c>
      <c r="E1351" s="188" t="s">
        <v>5627</v>
      </c>
      <c r="F1351" s="189" t="s">
        <v>4454</v>
      </c>
      <c r="G1351" s="199" t="s">
        <v>8308</v>
      </c>
      <c r="H1351" s="199" t="s">
        <v>3336</v>
      </c>
      <c r="I1351" s="199">
        <v>1</v>
      </c>
      <c r="J1351" s="199">
        <v>1</v>
      </c>
      <c r="K1351" s="199">
        <v>1</v>
      </c>
      <c r="L1351" s="199">
        <v>50</v>
      </c>
      <c r="M1351" s="202">
        <f>TB_Parts_Lists[[#This Row],[Quantity Initial]]+ SUMIF(TB_Transactions[Part number],TB_Parts_Lists[[#This Row],[Part Number]],TB_Transactions[Quantity])</f>
        <v>50</v>
      </c>
      <c r="N1351" s="200" t="s">
        <v>4593</v>
      </c>
      <c r="O1351" s="234">
        <v>5</v>
      </c>
      <c r="P1351" s="199">
        <f>TB_Parts_Lists[[#This Row],[Quantity Initial]]*TB_Parts_Lists[[#This Row],[Unit Price AED]]</f>
        <v>250</v>
      </c>
      <c r="Q1351" s="199">
        <f>TB_Parts_Lists[[#This Row],[Quantity Total]]*TB_Parts_Lists[[#This Row],[Unit Price AED]]</f>
        <v>250</v>
      </c>
      <c r="S1351" s="199" t="s">
        <v>122</v>
      </c>
      <c r="T1351" s="199" t="s">
        <v>129</v>
      </c>
      <c r="U1351" s="199" t="s">
        <v>262</v>
      </c>
    </row>
    <row r="1352" spans="1:21" s="199" customFormat="1" x14ac:dyDescent="0.25">
      <c r="A1352" s="192" t="s">
        <v>7897</v>
      </c>
      <c r="B1352" s="203" t="s">
        <v>3329</v>
      </c>
      <c r="C1352" s="188" t="s">
        <v>3342</v>
      </c>
      <c r="D1352" s="188" t="s">
        <v>8724</v>
      </c>
      <c r="E1352" s="188" t="s">
        <v>5628</v>
      </c>
      <c r="F1352" s="189" t="s">
        <v>4455</v>
      </c>
      <c r="G1352" s="199" t="s">
        <v>8308</v>
      </c>
      <c r="H1352" s="199" t="s">
        <v>3336</v>
      </c>
      <c r="I1352" s="199">
        <v>1</v>
      </c>
      <c r="J1352" s="199">
        <v>1</v>
      </c>
      <c r="K1352" s="199">
        <v>1</v>
      </c>
      <c r="L1352" s="199">
        <v>50</v>
      </c>
      <c r="M1352" s="202">
        <f>TB_Parts_Lists[[#This Row],[Quantity Initial]]+ SUMIF(TB_Transactions[Part number],TB_Parts_Lists[[#This Row],[Part Number]],TB_Transactions[Quantity])</f>
        <v>50</v>
      </c>
      <c r="N1352" s="200" t="s">
        <v>4593</v>
      </c>
      <c r="O1352" s="234">
        <v>5</v>
      </c>
      <c r="P1352" s="199">
        <f>TB_Parts_Lists[[#This Row],[Quantity Initial]]*TB_Parts_Lists[[#This Row],[Unit Price AED]]</f>
        <v>250</v>
      </c>
      <c r="Q1352" s="199">
        <f>TB_Parts_Lists[[#This Row],[Quantity Total]]*TB_Parts_Lists[[#This Row],[Unit Price AED]]</f>
        <v>250</v>
      </c>
      <c r="S1352" s="199" t="s">
        <v>122</v>
      </c>
      <c r="T1352" s="199" t="s">
        <v>129</v>
      </c>
      <c r="U1352" s="199" t="s">
        <v>262</v>
      </c>
    </row>
    <row r="1353" spans="1:21" s="199" customFormat="1" x14ac:dyDescent="0.25">
      <c r="A1353" s="192" t="s">
        <v>7898</v>
      </c>
      <c r="B1353" s="203" t="s">
        <v>3329</v>
      </c>
      <c r="C1353" s="188" t="s">
        <v>3343</v>
      </c>
      <c r="D1353" s="188" t="s">
        <v>8724</v>
      </c>
      <c r="E1353" s="188" t="s">
        <v>5629</v>
      </c>
      <c r="F1353" s="189" t="s">
        <v>4456</v>
      </c>
      <c r="G1353" s="199" t="s">
        <v>8308</v>
      </c>
      <c r="H1353" s="199" t="e">
        <v>#N/A</v>
      </c>
      <c r="I1353" s="199">
        <v>1</v>
      </c>
      <c r="J1353" s="199">
        <v>1</v>
      </c>
      <c r="K1353" s="199">
        <v>1</v>
      </c>
      <c r="L1353" s="199">
        <v>50</v>
      </c>
      <c r="M1353" s="202">
        <f>TB_Parts_Lists[[#This Row],[Quantity Initial]]+ SUMIF(TB_Transactions[Part number],TB_Parts_Lists[[#This Row],[Part Number]],TB_Transactions[Quantity])</f>
        <v>50</v>
      </c>
      <c r="N1353" s="200" t="s">
        <v>4593</v>
      </c>
      <c r="O1353" s="234">
        <v>5</v>
      </c>
      <c r="P1353" s="199">
        <f>TB_Parts_Lists[[#This Row],[Quantity Initial]]*TB_Parts_Lists[[#This Row],[Unit Price AED]]</f>
        <v>250</v>
      </c>
      <c r="Q1353" s="199">
        <f>TB_Parts_Lists[[#This Row],[Quantity Total]]*TB_Parts_Lists[[#This Row],[Unit Price AED]]</f>
        <v>250</v>
      </c>
      <c r="S1353" s="199" t="e">
        <v>#N/A</v>
      </c>
      <c r="T1353" s="199" t="e">
        <v>#N/A</v>
      </c>
      <c r="U1353" s="199" t="e">
        <v>#N/A</v>
      </c>
    </row>
    <row r="1354" spans="1:21" s="199" customFormat="1" x14ac:dyDescent="0.25">
      <c r="A1354" s="192" t="s">
        <v>7899</v>
      </c>
      <c r="B1354" s="203" t="s">
        <v>3329</v>
      </c>
      <c r="C1354" s="188" t="s">
        <v>3343</v>
      </c>
      <c r="D1354" s="188" t="s">
        <v>8724</v>
      </c>
      <c r="E1354" s="188" t="s">
        <v>5630</v>
      </c>
      <c r="F1354" s="189" t="s">
        <v>4688</v>
      </c>
      <c r="G1354" s="199" t="s">
        <v>8308</v>
      </c>
      <c r="H1354" s="199" t="e">
        <v>#N/A</v>
      </c>
      <c r="I1354" s="199">
        <v>1</v>
      </c>
      <c r="J1354" s="199">
        <v>1</v>
      </c>
      <c r="K1354" s="199">
        <v>1</v>
      </c>
      <c r="L1354" s="199">
        <v>50</v>
      </c>
      <c r="M1354" s="202">
        <f>TB_Parts_Lists[[#This Row],[Quantity Initial]]+ SUMIF(TB_Transactions[Part number],TB_Parts_Lists[[#This Row],[Part Number]],TB_Transactions[Quantity])</f>
        <v>50</v>
      </c>
      <c r="N1354" s="200" t="s">
        <v>4593</v>
      </c>
      <c r="O1354" s="234">
        <v>5</v>
      </c>
      <c r="P1354" s="199">
        <f>TB_Parts_Lists[[#This Row],[Quantity Initial]]*TB_Parts_Lists[[#This Row],[Unit Price AED]]</f>
        <v>250</v>
      </c>
      <c r="Q1354" s="199">
        <f>TB_Parts_Lists[[#This Row],[Quantity Total]]*TB_Parts_Lists[[#This Row],[Unit Price AED]]</f>
        <v>250</v>
      </c>
      <c r="S1354" s="199" t="e">
        <v>#N/A</v>
      </c>
      <c r="T1354" s="199" t="e">
        <v>#N/A</v>
      </c>
      <c r="U1354" s="199" t="e">
        <v>#N/A</v>
      </c>
    </row>
    <row r="1355" spans="1:21" s="199" customFormat="1" x14ac:dyDescent="0.25">
      <c r="A1355" s="192" t="s">
        <v>7900</v>
      </c>
      <c r="B1355" s="203" t="s">
        <v>3330</v>
      </c>
      <c r="C1355" s="188" t="s">
        <v>4608</v>
      </c>
      <c r="D1355" s="188" t="s">
        <v>8724</v>
      </c>
      <c r="E1355" s="188" t="s">
        <v>5631</v>
      </c>
      <c r="F1355" s="189" t="s">
        <v>4457</v>
      </c>
      <c r="G1355" s="199" t="s">
        <v>8308</v>
      </c>
      <c r="H1355" s="199" t="e">
        <v>#N/A</v>
      </c>
      <c r="I1355" s="199">
        <v>1</v>
      </c>
      <c r="J1355" s="199">
        <v>1</v>
      </c>
      <c r="K1355" s="199">
        <v>1</v>
      </c>
      <c r="L1355" s="199">
        <v>50</v>
      </c>
      <c r="M1355" s="202">
        <f>TB_Parts_Lists[[#This Row],[Quantity Initial]]+ SUMIF(TB_Transactions[Part number],TB_Parts_Lists[[#This Row],[Part Number]],TB_Transactions[Quantity])</f>
        <v>50</v>
      </c>
      <c r="N1355" s="200" t="s">
        <v>4593</v>
      </c>
      <c r="O1355" s="234">
        <v>5</v>
      </c>
      <c r="P1355" s="199">
        <f>TB_Parts_Lists[[#This Row],[Quantity Initial]]*TB_Parts_Lists[[#This Row],[Unit Price AED]]</f>
        <v>250</v>
      </c>
      <c r="Q1355" s="199">
        <f>TB_Parts_Lists[[#This Row],[Quantity Total]]*TB_Parts_Lists[[#This Row],[Unit Price AED]]</f>
        <v>250</v>
      </c>
      <c r="S1355" s="199" t="e">
        <v>#N/A</v>
      </c>
      <c r="T1355" s="199" t="e">
        <v>#N/A</v>
      </c>
      <c r="U1355" s="199" t="e">
        <v>#N/A</v>
      </c>
    </row>
    <row r="1356" spans="1:21" s="199" customFormat="1" x14ac:dyDescent="0.25">
      <c r="A1356" s="192" t="s">
        <v>7901</v>
      </c>
      <c r="B1356" s="203" t="s">
        <v>3330</v>
      </c>
      <c r="C1356" s="188" t="s">
        <v>7047</v>
      </c>
      <c r="D1356" s="188" t="s">
        <v>8724</v>
      </c>
      <c r="E1356" s="188" t="s">
        <v>5632</v>
      </c>
      <c r="F1356" s="189" t="s">
        <v>4458</v>
      </c>
      <c r="G1356" s="199" t="s">
        <v>8308</v>
      </c>
      <c r="H1356" s="199" t="e">
        <v>#N/A</v>
      </c>
      <c r="I1356" s="199">
        <v>1</v>
      </c>
      <c r="J1356" s="199">
        <v>1</v>
      </c>
      <c r="K1356" s="199">
        <v>1</v>
      </c>
      <c r="L1356" s="199">
        <v>50</v>
      </c>
      <c r="M1356" s="202">
        <f>TB_Parts_Lists[[#This Row],[Quantity Initial]]+ SUMIF(TB_Transactions[Part number],TB_Parts_Lists[[#This Row],[Part Number]],TB_Transactions[Quantity])</f>
        <v>50</v>
      </c>
      <c r="N1356" s="200" t="s">
        <v>4593</v>
      </c>
      <c r="O1356" s="234">
        <v>5</v>
      </c>
      <c r="P1356" s="199">
        <f>TB_Parts_Lists[[#This Row],[Quantity Initial]]*TB_Parts_Lists[[#This Row],[Unit Price AED]]</f>
        <v>250</v>
      </c>
      <c r="Q1356" s="199">
        <f>TB_Parts_Lists[[#This Row],[Quantity Total]]*TB_Parts_Lists[[#This Row],[Unit Price AED]]</f>
        <v>250</v>
      </c>
      <c r="S1356" s="199" t="e">
        <v>#N/A</v>
      </c>
      <c r="T1356" s="199" t="e">
        <v>#N/A</v>
      </c>
      <c r="U1356" s="199" t="e">
        <v>#N/A</v>
      </c>
    </row>
    <row r="1357" spans="1:21" s="199" customFormat="1" x14ac:dyDescent="0.25">
      <c r="A1357" s="192" t="s">
        <v>7902</v>
      </c>
      <c r="B1357" s="203" t="s">
        <v>3330</v>
      </c>
      <c r="C1357" s="188" t="s">
        <v>7047</v>
      </c>
      <c r="D1357" s="188" t="s">
        <v>8724</v>
      </c>
      <c r="E1357" s="188" t="s">
        <v>5633</v>
      </c>
      <c r="F1357" s="189" t="s">
        <v>4459</v>
      </c>
      <c r="G1357" s="199" t="s">
        <v>8308</v>
      </c>
      <c r="H1357" s="199" t="e">
        <v>#N/A</v>
      </c>
      <c r="I1357" s="199">
        <v>1</v>
      </c>
      <c r="J1357" s="199">
        <v>1</v>
      </c>
      <c r="K1357" s="199">
        <v>1</v>
      </c>
      <c r="L1357" s="199">
        <v>50</v>
      </c>
      <c r="M1357" s="202">
        <f>TB_Parts_Lists[[#This Row],[Quantity Initial]]+ SUMIF(TB_Transactions[Part number],TB_Parts_Lists[[#This Row],[Part Number]],TB_Transactions[Quantity])</f>
        <v>50</v>
      </c>
      <c r="N1357" s="200" t="s">
        <v>4593</v>
      </c>
      <c r="O1357" s="234">
        <v>5</v>
      </c>
      <c r="P1357" s="199">
        <f>TB_Parts_Lists[[#This Row],[Quantity Initial]]*TB_Parts_Lists[[#This Row],[Unit Price AED]]</f>
        <v>250</v>
      </c>
      <c r="Q1357" s="199">
        <f>TB_Parts_Lists[[#This Row],[Quantity Total]]*TB_Parts_Lists[[#This Row],[Unit Price AED]]</f>
        <v>250</v>
      </c>
      <c r="S1357" s="199" t="e">
        <v>#N/A</v>
      </c>
      <c r="T1357" s="199" t="e">
        <v>#N/A</v>
      </c>
      <c r="U1357" s="199" t="e">
        <v>#N/A</v>
      </c>
    </row>
    <row r="1358" spans="1:21" s="199" customFormat="1" x14ac:dyDescent="0.25">
      <c r="A1358" s="192" t="s">
        <v>7903</v>
      </c>
      <c r="B1358" s="203" t="s">
        <v>3330</v>
      </c>
      <c r="C1358" s="188" t="s">
        <v>7047</v>
      </c>
      <c r="D1358" s="188" t="s">
        <v>8724</v>
      </c>
      <c r="E1358" s="188" t="s">
        <v>5634</v>
      </c>
      <c r="F1358" s="189" t="s">
        <v>4460</v>
      </c>
      <c r="G1358" s="199" t="s">
        <v>8308</v>
      </c>
      <c r="H1358" s="199" t="e">
        <v>#N/A</v>
      </c>
      <c r="I1358" s="199">
        <v>1</v>
      </c>
      <c r="J1358" s="199">
        <v>1</v>
      </c>
      <c r="K1358" s="199">
        <v>1</v>
      </c>
      <c r="L1358" s="199">
        <v>50</v>
      </c>
      <c r="M1358" s="202">
        <f>TB_Parts_Lists[[#This Row],[Quantity Initial]]+ SUMIF(TB_Transactions[Part number],TB_Parts_Lists[[#This Row],[Part Number]],TB_Transactions[Quantity])</f>
        <v>50</v>
      </c>
      <c r="N1358" s="200" t="s">
        <v>4593</v>
      </c>
      <c r="O1358" s="234">
        <v>5</v>
      </c>
      <c r="P1358" s="199">
        <f>TB_Parts_Lists[[#This Row],[Quantity Initial]]*TB_Parts_Lists[[#This Row],[Unit Price AED]]</f>
        <v>250</v>
      </c>
      <c r="Q1358" s="199">
        <f>TB_Parts_Lists[[#This Row],[Quantity Total]]*TB_Parts_Lists[[#This Row],[Unit Price AED]]</f>
        <v>250</v>
      </c>
      <c r="S1358" s="199" t="e">
        <v>#N/A</v>
      </c>
      <c r="T1358" s="199" t="e">
        <v>#N/A</v>
      </c>
      <c r="U1358" s="199" t="e">
        <v>#N/A</v>
      </c>
    </row>
    <row r="1359" spans="1:21" s="199" customFormat="1" x14ac:dyDescent="0.25">
      <c r="A1359" s="192" t="s">
        <v>7904</v>
      </c>
      <c r="B1359" s="203" t="s">
        <v>6619</v>
      </c>
      <c r="C1359" s="188" t="s">
        <v>3629</v>
      </c>
      <c r="D1359" s="188" t="s">
        <v>8724</v>
      </c>
      <c r="E1359" s="188" t="s">
        <v>4689</v>
      </c>
      <c r="F1359" s="189" t="s">
        <v>4461</v>
      </c>
      <c r="G1359" s="199" t="s">
        <v>8308</v>
      </c>
      <c r="H1359" s="199" t="e">
        <v>#N/A</v>
      </c>
      <c r="I1359" s="199">
        <v>1</v>
      </c>
      <c r="J1359" s="199">
        <v>1</v>
      </c>
      <c r="K1359" s="199">
        <v>1</v>
      </c>
      <c r="L1359" s="199">
        <v>50</v>
      </c>
      <c r="M1359" s="202">
        <f>TB_Parts_Lists[[#This Row],[Quantity Initial]]+ SUMIF(TB_Transactions[Part number],TB_Parts_Lists[[#This Row],[Part Number]],TB_Transactions[Quantity])</f>
        <v>50</v>
      </c>
      <c r="N1359" s="200" t="s">
        <v>4593</v>
      </c>
      <c r="O1359" s="234">
        <v>5</v>
      </c>
      <c r="P1359" s="199">
        <f>TB_Parts_Lists[[#This Row],[Quantity Initial]]*TB_Parts_Lists[[#This Row],[Unit Price AED]]</f>
        <v>250</v>
      </c>
      <c r="Q1359" s="199">
        <f>TB_Parts_Lists[[#This Row],[Quantity Total]]*TB_Parts_Lists[[#This Row],[Unit Price AED]]</f>
        <v>250</v>
      </c>
      <c r="S1359" s="199" t="e">
        <v>#N/A</v>
      </c>
      <c r="T1359" s="199" t="e">
        <v>#N/A</v>
      </c>
      <c r="U1359" s="199" t="e">
        <v>#N/A</v>
      </c>
    </row>
    <row r="1360" spans="1:21" s="199" customFormat="1" x14ac:dyDescent="0.25">
      <c r="A1360" s="192" t="s">
        <v>7905</v>
      </c>
      <c r="B1360" s="203" t="s">
        <v>3330</v>
      </c>
      <c r="C1360" s="188" t="s">
        <v>7066</v>
      </c>
      <c r="D1360" s="188" t="s">
        <v>8724</v>
      </c>
      <c r="E1360" s="188" t="s">
        <v>5635</v>
      </c>
      <c r="F1360" s="189" t="s">
        <v>4462</v>
      </c>
      <c r="G1360" s="199" t="s">
        <v>8308</v>
      </c>
      <c r="H1360" s="199" t="e">
        <v>#N/A</v>
      </c>
      <c r="I1360" s="199">
        <v>1</v>
      </c>
      <c r="J1360" s="199">
        <v>1</v>
      </c>
      <c r="K1360" s="199">
        <v>1</v>
      </c>
      <c r="L1360" s="199">
        <v>50</v>
      </c>
      <c r="M1360" s="202">
        <f>TB_Parts_Lists[[#This Row],[Quantity Initial]]+ SUMIF(TB_Transactions[Part number],TB_Parts_Lists[[#This Row],[Part Number]],TB_Transactions[Quantity])</f>
        <v>50</v>
      </c>
      <c r="N1360" s="200" t="s">
        <v>4593</v>
      </c>
      <c r="O1360" s="234">
        <v>5</v>
      </c>
      <c r="P1360" s="199">
        <f>TB_Parts_Lists[[#This Row],[Quantity Initial]]*TB_Parts_Lists[[#This Row],[Unit Price AED]]</f>
        <v>250</v>
      </c>
      <c r="Q1360" s="199">
        <f>TB_Parts_Lists[[#This Row],[Quantity Total]]*TB_Parts_Lists[[#This Row],[Unit Price AED]]</f>
        <v>250</v>
      </c>
      <c r="S1360" s="199" t="e">
        <v>#N/A</v>
      </c>
      <c r="T1360" s="199" t="e">
        <v>#N/A</v>
      </c>
      <c r="U1360" s="199" t="e">
        <v>#N/A</v>
      </c>
    </row>
    <row r="1361" spans="1:21" s="199" customFormat="1" x14ac:dyDescent="0.25">
      <c r="A1361" s="192" t="s">
        <v>7906</v>
      </c>
      <c r="B1361" s="203" t="s">
        <v>6619</v>
      </c>
      <c r="C1361" s="188" t="s">
        <v>3629</v>
      </c>
      <c r="D1361" s="188" t="s">
        <v>8724</v>
      </c>
      <c r="E1361" s="188" t="s">
        <v>5636</v>
      </c>
      <c r="F1361" s="189" t="s">
        <v>4463</v>
      </c>
      <c r="G1361" s="199" t="s">
        <v>8308</v>
      </c>
      <c r="H1361" s="199" t="e">
        <v>#N/A</v>
      </c>
      <c r="I1361" s="199">
        <v>1</v>
      </c>
      <c r="J1361" s="199">
        <v>1</v>
      </c>
      <c r="K1361" s="199">
        <v>1</v>
      </c>
      <c r="L1361" s="199">
        <v>50</v>
      </c>
      <c r="M1361" s="202">
        <f>TB_Parts_Lists[[#This Row],[Quantity Initial]]+ SUMIF(TB_Transactions[Part number],TB_Parts_Lists[[#This Row],[Part Number]],TB_Transactions[Quantity])</f>
        <v>50</v>
      </c>
      <c r="N1361" s="200" t="s">
        <v>4593</v>
      </c>
      <c r="O1361" s="234">
        <v>5</v>
      </c>
      <c r="P1361" s="199">
        <f>TB_Parts_Lists[[#This Row],[Quantity Initial]]*TB_Parts_Lists[[#This Row],[Unit Price AED]]</f>
        <v>250</v>
      </c>
      <c r="Q1361" s="199">
        <f>TB_Parts_Lists[[#This Row],[Quantity Total]]*TB_Parts_Lists[[#This Row],[Unit Price AED]]</f>
        <v>250</v>
      </c>
      <c r="S1361" s="199" t="e">
        <v>#N/A</v>
      </c>
      <c r="T1361" s="199" t="e">
        <v>#N/A</v>
      </c>
      <c r="U1361" s="199" t="e">
        <v>#N/A</v>
      </c>
    </row>
    <row r="1362" spans="1:21" s="199" customFormat="1" x14ac:dyDescent="0.25">
      <c r="A1362" s="192" t="s">
        <v>7907</v>
      </c>
      <c r="B1362" s="203" t="s">
        <v>3331</v>
      </c>
      <c r="C1362" s="188" t="s">
        <v>3338</v>
      </c>
      <c r="D1362" s="188" t="s">
        <v>8724</v>
      </c>
      <c r="E1362" s="188" t="s">
        <v>5637</v>
      </c>
      <c r="F1362" s="189" t="s">
        <v>4464</v>
      </c>
      <c r="G1362" s="199" t="s">
        <v>8308</v>
      </c>
      <c r="H1362" s="199" t="e">
        <v>#N/A</v>
      </c>
      <c r="I1362" s="199">
        <v>1</v>
      </c>
      <c r="J1362" s="199">
        <v>1</v>
      </c>
      <c r="K1362" s="199">
        <v>1</v>
      </c>
      <c r="L1362" s="199">
        <v>50</v>
      </c>
      <c r="M1362" s="202">
        <f>TB_Parts_Lists[[#This Row],[Quantity Initial]]+ SUMIF(TB_Transactions[Part number],TB_Parts_Lists[[#This Row],[Part Number]],TB_Transactions[Quantity])</f>
        <v>50</v>
      </c>
      <c r="N1362" s="200" t="s">
        <v>4593</v>
      </c>
      <c r="O1362" s="234">
        <v>5</v>
      </c>
      <c r="P1362" s="199">
        <f>TB_Parts_Lists[[#This Row],[Quantity Initial]]*TB_Parts_Lists[[#This Row],[Unit Price AED]]</f>
        <v>250</v>
      </c>
      <c r="Q1362" s="199">
        <f>TB_Parts_Lists[[#This Row],[Quantity Total]]*TB_Parts_Lists[[#This Row],[Unit Price AED]]</f>
        <v>250</v>
      </c>
      <c r="S1362" s="199" t="e">
        <v>#N/A</v>
      </c>
      <c r="T1362" s="199" t="e">
        <v>#N/A</v>
      </c>
      <c r="U1362" s="199" t="e">
        <v>#N/A</v>
      </c>
    </row>
    <row r="1363" spans="1:21" s="199" customFormat="1" x14ac:dyDescent="0.25">
      <c r="A1363" s="192" t="s">
        <v>7908</v>
      </c>
      <c r="B1363" s="203" t="s">
        <v>3330</v>
      </c>
      <c r="C1363" s="188" t="s">
        <v>3338</v>
      </c>
      <c r="D1363" s="188" t="s">
        <v>8724</v>
      </c>
      <c r="E1363" s="188" t="s">
        <v>5638</v>
      </c>
      <c r="F1363" s="189" t="s">
        <v>4465</v>
      </c>
      <c r="G1363" s="199" t="s">
        <v>8308</v>
      </c>
      <c r="H1363" s="199" t="e">
        <v>#N/A</v>
      </c>
      <c r="I1363" s="199">
        <v>1</v>
      </c>
      <c r="J1363" s="199">
        <v>1</v>
      </c>
      <c r="K1363" s="199">
        <v>1</v>
      </c>
      <c r="L1363" s="199">
        <v>50</v>
      </c>
      <c r="M1363" s="202">
        <f>TB_Parts_Lists[[#This Row],[Quantity Initial]]+ SUMIF(TB_Transactions[Part number],TB_Parts_Lists[[#This Row],[Part Number]],TB_Transactions[Quantity])</f>
        <v>50</v>
      </c>
      <c r="N1363" s="200" t="s">
        <v>4593</v>
      </c>
      <c r="O1363" s="234">
        <v>5</v>
      </c>
      <c r="P1363" s="199">
        <f>TB_Parts_Lists[[#This Row],[Quantity Initial]]*TB_Parts_Lists[[#This Row],[Unit Price AED]]</f>
        <v>250</v>
      </c>
      <c r="Q1363" s="199">
        <f>TB_Parts_Lists[[#This Row],[Quantity Total]]*TB_Parts_Lists[[#This Row],[Unit Price AED]]</f>
        <v>250</v>
      </c>
      <c r="S1363" s="199" t="e">
        <v>#N/A</v>
      </c>
      <c r="T1363" s="199" t="e">
        <v>#N/A</v>
      </c>
      <c r="U1363" s="199" t="e">
        <v>#N/A</v>
      </c>
    </row>
    <row r="1364" spans="1:21" s="199" customFormat="1" x14ac:dyDescent="0.25">
      <c r="A1364" s="192" t="s">
        <v>7909</v>
      </c>
      <c r="B1364" s="203" t="s">
        <v>3329</v>
      </c>
      <c r="C1364" s="188" t="s">
        <v>3342</v>
      </c>
      <c r="D1364" s="188" t="s">
        <v>8724</v>
      </c>
      <c r="E1364" s="188" t="s">
        <v>5639</v>
      </c>
      <c r="F1364" s="189" t="s">
        <v>4466</v>
      </c>
      <c r="G1364" s="199" t="s">
        <v>8308</v>
      </c>
      <c r="H1364" s="199" t="e">
        <v>#N/A</v>
      </c>
      <c r="I1364" s="199">
        <v>1</v>
      </c>
      <c r="J1364" s="199">
        <v>1</v>
      </c>
      <c r="K1364" s="199">
        <v>1</v>
      </c>
      <c r="L1364" s="199">
        <v>50</v>
      </c>
      <c r="M1364" s="202">
        <f>TB_Parts_Lists[[#This Row],[Quantity Initial]]+ SUMIF(TB_Transactions[Part number],TB_Parts_Lists[[#This Row],[Part Number]],TB_Transactions[Quantity])</f>
        <v>50</v>
      </c>
      <c r="N1364" s="200" t="s">
        <v>4593</v>
      </c>
      <c r="O1364" s="234">
        <v>5</v>
      </c>
      <c r="P1364" s="199">
        <f>TB_Parts_Lists[[#This Row],[Quantity Initial]]*TB_Parts_Lists[[#This Row],[Unit Price AED]]</f>
        <v>250</v>
      </c>
      <c r="Q1364" s="199">
        <f>TB_Parts_Lists[[#This Row],[Quantity Total]]*TB_Parts_Lists[[#This Row],[Unit Price AED]]</f>
        <v>250</v>
      </c>
      <c r="S1364" s="199" t="e">
        <v>#N/A</v>
      </c>
      <c r="T1364" s="199" t="e">
        <v>#N/A</v>
      </c>
      <c r="U1364" s="199" t="e">
        <v>#N/A</v>
      </c>
    </row>
    <row r="1365" spans="1:21" s="199" customFormat="1" x14ac:dyDescent="0.25">
      <c r="A1365" s="192" t="s">
        <v>7910</v>
      </c>
      <c r="B1365" s="203" t="s">
        <v>3329</v>
      </c>
      <c r="C1365" s="188" t="s">
        <v>3343</v>
      </c>
      <c r="D1365" s="188" t="s">
        <v>8724</v>
      </c>
      <c r="E1365" s="188" t="s">
        <v>5640</v>
      </c>
      <c r="F1365" s="189" t="s">
        <v>4467</v>
      </c>
      <c r="G1365" s="199" t="s">
        <v>8308</v>
      </c>
      <c r="H1365" s="199" t="e">
        <v>#N/A</v>
      </c>
      <c r="I1365" s="199">
        <v>1</v>
      </c>
      <c r="J1365" s="199">
        <v>1</v>
      </c>
      <c r="K1365" s="199">
        <v>1</v>
      </c>
      <c r="L1365" s="199">
        <v>50</v>
      </c>
      <c r="M1365" s="202">
        <f>TB_Parts_Lists[[#This Row],[Quantity Initial]]+ SUMIF(TB_Transactions[Part number],TB_Parts_Lists[[#This Row],[Part Number]],TB_Transactions[Quantity])</f>
        <v>50</v>
      </c>
      <c r="N1365" s="200" t="s">
        <v>4593</v>
      </c>
      <c r="O1365" s="234">
        <v>5</v>
      </c>
      <c r="P1365" s="199">
        <f>TB_Parts_Lists[[#This Row],[Quantity Initial]]*TB_Parts_Lists[[#This Row],[Unit Price AED]]</f>
        <v>250</v>
      </c>
      <c r="Q1365" s="199">
        <f>TB_Parts_Lists[[#This Row],[Quantity Total]]*TB_Parts_Lists[[#This Row],[Unit Price AED]]</f>
        <v>250</v>
      </c>
      <c r="S1365" s="199" t="e">
        <v>#N/A</v>
      </c>
      <c r="T1365" s="199" t="e">
        <v>#N/A</v>
      </c>
      <c r="U1365" s="199" t="e">
        <v>#N/A</v>
      </c>
    </row>
    <row r="1366" spans="1:21" s="199" customFormat="1" x14ac:dyDescent="0.25">
      <c r="A1366" s="192" t="s">
        <v>7911</v>
      </c>
      <c r="B1366" s="203" t="s">
        <v>3329</v>
      </c>
      <c r="C1366" s="188" t="s">
        <v>3343</v>
      </c>
      <c r="D1366" s="188" t="s">
        <v>8724</v>
      </c>
      <c r="E1366" s="188" t="s">
        <v>5641</v>
      </c>
      <c r="F1366" s="189" t="s">
        <v>4468</v>
      </c>
      <c r="G1366" s="199" t="s">
        <v>8308</v>
      </c>
      <c r="H1366" s="199" t="e">
        <v>#N/A</v>
      </c>
      <c r="I1366" s="199">
        <v>1</v>
      </c>
      <c r="J1366" s="199">
        <v>1</v>
      </c>
      <c r="K1366" s="199">
        <v>1</v>
      </c>
      <c r="L1366" s="199">
        <v>50</v>
      </c>
      <c r="M1366" s="202">
        <f>TB_Parts_Lists[[#This Row],[Quantity Initial]]+ SUMIF(TB_Transactions[Part number],TB_Parts_Lists[[#This Row],[Part Number]],TB_Transactions[Quantity])</f>
        <v>50</v>
      </c>
      <c r="N1366" s="200" t="s">
        <v>4593</v>
      </c>
      <c r="O1366" s="234">
        <v>5</v>
      </c>
      <c r="P1366" s="199">
        <f>TB_Parts_Lists[[#This Row],[Quantity Initial]]*TB_Parts_Lists[[#This Row],[Unit Price AED]]</f>
        <v>250</v>
      </c>
      <c r="Q1366" s="199">
        <f>TB_Parts_Lists[[#This Row],[Quantity Total]]*TB_Parts_Lists[[#This Row],[Unit Price AED]]</f>
        <v>250</v>
      </c>
      <c r="S1366" s="199" t="e">
        <v>#N/A</v>
      </c>
      <c r="T1366" s="199" t="e">
        <v>#N/A</v>
      </c>
      <c r="U1366" s="199" t="e">
        <v>#N/A</v>
      </c>
    </row>
    <row r="1367" spans="1:21" s="199" customFormat="1" x14ac:dyDescent="0.25">
      <c r="A1367" s="192" t="s">
        <v>7912</v>
      </c>
      <c r="B1367" s="203" t="s">
        <v>3329</v>
      </c>
      <c r="C1367" s="188" t="s">
        <v>3343</v>
      </c>
      <c r="D1367" s="188" t="s">
        <v>8724</v>
      </c>
      <c r="E1367" s="188" t="s">
        <v>5641</v>
      </c>
      <c r="F1367" s="189" t="s">
        <v>4468</v>
      </c>
      <c r="G1367" s="199" t="s">
        <v>8308</v>
      </c>
      <c r="H1367" s="199" t="e">
        <v>#N/A</v>
      </c>
      <c r="I1367" s="199">
        <v>1</v>
      </c>
      <c r="J1367" s="199">
        <v>1</v>
      </c>
      <c r="K1367" s="199">
        <v>1</v>
      </c>
      <c r="L1367" s="199">
        <v>50</v>
      </c>
      <c r="M1367" s="202">
        <f>TB_Parts_Lists[[#This Row],[Quantity Initial]]+ SUMIF(TB_Transactions[Part number],TB_Parts_Lists[[#This Row],[Part Number]],TB_Transactions[Quantity])</f>
        <v>50</v>
      </c>
      <c r="N1367" s="200" t="s">
        <v>4593</v>
      </c>
      <c r="O1367" s="234">
        <v>5</v>
      </c>
      <c r="P1367" s="199">
        <f>TB_Parts_Lists[[#This Row],[Quantity Initial]]*TB_Parts_Lists[[#This Row],[Unit Price AED]]</f>
        <v>250</v>
      </c>
      <c r="Q1367" s="199">
        <f>TB_Parts_Lists[[#This Row],[Quantity Total]]*TB_Parts_Lists[[#This Row],[Unit Price AED]]</f>
        <v>250</v>
      </c>
      <c r="S1367" s="199" t="e">
        <v>#N/A</v>
      </c>
      <c r="T1367" s="199" t="e">
        <v>#N/A</v>
      </c>
      <c r="U1367" s="199" t="e">
        <v>#N/A</v>
      </c>
    </row>
    <row r="1368" spans="1:21" s="199" customFormat="1" x14ac:dyDescent="0.25">
      <c r="A1368" s="192" t="s">
        <v>7913</v>
      </c>
      <c r="B1368" s="203" t="s">
        <v>3329</v>
      </c>
      <c r="C1368" s="188" t="s">
        <v>3343</v>
      </c>
      <c r="D1368" s="188" t="s">
        <v>8724</v>
      </c>
      <c r="E1368" s="188" t="s">
        <v>5641</v>
      </c>
      <c r="F1368" s="189" t="s">
        <v>4468</v>
      </c>
      <c r="G1368" s="199" t="s">
        <v>8308</v>
      </c>
      <c r="H1368" s="199" t="e">
        <v>#N/A</v>
      </c>
      <c r="I1368" s="199">
        <v>1</v>
      </c>
      <c r="J1368" s="199">
        <v>1</v>
      </c>
      <c r="K1368" s="199">
        <v>1</v>
      </c>
      <c r="L1368" s="199">
        <v>50</v>
      </c>
      <c r="M1368" s="202">
        <f>TB_Parts_Lists[[#This Row],[Quantity Initial]]+ SUMIF(TB_Transactions[Part number],TB_Parts_Lists[[#This Row],[Part Number]],TB_Transactions[Quantity])</f>
        <v>50</v>
      </c>
      <c r="N1368" s="200" t="s">
        <v>4593</v>
      </c>
      <c r="O1368" s="234">
        <v>5</v>
      </c>
      <c r="P1368" s="199">
        <f>TB_Parts_Lists[[#This Row],[Quantity Initial]]*TB_Parts_Lists[[#This Row],[Unit Price AED]]</f>
        <v>250</v>
      </c>
      <c r="Q1368" s="199">
        <f>TB_Parts_Lists[[#This Row],[Quantity Total]]*TB_Parts_Lists[[#This Row],[Unit Price AED]]</f>
        <v>250</v>
      </c>
      <c r="S1368" s="199" t="e">
        <v>#N/A</v>
      </c>
      <c r="T1368" s="199" t="e">
        <v>#N/A</v>
      </c>
      <c r="U1368" s="199" t="e">
        <v>#N/A</v>
      </c>
    </row>
    <row r="1369" spans="1:21" s="199" customFormat="1" x14ac:dyDescent="0.25">
      <c r="A1369" s="192" t="s">
        <v>7914</v>
      </c>
      <c r="B1369" s="203" t="s">
        <v>3329</v>
      </c>
      <c r="C1369" s="188" t="s">
        <v>3343</v>
      </c>
      <c r="D1369" s="188" t="s">
        <v>8724</v>
      </c>
      <c r="E1369" s="188" t="s">
        <v>5641</v>
      </c>
      <c r="F1369" s="189" t="s">
        <v>4468</v>
      </c>
      <c r="G1369" s="199" t="s">
        <v>8308</v>
      </c>
      <c r="H1369" s="199" t="e">
        <v>#N/A</v>
      </c>
      <c r="I1369" s="199">
        <v>1</v>
      </c>
      <c r="J1369" s="199">
        <v>1</v>
      </c>
      <c r="K1369" s="199">
        <v>1</v>
      </c>
      <c r="L1369" s="199">
        <v>50</v>
      </c>
      <c r="M1369" s="202">
        <f>TB_Parts_Lists[[#This Row],[Quantity Initial]]+ SUMIF(TB_Transactions[Part number],TB_Parts_Lists[[#This Row],[Part Number]],TB_Transactions[Quantity])</f>
        <v>50</v>
      </c>
      <c r="N1369" s="200" t="s">
        <v>4593</v>
      </c>
      <c r="O1369" s="234">
        <v>5</v>
      </c>
      <c r="P1369" s="199">
        <f>TB_Parts_Lists[[#This Row],[Quantity Initial]]*TB_Parts_Lists[[#This Row],[Unit Price AED]]</f>
        <v>250</v>
      </c>
      <c r="Q1369" s="199">
        <f>TB_Parts_Lists[[#This Row],[Quantity Total]]*TB_Parts_Lists[[#This Row],[Unit Price AED]]</f>
        <v>250</v>
      </c>
      <c r="S1369" s="199" t="e">
        <v>#N/A</v>
      </c>
      <c r="T1369" s="199" t="e">
        <v>#N/A</v>
      </c>
      <c r="U1369" s="199" t="e">
        <v>#N/A</v>
      </c>
    </row>
    <row r="1370" spans="1:21" s="199" customFormat="1" x14ac:dyDescent="0.25">
      <c r="A1370" s="192" t="s">
        <v>7915</v>
      </c>
      <c r="B1370" s="203" t="s">
        <v>3329</v>
      </c>
      <c r="C1370" s="188" t="s">
        <v>3343</v>
      </c>
      <c r="D1370" s="188" t="s">
        <v>8724</v>
      </c>
      <c r="E1370" s="188" t="s">
        <v>5641</v>
      </c>
      <c r="F1370" s="189" t="s">
        <v>4468</v>
      </c>
      <c r="G1370" s="199" t="s">
        <v>8308</v>
      </c>
      <c r="H1370" s="199" t="e">
        <v>#N/A</v>
      </c>
      <c r="I1370" s="199">
        <v>1</v>
      </c>
      <c r="J1370" s="199">
        <v>1</v>
      </c>
      <c r="K1370" s="199">
        <v>1</v>
      </c>
      <c r="L1370" s="199">
        <v>50</v>
      </c>
      <c r="M1370" s="202">
        <f>TB_Parts_Lists[[#This Row],[Quantity Initial]]+ SUMIF(TB_Transactions[Part number],TB_Parts_Lists[[#This Row],[Part Number]],TB_Transactions[Quantity])</f>
        <v>50</v>
      </c>
      <c r="N1370" s="200" t="s">
        <v>4593</v>
      </c>
      <c r="O1370" s="234">
        <v>5</v>
      </c>
      <c r="P1370" s="199">
        <f>TB_Parts_Lists[[#This Row],[Quantity Initial]]*TB_Parts_Lists[[#This Row],[Unit Price AED]]</f>
        <v>250</v>
      </c>
      <c r="Q1370" s="199">
        <f>TB_Parts_Lists[[#This Row],[Quantity Total]]*TB_Parts_Lists[[#This Row],[Unit Price AED]]</f>
        <v>250</v>
      </c>
      <c r="S1370" s="199" t="e">
        <v>#N/A</v>
      </c>
      <c r="T1370" s="199" t="e">
        <v>#N/A</v>
      </c>
      <c r="U1370" s="199" t="e">
        <v>#N/A</v>
      </c>
    </row>
    <row r="1371" spans="1:21" s="199" customFormat="1" x14ac:dyDescent="0.25">
      <c r="A1371" s="192" t="s">
        <v>7916</v>
      </c>
      <c r="B1371" s="203" t="s">
        <v>3330</v>
      </c>
      <c r="C1371" s="188" t="s">
        <v>3338</v>
      </c>
      <c r="D1371" s="188" t="s">
        <v>8724</v>
      </c>
      <c r="E1371" s="188" t="s">
        <v>5642</v>
      </c>
      <c r="F1371" s="189" t="s">
        <v>4469</v>
      </c>
      <c r="G1371" s="199" t="s">
        <v>8308</v>
      </c>
      <c r="H1371" s="199" t="e">
        <v>#N/A</v>
      </c>
      <c r="I1371" s="199">
        <v>1</v>
      </c>
      <c r="J1371" s="199">
        <v>1</v>
      </c>
      <c r="K1371" s="199">
        <v>1</v>
      </c>
      <c r="L1371" s="199">
        <v>50</v>
      </c>
      <c r="M1371" s="202">
        <f>TB_Parts_Lists[[#This Row],[Quantity Initial]]+ SUMIF(TB_Transactions[Part number],TB_Parts_Lists[[#This Row],[Part Number]],TB_Transactions[Quantity])</f>
        <v>50</v>
      </c>
      <c r="N1371" s="200" t="s">
        <v>4593</v>
      </c>
      <c r="O1371" s="234">
        <v>5</v>
      </c>
      <c r="P1371" s="199">
        <f>TB_Parts_Lists[[#This Row],[Quantity Initial]]*TB_Parts_Lists[[#This Row],[Unit Price AED]]</f>
        <v>250</v>
      </c>
      <c r="Q1371" s="199">
        <f>TB_Parts_Lists[[#This Row],[Quantity Total]]*TB_Parts_Lists[[#This Row],[Unit Price AED]]</f>
        <v>250</v>
      </c>
      <c r="S1371" s="199" t="e">
        <v>#N/A</v>
      </c>
      <c r="T1371" s="199" t="e">
        <v>#N/A</v>
      </c>
      <c r="U1371" s="199" t="e">
        <v>#N/A</v>
      </c>
    </row>
    <row r="1372" spans="1:21" s="199" customFormat="1" x14ac:dyDescent="0.25">
      <c r="A1372" s="192" t="s">
        <v>7917</v>
      </c>
      <c r="B1372" s="203" t="s">
        <v>3330</v>
      </c>
      <c r="C1372" s="188" t="s">
        <v>6672</v>
      </c>
      <c r="D1372" s="188" t="s">
        <v>8724</v>
      </c>
      <c r="E1372" s="188" t="s">
        <v>5643</v>
      </c>
      <c r="F1372" s="189" t="s">
        <v>4470</v>
      </c>
      <c r="G1372" s="199" t="s">
        <v>8308</v>
      </c>
      <c r="H1372" s="199" t="e">
        <v>#N/A</v>
      </c>
      <c r="I1372" s="199">
        <v>1</v>
      </c>
      <c r="J1372" s="199">
        <v>1</v>
      </c>
      <c r="K1372" s="199">
        <v>1</v>
      </c>
      <c r="L1372" s="199">
        <v>50</v>
      </c>
      <c r="M1372" s="202">
        <f>TB_Parts_Lists[[#This Row],[Quantity Initial]]+ SUMIF(TB_Transactions[Part number],TB_Parts_Lists[[#This Row],[Part Number]],TB_Transactions[Quantity])</f>
        <v>50</v>
      </c>
      <c r="N1372" s="200" t="s">
        <v>4593</v>
      </c>
      <c r="O1372" s="234">
        <v>5</v>
      </c>
      <c r="P1372" s="199">
        <f>TB_Parts_Lists[[#This Row],[Quantity Initial]]*TB_Parts_Lists[[#This Row],[Unit Price AED]]</f>
        <v>250</v>
      </c>
      <c r="Q1372" s="199">
        <f>TB_Parts_Lists[[#This Row],[Quantity Total]]*TB_Parts_Lists[[#This Row],[Unit Price AED]]</f>
        <v>250</v>
      </c>
      <c r="S1372" s="199" t="e">
        <v>#N/A</v>
      </c>
      <c r="T1372" s="199" t="e">
        <v>#N/A</v>
      </c>
      <c r="U1372" s="199" t="e">
        <v>#N/A</v>
      </c>
    </row>
    <row r="1373" spans="1:21" s="199" customFormat="1" x14ac:dyDescent="0.25">
      <c r="A1373" s="192" t="s">
        <v>7918</v>
      </c>
      <c r="B1373" s="203" t="s">
        <v>3330</v>
      </c>
      <c r="C1373" s="188" t="s">
        <v>6679</v>
      </c>
      <c r="D1373" s="188" t="s">
        <v>8724</v>
      </c>
      <c r="E1373" s="188" t="s">
        <v>5644</v>
      </c>
      <c r="F1373" s="189" t="s">
        <v>4471</v>
      </c>
      <c r="G1373" s="199" t="s">
        <v>8308</v>
      </c>
      <c r="H1373" s="199" t="e">
        <v>#N/A</v>
      </c>
      <c r="I1373" s="199">
        <v>1</v>
      </c>
      <c r="J1373" s="199">
        <v>1</v>
      </c>
      <c r="K1373" s="199">
        <v>1</v>
      </c>
      <c r="L1373" s="199">
        <v>50</v>
      </c>
      <c r="M1373" s="202">
        <f>TB_Parts_Lists[[#This Row],[Quantity Initial]]+ SUMIF(TB_Transactions[Part number],TB_Parts_Lists[[#This Row],[Part Number]],TB_Transactions[Quantity])</f>
        <v>50</v>
      </c>
      <c r="N1373" s="200" t="s">
        <v>4593</v>
      </c>
      <c r="O1373" s="234">
        <v>5</v>
      </c>
      <c r="P1373" s="199">
        <f>TB_Parts_Lists[[#This Row],[Quantity Initial]]*TB_Parts_Lists[[#This Row],[Unit Price AED]]</f>
        <v>250</v>
      </c>
      <c r="Q1373" s="199">
        <f>TB_Parts_Lists[[#This Row],[Quantity Total]]*TB_Parts_Lists[[#This Row],[Unit Price AED]]</f>
        <v>250</v>
      </c>
      <c r="S1373" s="199" t="e">
        <v>#N/A</v>
      </c>
      <c r="T1373" s="199" t="e">
        <v>#N/A</v>
      </c>
      <c r="U1373" s="199" t="e">
        <v>#N/A</v>
      </c>
    </row>
    <row r="1374" spans="1:21" s="199" customFormat="1" x14ac:dyDescent="0.25">
      <c r="A1374" s="192" t="s">
        <v>7919</v>
      </c>
      <c r="B1374" s="203" t="s">
        <v>3329</v>
      </c>
      <c r="C1374" s="188" t="s">
        <v>3342</v>
      </c>
      <c r="D1374" s="188" t="s">
        <v>8724</v>
      </c>
      <c r="E1374" s="188" t="s">
        <v>5645</v>
      </c>
      <c r="F1374" s="189" t="s">
        <v>4690</v>
      </c>
      <c r="G1374" s="199" t="s">
        <v>8308</v>
      </c>
      <c r="H1374" s="199" t="e">
        <v>#N/A</v>
      </c>
      <c r="I1374" s="199">
        <v>1</v>
      </c>
      <c r="J1374" s="199">
        <v>1</v>
      </c>
      <c r="K1374" s="199">
        <v>1</v>
      </c>
      <c r="L1374" s="199">
        <v>50</v>
      </c>
      <c r="M1374" s="202">
        <f>TB_Parts_Lists[[#This Row],[Quantity Initial]]+ SUMIF(TB_Transactions[Part number],TB_Parts_Lists[[#This Row],[Part Number]],TB_Transactions[Quantity])</f>
        <v>50</v>
      </c>
      <c r="N1374" s="200" t="s">
        <v>4593</v>
      </c>
      <c r="O1374" s="234">
        <v>5</v>
      </c>
      <c r="P1374" s="199">
        <f>TB_Parts_Lists[[#This Row],[Quantity Initial]]*TB_Parts_Lists[[#This Row],[Unit Price AED]]</f>
        <v>250</v>
      </c>
      <c r="Q1374" s="199">
        <f>TB_Parts_Lists[[#This Row],[Quantity Total]]*TB_Parts_Lists[[#This Row],[Unit Price AED]]</f>
        <v>250</v>
      </c>
      <c r="S1374" s="199" t="e">
        <v>#N/A</v>
      </c>
      <c r="T1374" s="199" t="e">
        <v>#N/A</v>
      </c>
      <c r="U1374" s="199" t="e">
        <v>#N/A</v>
      </c>
    </row>
    <row r="1375" spans="1:21" s="199" customFormat="1" x14ac:dyDescent="0.25">
      <c r="A1375" s="192" t="s">
        <v>7920</v>
      </c>
      <c r="B1375" s="203" t="s">
        <v>3330</v>
      </c>
      <c r="C1375" s="188" t="s">
        <v>3338</v>
      </c>
      <c r="D1375" s="188" t="s">
        <v>8724</v>
      </c>
      <c r="E1375" s="188" t="s">
        <v>5646</v>
      </c>
      <c r="F1375" s="189" t="s">
        <v>4691</v>
      </c>
      <c r="G1375" s="199" t="s">
        <v>8308</v>
      </c>
      <c r="H1375" s="199" t="e">
        <v>#N/A</v>
      </c>
      <c r="I1375" s="199">
        <v>1</v>
      </c>
      <c r="J1375" s="199">
        <v>1</v>
      </c>
      <c r="K1375" s="199">
        <v>1</v>
      </c>
      <c r="L1375" s="199">
        <v>50</v>
      </c>
      <c r="M1375" s="202">
        <f>TB_Parts_Lists[[#This Row],[Quantity Initial]]+ SUMIF(TB_Transactions[Part number],TB_Parts_Lists[[#This Row],[Part Number]],TB_Transactions[Quantity])</f>
        <v>50</v>
      </c>
      <c r="N1375" s="200" t="s">
        <v>4593</v>
      </c>
      <c r="O1375" s="234">
        <v>5</v>
      </c>
      <c r="P1375" s="199">
        <f>TB_Parts_Lists[[#This Row],[Quantity Initial]]*TB_Parts_Lists[[#This Row],[Unit Price AED]]</f>
        <v>250</v>
      </c>
      <c r="Q1375" s="199">
        <f>TB_Parts_Lists[[#This Row],[Quantity Total]]*TB_Parts_Lists[[#This Row],[Unit Price AED]]</f>
        <v>250</v>
      </c>
      <c r="S1375" s="199" t="e">
        <v>#N/A</v>
      </c>
      <c r="T1375" s="199" t="e">
        <v>#N/A</v>
      </c>
      <c r="U1375" s="199" t="e">
        <v>#N/A</v>
      </c>
    </row>
    <row r="1376" spans="1:21" s="199" customFormat="1" x14ac:dyDescent="0.25">
      <c r="A1376" s="192" t="s">
        <v>7921</v>
      </c>
      <c r="B1376" s="203" t="s">
        <v>3330</v>
      </c>
      <c r="C1376" s="188" t="s">
        <v>6704</v>
      </c>
      <c r="D1376" s="188" t="s">
        <v>8724</v>
      </c>
      <c r="E1376" s="188" t="s">
        <v>5647</v>
      </c>
      <c r="F1376" s="189" t="s">
        <v>6145</v>
      </c>
      <c r="G1376" s="199" t="s">
        <v>8308</v>
      </c>
      <c r="H1376" s="199" t="e">
        <v>#N/A</v>
      </c>
      <c r="I1376" s="199">
        <v>1</v>
      </c>
      <c r="J1376" s="199">
        <v>1</v>
      </c>
      <c r="K1376" s="199">
        <v>1</v>
      </c>
      <c r="L1376" s="199">
        <v>50</v>
      </c>
      <c r="M1376" s="202">
        <f>TB_Parts_Lists[[#This Row],[Quantity Initial]]+ SUMIF(TB_Transactions[Part number],TB_Parts_Lists[[#This Row],[Part Number]],TB_Transactions[Quantity])</f>
        <v>50</v>
      </c>
      <c r="N1376" s="200" t="s">
        <v>4593</v>
      </c>
      <c r="O1376" s="234">
        <v>5</v>
      </c>
      <c r="P1376" s="199">
        <f>TB_Parts_Lists[[#This Row],[Quantity Initial]]*TB_Parts_Lists[[#This Row],[Unit Price AED]]</f>
        <v>250</v>
      </c>
      <c r="Q1376" s="199">
        <f>TB_Parts_Lists[[#This Row],[Quantity Total]]*TB_Parts_Lists[[#This Row],[Unit Price AED]]</f>
        <v>250</v>
      </c>
      <c r="S1376" s="199" t="e">
        <v>#N/A</v>
      </c>
      <c r="T1376" s="199" t="e">
        <v>#N/A</v>
      </c>
      <c r="U1376" s="199" t="e">
        <v>#N/A</v>
      </c>
    </row>
    <row r="1377" spans="1:21" s="199" customFormat="1" x14ac:dyDescent="0.25">
      <c r="A1377" s="192" t="s">
        <v>7922</v>
      </c>
      <c r="B1377" s="203" t="s">
        <v>3330</v>
      </c>
      <c r="C1377" s="188" t="s">
        <v>7854</v>
      </c>
      <c r="D1377" s="188" t="s">
        <v>8724</v>
      </c>
      <c r="E1377" s="188" t="s">
        <v>5648</v>
      </c>
      <c r="F1377" s="189" t="s">
        <v>6146</v>
      </c>
      <c r="G1377" s="199" t="s">
        <v>8308</v>
      </c>
      <c r="H1377" s="199" t="e">
        <v>#N/A</v>
      </c>
      <c r="I1377" s="199">
        <v>1</v>
      </c>
      <c r="J1377" s="199">
        <v>1</v>
      </c>
      <c r="K1377" s="199">
        <v>1</v>
      </c>
      <c r="L1377" s="199">
        <v>50</v>
      </c>
      <c r="M1377" s="202">
        <f>TB_Parts_Lists[[#This Row],[Quantity Initial]]+ SUMIF(TB_Transactions[Part number],TB_Parts_Lists[[#This Row],[Part Number]],TB_Transactions[Quantity])</f>
        <v>50</v>
      </c>
      <c r="N1377" s="200" t="s">
        <v>4593</v>
      </c>
      <c r="O1377" s="234">
        <v>5</v>
      </c>
      <c r="P1377" s="199">
        <f>TB_Parts_Lists[[#This Row],[Quantity Initial]]*TB_Parts_Lists[[#This Row],[Unit Price AED]]</f>
        <v>250</v>
      </c>
      <c r="Q1377" s="199">
        <f>TB_Parts_Lists[[#This Row],[Quantity Total]]*TB_Parts_Lists[[#This Row],[Unit Price AED]]</f>
        <v>250</v>
      </c>
      <c r="S1377" s="199" t="e">
        <v>#N/A</v>
      </c>
      <c r="T1377" s="199" t="e">
        <v>#N/A</v>
      </c>
      <c r="U1377" s="199" t="e">
        <v>#N/A</v>
      </c>
    </row>
    <row r="1378" spans="1:21" s="199" customFormat="1" x14ac:dyDescent="0.25">
      <c r="A1378" s="192" t="s">
        <v>7923</v>
      </c>
      <c r="B1378" s="203" t="s">
        <v>3329</v>
      </c>
      <c r="C1378" s="188" t="s">
        <v>3345</v>
      </c>
      <c r="D1378" s="188" t="s">
        <v>8724</v>
      </c>
      <c r="E1378" s="188" t="s">
        <v>4472</v>
      </c>
      <c r="F1378" s="189" t="s">
        <v>4473</v>
      </c>
      <c r="G1378" s="199" t="s">
        <v>8309</v>
      </c>
      <c r="H1378" s="199" t="e">
        <v>#N/A</v>
      </c>
      <c r="I1378" s="199">
        <v>1</v>
      </c>
      <c r="J1378" s="199">
        <v>1</v>
      </c>
      <c r="K1378" s="199">
        <v>1</v>
      </c>
      <c r="L1378" s="199">
        <v>50</v>
      </c>
      <c r="M1378" s="202">
        <f>TB_Parts_Lists[[#This Row],[Quantity Initial]]+ SUMIF(TB_Transactions[Part number],TB_Parts_Lists[[#This Row],[Part Number]],TB_Transactions[Quantity])</f>
        <v>50</v>
      </c>
      <c r="N1378" s="200" t="s">
        <v>4593</v>
      </c>
      <c r="O1378" s="234">
        <v>5</v>
      </c>
      <c r="P1378" s="199">
        <f>TB_Parts_Lists[[#This Row],[Quantity Initial]]*TB_Parts_Lists[[#This Row],[Unit Price AED]]</f>
        <v>250</v>
      </c>
      <c r="Q1378" s="199">
        <f>TB_Parts_Lists[[#This Row],[Quantity Total]]*TB_Parts_Lists[[#This Row],[Unit Price AED]]</f>
        <v>250</v>
      </c>
      <c r="S1378" s="199" t="e">
        <v>#N/A</v>
      </c>
      <c r="T1378" s="199" t="e">
        <v>#N/A</v>
      </c>
      <c r="U1378" s="199" t="e">
        <v>#N/A</v>
      </c>
    </row>
    <row r="1379" spans="1:21" s="199" customFormat="1" x14ac:dyDescent="0.25">
      <c r="A1379" s="192" t="s">
        <v>7924</v>
      </c>
      <c r="B1379" s="203" t="s">
        <v>3329</v>
      </c>
      <c r="C1379" s="188" t="s">
        <v>3342</v>
      </c>
      <c r="D1379" s="188" t="s">
        <v>8724</v>
      </c>
      <c r="E1379" s="188" t="s">
        <v>5649</v>
      </c>
      <c r="F1379" s="189" t="s">
        <v>4474</v>
      </c>
      <c r="G1379" s="199" t="s">
        <v>8309</v>
      </c>
      <c r="H1379" s="199" t="e">
        <v>#N/A</v>
      </c>
      <c r="I1379" s="199">
        <v>1</v>
      </c>
      <c r="J1379" s="199">
        <v>1</v>
      </c>
      <c r="K1379" s="199">
        <v>1</v>
      </c>
      <c r="L1379" s="199">
        <v>50</v>
      </c>
      <c r="M1379" s="202">
        <f>TB_Parts_Lists[[#This Row],[Quantity Initial]]+ SUMIF(TB_Transactions[Part number],TB_Parts_Lists[[#This Row],[Part Number]],TB_Transactions[Quantity])</f>
        <v>50</v>
      </c>
      <c r="N1379" s="200" t="s">
        <v>4593</v>
      </c>
      <c r="O1379" s="234">
        <v>5</v>
      </c>
      <c r="P1379" s="199">
        <f>TB_Parts_Lists[[#This Row],[Quantity Initial]]*TB_Parts_Lists[[#This Row],[Unit Price AED]]</f>
        <v>250</v>
      </c>
      <c r="Q1379" s="199">
        <f>TB_Parts_Lists[[#This Row],[Quantity Total]]*TB_Parts_Lists[[#This Row],[Unit Price AED]]</f>
        <v>250</v>
      </c>
      <c r="S1379" s="199" t="e">
        <v>#N/A</v>
      </c>
      <c r="T1379" s="199" t="e">
        <v>#N/A</v>
      </c>
      <c r="U1379" s="199" t="e">
        <v>#N/A</v>
      </c>
    </row>
    <row r="1380" spans="1:21" s="199" customFormat="1" x14ac:dyDescent="0.25">
      <c r="A1380" s="192" t="s">
        <v>7926</v>
      </c>
      <c r="B1380" s="203" t="s">
        <v>3329</v>
      </c>
      <c r="C1380" s="188" t="s">
        <v>7925</v>
      </c>
      <c r="D1380" s="188" t="s">
        <v>8724</v>
      </c>
      <c r="E1380" s="188" t="s">
        <v>5650</v>
      </c>
      <c r="F1380" s="189" t="s">
        <v>4475</v>
      </c>
      <c r="G1380" s="199" t="s">
        <v>8309</v>
      </c>
      <c r="H1380" s="199" t="e">
        <v>#N/A</v>
      </c>
      <c r="I1380" s="199">
        <v>1</v>
      </c>
      <c r="J1380" s="199">
        <v>1</v>
      </c>
      <c r="K1380" s="199">
        <v>1</v>
      </c>
      <c r="L1380" s="199">
        <v>50</v>
      </c>
      <c r="M1380" s="202">
        <f>TB_Parts_Lists[[#This Row],[Quantity Initial]]+ SUMIF(TB_Transactions[Part number],TB_Parts_Lists[[#This Row],[Part Number]],TB_Transactions[Quantity])</f>
        <v>50</v>
      </c>
      <c r="N1380" s="200" t="s">
        <v>4593</v>
      </c>
      <c r="O1380" s="234">
        <v>5</v>
      </c>
      <c r="P1380" s="199">
        <f>TB_Parts_Lists[[#This Row],[Quantity Initial]]*TB_Parts_Lists[[#This Row],[Unit Price AED]]</f>
        <v>250</v>
      </c>
      <c r="Q1380" s="199">
        <f>TB_Parts_Lists[[#This Row],[Quantity Total]]*TB_Parts_Lists[[#This Row],[Unit Price AED]]</f>
        <v>250</v>
      </c>
      <c r="S1380" s="199" t="e">
        <v>#N/A</v>
      </c>
      <c r="T1380" s="199" t="e">
        <v>#N/A</v>
      </c>
      <c r="U1380" s="199" t="e">
        <v>#N/A</v>
      </c>
    </row>
    <row r="1381" spans="1:21" s="199" customFormat="1" x14ac:dyDescent="0.25">
      <c r="A1381" s="192" t="s">
        <v>7927</v>
      </c>
      <c r="B1381" s="203" t="s">
        <v>3329</v>
      </c>
      <c r="C1381" s="188" t="s">
        <v>3345</v>
      </c>
      <c r="D1381" s="188" t="s">
        <v>8724</v>
      </c>
      <c r="E1381" s="188" t="s">
        <v>5651</v>
      </c>
      <c r="F1381" s="189" t="s">
        <v>4476</v>
      </c>
      <c r="G1381" s="199" t="s">
        <v>8309</v>
      </c>
      <c r="H1381" s="199" t="e">
        <v>#N/A</v>
      </c>
      <c r="I1381" s="199">
        <v>1</v>
      </c>
      <c r="J1381" s="199">
        <v>1</v>
      </c>
      <c r="K1381" s="199">
        <v>1</v>
      </c>
      <c r="L1381" s="199">
        <v>50</v>
      </c>
      <c r="M1381" s="202">
        <f>TB_Parts_Lists[[#This Row],[Quantity Initial]]+ SUMIF(TB_Transactions[Part number],TB_Parts_Lists[[#This Row],[Part Number]],TB_Transactions[Quantity])</f>
        <v>50</v>
      </c>
      <c r="N1381" s="200" t="s">
        <v>4593</v>
      </c>
      <c r="O1381" s="234">
        <v>5</v>
      </c>
      <c r="P1381" s="199">
        <f>TB_Parts_Lists[[#This Row],[Quantity Initial]]*TB_Parts_Lists[[#This Row],[Unit Price AED]]</f>
        <v>250</v>
      </c>
      <c r="Q1381" s="199">
        <f>TB_Parts_Lists[[#This Row],[Quantity Total]]*TB_Parts_Lists[[#This Row],[Unit Price AED]]</f>
        <v>250</v>
      </c>
      <c r="S1381" s="199" t="e">
        <v>#N/A</v>
      </c>
      <c r="T1381" s="199" t="e">
        <v>#N/A</v>
      </c>
      <c r="U1381" s="199" t="e">
        <v>#N/A</v>
      </c>
    </row>
    <row r="1382" spans="1:21" s="199" customFormat="1" x14ac:dyDescent="0.25">
      <c r="A1382" s="192" t="s">
        <v>7928</v>
      </c>
      <c r="B1382" s="203" t="s">
        <v>3329</v>
      </c>
      <c r="C1382" s="188" t="s">
        <v>3342</v>
      </c>
      <c r="D1382" s="188" t="s">
        <v>8724</v>
      </c>
      <c r="E1382" s="188" t="s">
        <v>5652</v>
      </c>
      <c r="F1382" s="189" t="s">
        <v>4477</v>
      </c>
      <c r="G1382" s="199" t="s">
        <v>8309</v>
      </c>
      <c r="H1382" s="199" t="e">
        <v>#N/A</v>
      </c>
      <c r="I1382" s="199">
        <v>1</v>
      </c>
      <c r="J1382" s="199">
        <v>1</v>
      </c>
      <c r="K1382" s="199">
        <v>1</v>
      </c>
      <c r="L1382" s="199">
        <v>50</v>
      </c>
      <c r="M1382" s="202">
        <f>TB_Parts_Lists[[#This Row],[Quantity Initial]]+ SUMIF(TB_Transactions[Part number],TB_Parts_Lists[[#This Row],[Part Number]],TB_Transactions[Quantity])</f>
        <v>50</v>
      </c>
      <c r="N1382" s="200" t="s">
        <v>4593</v>
      </c>
      <c r="O1382" s="234">
        <v>5</v>
      </c>
      <c r="P1382" s="199">
        <f>TB_Parts_Lists[[#This Row],[Quantity Initial]]*TB_Parts_Lists[[#This Row],[Unit Price AED]]</f>
        <v>250</v>
      </c>
      <c r="Q1382" s="199">
        <f>TB_Parts_Lists[[#This Row],[Quantity Total]]*TB_Parts_Lists[[#This Row],[Unit Price AED]]</f>
        <v>250</v>
      </c>
      <c r="S1382" s="199" t="e">
        <v>#N/A</v>
      </c>
      <c r="T1382" s="199" t="e">
        <v>#N/A</v>
      </c>
      <c r="U1382" s="199" t="e">
        <v>#N/A</v>
      </c>
    </row>
    <row r="1383" spans="1:21" s="199" customFormat="1" x14ac:dyDescent="0.25">
      <c r="A1383" s="192" t="s">
        <v>7929</v>
      </c>
      <c r="B1383" s="203" t="s">
        <v>3329</v>
      </c>
      <c r="C1383" s="188" t="s">
        <v>6940</v>
      </c>
      <c r="D1383" s="188" t="s">
        <v>8724</v>
      </c>
      <c r="E1383" s="188" t="s">
        <v>4478</v>
      </c>
      <c r="F1383" s="189" t="s">
        <v>4479</v>
      </c>
      <c r="G1383" s="199" t="s">
        <v>8309</v>
      </c>
      <c r="H1383" s="199" t="e">
        <v>#N/A</v>
      </c>
      <c r="I1383" s="199">
        <v>1</v>
      </c>
      <c r="J1383" s="199">
        <v>1</v>
      </c>
      <c r="K1383" s="199">
        <v>1</v>
      </c>
      <c r="L1383" s="199">
        <v>50</v>
      </c>
      <c r="M1383" s="202">
        <f>TB_Parts_Lists[[#This Row],[Quantity Initial]]+ SUMIF(TB_Transactions[Part number],TB_Parts_Lists[[#This Row],[Part Number]],TB_Transactions[Quantity])</f>
        <v>50</v>
      </c>
      <c r="N1383" s="200" t="s">
        <v>4593</v>
      </c>
      <c r="O1383" s="234">
        <v>5</v>
      </c>
      <c r="P1383" s="199">
        <f>TB_Parts_Lists[[#This Row],[Quantity Initial]]*TB_Parts_Lists[[#This Row],[Unit Price AED]]</f>
        <v>250</v>
      </c>
      <c r="Q1383" s="199">
        <f>TB_Parts_Lists[[#This Row],[Quantity Total]]*TB_Parts_Lists[[#This Row],[Unit Price AED]]</f>
        <v>250</v>
      </c>
      <c r="S1383" s="199" t="e">
        <v>#N/A</v>
      </c>
      <c r="T1383" s="199" t="e">
        <v>#N/A</v>
      </c>
      <c r="U1383" s="199" t="e">
        <v>#N/A</v>
      </c>
    </row>
    <row r="1384" spans="1:21" s="199" customFormat="1" x14ac:dyDescent="0.25">
      <c r="A1384" s="192" t="s">
        <v>7930</v>
      </c>
      <c r="B1384" s="203" t="s">
        <v>3329</v>
      </c>
      <c r="C1384" s="188" t="s">
        <v>6804</v>
      </c>
      <c r="D1384" s="188" t="s">
        <v>8724</v>
      </c>
      <c r="E1384" s="188" t="s">
        <v>4480</v>
      </c>
      <c r="F1384" s="189" t="s">
        <v>4481</v>
      </c>
      <c r="G1384" s="199" t="s">
        <v>8309</v>
      </c>
      <c r="H1384" s="199" t="e">
        <v>#N/A</v>
      </c>
      <c r="I1384" s="199">
        <v>1</v>
      </c>
      <c r="J1384" s="199">
        <v>1</v>
      </c>
      <c r="K1384" s="199">
        <v>1</v>
      </c>
      <c r="L1384" s="199">
        <v>50</v>
      </c>
      <c r="M1384" s="202">
        <f>TB_Parts_Lists[[#This Row],[Quantity Initial]]+ SUMIF(TB_Transactions[Part number],TB_Parts_Lists[[#This Row],[Part Number]],TB_Transactions[Quantity])</f>
        <v>50</v>
      </c>
      <c r="N1384" s="200" t="s">
        <v>4593</v>
      </c>
      <c r="O1384" s="234">
        <v>5</v>
      </c>
      <c r="P1384" s="199">
        <f>TB_Parts_Lists[[#This Row],[Quantity Initial]]*TB_Parts_Lists[[#This Row],[Unit Price AED]]</f>
        <v>250</v>
      </c>
      <c r="Q1384" s="199">
        <f>TB_Parts_Lists[[#This Row],[Quantity Total]]*TB_Parts_Lists[[#This Row],[Unit Price AED]]</f>
        <v>250</v>
      </c>
      <c r="S1384" s="199" t="e">
        <v>#N/A</v>
      </c>
      <c r="T1384" s="199" t="e">
        <v>#N/A</v>
      </c>
      <c r="U1384" s="199" t="e">
        <v>#N/A</v>
      </c>
    </row>
    <row r="1385" spans="1:21" s="210" customFormat="1" x14ac:dyDescent="0.25">
      <c r="A1385" s="198"/>
      <c r="B1385" s="208" t="s">
        <v>3332</v>
      </c>
      <c r="C1385" s="209" t="s">
        <v>3357</v>
      </c>
      <c r="D1385" s="199" t="s">
        <v>8724</v>
      </c>
      <c r="E1385" s="209" t="s">
        <v>5653</v>
      </c>
      <c r="F1385" s="211" t="s">
        <v>6147</v>
      </c>
      <c r="G1385" s="210" t="s">
        <v>8310</v>
      </c>
      <c r="H1385" s="199" t="s">
        <v>8639</v>
      </c>
      <c r="I1385" s="199">
        <v>1</v>
      </c>
      <c r="J1385" s="199">
        <v>1</v>
      </c>
      <c r="K1385" s="199">
        <v>1</v>
      </c>
      <c r="L1385" s="199">
        <v>50</v>
      </c>
      <c r="M1385" s="212">
        <f>TB_Parts_Lists[[#This Row],[Quantity Initial]]+ SUMIF(TB_Transactions[Part number],TB_Parts_Lists[[#This Row],[Part Number]],TB_Transactions[Quantity])</f>
        <v>50</v>
      </c>
      <c r="N1385" s="200" t="s">
        <v>4593</v>
      </c>
      <c r="O1385" s="234">
        <v>5</v>
      </c>
      <c r="P1385" s="199">
        <f>TB_Parts_Lists[[#This Row],[Quantity Initial]]*TB_Parts_Lists[[#This Row],[Unit Price AED]]</f>
        <v>250</v>
      </c>
      <c r="Q1385" s="199">
        <f>TB_Parts_Lists[[#This Row],[Quantity Total]]*TB_Parts_Lists[[#This Row],[Unit Price AED]]</f>
        <v>250</v>
      </c>
      <c r="S1385" s="199" t="s">
        <v>118</v>
      </c>
      <c r="T1385" s="199" t="s">
        <v>8691</v>
      </c>
      <c r="U1385" s="199" t="s">
        <v>8716</v>
      </c>
    </row>
    <row r="1386" spans="1:21" s="199" customFormat="1" x14ac:dyDescent="0.25">
      <c r="A1386" s="192" t="s">
        <v>7931</v>
      </c>
      <c r="B1386" s="203" t="s">
        <v>3332</v>
      </c>
      <c r="C1386" s="188" t="s">
        <v>3357</v>
      </c>
      <c r="D1386" s="199" t="s">
        <v>8724</v>
      </c>
      <c r="E1386" s="188" t="s">
        <v>5654</v>
      </c>
      <c r="F1386" s="189" t="s">
        <v>6148</v>
      </c>
      <c r="G1386" s="199" t="s">
        <v>8310</v>
      </c>
      <c r="H1386" s="199" t="s">
        <v>8639</v>
      </c>
      <c r="I1386" s="199">
        <v>1</v>
      </c>
      <c r="J1386" s="199">
        <v>1</v>
      </c>
      <c r="K1386" s="199">
        <v>1</v>
      </c>
      <c r="L1386" s="199">
        <v>50</v>
      </c>
      <c r="M1386" s="202">
        <f>TB_Parts_Lists[[#This Row],[Quantity Initial]]+ SUMIF(TB_Transactions[Part number],TB_Parts_Lists[[#This Row],[Part Number]],TB_Transactions[Quantity])</f>
        <v>50</v>
      </c>
      <c r="N1386" s="200" t="s">
        <v>4593</v>
      </c>
      <c r="O1386" s="234">
        <v>5</v>
      </c>
      <c r="P1386" s="199">
        <f>TB_Parts_Lists[[#This Row],[Quantity Initial]]*TB_Parts_Lists[[#This Row],[Unit Price AED]]</f>
        <v>250</v>
      </c>
      <c r="Q1386" s="199">
        <f>TB_Parts_Lists[[#This Row],[Quantity Total]]*TB_Parts_Lists[[#This Row],[Unit Price AED]]</f>
        <v>250</v>
      </c>
      <c r="S1386" s="199" t="s">
        <v>118</v>
      </c>
      <c r="T1386" s="199" t="s">
        <v>8691</v>
      </c>
      <c r="U1386" s="199" t="s">
        <v>8716</v>
      </c>
    </row>
    <row r="1387" spans="1:21" s="199" customFormat="1" x14ac:dyDescent="0.25">
      <c r="A1387" s="192" t="s">
        <v>7932</v>
      </c>
      <c r="B1387" s="203" t="s">
        <v>3332</v>
      </c>
      <c r="C1387" s="188" t="s">
        <v>3356</v>
      </c>
      <c r="D1387" s="199" t="s">
        <v>8724</v>
      </c>
      <c r="E1387" s="188" t="s">
        <v>5655</v>
      </c>
      <c r="F1387" s="189" t="s">
        <v>6149</v>
      </c>
      <c r="G1387" s="199" t="s">
        <v>8310</v>
      </c>
      <c r="H1387" s="199" t="s">
        <v>8639</v>
      </c>
      <c r="I1387" s="199">
        <v>1</v>
      </c>
      <c r="J1387" s="199">
        <v>1</v>
      </c>
      <c r="K1387" s="199">
        <v>1</v>
      </c>
      <c r="L1387" s="199">
        <v>50</v>
      </c>
      <c r="M1387" s="202">
        <f>TB_Parts_Lists[[#This Row],[Quantity Initial]]+ SUMIF(TB_Transactions[Part number],TB_Parts_Lists[[#This Row],[Part Number]],TB_Transactions[Quantity])</f>
        <v>50</v>
      </c>
      <c r="N1387" s="200" t="s">
        <v>4593</v>
      </c>
      <c r="O1387" s="234">
        <v>5</v>
      </c>
      <c r="P1387" s="199">
        <f>TB_Parts_Lists[[#This Row],[Quantity Initial]]*TB_Parts_Lists[[#This Row],[Unit Price AED]]</f>
        <v>250</v>
      </c>
      <c r="Q1387" s="199">
        <f>TB_Parts_Lists[[#This Row],[Quantity Total]]*TB_Parts_Lists[[#This Row],[Unit Price AED]]</f>
        <v>250</v>
      </c>
      <c r="S1387" s="199" t="s">
        <v>118</v>
      </c>
      <c r="T1387" s="199" t="s">
        <v>8691</v>
      </c>
      <c r="U1387" s="199" t="s">
        <v>8716</v>
      </c>
    </row>
    <row r="1388" spans="1:21" s="199" customFormat="1" x14ac:dyDescent="0.25">
      <c r="A1388" s="192" t="s">
        <v>7933</v>
      </c>
      <c r="B1388" s="201" t="s">
        <v>3335</v>
      </c>
      <c r="C1388" s="199" t="s">
        <v>6623</v>
      </c>
      <c r="D1388" s="199" t="s">
        <v>8724</v>
      </c>
      <c r="E1388" s="188" t="s">
        <v>5656</v>
      </c>
      <c r="F1388" s="189" t="s">
        <v>6150</v>
      </c>
      <c r="G1388" s="199" t="s">
        <v>8310</v>
      </c>
      <c r="H1388" s="199" t="s">
        <v>8639</v>
      </c>
      <c r="I1388" s="199">
        <v>1</v>
      </c>
      <c r="J1388" s="199">
        <v>1</v>
      </c>
      <c r="K1388" s="199">
        <v>1</v>
      </c>
      <c r="L1388" s="199">
        <v>50</v>
      </c>
      <c r="M1388" s="202">
        <f>TB_Parts_Lists[[#This Row],[Quantity Initial]]+ SUMIF(TB_Transactions[Part number],TB_Parts_Lists[[#This Row],[Part Number]],TB_Transactions[Quantity])</f>
        <v>50</v>
      </c>
      <c r="N1388" s="200" t="s">
        <v>4593</v>
      </c>
      <c r="O1388" s="234">
        <v>5</v>
      </c>
      <c r="P1388" s="199">
        <f>TB_Parts_Lists[[#This Row],[Quantity Initial]]*TB_Parts_Lists[[#This Row],[Unit Price AED]]</f>
        <v>250</v>
      </c>
      <c r="Q1388" s="199">
        <f>TB_Parts_Lists[[#This Row],[Quantity Total]]*TB_Parts_Lists[[#This Row],[Unit Price AED]]</f>
        <v>250</v>
      </c>
      <c r="S1388" s="199" t="s">
        <v>118</v>
      </c>
      <c r="T1388" s="199" t="s">
        <v>8691</v>
      </c>
      <c r="U1388" s="199" t="s">
        <v>8716</v>
      </c>
    </row>
    <row r="1389" spans="1:21" s="199" customFormat="1" x14ac:dyDescent="0.25">
      <c r="A1389" s="192" t="s">
        <v>7934</v>
      </c>
      <c r="B1389" s="201" t="s">
        <v>3335</v>
      </c>
      <c r="C1389" s="199" t="s">
        <v>6623</v>
      </c>
      <c r="D1389" s="199" t="s">
        <v>8724</v>
      </c>
      <c r="E1389" s="188" t="s">
        <v>5657</v>
      </c>
      <c r="F1389" s="189" t="s">
        <v>6151</v>
      </c>
      <c r="G1389" s="199" t="s">
        <v>8310</v>
      </c>
      <c r="H1389" s="199" t="s">
        <v>8639</v>
      </c>
      <c r="I1389" s="199">
        <v>1</v>
      </c>
      <c r="J1389" s="199">
        <v>1</v>
      </c>
      <c r="K1389" s="199">
        <v>1</v>
      </c>
      <c r="L1389" s="199">
        <v>50</v>
      </c>
      <c r="M1389" s="202">
        <f>TB_Parts_Lists[[#This Row],[Quantity Initial]]+ SUMIF(TB_Transactions[Part number],TB_Parts_Lists[[#This Row],[Part Number]],TB_Transactions[Quantity])</f>
        <v>50</v>
      </c>
      <c r="N1389" s="200" t="s">
        <v>4593</v>
      </c>
      <c r="O1389" s="234">
        <v>5</v>
      </c>
      <c r="P1389" s="199">
        <f>TB_Parts_Lists[[#This Row],[Quantity Initial]]*TB_Parts_Lists[[#This Row],[Unit Price AED]]</f>
        <v>250</v>
      </c>
      <c r="Q1389" s="199">
        <f>TB_Parts_Lists[[#This Row],[Quantity Total]]*TB_Parts_Lists[[#This Row],[Unit Price AED]]</f>
        <v>250</v>
      </c>
      <c r="S1389" s="199" t="s">
        <v>118</v>
      </c>
      <c r="T1389" s="199" t="s">
        <v>8691</v>
      </c>
      <c r="U1389" s="199" t="s">
        <v>8716</v>
      </c>
    </row>
    <row r="1390" spans="1:21" s="199" customFormat="1" x14ac:dyDescent="0.25">
      <c r="A1390" s="192" t="s">
        <v>7935</v>
      </c>
      <c r="B1390" s="203" t="s">
        <v>3334</v>
      </c>
      <c r="C1390" s="188" t="s">
        <v>7287</v>
      </c>
      <c r="D1390" s="199" t="s">
        <v>8724</v>
      </c>
      <c r="E1390" s="188" t="s">
        <v>5658</v>
      </c>
      <c r="F1390" s="189" t="s">
        <v>6152</v>
      </c>
      <c r="G1390" s="199" t="s">
        <v>8310</v>
      </c>
      <c r="H1390" s="199" t="s">
        <v>8639</v>
      </c>
      <c r="I1390" s="199">
        <v>1</v>
      </c>
      <c r="J1390" s="199">
        <v>1</v>
      </c>
      <c r="K1390" s="199">
        <v>1</v>
      </c>
      <c r="L1390" s="199">
        <v>50</v>
      </c>
      <c r="M1390" s="202">
        <f>TB_Parts_Lists[[#This Row],[Quantity Initial]]+ SUMIF(TB_Transactions[Part number],TB_Parts_Lists[[#This Row],[Part Number]],TB_Transactions[Quantity])</f>
        <v>50</v>
      </c>
      <c r="N1390" s="200" t="s">
        <v>4593</v>
      </c>
      <c r="O1390" s="234">
        <v>5</v>
      </c>
      <c r="P1390" s="199">
        <f>TB_Parts_Lists[[#This Row],[Quantity Initial]]*TB_Parts_Lists[[#This Row],[Unit Price AED]]</f>
        <v>250</v>
      </c>
      <c r="Q1390" s="199">
        <f>TB_Parts_Lists[[#This Row],[Quantity Total]]*TB_Parts_Lists[[#This Row],[Unit Price AED]]</f>
        <v>250</v>
      </c>
      <c r="S1390" s="199" t="s">
        <v>8675</v>
      </c>
      <c r="T1390" s="199" t="s">
        <v>8675</v>
      </c>
      <c r="U1390" s="199" t="s">
        <v>8675</v>
      </c>
    </row>
    <row r="1391" spans="1:21" s="199" customFormat="1" x14ac:dyDescent="0.25">
      <c r="A1391" s="192" t="s">
        <v>7936</v>
      </c>
      <c r="B1391" s="203" t="s">
        <v>3335</v>
      </c>
      <c r="C1391" s="188" t="s">
        <v>3353</v>
      </c>
      <c r="D1391" s="199" t="s">
        <v>8724</v>
      </c>
      <c r="E1391" s="188" t="s">
        <v>5659</v>
      </c>
      <c r="F1391" s="189" t="s">
        <v>6153</v>
      </c>
      <c r="G1391" s="199" t="s">
        <v>8310</v>
      </c>
      <c r="H1391" s="199" t="s">
        <v>8639</v>
      </c>
      <c r="I1391" s="199">
        <v>1</v>
      </c>
      <c r="J1391" s="199">
        <v>1</v>
      </c>
      <c r="K1391" s="199">
        <v>1</v>
      </c>
      <c r="L1391" s="199">
        <v>50</v>
      </c>
      <c r="M1391" s="202">
        <f>TB_Parts_Lists[[#This Row],[Quantity Initial]]+ SUMIF(TB_Transactions[Part number],TB_Parts_Lists[[#This Row],[Part Number]],TB_Transactions[Quantity])</f>
        <v>50</v>
      </c>
      <c r="N1391" s="200" t="s">
        <v>4593</v>
      </c>
      <c r="O1391" s="234">
        <v>5</v>
      </c>
      <c r="P1391" s="199">
        <f>TB_Parts_Lists[[#This Row],[Quantity Initial]]*TB_Parts_Lists[[#This Row],[Unit Price AED]]</f>
        <v>250</v>
      </c>
      <c r="Q1391" s="199">
        <f>TB_Parts_Lists[[#This Row],[Quantity Total]]*TB_Parts_Lists[[#This Row],[Unit Price AED]]</f>
        <v>250</v>
      </c>
      <c r="S1391" s="199" t="s">
        <v>8675</v>
      </c>
      <c r="T1391" s="199" t="s">
        <v>8675</v>
      </c>
      <c r="U1391" s="199" t="s">
        <v>8675</v>
      </c>
    </row>
    <row r="1392" spans="1:21" s="199" customFormat="1" x14ac:dyDescent="0.25">
      <c r="A1392" s="192" t="s">
        <v>7937</v>
      </c>
      <c r="B1392" s="203" t="s">
        <v>3335</v>
      </c>
      <c r="C1392" s="188" t="s">
        <v>3353</v>
      </c>
      <c r="D1392" s="199" t="s">
        <v>8724</v>
      </c>
      <c r="E1392" s="188" t="s">
        <v>5660</v>
      </c>
      <c r="F1392" s="189" t="s">
        <v>6154</v>
      </c>
      <c r="G1392" s="199" t="s">
        <v>8310</v>
      </c>
      <c r="H1392" s="199" t="s">
        <v>8639</v>
      </c>
      <c r="I1392" s="199">
        <v>1</v>
      </c>
      <c r="J1392" s="199">
        <v>1</v>
      </c>
      <c r="K1392" s="199">
        <v>1</v>
      </c>
      <c r="L1392" s="199">
        <v>50</v>
      </c>
      <c r="M1392" s="202">
        <f>TB_Parts_Lists[[#This Row],[Quantity Initial]]+ SUMIF(TB_Transactions[Part number],TB_Parts_Lists[[#This Row],[Part Number]],TB_Transactions[Quantity])</f>
        <v>50</v>
      </c>
      <c r="N1392" s="200" t="s">
        <v>4593</v>
      </c>
      <c r="O1392" s="234">
        <v>5</v>
      </c>
      <c r="P1392" s="199">
        <f>TB_Parts_Lists[[#This Row],[Quantity Initial]]*TB_Parts_Lists[[#This Row],[Unit Price AED]]</f>
        <v>250</v>
      </c>
      <c r="Q1392" s="199">
        <f>TB_Parts_Lists[[#This Row],[Quantity Total]]*TB_Parts_Lists[[#This Row],[Unit Price AED]]</f>
        <v>250</v>
      </c>
      <c r="S1392" s="199" t="s">
        <v>8675</v>
      </c>
      <c r="T1392" s="199" t="s">
        <v>8675</v>
      </c>
      <c r="U1392" s="199" t="s">
        <v>8675</v>
      </c>
    </row>
    <row r="1393" spans="1:21" s="199" customFormat="1" x14ac:dyDescent="0.25">
      <c r="A1393" s="192" t="s">
        <v>7938</v>
      </c>
      <c r="B1393" s="203" t="s">
        <v>3332</v>
      </c>
      <c r="C1393" s="188" t="s">
        <v>3357</v>
      </c>
      <c r="D1393" s="199" t="s">
        <v>8724</v>
      </c>
      <c r="E1393" s="188" t="s">
        <v>5661</v>
      </c>
      <c r="F1393" s="189" t="s">
        <v>6155</v>
      </c>
      <c r="G1393" s="199" t="s">
        <v>8310</v>
      </c>
      <c r="H1393" s="199" t="s">
        <v>8639</v>
      </c>
      <c r="I1393" s="199">
        <v>1</v>
      </c>
      <c r="J1393" s="199">
        <v>1</v>
      </c>
      <c r="K1393" s="199">
        <v>1</v>
      </c>
      <c r="L1393" s="199">
        <v>50</v>
      </c>
      <c r="M1393" s="202">
        <f>TB_Parts_Lists[[#This Row],[Quantity Initial]]+ SUMIF(TB_Transactions[Part number],TB_Parts_Lists[[#This Row],[Part Number]],TB_Transactions[Quantity])</f>
        <v>50</v>
      </c>
      <c r="N1393" s="200" t="s">
        <v>4593</v>
      </c>
      <c r="O1393" s="234">
        <v>5</v>
      </c>
      <c r="P1393" s="199">
        <f>TB_Parts_Lists[[#This Row],[Quantity Initial]]*TB_Parts_Lists[[#This Row],[Unit Price AED]]</f>
        <v>250</v>
      </c>
      <c r="Q1393" s="199">
        <f>TB_Parts_Lists[[#This Row],[Quantity Total]]*TB_Parts_Lists[[#This Row],[Unit Price AED]]</f>
        <v>250</v>
      </c>
      <c r="S1393" s="199" t="s">
        <v>118</v>
      </c>
      <c r="T1393" s="199" t="s">
        <v>8691</v>
      </c>
      <c r="U1393" s="199" t="s">
        <v>8716</v>
      </c>
    </row>
    <row r="1394" spans="1:21" s="199" customFormat="1" x14ac:dyDescent="0.25">
      <c r="A1394" s="192" t="s">
        <v>7939</v>
      </c>
      <c r="B1394" s="203" t="s">
        <v>3334</v>
      </c>
      <c r="C1394" s="188" t="s">
        <v>7287</v>
      </c>
      <c r="D1394" s="199" t="s">
        <v>8732</v>
      </c>
      <c r="E1394" s="188" t="s">
        <v>5662</v>
      </c>
      <c r="F1394" s="189" t="s">
        <v>6156</v>
      </c>
      <c r="G1394" s="199" t="s">
        <v>8310</v>
      </c>
      <c r="H1394" s="199" t="s">
        <v>8639</v>
      </c>
      <c r="I1394" s="199">
        <v>1</v>
      </c>
      <c r="J1394" s="199">
        <v>1</v>
      </c>
      <c r="K1394" s="199">
        <v>1</v>
      </c>
      <c r="L1394" s="199">
        <v>50</v>
      </c>
      <c r="M1394" s="202">
        <f>TB_Parts_Lists[[#This Row],[Quantity Initial]]+ SUMIF(TB_Transactions[Part number],TB_Parts_Lists[[#This Row],[Part Number]],TB_Transactions[Quantity])</f>
        <v>50</v>
      </c>
      <c r="N1394" s="200" t="s">
        <v>4593</v>
      </c>
      <c r="O1394" s="234">
        <v>5</v>
      </c>
      <c r="P1394" s="199">
        <f>TB_Parts_Lists[[#This Row],[Quantity Initial]]*TB_Parts_Lists[[#This Row],[Unit Price AED]]</f>
        <v>250</v>
      </c>
      <c r="Q1394" s="199">
        <f>TB_Parts_Lists[[#This Row],[Quantity Total]]*TB_Parts_Lists[[#This Row],[Unit Price AED]]</f>
        <v>250</v>
      </c>
      <c r="S1394" s="199" t="s">
        <v>122</v>
      </c>
      <c r="T1394" s="199" t="s">
        <v>189</v>
      </c>
      <c r="U1394" s="199" t="s">
        <v>1720</v>
      </c>
    </row>
    <row r="1395" spans="1:21" s="199" customFormat="1" x14ac:dyDescent="0.25">
      <c r="A1395" s="192" t="s">
        <v>7941</v>
      </c>
      <c r="B1395" s="203" t="s">
        <v>3335</v>
      </c>
      <c r="C1395" s="188" t="s">
        <v>7940</v>
      </c>
      <c r="D1395" s="199" t="s">
        <v>8724</v>
      </c>
      <c r="E1395" s="188" t="s">
        <v>5663</v>
      </c>
      <c r="F1395" s="189" t="s">
        <v>6157</v>
      </c>
      <c r="G1395" s="199" t="s">
        <v>8310</v>
      </c>
      <c r="H1395" s="199" t="s">
        <v>8639</v>
      </c>
      <c r="I1395" s="199">
        <v>1</v>
      </c>
      <c r="J1395" s="199">
        <v>1</v>
      </c>
      <c r="K1395" s="199">
        <v>1</v>
      </c>
      <c r="L1395" s="199">
        <v>50</v>
      </c>
      <c r="M1395" s="202">
        <f>TB_Parts_Lists[[#This Row],[Quantity Initial]]+ SUMIF(TB_Transactions[Part number],TB_Parts_Lists[[#This Row],[Part Number]],TB_Transactions[Quantity])</f>
        <v>50</v>
      </c>
      <c r="N1395" s="200" t="s">
        <v>4593</v>
      </c>
      <c r="O1395" s="234">
        <v>5</v>
      </c>
      <c r="P1395" s="199">
        <f>TB_Parts_Lists[[#This Row],[Quantity Initial]]*TB_Parts_Lists[[#This Row],[Unit Price AED]]</f>
        <v>250</v>
      </c>
      <c r="Q1395" s="199">
        <f>TB_Parts_Lists[[#This Row],[Quantity Total]]*TB_Parts_Lists[[#This Row],[Unit Price AED]]</f>
        <v>250</v>
      </c>
      <c r="S1395" s="199" t="s">
        <v>122</v>
      </c>
      <c r="T1395" s="199" t="s">
        <v>8705</v>
      </c>
      <c r="U1395" s="199" t="s">
        <v>8675</v>
      </c>
    </row>
    <row r="1396" spans="1:21" s="199" customFormat="1" x14ac:dyDescent="0.25">
      <c r="A1396" s="192" t="s">
        <v>7942</v>
      </c>
      <c r="B1396" s="203" t="s">
        <v>3332</v>
      </c>
      <c r="C1396" s="188" t="s">
        <v>3357</v>
      </c>
      <c r="D1396" s="199" t="s">
        <v>8724</v>
      </c>
      <c r="E1396" s="188" t="s">
        <v>5664</v>
      </c>
      <c r="F1396" s="189" t="s">
        <v>6158</v>
      </c>
      <c r="G1396" s="199" t="s">
        <v>8310</v>
      </c>
      <c r="H1396" s="199" t="s">
        <v>8639</v>
      </c>
      <c r="I1396" s="199">
        <v>1</v>
      </c>
      <c r="J1396" s="199">
        <v>1</v>
      </c>
      <c r="K1396" s="199">
        <v>1</v>
      </c>
      <c r="L1396" s="199">
        <v>50</v>
      </c>
      <c r="M1396" s="202">
        <f>TB_Parts_Lists[[#This Row],[Quantity Initial]]+ SUMIF(TB_Transactions[Part number],TB_Parts_Lists[[#This Row],[Part Number]],TB_Transactions[Quantity])</f>
        <v>50</v>
      </c>
      <c r="N1396" s="200" t="s">
        <v>4593</v>
      </c>
      <c r="O1396" s="234">
        <v>5</v>
      </c>
      <c r="P1396" s="199">
        <f>TB_Parts_Lists[[#This Row],[Quantity Initial]]*TB_Parts_Lists[[#This Row],[Unit Price AED]]</f>
        <v>250</v>
      </c>
      <c r="Q1396" s="199">
        <f>TB_Parts_Lists[[#This Row],[Quantity Total]]*TB_Parts_Lists[[#This Row],[Unit Price AED]]</f>
        <v>250</v>
      </c>
      <c r="S1396" s="199" t="s">
        <v>118</v>
      </c>
      <c r="T1396" s="199" t="s">
        <v>8691</v>
      </c>
      <c r="U1396" s="199" t="s">
        <v>8716</v>
      </c>
    </row>
    <row r="1397" spans="1:21" s="199" customFormat="1" x14ac:dyDescent="0.25">
      <c r="A1397" s="192" t="s">
        <v>7943</v>
      </c>
      <c r="B1397" s="203" t="s">
        <v>3335</v>
      </c>
      <c r="C1397" s="188" t="s">
        <v>3005</v>
      </c>
      <c r="D1397" s="199" t="s">
        <v>8724</v>
      </c>
      <c r="E1397" s="188" t="s">
        <v>5665</v>
      </c>
      <c r="F1397" s="189" t="s">
        <v>6159</v>
      </c>
      <c r="G1397" s="199" t="s">
        <v>8311</v>
      </c>
      <c r="H1397" s="199" t="s">
        <v>8639</v>
      </c>
      <c r="I1397" s="199">
        <v>1</v>
      </c>
      <c r="J1397" s="199">
        <v>1</v>
      </c>
      <c r="K1397" s="199">
        <v>1</v>
      </c>
      <c r="L1397" s="199">
        <v>50</v>
      </c>
      <c r="M1397" s="202">
        <f>TB_Parts_Lists[[#This Row],[Quantity Initial]]+ SUMIF(TB_Transactions[Part number],TB_Parts_Lists[[#This Row],[Part Number]],TB_Transactions[Quantity])</f>
        <v>50</v>
      </c>
      <c r="N1397" s="200" t="s">
        <v>4593</v>
      </c>
      <c r="O1397" s="234">
        <v>5</v>
      </c>
      <c r="P1397" s="199">
        <f>TB_Parts_Lists[[#This Row],[Quantity Initial]]*TB_Parts_Lists[[#This Row],[Unit Price AED]]</f>
        <v>250</v>
      </c>
      <c r="Q1397" s="199">
        <f>TB_Parts_Lists[[#This Row],[Quantity Total]]*TB_Parts_Lists[[#This Row],[Unit Price AED]]</f>
        <v>250</v>
      </c>
      <c r="S1397" s="199" t="s">
        <v>8675</v>
      </c>
      <c r="T1397" s="199" t="s">
        <v>8675</v>
      </c>
      <c r="U1397" s="199" t="s">
        <v>8675</v>
      </c>
    </row>
    <row r="1398" spans="1:21" s="199" customFormat="1" x14ac:dyDescent="0.25">
      <c r="A1398" s="192" t="s">
        <v>7944</v>
      </c>
      <c r="B1398" s="203" t="s">
        <v>3335</v>
      </c>
      <c r="C1398" s="188" t="s">
        <v>3005</v>
      </c>
      <c r="D1398" s="199" t="s">
        <v>8724</v>
      </c>
      <c r="E1398" s="188" t="s">
        <v>5666</v>
      </c>
      <c r="F1398" s="189" t="s">
        <v>6160</v>
      </c>
      <c r="G1398" s="199" t="s">
        <v>8311</v>
      </c>
      <c r="H1398" s="199" t="s">
        <v>8639</v>
      </c>
      <c r="I1398" s="199">
        <v>1</v>
      </c>
      <c r="J1398" s="199">
        <v>1</v>
      </c>
      <c r="K1398" s="199">
        <v>1</v>
      </c>
      <c r="L1398" s="199">
        <v>50</v>
      </c>
      <c r="M1398" s="202">
        <f>TB_Parts_Lists[[#This Row],[Quantity Initial]]+ SUMIF(TB_Transactions[Part number],TB_Parts_Lists[[#This Row],[Part Number]],TB_Transactions[Quantity])</f>
        <v>50</v>
      </c>
      <c r="N1398" s="200" t="s">
        <v>4593</v>
      </c>
      <c r="O1398" s="234">
        <v>5</v>
      </c>
      <c r="P1398" s="199">
        <f>TB_Parts_Lists[[#This Row],[Quantity Initial]]*TB_Parts_Lists[[#This Row],[Unit Price AED]]</f>
        <v>250</v>
      </c>
      <c r="Q1398" s="199">
        <f>TB_Parts_Lists[[#This Row],[Quantity Total]]*TB_Parts_Lists[[#This Row],[Unit Price AED]]</f>
        <v>250</v>
      </c>
      <c r="S1398" s="199" t="s">
        <v>8675</v>
      </c>
      <c r="T1398" s="199" t="s">
        <v>8675</v>
      </c>
      <c r="U1398" s="199" t="s">
        <v>8675</v>
      </c>
    </row>
    <row r="1399" spans="1:21" s="199" customFormat="1" x14ac:dyDescent="0.25">
      <c r="A1399" s="192" t="s">
        <v>7945</v>
      </c>
      <c r="B1399" s="203" t="s">
        <v>3335</v>
      </c>
      <c r="C1399" s="188" t="s">
        <v>3005</v>
      </c>
      <c r="D1399" s="199" t="s">
        <v>8724</v>
      </c>
      <c r="E1399" s="188" t="s">
        <v>5667</v>
      </c>
      <c r="F1399" s="189" t="s">
        <v>6161</v>
      </c>
      <c r="G1399" s="199" t="s">
        <v>8311</v>
      </c>
      <c r="H1399" s="199" t="s">
        <v>8639</v>
      </c>
      <c r="I1399" s="199">
        <v>1</v>
      </c>
      <c r="J1399" s="199">
        <v>1</v>
      </c>
      <c r="K1399" s="199">
        <v>1</v>
      </c>
      <c r="L1399" s="199">
        <v>50</v>
      </c>
      <c r="M1399" s="202">
        <f>TB_Parts_Lists[[#This Row],[Quantity Initial]]+ SUMIF(TB_Transactions[Part number],TB_Parts_Lists[[#This Row],[Part Number]],TB_Transactions[Quantity])</f>
        <v>50</v>
      </c>
      <c r="N1399" s="200" t="s">
        <v>4593</v>
      </c>
      <c r="O1399" s="234">
        <v>5</v>
      </c>
      <c r="P1399" s="199">
        <f>TB_Parts_Lists[[#This Row],[Quantity Initial]]*TB_Parts_Lists[[#This Row],[Unit Price AED]]</f>
        <v>250</v>
      </c>
      <c r="Q1399" s="199">
        <f>TB_Parts_Lists[[#This Row],[Quantity Total]]*TB_Parts_Lists[[#This Row],[Unit Price AED]]</f>
        <v>250</v>
      </c>
      <c r="S1399" s="199" t="s">
        <v>8675</v>
      </c>
      <c r="T1399" s="199" t="s">
        <v>8675</v>
      </c>
      <c r="U1399" s="199" t="s">
        <v>8675</v>
      </c>
    </row>
    <row r="1400" spans="1:21" s="199" customFormat="1" x14ac:dyDescent="0.25">
      <c r="A1400" s="192" t="s">
        <v>7946</v>
      </c>
      <c r="B1400" s="203" t="s">
        <v>3335</v>
      </c>
      <c r="C1400" s="188" t="s">
        <v>3005</v>
      </c>
      <c r="D1400" s="199" t="s">
        <v>8724</v>
      </c>
      <c r="E1400" s="188" t="s">
        <v>5668</v>
      </c>
      <c r="F1400" s="189" t="s">
        <v>6162</v>
      </c>
      <c r="G1400" s="199" t="s">
        <v>8311</v>
      </c>
      <c r="H1400" s="199" t="s">
        <v>8639</v>
      </c>
      <c r="I1400" s="199">
        <v>1</v>
      </c>
      <c r="J1400" s="199">
        <v>1</v>
      </c>
      <c r="K1400" s="199">
        <v>1</v>
      </c>
      <c r="L1400" s="199">
        <v>50</v>
      </c>
      <c r="M1400" s="202">
        <f>TB_Parts_Lists[[#This Row],[Quantity Initial]]+ SUMIF(TB_Transactions[Part number],TB_Parts_Lists[[#This Row],[Part Number]],TB_Transactions[Quantity])</f>
        <v>50</v>
      </c>
      <c r="N1400" s="200" t="s">
        <v>4593</v>
      </c>
      <c r="O1400" s="234">
        <v>5</v>
      </c>
      <c r="P1400" s="199">
        <f>TB_Parts_Lists[[#This Row],[Quantity Initial]]*TB_Parts_Lists[[#This Row],[Unit Price AED]]</f>
        <v>250</v>
      </c>
      <c r="Q1400" s="199">
        <f>TB_Parts_Lists[[#This Row],[Quantity Total]]*TB_Parts_Lists[[#This Row],[Unit Price AED]]</f>
        <v>250</v>
      </c>
      <c r="S1400" s="199" t="s">
        <v>8675</v>
      </c>
      <c r="T1400" s="199" t="s">
        <v>8675</v>
      </c>
      <c r="U1400" s="199" t="s">
        <v>8675</v>
      </c>
    </row>
    <row r="1401" spans="1:21" s="199" customFormat="1" x14ac:dyDescent="0.25">
      <c r="A1401" s="192" t="s">
        <v>7947</v>
      </c>
      <c r="B1401" s="203" t="s">
        <v>3330</v>
      </c>
      <c r="C1401" s="188" t="s">
        <v>3338</v>
      </c>
      <c r="D1401" s="199" t="s">
        <v>8724</v>
      </c>
      <c r="E1401" s="188" t="s">
        <v>5669</v>
      </c>
      <c r="F1401" s="189" t="s">
        <v>6163</v>
      </c>
      <c r="G1401" s="199" t="s">
        <v>8311</v>
      </c>
      <c r="H1401" s="199" t="s">
        <v>8639</v>
      </c>
      <c r="I1401" s="199">
        <v>1</v>
      </c>
      <c r="J1401" s="199">
        <v>1</v>
      </c>
      <c r="K1401" s="199">
        <v>1</v>
      </c>
      <c r="L1401" s="199">
        <v>50</v>
      </c>
      <c r="M1401" s="202">
        <f>TB_Parts_Lists[[#This Row],[Quantity Initial]]+ SUMIF(TB_Transactions[Part number],TB_Parts_Lists[[#This Row],[Part Number]],TB_Transactions[Quantity])</f>
        <v>50</v>
      </c>
      <c r="N1401" s="200" t="s">
        <v>4593</v>
      </c>
      <c r="O1401" s="234">
        <v>5</v>
      </c>
      <c r="P1401" s="199">
        <f>TB_Parts_Lists[[#This Row],[Quantity Initial]]*TB_Parts_Lists[[#This Row],[Unit Price AED]]</f>
        <v>250</v>
      </c>
      <c r="Q1401" s="199">
        <f>TB_Parts_Lists[[#This Row],[Quantity Total]]*TB_Parts_Lists[[#This Row],[Unit Price AED]]</f>
        <v>250</v>
      </c>
      <c r="S1401" s="199" t="s">
        <v>8675</v>
      </c>
      <c r="T1401" s="199" t="s">
        <v>8675</v>
      </c>
      <c r="U1401" s="199" t="s">
        <v>8675</v>
      </c>
    </row>
    <row r="1402" spans="1:21" s="199" customFormat="1" x14ac:dyDescent="0.25">
      <c r="A1402" s="192" t="s">
        <v>7948</v>
      </c>
      <c r="B1402" s="203" t="s">
        <v>3330</v>
      </c>
      <c r="C1402" s="188" t="s">
        <v>3338</v>
      </c>
      <c r="D1402" s="199" t="s">
        <v>8724</v>
      </c>
      <c r="E1402" s="188" t="s">
        <v>5670</v>
      </c>
      <c r="F1402" s="189" t="s">
        <v>6164</v>
      </c>
      <c r="G1402" s="199" t="s">
        <v>8311</v>
      </c>
      <c r="H1402" s="199" t="s">
        <v>8639</v>
      </c>
      <c r="I1402" s="199">
        <v>1</v>
      </c>
      <c r="J1402" s="199">
        <v>1</v>
      </c>
      <c r="K1402" s="199">
        <v>1</v>
      </c>
      <c r="L1402" s="199">
        <v>50</v>
      </c>
      <c r="M1402" s="202">
        <f>TB_Parts_Lists[[#This Row],[Quantity Initial]]+ SUMIF(TB_Transactions[Part number],TB_Parts_Lists[[#This Row],[Part Number]],TB_Transactions[Quantity])</f>
        <v>50</v>
      </c>
      <c r="N1402" s="200" t="s">
        <v>4593</v>
      </c>
      <c r="O1402" s="234">
        <v>5</v>
      </c>
      <c r="P1402" s="199">
        <f>TB_Parts_Lists[[#This Row],[Quantity Initial]]*TB_Parts_Lists[[#This Row],[Unit Price AED]]</f>
        <v>250</v>
      </c>
      <c r="Q1402" s="199">
        <f>TB_Parts_Lists[[#This Row],[Quantity Total]]*TB_Parts_Lists[[#This Row],[Unit Price AED]]</f>
        <v>250</v>
      </c>
      <c r="S1402" s="199" t="s">
        <v>8675</v>
      </c>
      <c r="T1402" s="199" t="s">
        <v>8675</v>
      </c>
      <c r="U1402" s="199" t="s">
        <v>8675</v>
      </c>
    </row>
    <row r="1403" spans="1:21" s="199" customFormat="1" x14ac:dyDescent="0.25">
      <c r="A1403" s="192" t="s">
        <v>7949</v>
      </c>
      <c r="B1403" s="203" t="s">
        <v>3330</v>
      </c>
      <c r="C1403" s="188" t="s">
        <v>3338</v>
      </c>
      <c r="D1403" s="199" t="s">
        <v>8724</v>
      </c>
      <c r="E1403" s="188" t="s">
        <v>5671</v>
      </c>
      <c r="F1403" s="189" t="s">
        <v>6165</v>
      </c>
      <c r="G1403" s="199" t="s">
        <v>8311</v>
      </c>
      <c r="H1403" s="199" t="s">
        <v>8639</v>
      </c>
      <c r="I1403" s="199">
        <v>1</v>
      </c>
      <c r="J1403" s="199">
        <v>1</v>
      </c>
      <c r="K1403" s="199">
        <v>1</v>
      </c>
      <c r="L1403" s="199">
        <v>50</v>
      </c>
      <c r="M1403" s="202">
        <f>TB_Parts_Lists[[#This Row],[Quantity Initial]]+ SUMIF(TB_Transactions[Part number],TB_Parts_Lists[[#This Row],[Part Number]],TB_Transactions[Quantity])</f>
        <v>50</v>
      </c>
      <c r="N1403" s="200" t="s">
        <v>4593</v>
      </c>
      <c r="O1403" s="234">
        <v>5</v>
      </c>
      <c r="P1403" s="199">
        <f>TB_Parts_Lists[[#This Row],[Quantity Initial]]*TB_Parts_Lists[[#This Row],[Unit Price AED]]</f>
        <v>250</v>
      </c>
      <c r="Q1403" s="199">
        <f>TB_Parts_Lists[[#This Row],[Quantity Total]]*TB_Parts_Lists[[#This Row],[Unit Price AED]]</f>
        <v>250</v>
      </c>
      <c r="S1403" s="199" t="s">
        <v>8675</v>
      </c>
      <c r="T1403" s="199" t="s">
        <v>8675</v>
      </c>
      <c r="U1403" s="199" t="s">
        <v>8675</v>
      </c>
    </row>
    <row r="1404" spans="1:21" s="199" customFormat="1" x14ac:dyDescent="0.25">
      <c r="A1404" s="192" t="s">
        <v>7950</v>
      </c>
      <c r="B1404" s="203" t="s">
        <v>3335</v>
      </c>
      <c r="C1404" s="188" t="s">
        <v>6623</v>
      </c>
      <c r="D1404" s="199" t="s">
        <v>8732</v>
      </c>
      <c r="E1404" s="188" t="s">
        <v>5672</v>
      </c>
      <c r="F1404" s="189" t="s">
        <v>6166</v>
      </c>
      <c r="G1404" s="199" t="s">
        <v>8311</v>
      </c>
      <c r="H1404" s="199" t="s">
        <v>8639</v>
      </c>
      <c r="I1404" s="199">
        <v>1</v>
      </c>
      <c r="J1404" s="199">
        <v>1</v>
      </c>
      <c r="K1404" s="199">
        <v>1</v>
      </c>
      <c r="L1404" s="199">
        <v>50</v>
      </c>
      <c r="M1404" s="202">
        <f>TB_Parts_Lists[[#This Row],[Quantity Initial]]+ SUMIF(TB_Transactions[Part number],TB_Parts_Lists[[#This Row],[Part Number]],TB_Transactions[Quantity])</f>
        <v>50</v>
      </c>
      <c r="N1404" s="200" t="s">
        <v>4593</v>
      </c>
      <c r="O1404" s="234">
        <v>5</v>
      </c>
      <c r="P1404" s="199">
        <f>TB_Parts_Lists[[#This Row],[Quantity Initial]]*TB_Parts_Lists[[#This Row],[Unit Price AED]]</f>
        <v>250</v>
      </c>
      <c r="Q1404" s="199">
        <f>TB_Parts_Lists[[#This Row],[Quantity Total]]*TB_Parts_Lists[[#This Row],[Unit Price AED]]</f>
        <v>250</v>
      </c>
      <c r="S1404" s="199" t="s">
        <v>8675</v>
      </c>
      <c r="T1404" s="199" t="s">
        <v>8675</v>
      </c>
      <c r="U1404" s="199" t="s">
        <v>8675</v>
      </c>
    </row>
    <row r="1405" spans="1:21" s="199" customFormat="1" x14ac:dyDescent="0.25">
      <c r="A1405" s="192" t="s">
        <v>7951</v>
      </c>
      <c r="B1405" s="203" t="s">
        <v>3335</v>
      </c>
      <c r="C1405" s="188" t="s">
        <v>6623</v>
      </c>
      <c r="D1405" s="199" t="s">
        <v>8732</v>
      </c>
      <c r="E1405" s="188" t="s">
        <v>5673</v>
      </c>
      <c r="F1405" s="189" t="s">
        <v>6167</v>
      </c>
      <c r="G1405" s="199" t="s">
        <v>8311</v>
      </c>
      <c r="H1405" s="199" t="s">
        <v>8639</v>
      </c>
      <c r="I1405" s="199">
        <v>1</v>
      </c>
      <c r="J1405" s="199">
        <v>1</v>
      </c>
      <c r="K1405" s="199">
        <v>1</v>
      </c>
      <c r="L1405" s="199">
        <v>50</v>
      </c>
      <c r="M1405" s="202">
        <f>TB_Parts_Lists[[#This Row],[Quantity Initial]]+ SUMIF(TB_Transactions[Part number],TB_Parts_Lists[[#This Row],[Part Number]],TB_Transactions[Quantity])</f>
        <v>50</v>
      </c>
      <c r="N1405" s="200" t="s">
        <v>4593</v>
      </c>
      <c r="O1405" s="234">
        <v>5</v>
      </c>
      <c r="P1405" s="199">
        <f>TB_Parts_Lists[[#This Row],[Quantity Initial]]*TB_Parts_Lists[[#This Row],[Unit Price AED]]</f>
        <v>250</v>
      </c>
      <c r="Q1405" s="199">
        <f>TB_Parts_Lists[[#This Row],[Quantity Total]]*TB_Parts_Lists[[#This Row],[Unit Price AED]]</f>
        <v>250</v>
      </c>
      <c r="S1405" s="199" t="s">
        <v>8675</v>
      </c>
      <c r="T1405" s="199" t="s">
        <v>8675</v>
      </c>
      <c r="U1405" s="199" t="s">
        <v>8675</v>
      </c>
    </row>
    <row r="1406" spans="1:21" s="199" customFormat="1" x14ac:dyDescent="0.25">
      <c r="A1406" s="192" t="s">
        <v>7952</v>
      </c>
      <c r="B1406" s="203" t="s">
        <v>3335</v>
      </c>
      <c r="C1406" s="188" t="s">
        <v>6623</v>
      </c>
      <c r="D1406" s="199" t="s">
        <v>8732</v>
      </c>
      <c r="E1406" s="188" t="s">
        <v>5674</v>
      </c>
      <c r="F1406" s="189" t="s">
        <v>6168</v>
      </c>
      <c r="G1406" s="199" t="s">
        <v>8311</v>
      </c>
      <c r="H1406" s="199" t="s">
        <v>8639</v>
      </c>
      <c r="I1406" s="199">
        <v>1</v>
      </c>
      <c r="J1406" s="199">
        <v>1</v>
      </c>
      <c r="K1406" s="199">
        <v>1</v>
      </c>
      <c r="L1406" s="199">
        <v>50</v>
      </c>
      <c r="M1406" s="202">
        <f>TB_Parts_Lists[[#This Row],[Quantity Initial]]+ SUMIF(TB_Transactions[Part number],TB_Parts_Lists[[#This Row],[Part Number]],TB_Transactions[Quantity])</f>
        <v>50</v>
      </c>
      <c r="N1406" s="200" t="s">
        <v>4593</v>
      </c>
      <c r="O1406" s="234">
        <v>5</v>
      </c>
      <c r="P1406" s="199">
        <f>TB_Parts_Lists[[#This Row],[Quantity Initial]]*TB_Parts_Lists[[#This Row],[Unit Price AED]]</f>
        <v>250</v>
      </c>
      <c r="Q1406" s="199">
        <f>TB_Parts_Lists[[#This Row],[Quantity Total]]*TB_Parts_Lists[[#This Row],[Unit Price AED]]</f>
        <v>250</v>
      </c>
      <c r="S1406" s="199" t="s">
        <v>8675</v>
      </c>
      <c r="T1406" s="199" t="s">
        <v>8675</v>
      </c>
      <c r="U1406" s="199" t="s">
        <v>8675</v>
      </c>
    </row>
    <row r="1407" spans="1:21" s="199" customFormat="1" x14ac:dyDescent="0.25">
      <c r="A1407" s="192" t="s">
        <v>7953</v>
      </c>
      <c r="B1407" s="203" t="s">
        <v>3335</v>
      </c>
      <c r="C1407" s="188" t="s">
        <v>6623</v>
      </c>
      <c r="D1407" s="199" t="s">
        <v>8732</v>
      </c>
      <c r="E1407" s="188" t="s">
        <v>5675</v>
      </c>
      <c r="F1407" s="189" t="s">
        <v>6169</v>
      </c>
      <c r="G1407" s="199" t="s">
        <v>8311</v>
      </c>
      <c r="H1407" s="199" t="s">
        <v>8639</v>
      </c>
      <c r="I1407" s="199">
        <v>1</v>
      </c>
      <c r="J1407" s="199">
        <v>1</v>
      </c>
      <c r="K1407" s="199">
        <v>1</v>
      </c>
      <c r="L1407" s="199">
        <v>50</v>
      </c>
      <c r="M1407" s="202">
        <f>TB_Parts_Lists[[#This Row],[Quantity Initial]]+ SUMIF(TB_Transactions[Part number],TB_Parts_Lists[[#This Row],[Part Number]],TB_Transactions[Quantity])</f>
        <v>50</v>
      </c>
      <c r="N1407" s="200" t="s">
        <v>4593</v>
      </c>
      <c r="O1407" s="234">
        <v>5</v>
      </c>
      <c r="P1407" s="199">
        <f>TB_Parts_Lists[[#This Row],[Quantity Initial]]*TB_Parts_Lists[[#This Row],[Unit Price AED]]</f>
        <v>250</v>
      </c>
      <c r="Q1407" s="199">
        <f>TB_Parts_Lists[[#This Row],[Quantity Total]]*TB_Parts_Lists[[#This Row],[Unit Price AED]]</f>
        <v>250</v>
      </c>
      <c r="S1407" s="199" t="s">
        <v>8675</v>
      </c>
      <c r="T1407" s="199" t="s">
        <v>8675</v>
      </c>
      <c r="U1407" s="199" t="s">
        <v>8675</v>
      </c>
    </row>
    <row r="1408" spans="1:21" s="199" customFormat="1" x14ac:dyDescent="0.25">
      <c r="A1408" s="192" t="s">
        <v>7954</v>
      </c>
      <c r="B1408" s="203" t="s">
        <v>3335</v>
      </c>
      <c r="C1408" s="188" t="s">
        <v>3368</v>
      </c>
      <c r="D1408" s="199" t="s">
        <v>8724</v>
      </c>
      <c r="E1408" s="188" t="s">
        <v>5676</v>
      </c>
      <c r="F1408" s="189" t="s">
        <v>6170</v>
      </c>
      <c r="G1408" s="199" t="s">
        <v>8311</v>
      </c>
      <c r="H1408" s="199" t="s">
        <v>8639</v>
      </c>
      <c r="I1408" s="199">
        <v>1</v>
      </c>
      <c r="J1408" s="199">
        <v>1</v>
      </c>
      <c r="K1408" s="199">
        <v>1</v>
      </c>
      <c r="L1408" s="199">
        <v>50</v>
      </c>
      <c r="M1408" s="202">
        <f>TB_Parts_Lists[[#This Row],[Quantity Initial]]+ SUMIF(TB_Transactions[Part number],TB_Parts_Lists[[#This Row],[Part Number]],TB_Transactions[Quantity])</f>
        <v>50</v>
      </c>
      <c r="N1408" s="200" t="s">
        <v>4593</v>
      </c>
      <c r="O1408" s="234">
        <v>5</v>
      </c>
      <c r="P1408" s="199">
        <f>TB_Parts_Lists[[#This Row],[Quantity Initial]]*TB_Parts_Lists[[#This Row],[Unit Price AED]]</f>
        <v>250</v>
      </c>
      <c r="Q1408" s="199">
        <f>TB_Parts_Lists[[#This Row],[Quantity Total]]*TB_Parts_Lists[[#This Row],[Unit Price AED]]</f>
        <v>250</v>
      </c>
      <c r="S1408" s="199" t="s">
        <v>8675</v>
      </c>
      <c r="T1408" s="199" t="s">
        <v>8675</v>
      </c>
      <c r="U1408" s="199" t="s">
        <v>8675</v>
      </c>
    </row>
    <row r="1409" spans="1:21" s="199" customFormat="1" x14ac:dyDescent="0.25">
      <c r="A1409" s="192" t="s">
        <v>7955</v>
      </c>
      <c r="B1409" s="203" t="s">
        <v>3335</v>
      </c>
      <c r="C1409" s="188" t="s">
        <v>6623</v>
      </c>
      <c r="D1409" s="199" t="s">
        <v>8724</v>
      </c>
      <c r="E1409" s="188" t="s">
        <v>5677</v>
      </c>
      <c r="F1409" s="189" t="s">
        <v>6171</v>
      </c>
      <c r="G1409" s="199" t="s">
        <v>8311</v>
      </c>
      <c r="H1409" s="199" t="s">
        <v>8639</v>
      </c>
      <c r="I1409" s="199">
        <v>1</v>
      </c>
      <c r="J1409" s="199">
        <v>1</v>
      </c>
      <c r="K1409" s="199">
        <v>1</v>
      </c>
      <c r="L1409" s="199">
        <v>50</v>
      </c>
      <c r="M1409" s="202">
        <f>TB_Parts_Lists[[#This Row],[Quantity Initial]]+ SUMIF(TB_Transactions[Part number],TB_Parts_Lists[[#This Row],[Part Number]],TB_Transactions[Quantity])</f>
        <v>50</v>
      </c>
      <c r="N1409" s="200" t="s">
        <v>4593</v>
      </c>
      <c r="O1409" s="234">
        <v>5</v>
      </c>
      <c r="P1409" s="199">
        <f>TB_Parts_Lists[[#This Row],[Quantity Initial]]*TB_Parts_Lists[[#This Row],[Unit Price AED]]</f>
        <v>250</v>
      </c>
      <c r="Q1409" s="199">
        <f>TB_Parts_Lists[[#This Row],[Quantity Total]]*TB_Parts_Lists[[#This Row],[Unit Price AED]]</f>
        <v>250</v>
      </c>
      <c r="S1409" s="199" t="s">
        <v>8675</v>
      </c>
      <c r="T1409" s="199" t="s">
        <v>8675</v>
      </c>
      <c r="U1409" s="199" t="s">
        <v>8675</v>
      </c>
    </row>
    <row r="1410" spans="1:21" s="199" customFormat="1" x14ac:dyDescent="0.25">
      <c r="A1410" s="192" t="s">
        <v>7956</v>
      </c>
      <c r="B1410" s="203" t="s">
        <v>3335</v>
      </c>
      <c r="C1410" s="188" t="s">
        <v>6623</v>
      </c>
      <c r="D1410" s="199" t="s">
        <v>8724</v>
      </c>
      <c r="E1410" s="188" t="s">
        <v>5678</v>
      </c>
      <c r="F1410" s="189" t="s">
        <v>6172</v>
      </c>
      <c r="G1410" s="199" t="s">
        <v>8311</v>
      </c>
      <c r="H1410" s="199" t="s">
        <v>8639</v>
      </c>
      <c r="I1410" s="199">
        <v>1</v>
      </c>
      <c r="J1410" s="199">
        <v>1</v>
      </c>
      <c r="K1410" s="199">
        <v>1</v>
      </c>
      <c r="L1410" s="199">
        <v>50</v>
      </c>
      <c r="M1410" s="202">
        <f>TB_Parts_Lists[[#This Row],[Quantity Initial]]+ SUMIF(TB_Transactions[Part number],TB_Parts_Lists[[#This Row],[Part Number]],TB_Transactions[Quantity])</f>
        <v>50</v>
      </c>
      <c r="N1410" s="200" t="s">
        <v>4593</v>
      </c>
      <c r="O1410" s="234">
        <v>5</v>
      </c>
      <c r="P1410" s="199">
        <f>TB_Parts_Lists[[#This Row],[Quantity Initial]]*TB_Parts_Lists[[#This Row],[Unit Price AED]]</f>
        <v>250</v>
      </c>
      <c r="Q1410" s="199">
        <f>TB_Parts_Lists[[#This Row],[Quantity Total]]*TB_Parts_Lists[[#This Row],[Unit Price AED]]</f>
        <v>250</v>
      </c>
      <c r="S1410" s="199" t="s">
        <v>8675</v>
      </c>
      <c r="T1410" s="199" t="s">
        <v>8675</v>
      </c>
      <c r="U1410" s="199" t="s">
        <v>8675</v>
      </c>
    </row>
    <row r="1411" spans="1:21" s="199" customFormat="1" x14ac:dyDescent="0.25">
      <c r="A1411" s="192" t="s">
        <v>7957</v>
      </c>
      <c r="B1411" s="203" t="s">
        <v>3330</v>
      </c>
      <c r="C1411" s="188" t="s">
        <v>6735</v>
      </c>
      <c r="D1411" s="199" t="s">
        <v>8724</v>
      </c>
      <c r="E1411" s="188" t="s">
        <v>5679</v>
      </c>
      <c r="F1411" s="189" t="s">
        <v>6173</v>
      </c>
      <c r="G1411" s="199" t="s">
        <v>8311</v>
      </c>
      <c r="H1411" s="199" t="s">
        <v>8639</v>
      </c>
      <c r="I1411" s="199">
        <v>1</v>
      </c>
      <c r="J1411" s="199">
        <v>1</v>
      </c>
      <c r="K1411" s="199">
        <v>1</v>
      </c>
      <c r="L1411" s="199">
        <v>50</v>
      </c>
      <c r="M1411" s="202">
        <f>TB_Parts_Lists[[#This Row],[Quantity Initial]]+ SUMIF(TB_Transactions[Part number],TB_Parts_Lists[[#This Row],[Part Number]],TB_Transactions[Quantity])</f>
        <v>50</v>
      </c>
      <c r="N1411" s="200" t="s">
        <v>4593</v>
      </c>
      <c r="O1411" s="234">
        <v>5</v>
      </c>
      <c r="P1411" s="199">
        <f>TB_Parts_Lists[[#This Row],[Quantity Initial]]*TB_Parts_Lists[[#This Row],[Unit Price AED]]</f>
        <v>250</v>
      </c>
      <c r="Q1411" s="199">
        <f>TB_Parts_Lists[[#This Row],[Quantity Total]]*TB_Parts_Lists[[#This Row],[Unit Price AED]]</f>
        <v>250</v>
      </c>
      <c r="S1411" s="199" t="s">
        <v>8675</v>
      </c>
      <c r="T1411" s="199" t="s">
        <v>8675</v>
      </c>
      <c r="U1411" s="199" t="s">
        <v>8675</v>
      </c>
    </row>
    <row r="1412" spans="1:21" s="199" customFormat="1" x14ac:dyDescent="0.25">
      <c r="A1412" s="192" t="s">
        <v>7958</v>
      </c>
      <c r="B1412" s="203" t="s">
        <v>3330</v>
      </c>
      <c r="C1412" s="188" t="s">
        <v>3338</v>
      </c>
      <c r="D1412" s="199" t="s">
        <v>8724</v>
      </c>
      <c r="E1412" s="188" t="s">
        <v>5680</v>
      </c>
      <c r="F1412" s="189" t="s">
        <v>6174</v>
      </c>
      <c r="G1412" s="199" t="s">
        <v>8312</v>
      </c>
      <c r="H1412" s="199" t="s">
        <v>8639</v>
      </c>
      <c r="I1412" s="199">
        <v>1</v>
      </c>
      <c r="J1412" s="199">
        <v>1</v>
      </c>
      <c r="K1412" s="199">
        <v>1</v>
      </c>
      <c r="L1412" s="199">
        <v>50</v>
      </c>
      <c r="M1412" s="202">
        <f>TB_Parts_Lists[[#This Row],[Quantity Initial]]+ SUMIF(TB_Transactions[Part number],TB_Parts_Lists[[#This Row],[Part Number]],TB_Transactions[Quantity])</f>
        <v>50</v>
      </c>
      <c r="N1412" s="200" t="s">
        <v>4593</v>
      </c>
      <c r="O1412" s="234">
        <v>5</v>
      </c>
      <c r="P1412" s="199">
        <f>TB_Parts_Lists[[#This Row],[Quantity Initial]]*TB_Parts_Lists[[#This Row],[Unit Price AED]]</f>
        <v>250</v>
      </c>
      <c r="Q1412" s="199">
        <f>TB_Parts_Lists[[#This Row],[Quantity Total]]*TB_Parts_Lists[[#This Row],[Unit Price AED]]</f>
        <v>250</v>
      </c>
      <c r="S1412" s="199" t="s">
        <v>8675</v>
      </c>
      <c r="T1412" s="199" t="s">
        <v>8675</v>
      </c>
      <c r="U1412" s="199" t="s">
        <v>8675</v>
      </c>
    </row>
    <row r="1413" spans="1:21" s="199" customFormat="1" x14ac:dyDescent="0.25">
      <c r="A1413" s="192" t="s">
        <v>7960</v>
      </c>
      <c r="B1413" s="203" t="s">
        <v>3334</v>
      </c>
      <c r="C1413" s="199" t="s">
        <v>7959</v>
      </c>
      <c r="D1413" s="188" t="s">
        <v>8724</v>
      </c>
      <c r="E1413" s="188" t="s">
        <v>5681</v>
      </c>
      <c r="F1413" s="189" t="s">
        <v>6175</v>
      </c>
      <c r="G1413" s="199" t="s">
        <v>8312</v>
      </c>
      <c r="H1413" s="199" t="s">
        <v>8639</v>
      </c>
      <c r="I1413" s="199">
        <v>1</v>
      </c>
      <c r="J1413" s="199">
        <v>1</v>
      </c>
      <c r="K1413" s="199">
        <v>1</v>
      </c>
      <c r="L1413" s="199">
        <v>50</v>
      </c>
      <c r="M1413" s="202">
        <f>TB_Parts_Lists[[#This Row],[Quantity Initial]]+ SUMIF(TB_Transactions[Part number],TB_Parts_Lists[[#This Row],[Part Number]],TB_Transactions[Quantity])</f>
        <v>50</v>
      </c>
      <c r="N1413" s="200" t="s">
        <v>4593</v>
      </c>
      <c r="O1413" s="234">
        <v>5</v>
      </c>
      <c r="P1413" s="199">
        <f>TB_Parts_Lists[[#This Row],[Quantity Initial]]*TB_Parts_Lists[[#This Row],[Unit Price AED]]</f>
        <v>250</v>
      </c>
      <c r="Q1413" s="199">
        <f>TB_Parts_Lists[[#This Row],[Quantity Total]]*TB_Parts_Lists[[#This Row],[Unit Price AED]]</f>
        <v>250</v>
      </c>
      <c r="S1413" s="199" t="s">
        <v>8675</v>
      </c>
      <c r="T1413" s="199" t="s">
        <v>8675</v>
      </c>
      <c r="U1413" s="199" t="s">
        <v>8675</v>
      </c>
    </row>
    <row r="1414" spans="1:21" s="199" customFormat="1" x14ac:dyDescent="0.25">
      <c r="A1414" s="192" t="s">
        <v>7961</v>
      </c>
      <c r="B1414" s="203" t="s">
        <v>3334</v>
      </c>
      <c r="C1414" s="199" t="s">
        <v>7959</v>
      </c>
      <c r="D1414" s="188" t="s">
        <v>8724</v>
      </c>
      <c r="E1414" s="188" t="s">
        <v>5682</v>
      </c>
      <c r="F1414" s="189" t="s">
        <v>6176</v>
      </c>
      <c r="G1414" s="199" t="s">
        <v>8312</v>
      </c>
      <c r="H1414" s="199" t="s">
        <v>8639</v>
      </c>
      <c r="I1414" s="199">
        <v>1</v>
      </c>
      <c r="J1414" s="199">
        <v>1</v>
      </c>
      <c r="K1414" s="199">
        <v>1</v>
      </c>
      <c r="L1414" s="199">
        <v>50</v>
      </c>
      <c r="M1414" s="202">
        <f>TB_Parts_Lists[[#This Row],[Quantity Initial]]+ SUMIF(TB_Transactions[Part number],TB_Parts_Lists[[#This Row],[Part Number]],TB_Transactions[Quantity])</f>
        <v>50</v>
      </c>
      <c r="N1414" s="200" t="s">
        <v>4593</v>
      </c>
      <c r="O1414" s="234">
        <v>5</v>
      </c>
      <c r="P1414" s="199">
        <f>TB_Parts_Lists[[#This Row],[Quantity Initial]]*TB_Parts_Lists[[#This Row],[Unit Price AED]]</f>
        <v>250</v>
      </c>
      <c r="Q1414" s="199">
        <f>TB_Parts_Lists[[#This Row],[Quantity Total]]*TB_Parts_Lists[[#This Row],[Unit Price AED]]</f>
        <v>250</v>
      </c>
      <c r="S1414" s="199" t="s">
        <v>8675</v>
      </c>
      <c r="T1414" s="199" t="s">
        <v>8675</v>
      </c>
      <c r="U1414" s="199" t="s">
        <v>8675</v>
      </c>
    </row>
    <row r="1415" spans="1:21" s="199" customFormat="1" x14ac:dyDescent="0.25">
      <c r="A1415" s="192" t="s">
        <v>7962</v>
      </c>
      <c r="B1415" s="203" t="s">
        <v>3330</v>
      </c>
      <c r="C1415" s="188" t="s">
        <v>3338</v>
      </c>
      <c r="D1415" s="188" t="s">
        <v>8724</v>
      </c>
      <c r="E1415" s="188" t="s">
        <v>5683</v>
      </c>
      <c r="F1415" s="189" t="s">
        <v>6177</v>
      </c>
      <c r="G1415" s="199" t="s">
        <v>8312</v>
      </c>
      <c r="H1415" s="199" t="s">
        <v>8639</v>
      </c>
      <c r="I1415" s="199">
        <v>1</v>
      </c>
      <c r="J1415" s="199">
        <v>1</v>
      </c>
      <c r="K1415" s="199">
        <v>1</v>
      </c>
      <c r="L1415" s="199">
        <v>50</v>
      </c>
      <c r="M1415" s="202">
        <f>TB_Parts_Lists[[#This Row],[Quantity Initial]]+ SUMIF(TB_Transactions[Part number],TB_Parts_Lists[[#This Row],[Part Number]],TB_Transactions[Quantity])</f>
        <v>50</v>
      </c>
      <c r="N1415" s="200" t="s">
        <v>4593</v>
      </c>
      <c r="O1415" s="234">
        <v>5</v>
      </c>
      <c r="P1415" s="199">
        <f>TB_Parts_Lists[[#This Row],[Quantity Initial]]*TB_Parts_Lists[[#This Row],[Unit Price AED]]</f>
        <v>250</v>
      </c>
      <c r="Q1415" s="199">
        <f>TB_Parts_Lists[[#This Row],[Quantity Total]]*TB_Parts_Lists[[#This Row],[Unit Price AED]]</f>
        <v>250</v>
      </c>
      <c r="S1415" s="199" t="s">
        <v>8675</v>
      </c>
      <c r="T1415" s="199" t="s">
        <v>8675</v>
      </c>
      <c r="U1415" s="199" t="s">
        <v>8675</v>
      </c>
    </row>
    <row r="1416" spans="1:21" s="199" customFormat="1" x14ac:dyDescent="0.25">
      <c r="A1416" s="192" t="s">
        <v>7963</v>
      </c>
      <c r="B1416" s="203" t="s">
        <v>4605</v>
      </c>
      <c r="C1416" s="188" t="s">
        <v>7152</v>
      </c>
      <c r="D1416" s="188" t="s">
        <v>8724</v>
      </c>
      <c r="E1416" s="188" t="s">
        <v>5684</v>
      </c>
      <c r="F1416" s="189" t="s">
        <v>6178</v>
      </c>
      <c r="G1416" s="199" t="s">
        <v>8312</v>
      </c>
      <c r="H1416" s="199" t="s">
        <v>8639</v>
      </c>
      <c r="I1416" s="199">
        <v>1</v>
      </c>
      <c r="J1416" s="199">
        <v>1</v>
      </c>
      <c r="K1416" s="199">
        <v>1</v>
      </c>
      <c r="L1416" s="199">
        <v>50</v>
      </c>
      <c r="M1416" s="202">
        <f>TB_Parts_Lists[[#This Row],[Quantity Initial]]+ SUMIF(TB_Transactions[Part number],TB_Parts_Lists[[#This Row],[Part Number]],TB_Transactions[Quantity])</f>
        <v>50</v>
      </c>
      <c r="N1416" s="200" t="s">
        <v>4593</v>
      </c>
      <c r="O1416" s="234">
        <v>5</v>
      </c>
      <c r="P1416" s="199">
        <f>TB_Parts_Lists[[#This Row],[Quantity Initial]]*TB_Parts_Lists[[#This Row],[Unit Price AED]]</f>
        <v>250</v>
      </c>
      <c r="Q1416" s="199">
        <f>TB_Parts_Lists[[#This Row],[Quantity Total]]*TB_Parts_Lists[[#This Row],[Unit Price AED]]</f>
        <v>250</v>
      </c>
      <c r="S1416" s="199" t="s">
        <v>8675</v>
      </c>
      <c r="T1416" s="199" t="s">
        <v>8675</v>
      </c>
      <c r="U1416" s="199" t="s">
        <v>8675</v>
      </c>
    </row>
    <row r="1417" spans="1:21" s="199" customFormat="1" x14ac:dyDescent="0.25">
      <c r="A1417" s="192" t="s">
        <v>7964</v>
      </c>
      <c r="B1417" s="203" t="s">
        <v>4605</v>
      </c>
      <c r="C1417" s="188" t="s">
        <v>7152</v>
      </c>
      <c r="D1417" s="188" t="s">
        <v>8724</v>
      </c>
      <c r="E1417" s="188" t="s">
        <v>5685</v>
      </c>
      <c r="F1417" s="189" t="s">
        <v>6179</v>
      </c>
      <c r="G1417" s="199" t="s">
        <v>8312</v>
      </c>
      <c r="H1417" s="199" t="s">
        <v>8639</v>
      </c>
      <c r="I1417" s="199">
        <v>1</v>
      </c>
      <c r="J1417" s="199">
        <v>1</v>
      </c>
      <c r="K1417" s="199">
        <v>1</v>
      </c>
      <c r="L1417" s="199">
        <v>50</v>
      </c>
      <c r="M1417" s="202">
        <f>TB_Parts_Lists[[#This Row],[Quantity Initial]]+ SUMIF(TB_Transactions[Part number],TB_Parts_Lists[[#This Row],[Part Number]],TB_Transactions[Quantity])</f>
        <v>50</v>
      </c>
      <c r="N1417" s="200" t="s">
        <v>4593</v>
      </c>
      <c r="O1417" s="234">
        <v>5</v>
      </c>
      <c r="P1417" s="199">
        <f>TB_Parts_Lists[[#This Row],[Quantity Initial]]*TB_Parts_Lists[[#This Row],[Unit Price AED]]</f>
        <v>250</v>
      </c>
      <c r="Q1417" s="199">
        <f>TB_Parts_Lists[[#This Row],[Quantity Total]]*TB_Parts_Lists[[#This Row],[Unit Price AED]]</f>
        <v>250</v>
      </c>
      <c r="S1417" s="199" t="s">
        <v>8675</v>
      </c>
      <c r="T1417" s="199" t="s">
        <v>8675</v>
      </c>
      <c r="U1417" s="199" t="s">
        <v>8675</v>
      </c>
    </row>
    <row r="1418" spans="1:21" s="199" customFormat="1" x14ac:dyDescent="0.25">
      <c r="A1418" s="192" t="s">
        <v>7965</v>
      </c>
      <c r="B1418" s="201" t="s">
        <v>3330</v>
      </c>
      <c r="C1418" s="199" t="s">
        <v>3338</v>
      </c>
      <c r="D1418" s="188" t="s">
        <v>8724</v>
      </c>
      <c r="E1418" s="188" t="s">
        <v>2989</v>
      </c>
      <c r="F1418" s="189" t="s">
        <v>6180</v>
      </c>
      <c r="G1418" s="199" t="s">
        <v>8312</v>
      </c>
      <c r="H1418" s="199" t="s">
        <v>8639</v>
      </c>
      <c r="I1418" s="199">
        <v>1</v>
      </c>
      <c r="J1418" s="199">
        <v>1</v>
      </c>
      <c r="K1418" s="199">
        <v>1</v>
      </c>
      <c r="L1418" s="199">
        <v>50</v>
      </c>
      <c r="M1418" s="202">
        <f>TB_Parts_Lists[[#This Row],[Quantity Initial]]+ SUMIF(TB_Transactions[Part number],TB_Parts_Lists[[#This Row],[Part Number]],TB_Transactions[Quantity])</f>
        <v>50</v>
      </c>
      <c r="N1418" s="200" t="s">
        <v>4593</v>
      </c>
      <c r="O1418" s="234">
        <v>5</v>
      </c>
      <c r="P1418" s="199">
        <f>TB_Parts_Lists[[#This Row],[Quantity Initial]]*TB_Parts_Lists[[#This Row],[Unit Price AED]]</f>
        <v>250</v>
      </c>
      <c r="Q1418" s="199">
        <f>TB_Parts_Lists[[#This Row],[Quantity Total]]*TB_Parts_Lists[[#This Row],[Unit Price AED]]</f>
        <v>250</v>
      </c>
      <c r="S1418" s="199" t="s">
        <v>8675</v>
      </c>
      <c r="T1418" s="199" t="s">
        <v>8675</v>
      </c>
      <c r="U1418" s="199" t="s">
        <v>8675</v>
      </c>
    </row>
    <row r="1419" spans="1:21" s="199" customFormat="1" x14ac:dyDescent="0.25">
      <c r="A1419" s="192" t="s">
        <v>7966</v>
      </c>
      <c r="B1419" s="201" t="s">
        <v>3330</v>
      </c>
      <c r="C1419" s="199" t="s">
        <v>3338</v>
      </c>
      <c r="D1419" s="188" t="s">
        <v>8724</v>
      </c>
      <c r="E1419" s="188" t="s">
        <v>5686</v>
      </c>
      <c r="F1419" s="189" t="s">
        <v>6181</v>
      </c>
      <c r="G1419" s="199" t="s">
        <v>8312</v>
      </c>
      <c r="H1419" s="199" t="s">
        <v>8639</v>
      </c>
      <c r="I1419" s="199">
        <v>1</v>
      </c>
      <c r="J1419" s="199">
        <v>1</v>
      </c>
      <c r="K1419" s="199">
        <v>1</v>
      </c>
      <c r="L1419" s="199">
        <v>50</v>
      </c>
      <c r="M1419" s="202">
        <f>TB_Parts_Lists[[#This Row],[Quantity Initial]]+ SUMIF(TB_Transactions[Part number],TB_Parts_Lists[[#This Row],[Part Number]],TB_Transactions[Quantity])</f>
        <v>50</v>
      </c>
      <c r="N1419" s="200" t="s">
        <v>4593</v>
      </c>
      <c r="O1419" s="234">
        <v>5</v>
      </c>
      <c r="P1419" s="199">
        <f>TB_Parts_Lists[[#This Row],[Quantity Initial]]*TB_Parts_Lists[[#This Row],[Unit Price AED]]</f>
        <v>250</v>
      </c>
      <c r="Q1419" s="199">
        <f>TB_Parts_Lists[[#This Row],[Quantity Total]]*TB_Parts_Lists[[#This Row],[Unit Price AED]]</f>
        <v>250</v>
      </c>
      <c r="S1419" s="199" t="s">
        <v>8675</v>
      </c>
      <c r="T1419" s="199" t="s">
        <v>8675</v>
      </c>
      <c r="U1419" s="199" t="s">
        <v>8675</v>
      </c>
    </row>
    <row r="1420" spans="1:21" s="199" customFormat="1" x14ac:dyDescent="0.25">
      <c r="A1420" s="192" t="s">
        <v>7967</v>
      </c>
      <c r="B1420" s="201" t="s">
        <v>3334</v>
      </c>
      <c r="C1420" s="199" t="s">
        <v>7959</v>
      </c>
      <c r="D1420" s="199" t="s">
        <v>8724</v>
      </c>
      <c r="E1420" s="188" t="s">
        <v>5687</v>
      </c>
      <c r="F1420" s="189" t="s">
        <v>6182</v>
      </c>
      <c r="G1420" s="199" t="s">
        <v>8312</v>
      </c>
      <c r="H1420" s="199" t="s">
        <v>8639</v>
      </c>
      <c r="I1420" s="199">
        <v>1</v>
      </c>
      <c r="J1420" s="199">
        <v>1</v>
      </c>
      <c r="K1420" s="199">
        <v>1</v>
      </c>
      <c r="L1420" s="199">
        <v>50</v>
      </c>
      <c r="M1420" s="202">
        <f>TB_Parts_Lists[[#This Row],[Quantity Initial]]+ SUMIF(TB_Transactions[Part number],TB_Parts_Lists[[#This Row],[Part Number]],TB_Transactions[Quantity])</f>
        <v>50</v>
      </c>
      <c r="N1420" s="200" t="s">
        <v>4593</v>
      </c>
      <c r="O1420" s="234">
        <v>5</v>
      </c>
      <c r="P1420" s="199">
        <f>TB_Parts_Lists[[#This Row],[Quantity Initial]]*TB_Parts_Lists[[#This Row],[Unit Price AED]]</f>
        <v>250</v>
      </c>
      <c r="Q1420" s="199">
        <f>TB_Parts_Lists[[#This Row],[Quantity Total]]*TB_Parts_Lists[[#This Row],[Unit Price AED]]</f>
        <v>250</v>
      </c>
      <c r="S1420" s="199" t="s">
        <v>8675</v>
      </c>
      <c r="T1420" s="199" t="s">
        <v>8675</v>
      </c>
      <c r="U1420" s="199" t="s">
        <v>8675</v>
      </c>
    </row>
    <row r="1421" spans="1:21" s="199" customFormat="1" x14ac:dyDescent="0.25">
      <c r="A1421" s="192" t="s">
        <v>7968</v>
      </c>
      <c r="B1421" s="201" t="s">
        <v>3337</v>
      </c>
      <c r="C1421" s="199" t="s">
        <v>3375</v>
      </c>
      <c r="D1421" s="199" t="s">
        <v>8732</v>
      </c>
      <c r="E1421" s="188" t="s">
        <v>5688</v>
      </c>
      <c r="F1421" s="189" t="s">
        <v>6183</v>
      </c>
      <c r="G1421" s="199" t="s">
        <v>8312</v>
      </c>
      <c r="H1421" s="199" t="s">
        <v>8639</v>
      </c>
      <c r="I1421" s="199">
        <v>1</v>
      </c>
      <c r="J1421" s="199">
        <v>1</v>
      </c>
      <c r="K1421" s="199">
        <v>1</v>
      </c>
      <c r="L1421" s="199">
        <v>50</v>
      </c>
      <c r="M1421" s="202">
        <f>TB_Parts_Lists[[#This Row],[Quantity Initial]]+ SUMIF(TB_Transactions[Part number],TB_Parts_Lists[[#This Row],[Part Number]],TB_Transactions[Quantity])</f>
        <v>50</v>
      </c>
      <c r="N1421" s="200" t="s">
        <v>4593</v>
      </c>
      <c r="O1421" s="234">
        <v>5</v>
      </c>
      <c r="P1421" s="199">
        <f>TB_Parts_Lists[[#This Row],[Quantity Initial]]*TB_Parts_Lists[[#This Row],[Unit Price AED]]</f>
        <v>250</v>
      </c>
      <c r="Q1421" s="199">
        <f>TB_Parts_Lists[[#This Row],[Quantity Total]]*TB_Parts_Lists[[#This Row],[Unit Price AED]]</f>
        <v>250</v>
      </c>
      <c r="S1421" s="199" t="s">
        <v>8675</v>
      </c>
      <c r="T1421" s="199" t="s">
        <v>8675</v>
      </c>
      <c r="U1421" s="199" t="s">
        <v>8675</v>
      </c>
    </row>
    <row r="1422" spans="1:21" s="199" customFormat="1" x14ac:dyDescent="0.25">
      <c r="A1422" s="192" t="s">
        <v>7969</v>
      </c>
      <c r="B1422" s="201" t="s">
        <v>3334</v>
      </c>
      <c r="C1422" s="199" t="s">
        <v>3367</v>
      </c>
      <c r="D1422" s="199" t="s">
        <v>8724</v>
      </c>
      <c r="E1422" s="188" t="s">
        <v>5689</v>
      </c>
      <c r="F1422" s="189" t="s">
        <v>6184</v>
      </c>
      <c r="G1422" s="199" t="s">
        <v>8312</v>
      </c>
      <c r="H1422" s="199" t="s">
        <v>8639</v>
      </c>
      <c r="I1422" s="199">
        <v>1</v>
      </c>
      <c r="J1422" s="199">
        <v>1</v>
      </c>
      <c r="K1422" s="199">
        <v>1</v>
      </c>
      <c r="L1422" s="199">
        <v>50</v>
      </c>
      <c r="M1422" s="202">
        <f>TB_Parts_Lists[[#This Row],[Quantity Initial]]+ SUMIF(TB_Transactions[Part number],TB_Parts_Lists[[#This Row],[Part Number]],TB_Transactions[Quantity])</f>
        <v>50</v>
      </c>
      <c r="N1422" s="200" t="s">
        <v>4593</v>
      </c>
      <c r="O1422" s="234">
        <v>5</v>
      </c>
      <c r="P1422" s="199">
        <f>TB_Parts_Lists[[#This Row],[Quantity Initial]]*TB_Parts_Lists[[#This Row],[Unit Price AED]]</f>
        <v>250</v>
      </c>
      <c r="Q1422" s="199">
        <f>TB_Parts_Lists[[#This Row],[Quantity Total]]*TB_Parts_Lists[[#This Row],[Unit Price AED]]</f>
        <v>250</v>
      </c>
      <c r="S1422" s="199" t="s">
        <v>122</v>
      </c>
      <c r="T1422" s="199" t="s">
        <v>8696</v>
      </c>
      <c r="U1422" s="199" t="s">
        <v>292</v>
      </c>
    </row>
    <row r="1423" spans="1:21" s="199" customFormat="1" x14ac:dyDescent="0.25">
      <c r="A1423" s="192" t="s">
        <v>7970</v>
      </c>
      <c r="B1423" s="201" t="s">
        <v>3334</v>
      </c>
      <c r="C1423" s="199" t="s">
        <v>3367</v>
      </c>
      <c r="D1423" s="199" t="s">
        <v>8724</v>
      </c>
      <c r="E1423" s="188" t="s">
        <v>5690</v>
      </c>
      <c r="F1423" s="189" t="s">
        <v>6185</v>
      </c>
      <c r="G1423" s="199" t="s">
        <v>8312</v>
      </c>
      <c r="H1423" s="199" t="s">
        <v>8639</v>
      </c>
      <c r="I1423" s="199">
        <v>1</v>
      </c>
      <c r="J1423" s="199">
        <v>1</v>
      </c>
      <c r="K1423" s="199">
        <v>1</v>
      </c>
      <c r="L1423" s="199">
        <v>50</v>
      </c>
      <c r="M1423" s="202">
        <f>TB_Parts_Lists[[#This Row],[Quantity Initial]]+ SUMIF(TB_Transactions[Part number],TB_Parts_Lists[[#This Row],[Part Number]],TB_Transactions[Quantity])</f>
        <v>50</v>
      </c>
      <c r="N1423" s="200" t="s">
        <v>4593</v>
      </c>
      <c r="O1423" s="234">
        <v>5</v>
      </c>
      <c r="P1423" s="199">
        <f>TB_Parts_Lists[[#This Row],[Quantity Initial]]*TB_Parts_Lists[[#This Row],[Unit Price AED]]</f>
        <v>250</v>
      </c>
      <c r="Q1423" s="199">
        <f>TB_Parts_Lists[[#This Row],[Quantity Total]]*TB_Parts_Lists[[#This Row],[Unit Price AED]]</f>
        <v>250</v>
      </c>
      <c r="S1423" s="199" t="s">
        <v>122</v>
      </c>
      <c r="T1423" s="199" t="s">
        <v>8696</v>
      </c>
      <c r="U1423" s="199" t="s">
        <v>292</v>
      </c>
    </row>
    <row r="1424" spans="1:21" s="199" customFormat="1" x14ac:dyDescent="0.25">
      <c r="A1424" s="192" t="s">
        <v>7971</v>
      </c>
      <c r="B1424" s="201" t="s">
        <v>3330</v>
      </c>
      <c r="C1424" s="199" t="s">
        <v>3338</v>
      </c>
      <c r="D1424" s="188" t="s">
        <v>8724</v>
      </c>
      <c r="E1424" s="188" t="s">
        <v>5691</v>
      </c>
      <c r="F1424" s="189" t="s">
        <v>6186</v>
      </c>
      <c r="G1424" s="199" t="s">
        <v>8313</v>
      </c>
      <c r="H1424" s="199" t="s">
        <v>8639</v>
      </c>
      <c r="I1424" s="199">
        <v>1</v>
      </c>
      <c r="J1424" s="199">
        <v>1</v>
      </c>
      <c r="K1424" s="199">
        <v>1</v>
      </c>
      <c r="L1424" s="199">
        <v>50</v>
      </c>
      <c r="M1424" s="202">
        <f>TB_Parts_Lists[[#This Row],[Quantity Initial]]+ SUMIF(TB_Transactions[Part number],TB_Parts_Lists[[#This Row],[Part Number]],TB_Transactions[Quantity])</f>
        <v>50</v>
      </c>
      <c r="N1424" s="200" t="s">
        <v>4593</v>
      </c>
      <c r="O1424" s="234">
        <v>5</v>
      </c>
      <c r="P1424" s="199">
        <f>TB_Parts_Lists[[#This Row],[Quantity Initial]]*TB_Parts_Lists[[#This Row],[Unit Price AED]]</f>
        <v>250</v>
      </c>
      <c r="Q1424" s="199">
        <f>TB_Parts_Lists[[#This Row],[Quantity Total]]*TB_Parts_Lists[[#This Row],[Unit Price AED]]</f>
        <v>250</v>
      </c>
      <c r="S1424" s="199" t="s">
        <v>8675</v>
      </c>
      <c r="T1424" s="199" t="s">
        <v>8675</v>
      </c>
      <c r="U1424" s="199" t="s">
        <v>8675</v>
      </c>
    </row>
    <row r="1425" spans="1:21" s="199" customFormat="1" x14ac:dyDescent="0.25">
      <c r="A1425" s="192" t="s">
        <v>7972</v>
      </c>
      <c r="B1425" s="201" t="s">
        <v>3330</v>
      </c>
      <c r="C1425" s="199" t="s">
        <v>3338</v>
      </c>
      <c r="D1425" s="188" t="s">
        <v>8724</v>
      </c>
      <c r="E1425" s="188" t="s">
        <v>5692</v>
      </c>
      <c r="F1425" s="189" t="s">
        <v>6187</v>
      </c>
      <c r="G1425" s="199" t="s">
        <v>8313</v>
      </c>
      <c r="H1425" s="199" t="s">
        <v>8639</v>
      </c>
      <c r="I1425" s="199">
        <v>1</v>
      </c>
      <c r="J1425" s="199">
        <v>1</v>
      </c>
      <c r="K1425" s="199">
        <v>1</v>
      </c>
      <c r="L1425" s="199">
        <v>50</v>
      </c>
      <c r="M1425" s="202">
        <f>TB_Parts_Lists[[#This Row],[Quantity Initial]]+ SUMIF(TB_Transactions[Part number],TB_Parts_Lists[[#This Row],[Part Number]],TB_Transactions[Quantity])</f>
        <v>50</v>
      </c>
      <c r="N1425" s="200" t="s">
        <v>4593</v>
      </c>
      <c r="O1425" s="234">
        <v>5</v>
      </c>
      <c r="P1425" s="199">
        <f>TB_Parts_Lists[[#This Row],[Quantity Initial]]*TB_Parts_Lists[[#This Row],[Unit Price AED]]</f>
        <v>250</v>
      </c>
      <c r="Q1425" s="199">
        <f>TB_Parts_Lists[[#This Row],[Quantity Total]]*TB_Parts_Lists[[#This Row],[Unit Price AED]]</f>
        <v>250</v>
      </c>
      <c r="S1425" s="199" t="s">
        <v>8675</v>
      </c>
      <c r="T1425" s="199" t="s">
        <v>8675</v>
      </c>
      <c r="U1425" s="199" t="s">
        <v>8675</v>
      </c>
    </row>
    <row r="1426" spans="1:21" s="199" customFormat="1" x14ac:dyDescent="0.25">
      <c r="A1426" s="192" t="s">
        <v>7973</v>
      </c>
      <c r="B1426" s="201" t="s">
        <v>3330</v>
      </c>
      <c r="C1426" s="199" t="s">
        <v>3338</v>
      </c>
      <c r="D1426" s="188" t="s">
        <v>8724</v>
      </c>
      <c r="E1426" s="188" t="s">
        <v>5693</v>
      </c>
      <c r="F1426" s="189" t="s">
        <v>6188</v>
      </c>
      <c r="G1426" s="199" t="s">
        <v>8313</v>
      </c>
      <c r="H1426" s="199" t="s">
        <v>8639</v>
      </c>
      <c r="I1426" s="199">
        <v>1</v>
      </c>
      <c r="J1426" s="199">
        <v>1</v>
      </c>
      <c r="K1426" s="199">
        <v>1</v>
      </c>
      <c r="L1426" s="199">
        <v>50</v>
      </c>
      <c r="M1426" s="202">
        <f>TB_Parts_Lists[[#This Row],[Quantity Initial]]+ SUMIF(TB_Transactions[Part number],TB_Parts_Lists[[#This Row],[Part Number]],TB_Transactions[Quantity])</f>
        <v>50</v>
      </c>
      <c r="N1426" s="200" t="s">
        <v>4593</v>
      </c>
      <c r="O1426" s="234">
        <v>5</v>
      </c>
      <c r="P1426" s="199">
        <f>TB_Parts_Lists[[#This Row],[Quantity Initial]]*TB_Parts_Lists[[#This Row],[Unit Price AED]]</f>
        <v>250</v>
      </c>
      <c r="Q1426" s="199">
        <f>TB_Parts_Lists[[#This Row],[Quantity Total]]*TB_Parts_Lists[[#This Row],[Unit Price AED]]</f>
        <v>250</v>
      </c>
      <c r="S1426" s="199" t="s">
        <v>8675</v>
      </c>
      <c r="T1426" s="199" t="s">
        <v>8675</v>
      </c>
      <c r="U1426" s="199" t="s">
        <v>8675</v>
      </c>
    </row>
    <row r="1427" spans="1:21" s="199" customFormat="1" x14ac:dyDescent="0.25">
      <c r="A1427" s="192" t="s">
        <v>7974</v>
      </c>
      <c r="B1427" s="201" t="s">
        <v>3330</v>
      </c>
      <c r="C1427" s="199" t="s">
        <v>3338</v>
      </c>
      <c r="D1427" s="188" t="s">
        <v>8724</v>
      </c>
      <c r="E1427" s="188" t="s">
        <v>5694</v>
      </c>
      <c r="F1427" s="189" t="s">
        <v>6189</v>
      </c>
      <c r="G1427" s="199" t="s">
        <v>8313</v>
      </c>
      <c r="H1427" s="199" t="s">
        <v>8639</v>
      </c>
      <c r="I1427" s="199">
        <v>1</v>
      </c>
      <c r="J1427" s="199">
        <v>1</v>
      </c>
      <c r="K1427" s="199">
        <v>1</v>
      </c>
      <c r="L1427" s="199">
        <v>50</v>
      </c>
      <c r="M1427" s="202">
        <f>TB_Parts_Lists[[#This Row],[Quantity Initial]]+ SUMIF(TB_Transactions[Part number],TB_Parts_Lists[[#This Row],[Part Number]],TB_Transactions[Quantity])</f>
        <v>50</v>
      </c>
      <c r="N1427" s="200" t="s">
        <v>4593</v>
      </c>
      <c r="O1427" s="234">
        <v>5</v>
      </c>
      <c r="P1427" s="199">
        <f>TB_Parts_Lists[[#This Row],[Quantity Initial]]*TB_Parts_Lists[[#This Row],[Unit Price AED]]</f>
        <v>250</v>
      </c>
      <c r="Q1427" s="199">
        <f>TB_Parts_Lists[[#This Row],[Quantity Total]]*TB_Parts_Lists[[#This Row],[Unit Price AED]]</f>
        <v>250</v>
      </c>
      <c r="S1427" s="199" t="s">
        <v>8675</v>
      </c>
      <c r="T1427" s="199" t="s">
        <v>8675</v>
      </c>
      <c r="U1427" s="199" t="s">
        <v>8675</v>
      </c>
    </row>
    <row r="1428" spans="1:21" s="199" customFormat="1" x14ac:dyDescent="0.25">
      <c r="A1428" s="192" t="s">
        <v>7975</v>
      </c>
      <c r="B1428" s="201" t="s">
        <v>3330</v>
      </c>
      <c r="C1428" s="199" t="s">
        <v>4090</v>
      </c>
      <c r="D1428" s="188" t="s">
        <v>8724</v>
      </c>
      <c r="E1428" s="188" t="s">
        <v>5695</v>
      </c>
      <c r="F1428" s="189" t="s">
        <v>6190</v>
      </c>
      <c r="G1428" s="199" t="s">
        <v>8313</v>
      </c>
      <c r="H1428" s="199" t="s">
        <v>8639</v>
      </c>
      <c r="I1428" s="199">
        <v>1</v>
      </c>
      <c r="J1428" s="199">
        <v>1</v>
      </c>
      <c r="K1428" s="199">
        <v>1</v>
      </c>
      <c r="L1428" s="199">
        <v>50</v>
      </c>
      <c r="M1428" s="202">
        <f>TB_Parts_Lists[[#This Row],[Quantity Initial]]+ SUMIF(TB_Transactions[Part number],TB_Parts_Lists[[#This Row],[Part Number]],TB_Transactions[Quantity])</f>
        <v>50</v>
      </c>
      <c r="N1428" s="200" t="s">
        <v>4593</v>
      </c>
      <c r="O1428" s="234">
        <v>5</v>
      </c>
      <c r="P1428" s="199">
        <f>TB_Parts_Lists[[#This Row],[Quantity Initial]]*TB_Parts_Lists[[#This Row],[Unit Price AED]]</f>
        <v>250</v>
      </c>
      <c r="Q1428" s="199">
        <f>TB_Parts_Lists[[#This Row],[Quantity Total]]*TB_Parts_Lists[[#This Row],[Unit Price AED]]</f>
        <v>250</v>
      </c>
      <c r="S1428" s="199" t="s">
        <v>8675</v>
      </c>
      <c r="T1428" s="199" t="s">
        <v>8675</v>
      </c>
      <c r="U1428" s="199" t="s">
        <v>8675</v>
      </c>
    </row>
    <row r="1429" spans="1:21" s="199" customFormat="1" x14ac:dyDescent="0.25">
      <c r="A1429" s="192" t="s">
        <v>7976</v>
      </c>
      <c r="B1429" s="201" t="s">
        <v>3330</v>
      </c>
      <c r="C1429" s="199" t="s">
        <v>4090</v>
      </c>
      <c r="D1429" s="188" t="s">
        <v>8724</v>
      </c>
      <c r="E1429" s="188" t="s">
        <v>5696</v>
      </c>
      <c r="F1429" s="189" t="s">
        <v>6191</v>
      </c>
      <c r="G1429" s="199" t="s">
        <v>8313</v>
      </c>
      <c r="H1429" s="199" t="s">
        <v>8639</v>
      </c>
      <c r="I1429" s="199">
        <v>1</v>
      </c>
      <c r="J1429" s="199">
        <v>1</v>
      </c>
      <c r="K1429" s="199">
        <v>1</v>
      </c>
      <c r="L1429" s="199">
        <v>50</v>
      </c>
      <c r="M1429" s="202">
        <f>TB_Parts_Lists[[#This Row],[Quantity Initial]]+ SUMIF(TB_Transactions[Part number],TB_Parts_Lists[[#This Row],[Part Number]],TB_Transactions[Quantity])</f>
        <v>50</v>
      </c>
      <c r="N1429" s="200" t="s">
        <v>4593</v>
      </c>
      <c r="O1429" s="234">
        <v>5</v>
      </c>
      <c r="P1429" s="199">
        <f>TB_Parts_Lists[[#This Row],[Quantity Initial]]*TB_Parts_Lists[[#This Row],[Unit Price AED]]</f>
        <v>250</v>
      </c>
      <c r="Q1429" s="199">
        <f>TB_Parts_Lists[[#This Row],[Quantity Total]]*TB_Parts_Lists[[#This Row],[Unit Price AED]]</f>
        <v>250</v>
      </c>
      <c r="S1429" s="199" t="s">
        <v>8675</v>
      </c>
      <c r="T1429" s="199" t="s">
        <v>8675</v>
      </c>
      <c r="U1429" s="199" t="s">
        <v>8675</v>
      </c>
    </row>
    <row r="1430" spans="1:21" s="199" customFormat="1" x14ac:dyDescent="0.25">
      <c r="A1430" s="192" t="s">
        <v>7977</v>
      </c>
      <c r="B1430" s="201" t="s">
        <v>3330</v>
      </c>
      <c r="C1430" s="199" t="s">
        <v>2992</v>
      </c>
      <c r="D1430" s="188" t="s">
        <v>8724</v>
      </c>
      <c r="E1430" s="188" t="s">
        <v>5697</v>
      </c>
      <c r="F1430" s="189" t="s">
        <v>6192</v>
      </c>
      <c r="G1430" s="199" t="s">
        <v>8313</v>
      </c>
      <c r="H1430" s="199" t="s">
        <v>8639</v>
      </c>
      <c r="I1430" s="199">
        <v>1</v>
      </c>
      <c r="J1430" s="199">
        <v>1</v>
      </c>
      <c r="K1430" s="199">
        <v>1</v>
      </c>
      <c r="L1430" s="199">
        <v>50</v>
      </c>
      <c r="M1430" s="202">
        <f>TB_Parts_Lists[[#This Row],[Quantity Initial]]+ SUMIF(TB_Transactions[Part number],TB_Parts_Lists[[#This Row],[Part Number]],TB_Transactions[Quantity])</f>
        <v>50</v>
      </c>
      <c r="N1430" s="200" t="s">
        <v>4593</v>
      </c>
      <c r="O1430" s="234">
        <v>5</v>
      </c>
      <c r="P1430" s="199">
        <f>TB_Parts_Lists[[#This Row],[Quantity Initial]]*TB_Parts_Lists[[#This Row],[Unit Price AED]]</f>
        <v>250</v>
      </c>
      <c r="Q1430" s="199">
        <f>TB_Parts_Lists[[#This Row],[Quantity Total]]*TB_Parts_Lists[[#This Row],[Unit Price AED]]</f>
        <v>250</v>
      </c>
      <c r="S1430" s="199" t="s">
        <v>8675</v>
      </c>
      <c r="T1430" s="199" t="s">
        <v>8675</v>
      </c>
      <c r="U1430" s="199" t="s">
        <v>8675</v>
      </c>
    </row>
    <row r="1431" spans="1:21" s="199" customFormat="1" x14ac:dyDescent="0.25">
      <c r="A1431" s="192" t="s">
        <v>7978</v>
      </c>
      <c r="B1431" s="201" t="s">
        <v>3330</v>
      </c>
      <c r="C1431" s="199" t="s">
        <v>3338</v>
      </c>
      <c r="D1431" s="188" t="s">
        <v>8724</v>
      </c>
      <c r="E1431" s="188" t="s">
        <v>5698</v>
      </c>
      <c r="F1431" s="189" t="s">
        <v>6193</v>
      </c>
      <c r="G1431" s="199" t="s">
        <v>8313</v>
      </c>
      <c r="H1431" s="199" t="s">
        <v>8639</v>
      </c>
      <c r="I1431" s="199">
        <v>1</v>
      </c>
      <c r="J1431" s="199">
        <v>1</v>
      </c>
      <c r="K1431" s="199">
        <v>1</v>
      </c>
      <c r="L1431" s="199">
        <v>50</v>
      </c>
      <c r="M1431" s="202">
        <f>TB_Parts_Lists[[#This Row],[Quantity Initial]]+ SUMIF(TB_Transactions[Part number],TB_Parts_Lists[[#This Row],[Part Number]],TB_Transactions[Quantity])</f>
        <v>50</v>
      </c>
      <c r="N1431" s="200" t="s">
        <v>4593</v>
      </c>
      <c r="O1431" s="234">
        <v>5</v>
      </c>
      <c r="P1431" s="199">
        <f>TB_Parts_Lists[[#This Row],[Quantity Initial]]*TB_Parts_Lists[[#This Row],[Unit Price AED]]</f>
        <v>250</v>
      </c>
      <c r="Q1431" s="199">
        <f>TB_Parts_Lists[[#This Row],[Quantity Total]]*TB_Parts_Lists[[#This Row],[Unit Price AED]]</f>
        <v>250</v>
      </c>
      <c r="S1431" s="199" t="s">
        <v>8675</v>
      </c>
      <c r="T1431" s="199" t="s">
        <v>8675</v>
      </c>
      <c r="U1431" s="199" t="s">
        <v>8675</v>
      </c>
    </row>
    <row r="1432" spans="1:21" s="199" customFormat="1" x14ac:dyDescent="0.25">
      <c r="A1432" s="192" t="s">
        <v>7979</v>
      </c>
      <c r="B1432" s="201" t="s">
        <v>3330</v>
      </c>
      <c r="C1432" s="199" t="s">
        <v>3338</v>
      </c>
      <c r="D1432" s="188" t="s">
        <v>8724</v>
      </c>
      <c r="E1432" s="188" t="s">
        <v>2989</v>
      </c>
      <c r="F1432" s="189" t="s">
        <v>6194</v>
      </c>
      <c r="G1432" s="199" t="s">
        <v>8313</v>
      </c>
      <c r="H1432" s="199" t="s">
        <v>8639</v>
      </c>
      <c r="I1432" s="199">
        <v>1</v>
      </c>
      <c r="J1432" s="199">
        <v>1</v>
      </c>
      <c r="K1432" s="199">
        <v>1</v>
      </c>
      <c r="L1432" s="199">
        <v>50</v>
      </c>
      <c r="M1432" s="202">
        <f>TB_Parts_Lists[[#This Row],[Quantity Initial]]+ SUMIF(TB_Transactions[Part number],TB_Parts_Lists[[#This Row],[Part Number]],TB_Transactions[Quantity])</f>
        <v>50</v>
      </c>
      <c r="N1432" s="200" t="s">
        <v>4593</v>
      </c>
      <c r="O1432" s="234">
        <v>5</v>
      </c>
      <c r="P1432" s="199">
        <f>TB_Parts_Lists[[#This Row],[Quantity Initial]]*TB_Parts_Lists[[#This Row],[Unit Price AED]]</f>
        <v>250</v>
      </c>
      <c r="Q1432" s="199">
        <f>TB_Parts_Lists[[#This Row],[Quantity Total]]*TB_Parts_Lists[[#This Row],[Unit Price AED]]</f>
        <v>250</v>
      </c>
      <c r="S1432" s="199" t="s">
        <v>8675</v>
      </c>
      <c r="T1432" s="199" t="s">
        <v>8675</v>
      </c>
      <c r="U1432" s="199" t="s">
        <v>8675</v>
      </c>
    </row>
    <row r="1433" spans="1:21" s="199" customFormat="1" x14ac:dyDescent="0.25">
      <c r="A1433" s="192" t="s">
        <v>7980</v>
      </c>
      <c r="B1433" s="201" t="s">
        <v>3330</v>
      </c>
      <c r="C1433" s="199" t="s">
        <v>3338</v>
      </c>
      <c r="D1433" s="188" t="s">
        <v>8724</v>
      </c>
      <c r="E1433" s="188" t="s">
        <v>5699</v>
      </c>
      <c r="F1433" s="189" t="s">
        <v>6195</v>
      </c>
      <c r="G1433" s="199" t="s">
        <v>8313</v>
      </c>
      <c r="H1433" s="199" t="s">
        <v>8639</v>
      </c>
      <c r="I1433" s="199">
        <v>1</v>
      </c>
      <c r="J1433" s="199">
        <v>1</v>
      </c>
      <c r="K1433" s="199">
        <v>1</v>
      </c>
      <c r="L1433" s="199">
        <v>50</v>
      </c>
      <c r="M1433" s="202">
        <f>TB_Parts_Lists[[#This Row],[Quantity Initial]]+ SUMIF(TB_Transactions[Part number],TB_Parts_Lists[[#This Row],[Part Number]],TB_Transactions[Quantity])</f>
        <v>50</v>
      </c>
      <c r="N1433" s="200" t="s">
        <v>4593</v>
      </c>
      <c r="O1433" s="234">
        <v>5</v>
      </c>
      <c r="P1433" s="199">
        <f>TB_Parts_Lists[[#This Row],[Quantity Initial]]*TB_Parts_Lists[[#This Row],[Unit Price AED]]</f>
        <v>250</v>
      </c>
      <c r="Q1433" s="199">
        <f>TB_Parts_Lists[[#This Row],[Quantity Total]]*TB_Parts_Lists[[#This Row],[Unit Price AED]]</f>
        <v>250</v>
      </c>
      <c r="S1433" s="199" t="s">
        <v>8675</v>
      </c>
      <c r="T1433" s="199" t="s">
        <v>8675</v>
      </c>
      <c r="U1433" s="199" t="s">
        <v>8675</v>
      </c>
    </row>
    <row r="1434" spans="1:21" s="199" customFormat="1" x14ac:dyDescent="0.25">
      <c r="A1434" s="192" t="s">
        <v>7981</v>
      </c>
      <c r="B1434" s="201" t="s">
        <v>3330</v>
      </c>
      <c r="C1434" s="199" t="s">
        <v>3338</v>
      </c>
      <c r="D1434" s="188" t="s">
        <v>8724</v>
      </c>
      <c r="E1434" s="188" t="s">
        <v>5700</v>
      </c>
      <c r="F1434" s="189" t="s">
        <v>6196</v>
      </c>
      <c r="G1434" s="199" t="s">
        <v>8313</v>
      </c>
      <c r="H1434" s="199" t="s">
        <v>8639</v>
      </c>
      <c r="I1434" s="199">
        <v>1</v>
      </c>
      <c r="J1434" s="199">
        <v>1</v>
      </c>
      <c r="K1434" s="199">
        <v>1</v>
      </c>
      <c r="L1434" s="199">
        <v>50</v>
      </c>
      <c r="M1434" s="202">
        <f>TB_Parts_Lists[[#This Row],[Quantity Initial]]+ SUMIF(TB_Transactions[Part number],TB_Parts_Lists[[#This Row],[Part Number]],TB_Transactions[Quantity])</f>
        <v>50</v>
      </c>
      <c r="N1434" s="200" t="s">
        <v>4593</v>
      </c>
      <c r="O1434" s="234">
        <v>5</v>
      </c>
      <c r="P1434" s="199">
        <f>TB_Parts_Lists[[#This Row],[Quantity Initial]]*TB_Parts_Lists[[#This Row],[Unit Price AED]]</f>
        <v>250</v>
      </c>
      <c r="Q1434" s="199">
        <f>TB_Parts_Lists[[#This Row],[Quantity Total]]*TB_Parts_Lists[[#This Row],[Unit Price AED]]</f>
        <v>250</v>
      </c>
      <c r="S1434" s="199" t="s">
        <v>8675</v>
      </c>
      <c r="T1434" s="199" t="s">
        <v>8675</v>
      </c>
      <c r="U1434" s="199" t="s">
        <v>8675</v>
      </c>
    </row>
    <row r="1435" spans="1:21" s="199" customFormat="1" x14ac:dyDescent="0.25">
      <c r="A1435" s="192" t="s">
        <v>7982</v>
      </c>
      <c r="B1435" s="201" t="s">
        <v>3330</v>
      </c>
      <c r="C1435" s="199" t="s">
        <v>3338</v>
      </c>
      <c r="D1435" s="188" t="s">
        <v>8724</v>
      </c>
      <c r="E1435" s="188" t="s">
        <v>5701</v>
      </c>
      <c r="F1435" s="189" t="s">
        <v>6197</v>
      </c>
      <c r="G1435" s="199" t="s">
        <v>8313</v>
      </c>
      <c r="H1435" s="199" t="s">
        <v>8639</v>
      </c>
      <c r="I1435" s="199">
        <v>1</v>
      </c>
      <c r="J1435" s="199">
        <v>1</v>
      </c>
      <c r="K1435" s="199">
        <v>1</v>
      </c>
      <c r="L1435" s="199">
        <v>50</v>
      </c>
      <c r="M1435" s="202">
        <f>TB_Parts_Lists[[#This Row],[Quantity Initial]]+ SUMIF(TB_Transactions[Part number],TB_Parts_Lists[[#This Row],[Part Number]],TB_Transactions[Quantity])</f>
        <v>50</v>
      </c>
      <c r="N1435" s="200" t="s">
        <v>4593</v>
      </c>
      <c r="O1435" s="234">
        <v>5</v>
      </c>
      <c r="P1435" s="199">
        <f>TB_Parts_Lists[[#This Row],[Quantity Initial]]*TB_Parts_Lists[[#This Row],[Unit Price AED]]</f>
        <v>250</v>
      </c>
      <c r="Q1435" s="199">
        <f>TB_Parts_Lists[[#This Row],[Quantity Total]]*TB_Parts_Lists[[#This Row],[Unit Price AED]]</f>
        <v>250</v>
      </c>
      <c r="S1435" s="199" t="s">
        <v>8675</v>
      </c>
      <c r="T1435" s="199" t="s">
        <v>8675</v>
      </c>
      <c r="U1435" s="199" t="s">
        <v>8675</v>
      </c>
    </row>
    <row r="1436" spans="1:21" s="199" customFormat="1" x14ac:dyDescent="0.25">
      <c r="A1436" s="192" t="s">
        <v>7983</v>
      </c>
      <c r="B1436" s="201" t="s">
        <v>3330</v>
      </c>
      <c r="C1436" s="199" t="s">
        <v>3338</v>
      </c>
      <c r="D1436" s="188" t="s">
        <v>8724</v>
      </c>
      <c r="E1436" s="188" t="s">
        <v>2989</v>
      </c>
      <c r="F1436" s="189" t="s">
        <v>6198</v>
      </c>
      <c r="G1436" s="199" t="s">
        <v>8313</v>
      </c>
      <c r="H1436" s="199" t="s">
        <v>8639</v>
      </c>
      <c r="I1436" s="199">
        <v>1</v>
      </c>
      <c r="J1436" s="199">
        <v>1</v>
      </c>
      <c r="K1436" s="199">
        <v>1</v>
      </c>
      <c r="L1436" s="199">
        <v>50</v>
      </c>
      <c r="M1436" s="202">
        <f>TB_Parts_Lists[[#This Row],[Quantity Initial]]+ SUMIF(TB_Transactions[Part number],TB_Parts_Lists[[#This Row],[Part Number]],TB_Transactions[Quantity])</f>
        <v>50</v>
      </c>
      <c r="N1436" s="200" t="s">
        <v>4593</v>
      </c>
      <c r="O1436" s="234">
        <v>5</v>
      </c>
      <c r="P1436" s="199">
        <f>TB_Parts_Lists[[#This Row],[Quantity Initial]]*TB_Parts_Lists[[#This Row],[Unit Price AED]]</f>
        <v>250</v>
      </c>
      <c r="Q1436" s="199">
        <f>TB_Parts_Lists[[#This Row],[Quantity Total]]*TB_Parts_Lists[[#This Row],[Unit Price AED]]</f>
        <v>250</v>
      </c>
      <c r="S1436" s="199" t="s">
        <v>8675</v>
      </c>
      <c r="T1436" s="199" t="s">
        <v>8675</v>
      </c>
      <c r="U1436" s="199" t="s">
        <v>8675</v>
      </c>
    </row>
    <row r="1437" spans="1:21" s="199" customFormat="1" x14ac:dyDescent="0.25">
      <c r="A1437" s="192" t="s">
        <v>7984</v>
      </c>
      <c r="B1437" s="201" t="s">
        <v>3335</v>
      </c>
      <c r="C1437" s="199" t="s">
        <v>3373</v>
      </c>
      <c r="D1437" s="188" t="s">
        <v>8724</v>
      </c>
      <c r="E1437" s="188" t="s">
        <v>5702</v>
      </c>
      <c r="F1437" s="189" t="s">
        <v>6199</v>
      </c>
      <c r="G1437" s="199" t="s">
        <v>8313</v>
      </c>
      <c r="H1437" s="199" t="s">
        <v>8639</v>
      </c>
      <c r="I1437" s="199">
        <v>1</v>
      </c>
      <c r="J1437" s="199">
        <v>1</v>
      </c>
      <c r="K1437" s="199">
        <v>1</v>
      </c>
      <c r="L1437" s="199">
        <v>50</v>
      </c>
      <c r="M1437" s="202">
        <f>TB_Parts_Lists[[#This Row],[Quantity Initial]]+ SUMIF(TB_Transactions[Part number],TB_Parts_Lists[[#This Row],[Part Number]],TB_Transactions[Quantity])</f>
        <v>50</v>
      </c>
      <c r="N1437" s="200" t="s">
        <v>4593</v>
      </c>
      <c r="O1437" s="234">
        <v>5</v>
      </c>
      <c r="P1437" s="199">
        <f>TB_Parts_Lists[[#This Row],[Quantity Initial]]*TB_Parts_Lists[[#This Row],[Unit Price AED]]</f>
        <v>250</v>
      </c>
      <c r="Q1437" s="199">
        <f>TB_Parts_Lists[[#This Row],[Quantity Total]]*TB_Parts_Lists[[#This Row],[Unit Price AED]]</f>
        <v>250</v>
      </c>
      <c r="S1437" s="199" t="s">
        <v>8675</v>
      </c>
      <c r="T1437" s="199" t="s">
        <v>8675</v>
      </c>
      <c r="U1437" s="199" t="s">
        <v>8675</v>
      </c>
    </row>
    <row r="1438" spans="1:21" s="199" customFormat="1" x14ac:dyDescent="0.25">
      <c r="A1438" s="192" t="s">
        <v>7985</v>
      </c>
      <c r="B1438" s="201" t="s">
        <v>3335</v>
      </c>
      <c r="C1438" s="199" t="s">
        <v>3373</v>
      </c>
      <c r="D1438" s="188" t="s">
        <v>8724</v>
      </c>
      <c r="E1438" s="188" t="s">
        <v>5703</v>
      </c>
      <c r="F1438" s="189" t="s">
        <v>6200</v>
      </c>
      <c r="G1438" s="199" t="s">
        <v>8313</v>
      </c>
      <c r="H1438" s="199" t="s">
        <v>8639</v>
      </c>
      <c r="I1438" s="199">
        <v>1</v>
      </c>
      <c r="J1438" s="199">
        <v>1</v>
      </c>
      <c r="K1438" s="199">
        <v>1</v>
      </c>
      <c r="L1438" s="199">
        <v>50</v>
      </c>
      <c r="M1438" s="202">
        <f>TB_Parts_Lists[[#This Row],[Quantity Initial]]+ SUMIF(TB_Transactions[Part number],TB_Parts_Lists[[#This Row],[Part Number]],TB_Transactions[Quantity])</f>
        <v>50</v>
      </c>
      <c r="N1438" s="200" t="s">
        <v>4593</v>
      </c>
      <c r="O1438" s="234">
        <v>5</v>
      </c>
      <c r="P1438" s="199">
        <f>TB_Parts_Lists[[#This Row],[Quantity Initial]]*TB_Parts_Lists[[#This Row],[Unit Price AED]]</f>
        <v>250</v>
      </c>
      <c r="Q1438" s="199">
        <f>TB_Parts_Lists[[#This Row],[Quantity Total]]*TB_Parts_Lists[[#This Row],[Unit Price AED]]</f>
        <v>250</v>
      </c>
      <c r="S1438" s="199" t="s">
        <v>8675</v>
      </c>
      <c r="T1438" s="199" t="s">
        <v>8675</v>
      </c>
      <c r="U1438" s="199" t="s">
        <v>8675</v>
      </c>
    </row>
    <row r="1439" spans="1:21" s="199" customFormat="1" x14ac:dyDescent="0.25">
      <c r="A1439" s="192" t="s">
        <v>7986</v>
      </c>
      <c r="B1439" s="201" t="s">
        <v>3335</v>
      </c>
      <c r="C1439" s="199" t="s">
        <v>3373</v>
      </c>
      <c r="D1439" s="188" t="s">
        <v>8724</v>
      </c>
      <c r="E1439" s="188" t="s">
        <v>5704</v>
      </c>
      <c r="F1439" s="189" t="s">
        <v>6201</v>
      </c>
      <c r="G1439" s="199" t="s">
        <v>8313</v>
      </c>
      <c r="H1439" s="199" t="s">
        <v>8639</v>
      </c>
      <c r="I1439" s="199">
        <v>1</v>
      </c>
      <c r="J1439" s="199">
        <v>1</v>
      </c>
      <c r="K1439" s="199">
        <v>1</v>
      </c>
      <c r="L1439" s="199">
        <v>50</v>
      </c>
      <c r="M1439" s="202">
        <f>TB_Parts_Lists[[#This Row],[Quantity Initial]]+ SUMIF(TB_Transactions[Part number],TB_Parts_Lists[[#This Row],[Part Number]],TB_Transactions[Quantity])</f>
        <v>50</v>
      </c>
      <c r="N1439" s="200" t="s">
        <v>4593</v>
      </c>
      <c r="O1439" s="234">
        <v>5</v>
      </c>
      <c r="P1439" s="199">
        <f>TB_Parts_Lists[[#This Row],[Quantity Initial]]*TB_Parts_Lists[[#This Row],[Unit Price AED]]</f>
        <v>250</v>
      </c>
      <c r="Q1439" s="199">
        <f>TB_Parts_Lists[[#This Row],[Quantity Total]]*TB_Parts_Lists[[#This Row],[Unit Price AED]]</f>
        <v>250</v>
      </c>
      <c r="S1439" s="199" t="s">
        <v>8675</v>
      </c>
      <c r="T1439" s="199" t="s">
        <v>8675</v>
      </c>
      <c r="U1439" s="199" t="s">
        <v>8675</v>
      </c>
    </row>
    <row r="1440" spans="1:21" s="199" customFormat="1" x14ac:dyDescent="0.25">
      <c r="A1440" s="192" t="s">
        <v>7987</v>
      </c>
      <c r="B1440" s="201" t="s">
        <v>3335</v>
      </c>
      <c r="C1440" s="199" t="s">
        <v>3373</v>
      </c>
      <c r="D1440" s="188" t="s">
        <v>8724</v>
      </c>
      <c r="E1440" s="188" t="s">
        <v>5705</v>
      </c>
      <c r="F1440" s="189" t="s">
        <v>6202</v>
      </c>
      <c r="G1440" s="199" t="s">
        <v>8313</v>
      </c>
      <c r="H1440" s="199" t="s">
        <v>8639</v>
      </c>
      <c r="I1440" s="199">
        <v>1</v>
      </c>
      <c r="J1440" s="199">
        <v>1</v>
      </c>
      <c r="K1440" s="199">
        <v>1</v>
      </c>
      <c r="L1440" s="199">
        <v>50</v>
      </c>
      <c r="M1440" s="202">
        <f>TB_Parts_Lists[[#This Row],[Quantity Initial]]+ SUMIF(TB_Transactions[Part number],TB_Parts_Lists[[#This Row],[Part Number]],TB_Transactions[Quantity])</f>
        <v>50</v>
      </c>
      <c r="N1440" s="200" t="s">
        <v>4593</v>
      </c>
      <c r="O1440" s="234">
        <v>5</v>
      </c>
      <c r="P1440" s="199">
        <f>TB_Parts_Lists[[#This Row],[Quantity Initial]]*TB_Parts_Lists[[#This Row],[Unit Price AED]]</f>
        <v>250</v>
      </c>
      <c r="Q1440" s="199">
        <f>TB_Parts_Lists[[#This Row],[Quantity Total]]*TB_Parts_Lists[[#This Row],[Unit Price AED]]</f>
        <v>250</v>
      </c>
      <c r="S1440" s="199" t="s">
        <v>8675</v>
      </c>
      <c r="T1440" s="199" t="s">
        <v>8675</v>
      </c>
      <c r="U1440" s="199" t="s">
        <v>8675</v>
      </c>
    </row>
    <row r="1441" spans="1:21" s="199" customFormat="1" x14ac:dyDescent="0.25">
      <c r="A1441" s="192" t="s">
        <v>7988</v>
      </c>
      <c r="B1441" s="201" t="s">
        <v>3335</v>
      </c>
      <c r="C1441" s="199" t="s">
        <v>3373</v>
      </c>
      <c r="D1441" s="188" t="s">
        <v>8724</v>
      </c>
      <c r="E1441" s="188" t="s">
        <v>5706</v>
      </c>
      <c r="F1441" s="189" t="s">
        <v>6203</v>
      </c>
      <c r="G1441" s="199" t="s">
        <v>8313</v>
      </c>
      <c r="H1441" s="199" t="s">
        <v>8639</v>
      </c>
      <c r="I1441" s="199">
        <v>1</v>
      </c>
      <c r="J1441" s="199">
        <v>1</v>
      </c>
      <c r="K1441" s="199">
        <v>1</v>
      </c>
      <c r="L1441" s="199">
        <v>50</v>
      </c>
      <c r="M1441" s="202">
        <f>TB_Parts_Lists[[#This Row],[Quantity Initial]]+ SUMIF(TB_Transactions[Part number],TB_Parts_Lists[[#This Row],[Part Number]],TB_Transactions[Quantity])</f>
        <v>50</v>
      </c>
      <c r="N1441" s="200" t="s">
        <v>4593</v>
      </c>
      <c r="O1441" s="234">
        <v>5</v>
      </c>
      <c r="P1441" s="199">
        <f>TB_Parts_Lists[[#This Row],[Quantity Initial]]*TB_Parts_Lists[[#This Row],[Unit Price AED]]</f>
        <v>250</v>
      </c>
      <c r="Q1441" s="199">
        <f>TB_Parts_Lists[[#This Row],[Quantity Total]]*TB_Parts_Lists[[#This Row],[Unit Price AED]]</f>
        <v>250</v>
      </c>
      <c r="S1441" s="199" t="s">
        <v>8675</v>
      </c>
      <c r="T1441" s="199" t="s">
        <v>8675</v>
      </c>
      <c r="U1441" s="199" t="s">
        <v>8675</v>
      </c>
    </row>
    <row r="1442" spans="1:21" s="199" customFormat="1" x14ac:dyDescent="0.25">
      <c r="A1442" s="192" t="s">
        <v>7989</v>
      </c>
      <c r="B1442" s="201" t="s">
        <v>3335</v>
      </c>
      <c r="C1442" s="199" t="s">
        <v>3373</v>
      </c>
      <c r="D1442" s="188" t="s">
        <v>8724</v>
      </c>
      <c r="E1442" s="188" t="s">
        <v>5707</v>
      </c>
      <c r="F1442" s="189" t="s">
        <v>6204</v>
      </c>
      <c r="G1442" s="199" t="s">
        <v>8314</v>
      </c>
      <c r="H1442" s="199" t="s">
        <v>8639</v>
      </c>
      <c r="I1442" s="199">
        <v>1</v>
      </c>
      <c r="J1442" s="199">
        <v>1</v>
      </c>
      <c r="K1442" s="199">
        <v>1</v>
      </c>
      <c r="L1442" s="199">
        <v>50</v>
      </c>
      <c r="M1442" s="202">
        <f>TB_Parts_Lists[[#This Row],[Quantity Initial]]+ SUMIF(TB_Transactions[Part number],TB_Parts_Lists[[#This Row],[Part Number]],TB_Transactions[Quantity])</f>
        <v>50</v>
      </c>
      <c r="N1442" s="200" t="s">
        <v>4593</v>
      </c>
      <c r="O1442" s="234">
        <v>5</v>
      </c>
      <c r="P1442" s="199">
        <f>TB_Parts_Lists[[#This Row],[Quantity Initial]]*TB_Parts_Lists[[#This Row],[Unit Price AED]]</f>
        <v>250</v>
      </c>
      <c r="Q1442" s="199">
        <f>TB_Parts_Lists[[#This Row],[Quantity Total]]*TB_Parts_Lists[[#This Row],[Unit Price AED]]</f>
        <v>250</v>
      </c>
      <c r="S1442" s="199" t="s">
        <v>8675</v>
      </c>
      <c r="T1442" s="199" t="s">
        <v>8675</v>
      </c>
      <c r="U1442" s="199" t="s">
        <v>8675</v>
      </c>
    </row>
    <row r="1443" spans="1:21" s="199" customFormat="1" x14ac:dyDescent="0.25">
      <c r="A1443" s="192" t="s">
        <v>7990</v>
      </c>
      <c r="B1443" s="201" t="s">
        <v>3335</v>
      </c>
      <c r="C1443" s="199" t="s">
        <v>3373</v>
      </c>
      <c r="D1443" s="188" t="s">
        <v>8724</v>
      </c>
      <c r="E1443" s="188" t="s">
        <v>5708</v>
      </c>
      <c r="F1443" s="189" t="s">
        <v>6205</v>
      </c>
      <c r="G1443" s="199" t="s">
        <v>8314</v>
      </c>
      <c r="H1443" s="199" t="s">
        <v>8639</v>
      </c>
      <c r="I1443" s="199">
        <v>1</v>
      </c>
      <c r="J1443" s="199">
        <v>1</v>
      </c>
      <c r="K1443" s="199">
        <v>1</v>
      </c>
      <c r="L1443" s="199">
        <v>50</v>
      </c>
      <c r="M1443" s="202">
        <f>TB_Parts_Lists[[#This Row],[Quantity Initial]]+ SUMIF(TB_Transactions[Part number],TB_Parts_Lists[[#This Row],[Part Number]],TB_Transactions[Quantity])</f>
        <v>50</v>
      </c>
      <c r="N1443" s="200" t="s">
        <v>4593</v>
      </c>
      <c r="O1443" s="234">
        <v>5</v>
      </c>
      <c r="P1443" s="199">
        <f>TB_Parts_Lists[[#This Row],[Quantity Initial]]*TB_Parts_Lists[[#This Row],[Unit Price AED]]</f>
        <v>250</v>
      </c>
      <c r="Q1443" s="199">
        <f>TB_Parts_Lists[[#This Row],[Quantity Total]]*TB_Parts_Lists[[#This Row],[Unit Price AED]]</f>
        <v>250</v>
      </c>
      <c r="S1443" s="199" t="s">
        <v>8675</v>
      </c>
      <c r="T1443" s="199" t="s">
        <v>8675</v>
      </c>
      <c r="U1443" s="199" t="s">
        <v>8675</v>
      </c>
    </row>
    <row r="1444" spans="1:21" s="199" customFormat="1" x14ac:dyDescent="0.25">
      <c r="A1444" s="192" t="s">
        <v>7991</v>
      </c>
      <c r="B1444" s="201" t="s">
        <v>3335</v>
      </c>
      <c r="C1444" s="199" t="s">
        <v>3373</v>
      </c>
      <c r="D1444" s="188" t="s">
        <v>8724</v>
      </c>
      <c r="E1444" s="188" t="s">
        <v>5709</v>
      </c>
      <c r="F1444" s="189" t="s">
        <v>6206</v>
      </c>
      <c r="G1444" s="199" t="s">
        <v>8314</v>
      </c>
      <c r="H1444" s="199" t="s">
        <v>8639</v>
      </c>
      <c r="I1444" s="199">
        <v>1</v>
      </c>
      <c r="J1444" s="199">
        <v>1</v>
      </c>
      <c r="K1444" s="199">
        <v>1</v>
      </c>
      <c r="L1444" s="199">
        <v>50</v>
      </c>
      <c r="M1444" s="202">
        <f>TB_Parts_Lists[[#This Row],[Quantity Initial]]+ SUMIF(TB_Transactions[Part number],TB_Parts_Lists[[#This Row],[Part Number]],TB_Transactions[Quantity])</f>
        <v>50</v>
      </c>
      <c r="N1444" s="200" t="s">
        <v>4593</v>
      </c>
      <c r="O1444" s="234">
        <v>5</v>
      </c>
      <c r="P1444" s="199">
        <f>TB_Parts_Lists[[#This Row],[Quantity Initial]]*TB_Parts_Lists[[#This Row],[Unit Price AED]]</f>
        <v>250</v>
      </c>
      <c r="Q1444" s="199">
        <f>TB_Parts_Lists[[#This Row],[Quantity Total]]*TB_Parts_Lists[[#This Row],[Unit Price AED]]</f>
        <v>250</v>
      </c>
      <c r="S1444" s="199" t="s">
        <v>8675</v>
      </c>
      <c r="T1444" s="199" t="s">
        <v>8675</v>
      </c>
      <c r="U1444" s="199" t="s">
        <v>8675</v>
      </c>
    </row>
    <row r="1445" spans="1:21" s="199" customFormat="1" x14ac:dyDescent="0.25">
      <c r="A1445" s="192" t="s">
        <v>7992</v>
      </c>
      <c r="B1445" s="201" t="s">
        <v>3330</v>
      </c>
      <c r="C1445" s="199" t="s">
        <v>3338</v>
      </c>
      <c r="D1445" s="188" t="s">
        <v>8724</v>
      </c>
      <c r="E1445" s="188" t="s">
        <v>5710</v>
      </c>
      <c r="F1445" s="189" t="s">
        <v>6207</v>
      </c>
      <c r="G1445" s="199" t="s">
        <v>8314</v>
      </c>
      <c r="H1445" s="199" t="s">
        <v>8639</v>
      </c>
      <c r="I1445" s="199">
        <v>1</v>
      </c>
      <c r="J1445" s="199">
        <v>1</v>
      </c>
      <c r="K1445" s="199">
        <v>1</v>
      </c>
      <c r="L1445" s="199">
        <v>50</v>
      </c>
      <c r="M1445" s="202">
        <f>TB_Parts_Lists[[#This Row],[Quantity Initial]]+ SUMIF(TB_Transactions[Part number],TB_Parts_Lists[[#This Row],[Part Number]],TB_Transactions[Quantity])</f>
        <v>50</v>
      </c>
      <c r="N1445" s="200" t="s">
        <v>4593</v>
      </c>
      <c r="O1445" s="234">
        <v>5</v>
      </c>
      <c r="P1445" s="199">
        <f>TB_Parts_Lists[[#This Row],[Quantity Initial]]*TB_Parts_Lists[[#This Row],[Unit Price AED]]</f>
        <v>250</v>
      </c>
      <c r="Q1445" s="199">
        <f>TB_Parts_Lists[[#This Row],[Quantity Total]]*TB_Parts_Lists[[#This Row],[Unit Price AED]]</f>
        <v>250</v>
      </c>
      <c r="S1445" s="199" t="s">
        <v>8675</v>
      </c>
      <c r="T1445" s="199" t="s">
        <v>8675</v>
      </c>
      <c r="U1445" s="199" t="s">
        <v>8675</v>
      </c>
    </row>
    <row r="1446" spans="1:21" s="199" customFormat="1" x14ac:dyDescent="0.25">
      <c r="A1446" s="192" t="s">
        <v>7993</v>
      </c>
      <c r="B1446" s="201" t="s">
        <v>3330</v>
      </c>
      <c r="C1446" s="199" t="s">
        <v>3338</v>
      </c>
      <c r="D1446" s="188" t="s">
        <v>8724</v>
      </c>
      <c r="E1446" s="188" t="s">
        <v>5711</v>
      </c>
      <c r="F1446" s="189" t="s">
        <v>6208</v>
      </c>
      <c r="G1446" s="199" t="s">
        <v>8314</v>
      </c>
      <c r="H1446" s="199" t="s">
        <v>8639</v>
      </c>
      <c r="I1446" s="199">
        <v>1</v>
      </c>
      <c r="J1446" s="199">
        <v>1</v>
      </c>
      <c r="K1446" s="199">
        <v>1</v>
      </c>
      <c r="L1446" s="199">
        <v>50</v>
      </c>
      <c r="M1446" s="202">
        <f>TB_Parts_Lists[[#This Row],[Quantity Initial]]+ SUMIF(TB_Transactions[Part number],TB_Parts_Lists[[#This Row],[Part Number]],TB_Transactions[Quantity])</f>
        <v>50</v>
      </c>
      <c r="N1446" s="200" t="s">
        <v>4593</v>
      </c>
      <c r="O1446" s="234">
        <v>5</v>
      </c>
      <c r="P1446" s="199">
        <f>TB_Parts_Lists[[#This Row],[Quantity Initial]]*TB_Parts_Lists[[#This Row],[Unit Price AED]]</f>
        <v>250</v>
      </c>
      <c r="Q1446" s="199">
        <f>TB_Parts_Lists[[#This Row],[Quantity Total]]*TB_Parts_Lists[[#This Row],[Unit Price AED]]</f>
        <v>250</v>
      </c>
      <c r="S1446" s="199" t="s">
        <v>8675</v>
      </c>
      <c r="T1446" s="199" t="s">
        <v>8675</v>
      </c>
      <c r="U1446" s="199" t="s">
        <v>8675</v>
      </c>
    </row>
    <row r="1447" spans="1:21" s="199" customFormat="1" x14ac:dyDescent="0.25">
      <c r="A1447" s="192" t="s">
        <v>7994</v>
      </c>
      <c r="B1447" s="201" t="s">
        <v>3330</v>
      </c>
      <c r="C1447" s="199" t="s">
        <v>3338</v>
      </c>
      <c r="D1447" s="188" t="s">
        <v>8724</v>
      </c>
      <c r="E1447" s="188" t="s">
        <v>5712</v>
      </c>
      <c r="F1447" s="189" t="s">
        <v>6209</v>
      </c>
      <c r="G1447" s="199" t="s">
        <v>8314</v>
      </c>
      <c r="H1447" s="199" t="s">
        <v>8639</v>
      </c>
      <c r="I1447" s="199">
        <v>1</v>
      </c>
      <c r="J1447" s="199">
        <v>1</v>
      </c>
      <c r="K1447" s="199">
        <v>1</v>
      </c>
      <c r="L1447" s="199">
        <v>50</v>
      </c>
      <c r="M1447" s="202">
        <f>TB_Parts_Lists[[#This Row],[Quantity Initial]]+ SUMIF(TB_Transactions[Part number],TB_Parts_Lists[[#This Row],[Part Number]],TB_Transactions[Quantity])</f>
        <v>50</v>
      </c>
      <c r="N1447" s="200" t="s">
        <v>4593</v>
      </c>
      <c r="O1447" s="234">
        <v>5</v>
      </c>
      <c r="P1447" s="199">
        <f>TB_Parts_Lists[[#This Row],[Quantity Initial]]*TB_Parts_Lists[[#This Row],[Unit Price AED]]</f>
        <v>250</v>
      </c>
      <c r="Q1447" s="199">
        <f>TB_Parts_Lists[[#This Row],[Quantity Total]]*TB_Parts_Lists[[#This Row],[Unit Price AED]]</f>
        <v>250</v>
      </c>
      <c r="S1447" s="199" t="s">
        <v>8675</v>
      </c>
      <c r="T1447" s="199" t="s">
        <v>8675</v>
      </c>
      <c r="U1447" s="199" t="s">
        <v>8675</v>
      </c>
    </row>
    <row r="1448" spans="1:21" s="199" customFormat="1" x14ac:dyDescent="0.25">
      <c r="A1448" s="192" t="s">
        <v>7996</v>
      </c>
      <c r="B1448" s="201" t="s">
        <v>3334</v>
      </c>
      <c r="C1448" s="199" t="s">
        <v>7995</v>
      </c>
      <c r="D1448" s="188" t="s">
        <v>8724</v>
      </c>
      <c r="E1448" s="188" t="s">
        <v>5713</v>
      </c>
      <c r="F1448" s="189" t="s">
        <v>6210</v>
      </c>
      <c r="G1448" s="199" t="s">
        <v>8314</v>
      </c>
      <c r="H1448" s="199" t="s">
        <v>8639</v>
      </c>
      <c r="I1448" s="199">
        <v>1</v>
      </c>
      <c r="J1448" s="199">
        <v>1</v>
      </c>
      <c r="K1448" s="199">
        <v>1</v>
      </c>
      <c r="L1448" s="199">
        <v>50</v>
      </c>
      <c r="M1448" s="202">
        <f>TB_Parts_Lists[[#This Row],[Quantity Initial]]+ SUMIF(TB_Transactions[Part number],TB_Parts_Lists[[#This Row],[Part Number]],TB_Transactions[Quantity])</f>
        <v>50</v>
      </c>
      <c r="N1448" s="200" t="s">
        <v>4593</v>
      </c>
      <c r="O1448" s="234">
        <v>5</v>
      </c>
      <c r="P1448" s="199">
        <f>TB_Parts_Lists[[#This Row],[Quantity Initial]]*TB_Parts_Lists[[#This Row],[Unit Price AED]]</f>
        <v>250</v>
      </c>
      <c r="Q1448" s="199">
        <f>TB_Parts_Lists[[#This Row],[Quantity Total]]*TB_Parts_Lists[[#This Row],[Unit Price AED]]</f>
        <v>250</v>
      </c>
      <c r="S1448" s="199" t="s">
        <v>8675</v>
      </c>
      <c r="T1448" s="199" t="s">
        <v>8675</v>
      </c>
      <c r="U1448" s="199" t="s">
        <v>8675</v>
      </c>
    </row>
    <row r="1449" spans="1:21" s="199" customFormat="1" x14ac:dyDescent="0.25">
      <c r="A1449" s="192" t="s">
        <v>7997</v>
      </c>
      <c r="B1449" s="201" t="s">
        <v>3334</v>
      </c>
      <c r="C1449" s="199" t="s">
        <v>7995</v>
      </c>
      <c r="D1449" s="188" t="s">
        <v>8724</v>
      </c>
      <c r="E1449" s="188" t="s">
        <v>5714</v>
      </c>
      <c r="F1449" s="189" t="s">
        <v>6211</v>
      </c>
      <c r="G1449" s="199" t="s">
        <v>8314</v>
      </c>
      <c r="H1449" s="199" t="s">
        <v>8639</v>
      </c>
      <c r="I1449" s="199">
        <v>1</v>
      </c>
      <c r="J1449" s="199">
        <v>1</v>
      </c>
      <c r="K1449" s="199">
        <v>1</v>
      </c>
      <c r="L1449" s="199">
        <v>50</v>
      </c>
      <c r="M1449" s="202">
        <f>TB_Parts_Lists[[#This Row],[Quantity Initial]]+ SUMIF(TB_Transactions[Part number],TB_Parts_Lists[[#This Row],[Part Number]],TB_Transactions[Quantity])</f>
        <v>50</v>
      </c>
      <c r="N1449" s="200" t="s">
        <v>4593</v>
      </c>
      <c r="O1449" s="234">
        <v>5</v>
      </c>
      <c r="P1449" s="199">
        <f>TB_Parts_Lists[[#This Row],[Quantity Initial]]*TB_Parts_Lists[[#This Row],[Unit Price AED]]</f>
        <v>250</v>
      </c>
      <c r="Q1449" s="199">
        <f>TB_Parts_Lists[[#This Row],[Quantity Total]]*TB_Parts_Lists[[#This Row],[Unit Price AED]]</f>
        <v>250</v>
      </c>
      <c r="S1449" s="199" t="s">
        <v>8675</v>
      </c>
      <c r="T1449" s="199" t="s">
        <v>8675</v>
      </c>
      <c r="U1449" s="199" t="s">
        <v>8675</v>
      </c>
    </row>
    <row r="1450" spans="1:21" s="199" customFormat="1" x14ac:dyDescent="0.25">
      <c r="A1450" s="192" t="s">
        <v>7998</v>
      </c>
      <c r="B1450" s="201" t="s">
        <v>3334</v>
      </c>
      <c r="C1450" s="199" t="s">
        <v>7995</v>
      </c>
      <c r="D1450" s="188" t="s">
        <v>8724</v>
      </c>
      <c r="E1450" s="188" t="s">
        <v>5715</v>
      </c>
      <c r="F1450" s="189" t="s">
        <v>6212</v>
      </c>
      <c r="G1450" s="199" t="s">
        <v>8314</v>
      </c>
      <c r="H1450" s="199" t="s">
        <v>8639</v>
      </c>
      <c r="I1450" s="199">
        <v>1</v>
      </c>
      <c r="J1450" s="199">
        <v>1</v>
      </c>
      <c r="K1450" s="199">
        <v>1</v>
      </c>
      <c r="L1450" s="199">
        <v>50</v>
      </c>
      <c r="M1450" s="202">
        <f>TB_Parts_Lists[[#This Row],[Quantity Initial]]+ SUMIF(TB_Transactions[Part number],TB_Parts_Lists[[#This Row],[Part Number]],TB_Transactions[Quantity])</f>
        <v>50</v>
      </c>
      <c r="N1450" s="200" t="s">
        <v>4593</v>
      </c>
      <c r="O1450" s="234">
        <v>5</v>
      </c>
      <c r="P1450" s="199">
        <f>TB_Parts_Lists[[#This Row],[Quantity Initial]]*TB_Parts_Lists[[#This Row],[Unit Price AED]]</f>
        <v>250</v>
      </c>
      <c r="Q1450" s="199">
        <f>TB_Parts_Lists[[#This Row],[Quantity Total]]*TB_Parts_Lists[[#This Row],[Unit Price AED]]</f>
        <v>250</v>
      </c>
      <c r="S1450" s="199" t="s">
        <v>8675</v>
      </c>
      <c r="T1450" s="199" t="s">
        <v>8675</v>
      </c>
      <c r="U1450" s="199" t="s">
        <v>8675</v>
      </c>
    </row>
    <row r="1451" spans="1:21" s="199" customFormat="1" x14ac:dyDescent="0.25">
      <c r="A1451" s="192" t="s">
        <v>7999</v>
      </c>
      <c r="B1451" s="201" t="s">
        <v>3334</v>
      </c>
      <c r="C1451" s="199" t="s">
        <v>7995</v>
      </c>
      <c r="D1451" s="188" t="s">
        <v>8724</v>
      </c>
      <c r="E1451" s="188" t="s">
        <v>5716</v>
      </c>
      <c r="F1451" s="189" t="s">
        <v>6213</v>
      </c>
      <c r="G1451" s="199" t="s">
        <v>8314</v>
      </c>
      <c r="H1451" s="199" t="s">
        <v>8639</v>
      </c>
      <c r="I1451" s="199">
        <v>1</v>
      </c>
      <c r="J1451" s="199">
        <v>1</v>
      </c>
      <c r="K1451" s="199">
        <v>1</v>
      </c>
      <c r="L1451" s="199">
        <v>50</v>
      </c>
      <c r="M1451" s="202">
        <f>TB_Parts_Lists[[#This Row],[Quantity Initial]]+ SUMIF(TB_Transactions[Part number],TB_Parts_Lists[[#This Row],[Part Number]],TB_Transactions[Quantity])</f>
        <v>50</v>
      </c>
      <c r="N1451" s="200" t="s">
        <v>4593</v>
      </c>
      <c r="O1451" s="234">
        <v>5</v>
      </c>
      <c r="P1451" s="199">
        <f>TB_Parts_Lists[[#This Row],[Quantity Initial]]*TB_Parts_Lists[[#This Row],[Unit Price AED]]</f>
        <v>250</v>
      </c>
      <c r="Q1451" s="199">
        <f>TB_Parts_Lists[[#This Row],[Quantity Total]]*TB_Parts_Lists[[#This Row],[Unit Price AED]]</f>
        <v>250</v>
      </c>
      <c r="S1451" s="199" t="s">
        <v>8675</v>
      </c>
      <c r="T1451" s="199" t="s">
        <v>8675</v>
      </c>
      <c r="U1451" s="199" t="s">
        <v>8675</v>
      </c>
    </row>
    <row r="1452" spans="1:21" s="199" customFormat="1" x14ac:dyDescent="0.25">
      <c r="A1452" s="192" t="s">
        <v>8000</v>
      </c>
      <c r="B1452" s="201" t="s">
        <v>3334</v>
      </c>
      <c r="C1452" s="199" t="s">
        <v>7995</v>
      </c>
      <c r="D1452" s="188" t="s">
        <v>8724</v>
      </c>
      <c r="E1452" s="188" t="s">
        <v>5717</v>
      </c>
      <c r="F1452" s="189" t="s">
        <v>6214</v>
      </c>
      <c r="G1452" s="199" t="s">
        <v>8314</v>
      </c>
      <c r="H1452" s="199" t="s">
        <v>8639</v>
      </c>
      <c r="I1452" s="199">
        <v>1</v>
      </c>
      <c r="J1452" s="199">
        <v>1</v>
      </c>
      <c r="K1452" s="199">
        <v>1</v>
      </c>
      <c r="L1452" s="199">
        <v>50</v>
      </c>
      <c r="M1452" s="202">
        <f>TB_Parts_Lists[[#This Row],[Quantity Initial]]+ SUMIF(TB_Transactions[Part number],TB_Parts_Lists[[#This Row],[Part Number]],TB_Transactions[Quantity])</f>
        <v>50</v>
      </c>
      <c r="N1452" s="200" t="s">
        <v>4593</v>
      </c>
      <c r="O1452" s="234">
        <v>5</v>
      </c>
      <c r="P1452" s="199">
        <f>TB_Parts_Lists[[#This Row],[Quantity Initial]]*TB_Parts_Lists[[#This Row],[Unit Price AED]]</f>
        <v>250</v>
      </c>
      <c r="Q1452" s="199">
        <f>TB_Parts_Lists[[#This Row],[Quantity Total]]*TB_Parts_Lists[[#This Row],[Unit Price AED]]</f>
        <v>250</v>
      </c>
      <c r="S1452" s="199" t="s">
        <v>8675</v>
      </c>
      <c r="T1452" s="199" t="s">
        <v>8675</v>
      </c>
      <c r="U1452" s="199" t="s">
        <v>8675</v>
      </c>
    </row>
    <row r="1453" spans="1:21" s="199" customFormat="1" x14ac:dyDescent="0.25">
      <c r="A1453" s="192" t="s">
        <v>8001</v>
      </c>
      <c r="B1453" s="201" t="s">
        <v>3334</v>
      </c>
      <c r="C1453" s="199" t="s">
        <v>7995</v>
      </c>
      <c r="D1453" s="188" t="s">
        <v>8724</v>
      </c>
      <c r="E1453" s="188" t="s">
        <v>5718</v>
      </c>
      <c r="F1453" s="189" t="s">
        <v>6215</v>
      </c>
      <c r="G1453" s="199" t="s">
        <v>8314</v>
      </c>
      <c r="H1453" s="199" t="s">
        <v>8639</v>
      </c>
      <c r="I1453" s="199">
        <v>1</v>
      </c>
      <c r="J1453" s="199">
        <v>1</v>
      </c>
      <c r="K1453" s="199">
        <v>1</v>
      </c>
      <c r="L1453" s="199">
        <v>50</v>
      </c>
      <c r="M1453" s="202">
        <f>TB_Parts_Lists[[#This Row],[Quantity Initial]]+ SUMIF(TB_Transactions[Part number],TB_Parts_Lists[[#This Row],[Part Number]],TB_Transactions[Quantity])</f>
        <v>50</v>
      </c>
      <c r="N1453" s="200" t="s">
        <v>4593</v>
      </c>
      <c r="O1453" s="234">
        <v>5</v>
      </c>
      <c r="P1453" s="199">
        <f>TB_Parts_Lists[[#This Row],[Quantity Initial]]*TB_Parts_Lists[[#This Row],[Unit Price AED]]</f>
        <v>250</v>
      </c>
      <c r="Q1453" s="199">
        <f>TB_Parts_Lists[[#This Row],[Quantity Total]]*TB_Parts_Lists[[#This Row],[Unit Price AED]]</f>
        <v>250</v>
      </c>
      <c r="S1453" s="199" t="s">
        <v>8675</v>
      </c>
      <c r="T1453" s="199" t="s">
        <v>8675</v>
      </c>
      <c r="U1453" s="199" t="s">
        <v>8675</v>
      </c>
    </row>
    <row r="1454" spans="1:21" s="199" customFormat="1" x14ac:dyDescent="0.25">
      <c r="A1454" s="192" t="s">
        <v>8002</v>
      </c>
      <c r="B1454" s="201" t="s">
        <v>3334</v>
      </c>
      <c r="C1454" s="199" t="s">
        <v>7995</v>
      </c>
      <c r="D1454" s="188" t="s">
        <v>8724</v>
      </c>
      <c r="E1454" s="188" t="s">
        <v>5719</v>
      </c>
      <c r="F1454" s="189" t="s">
        <v>6216</v>
      </c>
      <c r="G1454" s="199" t="s">
        <v>8314</v>
      </c>
      <c r="H1454" s="199" t="s">
        <v>8639</v>
      </c>
      <c r="I1454" s="199">
        <v>1</v>
      </c>
      <c r="J1454" s="199">
        <v>1</v>
      </c>
      <c r="K1454" s="199">
        <v>1</v>
      </c>
      <c r="L1454" s="199">
        <v>50</v>
      </c>
      <c r="M1454" s="202">
        <f>TB_Parts_Lists[[#This Row],[Quantity Initial]]+ SUMIF(TB_Transactions[Part number],TB_Parts_Lists[[#This Row],[Part Number]],TB_Transactions[Quantity])</f>
        <v>50</v>
      </c>
      <c r="N1454" s="200" t="s">
        <v>4593</v>
      </c>
      <c r="O1454" s="234">
        <v>5</v>
      </c>
      <c r="P1454" s="199">
        <f>TB_Parts_Lists[[#This Row],[Quantity Initial]]*TB_Parts_Lists[[#This Row],[Unit Price AED]]</f>
        <v>250</v>
      </c>
      <c r="Q1454" s="199">
        <f>TB_Parts_Lists[[#This Row],[Quantity Total]]*TB_Parts_Lists[[#This Row],[Unit Price AED]]</f>
        <v>250</v>
      </c>
      <c r="S1454" s="199" t="s">
        <v>8675</v>
      </c>
      <c r="T1454" s="199" t="s">
        <v>8675</v>
      </c>
      <c r="U1454" s="199" t="s">
        <v>8675</v>
      </c>
    </row>
    <row r="1455" spans="1:21" s="199" customFormat="1" x14ac:dyDescent="0.25">
      <c r="A1455" s="193" t="s">
        <v>8003</v>
      </c>
      <c r="B1455" s="201" t="s">
        <v>3334</v>
      </c>
      <c r="C1455" s="199" t="s">
        <v>7995</v>
      </c>
      <c r="D1455" s="188" t="s">
        <v>8724</v>
      </c>
      <c r="E1455" s="188" t="s">
        <v>5720</v>
      </c>
      <c r="F1455" s="189" t="s">
        <v>6217</v>
      </c>
      <c r="G1455" s="199" t="s">
        <v>8314</v>
      </c>
      <c r="H1455" s="199" t="s">
        <v>8639</v>
      </c>
      <c r="I1455" s="199">
        <v>1</v>
      </c>
      <c r="J1455" s="199">
        <v>1</v>
      </c>
      <c r="K1455" s="199">
        <v>1</v>
      </c>
      <c r="L1455" s="199">
        <v>50</v>
      </c>
      <c r="M1455" s="206">
        <f>TB_Parts_Lists[[#This Row],[Quantity Initial]]+ SUMIF(TB_Transactions[Part number],TB_Parts_Lists[[#This Row],[Part Number]],TB_Transactions[Quantity])</f>
        <v>50</v>
      </c>
      <c r="N1455" s="200" t="s">
        <v>4593</v>
      </c>
      <c r="O1455" s="234">
        <v>5</v>
      </c>
      <c r="P1455" s="199">
        <f>TB_Parts_Lists[[#This Row],[Quantity Initial]]*TB_Parts_Lists[[#This Row],[Unit Price AED]]</f>
        <v>250</v>
      </c>
      <c r="Q1455" s="199">
        <f>TB_Parts_Lists[[#This Row],[Quantity Total]]*TB_Parts_Lists[[#This Row],[Unit Price AED]]</f>
        <v>250</v>
      </c>
      <c r="R1455" s="205"/>
      <c r="S1455" s="199" t="s">
        <v>8675</v>
      </c>
      <c r="T1455" s="199" t="s">
        <v>8675</v>
      </c>
      <c r="U1455" s="199" t="s">
        <v>8675</v>
      </c>
    </row>
    <row r="1456" spans="1:21" s="199" customFormat="1" x14ac:dyDescent="0.25">
      <c r="A1456" s="193" t="s">
        <v>8004</v>
      </c>
      <c r="B1456" s="201" t="s">
        <v>3334</v>
      </c>
      <c r="C1456" s="199" t="s">
        <v>7995</v>
      </c>
      <c r="D1456" s="188" t="s">
        <v>8724</v>
      </c>
      <c r="E1456" s="188" t="s">
        <v>5721</v>
      </c>
      <c r="F1456" s="189" t="s">
        <v>6218</v>
      </c>
      <c r="G1456" s="199" t="s">
        <v>8314</v>
      </c>
      <c r="H1456" s="199" t="s">
        <v>8639</v>
      </c>
      <c r="I1456" s="199">
        <v>1</v>
      </c>
      <c r="J1456" s="199">
        <v>1</v>
      </c>
      <c r="K1456" s="199">
        <v>1</v>
      </c>
      <c r="L1456" s="199">
        <v>50</v>
      </c>
      <c r="M1456" s="206">
        <f>TB_Parts_Lists[[#This Row],[Quantity Initial]]+ SUMIF(TB_Transactions[Part number],TB_Parts_Lists[[#This Row],[Part Number]],TB_Transactions[Quantity])</f>
        <v>50</v>
      </c>
      <c r="N1456" s="200" t="s">
        <v>4593</v>
      </c>
      <c r="O1456" s="234">
        <v>5</v>
      </c>
      <c r="P1456" s="199">
        <f>TB_Parts_Lists[[#This Row],[Quantity Initial]]*TB_Parts_Lists[[#This Row],[Unit Price AED]]</f>
        <v>250</v>
      </c>
      <c r="Q1456" s="199">
        <f>TB_Parts_Lists[[#This Row],[Quantity Total]]*TB_Parts_Lists[[#This Row],[Unit Price AED]]</f>
        <v>250</v>
      </c>
      <c r="R1456" s="205"/>
      <c r="S1456" s="199" t="s">
        <v>8675</v>
      </c>
      <c r="T1456" s="199" t="s">
        <v>8675</v>
      </c>
      <c r="U1456" s="199" t="s">
        <v>8675</v>
      </c>
    </row>
    <row r="1457" spans="1:21" s="199" customFormat="1" x14ac:dyDescent="0.25">
      <c r="A1457" s="193" t="s">
        <v>8005</v>
      </c>
      <c r="B1457" s="207" t="s">
        <v>3002</v>
      </c>
      <c r="C1457" s="205" t="s">
        <v>3006</v>
      </c>
      <c r="D1457" s="188" t="s">
        <v>8724</v>
      </c>
      <c r="E1457" s="188" t="s">
        <v>5722</v>
      </c>
      <c r="F1457" s="189" t="s">
        <v>6219</v>
      </c>
      <c r="G1457" s="199" t="s">
        <v>8314</v>
      </c>
      <c r="H1457" s="199" t="s">
        <v>8639</v>
      </c>
      <c r="I1457" s="199">
        <v>1</v>
      </c>
      <c r="J1457" s="199">
        <v>1</v>
      </c>
      <c r="K1457" s="199">
        <v>1</v>
      </c>
      <c r="L1457" s="199">
        <v>50</v>
      </c>
      <c r="M1457" s="206">
        <f>TB_Parts_Lists[[#This Row],[Quantity Initial]]+ SUMIF(TB_Transactions[Part number],TB_Parts_Lists[[#This Row],[Part Number]],TB_Transactions[Quantity])</f>
        <v>50</v>
      </c>
      <c r="N1457" s="200" t="s">
        <v>4593</v>
      </c>
      <c r="O1457" s="234">
        <v>5</v>
      </c>
      <c r="P1457" s="199">
        <f>TB_Parts_Lists[[#This Row],[Quantity Initial]]*TB_Parts_Lists[[#This Row],[Unit Price AED]]</f>
        <v>250</v>
      </c>
      <c r="Q1457" s="199">
        <f>TB_Parts_Lists[[#This Row],[Quantity Total]]*TB_Parts_Lists[[#This Row],[Unit Price AED]]</f>
        <v>250</v>
      </c>
      <c r="R1457" s="205"/>
      <c r="S1457" s="199" t="s">
        <v>8675</v>
      </c>
      <c r="T1457" s="199" t="s">
        <v>8675</v>
      </c>
      <c r="U1457" s="199" t="s">
        <v>8675</v>
      </c>
    </row>
    <row r="1458" spans="1:21" s="199" customFormat="1" x14ac:dyDescent="0.25">
      <c r="A1458" s="193" t="s">
        <v>8006</v>
      </c>
      <c r="B1458" s="207" t="s">
        <v>3002</v>
      </c>
      <c r="C1458" s="205" t="s">
        <v>3006</v>
      </c>
      <c r="D1458" s="188" t="s">
        <v>8724</v>
      </c>
      <c r="E1458" s="188" t="s">
        <v>5723</v>
      </c>
      <c r="F1458" s="189" t="s">
        <v>6220</v>
      </c>
      <c r="G1458" s="199" t="s">
        <v>8314</v>
      </c>
      <c r="H1458" s="199" t="s">
        <v>8639</v>
      </c>
      <c r="I1458" s="199">
        <v>1</v>
      </c>
      <c r="J1458" s="199">
        <v>1</v>
      </c>
      <c r="K1458" s="199">
        <v>1</v>
      </c>
      <c r="L1458" s="199">
        <v>50</v>
      </c>
      <c r="M1458" s="206">
        <f>TB_Parts_Lists[[#This Row],[Quantity Initial]]+ SUMIF(TB_Transactions[Part number],TB_Parts_Lists[[#This Row],[Part Number]],TB_Transactions[Quantity])</f>
        <v>50</v>
      </c>
      <c r="N1458" s="200" t="s">
        <v>4593</v>
      </c>
      <c r="O1458" s="234">
        <v>5</v>
      </c>
      <c r="P1458" s="199">
        <f>TB_Parts_Lists[[#This Row],[Quantity Initial]]*TB_Parts_Lists[[#This Row],[Unit Price AED]]</f>
        <v>250</v>
      </c>
      <c r="Q1458" s="199">
        <f>TB_Parts_Lists[[#This Row],[Quantity Total]]*TB_Parts_Lists[[#This Row],[Unit Price AED]]</f>
        <v>250</v>
      </c>
      <c r="R1458" s="205"/>
      <c r="S1458" s="199" t="s">
        <v>8675</v>
      </c>
      <c r="T1458" s="199" t="s">
        <v>8675</v>
      </c>
      <c r="U1458" s="199" t="s">
        <v>8675</v>
      </c>
    </row>
    <row r="1459" spans="1:21" s="199" customFormat="1" x14ac:dyDescent="0.25">
      <c r="A1459" s="193" t="s">
        <v>8007</v>
      </c>
      <c r="B1459" s="207" t="s">
        <v>3002</v>
      </c>
      <c r="C1459" s="205" t="s">
        <v>3006</v>
      </c>
      <c r="D1459" s="188" t="s">
        <v>8724</v>
      </c>
      <c r="E1459" s="188" t="s">
        <v>5724</v>
      </c>
      <c r="F1459" s="189" t="s">
        <v>6221</v>
      </c>
      <c r="G1459" s="199" t="s">
        <v>8314</v>
      </c>
      <c r="H1459" s="199" t="s">
        <v>8639</v>
      </c>
      <c r="I1459" s="199">
        <v>1</v>
      </c>
      <c r="J1459" s="199">
        <v>1</v>
      </c>
      <c r="K1459" s="199">
        <v>1</v>
      </c>
      <c r="L1459" s="199">
        <v>50</v>
      </c>
      <c r="M1459" s="206">
        <f>TB_Parts_Lists[[#This Row],[Quantity Initial]]+ SUMIF(TB_Transactions[Part number],TB_Parts_Lists[[#This Row],[Part Number]],TB_Transactions[Quantity])</f>
        <v>50</v>
      </c>
      <c r="N1459" s="200" t="s">
        <v>4593</v>
      </c>
      <c r="O1459" s="234">
        <v>5</v>
      </c>
      <c r="P1459" s="199">
        <f>TB_Parts_Lists[[#This Row],[Quantity Initial]]*TB_Parts_Lists[[#This Row],[Unit Price AED]]</f>
        <v>250</v>
      </c>
      <c r="Q1459" s="199">
        <f>TB_Parts_Lists[[#This Row],[Quantity Total]]*TB_Parts_Lists[[#This Row],[Unit Price AED]]</f>
        <v>250</v>
      </c>
      <c r="R1459" s="205"/>
      <c r="S1459" s="199" t="s">
        <v>8675</v>
      </c>
      <c r="T1459" s="199" t="s">
        <v>8675</v>
      </c>
      <c r="U1459" s="199" t="s">
        <v>8675</v>
      </c>
    </row>
    <row r="1460" spans="1:21" s="199" customFormat="1" x14ac:dyDescent="0.25">
      <c r="A1460" s="193" t="s">
        <v>8008</v>
      </c>
      <c r="B1460" s="207" t="s">
        <v>3002</v>
      </c>
      <c r="C1460" s="205" t="s">
        <v>3006</v>
      </c>
      <c r="D1460" s="188" t="s">
        <v>8724</v>
      </c>
      <c r="E1460" s="188" t="s">
        <v>5725</v>
      </c>
      <c r="F1460" s="189" t="s">
        <v>6222</v>
      </c>
      <c r="G1460" s="199" t="s">
        <v>8314</v>
      </c>
      <c r="H1460" s="199" t="s">
        <v>8639</v>
      </c>
      <c r="I1460" s="199">
        <v>1</v>
      </c>
      <c r="J1460" s="199">
        <v>1</v>
      </c>
      <c r="K1460" s="199">
        <v>1</v>
      </c>
      <c r="L1460" s="199">
        <v>50</v>
      </c>
      <c r="M1460" s="206">
        <f>TB_Parts_Lists[[#This Row],[Quantity Initial]]+ SUMIF(TB_Transactions[Part number],TB_Parts_Lists[[#This Row],[Part Number]],TB_Transactions[Quantity])</f>
        <v>50</v>
      </c>
      <c r="N1460" s="200" t="s">
        <v>4593</v>
      </c>
      <c r="O1460" s="234">
        <v>5</v>
      </c>
      <c r="P1460" s="199">
        <f>TB_Parts_Lists[[#This Row],[Quantity Initial]]*TB_Parts_Lists[[#This Row],[Unit Price AED]]</f>
        <v>250</v>
      </c>
      <c r="Q1460" s="199">
        <f>TB_Parts_Lists[[#This Row],[Quantity Total]]*TB_Parts_Lists[[#This Row],[Unit Price AED]]</f>
        <v>250</v>
      </c>
      <c r="R1460" s="205"/>
      <c r="S1460" s="199" t="s">
        <v>8675</v>
      </c>
      <c r="T1460" s="199" t="s">
        <v>8675</v>
      </c>
      <c r="U1460" s="199" t="s">
        <v>8675</v>
      </c>
    </row>
    <row r="1461" spans="1:21" s="199" customFormat="1" x14ac:dyDescent="0.25">
      <c r="A1461" s="193" t="s">
        <v>8009</v>
      </c>
      <c r="B1461" s="207" t="s">
        <v>3002</v>
      </c>
      <c r="C1461" s="205" t="s">
        <v>3006</v>
      </c>
      <c r="D1461" s="188" t="s">
        <v>8724</v>
      </c>
      <c r="E1461" s="188" t="s">
        <v>5726</v>
      </c>
      <c r="F1461" s="189" t="s">
        <v>6223</v>
      </c>
      <c r="G1461" s="199" t="s">
        <v>8314</v>
      </c>
      <c r="H1461" s="199" t="s">
        <v>8639</v>
      </c>
      <c r="I1461" s="199">
        <v>1</v>
      </c>
      <c r="J1461" s="199">
        <v>1</v>
      </c>
      <c r="K1461" s="199">
        <v>1</v>
      </c>
      <c r="L1461" s="199">
        <v>50</v>
      </c>
      <c r="M1461" s="206">
        <f>TB_Parts_Lists[[#This Row],[Quantity Initial]]+ SUMIF(TB_Transactions[Part number],TB_Parts_Lists[[#This Row],[Part Number]],TB_Transactions[Quantity])</f>
        <v>50</v>
      </c>
      <c r="N1461" s="200" t="s">
        <v>4593</v>
      </c>
      <c r="O1461" s="234">
        <v>5</v>
      </c>
      <c r="P1461" s="199">
        <f>TB_Parts_Lists[[#This Row],[Quantity Initial]]*TB_Parts_Lists[[#This Row],[Unit Price AED]]</f>
        <v>250</v>
      </c>
      <c r="Q1461" s="199">
        <f>TB_Parts_Lists[[#This Row],[Quantity Total]]*TB_Parts_Lists[[#This Row],[Unit Price AED]]</f>
        <v>250</v>
      </c>
      <c r="R1461" s="205"/>
      <c r="S1461" s="199" t="s">
        <v>8675</v>
      </c>
      <c r="T1461" s="199" t="s">
        <v>8675</v>
      </c>
      <c r="U1461" s="199" t="s">
        <v>8675</v>
      </c>
    </row>
    <row r="1462" spans="1:21" s="199" customFormat="1" x14ac:dyDescent="0.25">
      <c r="A1462" s="193" t="s">
        <v>8010</v>
      </c>
      <c r="B1462" s="207" t="s">
        <v>3002</v>
      </c>
      <c r="C1462" s="205" t="s">
        <v>3006</v>
      </c>
      <c r="D1462" s="188" t="s">
        <v>8724</v>
      </c>
      <c r="E1462" s="188" t="s">
        <v>5727</v>
      </c>
      <c r="F1462" s="189" t="s">
        <v>6224</v>
      </c>
      <c r="G1462" s="199" t="s">
        <v>8314</v>
      </c>
      <c r="H1462" s="199" t="s">
        <v>8639</v>
      </c>
      <c r="I1462" s="199">
        <v>1</v>
      </c>
      <c r="J1462" s="199">
        <v>1</v>
      </c>
      <c r="K1462" s="199">
        <v>1</v>
      </c>
      <c r="L1462" s="199">
        <v>50</v>
      </c>
      <c r="M1462" s="206">
        <f>TB_Parts_Lists[[#This Row],[Quantity Initial]]+ SUMIF(TB_Transactions[Part number],TB_Parts_Lists[[#This Row],[Part Number]],TB_Transactions[Quantity])</f>
        <v>50</v>
      </c>
      <c r="N1462" s="200" t="s">
        <v>4593</v>
      </c>
      <c r="O1462" s="234">
        <v>5</v>
      </c>
      <c r="P1462" s="199">
        <f>TB_Parts_Lists[[#This Row],[Quantity Initial]]*TB_Parts_Lists[[#This Row],[Unit Price AED]]</f>
        <v>250</v>
      </c>
      <c r="Q1462" s="199">
        <f>TB_Parts_Lists[[#This Row],[Quantity Total]]*TB_Parts_Lists[[#This Row],[Unit Price AED]]</f>
        <v>250</v>
      </c>
      <c r="R1462" s="205"/>
      <c r="S1462" s="199" t="s">
        <v>8675</v>
      </c>
      <c r="T1462" s="199" t="s">
        <v>8675</v>
      </c>
      <c r="U1462" s="199" t="s">
        <v>8675</v>
      </c>
    </row>
    <row r="1463" spans="1:21" s="199" customFormat="1" x14ac:dyDescent="0.25">
      <c r="A1463" s="193" t="s">
        <v>8011</v>
      </c>
      <c r="B1463" s="207" t="s">
        <v>3002</v>
      </c>
      <c r="C1463" s="205" t="s">
        <v>3006</v>
      </c>
      <c r="D1463" s="188" t="s">
        <v>8724</v>
      </c>
      <c r="E1463" s="188" t="s">
        <v>5728</v>
      </c>
      <c r="F1463" s="189" t="s">
        <v>6225</v>
      </c>
      <c r="G1463" s="199" t="s">
        <v>8314</v>
      </c>
      <c r="H1463" s="199" t="s">
        <v>8639</v>
      </c>
      <c r="I1463" s="199">
        <v>1</v>
      </c>
      <c r="J1463" s="199">
        <v>1</v>
      </c>
      <c r="K1463" s="199">
        <v>1</v>
      </c>
      <c r="L1463" s="199">
        <v>50</v>
      </c>
      <c r="M1463" s="206">
        <f>TB_Parts_Lists[[#This Row],[Quantity Initial]]+ SUMIF(TB_Transactions[Part number],TB_Parts_Lists[[#This Row],[Part Number]],TB_Transactions[Quantity])</f>
        <v>50</v>
      </c>
      <c r="N1463" s="200" t="s">
        <v>4593</v>
      </c>
      <c r="O1463" s="234">
        <v>5</v>
      </c>
      <c r="P1463" s="199">
        <f>TB_Parts_Lists[[#This Row],[Quantity Initial]]*TB_Parts_Lists[[#This Row],[Unit Price AED]]</f>
        <v>250</v>
      </c>
      <c r="Q1463" s="199">
        <f>TB_Parts_Lists[[#This Row],[Quantity Total]]*TB_Parts_Lists[[#This Row],[Unit Price AED]]</f>
        <v>250</v>
      </c>
      <c r="R1463" s="205"/>
      <c r="S1463" s="199" t="s">
        <v>8675</v>
      </c>
      <c r="T1463" s="199" t="s">
        <v>8675</v>
      </c>
      <c r="U1463" s="199" t="s">
        <v>8675</v>
      </c>
    </row>
    <row r="1464" spans="1:21" s="199" customFormat="1" x14ac:dyDescent="0.25">
      <c r="A1464" s="193" t="s">
        <v>8012</v>
      </c>
      <c r="B1464" s="207" t="s">
        <v>3002</v>
      </c>
      <c r="C1464" s="205" t="s">
        <v>3007</v>
      </c>
      <c r="D1464" s="188" t="s">
        <v>8724</v>
      </c>
      <c r="E1464" s="188" t="s">
        <v>5729</v>
      </c>
      <c r="F1464" s="189" t="s">
        <v>6226</v>
      </c>
      <c r="G1464" s="199" t="s">
        <v>8314</v>
      </c>
      <c r="H1464" s="199" t="s">
        <v>8639</v>
      </c>
      <c r="I1464" s="199">
        <v>1</v>
      </c>
      <c r="J1464" s="199">
        <v>1</v>
      </c>
      <c r="K1464" s="199">
        <v>1</v>
      </c>
      <c r="L1464" s="199">
        <v>50</v>
      </c>
      <c r="M1464" s="206">
        <f>TB_Parts_Lists[[#This Row],[Quantity Initial]]+ SUMIF(TB_Transactions[Part number],TB_Parts_Lists[[#This Row],[Part Number]],TB_Transactions[Quantity])</f>
        <v>50</v>
      </c>
      <c r="N1464" s="200" t="s">
        <v>4593</v>
      </c>
      <c r="O1464" s="234">
        <v>5</v>
      </c>
      <c r="P1464" s="199">
        <f>TB_Parts_Lists[[#This Row],[Quantity Initial]]*TB_Parts_Lists[[#This Row],[Unit Price AED]]</f>
        <v>250</v>
      </c>
      <c r="Q1464" s="199">
        <f>TB_Parts_Lists[[#This Row],[Quantity Total]]*TB_Parts_Lists[[#This Row],[Unit Price AED]]</f>
        <v>250</v>
      </c>
      <c r="R1464" s="205"/>
      <c r="S1464" s="199" t="s">
        <v>8675</v>
      </c>
      <c r="T1464" s="199" t="s">
        <v>8675</v>
      </c>
      <c r="U1464" s="199" t="s">
        <v>8675</v>
      </c>
    </row>
    <row r="1465" spans="1:21" s="199" customFormat="1" x14ac:dyDescent="0.25">
      <c r="A1465" s="193" t="s">
        <v>8013</v>
      </c>
      <c r="B1465" s="207" t="s">
        <v>3002</v>
      </c>
      <c r="C1465" s="205" t="s">
        <v>3007</v>
      </c>
      <c r="D1465" s="188" t="s">
        <v>8724</v>
      </c>
      <c r="E1465" s="188" t="s">
        <v>5730</v>
      </c>
      <c r="F1465" s="189" t="s">
        <v>6227</v>
      </c>
      <c r="G1465" s="199" t="s">
        <v>8314</v>
      </c>
      <c r="H1465" s="199" t="s">
        <v>8639</v>
      </c>
      <c r="I1465" s="199">
        <v>1</v>
      </c>
      <c r="J1465" s="199">
        <v>1</v>
      </c>
      <c r="K1465" s="199">
        <v>1</v>
      </c>
      <c r="L1465" s="199">
        <v>50</v>
      </c>
      <c r="M1465" s="206">
        <f>TB_Parts_Lists[[#This Row],[Quantity Initial]]+ SUMIF(TB_Transactions[Part number],TB_Parts_Lists[[#This Row],[Part Number]],TB_Transactions[Quantity])</f>
        <v>50</v>
      </c>
      <c r="N1465" s="200" t="s">
        <v>4593</v>
      </c>
      <c r="O1465" s="234">
        <v>5</v>
      </c>
      <c r="P1465" s="199">
        <f>TB_Parts_Lists[[#This Row],[Quantity Initial]]*TB_Parts_Lists[[#This Row],[Unit Price AED]]</f>
        <v>250</v>
      </c>
      <c r="Q1465" s="199">
        <f>TB_Parts_Lists[[#This Row],[Quantity Total]]*TB_Parts_Lists[[#This Row],[Unit Price AED]]</f>
        <v>250</v>
      </c>
      <c r="R1465" s="205"/>
      <c r="S1465" s="199" t="s">
        <v>8675</v>
      </c>
      <c r="T1465" s="199" t="s">
        <v>8675</v>
      </c>
      <c r="U1465" s="199" t="s">
        <v>8675</v>
      </c>
    </row>
    <row r="1466" spans="1:21" s="199" customFormat="1" x14ac:dyDescent="0.25">
      <c r="A1466" s="193" t="s">
        <v>8014</v>
      </c>
      <c r="B1466" s="207" t="s">
        <v>3002</v>
      </c>
      <c r="C1466" s="205" t="s">
        <v>3007</v>
      </c>
      <c r="D1466" s="188" t="s">
        <v>8724</v>
      </c>
      <c r="E1466" s="188" t="s">
        <v>5731</v>
      </c>
      <c r="F1466" s="189" t="s">
        <v>6228</v>
      </c>
      <c r="G1466" s="199" t="s">
        <v>8314</v>
      </c>
      <c r="H1466" s="199" t="s">
        <v>8639</v>
      </c>
      <c r="I1466" s="199">
        <v>1</v>
      </c>
      <c r="J1466" s="199">
        <v>1</v>
      </c>
      <c r="K1466" s="199">
        <v>1</v>
      </c>
      <c r="L1466" s="199">
        <v>50</v>
      </c>
      <c r="M1466" s="206">
        <f>TB_Parts_Lists[[#This Row],[Quantity Initial]]+ SUMIF(TB_Transactions[Part number],TB_Parts_Lists[[#This Row],[Part Number]],TB_Transactions[Quantity])</f>
        <v>50</v>
      </c>
      <c r="N1466" s="200" t="s">
        <v>4593</v>
      </c>
      <c r="O1466" s="234">
        <v>5</v>
      </c>
      <c r="P1466" s="199">
        <f>TB_Parts_Lists[[#This Row],[Quantity Initial]]*TB_Parts_Lists[[#This Row],[Unit Price AED]]</f>
        <v>250</v>
      </c>
      <c r="Q1466" s="199">
        <f>TB_Parts_Lists[[#This Row],[Quantity Total]]*TB_Parts_Lists[[#This Row],[Unit Price AED]]</f>
        <v>250</v>
      </c>
      <c r="R1466" s="205"/>
      <c r="S1466" s="199" t="s">
        <v>8675</v>
      </c>
      <c r="T1466" s="199" t="s">
        <v>8675</v>
      </c>
      <c r="U1466" s="199" t="s">
        <v>8675</v>
      </c>
    </row>
    <row r="1467" spans="1:21" s="199" customFormat="1" x14ac:dyDescent="0.25">
      <c r="A1467" s="193" t="s">
        <v>8015</v>
      </c>
      <c r="B1467" s="207" t="s">
        <v>3002</v>
      </c>
      <c r="C1467" s="205" t="s">
        <v>3007</v>
      </c>
      <c r="D1467" s="188" t="s">
        <v>8724</v>
      </c>
      <c r="E1467" s="188" t="s">
        <v>5732</v>
      </c>
      <c r="F1467" s="189" t="s">
        <v>6229</v>
      </c>
      <c r="G1467" s="199" t="s">
        <v>8314</v>
      </c>
      <c r="H1467" s="199" t="s">
        <v>8639</v>
      </c>
      <c r="I1467" s="199">
        <v>1</v>
      </c>
      <c r="J1467" s="199">
        <v>1</v>
      </c>
      <c r="K1467" s="199">
        <v>1</v>
      </c>
      <c r="L1467" s="199">
        <v>50</v>
      </c>
      <c r="M1467" s="206">
        <f>TB_Parts_Lists[[#This Row],[Quantity Initial]]+ SUMIF(TB_Transactions[Part number],TB_Parts_Lists[[#This Row],[Part Number]],TB_Transactions[Quantity])</f>
        <v>50</v>
      </c>
      <c r="N1467" s="200" t="s">
        <v>4593</v>
      </c>
      <c r="O1467" s="234">
        <v>5</v>
      </c>
      <c r="P1467" s="199">
        <f>TB_Parts_Lists[[#This Row],[Quantity Initial]]*TB_Parts_Lists[[#This Row],[Unit Price AED]]</f>
        <v>250</v>
      </c>
      <c r="Q1467" s="199">
        <f>TB_Parts_Lists[[#This Row],[Quantity Total]]*TB_Parts_Lists[[#This Row],[Unit Price AED]]</f>
        <v>250</v>
      </c>
      <c r="R1467" s="205"/>
      <c r="S1467" s="199" t="s">
        <v>8675</v>
      </c>
      <c r="T1467" s="199" t="s">
        <v>8675</v>
      </c>
      <c r="U1467" s="199" t="s">
        <v>8675</v>
      </c>
    </row>
    <row r="1468" spans="1:21" s="199" customFormat="1" x14ac:dyDescent="0.25">
      <c r="A1468" s="193" t="s">
        <v>8016</v>
      </c>
      <c r="B1468" s="207" t="s">
        <v>3002</v>
      </c>
      <c r="C1468" s="205" t="s">
        <v>3007</v>
      </c>
      <c r="D1468" s="188" t="s">
        <v>8724</v>
      </c>
      <c r="E1468" s="188" t="s">
        <v>5733</v>
      </c>
      <c r="F1468" s="189" t="s">
        <v>6230</v>
      </c>
      <c r="G1468" s="199" t="s">
        <v>8314</v>
      </c>
      <c r="H1468" s="199" t="s">
        <v>8639</v>
      </c>
      <c r="I1468" s="199">
        <v>1</v>
      </c>
      <c r="J1468" s="199">
        <v>1</v>
      </c>
      <c r="K1468" s="199">
        <v>1</v>
      </c>
      <c r="L1468" s="199">
        <v>50</v>
      </c>
      <c r="M1468" s="206">
        <f>TB_Parts_Lists[[#This Row],[Quantity Initial]]+ SUMIF(TB_Transactions[Part number],TB_Parts_Lists[[#This Row],[Part Number]],TB_Transactions[Quantity])</f>
        <v>50</v>
      </c>
      <c r="N1468" s="200" t="s">
        <v>4593</v>
      </c>
      <c r="O1468" s="234">
        <v>5</v>
      </c>
      <c r="P1468" s="199">
        <f>TB_Parts_Lists[[#This Row],[Quantity Initial]]*TB_Parts_Lists[[#This Row],[Unit Price AED]]</f>
        <v>250</v>
      </c>
      <c r="Q1468" s="199">
        <f>TB_Parts_Lists[[#This Row],[Quantity Total]]*TB_Parts_Lists[[#This Row],[Unit Price AED]]</f>
        <v>250</v>
      </c>
      <c r="R1468" s="205"/>
      <c r="S1468" s="199" t="s">
        <v>8675</v>
      </c>
      <c r="T1468" s="199" t="s">
        <v>8675</v>
      </c>
      <c r="U1468" s="199" t="s">
        <v>8675</v>
      </c>
    </row>
    <row r="1469" spans="1:21" s="199" customFormat="1" x14ac:dyDescent="0.25">
      <c r="A1469" s="193" t="s">
        <v>8017</v>
      </c>
      <c r="B1469" s="207" t="s">
        <v>3002</v>
      </c>
      <c r="C1469" s="205" t="s">
        <v>3007</v>
      </c>
      <c r="D1469" s="188" t="s">
        <v>8724</v>
      </c>
      <c r="E1469" s="188" t="s">
        <v>5734</v>
      </c>
      <c r="F1469" s="189" t="s">
        <v>6231</v>
      </c>
      <c r="G1469" s="199" t="s">
        <v>8314</v>
      </c>
      <c r="H1469" s="199" t="s">
        <v>8639</v>
      </c>
      <c r="I1469" s="199">
        <v>1</v>
      </c>
      <c r="J1469" s="199">
        <v>1</v>
      </c>
      <c r="K1469" s="199">
        <v>1</v>
      </c>
      <c r="L1469" s="199">
        <v>50</v>
      </c>
      <c r="M1469" s="206">
        <f>TB_Parts_Lists[[#This Row],[Quantity Initial]]+ SUMIF(TB_Transactions[Part number],TB_Parts_Lists[[#This Row],[Part Number]],TB_Transactions[Quantity])</f>
        <v>50</v>
      </c>
      <c r="N1469" s="200" t="s">
        <v>4593</v>
      </c>
      <c r="O1469" s="234">
        <v>5</v>
      </c>
      <c r="P1469" s="199">
        <f>TB_Parts_Lists[[#This Row],[Quantity Initial]]*TB_Parts_Lists[[#This Row],[Unit Price AED]]</f>
        <v>250</v>
      </c>
      <c r="Q1469" s="199">
        <f>TB_Parts_Lists[[#This Row],[Quantity Total]]*TB_Parts_Lists[[#This Row],[Unit Price AED]]</f>
        <v>250</v>
      </c>
      <c r="R1469" s="205"/>
      <c r="S1469" s="199" t="s">
        <v>8675</v>
      </c>
      <c r="T1469" s="199" t="s">
        <v>8675</v>
      </c>
      <c r="U1469" s="199" t="s">
        <v>8675</v>
      </c>
    </row>
    <row r="1470" spans="1:21" s="199" customFormat="1" x14ac:dyDescent="0.25">
      <c r="A1470" s="193" t="s">
        <v>8018</v>
      </c>
      <c r="B1470" s="207" t="s">
        <v>3002</v>
      </c>
      <c r="C1470" s="205" t="s">
        <v>3007</v>
      </c>
      <c r="D1470" s="188" t="s">
        <v>8724</v>
      </c>
      <c r="E1470" s="188" t="s">
        <v>5735</v>
      </c>
      <c r="F1470" s="189" t="s">
        <v>6232</v>
      </c>
      <c r="G1470" s="199" t="s">
        <v>8314</v>
      </c>
      <c r="H1470" s="199" t="s">
        <v>8639</v>
      </c>
      <c r="I1470" s="199">
        <v>1</v>
      </c>
      <c r="J1470" s="199">
        <v>1</v>
      </c>
      <c r="K1470" s="199">
        <v>1</v>
      </c>
      <c r="L1470" s="199">
        <v>50</v>
      </c>
      <c r="M1470" s="206">
        <f>TB_Parts_Lists[[#This Row],[Quantity Initial]]+ SUMIF(TB_Transactions[Part number],TB_Parts_Lists[[#This Row],[Part Number]],TB_Transactions[Quantity])</f>
        <v>50</v>
      </c>
      <c r="N1470" s="200" t="s">
        <v>4593</v>
      </c>
      <c r="O1470" s="234">
        <v>5</v>
      </c>
      <c r="P1470" s="199">
        <f>TB_Parts_Lists[[#This Row],[Quantity Initial]]*TB_Parts_Lists[[#This Row],[Unit Price AED]]</f>
        <v>250</v>
      </c>
      <c r="Q1470" s="199">
        <f>TB_Parts_Lists[[#This Row],[Quantity Total]]*TB_Parts_Lists[[#This Row],[Unit Price AED]]</f>
        <v>250</v>
      </c>
      <c r="R1470" s="205"/>
      <c r="S1470" s="199" t="s">
        <v>8675</v>
      </c>
      <c r="T1470" s="199" t="s">
        <v>8675</v>
      </c>
      <c r="U1470" s="199" t="s">
        <v>8675</v>
      </c>
    </row>
    <row r="1471" spans="1:21" s="199" customFormat="1" x14ac:dyDescent="0.25">
      <c r="A1471" s="193" t="s">
        <v>8019</v>
      </c>
      <c r="B1471" s="207" t="s">
        <v>3002</v>
      </c>
      <c r="C1471" s="205" t="s">
        <v>3007</v>
      </c>
      <c r="D1471" s="188" t="s">
        <v>8724</v>
      </c>
      <c r="E1471" s="188" t="s">
        <v>5736</v>
      </c>
      <c r="F1471" s="189" t="s">
        <v>6233</v>
      </c>
      <c r="G1471" s="199" t="s">
        <v>8314</v>
      </c>
      <c r="H1471" s="199" t="s">
        <v>8639</v>
      </c>
      <c r="I1471" s="199">
        <v>1</v>
      </c>
      <c r="J1471" s="199">
        <v>1</v>
      </c>
      <c r="K1471" s="199">
        <v>1</v>
      </c>
      <c r="L1471" s="199">
        <v>50</v>
      </c>
      <c r="M1471" s="206">
        <f>TB_Parts_Lists[[#This Row],[Quantity Initial]]+ SUMIF(TB_Transactions[Part number],TB_Parts_Lists[[#This Row],[Part Number]],TB_Transactions[Quantity])</f>
        <v>50</v>
      </c>
      <c r="N1471" s="200" t="s">
        <v>4593</v>
      </c>
      <c r="O1471" s="234">
        <v>5</v>
      </c>
      <c r="P1471" s="199">
        <f>TB_Parts_Lists[[#This Row],[Quantity Initial]]*TB_Parts_Lists[[#This Row],[Unit Price AED]]</f>
        <v>250</v>
      </c>
      <c r="Q1471" s="199">
        <f>TB_Parts_Lists[[#This Row],[Quantity Total]]*TB_Parts_Lists[[#This Row],[Unit Price AED]]</f>
        <v>250</v>
      </c>
      <c r="R1471" s="205"/>
      <c r="S1471" s="199" t="s">
        <v>8675</v>
      </c>
      <c r="T1471" s="199" t="s">
        <v>8675</v>
      </c>
      <c r="U1471" s="199" t="s">
        <v>8675</v>
      </c>
    </row>
    <row r="1472" spans="1:21" s="199" customFormat="1" x14ac:dyDescent="0.25">
      <c r="A1472" s="193" t="s">
        <v>8020</v>
      </c>
      <c r="B1472" s="207" t="s">
        <v>3002</v>
      </c>
      <c r="C1472" s="205" t="s">
        <v>3007</v>
      </c>
      <c r="D1472" s="188" t="s">
        <v>8724</v>
      </c>
      <c r="E1472" s="188" t="s">
        <v>5737</v>
      </c>
      <c r="F1472" s="189" t="s">
        <v>6234</v>
      </c>
      <c r="G1472" s="199" t="s">
        <v>8314</v>
      </c>
      <c r="H1472" s="199" t="s">
        <v>8639</v>
      </c>
      <c r="I1472" s="199">
        <v>1</v>
      </c>
      <c r="J1472" s="199">
        <v>1</v>
      </c>
      <c r="K1472" s="199">
        <v>1</v>
      </c>
      <c r="L1472" s="199">
        <v>50</v>
      </c>
      <c r="M1472" s="206">
        <f>TB_Parts_Lists[[#This Row],[Quantity Initial]]+ SUMIF(TB_Transactions[Part number],TB_Parts_Lists[[#This Row],[Part Number]],TB_Transactions[Quantity])</f>
        <v>50</v>
      </c>
      <c r="N1472" s="200" t="s">
        <v>4593</v>
      </c>
      <c r="O1472" s="234">
        <v>5</v>
      </c>
      <c r="P1472" s="199">
        <f>TB_Parts_Lists[[#This Row],[Quantity Initial]]*TB_Parts_Lists[[#This Row],[Unit Price AED]]</f>
        <v>250</v>
      </c>
      <c r="Q1472" s="199">
        <f>TB_Parts_Lists[[#This Row],[Quantity Total]]*TB_Parts_Lists[[#This Row],[Unit Price AED]]</f>
        <v>250</v>
      </c>
      <c r="R1472" s="205"/>
      <c r="S1472" s="199" t="s">
        <v>8675</v>
      </c>
      <c r="T1472" s="199" t="s">
        <v>8675</v>
      </c>
      <c r="U1472" s="199" t="s">
        <v>8675</v>
      </c>
    </row>
    <row r="1473" spans="1:21" s="199" customFormat="1" x14ac:dyDescent="0.25">
      <c r="A1473" s="193" t="s">
        <v>8021</v>
      </c>
      <c r="B1473" s="207" t="s">
        <v>3002</v>
      </c>
      <c r="C1473" s="205" t="s">
        <v>3007</v>
      </c>
      <c r="D1473" s="188" t="s">
        <v>8724</v>
      </c>
      <c r="E1473" s="188" t="s">
        <v>5738</v>
      </c>
      <c r="F1473" s="189" t="s">
        <v>6235</v>
      </c>
      <c r="G1473" s="199" t="s">
        <v>8314</v>
      </c>
      <c r="H1473" s="199" t="s">
        <v>8639</v>
      </c>
      <c r="I1473" s="199">
        <v>1</v>
      </c>
      <c r="J1473" s="199">
        <v>1</v>
      </c>
      <c r="K1473" s="199">
        <v>1</v>
      </c>
      <c r="L1473" s="199">
        <v>50</v>
      </c>
      <c r="M1473" s="206">
        <f>TB_Parts_Lists[[#This Row],[Quantity Initial]]+ SUMIF(TB_Transactions[Part number],TB_Parts_Lists[[#This Row],[Part Number]],TB_Transactions[Quantity])</f>
        <v>50</v>
      </c>
      <c r="N1473" s="200" t="s">
        <v>4593</v>
      </c>
      <c r="O1473" s="234">
        <v>5</v>
      </c>
      <c r="P1473" s="199">
        <f>TB_Parts_Lists[[#This Row],[Quantity Initial]]*TB_Parts_Lists[[#This Row],[Unit Price AED]]</f>
        <v>250</v>
      </c>
      <c r="Q1473" s="199">
        <f>TB_Parts_Lists[[#This Row],[Quantity Total]]*TB_Parts_Lists[[#This Row],[Unit Price AED]]</f>
        <v>250</v>
      </c>
      <c r="R1473" s="205"/>
      <c r="S1473" s="199" t="s">
        <v>8675</v>
      </c>
      <c r="T1473" s="199" t="s">
        <v>8675</v>
      </c>
      <c r="U1473" s="199" t="s">
        <v>8675</v>
      </c>
    </row>
    <row r="1474" spans="1:21" s="199" customFormat="1" x14ac:dyDescent="0.25">
      <c r="A1474" s="193" t="s">
        <v>8022</v>
      </c>
      <c r="B1474" s="207" t="s">
        <v>3002</v>
      </c>
      <c r="C1474" s="205" t="s">
        <v>3007</v>
      </c>
      <c r="D1474" s="188" t="s">
        <v>8724</v>
      </c>
      <c r="E1474" s="188" t="s">
        <v>5739</v>
      </c>
      <c r="F1474" s="189" t="s">
        <v>6236</v>
      </c>
      <c r="G1474" s="199" t="s">
        <v>8314</v>
      </c>
      <c r="H1474" s="199" t="s">
        <v>8639</v>
      </c>
      <c r="I1474" s="199">
        <v>1</v>
      </c>
      <c r="J1474" s="199">
        <v>1</v>
      </c>
      <c r="K1474" s="199">
        <v>1</v>
      </c>
      <c r="L1474" s="199">
        <v>50</v>
      </c>
      <c r="M1474" s="206">
        <f>TB_Parts_Lists[[#This Row],[Quantity Initial]]+ SUMIF(TB_Transactions[Part number],TB_Parts_Lists[[#This Row],[Part Number]],TB_Transactions[Quantity])</f>
        <v>50</v>
      </c>
      <c r="N1474" s="200" t="s">
        <v>4593</v>
      </c>
      <c r="O1474" s="234">
        <v>5</v>
      </c>
      <c r="P1474" s="199">
        <f>TB_Parts_Lists[[#This Row],[Quantity Initial]]*TB_Parts_Lists[[#This Row],[Unit Price AED]]</f>
        <v>250</v>
      </c>
      <c r="Q1474" s="199">
        <f>TB_Parts_Lists[[#This Row],[Quantity Total]]*TB_Parts_Lists[[#This Row],[Unit Price AED]]</f>
        <v>250</v>
      </c>
      <c r="R1474" s="205"/>
      <c r="S1474" s="199" t="s">
        <v>8675</v>
      </c>
      <c r="T1474" s="199" t="s">
        <v>8675</v>
      </c>
      <c r="U1474" s="199" t="s">
        <v>8675</v>
      </c>
    </row>
    <row r="1475" spans="1:21" s="199" customFormat="1" x14ac:dyDescent="0.25">
      <c r="A1475" s="193" t="s">
        <v>8023</v>
      </c>
      <c r="B1475" s="207" t="s">
        <v>3002</v>
      </c>
      <c r="C1475" s="205" t="s">
        <v>3007</v>
      </c>
      <c r="D1475" s="188" t="s">
        <v>8724</v>
      </c>
      <c r="E1475" s="188" t="s">
        <v>5740</v>
      </c>
      <c r="F1475" s="189" t="s">
        <v>6237</v>
      </c>
      <c r="G1475" s="199" t="s">
        <v>8314</v>
      </c>
      <c r="H1475" s="199" t="s">
        <v>8639</v>
      </c>
      <c r="I1475" s="199">
        <v>1</v>
      </c>
      <c r="J1475" s="199">
        <v>1</v>
      </c>
      <c r="K1475" s="199">
        <v>1</v>
      </c>
      <c r="L1475" s="199">
        <v>50</v>
      </c>
      <c r="M1475" s="206">
        <f>TB_Parts_Lists[[#This Row],[Quantity Initial]]+ SUMIF(TB_Transactions[Part number],TB_Parts_Lists[[#This Row],[Part Number]],TB_Transactions[Quantity])</f>
        <v>50</v>
      </c>
      <c r="N1475" s="200" t="s">
        <v>4593</v>
      </c>
      <c r="O1475" s="234">
        <v>5</v>
      </c>
      <c r="P1475" s="199">
        <f>TB_Parts_Lists[[#This Row],[Quantity Initial]]*TB_Parts_Lists[[#This Row],[Unit Price AED]]</f>
        <v>250</v>
      </c>
      <c r="Q1475" s="199">
        <f>TB_Parts_Lists[[#This Row],[Quantity Total]]*TB_Parts_Lists[[#This Row],[Unit Price AED]]</f>
        <v>250</v>
      </c>
      <c r="R1475" s="205"/>
      <c r="S1475" s="199" t="s">
        <v>8675</v>
      </c>
      <c r="T1475" s="199" t="s">
        <v>8675</v>
      </c>
      <c r="U1475" s="199" t="s">
        <v>8675</v>
      </c>
    </row>
    <row r="1476" spans="1:21" s="199" customFormat="1" x14ac:dyDescent="0.25">
      <c r="A1476" s="193" t="s">
        <v>8024</v>
      </c>
      <c r="B1476" s="207" t="s">
        <v>3002</v>
      </c>
      <c r="C1476" s="205" t="s">
        <v>3007</v>
      </c>
      <c r="D1476" s="188" t="s">
        <v>8724</v>
      </c>
      <c r="E1476" s="188" t="s">
        <v>5741</v>
      </c>
      <c r="F1476" s="189" t="s">
        <v>6238</v>
      </c>
      <c r="G1476" s="199" t="s">
        <v>8314</v>
      </c>
      <c r="H1476" s="199" t="s">
        <v>8639</v>
      </c>
      <c r="I1476" s="199">
        <v>1</v>
      </c>
      <c r="J1476" s="199">
        <v>1</v>
      </c>
      <c r="K1476" s="199">
        <v>1</v>
      </c>
      <c r="L1476" s="199">
        <v>50</v>
      </c>
      <c r="M1476" s="206">
        <f>TB_Parts_Lists[[#This Row],[Quantity Initial]]+ SUMIF(TB_Transactions[Part number],TB_Parts_Lists[[#This Row],[Part Number]],TB_Transactions[Quantity])</f>
        <v>50</v>
      </c>
      <c r="N1476" s="200" t="s">
        <v>4593</v>
      </c>
      <c r="O1476" s="234">
        <v>5</v>
      </c>
      <c r="P1476" s="199">
        <f>TB_Parts_Lists[[#This Row],[Quantity Initial]]*TB_Parts_Lists[[#This Row],[Unit Price AED]]</f>
        <v>250</v>
      </c>
      <c r="Q1476" s="199">
        <f>TB_Parts_Lists[[#This Row],[Quantity Total]]*TB_Parts_Lists[[#This Row],[Unit Price AED]]</f>
        <v>250</v>
      </c>
      <c r="R1476" s="205"/>
      <c r="S1476" s="199" t="s">
        <v>8675</v>
      </c>
      <c r="T1476" s="199" t="s">
        <v>8675</v>
      </c>
      <c r="U1476" s="199" t="s">
        <v>8675</v>
      </c>
    </row>
    <row r="1477" spans="1:21" s="199" customFormat="1" x14ac:dyDescent="0.25">
      <c r="A1477" s="193" t="s">
        <v>8025</v>
      </c>
      <c r="B1477" s="207" t="s">
        <v>3002</v>
      </c>
      <c r="C1477" s="205" t="s">
        <v>3007</v>
      </c>
      <c r="D1477" s="188" t="s">
        <v>8724</v>
      </c>
      <c r="E1477" s="188" t="s">
        <v>5742</v>
      </c>
      <c r="F1477" s="189" t="s">
        <v>6239</v>
      </c>
      <c r="G1477" s="199" t="s">
        <v>8314</v>
      </c>
      <c r="H1477" s="199" t="s">
        <v>8639</v>
      </c>
      <c r="I1477" s="199">
        <v>1</v>
      </c>
      <c r="J1477" s="199">
        <v>1</v>
      </c>
      <c r="K1477" s="199">
        <v>1</v>
      </c>
      <c r="L1477" s="199">
        <v>50</v>
      </c>
      <c r="M1477" s="206">
        <f>TB_Parts_Lists[[#This Row],[Quantity Initial]]+ SUMIF(TB_Transactions[Part number],TB_Parts_Lists[[#This Row],[Part Number]],TB_Transactions[Quantity])</f>
        <v>50</v>
      </c>
      <c r="N1477" s="200" t="s">
        <v>4593</v>
      </c>
      <c r="O1477" s="234">
        <v>5</v>
      </c>
      <c r="P1477" s="199">
        <f>TB_Parts_Lists[[#This Row],[Quantity Initial]]*TB_Parts_Lists[[#This Row],[Unit Price AED]]</f>
        <v>250</v>
      </c>
      <c r="Q1477" s="199">
        <f>TB_Parts_Lists[[#This Row],[Quantity Total]]*TB_Parts_Lists[[#This Row],[Unit Price AED]]</f>
        <v>250</v>
      </c>
      <c r="R1477" s="205"/>
      <c r="S1477" s="199" t="s">
        <v>8675</v>
      </c>
      <c r="T1477" s="199" t="s">
        <v>8675</v>
      </c>
      <c r="U1477" s="199" t="s">
        <v>8675</v>
      </c>
    </row>
    <row r="1478" spans="1:21" s="199" customFormat="1" x14ac:dyDescent="0.25">
      <c r="A1478" s="193" t="s">
        <v>8026</v>
      </c>
      <c r="B1478" s="207" t="s">
        <v>3002</v>
      </c>
      <c r="C1478" s="205" t="s">
        <v>3007</v>
      </c>
      <c r="D1478" s="188" t="s">
        <v>8724</v>
      </c>
      <c r="E1478" s="188" t="s">
        <v>5743</v>
      </c>
      <c r="F1478" s="189" t="s">
        <v>6240</v>
      </c>
      <c r="G1478" s="199" t="s">
        <v>8314</v>
      </c>
      <c r="H1478" s="199" t="s">
        <v>8639</v>
      </c>
      <c r="I1478" s="199">
        <v>1</v>
      </c>
      <c r="J1478" s="199">
        <v>1</v>
      </c>
      <c r="K1478" s="199">
        <v>1</v>
      </c>
      <c r="L1478" s="199">
        <v>50</v>
      </c>
      <c r="M1478" s="206">
        <f>TB_Parts_Lists[[#This Row],[Quantity Initial]]+ SUMIF(TB_Transactions[Part number],TB_Parts_Lists[[#This Row],[Part Number]],TB_Transactions[Quantity])</f>
        <v>50</v>
      </c>
      <c r="N1478" s="200" t="s">
        <v>4593</v>
      </c>
      <c r="O1478" s="234">
        <v>5</v>
      </c>
      <c r="P1478" s="199">
        <f>TB_Parts_Lists[[#This Row],[Quantity Initial]]*TB_Parts_Lists[[#This Row],[Unit Price AED]]</f>
        <v>250</v>
      </c>
      <c r="Q1478" s="199">
        <f>TB_Parts_Lists[[#This Row],[Quantity Total]]*TB_Parts_Lists[[#This Row],[Unit Price AED]]</f>
        <v>250</v>
      </c>
      <c r="R1478" s="205"/>
      <c r="S1478" s="199" t="s">
        <v>8675</v>
      </c>
      <c r="T1478" s="199" t="s">
        <v>8675</v>
      </c>
      <c r="U1478" s="199" t="s">
        <v>8675</v>
      </c>
    </row>
    <row r="1479" spans="1:21" s="199" customFormat="1" x14ac:dyDescent="0.25">
      <c r="A1479" s="193" t="s">
        <v>8027</v>
      </c>
      <c r="B1479" s="207" t="s">
        <v>3002</v>
      </c>
      <c r="C1479" s="205" t="s">
        <v>3007</v>
      </c>
      <c r="D1479" s="188" t="s">
        <v>8724</v>
      </c>
      <c r="E1479" s="188" t="s">
        <v>5744</v>
      </c>
      <c r="F1479" s="189" t="s">
        <v>6241</v>
      </c>
      <c r="G1479" s="199" t="s">
        <v>8314</v>
      </c>
      <c r="H1479" s="199" t="s">
        <v>8639</v>
      </c>
      <c r="I1479" s="199">
        <v>1</v>
      </c>
      <c r="J1479" s="199">
        <v>1</v>
      </c>
      <c r="K1479" s="199">
        <v>1</v>
      </c>
      <c r="L1479" s="199">
        <v>50</v>
      </c>
      <c r="M1479" s="206">
        <f>TB_Parts_Lists[[#This Row],[Quantity Initial]]+ SUMIF(TB_Transactions[Part number],TB_Parts_Lists[[#This Row],[Part Number]],TB_Transactions[Quantity])</f>
        <v>50</v>
      </c>
      <c r="N1479" s="200" t="s">
        <v>4593</v>
      </c>
      <c r="O1479" s="234">
        <v>5</v>
      </c>
      <c r="P1479" s="199">
        <f>TB_Parts_Lists[[#This Row],[Quantity Initial]]*TB_Parts_Lists[[#This Row],[Unit Price AED]]</f>
        <v>250</v>
      </c>
      <c r="Q1479" s="199">
        <f>TB_Parts_Lists[[#This Row],[Quantity Total]]*TB_Parts_Lists[[#This Row],[Unit Price AED]]</f>
        <v>250</v>
      </c>
      <c r="R1479" s="205"/>
      <c r="S1479" s="199" t="s">
        <v>8675</v>
      </c>
      <c r="T1479" s="199" t="s">
        <v>8675</v>
      </c>
      <c r="U1479" s="199" t="s">
        <v>8675</v>
      </c>
    </row>
    <row r="1480" spans="1:21" s="199" customFormat="1" x14ac:dyDescent="0.25">
      <c r="A1480" s="193" t="s">
        <v>8028</v>
      </c>
      <c r="B1480" s="207" t="s">
        <v>3002</v>
      </c>
      <c r="C1480" s="205" t="s">
        <v>3007</v>
      </c>
      <c r="D1480" s="188" t="s">
        <v>8724</v>
      </c>
      <c r="E1480" s="188" t="s">
        <v>5745</v>
      </c>
      <c r="F1480" s="189" t="s">
        <v>6242</v>
      </c>
      <c r="G1480" s="199" t="s">
        <v>8314</v>
      </c>
      <c r="H1480" s="199" t="s">
        <v>8639</v>
      </c>
      <c r="I1480" s="199">
        <v>1</v>
      </c>
      <c r="J1480" s="199">
        <v>1</v>
      </c>
      <c r="K1480" s="199">
        <v>1</v>
      </c>
      <c r="L1480" s="199">
        <v>50</v>
      </c>
      <c r="M1480" s="206">
        <f>TB_Parts_Lists[[#This Row],[Quantity Initial]]+ SUMIF(TB_Transactions[Part number],TB_Parts_Lists[[#This Row],[Part Number]],TB_Transactions[Quantity])</f>
        <v>50</v>
      </c>
      <c r="N1480" s="200" t="s">
        <v>4593</v>
      </c>
      <c r="O1480" s="234">
        <v>5</v>
      </c>
      <c r="P1480" s="199">
        <f>TB_Parts_Lists[[#This Row],[Quantity Initial]]*TB_Parts_Lists[[#This Row],[Unit Price AED]]</f>
        <v>250</v>
      </c>
      <c r="Q1480" s="199">
        <f>TB_Parts_Lists[[#This Row],[Quantity Total]]*TB_Parts_Lists[[#This Row],[Unit Price AED]]</f>
        <v>250</v>
      </c>
      <c r="R1480" s="205"/>
      <c r="S1480" s="199" t="s">
        <v>8675</v>
      </c>
      <c r="T1480" s="199" t="s">
        <v>8675</v>
      </c>
      <c r="U1480" s="199" t="s">
        <v>8675</v>
      </c>
    </row>
    <row r="1481" spans="1:21" s="199" customFormat="1" x14ac:dyDescent="0.25">
      <c r="A1481" s="193" t="s">
        <v>8029</v>
      </c>
      <c r="B1481" s="207" t="s">
        <v>3002</v>
      </c>
      <c r="C1481" s="205" t="s">
        <v>3007</v>
      </c>
      <c r="D1481" s="188" t="s">
        <v>8724</v>
      </c>
      <c r="E1481" s="188" t="s">
        <v>5746</v>
      </c>
      <c r="F1481" s="189" t="s">
        <v>6243</v>
      </c>
      <c r="G1481" s="199" t="s">
        <v>8314</v>
      </c>
      <c r="H1481" s="199" t="s">
        <v>8639</v>
      </c>
      <c r="I1481" s="199">
        <v>1</v>
      </c>
      <c r="J1481" s="199">
        <v>1</v>
      </c>
      <c r="K1481" s="199">
        <v>1</v>
      </c>
      <c r="L1481" s="199">
        <v>50</v>
      </c>
      <c r="M1481" s="206">
        <f>TB_Parts_Lists[[#This Row],[Quantity Initial]]+ SUMIF(TB_Transactions[Part number],TB_Parts_Lists[[#This Row],[Part Number]],TB_Transactions[Quantity])</f>
        <v>50</v>
      </c>
      <c r="N1481" s="200" t="s">
        <v>4593</v>
      </c>
      <c r="O1481" s="234">
        <v>5</v>
      </c>
      <c r="P1481" s="199">
        <f>TB_Parts_Lists[[#This Row],[Quantity Initial]]*TB_Parts_Lists[[#This Row],[Unit Price AED]]</f>
        <v>250</v>
      </c>
      <c r="Q1481" s="199">
        <f>TB_Parts_Lists[[#This Row],[Quantity Total]]*TB_Parts_Lists[[#This Row],[Unit Price AED]]</f>
        <v>250</v>
      </c>
      <c r="R1481" s="205"/>
      <c r="S1481" s="199" t="s">
        <v>8675</v>
      </c>
      <c r="T1481" s="199" t="s">
        <v>8675</v>
      </c>
      <c r="U1481" s="199" t="s">
        <v>8675</v>
      </c>
    </row>
    <row r="1482" spans="1:21" s="199" customFormat="1" x14ac:dyDescent="0.25">
      <c r="A1482" s="193" t="s">
        <v>8030</v>
      </c>
      <c r="B1482" s="207" t="s">
        <v>3002</v>
      </c>
      <c r="C1482" s="205" t="s">
        <v>3007</v>
      </c>
      <c r="D1482" s="188" t="s">
        <v>8724</v>
      </c>
      <c r="E1482" s="188" t="s">
        <v>5747</v>
      </c>
      <c r="F1482" s="189" t="s">
        <v>6244</v>
      </c>
      <c r="G1482" s="199" t="s">
        <v>8314</v>
      </c>
      <c r="H1482" s="199" t="s">
        <v>8639</v>
      </c>
      <c r="I1482" s="199">
        <v>1</v>
      </c>
      <c r="J1482" s="199">
        <v>1</v>
      </c>
      <c r="K1482" s="199">
        <v>1</v>
      </c>
      <c r="L1482" s="199">
        <v>50</v>
      </c>
      <c r="M1482" s="206">
        <f>TB_Parts_Lists[[#This Row],[Quantity Initial]]+ SUMIF(TB_Transactions[Part number],TB_Parts_Lists[[#This Row],[Part Number]],TB_Transactions[Quantity])</f>
        <v>50</v>
      </c>
      <c r="N1482" s="200" t="s">
        <v>4593</v>
      </c>
      <c r="O1482" s="234">
        <v>5</v>
      </c>
      <c r="P1482" s="199">
        <f>TB_Parts_Lists[[#This Row],[Quantity Initial]]*TB_Parts_Lists[[#This Row],[Unit Price AED]]</f>
        <v>250</v>
      </c>
      <c r="Q1482" s="199">
        <f>TB_Parts_Lists[[#This Row],[Quantity Total]]*TB_Parts_Lists[[#This Row],[Unit Price AED]]</f>
        <v>250</v>
      </c>
      <c r="R1482" s="205"/>
      <c r="S1482" s="199" t="s">
        <v>8675</v>
      </c>
      <c r="T1482" s="199" t="s">
        <v>8675</v>
      </c>
      <c r="U1482" s="199" t="s">
        <v>8675</v>
      </c>
    </row>
    <row r="1483" spans="1:21" s="199" customFormat="1" x14ac:dyDescent="0.25">
      <c r="A1483" s="193" t="s">
        <v>8031</v>
      </c>
      <c r="B1483" s="207" t="s">
        <v>3002</v>
      </c>
      <c r="C1483" s="205" t="s">
        <v>3006</v>
      </c>
      <c r="D1483" s="188" t="s">
        <v>8724</v>
      </c>
      <c r="E1483" s="188" t="s">
        <v>5748</v>
      </c>
      <c r="F1483" s="189" t="s">
        <v>6245</v>
      </c>
      <c r="G1483" s="199" t="s">
        <v>8314</v>
      </c>
      <c r="H1483" s="199" t="s">
        <v>8639</v>
      </c>
      <c r="I1483" s="199">
        <v>1</v>
      </c>
      <c r="J1483" s="199">
        <v>1</v>
      </c>
      <c r="K1483" s="199">
        <v>1</v>
      </c>
      <c r="L1483" s="199">
        <v>50</v>
      </c>
      <c r="M1483" s="206">
        <f>TB_Parts_Lists[[#This Row],[Quantity Initial]]+ SUMIF(TB_Transactions[Part number],TB_Parts_Lists[[#This Row],[Part Number]],TB_Transactions[Quantity])</f>
        <v>50</v>
      </c>
      <c r="N1483" s="200" t="s">
        <v>4593</v>
      </c>
      <c r="O1483" s="234">
        <v>5</v>
      </c>
      <c r="P1483" s="199">
        <f>TB_Parts_Lists[[#This Row],[Quantity Initial]]*TB_Parts_Lists[[#This Row],[Unit Price AED]]</f>
        <v>250</v>
      </c>
      <c r="Q1483" s="199">
        <f>TB_Parts_Lists[[#This Row],[Quantity Total]]*TB_Parts_Lists[[#This Row],[Unit Price AED]]</f>
        <v>250</v>
      </c>
      <c r="R1483" s="205"/>
      <c r="S1483" s="199" t="s">
        <v>8675</v>
      </c>
      <c r="T1483" s="199" t="s">
        <v>8675</v>
      </c>
      <c r="U1483" s="199" t="s">
        <v>8675</v>
      </c>
    </row>
    <row r="1484" spans="1:21" s="199" customFormat="1" x14ac:dyDescent="0.25">
      <c r="A1484" s="193" t="s">
        <v>8032</v>
      </c>
      <c r="B1484" s="207" t="s">
        <v>3002</v>
      </c>
      <c r="C1484" s="205" t="s">
        <v>3006</v>
      </c>
      <c r="D1484" s="188" t="s">
        <v>8724</v>
      </c>
      <c r="E1484" s="188" t="s">
        <v>5749</v>
      </c>
      <c r="F1484" s="189" t="s">
        <v>6246</v>
      </c>
      <c r="G1484" s="199" t="s">
        <v>8314</v>
      </c>
      <c r="H1484" s="199" t="s">
        <v>8639</v>
      </c>
      <c r="I1484" s="199">
        <v>1</v>
      </c>
      <c r="J1484" s="199">
        <v>1</v>
      </c>
      <c r="K1484" s="199">
        <v>1</v>
      </c>
      <c r="L1484" s="199">
        <v>50</v>
      </c>
      <c r="M1484" s="206">
        <f>TB_Parts_Lists[[#This Row],[Quantity Initial]]+ SUMIF(TB_Transactions[Part number],TB_Parts_Lists[[#This Row],[Part Number]],TB_Transactions[Quantity])</f>
        <v>50</v>
      </c>
      <c r="N1484" s="200" t="s">
        <v>4593</v>
      </c>
      <c r="O1484" s="234">
        <v>5</v>
      </c>
      <c r="P1484" s="199">
        <f>TB_Parts_Lists[[#This Row],[Quantity Initial]]*TB_Parts_Lists[[#This Row],[Unit Price AED]]</f>
        <v>250</v>
      </c>
      <c r="Q1484" s="199">
        <f>TB_Parts_Lists[[#This Row],[Quantity Total]]*TB_Parts_Lists[[#This Row],[Unit Price AED]]</f>
        <v>250</v>
      </c>
      <c r="R1484" s="205"/>
      <c r="S1484" s="199" t="s">
        <v>8675</v>
      </c>
      <c r="T1484" s="199" t="s">
        <v>8675</v>
      </c>
      <c r="U1484" s="199" t="s">
        <v>8675</v>
      </c>
    </row>
    <row r="1485" spans="1:21" s="199" customFormat="1" x14ac:dyDescent="0.25">
      <c r="A1485" s="193" t="s">
        <v>8033</v>
      </c>
      <c r="B1485" s="207" t="s">
        <v>3002</v>
      </c>
      <c r="C1485" s="205" t="s">
        <v>3006</v>
      </c>
      <c r="D1485" s="188" t="s">
        <v>8724</v>
      </c>
      <c r="E1485" s="188" t="s">
        <v>5750</v>
      </c>
      <c r="F1485" s="189" t="s">
        <v>6247</v>
      </c>
      <c r="G1485" s="199" t="s">
        <v>8314</v>
      </c>
      <c r="H1485" s="199" t="s">
        <v>8639</v>
      </c>
      <c r="I1485" s="199">
        <v>1</v>
      </c>
      <c r="J1485" s="199">
        <v>1</v>
      </c>
      <c r="K1485" s="199">
        <v>1</v>
      </c>
      <c r="L1485" s="199">
        <v>50</v>
      </c>
      <c r="M1485" s="206">
        <f>TB_Parts_Lists[[#This Row],[Quantity Initial]]+ SUMIF(TB_Transactions[Part number],TB_Parts_Lists[[#This Row],[Part Number]],TB_Transactions[Quantity])</f>
        <v>50</v>
      </c>
      <c r="N1485" s="200" t="s">
        <v>4593</v>
      </c>
      <c r="O1485" s="234">
        <v>5</v>
      </c>
      <c r="P1485" s="199">
        <f>TB_Parts_Lists[[#This Row],[Quantity Initial]]*TB_Parts_Lists[[#This Row],[Unit Price AED]]</f>
        <v>250</v>
      </c>
      <c r="Q1485" s="199">
        <f>TB_Parts_Lists[[#This Row],[Quantity Total]]*TB_Parts_Lists[[#This Row],[Unit Price AED]]</f>
        <v>250</v>
      </c>
      <c r="R1485" s="205"/>
      <c r="S1485" s="199" t="s">
        <v>8675</v>
      </c>
      <c r="T1485" s="199" t="s">
        <v>8675</v>
      </c>
      <c r="U1485" s="199" t="s">
        <v>8675</v>
      </c>
    </row>
    <row r="1486" spans="1:21" s="199" customFormat="1" x14ac:dyDescent="0.25">
      <c r="A1486" s="193" t="s">
        <v>8034</v>
      </c>
      <c r="B1486" s="207" t="s">
        <v>3002</v>
      </c>
      <c r="C1486" s="205" t="s">
        <v>3006</v>
      </c>
      <c r="D1486" s="188" t="s">
        <v>8724</v>
      </c>
      <c r="E1486" s="188" t="s">
        <v>5751</v>
      </c>
      <c r="F1486" s="189" t="s">
        <v>6248</v>
      </c>
      <c r="G1486" s="199" t="s">
        <v>8314</v>
      </c>
      <c r="H1486" s="199" t="s">
        <v>8639</v>
      </c>
      <c r="I1486" s="199">
        <v>1</v>
      </c>
      <c r="J1486" s="199">
        <v>1</v>
      </c>
      <c r="K1486" s="199">
        <v>1</v>
      </c>
      <c r="L1486" s="199">
        <v>50</v>
      </c>
      <c r="M1486" s="206">
        <f>TB_Parts_Lists[[#This Row],[Quantity Initial]]+ SUMIF(TB_Transactions[Part number],TB_Parts_Lists[[#This Row],[Part Number]],TB_Transactions[Quantity])</f>
        <v>50</v>
      </c>
      <c r="N1486" s="200" t="s">
        <v>4593</v>
      </c>
      <c r="O1486" s="234">
        <v>5</v>
      </c>
      <c r="P1486" s="199">
        <f>TB_Parts_Lists[[#This Row],[Quantity Initial]]*TB_Parts_Lists[[#This Row],[Unit Price AED]]</f>
        <v>250</v>
      </c>
      <c r="Q1486" s="199">
        <f>TB_Parts_Lists[[#This Row],[Quantity Total]]*TB_Parts_Lists[[#This Row],[Unit Price AED]]</f>
        <v>250</v>
      </c>
      <c r="R1486" s="205"/>
      <c r="S1486" s="199" t="s">
        <v>8675</v>
      </c>
      <c r="T1486" s="199" t="s">
        <v>8675</v>
      </c>
      <c r="U1486" s="199" t="s">
        <v>8675</v>
      </c>
    </row>
    <row r="1487" spans="1:21" s="199" customFormat="1" x14ac:dyDescent="0.25">
      <c r="A1487" s="193" t="s">
        <v>8035</v>
      </c>
      <c r="B1487" s="207" t="s">
        <v>3002</v>
      </c>
      <c r="C1487" s="205" t="s">
        <v>3006</v>
      </c>
      <c r="D1487" s="188" t="s">
        <v>8724</v>
      </c>
      <c r="E1487" s="188" t="s">
        <v>5752</v>
      </c>
      <c r="F1487" s="189" t="s">
        <v>6249</v>
      </c>
      <c r="G1487" s="199" t="s">
        <v>8314</v>
      </c>
      <c r="H1487" s="199" t="s">
        <v>8639</v>
      </c>
      <c r="I1487" s="199">
        <v>1</v>
      </c>
      <c r="J1487" s="199">
        <v>1</v>
      </c>
      <c r="K1487" s="199">
        <v>1</v>
      </c>
      <c r="L1487" s="199">
        <v>50</v>
      </c>
      <c r="M1487" s="206">
        <f>TB_Parts_Lists[[#This Row],[Quantity Initial]]+ SUMIF(TB_Transactions[Part number],TB_Parts_Lists[[#This Row],[Part Number]],TB_Transactions[Quantity])</f>
        <v>50</v>
      </c>
      <c r="N1487" s="200" t="s">
        <v>4593</v>
      </c>
      <c r="O1487" s="234">
        <v>5</v>
      </c>
      <c r="P1487" s="199">
        <f>TB_Parts_Lists[[#This Row],[Quantity Initial]]*TB_Parts_Lists[[#This Row],[Unit Price AED]]</f>
        <v>250</v>
      </c>
      <c r="Q1487" s="199">
        <f>TB_Parts_Lists[[#This Row],[Quantity Total]]*TB_Parts_Lists[[#This Row],[Unit Price AED]]</f>
        <v>250</v>
      </c>
      <c r="R1487" s="205"/>
      <c r="S1487" s="199" t="s">
        <v>8675</v>
      </c>
      <c r="T1487" s="199" t="s">
        <v>8675</v>
      </c>
      <c r="U1487" s="199" t="s">
        <v>8675</v>
      </c>
    </row>
    <row r="1488" spans="1:21" s="199" customFormat="1" x14ac:dyDescent="0.25">
      <c r="A1488" s="193" t="s">
        <v>8036</v>
      </c>
      <c r="B1488" s="207" t="s">
        <v>3002</v>
      </c>
      <c r="C1488" s="205" t="s">
        <v>3006</v>
      </c>
      <c r="D1488" s="188" t="s">
        <v>8724</v>
      </c>
      <c r="E1488" s="188" t="s">
        <v>5753</v>
      </c>
      <c r="F1488" s="189" t="s">
        <v>6250</v>
      </c>
      <c r="G1488" s="199" t="s">
        <v>8314</v>
      </c>
      <c r="H1488" s="199" t="s">
        <v>8639</v>
      </c>
      <c r="I1488" s="199">
        <v>1</v>
      </c>
      <c r="J1488" s="199">
        <v>1</v>
      </c>
      <c r="K1488" s="199">
        <v>1</v>
      </c>
      <c r="L1488" s="199">
        <v>50</v>
      </c>
      <c r="M1488" s="206">
        <f>TB_Parts_Lists[[#This Row],[Quantity Initial]]+ SUMIF(TB_Transactions[Part number],TB_Parts_Lists[[#This Row],[Part Number]],TB_Transactions[Quantity])</f>
        <v>50</v>
      </c>
      <c r="N1488" s="200" t="s">
        <v>4593</v>
      </c>
      <c r="O1488" s="234">
        <v>5</v>
      </c>
      <c r="P1488" s="199">
        <f>TB_Parts_Lists[[#This Row],[Quantity Initial]]*TB_Parts_Lists[[#This Row],[Unit Price AED]]</f>
        <v>250</v>
      </c>
      <c r="Q1488" s="199">
        <f>TB_Parts_Lists[[#This Row],[Quantity Total]]*TB_Parts_Lists[[#This Row],[Unit Price AED]]</f>
        <v>250</v>
      </c>
      <c r="R1488" s="205"/>
      <c r="S1488" s="199" t="s">
        <v>8675</v>
      </c>
      <c r="T1488" s="199" t="s">
        <v>8675</v>
      </c>
      <c r="U1488" s="199" t="s">
        <v>8675</v>
      </c>
    </row>
    <row r="1489" spans="1:21" s="199" customFormat="1" x14ac:dyDescent="0.25">
      <c r="A1489" s="193" t="s">
        <v>8037</v>
      </c>
      <c r="B1489" s="207" t="s">
        <v>3002</v>
      </c>
      <c r="C1489" s="205" t="s">
        <v>3006</v>
      </c>
      <c r="D1489" s="188" t="s">
        <v>8724</v>
      </c>
      <c r="E1489" s="188" t="s">
        <v>5754</v>
      </c>
      <c r="F1489" s="189" t="s">
        <v>6251</v>
      </c>
      <c r="G1489" s="199" t="s">
        <v>8314</v>
      </c>
      <c r="H1489" s="199" t="s">
        <v>8639</v>
      </c>
      <c r="I1489" s="199">
        <v>1</v>
      </c>
      <c r="J1489" s="199">
        <v>1</v>
      </c>
      <c r="K1489" s="199">
        <v>1</v>
      </c>
      <c r="L1489" s="199">
        <v>50</v>
      </c>
      <c r="M1489" s="206">
        <f>TB_Parts_Lists[[#This Row],[Quantity Initial]]+ SUMIF(TB_Transactions[Part number],TB_Parts_Lists[[#This Row],[Part Number]],TB_Transactions[Quantity])</f>
        <v>50</v>
      </c>
      <c r="N1489" s="200" t="s">
        <v>4593</v>
      </c>
      <c r="O1489" s="234">
        <v>5</v>
      </c>
      <c r="P1489" s="199">
        <f>TB_Parts_Lists[[#This Row],[Quantity Initial]]*TB_Parts_Lists[[#This Row],[Unit Price AED]]</f>
        <v>250</v>
      </c>
      <c r="Q1489" s="199">
        <f>TB_Parts_Lists[[#This Row],[Quantity Total]]*TB_Parts_Lists[[#This Row],[Unit Price AED]]</f>
        <v>250</v>
      </c>
      <c r="R1489" s="205"/>
      <c r="S1489" s="199" t="s">
        <v>8675</v>
      </c>
      <c r="T1489" s="199" t="s">
        <v>8675</v>
      </c>
      <c r="U1489" s="199" t="s">
        <v>8675</v>
      </c>
    </row>
    <row r="1490" spans="1:21" s="199" customFormat="1" x14ac:dyDescent="0.25">
      <c r="A1490" s="193" t="s">
        <v>8038</v>
      </c>
      <c r="B1490" s="207" t="s">
        <v>3002</v>
      </c>
      <c r="C1490" s="205" t="s">
        <v>3006</v>
      </c>
      <c r="D1490" s="188" t="s">
        <v>8724</v>
      </c>
      <c r="E1490" s="188" t="s">
        <v>5755</v>
      </c>
      <c r="F1490" s="189" t="s">
        <v>6252</v>
      </c>
      <c r="G1490" s="199" t="s">
        <v>8314</v>
      </c>
      <c r="H1490" s="199" t="s">
        <v>8639</v>
      </c>
      <c r="I1490" s="199">
        <v>1</v>
      </c>
      <c r="J1490" s="199">
        <v>1</v>
      </c>
      <c r="K1490" s="199">
        <v>1</v>
      </c>
      <c r="L1490" s="199">
        <v>50</v>
      </c>
      <c r="M1490" s="206">
        <f>TB_Parts_Lists[[#This Row],[Quantity Initial]]+ SUMIF(TB_Transactions[Part number],TB_Parts_Lists[[#This Row],[Part Number]],TB_Transactions[Quantity])</f>
        <v>50</v>
      </c>
      <c r="N1490" s="200" t="s">
        <v>4593</v>
      </c>
      <c r="O1490" s="234">
        <v>5</v>
      </c>
      <c r="P1490" s="199">
        <f>TB_Parts_Lists[[#This Row],[Quantity Initial]]*TB_Parts_Lists[[#This Row],[Unit Price AED]]</f>
        <v>250</v>
      </c>
      <c r="Q1490" s="199">
        <f>TB_Parts_Lists[[#This Row],[Quantity Total]]*TB_Parts_Lists[[#This Row],[Unit Price AED]]</f>
        <v>250</v>
      </c>
      <c r="R1490" s="205"/>
      <c r="S1490" s="199" t="s">
        <v>8675</v>
      </c>
      <c r="T1490" s="199" t="s">
        <v>8675</v>
      </c>
      <c r="U1490" s="199" t="s">
        <v>8675</v>
      </c>
    </row>
    <row r="1491" spans="1:21" s="199" customFormat="1" x14ac:dyDescent="0.25">
      <c r="A1491" s="193" t="s">
        <v>8039</v>
      </c>
      <c r="B1491" s="207" t="s">
        <v>3002</v>
      </c>
      <c r="C1491" s="205" t="s">
        <v>3006</v>
      </c>
      <c r="D1491" s="188" t="s">
        <v>8724</v>
      </c>
      <c r="E1491" s="188" t="s">
        <v>5756</v>
      </c>
      <c r="F1491" s="189" t="s">
        <v>6253</v>
      </c>
      <c r="G1491" s="199" t="s">
        <v>8314</v>
      </c>
      <c r="H1491" s="199" t="s">
        <v>8639</v>
      </c>
      <c r="I1491" s="199">
        <v>1</v>
      </c>
      <c r="J1491" s="199">
        <v>1</v>
      </c>
      <c r="K1491" s="199">
        <v>1</v>
      </c>
      <c r="L1491" s="199">
        <v>50</v>
      </c>
      <c r="M1491" s="206">
        <f>TB_Parts_Lists[[#This Row],[Quantity Initial]]+ SUMIF(TB_Transactions[Part number],TB_Parts_Lists[[#This Row],[Part Number]],TB_Transactions[Quantity])</f>
        <v>50</v>
      </c>
      <c r="N1491" s="200" t="s">
        <v>4593</v>
      </c>
      <c r="O1491" s="234">
        <v>5</v>
      </c>
      <c r="P1491" s="199">
        <f>TB_Parts_Lists[[#This Row],[Quantity Initial]]*TB_Parts_Lists[[#This Row],[Unit Price AED]]</f>
        <v>250</v>
      </c>
      <c r="Q1491" s="199">
        <f>TB_Parts_Lists[[#This Row],[Quantity Total]]*TB_Parts_Lists[[#This Row],[Unit Price AED]]</f>
        <v>250</v>
      </c>
      <c r="R1491" s="205"/>
      <c r="S1491" s="199" t="s">
        <v>8675</v>
      </c>
      <c r="T1491" s="199" t="s">
        <v>8675</v>
      </c>
      <c r="U1491" s="199" t="s">
        <v>8675</v>
      </c>
    </row>
    <row r="1492" spans="1:21" s="199" customFormat="1" x14ac:dyDescent="0.25">
      <c r="A1492" s="193" t="s">
        <v>8040</v>
      </c>
      <c r="B1492" s="207" t="s">
        <v>3002</v>
      </c>
      <c r="C1492" s="205" t="s">
        <v>3006</v>
      </c>
      <c r="D1492" s="188" t="s">
        <v>8724</v>
      </c>
      <c r="E1492" s="188" t="s">
        <v>5757</v>
      </c>
      <c r="F1492" s="189" t="s">
        <v>6254</v>
      </c>
      <c r="G1492" s="199" t="s">
        <v>8314</v>
      </c>
      <c r="H1492" s="199" t="s">
        <v>8639</v>
      </c>
      <c r="I1492" s="199">
        <v>1</v>
      </c>
      <c r="J1492" s="199">
        <v>1</v>
      </c>
      <c r="K1492" s="199">
        <v>1</v>
      </c>
      <c r="L1492" s="199">
        <v>50</v>
      </c>
      <c r="M1492" s="206">
        <f>TB_Parts_Lists[[#This Row],[Quantity Initial]]+ SUMIF(TB_Transactions[Part number],TB_Parts_Lists[[#This Row],[Part Number]],TB_Transactions[Quantity])</f>
        <v>50</v>
      </c>
      <c r="N1492" s="200" t="s">
        <v>4593</v>
      </c>
      <c r="O1492" s="234">
        <v>5</v>
      </c>
      <c r="P1492" s="199">
        <f>TB_Parts_Lists[[#This Row],[Quantity Initial]]*TB_Parts_Lists[[#This Row],[Unit Price AED]]</f>
        <v>250</v>
      </c>
      <c r="Q1492" s="199">
        <f>TB_Parts_Lists[[#This Row],[Quantity Total]]*TB_Parts_Lists[[#This Row],[Unit Price AED]]</f>
        <v>250</v>
      </c>
      <c r="R1492" s="205"/>
      <c r="S1492" s="199" t="s">
        <v>8675</v>
      </c>
      <c r="T1492" s="199" t="s">
        <v>8675</v>
      </c>
      <c r="U1492" s="199" t="s">
        <v>8675</v>
      </c>
    </row>
    <row r="1493" spans="1:21" s="199" customFormat="1" x14ac:dyDescent="0.25">
      <c r="A1493" s="193" t="s">
        <v>8041</v>
      </c>
      <c r="B1493" s="207" t="s">
        <v>3330</v>
      </c>
      <c r="C1493" s="205" t="s">
        <v>3003</v>
      </c>
      <c r="D1493" s="188" t="s">
        <v>8724</v>
      </c>
      <c r="E1493" s="188" t="s">
        <v>5758</v>
      </c>
      <c r="F1493" s="189" t="s">
        <v>6255</v>
      </c>
      <c r="G1493" s="199" t="s">
        <v>8314</v>
      </c>
      <c r="H1493" s="199" t="s">
        <v>8639</v>
      </c>
      <c r="I1493" s="199">
        <v>1</v>
      </c>
      <c r="J1493" s="199">
        <v>1</v>
      </c>
      <c r="K1493" s="199">
        <v>1</v>
      </c>
      <c r="L1493" s="199">
        <v>50</v>
      </c>
      <c r="M1493" s="206">
        <f>TB_Parts_Lists[[#This Row],[Quantity Initial]]+ SUMIF(TB_Transactions[Part number],TB_Parts_Lists[[#This Row],[Part Number]],TB_Transactions[Quantity])</f>
        <v>50</v>
      </c>
      <c r="N1493" s="200" t="s">
        <v>4593</v>
      </c>
      <c r="O1493" s="234">
        <v>5</v>
      </c>
      <c r="P1493" s="199">
        <f>TB_Parts_Lists[[#This Row],[Quantity Initial]]*TB_Parts_Lists[[#This Row],[Unit Price AED]]</f>
        <v>250</v>
      </c>
      <c r="Q1493" s="199">
        <f>TB_Parts_Lists[[#This Row],[Quantity Total]]*TB_Parts_Lists[[#This Row],[Unit Price AED]]</f>
        <v>250</v>
      </c>
      <c r="R1493" s="205"/>
      <c r="S1493" s="199" t="s">
        <v>8675</v>
      </c>
      <c r="T1493" s="199" t="s">
        <v>8675</v>
      </c>
      <c r="U1493" s="199" t="s">
        <v>8675</v>
      </c>
    </row>
    <row r="1494" spans="1:21" s="199" customFormat="1" x14ac:dyDescent="0.25">
      <c r="A1494" s="193" t="s">
        <v>8042</v>
      </c>
      <c r="B1494" s="207" t="s">
        <v>3330</v>
      </c>
      <c r="C1494" s="205" t="s">
        <v>3003</v>
      </c>
      <c r="D1494" s="188" t="s">
        <v>8724</v>
      </c>
      <c r="E1494" s="188" t="s">
        <v>5758</v>
      </c>
      <c r="F1494" s="189" t="s">
        <v>6256</v>
      </c>
      <c r="G1494" s="199" t="s">
        <v>8314</v>
      </c>
      <c r="H1494" s="199" t="s">
        <v>8639</v>
      </c>
      <c r="I1494" s="199">
        <v>1</v>
      </c>
      <c r="J1494" s="199">
        <v>1</v>
      </c>
      <c r="K1494" s="199">
        <v>1</v>
      </c>
      <c r="L1494" s="199">
        <v>50</v>
      </c>
      <c r="M1494" s="206">
        <f>TB_Parts_Lists[[#This Row],[Quantity Initial]]+ SUMIF(TB_Transactions[Part number],TB_Parts_Lists[[#This Row],[Part Number]],TB_Transactions[Quantity])</f>
        <v>50</v>
      </c>
      <c r="N1494" s="200" t="s">
        <v>4593</v>
      </c>
      <c r="O1494" s="234">
        <v>5</v>
      </c>
      <c r="P1494" s="199">
        <f>TB_Parts_Lists[[#This Row],[Quantity Initial]]*TB_Parts_Lists[[#This Row],[Unit Price AED]]</f>
        <v>250</v>
      </c>
      <c r="Q1494" s="199">
        <f>TB_Parts_Lists[[#This Row],[Quantity Total]]*TB_Parts_Lists[[#This Row],[Unit Price AED]]</f>
        <v>250</v>
      </c>
      <c r="R1494" s="205"/>
      <c r="S1494" s="199" t="s">
        <v>8675</v>
      </c>
      <c r="T1494" s="199" t="s">
        <v>8675</v>
      </c>
      <c r="U1494" s="199" t="s">
        <v>8675</v>
      </c>
    </row>
    <row r="1495" spans="1:21" s="199" customFormat="1" x14ac:dyDescent="0.25">
      <c r="A1495" s="193" t="s">
        <v>8043</v>
      </c>
      <c r="B1495" s="207" t="s">
        <v>3332</v>
      </c>
      <c r="C1495" s="205" t="s">
        <v>3355</v>
      </c>
      <c r="D1495" s="199" t="s">
        <v>8724</v>
      </c>
      <c r="E1495" s="188" t="s">
        <v>5759</v>
      </c>
      <c r="F1495" s="189" t="s">
        <v>4532</v>
      </c>
      <c r="G1495" s="205" t="s">
        <v>8315</v>
      </c>
      <c r="H1495" s="199" t="s">
        <v>8666</v>
      </c>
      <c r="I1495" s="199">
        <v>1</v>
      </c>
      <c r="J1495" s="199">
        <v>1</v>
      </c>
      <c r="K1495" s="199">
        <v>1</v>
      </c>
      <c r="L1495" s="199">
        <v>50</v>
      </c>
      <c r="M1495" s="206">
        <f>TB_Parts_Lists[[#This Row],[Quantity Initial]]+ SUMIF(TB_Transactions[Part number],TB_Parts_Lists[[#This Row],[Part Number]],TB_Transactions[Quantity])</f>
        <v>50</v>
      </c>
      <c r="N1495" s="200" t="s">
        <v>4593</v>
      </c>
      <c r="O1495" s="234">
        <v>5</v>
      </c>
      <c r="P1495" s="199">
        <f>TB_Parts_Lists[[#This Row],[Quantity Initial]]*TB_Parts_Lists[[#This Row],[Unit Price AED]]</f>
        <v>250</v>
      </c>
      <c r="Q1495" s="199">
        <f>TB_Parts_Lists[[#This Row],[Quantity Total]]*TB_Parts_Lists[[#This Row],[Unit Price AED]]</f>
        <v>250</v>
      </c>
      <c r="R1495" s="205"/>
      <c r="S1495" s="199" t="s">
        <v>118</v>
      </c>
      <c r="T1495" s="199" t="s">
        <v>8691</v>
      </c>
      <c r="U1495" s="199" t="s">
        <v>8716</v>
      </c>
    </row>
    <row r="1496" spans="1:21" s="199" customFormat="1" x14ac:dyDescent="0.25">
      <c r="A1496" s="193" t="s">
        <v>8044</v>
      </c>
      <c r="B1496" s="207" t="s">
        <v>3332</v>
      </c>
      <c r="C1496" s="205" t="s">
        <v>3355</v>
      </c>
      <c r="D1496" s="199" t="s">
        <v>8724</v>
      </c>
      <c r="E1496" s="188" t="s">
        <v>5760</v>
      </c>
      <c r="F1496" s="189" t="s">
        <v>4533</v>
      </c>
      <c r="G1496" s="205" t="s">
        <v>8315</v>
      </c>
      <c r="H1496" s="199" t="s">
        <v>123</v>
      </c>
      <c r="I1496" s="199">
        <v>1</v>
      </c>
      <c r="J1496" s="199">
        <v>1</v>
      </c>
      <c r="K1496" s="199">
        <v>1</v>
      </c>
      <c r="L1496" s="199">
        <v>50</v>
      </c>
      <c r="M1496" s="206">
        <f>TB_Parts_Lists[[#This Row],[Quantity Initial]]+ SUMIF(TB_Transactions[Part number],TB_Parts_Lists[[#This Row],[Part Number]],TB_Transactions[Quantity])</f>
        <v>50</v>
      </c>
      <c r="N1496" s="200" t="s">
        <v>4593</v>
      </c>
      <c r="O1496" s="234">
        <v>5</v>
      </c>
      <c r="P1496" s="199">
        <f>TB_Parts_Lists[[#This Row],[Quantity Initial]]*TB_Parts_Lists[[#This Row],[Unit Price AED]]</f>
        <v>250</v>
      </c>
      <c r="Q1496" s="199">
        <f>TB_Parts_Lists[[#This Row],[Quantity Total]]*TB_Parts_Lists[[#This Row],[Unit Price AED]]</f>
        <v>250</v>
      </c>
      <c r="R1496" s="205"/>
      <c r="S1496" s="199" t="s">
        <v>118</v>
      </c>
      <c r="T1496" s="199" t="s">
        <v>8691</v>
      </c>
      <c r="U1496" s="199" t="s">
        <v>8716</v>
      </c>
    </row>
    <row r="1497" spans="1:21" s="199" customFormat="1" x14ac:dyDescent="0.25">
      <c r="A1497" s="193" t="s">
        <v>8045</v>
      </c>
      <c r="B1497" s="207" t="s">
        <v>3332</v>
      </c>
      <c r="C1497" s="205" t="s">
        <v>3355</v>
      </c>
      <c r="D1497" s="199" t="s">
        <v>8732</v>
      </c>
      <c r="E1497" s="188" t="s">
        <v>5761</v>
      </c>
      <c r="F1497" s="189" t="s">
        <v>4534</v>
      </c>
      <c r="G1497" s="205" t="s">
        <v>8315</v>
      </c>
      <c r="H1497" s="199" t="s">
        <v>8667</v>
      </c>
      <c r="I1497" s="199">
        <v>1</v>
      </c>
      <c r="J1497" s="199">
        <v>1</v>
      </c>
      <c r="K1497" s="199">
        <v>1</v>
      </c>
      <c r="L1497" s="199">
        <v>50</v>
      </c>
      <c r="M1497" s="206">
        <f>TB_Parts_Lists[[#This Row],[Quantity Initial]]+ SUMIF(TB_Transactions[Part number],TB_Parts_Lists[[#This Row],[Part Number]],TB_Transactions[Quantity])</f>
        <v>50</v>
      </c>
      <c r="N1497" s="200" t="s">
        <v>4593</v>
      </c>
      <c r="O1497" s="234">
        <v>5</v>
      </c>
      <c r="P1497" s="199">
        <f>TB_Parts_Lists[[#This Row],[Quantity Initial]]*TB_Parts_Lists[[#This Row],[Unit Price AED]]</f>
        <v>250</v>
      </c>
      <c r="Q1497" s="199">
        <f>TB_Parts_Lists[[#This Row],[Quantity Total]]*TB_Parts_Lists[[#This Row],[Unit Price AED]]</f>
        <v>250</v>
      </c>
      <c r="R1497" s="205"/>
      <c r="S1497" s="199" t="s">
        <v>118</v>
      </c>
      <c r="T1497" s="199" t="s">
        <v>8691</v>
      </c>
      <c r="U1497" s="199" t="s">
        <v>8716</v>
      </c>
    </row>
    <row r="1498" spans="1:21" s="199" customFormat="1" x14ac:dyDescent="0.25">
      <c r="A1498" s="193" t="s">
        <v>8046</v>
      </c>
      <c r="B1498" s="207" t="s">
        <v>3332</v>
      </c>
      <c r="C1498" s="205" t="s">
        <v>3355</v>
      </c>
      <c r="D1498" s="199" t="s">
        <v>8724</v>
      </c>
      <c r="E1498" s="188" t="s">
        <v>5762</v>
      </c>
      <c r="F1498" s="189" t="s">
        <v>4535</v>
      </c>
      <c r="G1498" s="205" t="s">
        <v>8315</v>
      </c>
      <c r="H1498" s="199" t="s">
        <v>123</v>
      </c>
      <c r="I1498" s="199">
        <v>1</v>
      </c>
      <c r="J1498" s="199">
        <v>1</v>
      </c>
      <c r="K1498" s="199">
        <v>1</v>
      </c>
      <c r="L1498" s="199">
        <v>50</v>
      </c>
      <c r="M1498" s="206">
        <f>TB_Parts_Lists[[#This Row],[Quantity Initial]]+ SUMIF(TB_Transactions[Part number],TB_Parts_Lists[[#This Row],[Part Number]],TB_Transactions[Quantity])</f>
        <v>50</v>
      </c>
      <c r="N1498" s="200" t="s">
        <v>4593</v>
      </c>
      <c r="O1498" s="234">
        <v>5</v>
      </c>
      <c r="P1498" s="199">
        <f>TB_Parts_Lists[[#This Row],[Quantity Initial]]*TB_Parts_Lists[[#This Row],[Unit Price AED]]</f>
        <v>250</v>
      </c>
      <c r="Q1498" s="199">
        <f>TB_Parts_Lists[[#This Row],[Quantity Total]]*TB_Parts_Lists[[#This Row],[Unit Price AED]]</f>
        <v>250</v>
      </c>
      <c r="R1498" s="205"/>
      <c r="S1498" s="199" t="s">
        <v>118</v>
      </c>
      <c r="T1498" s="199" t="s">
        <v>8691</v>
      </c>
      <c r="U1498" s="199" t="s">
        <v>8716</v>
      </c>
    </row>
    <row r="1499" spans="1:21" s="199" customFormat="1" x14ac:dyDescent="0.25">
      <c r="A1499" s="193" t="s">
        <v>8047</v>
      </c>
      <c r="B1499" s="207" t="s">
        <v>3332</v>
      </c>
      <c r="C1499" s="205" t="s">
        <v>3355</v>
      </c>
      <c r="D1499" s="199" t="s">
        <v>8723</v>
      </c>
      <c r="E1499" s="188" t="s">
        <v>5763</v>
      </c>
      <c r="F1499" s="189" t="s">
        <v>4536</v>
      </c>
      <c r="G1499" s="205" t="s">
        <v>8315</v>
      </c>
      <c r="H1499" s="199" t="s">
        <v>8642</v>
      </c>
      <c r="I1499" s="199">
        <v>1</v>
      </c>
      <c r="J1499" s="199">
        <v>1</v>
      </c>
      <c r="K1499" s="199">
        <v>1</v>
      </c>
      <c r="L1499" s="199">
        <v>50</v>
      </c>
      <c r="M1499" s="206">
        <f>TB_Parts_Lists[[#This Row],[Quantity Initial]]+ SUMIF(TB_Transactions[Part number],TB_Parts_Lists[[#This Row],[Part Number]],TB_Transactions[Quantity])</f>
        <v>50</v>
      </c>
      <c r="N1499" s="200" t="s">
        <v>4593</v>
      </c>
      <c r="O1499" s="234">
        <v>5</v>
      </c>
      <c r="P1499" s="199">
        <f>TB_Parts_Lists[[#This Row],[Quantity Initial]]*TB_Parts_Lists[[#This Row],[Unit Price AED]]</f>
        <v>250</v>
      </c>
      <c r="Q1499" s="199">
        <f>TB_Parts_Lists[[#This Row],[Quantity Total]]*TB_Parts_Lists[[#This Row],[Unit Price AED]]</f>
        <v>250</v>
      </c>
      <c r="R1499" s="205"/>
      <c r="S1499" s="199" t="s">
        <v>118</v>
      </c>
      <c r="T1499" s="199" t="s">
        <v>8691</v>
      </c>
      <c r="U1499" s="199" t="s">
        <v>8716</v>
      </c>
    </row>
    <row r="1500" spans="1:21" s="199" customFormat="1" x14ac:dyDescent="0.25">
      <c r="A1500" s="193" t="s">
        <v>8048</v>
      </c>
      <c r="B1500" s="207" t="s">
        <v>3332</v>
      </c>
      <c r="C1500" s="205" t="s">
        <v>3355</v>
      </c>
      <c r="D1500" s="199" t="s">
        <v>8723</v>
      </c>
      <c r="E1500" s="188" t="s">
        <v>5764</v>
      </c>
      <c r="F1500" s="189" t="s">
        <v>4537</v>
      </c>
      <c r="G1500" s="205" t="s">
        <v>8315</v>
      </c>
      <c r="H1500" s="199" t="s">
        <v>8642</v>
      </c>
      <c r="I1500" s="199">
        <v>1</v>
      </c>
      <c r="J1500" s="199">
        <v>1</v>
      </c>
      <c r="K1500" s="199">
        <v>1</v>
      </c>
      <c r="L1500" s="199">
        <v>50</v>
      </c>
      <c r="M1500" s="206">
        <f>TB_Parts_Lists[[#This Row],[Quantity Initial]]+ SUMIF(TB_Transactions[Part number],TB_Parts_Lists[[#This Row],[Part Number]],TB_Transactions[Quantity])</f>
        <v>50</v>
      </c>
      <c r="N1500" s="200" t="s">
        <v>4593</v>
      </c>
      <c r="O1500" s="234">
        <v>5</v>
      </c>
      <c r="P1500" s="199">
        <f>TB_Parts_Lists[[#This Row],[Quantity Initial]]*TB_Parts_Lists[[#This Row],[Unit Price AED]]</f>
        <v>250</v>
      </c>
      <c r="Q1500" s="199">
        <f>TB_Parts_Lists[[#This Row],[Quantity Total]]*TB_Parts_Lists[[#This Row],[Unit Price AED]]</f>
        <v>250</v>
      </c>
      <c r="R1500" s="205"/>
      <c r="S1500" s="199" t="s">
        <v>118</v>
      </c>
      <c r="T1500" s="199" t="s">
        <v>8691</v>
      </c>
      <c r="U1500" s="199" t="s">
        <v>8716</v>
      </c>
    </row>
    <row r="1501" spans="1:21" s="199" customFormat="1" x14ac:dyDescent="0.25">
      <c r="A1501" s="193" t="s">
        <v>8049</v>
      </c>
      <c r="B1501" s="207" t="s">
        <v>3332</v>
      </c>
      <c r="C1501" s="205" t="s">
        <v>3355</v>
      </c>
      <c r="D1501" s="199" t="s">
        <v>8723</v>
      </c>
      <c r="E1501" s="188" t="s">
        <v>5765</v>
      </c>
      <c r="F1501" s="189" t="s">
        <v>4538</v>
      </c>
      <c r="G1501" s="205" t="s">
        <v>8315</v>
      </c>
      <c r="H1501" s="199" t="s">
        <v>8642</v>
      </c>
      <c r="I1501" s="199">
        <v>1</v>
      </c>
      <c r="J1501" s="199">
        <v>1</v>
      </c>
      <c r="K1501" s="199">
        <v>1</v>
      </c>
      <c r="L1501" s="199">
        <v>50</v>
      </c>
      <c r="M1501" s="206">
        <f>TB_Parts_Lists[[#This Row],[Quantity Initial]]+ SUMIF(TB_Transactions[Part number],TB_Parts_Lists[[#This Row],[Part Number]],TB_Transactions[Quantity])</f>
        <v>50</v>
      </c>
      <c r="N1501" s="200" t="s">
        <v>4593</v>
      </c>
      <c r="O1501" s="234">
        <v>5</v>
      </c>
      <c r="P1501" s="199">
        <f>TB_Parts_Lists[[#This Row],[Quantity Initial]]*TB_Parts_Lists[[#This Row],[Unit Price AED]]</f>
        <v>250</v>
      </c>
      <c r="Q1501" s="199">
        <f>TB_Parts_Lists[[#This Row],[Quantity Total]]*TB_Parts_Lists[[#This Row],[Unit Price AED]]</f>
        <v>250</v>
      </c>
      <c r="R1501" s="205"/>
      <c r="S1501" s="199" t="s">
        <v>118</v>
      </c>
      <c r="T1501" s="199" t="s">
        <v>8691</v>
      </c>
      <c r="U1501" s="199" t="s">
        <v>8716</v>
      </c>
    </row>
    <row r="1502" spans="1:21" s="199" customFormat="1" x14ac:dyDescent="0.25">
      <c r="A1502" s="193" t="s">
        <v>8050</v>
      </c>
      <c r="B1502" s="207" t="s">
        <v>3332</v>
      </c>
      <c r="C1502" s="205" t="s">
        <v>3355</v>
      </c>
      <c r="D1502" s="199" t="s">
        <v>8732</v>
      </c>
      <c r="E1502" s="188" t="s">
        <v>5766</v>
      </c>
      <c r="F1502" s="189" t="s">
        <v>4539</v>
      </c>
      <c r="G1502" s="205" t="s">
        <v>8315</v>
      </c>
      <c r="H1502" s="199" t="s">
        <v>156</v>
      </c>
      <c r="I1502" s="199">
        <v>1</v>
      </c>
      <c r="J1502" s="199">
        <v>1</v>
      </c>
      <c r="K1502" s="199">
        <v>1</v>
      </c>
      <c r="L1502" s="199">
        <v>50</v>
      </c>
      <c r="M1502" s="206">
        <f>TB_Parts_Lists[[#This Row],[Quantity Initial]]+ SUMIF(TB_Transactions[Part number],TB_Parts_Lists[[#This Row],[Part Number]],TB_Transactions[Quantity])</f>
        <v>50</v>
      </c>
      <c r="N1502" s="200" t="s">
        <v>4593</v>
      </c>
      <c r="O1502" s="234">
        <v>5</v>
      </c>
      <c r="P1502" s="199">
        <f>TB_Parts_Lists[[#This Row],[Quantity Initial]]*TB_Parts_Lists[[#This Row],[Unit Price AED]]</f>
        <v>250</v>
      </c>
      <c r="Q1502" s="199">
        <f>TB_Parts_Lists[[#This Row],[Quantity Total]]*TB_Parts_Lists[[#This Row],[Unit Price AED]]</f>
        <v>250</v>
      </c>
      <c r="R1502" s="205"/>
      <c r="S1502" s="199" t="s">
        <v>118</v>
      </c>
      <c r="T1502" s="199" t="s">
        <v>8691</v>
      </c>
      <c r="U1502" s="199" t="s">
        <v>8716</v>
      </c>
    </row>
    <row r="1503" spans="1:21" s="199" customFormat="1" x14ac:dyDescent="0.25">
      <c r="A1503" s="193" t="s">
        <v>8051</v>
      </c>
      <c r="B1503" s="207" t="s">
        <v>3339</v>
      </c>
      <c r="C1503" s="205" t="s">
        <v>7657</v>
      </c>
      <c r="D1503" s="199" t="s">
        <v>8732</v>
      </c>
      <c r="E1503" s="188" t="s">
        <v>4540</v>
      </c>
      <c r="F1503" s="189" t="s">
        <v>4541</v>
      </c>
      <c r="G1503" s="205" t="s">
        <v>8316</v>
      </c>
      <c r="H1503" s="199" t="s">
        <v>72</v>
      </c>
      <c r="I1503" s="199">
        <v>1</v>
      </c>
      <c r="J1503" s="199">
        <v>1</v>
      </c>
      <c r="K1503" s="199">
        <v>1</v>
      </c>
      <c r="L1503" s="199">
        <v>50</v>
      </c>
      <c r="M1503" s="206">
        <f>TB_Parts_Lists[[#This Row],[Quantity Initial]]+ SUMIF(TB_Transactions[Part number],TB_Parts_Lists[[#This Row],[Part Number]],TB_Transactions[Quantity])</f>
        <v>50</v>
      </c>
      <c r="N1503" s="200" t="s">
        <v>4593</v>
      </c>
      <c r="O1503" s="234">
        <v>5</v>
      </c>
      <c r="P1503" s="199">
        <f>TB_Parts_Lists[[#This Row],[Quantity Initial]]*TB_Parts_Lists[[#This Row],[Unit Price AED]]</f>
        <v>250</v>
      </c>
      <c r="Q1503" s="199">
        <f>TB_Parts_Lists[[#This Row],[Quantity Total]]*TB_Parts_Lists[[#This Row],[Unit Price AED]]</f>
        <v>250</v>
      </c>
      <c r="R1503" s="205"/>
      <c r="S1503" s="199" t="s">
        <v>118</v>
      </c>
      <c r="T1503" s="199" t="s">
        <v>8706</v>
      </c>
      <c r="U1503" s="199" t="s">
        <v>625</v>
      </c>
    </row>
    <row r="1504" spans="1:21" s="199" customFormat="1" x14ac:dyDescent="0.25">
      <c r="A1504" s="193" t="s">
        <v>8052</v>
      </c>
      <c r="B1504" s="207" t="s">
        <v>3339</v>
      </c>
      <c r="C1504" s="205" t="s">
        <v>7655</v>
      </c>
      <c r="D1504" s="199" t="s">
        <v>8732</v>
      </c>
      <c r="E1504" s="188" t="s">
        <v>5767</v>
      </c>
      <c r="F1504" s="189" t="s">
        <v>4542</v>
      </c>
      <c r="G1504" s="205" t="s">
        <v>8316</v>
      </c>
      <c r="H1504" s="199" t="s">
        <v>8668</v>
      </c>
      <c r="I1504" s="199">
        <v>1</v>
      </c>
      <c r="J1504" s="199">
        <v>1</v>
      </c>
      <c r="K1504" s="199">
        <v>1</v>
      </c>
      <c r="L1504" s="199">
        <v>50</v>
      </c>
      <c r="M1504" s="206">
        <f>TB_Parts_Lists[[#This Row],[Quantity Initial]]+ SUMIF(TB_Transactions[Part number],TB_Parts_Lists[[#This Row],[Part Number]],TB_Transactions[Quantity])</f>
        <v>50</v>
      </c>
      <c r="N1504" s="200" t="s">
        <v>4593</v>
      </c>
      <c r="O1504" s="234">
        <v>5</v>
      </c>
      <c r="P1504" s="199">
        <f>TB_Parts_Lists[[#This Row],[Quantity Initial]]*TB_Parts_Lists[[#This Row],[Unit Price AED]]</f>
        <v>250</v>
      </c>
      <c r="Q1504" s="199">
        <f>TB_Parts_Lists[[#This Row],[Quantity Total]]*TB_Parts_Lists[[#This Row],[Unit Price AED]]</f>
        <v>250</v>
      </c>
      <c r="R1504" s="205"/>
      <c r="S1504" s="199" t="s">
        <v>118</v>
      </c>
      <c r="T1504" s="199" t="s">
        <v>8707</v>
      </c>
      <c r="U1504" s="199" t="s">
        <v>8721</v>
      </c>
    </row>
    <row r="1505" spans="1:21" s="199" customFormat="1" x14ac:dyDescent="0.25">
      <c r="A1505" s="193" t="s">
        <v>8053</v>
      </c>
      <c r="B1505" s="207" t="s">
        <v>3339</v>
      </c>
      <c r="C1505" s="205" t="s">
        <v>5768</v>
      </c>
      <c r="D1505" s="199" t="s">
        <v>8732</v>
      </c>
      <c r="E1505" s="188" t="s">
        <v>5768</v>
      </c>
      <c r="F1505" s="189" t="s">
        <v>4543</v>
      </c>
      <c r="G1505" s="205" t="s">
        <v>8316</v>
      </c>
      <c r="H1505" s="199" t="s">
        <v>191</v>
      </c>
      <c r="I1505" s="199">
        <v>1</v>
      </c>
      <c r="J1505" s="199">
        <v>1</v>
      </c>
      <c r="K1505" s="199">
        <v>1</v>
      </c>
      <c r="L1505" s="199">
        <v>50</v>
      </c>
      <c r="M1505" s="206">
        <f>TB_Parts_Lists[[#This Row],[Quantity Initial]]+ SUMIF(TB_Transactions[Part number],TB_Parts_Lists[[#This Row],[Part Number]],TB_Transactions[Quantity])</f>
        <v>50</v>
      </c>
      <c r="N1505" s="200" t="s">
        <v>4593</v>
      </c>
      <c r="O1505" s="234">
        <v>5</v>
      </c>
      <c r="P1505" s="199">
        <f>TB_Parts_Lists[[#This Row],[Quantity Initial]]*TB_Parts_Lists[[#This Row],[Unit Price AED]]</f>
        <v>250</v>
      </c>
      <c r="Q1505" s="199">
        <f>TB_Parts_Lists[[#This Row],[Quantity Total]]*TB_Parts_Lists[[#This Row],[Unit Price AED]]</f>
        <v>250</v>
      </c>
      <c r="R1505" s="205"/>
      <c r="S1505" s="199" t="s">
        <v>118</v>
      </c>
      <c r="T1505" s="199" t="s">
        <v>8675</v>
      </c>
      <c r="U1505" s="199" t="s">
        <v>8675</v>
      </c>
    </row>
    <row r="1506" spans="1:21" s="199" customFormat="1" x14ac:dyDescent="0.25">
      <c r="A1506" s="193" t="s">
        <v>8054</v>
      </c>
      <c r="B1506" s="207" t="s">
        <v>3339</v>
      </c>
      <c r="C1506" s="205" t="s">
        <v>7653</v>
      </c>
      <c r="D1506" s="199" t="s">
        <v>8732</v>
      </c>
      <c r="E1506" s="188" t="s">
        <v>4544</v>
      </c>
      <c r="F1506" s="189" t="s">
        <v>4545</v>
      </c>
      <c r="G1506" s="205" t="s">
        <v>8316</v>
      </c>
      <c r="H1506" s="199" t="s">
        <v>72</v>
      </c>
      <c r="I1506" s="199">
        <v>1</v>
      </c>
      <c r="J1506" s="199">
        <v>1</v>
      </c>
      <c r="K1506" s="199">
        <v>1</v>
      </c>
      <c r="L1506" s="199">
        <v>50</v>
      </c>
      <c r="M1506" s="206">
        <f>TB_Parts_Lists[[#This Row],[Quantity Initial]]+ SUMIF(TB_Transactions[Part number],TB_Parts_Lists[[#This Row],[Part Number]],TB_Transactions[Quantity])</f>
        <v>50</v>
      </c>
      <c r="N1506" s="200" t="s">
        <v>4593</v>
      </c>
      <c r="O1506" s="234">
        <v>5</v>
      </c>
      <c r="P1506" s="199">
        <f>TB_Parts_Lists[[#This Row],[Quantity Initial]]*TB_Parts_Lists[[#This Row],[Unit Price AED]]</f>
        <v>250</v>
      </c>
      <c r="Q1506" s="199">
        <f>TB_Parts_Lists[[#This Row],[Quantity Total]]*TB_Parts_Lists[[#This Row],[Unit Price AED]]</f>
        <v>250</v>
      </c>
      <c r="R1506" s="205"/>
      <c r="S1506" s="199" t="s">
        <v>118</v>
      </c>
      <c r="T1506" s="199" t="s">
        <v>8706</v>
      </c>
      <c r="U1506" s="199" t="s">
        <v>625</v>
      </c>
    </row>
    <row r="1507" spans="1:21" s="199" customFormat="1" x14ac:dyDescent="0.25">
      <c r="A1507" s="193" t="s">
        <v>8055</v>
      </c>
      <c r="B1507" s="207" t="s">
        <v>3339</v>
      </c>
      <c r="C1507" s="205" t="s">
        <v>7657</v>
      </c>
      <c r="D1507" s="199" t="s">
        <v>8732</v>
      </c>
      <c r="E1507" s="188" t="s">
        <v>5769</v>
      </c>
      <c r="F1507" s="189" t="s">
        <v>4546</v>
      </c>
      <c r="G1507" s="205" t="s">
        <v>8316</v>
      </c>
      <c r="H1507" s="199" t="s">
        <v>72</v>
      </c>
      <c r="I1507" s="199">
        <v>1</v>
      </c>
      <c r="J1507" s="199">
        <v>1</v>
      </c>
      <c r="K1507" s="199">
        <v>1</v>
      </c>
      <c r="L1507" s="199">
        <v>50</v>
      </c>
      <c r="M1507" s="206">
        <f>TB_Parts_Lists[[#This Row],[Quantity Initial]]+ SUMIF(TB_Transactions[Part number],TB_Parts_Lists[[#This Row],[Part Number]],TB_Transactions[Quantity])</f>
        <v>50</v>
      </c>
      <c r="N1507" s="200" t="s">
        <v>4593</v>
      </c>
      <c r="O1507" s="234">
        <v>5</v>
      </c>
      <c r="P1507" s="199">
        <f>TB_Parts_Lists[[#This Row],[Quantity Initial]]*TB_Parts_Lists[[#This Row],[Unit Price AED]]</f>
        <v>250</v>
      </c>
      <c r="Q1507" s="199">
        <f>TB_Parts_Lists[[#This Row],[Quantity Total]]*TB_Parts_Lists[[#This Row],[Unit Price AED]]</f>
        <v>250</v>
      </c>
      <c r="R1507" s="205"/>
      <c r="S1507" s="199" t="s">
        <v>118</v>
      </c>
      <c r="T1507" s="199" t="s">
        <v>8706</v>
      </c>
      <c r="U1507" s="199" t="s">
        <v>625</v>
      </c>
    </row>
    <row r="1508" spans="1:21" s="199" customFormat="1" x14ac:dyDescent="0.25">
      <c r="A1508" s="193" t="s">
        <v>8056</v>
      </c>
      <c r="B1508" s="207" t="s">
        <v>3330</v>
      </c>
      <c r="C1508" s="205" t="s">
        <v>7002</v>
      </c>
      <c r="D1508" s="199" t="s">
        <v>8732</v>
      </c>
      <c r="E1508" s="188" t="s">
        <v>5770</v>
      </c>
      <c r="F1508" s="189" t="s">
        <v>4547</v>
      </c>
      <c r="G1508" s="205" t="s">
        <v>8316</v>
      </c>
      <c r="H1508" s="199" t="s">
        <v>8668</v>
      </c>
      <c r="I1508" s="199">
        <v>1</v>
      </c>
      <c r="J1508" s="199">
        <v>1</v>
      </c>
      <c r="K1508" s="199">
        <v>1</v>
      </c>
      <c r="L1508" s="199">
        <v>50</v>
      </c>
      <c r="M1508" s="206">
        <f>TB_Parts_Lists[[#This Row],[Quantity Initial]]+ SUMIF(TB_Transactions[Part number],TB_Parts_Lists[[#This Row],[Part Number]],TB_Transactions[Quantity])</f>
        <v>50</v>
      </c>
      <c r="N1508" s="200" t="s">
        <v>4593</v>
      </c>
      <c r="O1508" s="234">
        <v>5</v>
      </c>
      <c r="P1508" s="199">
        <f>TB_Parts_Lists[[#This Row],[Quantity Initial]]*TB_Parts_Lists[[#This Row],[Unit Price AED]]</f>
        <v>250</v>
      </c>
      <c r="Q1508" s="199">
        <f>TB_Parts_Lists[[#This Row],[Quantity Total]]*TB_Parts_Lists[[#This Row],[Unit Price AED]]</f>
        <v>250</v>
      </c>
      <c r="R1508" s="205"/>
      <c r="S1508" s="199" t="s">
        <v>122</v>
      </c>
      <c r="T1508" s="199" t="s">
        <v>8708</v>
      </c>
      <c r="U1508" s="199" t="s">
        <v>1751</v>
      </c>
    </row>
    <row r="1509" spans="1:21" s="199" customFormat="1" x14ac:dyDescent="0.25">
      <c r="A1509" s="193" t="s">
        <v>8057</v>
      </c>
      <c r="B1509" s="207" t="s">
        <v>3339</v>
      </c>
      <c r="C1509" s="205" t="s">
        <v>4548</v>
      </c>
      <c r="D1509" s="199" t="s">
        <v>8732</v>
      </c>
      <c r="E1509" s="188" t="s">
        <v>4548</v>
      </c>
      <c r="F1509" s="189" t="s">
        <v>4549</v>
      </c>
      <c r="G1509" s="205" t="s">
        <v>8316</v>
      </c>
      <c r="H1509" s="199" t="s">
        <v>191</v>
      </c>
      <c r="I1509" s="199">
        <v>1</v>
      </c>
      <c r="J1509" s="199">
        <v>1</v>
      </c>
      <c r="K1509" s="199">
        <v>1</v>
      </c>
      <c r="L1509" s="199">
        <v>50</v>
      </c>
      <c r="M1509" s="206">
        <f>TB_Parts_Lists[[#This Row],[Quantity Initial]]+ SUMIF(TB_Transactions[Part number],TB_Parts_Lists[[#This Row],[Part Number]],TB_Transactions[Quantity])</f>
        <v>50</v>
      </c>
      <c r="N1509" s="200" t="s">
        <v>4593</v>
      </c>
      <c r="O1509" s="234">
        <v>5</v>
      </c>
      <c r="P1509" s="199">
        <f>TB_Parts_Lists[[#This Row],[Quantity Initial]]*TB_Parts_Lists[[#This Row],[Unit Price AED]]</f>
        <v>250</v>
      </c>
      <c r="Q1509" s="199">
        <f>TB_Parts_Lists[[#This Row],[Quantity Total]]*TB_Parts_Lists[[#This Row],[Unit Price AED]]</f>
        <v>250</v>
      </c>
      <c r="R1509" s="205"/>
      <c r="S1509" s="199" t="s">
        <v>118</v>
      </c>
      <c r="T1509" s="199" t="s">
        <v>8675</v>
      </c>
      <c r="U1509" s="199" t="s">
        <v>8675</v>
      </c>
    </row>
    <row r="1510" spans="1:21" s="199" customFormat="1" x14ac:dyDescent="0.25">
      <c r="A1510" s="193" t="s">
        <v>8058</v>
      </c>
      <c r="B1510" s="207" t="s">
        <v>3339</v>
      </c>
      <c r="C1510" s="205" t="s">
        <v>7657</v>
      </c>
      <c r="D1510" s="199" t="s">
        <v>8732</v>
      </c>
      <c r="E1510" s="188" t="s">
        <v>4550</v>
      </c>
      <c r="F1510" s="189" t="s">
        <v>4551</v>
      </c>
      <c r="G1510" s="205" t="s">
        <v>8316</v>
      </c>
      <c r="H1510" s="199" t="s">
        <v>72</v>
      </c>
      <c r="I1510" s="199">
        <v>1</v>
      </c>
      <c r="J1510" s="199">
        <v>1</v>
      </c>
      <c r="K1510" s="199">
        <v>1</v>
      </c>
      <c r="L1510" s="199">
        <v>50</v>
      </c>
      <c r="M1510" s="206">
        <f>TB_Parts_Lists[[#This Row],[Quantity Initial]]+ SUMIF(TB_Transactions[Part number],TB_Parts_Lists[[#This Row],[Part Number]],TB_Transactions[Quantity])</f>
        <v>50</v>
      </c>
      <c r="N1510" s="200" t="s">
        <v>4593</v>
      </c>
      <c r="O1510" s="234">
        <v>5</v>
      </c>
      <c r="P1510" s="199">
        <f>TB_Parts_Lists[[#This Row],[Quantity Initial]]*TB_Parts_Lists[[#This Row],[Unit Price AED]]</f>
        <v>250</v>
      </c>
      <c r="Q1510" s="199">
        <f>TB_Parts_Lists[[#This Row],[Quantity Total]]*TB_Parts_Lists[[#This Row],[Unit Price AED]]</f>
        <v>250</v>
      </c>
      <c r="R1510" s="205"/>
      <c r="S1510" s="199" t="s">
        <v>118</v>
      </c>
      <c r="T1510" s="199" t="s">
        <v>8706</v>
      </c>
      <c r="U1510" s="199" t="s">
        <v>625</v>
      </c>
    </row>
    <row r="1511" spans="1:21" s="199" customFormat="1" x14ac:dyDescent="0.25">
      <c r="A1511" s="193" t="s">
        <v>8059</v>
      </c>
      <c r="B1511" s="207" t="s">
        <v>3339</v>
      </c>
      <c r="C1511" s="205" t="s">
        <v>7656</v>
      </c>
      <c r="D1511" s="199" t="s">
        <v>8732</v>
      </c>
      <c r="E1511" s="188" t="s">
        <v>4552</v>
      </c>
      <c r="F1511" s="189" t="s">
        <v>4553</v>
      </c>
      <c r="G1511" s="205" t="s">
        <v>8316</v>
      </c>
      <c r="H1511" s="199" t="s">
        <v>72</v>
      </c>
      <c r="I1511" s="199">
        <v>1</v>
      </c>
      <c r="J1511" s="199">
        <v>1</v>
      </c>
      <c r="K1511" s="199">
        <v>1</v>
      </c>
      <c r="L1511" s="199">
        <v>50</v>
      </c>
      <c r="M1511" s="206">
        <f>TB_Parts_Lists[[#This Row],[Quantity Initial]]+ SUMIF(TB_Transactions[Part number],TB_Parts_Lists[[#This Row],[Part Number]],TB_Transactions[Quantity])</f>
        <v>50</v>
      </c>
      <c r="N1511" s="200" t="s">
        <v>4593</v>
      </c>
      <c r="O1511" s="234">
        <v>5</v>
      </c>
      <c r="P1511" s="199">
        <f>TB_Parts_Lists[[#This Row],[Quantity Initial]]*TB_Parts_Lists[[#This Row],[Unit Price AED]]</f>
        <v>250</v>
      </c>
      <c r="Q1511" s="199">
        <f>TB_Parts_Lists[[#This Row],[Quantity Total]]*TB_Parts_Lists[[#This Row],[Unit Price AED]]</f>
        <v>250</v>
      </c>
      <c r="R1511" s="205"/>
      <c r="S1511" s="199" t="s">
        <v>118</v>
      </c>
      <c r="T1511" s="199" t="s">
        <v>8706</v>
      </c>
      <c r="U1511" s="199" t="s">
        <v>625</v>
      </c>
    </row>
    <row r="1512" spans="1:21" s="199" customFormat="1" x14ac:dyDescent="0.25">
      <c r="A1512" s="193" t="s">
        <v>8060</v>
      </c>
      <c r="B1512" s="207" t="s">
        <v>3330</v>
      </c>
      <c r="C1512" s="205" t="s">
        <v>7002</v>
      </c>
      <c r="D1512" s="188" t="s">
        <v>8724</v>
      </c>
      <c r="E1512" s="188" t="s">
        <v>4554</v>
      </c>
      <c r="F1512" s="189" t="s">
        <v>4555</v>
      </c>
      <c r="G1512" s="205" t="s">
        <v>8316</v>
      </c>
      <c r="H1512" s="199" t="s">
        <v>8644</v>
      </c>
      <c r="I1512" s="199">
        <v>1</v>
      </c>
      <c r="J1512" s="199">
        <v>1</v>
      </c>
      <c r="K1512" s="199">
        <v>1</v>
      </c>
      <c r="L1512" s="199">
        <v>50</v>
      </c>
      <c r="M1512" s="206">
        <f>TB_Parts_Lists[[#This Row],[Quantity Initial]]+ SUMIF(TB_Transactions[Part number],TB_Parts_Lists[[#This Row],[Part Number]],TB_Transactions[Quantity])</f>
        <v>50</v>
      </c>
      <c r="N1512" s="200" t="s">
        <v>4593</v>
      </c>
      <c r="O1512" s="234">
        <v>5</v>
      </c>
      <c r="P1512" s="199">
        <f>TB_Parts_Lists[[#This Row],[Quantity Initial]]*TB_Parts_Lists[[#This Row],[Unit Price AED]]</f>
        <v>250</v>
      </c>
      <c r="Q1512" s="199">
        <f>TB_Parts_Lists[[#This Row],[Quantity Total]]*TB_Parts_Lists[[#This Row],[Unit Price AED]]</f>
        <v>250</v>
      </c>
      <c r="R1512" s="205"/>
      <c r="S1512" s="199" t="s">
        <v>118</v>
      </c>
      <c r="T1512" s="199" t="s">
        <v>8707</v>
      </c>
      <c r="U1512" s="199" t="s">
        <v>8721</v>
      </c>
    </row>
    <row r="1513" spans="1:21" s="199" customFormat="1" x14ac:dyDescent="0.25">
      <c r="A1513" s="193" t="s">
        <v>8062</v>
      </c>
      <c r="B1513" s="207" t="s">
        <v>4605</v>
      </c>
      <c r="C1513" s="205" t="s">
        <v>8061</v>
      </c>
      <c r="D1513" s="199" t="s">
        <v>8732</v>
      </c>
      <c r="E1513" s="188" t="s">
        <v>4556</v>
      </c>
      <c r="F1513" s="189" t="s">
        <v>4557</v>
      </c>
      <c r="G1513" s="205" t="s">
        <v>8316</v>
      </c>
      <c r="H1513" s="199" t="s">
        <v>157</v>
      </c>
      <c r="I1513" s="199">
        <v>1</v>
      </c>
      <c r="J1513" s="199">
        <v>1</v>
      </c>
      <c r="K1513" s="199">
        <v>1</v>
      </c>
      <c r="L1513" s="199">
        <v>50</v>
      </c>
      <c r="M1513" s="206">
        <f>TB_Parts_Lists[[#This Row],[Quantity Initial]]+ SUMIF(TB_Transactions[Part number],TB_Parts_Lists[[#This Row],[Part Number]],TB_Transactions[Quantity])</f>
        <v>50</v>
      </c>
      <c r="N1513" s="200" t="s">
        <v>4593</v>
      </c>
      <c r="O1513" s="234">
        <v>5</v>
      </c>
      <c r="P1513" s="199">
        <f>TB_Parts_Lists[[#This Row],[Quantity Initial]]*TB_Parts_Lists[[#This Row],[Unit Price AED]]</f>
        <v>250</v>
      </c>
      <c r="Q1513" s="199">
        <f>TB_Parts_Lists[[#This Row],[Quantity Total]]*TB_Parts_Lists[[#This Row],[Unit Price AED]]</f>
        <v>250</v>
      </c>
      <c r="R1513" s="205"/>
      <c r="S1513" s="199" t="s">
        <v>118</v>
      </c>
      <c r="T1513" s="199" t="s">
        <v>8675</v>
      </c>
      <c r="U1513" s="199" t="s">
        <v>8675</v>
      </c>
    </row>
    <row r="1514" spans="1:21" s="199" customFormat="1" x14ac:dyDescent="0.25">
      <c r="A1514" s="193" t="s">
        <v>8063</v>
      </c>
      <c r="B1514" s="207" t="s">
        <v>3339</v>
      </c>
      <c r="C1514" s="205" t="s">
        <v>7659</v>
      </c>
      <c r="D1514" s="199" t="s">
        <v>8732</v>
      </c>
      <c r="E1514" s="188" t="s">
        <v>5771</v>
      </c>
      <c r="F1514" s="189" t="s">
        <v>4558</v>
      </c>
      <c r="G1514" s="205" t="s">
        <v>8316</v>
      </c>
      <c r="H1514" s="199" t="s">
        <v>191</v>
      </c>
      <c r="I1514" s="199">
        <v>1</v>
      </c>
      <c r="J1514" s="199">
        <v>1</v>
      </c>
      <c r="K1514" s="199">
        <v>1</v>
      </c>
      <c r="L1514" s="199">
        <v>50</v>
      </c>
      <c r="M1514" s="206">
        <f>TB_Parts_Lists[[#This Row],[Quantity Initial]]+ SUMIF(TB_Transactions[Part number],TB_Parts_Lists[[#This Row],[Part Number]],TB_Transactions[Quantity])</f>
        <v>50</v>
      </c>
      <c r="N1514" s="200" t="s">
        <v>4593</v>
      </c>
      <c r="O1514" s="234">
        <v>5</v>
      </c>
      <c r="P1514" s="199">
        <f>TB_Parts_Lists[[#This Row],[Quantity Initial]]*TB_Parts_Lists[[#This Row],[Unit Price AED]]</f>
        <v>250</v>
      </c>
      <c r="Q1514" s="199">
        <f>TB_Parts_Lists[[#This Row],[Quantity Total]]*TB_Parts_Lists[[#This Row],[Unit Price AED]]</f>
        <v>250</v>
      </c>
      <c r="R1514" s="205"/>
      <c r="S1514" s="199" t="s">
        <v>118</v>
      </c>
      <c r="T1514" s="199" t="s">
        <v>8675</v>
      </c>
      <c r="U1514" s="199" t="s">
        <v>8675</v>
      </c>
    </row>
    <row r="1515" spans="1:21" s="199" customFormat="1" x14ac:dyDescent="0.25">
      <c r="A1515" s="193" t="s">
        <v>8064</v>
      </c>
      <c r="B1515" s="207" t="s">
        <v>3339</v>
      </c>
      <c r="C1515" s="205" t="s">
        <v>7657</v>
      </c>
      <c r="D1515" s="188" t="s">
        <v>8724</v>
      </c>
      <c r="E1515" s="188" t="s">
        <v>4559</v>
      </c>
      <c r="F1515" s="189" t="s">
        <v>4560</v>
      </c>
      <c r="G1515" s="205" t="s">
        <v>8316</v>
      </c>
      <c r="H1515" s="199" t="s">
        <v>8658</v>
      </c>
      <c r="I1515" s="199">
        <v>1</v>
      </c>
      <c r="J1515" s="199">
        <v>1</v>
      </c>
      <c r="K1515" s="199">
        <v>1</v>
      </c>
      <c r="L1515" s="199">
        <v>50</v>
      </c>
      <c r="M1515" s="206">
        <f>TB_Parts_Lists[[#This Row],[Quantity Initial]]+ SUMIF(TB_Transactions[Part number],TB_Parts_Lists[[#This Row],[Part Number]],TB_Transactions[Quantity])</f>
        <v>50</v>
      </c>
      <c r="N1515" s="200" t="s">
        <v>4593</v>
      </c>
      <c r="O1515" s="234">
        <v>5</v>
      </c>
      <c r="P1515" s="199">
        <f>TB_Parts_Lists[[#This Row],[Quantity Initial]]*TB_Parts_Lists[[#This Row],[Unit Price AED]]</f>
        <v>250</v>
      </c>
      <c r="Q1515" s="199">
        <f>TB_Parts_Lists[[#This Row],[Quantity Total]]*TB_Parts_Lists[[#This Row],[Unit Price AED]]</f>
        <v>250</v>
      </c>
      <c r="R1515" s="205"/>
      <c r="S1515" s="199" t="s">
        <v>118</v>
      </c>
      <c r="T1515" s="199" t="s">
        <v>8675</v>
      </c>
      <c r="U1515" s="199" t="s">
        <v>8675</v>
      </c>
    </row>
    <row r="1516" spans="1:21" s="199" customFormat="1" x14ac:dyDescent="0.25">
      <c r="A1516" s="193" t="s">
        <v>8065</v>
      </c>
      <c r="B1516" s="207" t="s">
        <v>3330</v>
      </c>
      <c r="C1516" s="205" t="s">
        <v>7002</v>
      </c>
      <c r="D1516" s="199" t="s">
        <v>8724</v>
      </c>
      <c r="E1516" s="188" t="s">
        <v>5772</v>
      </c>
      <c r="F1516" s="189" t="s">
        <v>4561</v>
      </c>
      <c r="G1516" s="205" t="s">
        <v>8316</v>
      </c>
      <c r="H1516" s="199" t="s">
        <v>156</v>
      </c>
      <c r="I1516" s="199">
        <v>1</v>
      </c>
      <c r="J1516" s="199">
        <v>1</v>
      </c>
      <c r="K1516" s="199">
        <v>1</v>
      </c>
      <c r="L1516" s="199">
        <v>50</v>
      </c>
      <c r="M1516" s="206">
        <f>TB_Parts_Lists[[#This Row],[Quantity Initial]]+ SUMIF(TB_Transactions[Part number],TB_Parts_Lists[[#This Row],[Part Number]],TB_Transactions[Quantity])</f>
        <v>50</v>
      </c>
      <c r="N1516" s="200" t="s">
        <v>4593</v>
      </c>
      <c r="O1516" s="234">
        <v>5</v>
      </c>
      <c r="P1516" s="199">
        <f>TB_Parts_Lists[[#This Row],[Quantity Initial]]*TB_Parts_Lists[[#This Row],[Unit Price AED]]</f>
        <v>250</v>
      </c>
      <c r="Q1516" s="199">
        <f>TB_Parts_Lists[[#This Row],[Quantity Total]]*TB_Parts_Lists[[#This Row],[Unit Price AED]]</f>
        <v>250</v>
      </c>
      <c r="R1516" s="205"/>
      <c r="S1516" s="199" t="s">
        <v>118</v>
      </c>
      <c r="T1516" s="199" t="s">
        <v>8707</v>
      </c>
      <c r="U1516" s="199" t="s">
        <v>8721</v>
      </c>
    </row>
    <row r="1517" spans="1:21" s="199" customFormat="1" x14ac:dyDescent="0.25">
      <c r="A1517" s="193" t="s">
        <v>8067</v>
      </c>
      <c r="B1517" s="207" t="s">
        <v>3339</v>
      </c>
      <c r="C1517" s="205" t="s">
        <v>8066</v>
      </c>
      <c r="D1517" s="188" t="s">
        <v>8724</v>
      </c>
      <c r="E1517" s="188" t="s">
        <v>4562</v>
      </c>
      <c r="F1517" s="189" t="s">
        <v>4563</v>
      </c>
      <c r="G1517" s="205" t="s">
        <v>8316</v>
      </c>
      <c r="H1517" s="199" t="s">
        <v>8669</v>
      </c>
      <c r="I1517" s="199">
        <v>1</v>
      </c>
      <c r="J1517" s="199">
        <v>1</v>
      </c>
      <c r="K1517" s="199">
        <v>1</v>
      </c>
      <c r="L1517" s="199">
        <v>50</v>
      </c>
      <c r="M1517" s="206">
        <f>TB_Parts_Lists[[#This Row],[Quantity Initial]]+ SUMIF(TB_Transactions[Part number],TB_Parts_Lists[[#This Row],[Part Number]],TB_Transactions[Quantity])</f>
        <v>50</v>
      </c>
      <c r="N1517" s="200" t="s">
        <v>4593</v>
      </c>
      <c r="O1517" s="234">
        <v>5</v>
      </c>
      <c r="P1517" s="199">
        <f>TB_Parts_Lists[[#This Row],[Quantity Initial]]*TB_Parts_Lists[[#This Row],[Unit Price AED]]</f>
        <v>250</v>
      </c>
      <c r="Q1517" s="199">
        <f>TB_Parts_Lists[[#This Row],[Quantity Total]]*TB_Parts_Lists[[#This Row],[Unit Price AED]]</f>
        <v>250</v>
      </c>
      <c r="R1517" s="205"/>
      <c r="S1517" s="199" t="s">
        <v>118</v>
      </c>
      <c r="T1517" s="199" t="s">
        <v>8709</v>
      </c>
      <c r="U1517" s="199" t="s">
        <v>1220</v>
      </c>
    </row>
    <row r="1518" spans="1:21" s="199" customFormat="1" x14ac:dyDescent="0.25">
      <c r="A1518" s="193" t="s">
        <v>8068</v>
      </c>
      <c r="B1518" s="207" t="s">
        <v>3339</v>
      </c>
      <c r="C1518" s="205" t="s">
        <v>7653</v>
      </c>
      <c r="D1518" s="199" t="s">
        <v>8732</v>
      </c>
      <c r="E1518" s="188" t="s">
        <v>5773</v>
      </c>
      <c r="F1518" s="189" t="s">
        <v>4564</v>
      </c>
      <c r="G1518" s="205" t="s">
        <v>8316</v>
      </c>
      <c r="H1518" s="199" t="s">
        <v>7653</v>
      </c>
      <c r="I1518" s="199">
        <v>1</v>
      </c>
      <c r="J1518" s="199">
        <v>1</v>
      </c>
      <c r="K1518" s="199">
        <v>1</v>
      </c>
      <c r="L1518" s="199">
        <v>50</v>
      </c>
      <c r="M1518" s="206">
        <f>TB_Parts_Lists[[#This Row],[Quantity Initial]]+ SUMIF(TB_Transactions[Part number],TB_Parts_Lists[[#This Row],[Part Number]],TB_Transactions[Quantity])</f>
        <v>50</v>
      </c>
      <c r="N1518" s="200" t="s">
        <v>4593</v>
      </c>
      <c r="O1518" s="234">
        <v>5</v>
      </c>
      <c r="P1518" s="199">
        <f>TB_Parts_Lists[[#This Row],[Quantity Initial]]*TB_Parts_Lists[[#This Row],[Unit Price AED]]</f>
        <v>250</v>
      </c>
      <c r="Q1518" s="199">
        <f>TB_Parts_Lists[[#This Row],[Quantity Total]]*TB_Parts_Lists[[#This Row],[Unit Price AED]]</f>
        <v>250</v>
      </c>
      <c r="R1518" s="205"/>
      <c r="S1518" s="199" t="s">
        <v>118</v>
      </c>
      <c r="T1518" s="199" t="s">
        <v>8706</v>
      </c>
      <c r="U1518" s="199" t="s">
        <v>625</v>
      </c>
    </row>
    <row r="1519" spans="1:21" s="199" customFormat="1" x14ac:dyDescent="0.25">
      <c r="A1519" s="193" t="s">
        <v>8069</v>
      </c>
      <c r="B1519" s="207" t="s">
        <v>3330</v>
      </c>
      <c r="C1519" s="205" t="s">
        <v>7002</v>
      </c>
      <c r="D1519" s="188" t="s">
        <v>8724</v>
      </c>
      <c r="E1519" s="188" t="s">
        <v>4565</v>
      </c>
      <c r="F1519" s="189" t="s">
        <v>4566</v>
      </c>
      <c r="G1519" s="205" t="s">
        <v>8316</v>
      </c>
      <c r="H1519" s="199" t="s">
        <v>8670</v>
      </c>
      <c r="I1519" s="199">
        <v>1</v>
      </c>
      <c r="J1519" s="199">
        <v>1</v>
      </c>
      <c r="K1519" s="199">
        <v>1</v>
      </c>
      <c r="L1519" s="199">
        <v>50</v>
      </c>
      <c r="M1519" s="206">
        <f>TB_Parts_Lists[[#This Row],[Quantity Initial]]+ SUMIF(TB_Transactions[Part number],TB_Parts_Lists[[#This Row],[Part Number]],TB_Transactions[Quantity])</f>
        <v>50</v>
      </c>
      <c r="N1519" s="200" t="s">
        <v>4593</v>
      </c>
      <c r="O1519" s="234">
        <v>5</v>
      </c>
      <c r="P1519" s="199">
        <f>TB_Parts_Lists[[#This Row],[Quantity Initial]]*TB_Parts_Lists[[#This Row],[Unit Price AED]]</f>
        <v>250</v>
      </c>
      <c r="Q1519" s="199">
        <f>TB_Parts_Lists[[#This Row],[Quantity Total]]*TB_Parts_Lists[[#This Row],[Unit Price AED]]</f>
        <v>250</v>
      </c>
      <c r="R1519" s="205"/>
      <c r="S1519" s="199" t="s">
        <v>122</v>
      </c>
      <c r="T1519" s="199" t="s">
        <v>8708</v>
      </c>
      <c r="U1519" s="199" t="s">
        <v>1751</v>
      </c>
    </row>
    <row r="1520" spans="1:21" s="199" customFormat="1" x14ac:dyDescent="0.25">
      <c r="A1520" s="193" t="s">
        <v>8070</v>
      </c>
      <c r="B1520" s="207" t="s">
        <v>3330</v>
      </c>
      <c r="C1520" s="205" t="s">
        <v>7002</v>
      </c>
      <c r="D1520" s="199" t="s">
        <v>8732</v>
      </c>
      <c r="E1520" s="188" t="s">
        <v>5774</v>
      </c>
      <c r="F1520" s="189" t="s">
        <v>4567</v>
      </c>
      <c r="G1520" s="205" t="s">
        <v>8316</v>
      </c>
      <c r="H1520" s="199" t="s">
        <v>8644</v>
      </c>
      <c r="I1520" s="199">
        <v>1</v>
      </c>
      <c r="J1520" s="199">
        <v>1</v>
      </c>
      <c r="K1520" s="199">
        <v>1</v>
      </c>
      <c r="L1520" s="199">
        <v>50</v>
      </c>
      <c r="M1520" s="206">
        <f>TB_Parts_Lists[[#This Row],[Quantity Initial]]+ SUMIF(TB_Transactions[Part number],TB_Parts_Lists[[#This Row],[Part Number]],TB_Transactions[Quantity])</f>
        <v>50</v>
      </c>
      <c r="N1520" s="200" t="s">
        <v>4593</v>
      </c>
      <c r="O1520" s="234">
        <v>5</v>
      </c>
      <c r="P1520" s="199">
        <f>TB_Parts_Lists[[#This Row],[Quantity Initial]]*TB_Parts_Lists[[#This Row],[Unit Price AED]]</f>
        <v>250</v>
      </c>
      <c r="Q1520" s="199">
        <f>TB_Parts_Lists[[#This Row],[Quantity Total]]*TB_Parts_Lists[[#This Row],[Unit Price AED]]</f>
        <v>250</v>
      </c>
      <c r="R1520" s="205"/>
      <c r="S1520" s="199" t="s">
        <v>118</v>
      </c>
      <c r="T1520" s="199" t="s">
        <v>8675</v>
      </c>
      <c r="U1520" s="199" t="s">
        <v>8675</v>
      </c>
    </row>
    <row r="1521" spans="1:21" s="199" customFormat="1" x14ac:dyDescent="0.25">
      <c r="A1521" s="193" t="s">
        <v>8071</v>
      </c>
      <c r="B1521" s="207" t="s">
        <v>3330</v>
      </c>
      <c r="C1521" s="205" t="s">
        <v>7002</v>
      </c>
      <c r="D1521" s="199" t="s">
        <v>8732</v>
      </c>
      <c r="E1521" s="188" t="s">
        <v>5775</v>
      </c>
      <c r="F1521" s="189" t="s">
        <v>4568</v>
      </c>
      <c r="G1521" s="205" t="s">
        <v>8316</v>
      </c>
      <c r="H1521" s="199" t="s">
        <v>156</v>
      </c>
      <c r="I1521" s="199">
        <v>1</v>
      </c>
      <c r="J1521" s="199">
        <v>1</v>
      </c>
      <c r="K1521" s="199">
        <v>1</v>
      </c>
      <c r="L1521" s="199">
        <v>50</v>
      </c>
      <c r="M1521" s="206">
        <f>TB_Parts_Lists[[#This Row],[Quantity Initial]]+ SUMIF(TB_Transactions[Part number],TB_Parts_Lists[[#This Row],[Part Number]],TB_Transactions[Quantity])</f>
        <v>50</v>
      </c>
      <c r="N1521" s="200" t="s">
        <v>4593</v>
      </c>
      <c r="O1521" s="234">
        <v>5</v>
      </c>
      <c r="P1521" s="199">
        <f>TB_Parts_Lists[[#This Row],[Quantity Initial]]*TB_Parts_Lists[[#This Row],[Unit Price AED]]</f>
        <v>250</v>
      </c>
      <c r="Q1521" s="199">
        <f>TB_Parts_Lists[[#This Row],[Quantity Total]]*TB_Parts_Lists[[#This Row],[Unit Price AED]]</f>
        <v>250</v>
      </c>
      <c r="R1521" s="205"/>
      <c r="S1521" s="199" t="s">
        <v>118</v>
      </c>
      <c r="T1521" s="199" t="s">
        <v>8707</v>
      </c>
      <c r="U1521" s="199" t="s">
        <v>8721</v>
      </c>
    </row>
    <row r="1522" spans="1:21" s="199" customFormat="1" x14ac:dyDescent="0.25">
      <c r="A1522" s="193" t="s">
        <v>8072</v>
      </c>
      <c r="B1522" s="207" t="s">
        <v>3330</v>
      </c>
      <c r="C1522" s="205" t="s">
        <v>7002</v>
      </c>
      <c r="D1522" s="199" t="s">
        <v>8732</v>
      </c>
      <c r="E1522" s="188" t="s">
        <v>5776</v>
      </c>
      <c r="F1522" s="189" t="s">
        <v>4569</v>
      </c>
      <c r="G1522" s="205" t="s">
        <v>8316</v>
      </c>
      <c r="H1522" s="199" t="s">
        <v>156</v>
      </c>
      <c r="I1522" s="199">
        <v>1</v>
      </c>
      <c r="J1522" s="199">
        <v>1</v>
      </c>
      <c r="K1522" s="199">
        <v>1</v>
      </c>
      <c r="L1522" s="199">
        <v>50</v>
      </c>
      <c r="M1522" s="206">
        <f>TB_Parts_Lists[[#This Row],[Quantity Initial]]+ SUMIF(TB_Transactions[Part number],TB_Parts_Lists[[#This Row],[Part Number]],TB_Transactions[Quantity])</f>
        <v>50</v>
      </c>
      <c r="N1522" s="200" t="s">
        <v>4593</v>
      </c>
      <c r="O1522" s="234">
        <v>5</v>
      </c>
      <c r="P1522" s="199">
        <f>TB_Parts_Lists[[#This Row],[Quantity Initial]]*TB_Parts_Lists[[#This Row],[Unit Price AED]]</f>
        <v>250</v>
      </c>
      <c r="Q1522" s="199">
        <f>TB_Parts_Lists[[#This Row],[Quantity Total]]*TB_Parts_Lists[[#This Row],[Unit Price AED]]</f>
        <v>250</v>
      </c>
      <c r="R1522" s="205"/>
      <c r="S1522" s="199" t="s">
        <v>118</v>
      </c>
      <c r="T1522" s="199" t="s">
        <v>8707</v>
      </c>
      <c r="U1522" s="199" t="s">
        <v>8721</v>
      </c>
    </row>
    <row r="1523" spans="1:21" s="199" customFormat="1" x14ac:dyDescent="0.25">
      <c r="A1523" s="193" t="s">
        <v>8073</v>
      </c>
      <c r="B1523" s="207" t="s">
        <v>3330</v>
      </c>
      <c r="C1523" s="205" t="s">
        <v>7002</v>
      </c>
      <c r="D1523" s="199" t="s">
        <v>8723</v>
      </c>
      <c r="E1523" s="188" t="s">
        <v>4570</v>
      </c>
      <c r="F1523" s="189" t="s">
        <v>4571</v>
      </c>
      <c r="G1523" s="205" t="s">
        <v>8316</v>
      </c>
      <c r="H1523" s="199" t="s">
        <v>8644</v>
      </c>
      <c r="I1523" s="199">
        <v>1</v>
      </c>
      <c r="J1523" s="199">
        <v>1</v>
      </c>
      <c r="K1523" s="199">
        <v>1</v>
      </c>
      <c r="L1523" s="199">
        <v>50</v>
      </c>
      <c r="M1523" s="206">
        <f>TB_Parts_Lists[[#This Row],[Quantity Initial]]+ SUMIF(TB_Transactions[Part number],TB_Parts_Lists[[#This Row],[Part Number]],TB_Transactions[Quantity])</f>
        <v>50</v>
      </c>
      <c r="N1523" s="200" t="s">
        <v>4593</v>
      </c>
      <c r="O1523" s="234">
        <v>5</v>
      </c>
      <c r="P1523" s="199">
        <f>TB_Parts_Lists[[#This Row],[Quantity Initial]]*TB_Parts_Lists[[#This Row],[Unit Price AED]]</f>
        <v>250</v>
      </c>
      <c r="Q1523" s="199">
        <f>TB_Parts_Lists[[#This Row],[Quantity Total]]*TB_Parts_Lists[[#This Row],[Unit Price AED]]</f>
        <v>250</v>
      </c>
      <c r="R1523" s="205"/>
      <c r="S1523" s="199" t="s">
        <v>8675</v>
      </c>
      <c r="T1523" s="199" t="s">
        <v>8675</v>
      </c>
      <c r="U1523" s="199" t="s">
        <v>8675</v>
      </c>
    </row>
    <row r="1524" spans="1:21" s="199" customFormat="1" x14ac:dyDescent="0.25">
      <c r="A1524" s="193" t="s">
        <v>8074</v>
      </c>
      <c r="B1524" s="207" t="s">
        <v>3334</v>
      </c>
      <c r="C1524" s="205" t="s">
        <v>7959</v>
      </c>
      <c r="D1524" s="199" t="s">
        <v>8732</v>
      </c>
      <c r="E1524" s="188" t="s">
        <v>5777</v>
      </c>
      <c r="F1524" s="189" t="s">
        <v>4572</v>
      </c>
      <c r="G1524" s="205" t="s">
        <v>8316</v>
      </c>
      <c r="H1524" s="199" t="s">
        <v>62</v>
      </c>
      <c r="I1524" s="199">
        <v>1</v>
      </c>
      <c r="J1524" s="199">
        <v>1</v>
      </c>
      <c r="K1524" s="199">
        <v>1</v>
      </c>
      <c r="L1524" s="199">
        <v>50</v>
      </c>
      <c r="M1524" s="206">
        <f>TB_Parts_Lists[[#This Row],[Quantity Initial]]+ SUMIF(TB_Transactions[Part number],TB_Parts_Lists[[#This Row],[Part Number]],TB_Transactions[Quantity])</f>
        <v>50</v>
      </c>
      <c r="N1524" s="200" t="s">
        <v>4593</v>
      </c>
      <c r="O1524" s="234">
        <v>5</v>
      </c>
      <c r="P1524" s="199">
        <f>TB_Parts_Lists[[#This Row],[Quantity Initial]]*TB_Parts_Lists[[#This Row],[Unit Price AED]]</f>
        <v>250</v>
      </c>
      <c r="Q1524" s="199">
        <f>TB_Parts_Lists[[#This Row],[Quantity Total]]*TB_Parts_Lists[[#This Row],[Unit Price AED]]</f>
        <v>250</v>
      </c>
      <c r="R1524" s="205"/>
      <c r="S1524" s="199" t="s">
        <v>118</v>
      </c>
      <c r="T1524" s="199" t="s">
        <v>8710</v>
      </c>
      <c r="U1524" s="199" t="s">
        <v>8722</v>
      </c>
    </row>
    <row r="1525" spans="1:21" s="199" customFormat="1" x14ac:dyDescent="0.25">
      <c r="A1525" s="193" t="s">
        <v>8075</v>
      </c>
      <c r="B1525" s="207" t="s">
        <v>3334</v>
      </c>
      <c r="C1525" s="205" t="s">
        <v>7959</v>
      </c>
      <c r="D1525" s="199" t="s">
        <v>8732</v>
      </c>
      <c r="E1525" s="188" t="s">
        <v>5778</v>
      </c>
      <c r="F1525" s="189" t="s">
        <v>4573</v>
      </c>
      <c r="G1525" s="205" t="s">
        <v>8316</v>
      </c>
      <c r="H1525" s="199" t="s">
        <v>62</v>
      </c>
      <c r="I1525" s="199">
        <v>1</v>
      </c>
      <c r="J1525" s="199">
        <v>1</v>
      </c>
      <c r="K1525" s="199">
        <v>1</v>
      </c>
      <c r="L1525" s="199">
        <v>50</v>
      </c>
      <c r="M1525" s="206">
        <f>TB_Parts_Lists[[#This Row],[Quantity Initial]]+ SUMIF(TB_Transactions[Part number],TB_Parts_Lists[[#This Row],[Part Number]],TB_Transactions[Quantity])</f>
        <v>50</v>
      </c>
      <c r="N1525" s="200" t="s">
        <v>4593</v>
      </c>
      <c r="O1525" s="234">
        <v>5</v>
      </c>
      <c r="P1525" s="199">
        <f>TB_Parts_Lists[[#This Row],[Quantity Initial]]*TB_Parts_Lists[[#This Row],[Unit Price AED]]</f>
        <v>250</v>
      </c>
      <c r="Q1525" s="199">
        <f>TB_Parts_Lists[[#This Row],[Quantity Total]]*TB_Parts_Lists[[#This Row],[Unit Price AED]]</f>
        <v>250</v>
      </c>
      <c r="R1525" s="205"/>
      <c r="S1525" s="199" t="s">
        <v>118</v>
      </c>
      <c r="T1525" s="199" t="s">
        <v>8710</v>
      </c>
      <c r="U1525" s="199" t="s">
        <v>8722</v>
      </c>
    </row>
    <row r="1526" spans="1:21" s="199" customFormat="1" x14ac:dyDescent="0.25">
      <c r="A1526" s="193" t="s">
        <v>8076</v>
      </c>
      <c r="B1526" s="207" t="s">
        <v>3330</v>
      </c>
      <c r="C1526" s="205" t="s">
        <v>7002</v>
      </c>
      <c r="D1526" s="199" t="s">
        <v>8724</v>
      </c>
      <c r="E1526" s="188" t="s">
        <v>4574</v>
      </c>
      <c r="F1526" s="189" t="s">
        <v>4575</v>
      </c>
      <c r="G1526" s="205" t="s">
        <v>8316</v>
      </c>
      <c r="H1526" s="199" t="s">
        <v>156</v>
      </c>
      <c r="I1526" s="199">
        <v>1</v>
      </c>
      <c r="J1526" s="199">
        <v>1</v>
      </c>
      <c r="K1526" s="199">
        <v>1</v>
      </c>
      <c r="L1526" s="199">
        <v>50</v>
      </c>
      <c r="M1526" s="206">
        <f>TB_Parts_Lists[[#This Row],[Quantity Initial]]+ SUMIF(TB_Transactions[Part number],TB_Parts_Lists[[#This Row],[Part Number]],TB_Transactions[Quantity])</f>
        <v>50</v>
      </c>
      <c r="N1526" s="200" t="s">
        <v>4593</v>
      </c>
      <c r="O1526" s="234">
        <v>5</v>
      </c>
      <c r="P1526" s="199">
        <f>TB_Parts_Lists[[#This Row],[Quantity Initial]]*TB_Parts_Lists[[#This Row],[Unit Price AED]]</f>
        <v>250</v>
      </c>
      <c r="Q1526" s="199">
        <f>TB_Parts_Lists[[#This Row],[Quantity Total]]*TB_Parts_Lists[[#This Row],[Unit Price AED]]</f>
        <v>250</v>
      </c>
      <c r="R1526" s="205"/>
      <c r="S1526" s="199" t="s">
        <v>118</v>
      </c>
      <c r="T1526" s="199" t="s">
        <v>8675</v>
      </c>
      <c r="U1526" s="199" t="s">
        <v>8675</v>
      </c>
    </row>
    <row r="1527" spans="1:21" s="199" customFormat="1" x14ac:dyDescent="0.25">
      <c r="A1527" s="193" t="s">
        <v>8077</v>
      </c>
      <c r="B1527" s="207" t="s">
        <v>3334</v>
      </c>
      <c r="C1527" s="205" t="s">
        <v>4576</v>
      </c>
      <c r="D1527" s="199" t="s">
        <v>8723</v>
      </c>
      <c r="E1527" s="188" t="s">
        <v>5779</v>
      </c>
      <c r="F1527" s="189" t="s">
        <v>6257</v>
      </c>
      <c r="G1527" s="205" t="s">
        <v>8317</v>
      </c>
      <c r="H1527" s="199" t="s">
        <v>123</v>
      </c>
      <c r="I1527" s="199">
        <v>1</v>
      </c>
      <c r="J1527" s="199">
        <v>1</v>
      </c>
      <c r="K1527" s="199">
        <v>1</v>
      </c>
      <c r="L1527" s="199">
        <v>50</v>
      </c>
      <c r="M1527" s="206">
        <f>TB_Parts_Lists[[#This Row],[Quantity Initial]]+ SUMIF(TB_Transactions[Part number],TB_Parts_Lists[[#This Row],[Part Number]],TB_Transactions[Quantity])</f>
        <v>50</v>
      </c>
      <c r="N1527" s="200" t="s">
        <v>4593</v>
      </c>
      <c r="O1527" s="234">
        <v>5</v>
      </c>
      <c r="P1527" s="199">
        <f>TB_Parts_Lists[[#This Row],[Quantity Initial]]*TB_Parts_Lists[[#This Row],[Unit Price AED]]</f>
        <v>250</v>
      </c>
      <c r="Q1527" s="199">
        <f>TB_Parts_Lists[[#This Row],[Quantity Total]]*TB_Parts_Lists[[#This Row],[Unit Price AED]]</f>
        <v>250</v>
      </c>
      <c r="R1527" s="205"/>
      <c r="S1527" s="199" t="s">
        <v>122</v>
      </c>
      <c r="T1527" s="199" t="s">
        <v>277</v>
      </c>
      <c r="U1527" s="199" t="s">
        <v>276</v>
      </c>
    </row>
    <row r="1528" spans="1:21" s="199" customFormat="1" x14ac:dyDescent="0.25">
      <c r="A1528" s="193" t="s">
        <v>8078</v>
      </c>
      <c r="B1528" s="207" t="s">
        <v>3334</v>
      </c>
      <c r="C1528" s="205" t="s">
        <v>4576</v>
      </c>
      <c r="D1528" s="199" t="s">
        <v>8723</v>
      </c>
      <c r="E1528" s="188" t="s">
        <v>5780</v>
      </c>
      <c r="F1528" s="189" t="s">
        <v>6258</v>
      </c>
      <c r="G1528" s="205" t="s">
        <v>8317</v>
      </c>
      <c r="H1528" s="199" t="s">
        <v>123</v>
      </c>
      <c r="I1528" s="199">
        <v>1</v>
      </c>
      <c r="J1528" s="199">
        <v>1</v>
      </c>
      <c r="K1528" s="199">
        <v>1</v>
      </c>
      <c r="L1528" s="199">
        <v>50</v>
      </c>
      <c r="M1528" s="206">
        <f>TB_Parts_Lists[[#This Row],[Quantity Initial]]+ SUMIF(TB_Transactions[Part number],TB_Parts_Lists[[#This Row],[Part Number]],TB_Transactions[Quantity])</f>
        <v>50</v>
      </c>
      <c r="N1528" s="200" t="s">
        <v>4593</v>
      </c>
      <c r="O1528" s="234">
        <v>5</v>
      </c>
      <c r="P1528" s="199">
        <f>TB_Parts_Lists[[#This Row],[Quantity Initial]]*TB_Parts_Lists[[#This Row],[Unit Price AED]]</f>
        <v>250</v>
      </c>
      <c r="Q1528" s="199">
        <f>TB_Parts_Lists[[#This Row],[Quantity Total]]*TB_Parts_Lists[[#This Row],[Unit Price AED]]</f>
        <v>250</v>
      </c>
      <c r="R1528" s="205"/>
      <c r="S1528" s="199" t="s">
        <v>122</v>
      </c>
      <c r="T1528" s="199" t="s">
        <v>277</v>
      </c>
      <c r="U1528" s="199" t="s">
        <v>276</v>
      </c>
    </row>
    <row r="1529" spans="1:21" s="199" customFormat="1" x14ac:dyDescent="0.25">
      <c r="A1529" s="193" t="s">
        <v>8079</v>
      </c>
      <c r="B1529" s="207" t="s">
        <v>3334</v>
      </c>
      <c r="C1529" s="205" t="s">
        <v>4576</v>
      </c>
      <c r="D1529" s="199" t="s">
        <v>8732</v>
      </c>
      <c r="E1529" s="188" t="s">
        <v>5781</v>
      </c>
      <c r="F1529" s="189" t="s">
        <v>6259</v>
      </c>
      <c r="G1529" s="205" t="s">
        <v>8317</v>
      </c>
      <c r="H1529" s="199" t="s">
        <v>123</v>
      </c>
      <c r="I1529" s="199">
        <v>1</v>
      </c>
      <c r="J1529" s="199">
        <v>1</v>
      </c>
      <c r="K1529" s="199">
        <v>1</v>
      </c>
      <c r="L1529" s="199">
        <v>50</v>
      </c>
      <c r="M1529" s="206">
        <f>TB_Parts_Lists[[#This Row],[Quantity Initial]]+ SUMIF(TB_Transactions[Part number],TB_Parts_Lists[[#This Row],[Part Number]],TB_Transactions[Quantity])</f>
        <v>50</v>
      </c>
      <c r="N1529" s="200" t="s">
        <v>4593</v>
      </c>
      <c r="O1529" s="234">
        <v>5</v>
      </c>
      <c r="P1529" s="199">
        <f>TB_Parts_Lists[[#This Row],[Quantity Initial]]*TB_Parts_Lists[[#This Row],[Unit Price AED]]</f>
        <v>250</v>
      </c>
      <c r="Q1529" s="199">
        <f>TB_Parts_Lists[[#This Row],[Quantity Total]]*TB_Parts_Lists[[#This Row],[Unit Price AED]]</f>
        <v>250</v>
      </c>
      <c r="R1529" s="205"/>
      <c r="S1529" s="199" t="s">
        <v>122</v>
      </c>
      <c r="T1529" s="199" t="s">
        <v>277</v>
      </c>
      <c r="U1529" s="199" t="s">
        <v>276</v>
      </c>
    </row>
    <row r="1530" spans="1:21" s="199" customFormat="1" x14ac:dyDescent="0.25">
      <c r="A1530" s="193" t="s">
        <v>8080</v>
      </c>
      <c r="B1530" s="207" t="s">
        <v>3334</v>
      </c>
      <c r="C1530" s="205" t="s">
        <v>4576</v>
      </c>
      <c r="D1530" s="199" t="s">
        <v>8723</v>
      </c>
      <c r="E1530" s="188" t="s">
        <v>5782</v>
      </c>
      <c r="F1530" s="189" t="s">
        <v>6260</v>
      </c>
      <c r="G1530" s="205" t="s">
        <v>8317</v>
      </c>
      <c r="H1530" s="199" t="s">
        <v>123</v>
      </c>
      <c r="I1530" s="199">
        <v>1</v>
      </c>
      <c r="J1530" s="199">
        <v>1</v>
      </c>
      <c r="K1530" s="199">
        <v>1</v>
      </c>
      <c r="L1530" s="199">
        <v>50</v>
      </c>
      <c r="M1530" s="206">
        <f>TB_Parts_Lists[[#This Row],[Quantity Initial]]+ SUMIF(TB_Transactions[Part number],TB_Parts_Lists[[#This Row],[Part Number]],TB_Transactions[Quantity])</f>
        <v>50</v>
      </c>
      <c r="N1530" s="200" t="s">
        <v>4593</v>
      </c>
      <c r="O1530" s="234">
        <v>5</v>
      </c>
      <c r="P1530" s="199">
        <f>TB_Parts_Lists[[#This Row],[Quantity Initial]]*TB_Parts_Lists[[#This Row],[Unit Price AED]]</f>
        <v>250</v>
      </c>
      <c r="Q1530" s="199">
        <f>TB_Parts_Lists[[#This Row],[Quantity Total]]*TB_Parts_Lists[[#This Row],[Unit Price AED]]</f>
        <v>250</v>
      </c>
      <c r="R1530" s="205"/>
      <c r="S1530" s="199" t="s">
        <v>122</v>
      </c>
      <c r="T1530" s="199" t="s">
        <v>277</v>
      </c>
      <c r="U1530" s="199" t="s">
        <v>276</v>
      </c>
    </row>
    <row r="1531" spans="1:21" s="199" customFormat="1" x14ac:dyDescent="0.25">
      <c r="A1531" s="193" t="s">
        <v>8081</v>
      </c>
      <c r="B1531" s="207" t="s">
        <v>3334</v>
      </c>
      <c r="C1531" s="205" t="s">
        <v>4576</v>
      </c>
      <c r="D1531" s="199" t="s">
        <v>8732</v>
      </c>
      <c r="E1531" s="188" t="s">
        <v>5783</v>
      </c>
      <c r="F1531" s="189" t="s">
        <v>6261</v>
      </c>
      <c r="G1531" s="205" t="s">
        <v>8317</v>
      </c>
      <c r="H1531" s="199" t="s">
        <v>123</v>
      </c>
      <c r="I1531" s="199">
        <v>1</v>
      </c>
      <c r="J1531" s="199">
        <v>1</v>
      </c>
      <c r="K1531" s="199">
        <v>1</v>
      </c>
      <c r="L1531" s="199">
        <v>50</v>
      </c>
      <c r="M1531" s="206">
        <f>TB_Parts_Lists[[#This Row],[Quantity Initial]]+ SUMIF(TB_Transactions[Part number],TB_Parts_Lists[[#This Row],[Part Number]],TB_Transactions[Quantity])</f>
        <v>50</v>
      </c>
      <c r="N1531" s="200" t="s">
        <v>4593</v>
      </c>
      <c r="O1531" s="234">
        <v>5</v>
      </c>
      <c r="P1531" s="199">
        <f>TB_Parts_Lists[[#This Row],[Quantity Initial]]*TB_Parts_Lists[[#This Row],[Unit Price AED]]</f>
        <v>250</v>
      </c>
      <c r="Q1531" s="199">
        <f>TB_Parts_Lists[[#This Row],[Quantity Total]]*TB_Parts_Lists[[#This Row],[Unit Price AED]]</f>
        <v>250</v>
      </c>
      <c r="R1531" s="205"/>
      <c r="S1531" s="199" t="s">
        <v>122</v>
      </c>
      <c r="T1531" s="199" t="s">
        <v>277</v>
      </c>
      <c r="U1531" s="199" t="s">
        <v>276</v>
      </c>
    </row>
    <row r="1532" spans="1:21" s="199" customFormat="1" x14ac:dyDescent="0.25">
      <c r="A1532" s="193" t="s">
        <v>8082</v>
      </c>
      <c r="B1532" s="207" t="s">
        <v>3334</v>
      </c>
      <c r="C1532" s="205" t="s">
        <v>4576</v>
      </c>
      <c r="D1532" s="199" t="s">
        <v>8732</v>
      </c>
      <c r="E1532" s="188" t="s">
        <v>5784</v>
      </c>
      <c r="F1532" s="189" t="s">
        <v>6262</v>
      </c>
      <c r="G1532" s="205" t="s">
        <v>8317</v>
      </c>
      <c r="H1532" s="199" t="s">
        <v>123</v>
      </c>
      <c r="I1532" s="199">
        <v>1</v>
      </c>
      <c r="J1532" s="199">
        <v>1</v>
      </c>
      <c r="K1532" s="199">
        <v>1</v>
      </c>
      <c r="L1532" s="199">
        <v>50</v>
      </c>
      <c r="M1532" s="206">
        <f>TB_Parts_Lists[[#This Row],[Quantity Initial]]+ SUMIF(TB_Transactions[Part number],TB_Parts_Lists[[#This Row],[Part Number]],TB_Transactions[Quantity])</f>
        <v>50</v>
      </c>
      <c r="N1532" s="200" t="s">
        <v>4593</v>
      </c>
      <c r="O1532" s="234">
        <v>5</v>
      </c>
      <c r="P1532" s="199">
        <f>TB_Parts_Lists[[#This Row],[Quantity Initial]]*TB_Parts_Lists[[#This Row],[Unit Price AED]]</f>
        <v>250</v>
      </c>
      <c r="Q1532" s="199">
        <f>TB_Parts_Lists[[#This Row],[Quantity Total]]*TB_Parts_Lists[[#This Row],[Unit Price AED]]</f>
        <v>250</v>
      </c>
      <c r="R1532" s="205"/>
      <c r="S1532" s="199" t="s">
        <v>122</v>
      </c>
      <c r="T1532" s="199" t="s">
        <v>277</v>
      </c>
      <c r="U1532" s="199" t="s">
        <v>276</v>
      </c>
    </row>
    <row r="1533" spans="1:21" s="199" customFormat="1" x14ac:dyDescent="0.25">
      <c r="A1533" s="193" t="s">
        <v>8083</v>
      </c>
      <c r="B1533" s="207" t="s">
        <v>3334</v>
      </c>
      <c r="C1533" s="205" t="s">
        <v>4576</v>
      </c>
      <c r="D1533" s="199" t="s">
        <v>8732</v>
      </c>
      <c r="E1533" s="188" t="s">
        <v>5785</v>
      </c>
      <c r="F1533" s="189" t="s">
        <v>6263</v>
      </c>
      <c r="G1533" s="205" t="s">
        <v>8317</v>
      </c>
      <c r="H1533" s="199" t="s">
        <v>123</v>
      </c>
      <c r="I1533" s="199">
        <v>1</v>
      </c>
      <c r="J1533" s="199">
        <v>1</v>
      </c>
      <c r="K1533" s="199">
        <v>1</v>
      </c>
      <c r="L1533" s="199">
        <v>50</v>
      </c>
      <c r="M1533" s="206">
        <f>TB_Parts_Lists[[#This Row],[Quantity Initial]]+ SUMIF(TB_Transactions[Part number],TB_Parts_Lists[[#This Row],[Part Number]],TB_Transactions[Quantity])</f>
        <v>50</v>
      </c>
      <c r="N1533" s="200" t="s">
        <v>4593</v>
      </c>
      <c r="O1533" s="234">
        <v>5</v>
      </c>
      <c r="P1533" s="199">
        <f>TB_Parts_Lists[[#This Row],[Quantity Initial]]*TB_Parts_Lists[[#This Row],[Unit Price AED]]</f>
        <v>250</v>
      </c>
      <c r="Q1533" s="199">
        <f>TB_Parts_Lists[[#This Row],[Quantity Total]]*TB_Parts_Lists[[#This Row],[Unit Price AED]]</f>
        <v>250</v>
      </c>
      <c r="R1533" s="205"/>
      <c r="S1533" s="199" t="s">
        <v>122</v>
      </c>
      <c r="T1533" s="199" t="s">
        <v>277</v>
      </c>
      <c r="U1533" s="199" t="s">
        <v>276</v>
      </c>
    </row>
    <row r="1534" spans="1:21" s="199" customFormat="1" x14ac:dyDescent="0.25">
      <c r="A1534" s="193" t="s">
        <v>8084</v>
      </c>
      <c r="B1534" s="207" t="s">
        <v>3334</v>
      </c>
      <c r="C1534" s="205" t="s">
        <v>4576</v>
      </c>
      <c r="D1534" s="199" t="s">
        <v>8732</v>
      </c>
      <c r="E1534" s="188" t="s">
        <v>5786</v>
      </c>
      <c r="F1534" s="189" t="s">
        <v>6264</v>
      </c>
      <c r="G1534" s="205" t="s">
        <v>8317</v>
      </c>
      <c r="H1534" s="199" t="s">
        <v>123</v>
      </c>
      <c r="I1534" s="199">
        <v>1</v>
      </c>
      <c r="J1534" s="199">
        <v>1</v>
      </c>
      <c r="K1534" s="199">
        <v>1</v>
      </c>
      <c r="L1534" s="199">
        <v>50</v>
      </c>
      <c r="M1534" s="206">
        <f>TB_Parts_Lists[[#This Row],[Quantity Initial]]+ SUMIF(TB_Transactions[Part number],TB_Parts_Lists[[#This Row],[Part Number]],TB_Transactions[Quantity])</f>
        <v>50</v>
      </c>
      <c r="N1534" s="200" t="s">
        <v>4593</v>
      </c>
      <c r="O1534" s="234">
        <v>5</v>
      </c>
      <c r="P1534" s="199">
        <f>TB_Parts_Lists[[#This Row],[Quantity Initial]]*TB_Parts_Lists[[#This Row],[Unit Price AED]]</f>
        <v>250</v>
      </c>
      <c r="Q1534" s="199">
        <f>TB_Parts_Lists[[#This Row],[Quantity Total]]*TB_Parts_Lists[[#This Row],[Unit Price AED]]</f>
        <v>250</v>
      </c>
      <c r="R1534" s="205"/>
      <c r="S1534" s="199" t="s">
        <v>122</v>
      </c>
      <c r="T1534" s="199" t="s">
        <v>277</v>
      </c>
      <c r="U1534" s="199" t="s">
        <v>276</v>
      </c>
    </row>
    <row r="1535" spans="1:21" s="199" customFormat="1" x14ac:dyDescent="0.25">
      <c r="A1535" s="193" t="s">
        <v>8085</v>
      </c>
      <c r="B1535" s="207" t="s">
        <v>3334</v>
      </c>
      <c r="C1535" s="205" t="s">
        <v>4576</v>
      </c>
      <c r="D1535" s="199" t="s">
        <v>8732</v>
      </c>
      <c r="E1535" s="188" t="s">
        <v>5787</v>
      </c>
      <c r="F1535" s="189" t="s">
        <v>6265</v>
      </c>
      <c r="G1535" s="205" t="s">
        <v>8317</v>
      </c>
      <c r="H1535" s="199" t="s">
        <v>123</v>
      </c>
      <c r="I1535" s="199">
        <v>1</v>
      </c>
      <c r="J1535" s="199">
        <v>1</v>
      </c>
      <c r="K1535" s="199">
        <v>1</v>
      </c>
      <c r="L1535" s="199">
        <v>50</v>
      </c>
      <c r="M1535" s="206">
        <f>TB_Parts_Lists[[#This Row],[Quantity Initial]]+ SUMIF(TB_Transactions[Part number],TB_Parts_Lists[[#This Row],[Part Number]],TB_Transactions[Quantity])</f>
        <v>50</v>
      </c>
      <c r="N1535" s="200" t="s">
        <v>4593</v>
      </c>
      <c r="O1535" s="234">
        <v>5</v>
      </c>
      <c r="P1535" s="199">
        <f>TB_Parts_Lists[[#This Row],[Quantity Initial]]*TB_Parts_Lists[[#This Row],[Unit Price AED]]</f>
        <v>250</v>
      </c>
      <c r="Q1535" s="199">
        <f>TB_Parts_Lists[[#This Row],[Quantity Total]]*TB_Parts_Lists[[#This Row],[Unit Price AED]]</f>
        <v>250</v>
      </c>
      <c r="R1535" s="205"/>
      <c r="S1535" s="199" t="s">
        <v>122</v>
      </c>
      <c r="T1535" s="199" t="s">
        <v>277</v>
      </c>
      <c r="U1535" s="199" t="s">
        <v>276</v>
      </c>
    </row>
    <row r="1536" spans="1:21" s="199" customFormat="1" x14ac:dyDescent="0.25">
      <c r="A1536" s="193" t="s">
        <v>8086</v>
      </c>
      <c r="B1536" s="207" t="s">
        <v>3334</v>
      </c>
      <c r="C1536" s="205" t="s">
        <v>4576</v>
      </c>
      <c r="D1536" s="199" t="s">
        <v>8732</v>
      </c>
      <c r="E1536" s="188" t="s">
        <v>5788</v>
      </c>
      <c r="F1536" s="189" t="s">
        <v>6266</v>
      </c>
      <c r="G1536" s="205" t="s">
        <v>8317</v>
      </c>
      <c r="H1536" s="199" t="s">
        <v>123</v>
      </c>
      <c r="I1536" s="199">
        <v>1</v>
      </c>
      <c r="J1536" s="199">
        <v>1</v>
      </c>
      <c r="K1536" s="199">
        <v>1</v>
      </c>
      <c r="L1536" s="199">
        <v>50</v>
      </c>
      <c r="M1536" s="206">
        <f>TB_Parts_Lists[[#This Row],[Quantity Initial]]+ SUMIF(TB_Transactions[Part number],TB_Parts_Lists[[#This Row],[Part Number]],TB_Transactions[Quantity])</f>
        <v>50</v>
      </c>
      <c r="N1536" s="200" t="s">
        <v>4593</v>
      </c>
      <c r="O1536" s="234">
        <v>5</v>
      </c>
      <c r="P1536" s="199">
        <f>TB_Parts_Lists[[#This Row],[Quantity Initial]]*TB_Parts_Lists[[#This Row],[Unit Price AED]]</f>
        <v>250</v>
      </c>
      <c r="Q1536" s="199">
        <f>TB_Parts_Lists[[#This Row],[Quantity Total]]*TB_Parts_Lists[[#This Row],[Unit Price AED]]</f>
        <v>250</v>
      </c>
      <c r="R1536" s="205"/>
      <c r="S1536" s="199" t="s">
        <v>122</v>
      </c>
      <c r="T1536" s="199" t="s">
        <v>277</v>
      </c>
      <c r="U1536" s="199" t="s">
        <v>276</v>
      </c>
    </row>
    <row r="1537" spans="1:21" s="199" customFormat="1" x14ac:dyDescent="0.25">
      <c r="A1537" s="193" t="s">
        <v>8087</v>
      </c>
      <c r="B1537" s="207" t="s">
        <v>3334</v>
      </c>
      <c r="C1537" s="205" t="s">
        <v>4576</v>
      </c>
      <c r="D1537" s="199" t="s">
        <v>8723</v>
      </c>
      <c r="E1537" s="188" t="s">
        <v>5789</v>
      </c>
      <c r="F1537" s="189" t="s">
        <v>6267</v>
      </c>
      <c r="G1537" s="205" t="s">
        <v>8317</v>
      </c>
      <c r="H1537" s="199" t="s">
        <v>123</v>
      </c>
      <c r="I1537" s="199">
        <v>1</v>
      </c>
      <c r="J1537" s="199">
        <v>1</v>
      </c>
      <c r="K1537" s="199">
        <v>1</v>
      </c>
      <c r="L1537" s="199">
        <v>50</v>
      </c>
      <c r="M1537" s="206">
        <f>TB_Parts_Lists[[#This Row],[Quantity Initial]]+ SUMIF(TB_Transactions[Part number],TB_Parts_Lists[[#This Row],[Part Number]],TB_Transactions[Quantity])</f>
        <v>50</v>
      </c>
      <c r="N1537" s="200" t="s">
        <v>4593</v>
      </c>
      <c r="O1537" s="234">
        <v>5</v>
      </c>
      <c r="P1537" s="199">
        <f>TB_Parts_Lists[[#This Row],[Quantity Initial]]*TB_Parts_Lists[[#This Row],[Unit Price AED]]</f>
        <v>250</v>
      </c>
      <c r="Q1537" s="199">
        <f>TB_Parts_Lists[[#This Row],[Quantity Total]]*TB_Parts_Lists[[#This Row],[Unit Price AED]]</f>
        <v>250</v>
      </c>
      <c r="R1537" s="205"/>
      <c r="S1537" s="199" t="s">
        <v>122</v>
      </c>
      <c r="T1537" s="199" t="s">
        <v>277</v>
      </c>
      <c r="U1537" s="199" t="s">
        <v>276</v>
      </c>
    </row>
    <row r="1538" spans="1:21" s="199" customFormat="1" x14ac:dyDescent="0.25">
      <c r="A1538" s="193" t="s">
        <v>8088</v>
      </c>
      <c r="B1538" s="207" t="s">
        <v>3334</v>
      </c>
      <c r="C1538" s="205" t="s">
        <v>4576</v>
      </c>
      <c r="D1538" s="199" t="s">
        <v>8723</v>
      </c>
      <c r="E1538" s="188" t="s">
        <v>5790</v>
      </c>
      <c r="F1538" s="189" t="s">
        <v>6268</v>
      </c>
      <c r="G1538" s="205" t="s">
        <v>8317</v>
      </c>
      <c r="H1538" s="199" t="s">
        <v>123</v>
      </c>
      <c r="I1538" s="199">
        <v>1</v>
      </c>
      <c r="J1538" s="199">
        <v>1</v>
      </c>
      <c r="K1538" s="199">
        <v>1</v>
      </c>
      <c r="L1538" s="199">
        <v>50</v>
      </c>
      <c r="M1538" s="206">
        <f>TB_Parts_Lists[[#This Row],[Quantity Initial]]+ SUMIF(TB_Transactions[Part number],TB_Parts_Lists[[#This Row],[Part Number]],TB_Transactions[Quantity])</f>
        <v>50</v>
      </c>
      <c r="N1538" s="200" t="s">
        <v>4593</v>
      </c>
      <c r="O1538" s="234">
        <v>5</v>
      </c>
      <c r="P1538" s="199">
        <f>TB_Parts_Lists[[#This Row],[Quantity Initial]]*TB_Parts_Lists[[#This Row],[Unit Price AED]]</f>
        <v>250</v>
      </c>
      <c r="Q1538" s="199">
        <f>TB_Parts_Lists[[#This Row],[Quantity Total]]*TB_Parts_Lists[[#This Row],[Unit Price AED]]</f>
        <v>250</v>
      </c>
      <c r="R1538" s="205"/>
      <c r="S1538" s="199" t="s">
        <v>122</v>
      </c>
      <c r="T1538" s="199" t="s">
        <v>277</v>
      </c>
      <c r="U1538" s="199" t="s">
        <v>276</v>
      </c>
    </row>
    <row r="1539" spans="1:21" s="199" customFormat="1" x14ac:dyDescent="0.25">
      <c r="A1539" s="193" t="s">
        <v>8089</v>
      </c>
      <c r="B1539" s="207" t="s">
        <v>3334</v>
      </c>
      <c r="C1539" s="205" t="s">
        <v>4576</v>
      </c>
      <c r="D1539" s="199" t="s">
        <v>8723</v>
      </c>
      <c r="E1539" s="188" t="s">
        <v>5791</v>
      </c>
      <c r="F1539" s="189" t="s">
        <v>6269</v>
      </c>
      <c r="G1539" s="205" t="s">
        <v>8317</v>
      </c>
      <c r="H1539" s="199" t="s">
        <v>123</v>
      </c>
      <c r="I1539" s="199">
        <v>1</v>
      </c>
      <c r="J1539" s="199">
        <v>1</v>
      </c>
      <c r="K1539" s="199">
        <v>1</v>
      </c>
      <c r="L1539" s="199">
        <v>50</v>
      </c>
      <c r="M1539" s="206">
        <f>TB_Parts_Lists[[#This Row],[Quantity Initial]]+ SUMIF(TB_Transactions[Part number],TB_Parts_Lists[[#This Row],[Part Number]],TB_Transactions[Quantity])</f>
        <v>50</v>
      </c>
      <c r="N1539" s="200" t="s">
        <v>4593</v>
      </c>
      <c r="O1539" s="234">
        <v>5</v>
      </c>
      <c r="P1539" s="199">
        <f>TB_Parts_Lists[[#This Row],[Quantity Initial]]*TB_Parts_Lists[[#This Row],[Unit Price AED]]</f>
        <v>250</v>
      </c>
      <c r="Q1539" s="199">
        <f>TB_Parts_Lists[[#This Row],[Quantity Total]]*TB_Parts_Lists[[#This Row],[Unit Price AED]]</f>
        <v>250</v>
      </c>
      <c r="R1539" s="205"/>
      <c r="S1539" s="199" t="s">
        <v>122</v>
      </c>
      <c r="T1539" s="199" t="s">
        <v>277</v>
      </c>
      <c r="U1539" s="199" t="s">
        <v>276</v>
      </c>
    </row>
    <row r="1540" spans="1:21" s="199" customFormat="1" x14ac:dyDescent="0.25">
      <c r="A1540" s="193" t="s">
        <v>8090</v>
      </c>
      <c r="B1540" s="207" t="s">
        <v>3334</v>
      </c>
      <c r="C1540" s="205" t="s">
        <v>7995</v>
      </c>
      <c r="D1540" s="199">
        <v>0</v>
      </c>
      <c r="E1540" s="188" t="s">
        <v>5792</v>
      </c>
      <c r="F1540" s="189" t="s">
        <v>6270</v>
      </c>
      <c r="G1540" s="205" t="s">
        <v>8318</v>
      </c>
      <c r="H1540" s="199" t="s">
        <v>8638</v>
      </c>
      <c r="I1540" s="199">
        <v>1</v>
      </c>
      <c r="J1540" s="199">
        <v>1</v>
      </c>
      <c r="K1540" s="199">
        <v>1</v>
      </c>
      <c r="L1540" s="199">
        <v>50</v>
      </c>
      <c r="M1540" s="206">
        <f>TB_Parts_Lists[[#This Row],[Quantity Initial]]+ SUMIF(TB_Transactions[Part number],TB_Parts_Lists[[#This Row],[Part Number]],TB_Transactions[Quantity])</f>
        <v>50</v>
      </c>
      <c r="N1540" s="200" t="s">
        <v>4593</v>
      </c>
      <c r="O1540" s="234">
        <v>5</v>
      </c>
      <c r="P1540" s="199">
        <f>TB_Parts_Lists[[#This Row],[Quantity Initial]]*TB_Parts_Lists[[#This Row],[Unit Price AED]]</f>
        <v>250</v>
      </c>
      <c r="Q1540" s="199">
        <f>TB_Parts_Lists[[#This Row],[Quantity Total]]*TB_Parts_Lists[[#This Row],[Unit Price AED]]</f>
        <v>250</v>
      </c>
      <c r="R1540" s="205"/>
      <c r="S1540" s="199" t="s">
        <v>8675</v>
      </c>
      <c r="T1540" s="199" t="s">
        <v>8675</v>
      </c>
      <c r="U1540" s="199" t="s">
        <v>8675</v>
      </c>
    </row>
    <row r="1541" spans="1:21" s="199" customFormat="1" x14ac:dyDescent="0.25">
      <c r="A1541" s="193" t="s">
        <v>8091</v>
      </c>
      <c r="B1541" s="207" t="s">
        <v>3334</v>
      </c>
      <c r="C1541" s="205" t="s">
        <v>7995</v>
      </c>
      <c r="D1541" s="199" t="s">
        <v>8723</v>
      </c>
      <c r="E1541" s="188" t="s">
        <v>5793</v>
      </c>
      <c r="F1541" s="189" t="s">
        <v>6271</v>
      </c>
      <c r="G1541" s="205" t="s">
        <v>8318</v>
      </c>
      <c r="H1541" s="199" t="s">
        <v>8638</v>
      </c>
      <c r="I1541" s="199">
        <v>1</v>
      </c>
      <c r="J1541" s="199">
        <v>1</v>
      </c>
      <c r="K1541" s="199">
        <v>1</v>
      </c>
      <c r="L1541" s="199">
        <v>50</v>
      </c>
      <c r="M1541" s="206">
        <f>TB_Parts_Lists[[#This Row],[Quantity Initial]]+ SUMIF(TB_Transactions[Part number],TB_Parts_Lists[[#This Row],[Part Number]],TB_Transactions[Quantity])</f>
        <v>50</v>
      </c>
      <c r="N1541" s="200" t="s">
        <v>4593</v>
      </c>
      <c r="O1541" s="234">
        <v>5</v>
      </c>
      <c r="P1541" s="199">
        <f>TB_Parts_Lists[[#This Row],[Quantity Initial]]*TB_Parts_Lists[[#This Row],[Unit Price AED]]</f>
        <v>250</v>
      </c>
      <c r="Q1541" s="199">
        <f>TB_Parts_Lists[[#This Row],[Quantity Total]]*TB_Parts_Lists[[#This Row],[Unit Price AED]]</f>
        <v>250</v>
      </c>
      <c r="R1541" s="205"/>
      <c r="S1541" s="199" t="s">
        <v>8675</v>
      </c>
      <c r="T1541" s="199" t="s">
        <v>8675</v>
      </c>
      <c r="U1541" s="199" t="s">
        <v>8675</v>
      </c>
    </row>
    <row r="1542" spans="1:21" s="199" customFormat="1" x14ac:dyDescent="0.25">
      <c r="A1542" s="193" t="s">
        <v>8092</v>
      </c>
      <c r="B1542" s="207" t="s">
        <v>3334</v>
      </c>
      <c r="C1542" s="205" t="s">
        <v>7995</v>
      </c>
      <c r="D1542" s="199" t="s">
        <v>8732</v>
      </c>
      <c r="E1542" s="188" t="s">
        <v>5794</v>
      </c>
      <c r="F1542" s="189" t="s">
        <v>6272</v>
      </c>
      <c r="G1542" s="205" t="s">
        <v>8318</v>
      </c>
      <c r="H1542" s="199" t="s">
        <v>8638</v>
      </c>
      <c r="I1542" s="199">
        <v>1</v>
      </c>
      <c r="J1542" s="199">
        <v>1</v>
      </c>
      <c r="K1542" s="199">
        <v>1</v>
      </c>
      <c r="L1542" s="199">
        <v>50</v>
      </c>
      <c r="M1542" s="206">
        <f>TB_Parts_Lists[[#This Row],[Quantity Initial]]+ SUMIF(TB_Transactions[Part number],TB_Parts_Lists[[#This Row],[Part Number]],TB_Transactions[Quantity])</f>
        <v>50</v>
      </c>
      <c r="N1542" s="200" t="s">
        <v>4593</v>
      </c>
      <c r="O1542" s="234">
        <v>5</v>
      </c>
      <c r="P1542" s="199">
        <f>TB_Parts_Lists[[#This Row],[Quantity Initial]]*TB_Parts_Lists[[#This Row],[Unit Price AED]]</f>
        <v>250</v>
      </c>
      <c r="Q1542" s="199">
        <f>TB_Parts_Lists[[#This Row],[Quantity Total]]*TB_Parts_Lists[[#This Row],[Unit Price AED]]</f>
        <v>250</v>
      </c>
      <c r="R1542" s="205"/>
      <c r="S1542" s="199" t="s">
        <v>122</v>
      </c>
      <c r="T1542" s="199" t="s">
        <v>8696</v>
      </c>
      <c r="U1542" s="199" t="s">
        <v>292</v>
      </c>
    </row>
    <row r="1543" spans="1:21" s="199" customFormat="1" x14ac:dyDescent="0.25">
      <c r="A1543" s="193" t="s">
        <v>8093</v>
      </c>
      <c r="B1543" s="207" t="s">
        <v>3334</v>
      </c>
      <c r="C1543" s="205" t="s">
        <v>7995</v>
      </c>
      <c r="D1543" s="199" t="s">
        <v>8732</v>
      </c>
      <c r="E1543" s="188" t="s">
        <v>5795</v>
      </c>
      <c r="F1543" s="189" t="s">
        <v>6273</v>
      </c>
      <c r="G1543" s="205" t="s">
        <v>8318</v>
      </c>
      <c r="H1543" s="199" t="s">
        <v>8638</v>
      </c>
      <c r="I1543" s="199">
        <v>1</v>
      </c>
      <c r="J1543" s="199">
        <v>1</v>
      </c>
      <c r="K1543" s="199">
        <v>1</v>
      </c>
      <c r="L1543" s="199">
        <v>50</v>
      </c>
      <c r="M1543" s="206">
        <f>TB_Parts_Lists[[#This Row],[Quantity Initial]]+ SUMIF(TB_Transactions[Part number],TB_Parts_Lists[[#This Row],[Part Number]],TB_Transactions[Quantity])</f>
        <v>50</v>
      </c>
      <c r="N1543" s="200" t="s">
        <v>4593</v>
      </c>
      <c r="O1543" s="234">
        <v>5</v>
      </c>
      <c r="P1543" s="199">
        <f>TB_Parts_Lists[[#This Row],[Quantity Initial]]*TB_Parts_Lists[[#This Row],[Unit Price AED]]</f>
        <v>250</v>
      </c>
      <c r="Q1543" s="199">
        <f>TB_Parts_Lists[[#This Row],[Quantity Total]]*TB_Parts_Lists[[#This Row],[Unit Price AED]]</f>
        <v>250</v>
      </c>
      <c r="R1543" s="205"/>
      <c r="S1543" s="199" t="s">
        <v>122</v>
      </c>
      <c r="T1543" s="199" t="s">
        <v>8696</v>
      </c>
      <c r="U1543" s="199" t="s">
        <v>292</v>
      </c>
    </row>
    <row r="1544" spans="1:21" s="199" customFormat="1" x14ac:dyDescent="0.25">
      <c r="A1544" s="193" t="s">
        <v>8094</v>
      </c>
      <c r="B1544" s="207" t="s">
        <v>3334</v>
      </c>
      <c r="C1544" s="205" t="s">
        <v>4578</v>
      </c>
      <c r="D1544" s="199" t="s">
        <v>8723</v>
      </c>
      <c r="E1544" s="188" t="s">
        <v>5796</v>
      </c>
      <c r="F1544" s="189" t="s">
        <v>6274</v>
      </c>
      <c r="G1544" s="205" t="s">
        <v>8319</v>
      </c>
      <c r="H1544" s="199" t="s">
        <v>123</v>
      </c>
      <c r="I1544" s="199">
        <v>1</v>
      </c>
      <c r="J1544" s="199">
        <v>1</v>
      </c>
      <c r="K1544" s="199">
        <v>1</v>
      </c>
      <c r="L1544" s="199">
        <v>50</v>
      </c>
      <c r="M1544" s="206">
        <f>TB_Parts_Lists[[#This Row],[Quantity Initial]]+ SUMIF(TB_Transactions[Part number],TB_Parts_Lists[[#This Row],[Part Number]],TB_Transactions[Quantity])</f>
        <v>50</v>
      </c>
      <c r="N1544" s="200" t="s">
        <v>4593</v>
      </c>
      <c r="O1544" s="234">
        <v>5</v>
      </c>
      <c r="P1544" s="199">
        <f>TB_Parts_Lists[[#This Row],[Quantity Initial]]*TB_Parts_Lists[[#This Row],[Unit Price AED]]</f>
        <v>250</v>
      </c>
      <c r="Q1544" s="199">
        <f>TB_Parts_Lists[[#This Row],[Quantity Total]]*TB_Parts_Lists[[#This Row],[Unit Price AED]]</f>
        <v>250</v>
      </c>
      <c r="R1544" s="205"/>
      <c r="S1544" s="199" t="s">
        <v>122</v>
      </c>
      <c r="T1544" s="199" t="s">
        <v>277</v>
      </c>
      <c r="U1544" s="199" t="s">
        <v>276</v>
      </c>
    </row>
    <row r="1545" spans="1:21" s="199" customFormat="1" x14ac:dyDescent="0.25">
      <c r="A1545" s="193" t="s">
        <v>8095</v>
      </c>
      <c r="B1545" s="207" t="s">
        <v>3334</v>
      </c>
      <c r="C1545" s="205" t="s">
        <v>4578</v>
      </c>
      <c r="D1545" s="199" t="s">
        <v>8732</v>
      </c>
      <c r="E1545" s="188" t="s">
        <v>5797</v>
      </c>
      <c r="F1545" s="189" t="s">
        <v>6275</v>
      </c>
      <c r="G1545" s="205" t="s">
        <v>8319</v>
      </c>
      <c r="H1545" s="199" t="s">
        <v>123</v>
      </c>
      <c r="I1545" s="199">
        <v>1</v>
      </c>
      <c r="J1545" s="199">
        <v>1</v>
      </c>
      <c r="K1545" s="199">
        <v>1</v>
      </c>
      <c r="L1545" s="199">
        <v>50</v>
      </c>
      <c r="M1545" s="206">
        <f>TB_Parts_Lists[[#This Row],[Quantity Initial]]+ SUMIF(TB_Transactions[Part number],TB_Parts_Lists[[#This Row],[Part Number]],TB_Transactions[Quantity])</f>
        <v>50</v>
      </c>
      <c r="N1545" s="200" t="s">
        <v>4593</v>
      </c>
      <c r="O1545" s="234">
        <v>5</v>
      </c>
      <c r="P1545" s="199">
        <f>TB_Parts_Lists[[#This Row],[Quantity Initial]]*TB_Parts_Lists[[#This Row],[Unit Price AED]]</f>
        <v>250</v>
      </c>
      <c r="Q1545" s="199">
        <f>TB_Parts_Lists[[#This Row],[Quantity Total]]*TB_Parts_Lists[[#This Row],[Unit Price AED]]</f>
        <v>250</v>
      </c>
      <c r="R1545" s="205"/>
      <c r="S1545" s="199" t="s">
        <v>122</v>
      </c>
      <c r="T1545" s="199" t="s">
        <v>277</v>
      </c>
      <c r="U1545" s="199" t="s">
        <v>276</v>
      </c>
    </row>
    <row r="1546" spans="1:21" s="199" customFormat="1" x14ac:dyDescent="0.25">
      <c r="A1546" s="193" t="s">
        <v>8096</v>
      </c>
      <c r="B1546" s="207" t="s">
        <v>3334</v>
      </c>
      <c r="C1546" s="205" t="s">
        <v>4578</v>
      </c>
      <c r="D1546" s="199" t="s">
        <v>8732</v>
      </c>
      <c r="E1546" s="188" t="s">
        <v>5798</v>
      </c>
      <c r="F1546" s="189" t="s">
        <v>6276</v>
      </c>
      <c r="G1546" s="205" t="s">
        <v>8319</v>
      </c>
      <c r="H1546" s="199" t="s">
        <v>123</v>
      </c>
      <c r="I1546" s="199">
        <v>1</v>
      </c>
      <c r="J1546" s="199">
        <v>1</v>
      </c>
      <c r="K1546" s="199">
        <v>1</v>
      </c>
      <c r="L1546" s="199">
        <v>50</v>
      </c>
      <c r="M1546" s="206">
        <f>TB_Parts_Lists[[#This Row],[Quantity Initial]]+ SUMIF(TB_Transactions[Part number],TB_Parts_Lists[[#This Row],[Part Number]],TB_Transactions[Quantity])</f>
        <v>50</v>
      </c>
      <c r="N1546" s="200" t="s">
        <v>4593</v>
      </c>
      <c r="O1546" s="234">
        <v>5</v>
      </c>
      <c r="P1546" s="199">
        <f>TB_Parts_Lists[[#This Row],[Quantity Initial]]*TB_Parts_Lists[[#This Row],[Unit Price AED]]</f>
        <v>250</v>
      </c>
      <c r="Q1546" s="199">
        <f>TB_Parts_Lists[[#This Row],[Quantity Total]]*TB_Parts_Lists[[#This Row],[Unit Price AED]]</f>
        <v>250</v>
      </c>
      <c r="R1546" s="205"/>
      <c r="S1546" s="199" t="s">
        <v>122</v>
      </c>
      <c r="T1546" s="199" t="s">
        <v>277</v>
      </c>
      <c r="U1546" s="199" t="s">
        <v>276</v>
      </c>
    </row>
    <row r="1547" spans="1:21" s="199" customFormat="1" x14ac:dyDescent="0.25">
      <c r="A1547" s="193" t="s">
        <v>8097</v>
      </c>
      <c r="B1547" s="207" t="s">
        <v>3334</v>
      </c>
      <c r="C1547" s="205" t="s">
        <v>4578</v>
      </c>
      <c r="D1547" s="199" t="s">
        <v>8723</v>
      </c>
      <c r="E1547" s="188" t="s">
        <v>5799</v>
      </c>
      <c r="F1547" s="189" t="s">
        <v>6277</v>
      </c>
      <c r="G1547" s="205" t="s">
        <v>8319</v>
      </c>
      <c r="H1547" s="199" t="s">
        <v>123</v>
      </c>
      <c r="I1547" s="199">
        <v>1</v>
      </c>
      <c r="J1547" s="199">
        <v>1</v>
      </c>
      <c r="K1547" s="199">
        <v>1</v>
      </c>
      <c r="L1547" s="199">
        <v>50</v>
      </c>
      <c r="M1547" s="206">
        <f>TB_Parts_Lists[[#This Row],[Quantity Initial]]+ SUMIF(TB_Transactions[Part number],TB_Parts_Lists[[#This Row],[Part Number]],TB_Transactions[Quantity])</f>
        <v>50</v>
      </c>
      <c r="N1547" s="200" t="s">
        <v>4593</v>
      </c>
      <c r="O1547" s="234">
        <v>5</v>
      </c>
      <c r="P1547" s="199">
        <f>TB_Parts_Lists[[#This Row],[Quantity Initial]]*TB_Parts_Lists[[#This Row],[Unit Price AED]]</f>
        <v>250</v>
      </c>
      <c r="Q1547" s="199">
        <f>TB_Parts_Lists[[#This Row],[Quantity Total]]*TB_Parts_Lists[[#This Row],[Unit Price AED]]</f>
        <v>250</v>
      </c>
      <c r="R1547" s="205"/>
      <c r="S1547" s="199" t="s">
        <v>122</v>
      </c>
      <c r="T1547" s="199" t="s">
        <v>277</v>
      </c>
      <c r="U1547" s="199" t="s">
        <v>276</v>
      </c>
    </row>
    <row r="1548" spans="1:21" s="199" customFormat="1" x14ac:dyDescent="0.25">
      <c r="A1548" s="193" t="s">
        <v>8098</v>
      </c>
      <c r="B1548" s="207" t="s">
        <v>3334</v>
      </c>
      <c r="C1548" s="205" t="s">
        <v>4578</v>
      </c>
      <c r="D1548" s="199" t="s">
        <v>8723</v>
      </c>
      <c r="E1548" s="188" t="s">
        <v>5800</v>
      </c>
      <c r="F1548" s="189" t="s">
        <v>6278</v>
      </c>
      <c r="G1548" s="205" t="s">
        <v>8319</v>
      </c>
      <c r="H1548" s="199" t="s">
        <v>123</v>
      </c>
      <c r="I1548" s="199">
        <v>1</v>
      </c>
      <c r="J1548" s="199">
        <v>1</v>
      </c>
      <c r="K1548" s="199">
        <v>1</v>
      </c>
      <c r="L1548" s="199">
        <v>50</v>
      </c>
      <c r="M1548" s="206">
        <f>TB_Parts_Lists[[#This Row],[Quantity Initial]]+ SUMIF(TB_Transactions[Part number],TB_Parts_Lists[[#This Row],[Part Number]],TB_Transactions[Quantity])</f>
        <v>50</v>
      </c>
      <c r="N1548" s="200" t="s">
        <v>4593</v>
      </c>
      <c r="O1548" s="234">
        <v>5</v>
      </c>
      <c r="P1548" s="199">
        <f>TB_Parts_Lists[[#This Row],[Quantity Initial]]*TB_Parts_Lists[[#This Row],[Unit Price AED]]</f>
        <v>250</v>
      </c>
      <c r="Q1548" s="199">
        <f>TB_Parts_Lists[[#This Row],[Quantity Total]]*TB_Parts_Lists[[#This Row],[Unit Price AED]]</f>
        <v>250</v>
      </c>
      <c r="R1548" s="205"/>
      <c r="S1548" s="199" t="s">
        <v>122</v>
      </c>
      <c r="T1548" s="199" t="s">
        <v>277</v>
      </c>
      <c r="U1548" s="199" t="s">
        <v>276</v>
      </c>
    </row>
    <row r="1549" spans="1:21" s="199" customFormat="1" x14ac:dyDescent="0.25">
      <c r="A1549" s="193" t="s">
        <v>8099</v>
      </c>
      <c r="B1549" s="207" t="s">
        <v>3334</v>
      </c>
      <c r="C1549" s="205" t="s">
        <v>4578</v>
      </c>
      <c r="D1549" s="199" t="s">
        <v>8723</v>
      </c>
      <c r="E1549" s="188" t="s">
        <v>5801</v>
      </c>
      <c r="F1549" s="189" t="s">
        <v>6279</v>
      </c>
      <c r="G1549" s="205" t="s">
        <v>8319</v>
      </c>
      <c r="H1549" s="199" t="s">
        <v>123</v>
      </c>
      <c r="I1549" s="199">
        <v>1</v>
      </c>
      <c r="J1549" s="199">
        <v>1</v>
      </c>
      <c r="K1549" s="199">
        <v>1</v>
      </c>
      <c r="L1549" s="199">
        <v>50</v>
      </c>
      <c r="M1549" s="206">
        <f>TB_Parts_Lists[[#This Row],[Quantity Initial]]+ SUMIF(TB_Transactions[Part number],TB_Parts_Lists[[#This Row],[Part Number]],TB_Transactions[Quantity])</f>
        <v>50</v>
      </c>
      <c r="N1549" s="200" t="s">
        <v>4593</v>
      </c>
      <c r="O1549" s="234">
        <v>5</v>
      </c>
      <c r="P1549" s="199">
        <f>TB_Parts_Lists[[#This Row],[Quantity Initial]]*TB_Parts_Lists[[#This Row],[Unit Price AED]]</f>
        <v>250</v>
      </c>
      <c r="Q1549" s="199">
        <f>TB_Parts_Lists[[#This Row],[Quantity Total]]*TB_Parts_Lists[[#This Row],[Unit Price AED]]</f>
        <v>250</v>
      </c>
      <c r="R1549" s="205"/>
      <c r="S1549" s="199" t="s">
        <v>122</v>
      </c>
      <c r="T1549" s="199" t="s">
        <v>277</v>
      </c>
      <c r="U1549" s="199" t="s">
        <v>276</v>
      </c>
    </row>
    <row r="1550" spans="1:21" s="199" customFormat="1" x14ac:dyDescent="0.25">
      <c r="A1550" s="193" t="s">
        <v>8100</v>
      </c>
      <c r="B1550" s="207" t="s">
        <v>3334</v>
      </c>
      <c r="C1550" s="205" t="s">
        <v>4578</v>
      </c>
      <c r="D1550" s="199" t="s">
        <v>8723</v>
      </c>
      <c r="E1550" s="188" t="s">
        <v>5802</v>
      </c>
      <c r="F1550" s="189" t="s">
        <v>6280</v>
      </c>
      <c r="G1550" s="205" t="s">
        <v>8319</v>
      </c>
      <c r="H1550" s="199" t="s">
        <v>123</v>
      </c>
      <c r="I1550" s="199">
        <v>1</v>
      </c>
      <c r="J1550" s="199">
        <v>1</v>
      </c>
      <c r="K1550" s="199">
        <v>1</v>
      </c>
      <c r="L1550" s="199">
        <v>50</v>
      </c>
      <c r="M1550" s="206">
        <f>TB_Parts_Lists[[#This Row],[Quantity Initial]]+ SUMIF(TB_Transactions[Part number],TB_Parts_Lists[[#This Row],[Part Number]],TB_Transactions[Quantity])</f>
        <v>50</v>
      </c>
      <c r="N1550" s="200" t="s">
        <v>4593</v>
      </c>
      <c r="O1550" s="234">
        <v>5</v>
      </c>
      <c r="P1550" s="199">
        <f>TB_Parts_Lists[[#This Row],[Quantity Initial]]*TB_Parts_Lists[[#This Row],[Unit Price AED]]</f>
        <v>250</v>
      </c>
      <c r="Q1550" s="199">
        <f>TB_Parts_Lists[[#This Row],[Quantity Total]]*TB_Parts_Lists[[#This Row],[Unit Price AED]]</f>
        <v>250</v>
      </c>
      <c r="R1550" s="205"/>
      <c r="S1550" s="199" t="s">
        <v>122</v>
      </c>
      <c r="T1550" s="199" t="s">
        <v>277</v>
      </c>
      <c r="U1550" s="199" t="s">
        <v>276</v>
      </c>
    </row>
    <row r="1551" spans="1:21" s="199" customFormat="1" x14ac:dyDescent="0.25">
      <c r="A1551" s="193" t="s">
        <v>8101</v>
      </c>
      <c r="B1551" s="207" t="s">
        <v>3334</v>
      </c>
      <c r="C1551" s="205" t="s">
        <v>4578</v>
      </c>
      <c r="D1551" s="199" t="s">
        <v>8732</v>
      </c>
      <c r="E1551" s="188" t="s">
        <v>5803</v>
      </c>
      <c r="F1551" s="189" t="s">
        <v>6281</v>
      </c>
      <c r="G1551" s="205" t="s">
        <v>8319</v>
      </c>
      <c r="H1551" s="199" t="s">
        <v>123</v>
      </c>
      <c r="I1551" s="199">
        <v>1</v>
      </c>
      <c r="J1551" s="199">
        <v>1</v>
      </c>
      <c r="K1551" s="199">
        <v>1</v>
      </c>
      <c r="L1551" s="199">
        <v>50</v>
      </c>
      <c r="M1551" s="206">
        <f>TB_Parts_Lists[[#This Row],[Quantity Initial]]+ SUMIF(TB_Transactions[Part number],TB_Parts_Lists[[#This Row],[Part Number]],TB_Transactions[Quantity])</f>
        <v>50</v>
      </c>
      <c r="N1551" s="200" t="s">
        <v>4593</v>
      </c>
      <c r="O1551" s="234">
        <v>5</v>
      </c>
      <c r="P1551" s="199">
        <f>TB_Parts_Lists[[#This Row],[Quantity Initial]]*TB_Parts_Lists[[#This Row],[Unit Price AED]]</f>
        <v>250</v>
      </c>
      <c r="Q1551" s="199">
        <f>TB_Parts_Lists[[#This Row],[Quantity Total]]*TB_Parts_Lists[[#This Row],[Unit Price AED]]</f>
        <v>250</v>
      </c>
      <c r="R1551" s="205"/>
      <c r="S1551" s="199" t="s">
        <v>122</v>
      </c>
      <c r="T1551" s="199" t="s">
        <v>277</v>
      </c>
      <c r="U1551" s="199" t="s">
        <v>276</v>
      </c>
    </row>
    <row r="1552" spans="1:21" s="199" customFormat="1" x14ac:dyDescent="0.25">
      <c r="A1552" s="193" t="s">
        <v>8102</v>
      </c>
      <c r="B1552" s="207" t="s">
        <v>3334</v>
      </c>
      <c r="C1552" s="205" t="s">
        <v>4578</v>
      </c>
      <c r="D1552" s="199" t="s">
        <v>8723</v>
      </c>
      <c r="E1552" s="188" t="s">
        <v>5804</v>
      </c>
      <c r="F1552" s="189" t="s">
        <v>6282</v>
      </c>
      <c r="G1552" s="205" t="s">
        <v>8319</v>
      </c>
      <c r="H1552" s="199" t="s">
        <v>123</v>
      </c>
      <c r="I1552" s="199">
        <v>1</v>
      </c>
      <c r="J1552" s="199">
        <v>1</v>
      </c>
      <c r="K1552" s="199">
        <v>1</v>
      </c>
      <c r="L1552" s="199">
        <v>50</v>
      </c>
      <c r="M1552" s="206">
        <f>TB_Parts_Lists[[#This Row],[Quantity Initial]]+ SUMIF(TB_Transactions[Part number],TB_Parts_Lists[[#This Row],[Part Number]],TB_Transactions[Quantity])</f>
        <v>50</v>
      </c>
      <c r="N1552" s="200" t="s">
        <v>4593</v>
      </c>
      <c r="O1552" s="234">
        <v>5</v>
      </c>
      <c r="P1552" s="199">
        <f>TB_Parts_Lists[[#This Row],[Quantity Initial]]*TB_Parts_Lists[[#This Row],[Unit Price AED]]</f>
        <v>250</v>
      </c>
      <c r="Q1552" s="199">
        <f>TB_Parts_Lists[[#This Row],[Quantity Total]]*TB_Parts_Lists[[#This Row],[Unit Price AED]]</f>
        <v>250</v>
      </c>
      <c r="R1552" s="205"/>
      <c r="S1552" s="199" t="s">
        <v>122</v>
      </c>
      <c r="T1552" s="199" t="s">
        <v>277</v>
      </c>
      <c r="U1552" s="199" t="s">
        <v>276</v>
      </c>
    </row>
    <row r="1553" spans="1:21" s="199" customFormat="1" x14ac:dyDescent="0.25">
      <c r="A1553" s="193" t="s">
        <v>8103</v>
      </c>
      <c r="B1553" s="207" t="s">
        <v>3334</v>
      </c>
      <c r="C1553" s="205" t="s">
        <v>4578</v>
      </c>
      <c r="D1553" s="199" t="s">
        <v>8732</v>
      </c>
      <c r="E1553" s="188" t="s">
        <v>5805</v>
      </c>
      <c r="F1553" s="189" t="s">
        <v>6283</v>
      </c>
      <c r="G1553" s="205" t="s">
        <v>8319</v>
      </c>
      <c r="H1553" s="199" t="s">
        <v>123</v>
      </c>
      <c r="I1553" s="199">
        <v>1</v>
      </c>
      <c r="J1553" s="199">
        <v>1</v>
      </c>
      <c r="K1553" s="199">
        <v>1</v>
      </c>
      <c r="L1553" s="199">
        <v>50</v>
      </c>
      <c r="M1553" s="206">
        <f>TB_Parts_Lists[[#This Row],[Quantity Initial]]+ SUMIF(TB_Transactions[Part number],TB_Parts_Lists[[#This Row],[Part Number]],TB_Transactions[Quantity])</f>
        <v>50</v>
      </c>
      <c r="N1553" s="200" t="s">
        <v>4593</v>
      </c>
      <c r="O1553" s="234">
        <v>5</v>
      </c>
      <c r="P1553" s="199">
        <f>TB_Parts_Lists[[#This Row],[Quantity Initial]]*TB_Parts_Lists[[#This Row],[Unit Price AED]]</f>
        <v>250</v>
      </c>
      <c r="Q1553" s="199">
        <f>TB_Parts_Lists[[#This Row],[Quantity Total]]*TB_Parts_Lists[[#This Row],[Unit Price AED]]</f>
        <v>250</v>
      </c>
      <c r="R1553" s="205"/>
      <c r="S1553" s="199" t="s">
        <v>122</v>
      </c>
      <c r="T1553" s="199" t="s">
        <v>277</v>
      </c>
      <c r="U1553" s="199" t="s">
        <v>276</v>
      </c>
    </row>
    <row r="1554" spans="1:21" s="199" customFormat="1" x14ac:dyDescent="0.25">
      <c r="A1554" s="193" t="s">
        <v>8104</v>
      </c>
      <c r="B1554" s="207" t="s">
        <v>3334</v>
      </c>
      <c r="C1554" s="205" t="s">
        <v>4578</v>
      </c>
      <c r="D1554" s="199" t="s">
        <v>8732</v>
      </c>
      <c r="E1554" s="188" t="s">
        <v>5806</v>
      </c>
      <c r="F1554" s="189" t="s">
        <v>6284</v>
      </c>
      <c r="G1554" s="205" t="s">
        <v>8319</v>
      </c>
      <c r="H1554" s="199" t="s">
        <v>123</v>
      </c>
      <c r="I1554" s="199">
        <v>1</v>
      </c>
      <c r="J1554" s="199">
        <v>1</v>
      </c>
      <c r="K1554" s="199">
        <v>1</v>
      </c>
      <c r="L1554" s="199">
        <v>50</v>
      </c>
      <c r="M1554" s="206">
        <f>TB_Parts_Lists[[#This Row],[Quantity Initial]]+ SUMIF(TB_Transactions[Part number],TB_Parts_Lists[[#This Row],[Part Number]],TB_Transactions[Quantity])</f>
        <v>50</v>
      </c>
      <c r="N1554" s="200" t="s">
        <v>4593</v>
      </c>
      <c r="O1554" s="234">
        <v>5</v>
      </c>
      <c r="P1554" s="199">
        <f>TB_Parts_Lists[[#This Row],[Quantity Initial]]*TB_Parts_Lists[[#This Row],[Unit Price AED]]</f>
        <v>250</v>
      </c>
      <c r="Q1554" s="199">
        <f>TB_Parts_Lists[[#This Row],[Quantity Total]]*TB_Parts_Lists[[#This Row],[Unit Price AED]]</f>
        <v>250</v>
      </c>
      <c r="R1554" s="205"/>
      <c r="S1554" s="199" t="s">
        <v>122</v>
      </c>
      <c r="T1554" s="199" t="s">
        <v>277</v>
      </c>
      <c r="U1554" s="199" t="s">
        <v>276</v>
      </c>
    </row>
    <row r="1555" spans="1:21" s="199" customFormat="1" x14ac:dyDescent="0.25">
      <c r="A1555" s="193" t="s">
        <v>8105</v>
      </c>
      <c r="B1555" s="207" t="s">
        <v>3334</v>
      </c>
      <c r="C1555" s="205" t="s">
        <v>4578</v>
      </c>
      <c r="D1555" s="199" t="s">
        <v>8732</v>
      </c>
      <c r="E1555" s="188" t="s">
        <v>5807</v>
      </c>
      <c r="F1555" s="189" t="s">
        <v>6285</v>
      </c>
      <c r="G1555" s="205" t="s">
        <v>8319</v>
      </c>
      <c r="H1555" s="199" t="s">
        <v>123</v>
      </c>
      <c r="I1555" s="199">
        <v>1</v>
      </c>
      <c r="J1555" s="199">
        <v>1</v>
      </c>
      <c r="K1555" s="199">
        <v>1</v>
      </c>
      <c r="L1555" s="199">
        <v>50</v>
      </c>
      <c r="M1555" s="206">
        <f>TB_Parts_Lists[[#This Row],[Quantity Initial]]+ SUMIF(TB_Transactions[Part number],TB_Parts_Lists[[#This Row],[Part Number]],TB_Transactions[Quantity])</f>
        <v>50</v>
      </c>
      <c r="N1555" s="200" t="s">
        <v>4593</v>
      </c>
      <c r="O1555" s="234">
        <v>5</v>
      </c>
      <c r="P1555" s="199">
        <f>TB_Parts_Lists[[#This Row],[Quantity Initial]]*TB_Parts_Lists[[#This Row],[Unit Price AED]]</f>
        <v>250</v>
      </c>
      <c r="Q1555" s="199">
        <f>TB_Parts_Lists[[#This Row],[Quantity Total]]*TB_Parts_Lists[[#This Row],[Unit Price AED]]</f>
        <v>250</v>
      </c>
      <c r="R1555" s="205"/>
      <c r="S1555" s="199" t="s">
        <v>122</v>
      </c>
      <c r="T1555" s="199" t="s">
        <v>277</v>
      </c>
      <c r="U1555" s="199" t="s">
        <v>276</v>
      </c>
    </row>
    <row r="1556" spans="1:21" s="199" customFormat="1" x14ac:dyDescent="0.25">
      <c r="A1556" s="193" t="s">
        <v>8106</v>
      </c>
      <c r="B1556" s="207" t="s">
        <v>3334</v>
      </c>
      <c r="C1556" s="205" t="s">
        <v>4578</v>
      </c>
      <c r="D1556" s="199" t="s">
        <v>8732</v>
      </c>
      <c r="E1556" s="188" t="s">
        <v>5808</v>
      </c>
      <c r="F1556" s="189" t="s">
        <v>6286</v>
      </c>
      <c r="G1556" s="205" t="s">
        <v>8319</v>
      </c>
      <c r="H1556" s="199" t="s">
        <v>123</v>
      </c>
      <c r="I1556" s="199">
        <v>1</v>
      </c>
      <c r="J1556" s="199">
        <v>1</v>
      </c>
      <c r="K1556" s="199">
        <v>1</v>
      </c>
      <c r="L1556" s="199">
        <v>50</v>
      </c>
      <c r="M1556" s="206">
        <f>TB_Parts_Lists[[#This Row],[Quantity Initial]]+ SUMIF(TB_Transactions[Part number],TB_Parts_Lists[[#This Row],[Part Number]],TB_Transactions[Quantity])</f>
        <v>50</v>
      </c>
      <c r="N1556" s="200" t="s">
        <v>4593</v>
      </c>
      <c r="O1556" s="234">
        <v>5</v>
      </c>
      <c r="P1556" s="199">
        <f>TB_Parts_Lists[[#This Row],[Quantity Initial]]*TB_Parts_Lists[[#This Row],[Unit Price AED]]</f>
        <v>250</v>
      </c>
      <c r="Q1556" s="199">
        <f>TB_Parts_Lists[[#This Row],[Quantity Total]]*TB_Parts_Lists[[#This Row],[Unit Price AED]]</f>
        <v>250</v>
      </c>
      <c r="R1556" s="205"/>
      <c r="S1556" s="199" t="s">
        <v>122</v>
      </c>
      <c r="T1556" s="199" t="s">
        <v>277</v>
      </c>
      <c r="U1556" s="199" t="s">
        <v>276</v>
      </c>
    </row>
    <row r="1557" spans="1:21" s="199" customFormat="1" x14ac:dyDescent="0.25">
      <c r="A1557" s="193" t="s">
        <v>8107</v>
      </c>
      <c r="B1557" s="207" t="s">
        <v>3334</v>
      </c>
      <c r="C1557" s="205" t="s">
        <v>4578</v>
      </c>
      <c r="D1557" s="188" t="s">
        <v>8724</v>
      </c>
      <c r="E1557" s="188" t="s">
        <v>5809</v>
      </c>
      <c r="F1557" s="189" t="s">
        <v>6287</v>
      </c>
      <c r="G1557" s="205" t="s">
        <v>8319</v>
      </c>
      <c r="H1557" s="199" t="s">
        <v>123</v>
      </c>
      <c r="I1557" s="199">
        <v>1</v>
      </c>
      <c r="J1557" s="199">
        <v>1</v>
      </c>
      <c r="K1557" s="199">
        <v>1</v>
      </c>
      <c r="L1557" s="199">
        <v>50</v>
      </c>
      <c r="M1557" s="206">
        <f>TB_Parts_Lists[[#This Row],[Quantity Initial]]+ SUMIF(TB_Transactions[Part number],TB_Parts_Lists[[#This Row],[Part Number]],TB_Transactions[Quantity])</f>
        <v>50</v>
      </c>
      <c r="N1557" s="200" t="s">
        <v>4593</v>
      </c>
      <c r="O1557" s="234">
        <v>5</v>
      </c>
      <c r="P1557" s="199">
        <f>TB_Parts_Lists[[#This Row],[Quantity Initial]]*TB_Parts_Lists[[#This Row],[Unit Price AED]]</f>
        <v>250</v>
      </c>
      <c r="Q1557" s="199">
        <f>TB_Parts_Lists[[#This Row],[Quantity Total]]*TB_Parts_Lists[[#This Row],[Unit Price AED]]</f>
        <v>250</v>
      </c>
      <c r="R1557" s="205"/>
      <c r="S1557" s="199" t="s">
        <v>122</v>
      </c>
      <c r="T1557" s="199" t="s">
        <v>277</v>
      </c>
      <c r="U1557" s="199" t="s">
        <v>276</v>
      </c>
    </row>
    <row r="1558" spans="1:21" s="199" customFormat="1" x14ac:dyDescent="0.25">
      <c r="A1558" s="193" t="s">
        <v>8108</v>
      </c>
      <c r="B1558" s="207" t="s">
        <v>3334</v>
      </c>
      <c r="C1558" s="205" t="s">
        <v>4578</v>
      </c>
      <c r="D1558" s="199" t="s">
        <v>8723</v>
      </c>
      <c r="E1558" s="188" t="s">
        <v>5810</v>
      </c>
      <c r="F1558" s="189" t="s">
        <v>6288</v>
      </c>
      <c r="G1558" s="205" t="s">
        <v>8319</v>
      </c>
      <c r="H1558" s="199" t="s">
        <v>123</v>
      </c>
      <c r="I1558" s="199">
        <v>1</v>
      </c>
      <c r="J1558" s="199">
        <v>1</v>
      </c>
      <c r="K1558" s="199">
        <v>1</v>
      </c>
      <c r="L1558" s="199">
        <v>50</v>
      </c>
      <c r="M1558" s="206">
        <f>TB_Parts_Lists[[#This Row],[Quantity Initial]]+ SUMIF(TB_Transactions[Part number],TB_Parts_Lists[[#This Row],[Part Number]],TB_Transactions[Quantity])</f>
        <v>50</v>
      </c>
      <c r="N1558" s="200" t="s">
        <v>4593</v>
      </c>
      <c r="O1558" s="234">
        <v>5</v>
      </c>
      <c r="P1558" s="199">
        <f>TB_Parts_Lists[[#This Row],[Quantity Initial]]*TB_Parts_Lists[[#This Row],[Unit Price AED]]</f>
        <v>250</v>
      </c>
      <c r="Q1558" s="199">
        <f>TB_Parts_Lists[[#This Row],[Quantity Total]]*TB_Parts_Lists[[#This Row],[Unit Price AED]]</f>
        <v>250</v>
      </c>
      <c r="R1558" s="205"/>
      <c r="S1558" s="199" t="s">
        <v>122</v>
      </c>
      <c r="T1558" s="199" t="s">
        <v>277</v>
      </c>
      <c r="U1558" s="199" t="s">
        <v>276</v>
      </c>
    </row>
    <row r="1559" spans="1:21" s="199" customFormat="1" x14ac:dyDescent="0.25">
      <c r="A1559" s="193" t="s">
        <v>8109</v>
      </c>
      <c r="B1559" s="207" t="s">
        <v>3334</v>
      </c>
      <c r="C1559" s="205" t="s">
        <v>4578</v>
      </c>
      <c r="D1559" s="199" t="s">
        <v>8723</v>
      </c>
      <c r="E1559" s="188" t="s">
        <v>5811</v>
      </c>
      <c r="F1559" s="189" t="s">
        <v>6289</v>
      </c>
      <c r="G1559" s="205" t="s">
        <v>8319</v>
      </c>
      <c r="H1559" s="199" t="s">
        <v>123</v>
      </c>
      <c r="I1559" s="199">
        <v>1</v>
      </c>
      <c r="J1559" s="199">
        <v>1</v>
      </c>
      <c r="K1559" s="199">
        <v>1</v>
      </c>
      <c r="L1559" s="199">
        <v>50</v>
      </c>
      <c r="M1559" s="206">
        <f>TB_Parts_Lists[[#This Row],[Quantity Initial]]+ SUMIF(TB_Transactions[Part number],TB_Parts_Lists[[#This Row],[Part Number]],TB_Transactions[Quantity])</f>
        <v>50</v>
      </c>
      <c r="N1559" s="200" t="s">
        <v>4593</v>
      </c>
      <c r="O1559" s="234">
        <v>5</v>
      </c>
      <c r="P1559" s="199">
        <f>TB_Parts_Lists[[#This Row],[Quantity Initial]]*TB_Parts_Lists[[#This Row],[Unit Price AED]]</f>
        <v>250</v>
      </c>
      <c r="Q1559" s="199">
        <f>TB_Parts_Lists[[#This Row],[Quantity Total]]*TB_Parts_Lists[[#This Row],[Unit Price AED]]</f>
        <v>250</v>
      </c>
      <c r="R1559" s="205"/>
      <c r="S1559" s="199" t="s">
        <v>122</v>
      </c>
      <c r="T1559" s="199" t="s">
        <v>277</v>
      </c>
      <c r="U1559" s="199" t="s">
        <v>276</v>
      </c>
    </row>
    <row r="1560" spans="1:21" s="199" customFormat="1" x14ac:dyDescent="0.25">
      <c r="A1560" s="193" t="s">
        <v>8111</v>
      </c>
      <c r="B1560" s="207" t="s">
        <v>3334</v>
      </c>
      <c r="C1560" s="205" t="s">
        <v>4578</v>
      </c>
      <c r="D1560" s="199" t="s">
        <v>8732</v>
      </c>
      <c r="E1560" s="188" t="s">
        <v>5812</v>
      </c>
      <c r="F1560" s="189" t="s">
        <v>6290</v>
      </c>
      <c r="G1560" s="205" t="s">
        <v>8319</v>
      </c>
      <c r="H1560" s="199" t="s">
        <v>123</v>
      </c>
      <c r="I1560" s="199">
        <v>1</v>
      </c>
      <c r="J1560" s="199">
        <v>1</v>
      </c>
      <c r="K1560" s="199">
        <v>1</v>
      </c>
      <c r="L1560" s="199">
        <v>50</v>
      </c>
      <c r="M1560" s="206">
        <f>TB_Parts_Lists[[#This Row],[Quantity Initial]]+ SUMIF(TB_Transactions[Part number],TB_Parts_Lists[[#This Row],[Part Number]],TB_Transactions[Quantity])</f>
        <v>50</v>
      </c>
      <c r="N1560" s="200" t="s">
        <v>4593</v>
      </c>
      <c r="O1560" s="234">
        <v>5</v>
      </c>
      <c r="P1560" s="199">
        <f>TB_Parts_Lists[[#This Row],[Quantity Initial]]*TB_Parts_Lists[[#This Row],[Unit Price AED]]</f>
        <v>250</v>
      </c>
      <c r="Q1560" s="199">
        <f>TB_Parts_Lists[[#This Row],[Quantity Total]]*TB_Parts_Lists[[#This Row],[Unit Price AED]]</f>
        <v>250</v>
      </c>
      <c r="R1560" s="205"/>
      <c r="S1560" s="199" t="s">
        <v>122</v>
      </c>
      <c r="T1560" s="199" t="s">
        <v>277</v>
      </c>
      <c r="U1560" s="199" t="s">
        <v>276</v>
      </c>
    </row>
    <row r="1561" spans="1:21" s="199" customFormat="1" x14ac:dyDescent="0.25">
      <c r="A1561" s="193" t="s">
        <v>8110</v>
      </c>
      <c r="B1561" s="207" t="s">
        <v>3334</v>
      </c>
      <c r="C1561" s="205" t="s">
        <v>4578</v>
      </c>
      <c r="D1561" s="199" t="s">
        <v>8732</v>
      </c>
      <c r="E1561" s="188" t="s">
        <v>5813</v>
      </c>
      <c r="F1561" s="189" t="s">
        <v>6291</v>
      </c>
      <c r="G1561" s="205" t="s">
        <v>8319</v>
      </c>
      <c r="H1561" s="199" t="s">
        <v>123</v>
      </c>
      <c r="I1561" s="199">
        <v>1</v>
      </c>
      <c r="J1561" s="199">
        <v>1</v>
      </c>
      <c r="K1561" s="199">
        <v>1</v>
      </c>
      <c r="L1561" s="199">
        <v>50</v>
      </c>
      <c r="M1561" s="206">
        <f>TB_Parts_Lists[[#This Row],[Quantity Initial]]+ SUMIF(TB_Transactions[Part number],TB_Parts_Lists[[#This Row],[Part Number]],TB_Transactions[Quantity])</f>
        <v>50</v>
      </c>
      <c r="N1561" s="200" t="s">
        <v>4593</v>
      </c>
      <c r="O1561" s="234">
        <v>5</v>
      </c>
      <c r="P1561" s="199">
        <f>TB_Parts_Lists[[#This Row],[Quantity Initial]]*TB_Parts_Lists[[#This Row],[Unit Price AED]]</f>
        <v>250</v>
      </c>
      <c r="Q1561" s="199">
        <f>TB_Parts_Lists[[#This Row],[Quantity Total]]*TB_Parts_Lists[[#This Row],[Unit Price AED]]</f>
        <v>250</v>
      </c>
      <c r="R1561" s="205"/>
      <c r="S1561" s="199" t="s">
        <v>122</v>
      </c>
      <c r="T1561" s="199" t="s">
        <v>277</v>
      </c>
      <c r="U1561" s="199" t="s">
        <v>276</v>
      </c>
    </row>
    <row r="1562" spans="1:21" s="199" customFormat="1" x14ac:dyDescent="0.25">
      <c r="A1562" s="193" t="s">
        <v>8112</v>
      </c>
      <c r="B1562" s="207" t="s">
        <v>3334</v>
      </c>
      <c r="C1562" s="205" t="s">
        <v>4578</v>
      </c>
      <c r="D1562" s="199" t="s">
        <v>8732</v>
      </c>
      <c r="E1562" s="188" t="s">
        <v>5814</v>
      </c>
      <c r="F1562" s="189" t="s">
        <v>6292</v>
      </c>
      <c r="G1562" s="205" t="s">
        <v>8319</v>
      </c>
      <c r="H1562" s="199" t="s">
        <v>123</v>
      </c>
      <c r="I1562" s="199">
        <v>1</v>
      </c>
      <c r="J1562" s="199">
        <v>1</v>
      </c>
      <c r="K1562" s="199">
        <v>1</v>
      </c>
      <c r="L1562" s="199">
        <v>50</v>
      </c>
      <c r="M1562" s="206">
        <f>TB_Parts_Lists[[#This Row],[Quantity Initial]]+ SUMIF(TB_Transactions[Part number],TB_Parts_Lists[[#This Row],[Part Number]],TB_Transactions[Quantity])</f>
        <v>50</v>
      </c>
      <c r="N1562" s="200" t="s">
        <v>4593</v>
      </c>
      <c r="O1562" s="234">
        <v>5</v>
      </c>
      <c r="P1562" s="199">
        <f>TB_Parts_Lists[[#This Row],[Quantity Initial]]*TB_Parts_Lists[[#This Row],[Unit Price AED]]</f>
        <v>250</v>
      </c>
      <c r="Q1562" s="199">
        <f>TB_Parts_Lists[[#This Row],[Quantity Total]]*TB_Parts_Lists[[#This Row],[Unit Price AED]]</f>
        <v>250</v>
      </c>
      <c r="R1562" s="205"/>
      <c r="S1562" s="199" t="s">
        <v>122</v>
      </c>
      <c r="T1562" s="199" t="s">
        <v>277</v>
      </c>
      <c r="U1562" s="199" t="s">
        <v>276</v>
      </c>
    </row>
    <row r="1563" spans="1:21" s="199" customFormat="1" x14ac:dyDescent="0.25">
      <c r="A1563" s="193" t="s">
        <v>8113</v>
      </c>
      <c r="B1563" s="207" t="s">
        <v>3334</v>
      </c>
      <c r="C1563" s="205" t="s">
        <v>4578</v>
      </c>
      <c r="D1563" s="199" t="s">
        <v>8723</v>
      </c>
      <c r="E1563" s="188" t="s">
        <v>5815</v>
      </c>
      <c r="F1563" s="189" t="s">
        <v>6293</v>
      </c>
      <c r="G1563" s="205" t="s">
        <v>8319</v>
      </c>
      <c r="H1563" s="199" t="s">
        <v>123</v>
      </c>
      <c r="I1563" s="199">
        <v>1</v>
      </c>
      <c r="J1563" s="199">
        <v>1</v>
      </c>
      <c r="K1563" s="199">
        <v>1</v>
      </c>
      <c r="L1563" s="199">
        <v>50</v>
      </c>
      <c r="M1563" s="206">
        <f>TB_Parts_Lists[[#This Row],[Quantity Initial]]+ SUMIF(TB_Transactions[Part number],TB_Parts_Lists[[#This Row],[Part Number]],TB_Transactions[Quantity])</f>
        <v>50</v>
      </c>
      <c r="N1563" s="200" t="s">
        <v>4593</v>
      </c>
      <c r="O1563" s="234">
        <v>5</v>
      </c>
      <c r="P1563" s="199">
        <f>TB_Parts_Lists[[#This Row],[Quantity Initial]]*TB_Parts_Lists[[#This Row],[Unit Price AED]]</f>
        <v>250</v>
      </c>
      <c r="Q1563" s="199">
        <f>TB_Parts_Lists[[#This Row],[Quantity Total]]*TB_Parts_Lists[[#This Row],[Unit Price AED]]</f>
        <v>250</v>
      </c>
      <c r="R1563" s="205"/>
      <c r="S1563" s="199" t="s">
        <v>122</v>
      </c>
      <c r="T1563" s="199" t="s">
        <v>277</v>
      </c>
      <c r="U1563" s="199" t="s">
        <v>276</v>
      </c>
    </row>
    <row r="1564" spans="1:21" s="199" customFormat="1" x14ac:dyDescent="0.25">
      <c r="A1564" s="193" t="s">
        <v>8114</v>
      </c>
      <c r="B1564" s="207" t="s">
        <v>3334</v>
      </c>
      <c r="C1564" s="205" t="s">
        <v>4578</v>
      </c>
      <c r="D1564" s="199" t="s">
        <v>8723</v>
      </c>
      <c r="E1564" s="188" t="s">
        <v>5816</v>
      </c>
      <c r="F1564" s="189" t="s">
        <v>6294</v>
      </c>
      <c r="G1564" s="205" t="s">
        <v>8319</v>
      </c>
      <c r="H1564" s="199" t="s">
        <v>123</v>
      </c>
      <c r="I1564" s="199">
        <v>1</v>
      </c>
      <c r="J1564" s="199">
        <v>1</v>
      </c>
      <c r="K1564" s="199">
        <v>1</v>
      </c>
      <c r="L1564" s="199">
        <v>50</v>
      </c>
      <c r="M1564" s="206">
        <f>TB_Parts_Lists[[#This Row],[Quantity Initial]]+ SUMIF(TB_Transactions[Part number],TB_Parts_Lists[[#This Row],[Part Number]],TB_Transactions[Quantity])</f>
        <v>50</v>
      </c>
      <c r="N1564" s="200" t="s">
        <v>4593</v>
      </c>
      <c r="O1564" s="234">
        <v>5</v>
      </c>
      <c r="P1564" s="199">
        <f>TB_Parts_Lists[[#This Row],[Quantity Initial]]*TB_Parts_Lists[[#This Row],[Unit Price AED]]</f>
        <v>250</v>
      </c>
      <c r="Q1564" s="199">
        <f>TB_Parts_Lists[[#This Row],[Quantity Total]]*TB_Parts_Lists[[#This Row],[Unit Price AED]]</f>
        <v>250</v>
      </c>
      <c r="R1564" s="205"/>
      <c r="S1564" s="199" t="s">
        <v>122</v>
      </c>
      <c r="T1564" s="199" t="s">
        <v>277</v>
      </c>
      <c r="U1564" s="199" t="s">
        <v>276</v>
      </c>
    </row>
    <row r="1565" spans="1:21" s="199" customFormat="1" x14ac:dyDescent="0.25">
      <c r="A1565" s="193" t="s">
        <v>8115</v>
      </c>
      <c r="B1565" s="207" t="s">
        <v>3334</v>
      </c>
      <c r="C1565" s="205" t="s">
        <v>4578</v>
      </c>
      <c r="D1565" s="199" t="s">
        <v>8723</v>
      </c>
      <c r="E1565" s="188" t="s">
        <v>5817</v>
      </c>
      <c r="F1565" s="189" t="s">
        <v>6295</v>
      </c>
      <c r="G1565" s="205" t="s">
        <v>8319</v>
      </c>
      <c r="H1565" s="199" t="s">
        <v>123</v>
      </c>
      <c r="I1565" s="199">
        <v>1</v>
      </c>
      <c r="J1565" s="199">
        <v>1</v>
      </c>
      <c r="K1565" s="199">
        <v>1</v>
      </c>
      <c r="L1565" s="199">
        <v>50</v>
      </c>
      <c r="M1565" s="206">
        <f>TB_Parts_Lists[[#This Row],[Quantity Initial]]+ SUMIF(TB_Transactions[Part number],TB_Parts_Lists[[#This Row],[Part Number]],TB_Transactions[Quantity])</f>
        <v>50</v>
      </c>
      <c r="N1565" s="200" t="s">
        <v>4593</v>
      </c>
      <c r="O1565" s="234">
        <v>5</v>
      </c>
      <c r="P1565" s="199">
        <f>TB_Parts_Lists[[#This Row],[Quantity Initial]]*TB_Parts_Lists[[#This Row],[Unit Price AED]]</f>
        <v>250</v>
      </c>
      <c r="Q1565" s="199">
        <f>TB_Parts_Lists[[#This Row],[Quantity Total]]*TB_Parts_Lists[[#This Row],[Unit Price AED]]</f>
        <v>250</v>
      </c>
      <c r="R1565" s="205"/>
      <c r="S1565" s="199" t="s">
        <v>122</v>
      </c>
      <c r="T1565" s="199" t="s">
        <v>277</v>
      </c>
      <c r="U1565" s="199" t="s">
        <v>276</v>
      </c>
    </row>
    <row r="1566" spans="1:21" s="199" customFormat="1" x14ac:dyDescent="0.25">
      <c r="A1566" s="193" t="s">
        <v>8116</v>
      </c>
      <c r="B1566" s="207" t="s">
        <v>3334</v>
      </c>
      <c r="C1566" s="205" t="s">
        <v>4578</v>
      </c>
      <c r="D1566" s="199" t="s">
        <v>8723</v>
      </c>
      <c r="E1566" s="188" t="s">
        <v>5818</v>
      </c>
      <c r="F1566" s="189" t="s">
        <v>6296</v>
      </c>
      <c r="G1566" s="205" t="s">
        <v>8319</v>
      </c>
      <c r="H1566" s="199" t="s">
        <v>123</v>
      </c>
      <c r="I1566" s="199">
        <v>1</v>
      </c>
      <c r="J1566" s="199">
        <v>1</v>
      </c>
      <c r="K1566" s="199">
        <v>1</v>
      </c>
      <c r="L1566" s="199">
        <v>50</v>
      </c>
      <c r="M1566" s="206">
        <f>TB_Parts_Lists[[#This Row],[Quantity Initial]]+ SUMIF(TB_Transactions[Part number],TB_Parts_Lists[[#This Row],[Part Number]],TB_Transactions[Quantity])</f>
        <v>50</v>
      </c>
      <c r="N1566" s="200" t="s">
        <v>4593</v>
      </c>
      <c r="O1566" s="234">
        <v>5</v>
      </c>
      <c r="P1566" s="199">
        <f>TB_Parts_Lists[[#This Row],[Quantity Initial]]*TB_Parts_Lists[[#This Row],[Unit Price AED]]</f>
        <v>250</v>
      </c>
      <c r="Q1566" s="199">
        <f>TB_Parts_Lists[[#This Row],[Quantity Total]]*TB_Parts_Lists[[#This Row],[Unit Price AED]]</f>
        <v>250</v>
      </c>
      <c r="R1566" s="205"/>
      <c r="S1566" s="199" t="s">
        <v>122</v>
      </c>
      <c r="T1566" s="199" t="s">
        <v>277</v>
      </c>
      <c r="U1566" s="199" t="s">
        <v>276</v>
      </c>
    </row>
    <row r="1567" spans="1:21" s="199" customFormat="1" x14ac:dyDescent="0.25">
      <c r="A1567" s="193" t="s">
        <v>8117</v>
      </c>
      <c r="B1567" s="207" t="s">
        <v>3334</v>
      </c>
      <c r="C1567" s="205" t="s">
        <v>4578</v>
      </c>
      <c r="D1567" s="199" t="s">
        <v>8723</v>
      </c>
      <c r="E1567" s="188" t="s">
        <v>5819</v>
      </c>
      <c r="F1567" s="189" t="s">
        <v>6297</v>
      </c>
      <c r="G1567" s="205" t="s">
        <v>8319</v>
      </c>
      <c r="H1567" s="199" t="s">
        <v>123</v>
      </c>
      <c r="I1567" s="199">
        <v>1</v>
      </c>
      <c r="J1567" s="199">
        <v>1</v>
      </c>
      <c r="K1567" s="199">
        <v>1</v>
      </c>
      <c r="L1567" s="199">
        <v>50</v>
      </c>
      <c r="M1567" s="206">
        <f>TB_Parts_Lists[[#This Row],[Quantity Initial]]+ SUMIF(TB_Transactions[Part number],TB_Parts_Lists[[#This Row],[Part Number]],TB_Transactions[Quantity])</f>
        <v>50</v>
      </c>
      <c r="N1567" s="200" t="s">
        <v>4593</v>
      </c>
      <c r="O1567" s="234">
        <v>5</v>
      </c>
      <c r="P1567" s="199">
        <f>TB_Parts_Lists[[#This Row],[Quantity Initial]]*TB_Parts_Lists[[#This Row],[Unit Price AED]]</f>
        <v>250</v>
      </c>
      <c r="Q1567" s="199">
        <f>TB_Parts_Lists[[#This Row],[Quantity Total]]*TB_Parts_Lists[[#This Row],[Unit Price AED]]</f>
        <v>250</v>
      </c>
      <c r="R1567" s="205"/>
      <c r="S1567" s="199" t="s">
        <v>122</v>
      </c>
      <c r="T1567" s="199" t="s">
        <v>277</v>
      </c>
      <c r="U1567" s="199" t="s">
        <v>276</v>
      </c>
    </row>
    <row r="1568" spans="1:21" s="199" customFormat="1" x14ac:dyDescent="0.25">
      <c r="A1568" s="193" t="s">
        <v>8118</v>
      </c>
      <c r="B1568" s="207" t="s">
        <v>3334</v>
      </c>
      <c r="C1568" s="205" t="s">
        <v>4578</v>
      </c>
      <c r="D1568" s="199" t="s">
        <v>8723</v>
      </c>
      <c r="E1568" s="188" t="s">
        <v>5820</v>
      </c>
      <c r="F1568" s="189" t="s">
        <v>6298</v>
      </c>
      <c r="G1568" s="205" t="s">
        <v>8319</v>
      </c>
      <c r="H1568" s="199" t="s">
        <v>123</v>
      </c>
      <c r="I1568" s="199">
        <v>1</v>
      </c>
      <c r="J1568" s="199">
        <v>1</v>
      </c>
      <c r="K1568" s="199">
        <v>1</v>
      </c>
      <c r="L1568" s="199">
        <v>50</v>
      </c>
      <c r="M1568" s="206">
        <f>TB_Parts_Lists[[#This Row],[Quantity Initial]]+ SUMIF(TB_Transactions[Part number],TB_Parts_Lists[[#This Row],[Part Number]],TB_Transactions[Quantity])</f>
        <v>50</v>
      </c>
      <c r="N1568" s="200" t="s">
        <v>4593</v>
      </c>
      <c r="O1568" s="234">
        <v>5</v>
      </c>
      <c r="P1568" s="199">
        <f>TB_Parts_Lists[[#This Row],[Quantity Initial]]*TB_Parts_Lists[[#This Row],[Unit Price AED]]</f>
        <v>250</v>
      </c>
      <c r="Q1568" s="199">
        <f>TB_Parts_Lists[[#This Row],[Quantity Total]]*TB_Parts_Lists[[#This Row],[Unit Price AED]]</f>
        <v>250</v>
      </c>
      <c r="R1568" s="205"/>
      <c r="S1568" s="199" t="s">
        <v>122</v>
      </c>
      <c r="T1568" s="199" t="s">
        <v>277</v>
      </c>
      <c r="U1568" s="199" t="s">
        <v>276</v>
      </c>
    </row>
    <row r="1569" spans="1:21" s="199" customFormat="1" x14ac:dyDescent="0.25">
      <c r="A1569" s="193" t="s">
        <v>8119</v>
      </c>
      <c r="B1569" s="207" t="s">
        <v>3334</v>
      </c>
      <c r="C1569" s="205" t="s">
        <v>4578</v>
      </c>
      <c r="D1569" s="199" t="s">
        <v>8723</v>
      </c>
      <c r="E1569" s="188" t="s">
        <v>5821</v>
      </c>
      <c r="F1569" s="189" t="s">
        <v>6299</v>
      </c>
      <c r="G1569" s="205" t="s">
        <v>8319</v>
      </c>
      <c r="H1569" s="199" t="s">
        <v>123</v>
      </c>
      <c r="I1569" s="199">
        <v>1</v>
      </c>
      <c r="J1569" s="199">
        <v>1</v>
      </c>
      <c r="K1569" s="199">
        <v>1</v>
      </c>
      <c r="L1569" s="199">
        <v>50</v>
      </c>
      <c r="M1569" s="206">
        <f>TB_Parts_Lists[[#This Row],[Quantity Initial]]+ SUMIF(TB_Transactions[Part number],TB_Parts_Lists[[#This Row],[Part Number]],TB_Transactions[Quantity])</f>
        <v>50</v>
      </c>
      <c r="N1569" s="200" t="s">
        <v>4593</v>
      </c>
      <c r="O1569" s="234">
        <v>5</v>
      </c>
      <c r="P1569" s="199">
        <f>TB_Parts_Lists[[#This Row],[Quantity Initial]]*TB_Parts_Lists[[#This Row],[Unit Price AED]]</f>
        <v>250</v>
      </c>
      <c r="Q1569" s="199">
        <f>TB_Parts_Lists[[#This Row],[Quantity Total]]*TB_Parts_Lists[[#This Row],[Unit Price AED]]</f>
        <v>250</v>
      </c>
      <c r="R1569" s="205"/>
      <c r="S1569" s="199" t="s">
        <v>122</v>
      </c>
      <c r="T1569" s="199" t="s">
        <v>277</v>
      </c>
      <c r="U1569" s="199" t="s">
        <v>276</v>
      </c>
    </row>
    <row r="1570" spans="1:21" s="199" customFormat="1" x14ac:dyDescent="0.25">
      <c r="A1570" s="193" t="s">
        <v>8120</v>
      </c>
      <c r="B1570" s="207" t="s">
        <v>3334</v>
      </c>
      <c r="C1570" s="205" t="s">
        <v>4578</v>
      </c>
      <c r="D1570" s="199" t="s">
        <v>8723</v>
      </c>
      <c r="E1570" s="188" t="s">
        <v>5822</v>
      </c>
      <c r="F1570" s="189" t="s">
        <v>6300</v>
      </c>
      <c r="G1570" s="205" t="s">
        <v>8319</v>
      </c>
      <c r="H1570" s="199" t="s">
        <v>123</v>
      </c>
      <c r="I1570" s="199">
        <v>1</v>
      </c>
      <c r="J1570" s="199">
        <v>1</v>
      </c>
      <c r="K1570" s="199">
        <v>1</v>
      </c>
      <c r="L1570" s="199">
        <v>50</v>
      </c>
      <c r="M1570" s="206">
        <f>TB_Parts_Lists[[#This Row],[Quantity Initial]]+ SUMIF(TB_Transactions[Part number],TB_Parts_Lists[[#This Row],[Part Number]],TB_Transactions[Quantity])</f>
        <v>50</v>
      </c>
      <c r="N1570" s="200" t="s">
        <v>4593</v>
      </c>
      <c r="O1570" s="234">
        <v>5</v>
      </c>
      <c r="P1570" s="199">
        <f>TB_Parts_Lists[[#This Row],[Quantity Initial]]*TB_Parts_Lists[[#This Row],[Unit Price AED]]</f>
        <v>250</v>
      </c>
      <c r="Q1570" s="199">
        <f>TB_Parts_Lists[[#This Row],[Quantity Total]]*TB_Parts_Lists[[#This Row],[Unit Price AED]]</f>
        <v>250</v>
      </c>
      <c r="R1570" s="205"/>
      <c r="S1570" s="199" t="s">
        <v>122</v>
      </c>
      <c r="T1570" s="199" t="s">
        <v>277</v>
      </c>
      <c r="U1570" s="199" t="s">
        <v>276</v>
      </c>
    </row>
    <row r="1571" spans="1:21" s="199" customFormat="1" x14ac:dyDescent="0.25">
      <c r="A1571" s="193" t="s">
        <v>8121</v>
      </c>
      <c r="B1571" s="207" t="s">
        <v>3334</v>
      </c>
      <c r="C1571" s="205" t="s">
        <v>4578</v>
      </c>
      <c r="D1571" s="199" t="s">
        <v>8723</v>
      </c>
      <c r="E1571" s="188" t="s">
        <v>5823</v>
      </c>
      <c r="F1571" s="189" t="s">
        <v>6301</v>
      </c>
      <c r="G1571" s="205" t="s">
        <v>8319</v>
      </c>
      <c r="H1571" s="199" t="s">
        <v>123</v>
      </c>
      <c r="I1571" s="199">
        <v>1</v>
      </c>
      <c r="J1571" s="199">
        <v>1</v>
      </c>
      <c r="K1571" s="199">
        <v>1</v>
      </c>
      <c r="L1571" s="199">
        <v>50</v>
      </c>
      <c r="M1571" s="206">
        <f>TB_Parts_Lists[[#This Row],[Quantity Initial]]+ SUMIF(TB_Transactions[Part number],TB_Parts_Lists[[#This Row],[Part Number]],TB_Transactions[Quantity])</f>
        <v>50</v>
      </c>
      <c r="N1571" s="200" t="s">
        <v>4593</v>
      </c>
      <c r="O1571" s="234">
        <v>5</v>
      </c>
      <c r="P1571" s="199">
        <f>TB_Parts_Lists[[#This Row],[Quantity Initial]]*TB_Parts_Lists[[#This Row],[Unit Price AED]]</f>
        <v>250</v>
      </c>
      <c r="Q1571" s="199">
        <f>TB_Parts_Lists[[#This Row],[Quantity Total]]*TB_Parts_Lists[[#This Row],[Unit Price AED]]</f>
        <v>250</v>
      </c>
      <c r="R1571" s="205"/>
      <c r="S1571" s="199" t="s">
        <v>122</v>
      </c>
      <c r="T1571" s="199" t="s">
        <v>277</v>
      </c>
      <c r="U1571" s="199" t="s">
        <v>276</v>
      </c>
    </row>
    <row r="1572" spans="1:21" s="199" customFormat="1" x14ac:dyDescent="0.25">
      <c r="A1572" s="193" t="s">
        <v>8122</v>
      </c>
      <c r="B1572" s="207" t="s">
        <v>3334</v>
      </c>
      <c r="C1572" s="205" t="s">
        <v>4578</v>
      </c>
      <c r="D1572" s="199" t="s">
        <v>8723</v>
      </c>
      <c r="E1572" s="188" t="s">
        <v>5824</v>
      </c>
      <c r="F1572" s="189" t="s">
        <v>6302</v>
      </c>
      <c r="G1572" s="205" t="s">
        <v>8319</v>
      </c>
      <c r="H1572" s="199" t="s">
        <v>123</v>
      </c>
      <c r="I1572" s="199">
        <v>1</v>
      </c>
      <c r="J1572" s="199">
        <v>1</v>
      </c>
      <c r="K1572" s="199">
        <v>1</v>
      </c>
      <c r="L1572" s="199">
        <v>50</v>
      </c>
      <c r="M1572" s="206">
        <f>TB_Parts_Lists[[#This Row],[Quantity Initial]]+ SUMIF(TB_Transactions[Part number],TB_Parts_Lists[[#This Row],[Part Number]],TB_Transactions[Quantity])</f>
        <v>50</v>
      </c>
      <c r="N1572" s="200" t="s">
        <v>4593</v>
      </c>
      <c r="O1572" s="234">
        <v>5</v>
      </c>
      <c r="P1572" s="199">
        <f>TB_Parts_Lists[[#This Row],[Quantity Initial]]*TB_Parts_Lists[[#This Row],[Unit Price AED]]</f>
        <v>250</v>
      </c>
      <c r="Q1572" s="199">
        <f>TB_Parts_Lists[[#This Row],[Quantity Total]]*TB_Parts_Lists[[#This Row],[Unit Price AED]]</f>
        <v>250</v>
      </c>
      <c r="R1572" s="205"/>
      <c r="S1572" s="199" t="s">
        <v>122</v>
      </c>
      <c r="T1572" s="199" t="s">
        <v>277</v>
      </c>
      <c r="U1572" s="199" t="s">
        <v>276</v>
      </c>
    </row>
    <row r="1573" spans="1:21" s="199" customFormat="1" x14ac:dyDescent="0.25">
      <c r="A1573" s="193" t="s">
        <v>8123</v>
      </c>
      <c r="B1573" s="207" t="s">
        <v>3334</v>
      </c>
      <c r="C1573" s="205" t="s">
        <v>4578</v>
      </c>
      <c r="D1573" s="199" t="s">
        <v>8732</v>
      </c>
      <c r="E1573" s="188" t="s">
        <v>5825</v>
      </c>
      <c r="F1573" s="189" t="s">
        <v>6303</v>
      </c>
      <c r="G1573" s="205" t="s">
        <v>8319</v>
      </c>
      <c r="H1573" s="199" t="s">
        <v>8639</v>
      </c>
      <c r="I1573" s="199">
        <v>1</v>
      </c>
      <c r="J1573" s="199">
        <v>1</v>
      </c>
      <c r="K1573" s="199">
        <v>1</v>
      </c>
      <c r="L1573" s="199">
        <v>50</v>
      </c>
      <c r="M1573" s="206">
        <f>TB_Parts_Lists[[#This Row],[Quantity Initial]]+ SUMIF(TB_Transactions[Part number],TB_Parts_Lists[[#This Row],[Part Number]],TB_Transactions[Quantity])</f>
        <v>50</v>
      </c>
      <c r="N1573" s="200" t="s">
        <v>4593</v>
      </c>
      <c r="O1573" s="234">
        <v>5</v>
      </c>
      <c r="P1573" s="199">
        <f>TB_Parts_Lists[[#This Row],[Quantity Initial]]*TB_Parts_Lists[[#This Row],[Unit Price AED]]</f>
        <v>250</v>
      </c>
      <c r="Q1573" s="199">
        <f>TB_Parts_Lists[[#This Row],[Quantity Total]]*TB_Parts_Lists[[#This Row],[Unit Price AED]]</f>
        <v>250</v>
      </c>
      <c r="R1573" s="205"/>
      <c r="S1573" s="199" t="s">
        <v>122</v>
      </c>
      <c r="T1573" s="199" t="s">
        <v>277</v>
      </c>
      <c r="U1573" s="199" t="s">
        <v>276</v>
      </c>
    </row>
    <row r="1574" spans="1:21" s="199" customFormat="1" x14ac:dyDescent="0.25">
      <c r="A1574" s="193" t="s">
        <v>8124</v>
      </c>
      <c r="B1574" s="207" t="s">
        <v>3334</v>
      </c>
      <c r="C1574" s="205" t="s">
        <v>4578</v>
      </c>
      <c r="D1574" s="199" t="s">
        <v>8764</v>
      </c>
      <c r="E1574" s="188" t="s">
        <v>5826</v>
      </c>
      <c r="F1574" s="189" t="s">
        <v>6304</v>
      </c>
      <c r="G1574" s="205" t="s">
        <v>8319</v>
      </c>
      <c r="H1574" s="199" t="s">
        <v>8639</v>
      </c>
      <c r="I1574" s="199">
        <v>1</v>
      </c>
      <c r="J1574" s="199">
        <v>1</v>
      </c>
      <c r="K1574" s="199">
        <v>1</v>
      </c>
      <c r="L1574" s="199">
        <v>50</v>
      </c>
      <c r="M1574" s="206">
        <f>TB_Parts_Lists[[#This Row],[Quantity Initial]]+ SUMIF(TB_Transactions[Part number],TB_Parts_Lists[[#This Row],[Part Number]],TB_Transactions[Quantity])</f>
        <v>50</v>
      </c>
      <c r="N1574" s="200" t="s">
        <v>4593</v>
      </c>
      <c r="O1574" s="234">
        <v>5</v>
      </c>
      <c r="P1574" s="199">
        <f>TB_Parts_Lists[[#This Row],[Quantity Initial]]*TB_Parts_Lists[[#This Row],[Unit Price AED]]</f>
        <v>250</v>
      </c>
      <c r="Q1574" s="199">
        <f>TB_Parts_Lists[[#This Row],[Quantity Total]]*TB_Parts_Lists[[#This Row],[Unit Price AED]]</f>
        <v>250</v>
      </c>
      <c r="R1574" s="205"/>
      <c r="S1574" s="199" t="s">
        <v>8675</v>
      </c>
      <c r="T1574" s="199" t="s">
        <v>8675</v>
      </c>
      <c r="U1574" s="199" t="s">
        <v>8675</v>
      </c>
    </row>
    <row r="1575" spans="1:21" s="199" customFormat="1" x14ac:dyDescent="0.25">
      <c r="A1575" s="193" t="s">
        <v>8125</v>
      </c>
      <c r="B1575" s="207" t="s">
        <v>3334</v>
      </c>
      <c r="C1575" s="205" t="s">
        <v>4578</v>
      </c>
      <c r="D1575" s="199" t="s">
        <v>8764</v>
      </c>
      <c r="E1575" s="188" t="s">
        <v>5827</v>
      </c>
      <c r="F1575" s="189" t="s">
        <v>6305</v>
      </c>
      <c r="G1575" s="205" t="s">
        <v>8319</v>
      </c>
      <c r="H1575" s="199" t="s">
        <v>8639</v>
      </c>
      <c r="I1575" s="199">
        <v>1</v>
      </c>
      <c r="J1575" s="199">
        <v>1</v>
      </c>
      <c r="K1575" s="199">
        <v>1</v>
      </c>
      <c r="L1575" s="199">
        <v>50</v>
      </c>
      <c r="M1575" s="206">
        <f>TB_Parts_Lists[[#This Row],[Quantity Initial]]+ SUMIF(TB_Transactions[Part number],TB_Parts_Lists[[#This Row],[Part Number]],TB_Transactions[Quantity])</f>
        <v>50</v>
      </c>
      <c r="N1575" s="200" t="s">
        <v>4593</v>
      </c>
      <c r="O1575" s="234">
        <v>5</v>
      </c>
      <c r="P1575" s="199">
        <f>TB_Parts_Lists[[#This Row],[Quantity Initial]]*TB_Parts_Lists[[#This Row],[Unit Price AED]]</f>
        <v>250</v>
      </c>
      <c r="Q1575" s="199">
        <f>TB_Parts_Lists[[#This Row],[Quantity Total]]*TB_Parts_Lists[[#This Row],[Unit Price AED]]</f>
        <v>250</v>
      </c>
      <c r="R1575" s="205"/>
      <c r="S1575" s="199" t="s">
        <v>8675</v>
      </c>
      <c r="T1575" s="199" t="s">
        <v>8675</v>
      </c>
      <c r="U1575" s="199" t="s">
        <v>8675</v>
      </c>
    </row>
    <row r="1576" spans="1:21" s="199" customFormat="1" x14ac:dyDescent="0.25">
      <c r="A1576" s="193" t="s">
        <v>8126</v>
      </c>
      <c r="B1576" s="207" t="s">
        <v>3334</v>
      </c>
      <c r="C1576" s="205" t="s">
        <v>4578</v>
      </c>
      <c r="D1576" s="199" t="s">
        <v>8764</v>
      </c>
      <c r="E1576" s="188" t="s">
        <v>5828</v>
      </c>
      <c r="F1576" s="189" t="s">
        <v>6306</v>
      </c>
      <c r="G1576" s="205" t="s">
        <v>8319</v>
      </c>
      <c r="H1576" s="199" t="s">
        <v>8639</v>
      </c>
      <c r="I1576" s="199">
        <v>1</v>
      </c>
      <c r="J1576" s="199">
        <v>1</v>
      </c>
      <c r="K1576" s="199">
        <v>1</v>
      </c>
      <c r="L1576" s="199">
        <v>50</v>
      </c>
      <c r="M1576" s="206">
        <f>TB_Parts_Lists[[#This Row],[Quantity Initial]]+ SUMIF(TB_Transactions[Part number],TB_Parts_Lists[[#This Row],[Part Number]],TB_Transactions[Quantity])</f>
        <v>50</v>
      </c>
      <c r="N1576" s="200" t="s">
        <v>4593</v>
      </c>
      <c r="O1576" s="234">
        <v>5</v>
      </c>
      <c r="P1576" s="199">
        <f>TB_Parts_Lists[[#This Row],[Quantity Initial]]*TB_Parts_Lists[[#This Row],[Unit Price AED]]</f>
        <v>250</v>
      </c>
      <c r="Q1576" s="199">
        <f>TB_Parts_Lists[[#This Row],[Quantity Total]]*TB_Parts_Lists[[#This Row],[Unit Price AED]]</f>
        <v>250</v>
      </c>
      <c r="R1576" s="205"/>
      <c r="S1576" s="199" t="s">
        <v>8675</v>
      </c>
      <c r="T1576" s="199" t="s">
        <v>8675</v>
      </c>
      <c r="U1576" s="199" t="s">
        <v>8675</v>
      </c>
    </row>
    <row r="1577" spans="1:21" s="199" customFormat="1" x14ac:dyDescent="0.25">
      <c r="A1577" s="193" t="s">
        <v>8127</v>
      </c>
      <c r="B1577" s="207" t="s">
        <v>3334</v>
      </c>
      <c r="C1577" s="205" t="s">
        <v>4578</v>
      </c>
      <c r="D1577" s="199" t="s">
        <v>8732</v>
      </c>
      <c r="E1577" s="188" t="s">
        <v>5829</v>
      </c>
      <c r="F1577" s="189" t="s">
        <v>6307</v>
      </c>
      <c r="G1577" s="205" t="s">
        <v>8319</v>
      </c>
      <c r="H1577" s="199" t="s">
        <v>8639</v>
      </c>
      <c r="I1577" s="199">
        <v>1</v>
      </c>
      <c r="J1577" s="199">
        <v>1</v>
      </c>
      <c r="K1577" s="199">
        <v>1</v>
      </c>
      <c r="L1577" s="199">
        <v>50</v>
      </c>
      <c r="M1577" s="206">
        <f>TB_Parts_Lists[[#This Row],[Quantity Initial]]+ SUMIF(TB_Transactions[Part number],TB_Parts_Lists[[#This Row],[Part Number]],TB_Transactions[Quantity])</f>
        <v>50</v>
      </c>
      <c r="N1577" s="200" t="s">
        <v>4593</v>
      </c>
      <c r="O1577" s="234">
        <v>5</v>
      </c>
      <c r="P1577" s="199">
        <f>TB_Parts_Lists[[#This Row],[Quantity Initial]]*TB_Parts_Lists[[#This Row],[Unit Price AED]]</f>
        <v>250</v>
      </c>
      <c r="Q1577" s="199">
        <f>TB_Parts_Lists[[#This Row],[Quantity Total]]*TB_Parts_Lists[[#This Row],[Unit Price AED]]</f>
        <v>250</v>
      </c>
      <c r="R1577" s="205"/>
      <c r="S1577" s="199" t="s">
        <v>122</v>
      </c>
      <c r="T1577" s="199" t="s">
        <v>277</v>
      </c>
      <c r="U1577" s="199" t="s">
        <v>276</v>
      </c>
    </row>
    <row r="1578" spans="1:21" s="199" customFormat="1" x14ac:dyDescent="0.25">
      <c r="A1578" s="193" t="s">
        <v>8128</v>
      </c>
      <c r="B1578" s="207" t="s">
        <v>3334</v>
      </c>
      <c r="C1578" s="205" t="s">
        <v>4579</v>
      </c>
      <c r="D1578" s="188" t="s">
        <v>8724</v>
      </c>
      <c r="E1578" s="188" t="s">
        <v>5830</v>
      </c>
      <c r="F1578" s="189" t="s">
        <v>6308</v>
      </c>
      <c r="G1578" s="205" t="s">
        <v>8320</v>
      </c>
      <c r="H1578" s="199" t="s">
        <v>52</v>
      </c>
      <c r="I1578" s="199">
        <v>1</v>
      </c>
      <c r="J1578" s="199">
        <v>1</v>
      </c>
      <c r="K1578" s="199">
        <v>1</v>
      </c>
      <c r="L1578" s="199">
        <v>50</v>
      </c>
      <c r="M1578" s="206">
        <f>TB_Parts_Lists[[#This Row],[Quantity Initial]]+ SUMIF(TB_Transactions[Part number],TB_Parts_Lists[[#This Row],[Part Number]],TB_Transactions[Quantity])</f>
        <v>50</v>
      </c>
      <c r="N1578" s="200" t="s">
        <v>4593</v>
      </c>
      <c r="O1578" s="234">
        <v>5</v>
      </c>
      <c r="P1578" s="199">
        <f>TB_Parts_Lists[[#This Row],[Quantity Initial]]*TB_Parts_Lists[[#This Row],[Unit Price AED]]</f>
        <v>250</v>
      </c>
      <c r="Q1578" s="199">
        <f>TB_Parts_Lists[[#This Row],[Quantity Total]]*TB_Parts_Lists[[#This Row],[Unit Price AED]]</f>
        <v>250</v>
      </c>
      <c r="R1578" s="205"/>
      <c r="S1578" s="199" t="s">
        <v>122</v>
      </c>
      <c r="T1578" s="199" t="s">
        <v>8696</v>
      </c>
      <c r="U1578" s="199" t="s">
        <v>292</v>
      </c>
    </row>
    <row r="1579" spans="1:21" s="199" customFormat="1" x14ac:dyDescent="0.25">
      <c r="A1579" s="193" t="s">
        <v>8129</v>
      </c>
      <c r="B1579" s="207" t="s">
        <v>3334</v>
      </c>
      <c r="C1579" s="205" t="s">
        <v>4579</v>
      </c>
      <c r="D1579" s="199" t="s">
        <v>8723</v>
      </c>
      <c r="E1579" s="188" t="s">
        <v>5831</v>
      </c>
      <c r="F1579" s="189" t="s">
        <v>6309</v>
      </c>
      <c r="G1579" s="205" t="s">
        <v>8320</v>
      </c>
      <c r="H1579" s="199" t="s">
        <v>52</v>
      </c>
      <c r="I1579" s="199">
        <v>1</v>
      </c>
      <c r="J1579" s="199">
        <v>1</v>
      </c>
      <c r="K1579" s="199">
        <v>1</v>
      </c>
      <c r="L1579" s="199">
        <v>50</v>
      </c>
      <c r="M1579" s="206">
        <f>TB_Parts_Lists[[#This Row],[Quantity Initial]]+ SUMIF(TB_Transactions[Part number],TB_Parts_Lists[[#This Row],[Part Number]],TB_Transactions[Quantity])</f>
        <v>50</v>
      </c>
      <c r="N1579" s="200" t="s">
        <v>4593</v>
      </c>
      <c r="O1579" s="234">
        <v>5</v>
      </c>
      <c r="P1579" s="199">
        <f>TB_Parts_Lists[[#This Row],[Quantity Initial]]*TB_Parts_Lists[[#This Row],[Unit Price AED]]</f>
        <v>250</v>
      </c>
      <c r="Q1579" s="199">
        <f>TB_Parts_Lists[[#This Row],[Quantity Total]]*TB_Parts_Lists[[#This Row],[Unit Price AED]]</f>
        <v>250</v>
      </c>
      <c r="R1579" s="205"/>
      <c r="S1579" s="199" t="s">
        <v>122</v>
      </c>
      <c r="T1579" s="199" t="s">
        <v>8696</v>
      </c>
      <c r="U1579" s="199" t="s">
        <v>292</v>
      </c>
    </row>
    <row r="1580" spans="1:21" s="199" customFormat="1" x14ac:dyDescent="0.25">
      <c r="A1580" s="193" t="s">
        <v>8130</v>
      </c>
      <c r="B1580" s="207" t="s">
        <v>3334</v>
      </c>
      <c r="C1580" s="205" t="s">
        <v>4579</v>
      </c>
      <c r="D1580" s="199" t="s">
        <v>8723</v>
      </c>
      <c r="E1580" s="188" t="s">
        <v>5832</v>
      </c>
      <c r="F1580" s="189" t="s">
        <v>6310</v>
      </c>
      <c r="G1580" s="205" t="s">
        <v>8320</v>
      </c>
      <c r="H1580" s="199" t="s">
        <v>52</v>
      </c>
      <c r="I1580" s="199">
        <v>1</v>
      </c>
      <c r="J1580" s="199">
        <v>1</v>
      </c>
      <c r="K1580" s="199">
        <v>1</v>
      </c>
      <c r="L1580" s="199">
        <v>50</v>
      </c>
      <c r="M1580" s="206">
        <f>TB_Parts_Lists[[#This Row],[Quantity Initial]]+ SUMIF(TB_Transactions[Part number],TB_Parts_Lists[[#This Row],[Part Number]],TB_Transactions[Quantity])</f>
        <v>50</v>
      </c>
      <c r="N1580" s="200" t="s">
        <v>4593</v>
      </c>
      <c r="O1580" s="234">
        <v>5</v>
      </c>
      <c r="P1580" s="199">
        <f>TB_Parts_Lists[[#This Row],[Quantity Initial]]*TB_Parts_Lists[[#This Row],[Unit Price AED]]</f>
        <v>250</v>
      </c>
      <c r="Q1580" s="199">
        <f>TB_Parts_Lists[[#This Row],[Quantity Total]]*TB_Parts_Lists[[#This Row],[Unit Price AED]]</f>
        <v>250</v>
      </c>
      <c r="R1580" s="205"/>
      <c r="S1580" s="199" t="s">
        <v>122</v>
      </c>
      <c r="T1580" s="199" t="s">
        <v>8696</v>
      </c>
      <c r="U1580" s="199" t="s">
        <v>292</v>
      </c>
    </row>
    <row r="1581" spans="1:21" s="199" customFormat="1" x14ac:dyDescent="0.25">
      <c r="A1581" s="193" t="s">
        <v>8131</v>
      </c>
      <c r="B1581" s="207" t="s">
        <v>3334</v>
      </c>
      <c r="C1581" s="205" t="s">
        <v>4579</v>
      </c>
      <c r="D1581" s="199" t="s">
        <v>8723</v>
      </c>
      <c r="E1581" s="188" t="s">
        <v>5833</v>
      </c>
      <c r="F1581" s="189" t="s">
        <v>6311</v>
      </c>
      <c r="G1581" s="205" t="s">
        <v>8320</v>
      </c>
      <c r="H1581" s="199" t="s">
        <v>52</v>
      </c>
      <c r="I1581" s="199">
        <v>1</v>
      </c>
      <c r="J1581" s="199">
        <v>1</v>
      </c>
      <c r="K1581" s="199">
        <v>1</v>
      </c>
      <c r="L1581" s="199">
        <v>50</v>
      </c>
      <c r="M1581" s="206">
        <f>TB_Parts_Lists[[#This Row],[Quantity Initial]]+ SUMIF(TB_Transactions[Part number],TB_Parts_Lists[[#This Row],[Part Number]],TB_Transactions[Quantity])</f>
        <v>50</v>
      </c>
      <c r="N1581" s="200" t="s">
        <v>4593</v>
      </c>
      <c r="O1581" s="234">
        <v>5</v>
      </c>
      <c r="P1581" s="199">
        <f>TB_Parts_Lists[[#This Row],[Quantity Initial]]*TB_Parts_Lists[[#This Row],[Unit Price AED]]</f>
        <v>250</v>
      </c>
      <c r="Q1581" s="199">
        <f>TB_Parts_Lists[[#This Row],[Quantity Total]]*TB_Parts_Lists[[#This Row],[Unit Price AED]]</f>
        <v>250</v>
      </c>
      <c r="R1581" s="205"/>
      <c r="S1581" s="199" t="s">
        <v>122</v>
      </c>
      <c r="T1581" s="199" t="s">
        <v>8696</v>
      </c>
      <c r="U1581" s="199" t="s">
        <v>292</v>
      </c>
    </row>
    <row r="1582" spans="1:21" s="199" customFormat="1" x14ac:dyDescent="0.25">
      <c r="A1582" s="193" t="s">
        <v>8132</v>
      </c>
      <c r="B1582" s="207" t="s">
        <v>3334</v>
      </c>
      <c r="C1582" s="205" t="s">
        <v>4579</v>
      </c>
      <c r="D1582" s="199" t="s">
        <v>8723</v>
      </c>
      <c r="E1582" s="188" t="s">
        <v>5834</v>
      </c>
      <c r="F1582" s="189" t="s">
        <v>6312</v>
      </c>
      <c r="G1582" s="205" t="s">
        <v>8320</v>
      </c>
      <c r="H1582" s="199" t="s">
        <v>52</v>
      </c>
      <c r="I1582" s="199">
        <v>1</v>
      </c>
      <c r="J1582" s="199">
        <v>1</v>
      </c>
      <c r="K1582" s="199">
        <v>1</v>
      </c>
      <c r="L1582" s="199">
        <v>50</v>
      </c>
      <c r="M1582" s="206">
        <f>TB_Parts_Lists[[#This Row],[Quantity Initial]]+ SUMIF(TB_Transactions[Part number],TB_Parts_Lists[[#This Row],[Part Number]],TB_Transactions[Quantity])</f>
        <v>50</v>
      </c>
      <c r="N1582" s="200" t="s">
        <v>4593</v>
      </c>
      <c r="O1582" s="234">
        <v>5</v>
      </c>
      <c r="P1582" s="199">
        <f>TB_Parts_Lists[[#This Row],[Quantity Initial]]*TB_Parts_Lists[[#This Row],[Unit Price AED]]</f>
        <v>250</v>
      </c>
      <c r="Q1582" s="199">
        <f>TB_Parts_Lists[[#This Row],[Quantity Total]]*TB_Parts_Lists[[#This Row],[Unit Price AED]]</f>
        <v>250</v>
      </c>
      <c r="R1582" s="205"/>
      <c r="S1582" s="199" t="s">
        <v>122</v>
      </c>
      <c r="T1582" s="199" t="s">
        <v>8696</v>
      </c>
      <c r="U1582" s="199" t="s">
        <v>292</v>
      </c>
    </row>
    <row r="1583" spans="1:21" s="199" customFormat="1" x14ac:dyDescent="0.25">
      <c r="A1583" s="193" t="s">
        <v>8133</v>
      </c>
      <c r="B1583" s="207" t="s">
        <v>3334</v>
      </c>
      <c r="C1583" s="205" t="s">
        <v>4579</v>
      </c>
      <c r="D1583" s="199" t="s">
        <v>8723</v>
      </c>
      <c r="E1583" s="188" t="s">
        <v>5835</v>
      </c>
      <c r="F1583" s="189" t="s">
        <v>6313</v>
      </c>
      <c r="G1583" s="205" t="s">
        <v>8320</v>
      </c>
      <c r="H1583" s="199" t="s">
        <v>52</v>
      </c>
      <c r="I1583" s="199">
        <v>1</v>
      </c>
      <c r="J1583" s="199">
        <v>1</v>
      </c>
      <c r="K1583" s="199">
        <v>1</v>
      </c>
      <c r="L1583" s="199">
        <v>50</v>
      </c>
      <c r="M1583" s="206">
        <f>TB_Parts_Lists[[#This Row],[Quantity Initial]]+ SUMIF(TB_Transactions[Part number],TB_Parts_Lists[[#This Row],[Part Number]],TB_Transactions[Quantity])</f>
        <v>50</v>
      </c>
      <c r="N1583" s="200" t="s">
        <v>4593</v>
      </c>
      <c r="O1583" s="234">
        <v>5</v>
      </c>
      <c r="P1583" s="199">
        <f>TB_Parts_Lists[[#This Row],[Quantity Initial]]*TB_Parts_Lists[[#This Row],[Unit Price AED]]</f>
        <v>250</v>
      </c>
      <c r="Q1583" s="199">
        <f>TB_Parts_Lists[[#This Row],[Quantity Total]]*TB_Parts_Lists[[#This Row],[Unit Price AED]]</f>
        <v>250</v>
      </c>
      <c r="R1583" s="205"/>
      <c r="S1583" s="199" t="s">
        <v>122</v>
      </c>
      <c r="T1583" s="199" t="s">
        <v>8696</v>
      </c>
      <c r="U1583" s="199" t="s">
        <v>292</v>
      </c>
    </row>
    <row r="1584" spans="1:21" s="199" customFormat="1" x14ac:dyDescent="0.25">
      <c r="A1584" s="193" t="s">
        <v>8134</v>
      </c>
      <c r="B1584" s="207" t="s">
        <v>3334</v>
      </c>
      <c r="C1584" s="205" t="s">
        <v>4579</v>
      </c>
      <c r="D1584" s="199" t="s">
        <v>8723</v>
      </c>
      <c r="E1584" s="188" t="s">
        <v>5836</v>
      </c>
      <c r="F1584" s="189" t="s">
        <v>6314</v>
      </c>
      <c r="G1584" s="205" t="s">
        <v>8320</v>
      </c>
      <c r="H1584" s="199" t="s">
        <v>52</v>
      </c>
      <c r="I1584" s="199">
        <v>1</v>
      </c>
      <c r="J1584" s="199">
        <v>1</v>
      </c>
      <c r="K1584" s="199">
        <v>1</v>
      </c>
      <c r="L1584" s="199">
        <v>50</v>
      </c>
      <c r="M1584" s="206">
        <f>TB_Parts_Lists[[#This Row],[Quantity Initial]]+ SUMIF(TB_Transactions[Part number],TB_Parts_Lists[[#This Row],[Part Number]],TB_Transactions[Quantity])</f>
        <v>50</v>
      </c>
      <c r="N1584" s="200" t="s">
        <v>4593</v>
      </c>
      <c r="O1584" s="234">
        <v>5</v>
      </c>
      <c r="P1584" s="199">
        <f>TB_Parts_Lists[[#This Row],[Quantity Initial]]*TB_Parts_Lists[[#This Row],[Unit Price AED]]</f>
        <v>250</v>
      </c>
      <c r="Q1584" s="199">
        <f>TB_Parts_Lists[[#This Row],[Quantity Total]]*TB_Parts_Lists[[#This Row],[Unit Price AED]]</f>
        <v>250</v>
      </c>
      <c r="R1584" s="205"/>
      <c r="S1584" s="199" t="s">
        <v>122</v>
      </c>
      <c r="T1584" s="199" t="s">
        <v>8696</v>
      </c>
      <c r="U1584" s="199" t="s">
        <v>292</v>
      </c>
    </row>
    <row r="1585" spans="1:21" s="199" customFormat="1" x14ac:dyDescent="0.25">
      <c r="A1585" s="193" t="s">
        <v>8135</v>
      </c>
      <c r="B1585" s="207" t="s">
        <v>3334</v>
      </c>
      <c r="C1585" s="205" t="s">
        <v>4579</v>
      </c>
      <c r="D1585" s="199" t="s">
        <v>8765</v>
      </c>
      <c r="E1585" s="188" t="s">
        <v>5837</v>
      </c>
      <c r="F1585" s="189" t="s">
        <v>6315</v>
      </c>
      <c r="G1585" s="205" t="s">
        <v>8320</v>
      </c>
      <c r="H1585" s="199" t="s">
        <v>52</v>
      </c>
      <c r="I1585" s="199">
        <v>1</v>
      </c>
      <c r="J1585" s="199">
        <v>1</v>
      </c>
      <c r="K1585" s="199">
        <v>1</v>
      </c>
      <c r="L1585" s="199">
        <v>50</v>
      </c>
      <c r="M1585" s="206">
        <f>TB_Parts_Lists[[#This Row],[Quantity Initial]]+ SUMIF(TB_Transactions[Part number],TB_Parts_Lists[[#This Row],[Part Number]],TB_Transactions[Quantity])</f>
        <v>50</v>
      </c>
      <c r="N1585" s="200" t="s">
        <v>4593</v>
      </c>
      <c r="O1585" s="234">
        <v>5</v>
      </c>
      <c r="P1585" s="199">
        <f>TB_Parts_Lists[[#This Row],[Quantity Initial]]*TB_Parts_Lists[[#This Row],[Unit Price AED]]</f>
        <v>250</v>
      </c>
      <c r="Q1585" s="199">
        <f>TB_Parts_Lists[[#This Row],[Quantity Total]]*TB_Parts_Lists[[#This Row],[Unit Price AED]]</f>
        <v>250</v>
      </c>
      <c r="R1585" s="205"/>
      <c r="S1585" s="199" t="s">
        <v>122</v>
      </c>
      <c r="T1585" s="199" t="s">
        <v>8696</v>
      </c>
      <c r="U1585" s="199" t="s">
        <v>292</v>
      </c>
    </row>
    <row r="1586" spans="1:21" s="199" customFormat="1" x14ac:dyDescent="0.25">
      <c r="A1586" s="193" t="s">
        <v>8136</v>
      </c>
      <c r="B1586" s="207" t="s">
        <v>3334</v>
      </c>
      <c r="C1586" s="205" t="s">
        <v>4579</v>
      </c>
      <c r="D1586" s="199" t="s">
        <v>8765</v>
      </c>
      <c r="E1586" s="188" t="s">
        <v>5838</v>
      </c>
      <c r="F1586" s="189" t="s">
        <v>6316</v>
      </c>
      <c r="G1586" s="205" t="s">
        <v>8320</v>
      </c>
      <c r="H1586" s="199" t="s">
        <v>52</v>
      </c>
      <c r="I1586" s="199">
        <v>1</v>
      </c>
      <c r="J1586" s="199">
        <v>1</v>
      </c>
      <c r="K1586" s="199">
        <v>1</v>
      </c>
      <c r="L1586" s="199">
        <v>50</v>
      </c>
      <c r="M1586" s="206">
        <f>TB_Parts_Lists[[#This Row],[Quantity Initial]]+ SUMIF(TB_Transactions[Part number],TB_Parts_Lists[[#This Row],[Part Number]],TB_Transactions[Quantity])</f>
        <v>50</v>
      </c>
      <c r="N1586" s="200" t="s">
        <v>4593</v>
      </c>
      <c r="O1586" s="234">
        <v>5</v>
      </c>
      <c r="P1586" s="199">
        <f>TB_Parts_Lists[[#This Row],[Quantity Initial]]*TB_Parts_Lists[[#This Row],[Unit Price AED]]</f>
        <v>250</v>
      </c>
      <c r="Q1586" s="199">
        <f>TB_Parts_Lists[[#This Row],[Quantity Total]]*TB_Parts_Lists[[#This Row],[Unit Price AED]]</f>
        <v>250</v>
      </c>
      <c r="R1586" s="205"/>
      <c r="S1586" s="199" t="s">
        <v>122</v>
      </c>
      <c r="T1586" s="199" t="s">
        <v>8696</v>
      </c>
      <c r="U1586" s="199" t="s">
        <v>292</v>
      </c>
    </row>
    <row r="1587" spans="1:21" s="199" customFormat="1" x14ac:dyDescent="0.25">
      <c r="A1587" s="193" t="s">
        <v>8137</v>
      </c>
      <c r="B1587" s="207" t="s">
        <v>3334</v>
      </c>
      <c r="C1587" s="205" t="s">
        <v>4579</v>
      </c>
      <c r="D1587" s="199" t="s">
        <v>8765</v>
      </c>
      <c r="E1587" s="188" t="s">
        <v>5839</v>
      </c>
      <c r="F1587" s="189" t="s">
        <v>6317</v>
      </c>
      <c r="G1587" s="205" t="s">
        <v>8320</v>
      </c>
      <c r="H1587" s="199" t="s">
        <v>52</v>
      </c>
      <c r="I1587" s="199">
        <v>1</v>
      </c>
      <c r="J1587" s="199">
        <v>1</v>
      </c>
      <c r="K1587" s="199">
        <v>1</v>
      </c>
      <c r="L1587" s="199">
        <v>50</v>
      </c>
      <c r="M1587" s="206">
        <f>TB_Parts_Lists[[#This Row],[Quantity Initial]]+ SUMIF(TB_Transactions[Part number],TB_Parts_Lists[[#This Row],[Part Number]],TB_Transactions[Quantity])</f>
        <v>50</v>
      </c>
      <c r="N1587" s="200" t="s">
        <v>4593</v>
      </c>
      <c r="O1587" s="234">
        <v>5</v>
      </c>
      <c r="P1587" s="199">
        <f>TB_Parts_Lists[[#This Row],[Quantity Initial]]*TB_Parts_Lists[[#This Row],[Unit Price AED]]</f>
        <v>250</v>
      </c>
      <c r="Q1587" s="199">
        <f>TB_Parts_Lists[[#This Row],[Quantity Total]]*TB_Parts_Lists[[#This Row],[Unit Price AED]]</f>
        <v>250</v>
      </c>
      <c r="R1587" s="205"/>
      <c r="S1587" s="199" t="s">
        <v>122</v>
      </c>
      <c r="T1587" s="199" t="s">
        <v>8696</v>
      </c>
      <c r="U1587" s="199" t="s">
        <v>292</v>
      </c>
    </row>
    <row r="1588" spans="1:21" s="199" customFormat="1" x14ac:dyDescent="0.25">
      <c r="A1588" s="193" t="s">
        <v>8138</v>
      </c>
      <c r="B1588" s="207" t="s">
        <v>3334</v>
      </c>
      <c r="C1588" s="205" t="s">
        <v>4579</v>
      </c>
      <c r="D1588" s="199" t="s">
        <v>8765</v>
      </c>
      <c r="E1588" s="188" t="s">
        <v>5840</v>
      </c>
      <c r="F1588" s="189" t="s">
        <v>6318</v>
      </c>
      <c r="G1588" s="205" t="s">
        <v>8320</v>
      </c>
      <c r="H1588" s="199" t="s">
        <v>52</v>
      </c>
      <c r="I1588" s="199">
        <v>1</v>
      </c>
      <c r="J1588" s="199">
        <v>1</v>
      </c>
      <c r="K1588" s="199">
        <v>1</v>
      </c>
      <c r="L1588" s="199">
        <v>50</v>
      </c>
      <c r="M1588" s="206">
        <f>TB_Parts_Lists[[#This Row],[Quantity Initial]]+ SUMIF(TB_Transactions[Part number],TB_Parts_Lists[[#This Row],[Part Number]],TB_Transactions[Quantity])</f>
        <v>50</v>
      </c>
      <c r="N1588" s="200" t="s">
        <v>4593</v>
      </c>
      <c r="O1588" s="234">
        <v>5</v>
      </c>
      <c r="P1588" s="199">
        <f>TB_Parts_Lists[[#This Row],[Quantity Initial]]*TB_Parts_Lists[[#This Row],[Unit Price AED]]</f>
        <v>250</v>
      </c>
      <c r="Q1588" s="199">
        <f>TB_Parts_Lists[[#This Row],[Quantity Total]]*TB_Parts_Lists[[#This Row],[Unit Price AED]]</f>
        <v>250</v>
      </c>
      <c r="R1588" s="205"/>
      <c r="S1588" s="199" t="s">
        <v>122</v>
      </c>
      <c r="T1588" s="199" t="s">
        <v>8696</v>
      </c>
      <c r="U1588" s="199" t="s">
        <v>292</v>
      </c>
    </row>
    <row r="1589" spans="1:21" s="199" customFormat="1" x14ac:dyDescent="0.25">
      <c r="A1589" s="193" t="s">
        <v>8141</v>
      </c>
      <c r="B1589" s="207" t="s">
        <v>3334</v>
      </c>
      <c r="C1589" s="205" t="s">
        <v>4579</v>
      </c>
      <c r="D1589" s="199" t="s">
        <v>8765</v>
      </c>
      <c r="E1589" s="188" t="s">
        <v>5841</v>
      </c>
      <c r="F1589" s="189" t="s">
        <v>6319</v>
      </c>
      <c r="G1589" s="205" t="s">
        <v>8320</v>
      </c>
      <c r="H1589" s="199" t="s">
        <v>52</v>
      </c>
      <c r="I1589" s="199">
        <v>1</v>
      </c>
      <c r="J1589" s="199">
        <v>1</v>
      </c>
      <c r="K1589" s="199">
        <v>1</v>
      </c>
      <c r="L1589" s="199">
        <v>50</v>
      </c>
      <c r="M1589" s="206">
        <f>TB_Parts_Lists[[#This Row],[Quantity Initial]]+ SUMIF(TB_Transactions[Part number],TB_Parts_Lists[[#This Row],[Part Number]],TB_Transactions[Quantity])</f>
        <v>50</v>
      </c>
      <c r="N1589" s="200" t="s">
        <v>4593</v>
      </c>
      <c r="O1589" s="234">
        <v>5</v>
      </c>
      <c r="P1589" s="199">
        <f>TB_Parts_Lists[[#This Row],[Quantity Initial]]*TB_Parts_Lists[[#This Row],[Unit Price AED]]</f>
        <v>250</v>
      </c>
      <c r="Q1589" s="199">
        <f>TB_Parts_Lists[[#This Row],[Quantity Total]]*TB_Parts_Lists[[#This Row],[Unit Price AED]]</f>
        <v>250</v>
      </c>
      <c r="R1589" s="205"/>
      <c r="S1589" s="199" t="s">
        <v>122</v>
      </c>
      <c r="T1589" s="199" t="s">
        <v>8696</v>
      </c>
      <c r="U1589" s="199" t="s">
        <v>292</v>
      </c>
    </row>
    <row r="1590" spans="1:21" s="199" customFormat="1" x14ac:dyDescent="0.25">
      <c r="A1590" s="193" t="s">
        <v>8139</v>
      </c>
      <c r="B1590" s="207" t="s">
        <v>3334</v>
      </c>
      <c r="C1590" s="205" t="s">
        <v>4579</v>
      </c>
      <c r="D1590" s="199" t="s">
        <v>8765</v>
      </c>
      <c r="E1590" s="188" t="s">
        <v>5842</v>
      </c>
      <c r="F1590" s="189" t="s">
        <v>6320</v>
      </c>
      <c r="G1590" s="205" t="s">
        <v>8320</v>
      </c>
      <c r="H1590" s="199" t="s">
        <v>52</v>
      </c>
      <c r="I1590" s="199">
        <v>1</v>
      </c>
      <c r="J1590" s="199">
        <v>1</v>
      </c>
      <c r="K1590" s="199">
        <v>1</v>
      </c>
      <c r="L1590" s="199">
        <v>50</v>
      </c>
      <c r="M1590" s="206">
        <f>TB_Parts_Lists[[#This Row],[Quantity Initial]]+ SUMIF(TB_Transactions[Part number],TB_Parts_Lists[[#This Row],[Part Number]],TB_Transactions[Quantity])</f>
        <v>50</v>
      </c>
      <c r="N1590" s="200" t="s">
        <v>4593</v>
      </c>
      <c r="O1590" s="234">
        <v>5</v>
      </c>
      <c r="P1590" s="199">
        <f>TB_Parts_Lists[[#This Row],[Quantity Initial]]*TB_Parts_Lists[[#This Row],[Unit Price AED]]</f>
        <v>250</v>
      </c>
      <c r="Q1590" s="199">
        <f>TB_Parts_Lists[[#This Row],[Quantity Total]]*TB_Parts_Lists[[#This Row],[Unit Price AED]]</f>
        <v>250</v>
      </c>
      <c r="R1590" s="205"/>
      <c r="S1590" s="199" t="s">
        <v>122</v>
      </c>
      <c r="T1590" s="199" t="s">
        <v>8696</v>
      </c>
      <c r="U1590" s="199" t="s">
        <v>292</v>
      </c>
    </row>
    <row r="1591" spans="1:21" s="199" customFormat="1" x14ac:dyDescent="0.25">
      <c r="A1591" s="193" t="s">
        <v>8140</v>
      </c>
      <c r="B1591" s="207" t="s">
        <v>3334</v>
      </c>
      <c r="C1591" s="205" t="s">
        <v>4579</v>
      </c>
      <c r="D1591" s="199" t="s">
        <v>8732</v>
      </c>
      <c r="E1591" s="188" t="s">
        <v>5843</v>
      </c>
      <c r="F1591" s="189" t="s">
        <v>6321</v>
      </c>
      <c r="G1591" s="205" t="s">
        <v>8320</v>
      </c>
      <c r="H1591" s="199" t="s">
        <v>52</v>
      </c>
      <c r="I1591" s="199">
        <v>1</v>
      </c>
      <c r="J1591" s="199">
        <v>1</v>
      </c>
      <c r="K1591" s="199">
        <v>1</v>
      </c>
      <c r="L1591" s="199">
        <v>50</v>
      </c>
      <c r="M1591" s="206">
        <f>TB_Parts_Lists[[#This Row],[Quantity Initial]]+ SUMIF(TB_Transactions[Part number],TB_Parts_Lists[[#This Row],[Part Number]],TB_Transactions[Quantity])</f>
        <v>50</v>
      </c>
      <c r="N1591" s="200" t="s">
        <v>4593</v>
      </c>
      <c r="O1591" s="234">
        <v>5</v>
      </c>
      <c r="P1591" s="199">
        <f>TB_Parts_Lists[[#This Row],[Quantity Initial]]*TB_Parts_Lists[[#This Row],[Unit Price AED]]</f>
        <v>250</v>
      </c>
      <c r="Q1591" s="199">
        <f>TB_Parts_Lists[[#This Row],[Quantity Total]]*TB_Parts_Lists[[#This Row],[Unit Price AED]]</f>
        <v>250</v>
      </c>
      <c r="R1591" s="205"/>
      <c r="S1591" s="199" t="s">
        <v>122</v>
      </c>
      <c r="T1591" s="199" t="s">
        <v>8696</v>
      </c>
      <c r="U1591" s="199" t="s">
        <v>292</v>
      </c>
    </row>
    <row r="1592" spans="1:21" s="199" customFormat="1" x14ac:dyDescent="0.25">
      <c r="A1592" s="193" t="s">
        <v>8142</v>
      </c>
      <c r="B1592" s="207" t="s">
        <v>3334</v>
      </c>
      <c r="C1592" s="205" t="s">
        <v>4579</v>
      </c>
      <c r="D1592" s="199" t="s">
        <v>8732</v>
      </c>
      <c r="E1592" s="188" t="s">
        <v>5844</v>
      </c>
      <c r="F1592" s="189" t="s">
        <v>6322</v>
      </c>
      <c r="G1592" s="205" t="s">
        <v>8320</v>
      </c>
      <c r="H1592" s="199" t="s">
        <v>52</v>
      </c>
      <c r="I1592" s="199">
        <v>1</v>
      </c>
      <c r="J1592" s="199">
        <v>1</v>
      </c>
      <c r="K1592" s="199">
        <v>1</v>
      </c>
      <c r="L1592" s="199">
        <v>50</v>
      </c>
      <c r="M1592" s="206">
        <f>TB_Parts_Lists[[#This Row],[Quantity Initial]]+ SUMIF(TB_Transactions[Part number],TB_Parts_Lists[[#This Row],[Part Number]],TB_Transactions[Quantity])</f>
        <v>50</v>
      </c>
      <c r="N1592" s="200" t="s">
        <v>4593</v>
      </c>
      <c r="O1592" s="234">
        <v>5</v>
      </c>
      <c r="P1592" s="199">
        <f>TB_Parts_Lists[[#This Row],[Quantity Initial]]*TB_Parts_Lists[[#This Row],[Unit Price AED]]</f>
        <v>250</v>
      </c>
      <c r="Q1592" s="199">
        <f>TB_Parts_Lists[[#This Row],[Quantity Total]]*TB_Parts_Lists[[#This Row],[Unit Price AED]]</f>
        <v>250</v>
      </c>
      <c r="R1592" s="205"/>
      <c r="S1592" s="199" t="s">
        <v>122</v>
      </c>
      <c r="T1592" s="199" t="s">
        <v>8696</v>
      </c>
      <c r="U1592" s="199" t="s">
        <v>292</v>
      </c>
    </row>
    <row r="1593" spans="1:21" s="199" customFormat="1" x14ac:dyDescent="0.25">
      <c r="A1593" s="193" t="s">
        <v>8143</v>
      </c>
      <c r="B1593" s="207" t="s">
        <v>3334</v>
      </c>
      <c r="C1593" s="205" t="s">
        <v>4579</v>
      </c>
      <c r="D1593" s="199" t="s">
        <v>8732</v>
      </c>
      <c r="E1593" s="188" t="s">
        <v>5845</v>
      </c>
      <c r="F1593" s="189" t="s">
        <v>6323</v>
      </c>
      <c r="G1593" s="205" t="s">
        <v>8320</v>
      </c>
      <c r="H1593" s="199" t="s">
        <v>52</v>
      </c>
      <c r="I1593" s="199">
        <v>1</v>
      </c>
      <c r="J1593" s="199">
        <v>1</v>
      </c>
      <c r="K1593" s="199">
        <v>1</v>
      </c>
      <c r="L1593" s="199">
        <v>50</v>
      </c>
      <c r="M1593" s="206">
        <f>TB_Parts_Lists[[#This Row],[Quantity Initial]]+ SUMIF(TB_Transactions[Part number],TB_Parts_Lists[[#This Row],[Part Number]],TB_Transactions[Quantity])</f>
        <v>50</v>
      </c>
      <c r="N1593" s="200" t="s">
        <v>4593</v>
      </c>
      <c r="O1593" s="234">
        <v>5</v>
      </c>
      <c r="P1593" s="199">
        <f>TB_Parts_Lists[[#This Row],[Quantity Initial]]*TB_Parts_Lists[[#This Row],[Unit Price AED]]</f>
        <v>250</v>
      </c>
      <c r="Q1593" s="199">
        <f>TB_Parts_Lists[[#This Row],[Quantity Total]]*TB_Parts_Lists[[#This Row],[Unit Price AED]]</f>
        <v>250</v>
      </c>
      <c r="R1593" s="205"/>
      <c r="S1593" s="199" t="s">
        <v>122</v>
      </c>
      <c r="T1593" s="199" t="s">
        <v>8696</v>
      </c>
      <c r="U1593" s="199" t="s">
        <v>292</v>
      </c>
    </row>
    <row r="1594" spans="1:21" s="199" customFormat="1" x14ac:dyDescent="0.25">
      <c r="A1594" s="193" t="s">
        <v>8144</v>
      </c>
      <c r="B1594" s="207" t="s">
        <v>3334</v>
      </c>
      <c r="C1594" s="205" t="s">
        <v>4579</v>
      </c>
      <c r="D1594" s="199" t="s">
        <v>8732</v>
      </c>
      <c r="E1594" s="188" t="s">
        <v>5846</v>
      </c>
      <c r="F1594" s="189" t="s">
        <v>6324</v>
      </c>
      <c r="G1594" s="205" t="s">
        <v>8320</v>
      </c>
      <c r="H1594" s="199" t="s">
        <v>52</v>
      </c>
      <c r="I1594" s="199">
        <v>1</v>
      </c>
      <c r="J1594" s="199">
        <v>1</v>
      </c>
      <c r="K1594" s="199">
        <v>1</v>
      </c>
      <c r="L1594" s="199">
        <v>50</v>
      </c>
      <c r="M1594" s="206">
        <f>TB_Parts_Lists[[#This Row],[Quantity Initial]]+ SUMIF(TB_Transactions[Part number],TB_Parts_Lists[[#This Row],[Part Number]],TB_Transactions[Quantity])</f>
        <v>50</v>
      </c>
      <c r="N1594" s="200" t="s">
        <v>4593</v>
      </c>
      <c r="O1594" s="234">
        <v>5</v>
      </c>
      <c r="P1594" s="199">
        <f>TB_Parts_Lists[[#This Row],[Quantity Initial]]*TB_Parts_Lists[[#This Row],[Unit Price AED]]</f>
        <v>250</v>
      </c>
      <c r="Q1594" s="199">
        <f>TB_Parts_Lists[[#This Row],[Quantity Total]]*TB_Parts_Lists[[#This Row],[Unit Price AED]]</f>
        <v>250</v>
      </c>
      <c r="R1594" s="205"/>
      <c r="S1594" s="199" t="s">
        <v>122</v>
      </c>
      <c r="T1594" s="199" t="s">
        <v>8696</v>
      </c>
      <c r="U1594" s="199" t="s">
        <v>292</v>
      </c>
    </row>
    <row r="1595" spans="1:21" s="199" customFormat="1" x14ac:dyDescent="0.25">
      <c r="A1595" s="193" t="s">
        <v>8145</v>
      </c>
      <c r="B1595" s="207" t="s">
        <v>3334</v>
      </c>
      <c r="C1595" s="205" t="s">
        <v>4579</v>
      </c>
      <c r="D1595" s="199" t="s">
        <v>8765</v>
      </c>
      <c r="E1595" s="188" t="s">
        <v>5847</v>
      </c>
      <c r="F1595" s="189" t="s">
        <v>6325</v>
      </c>
      <c r="G1595" s="205" t="s">
        <v>8320</v>
      </c>
      <c r="H1595" s="199" t="s">
        <v>52</v>
      </c>
      <c r="I1595" s="199">
        <v>1</v>
      </c>
      <c r="J1595" s="199">
        <v>1</v>
      </c>
      <c r="K1595" s="199">
        <v>1</v>
      </c>
      <c r="L1595" s="199">
        <v>50</v>
      </c>
      <c r="M1595" s="206">
        <f>TB_Parts_Lists[[#This Row],[Quantity Initial]]+ SUMIF(TB_Transactions[Part number],TB_Parts_Lists[[#This Row],[Part Number]],TB_Transactions[Quantity])</f>
        <v>50</v>
      </c>
      <c r="N1595" s="200" t="s">
        <v>4593</v>
      </c>
      <c r="O1595" s="234">
        <v>5</v>
      </c>
      <c r="P1595" s="199">
        <f>TB_Parts_Lists[[#This Row],[Quantity Initial]]*TB_Parts_Lists[[#This Row],[Unit Price AED]]</f>
        <v>250</v>
      </c>
      <c r="Q1595" s="199">
        <f>TB_Parts_Lists[[#This Row],[Quantity Total]]*TB_Parts_Lists[[#This Row],[Unit Price AED]]</f>
        <v>250</v>
      </c>
      <c r="R1595" s="205"/>
      <c r="S1595" s="199" t="s">
        <v>122</v>
      </c>
      <c r="T1595" s="199" t="s">
        <v>8696</v>
      </c>
      <c r="U1595" s="199" t="s">
        <v>292</v>
      </c>
    </row>
    <row r="1596" spans="1:21" s="199" customFormat="1" x14ac:dyDescent="0.25">
      <c r="A1596" s="193" t="s">
        <v>8146</v>
      </c>
      <c r="B1596" s="207" t="s">
        <v>3334</v>
      </c>
      <c r="C1596" s="205" t="s">
        <v>4579</v>
      </c>
      <c r="D1596" s="199" t="s">
        <v>8765</v>
      </c>
      <c r="E1596" s="188" t="s">
        <v>5848</v>
      </c>
      <c r="F1596" s="189" t="s">
        <v>6326</v>
      </c>
      <c r="G1596" s="205" t="s">
        <v>8320</v>
      </c>
      <c r="H1596" s="199" t="s">
        <v>52</v>
      </c>
      <c r="I1596" s="199">
        <v>1</v>
      </c>
      <c r="J1596" s="199">
        <v>1</v>
      </c>
      <c r="K1596" s="199">
        <v>1</v>
      </c>
      <c r="L1596" s="199">
        <v>50</v>
      </c>
      <c r="M1596" s="206">
        <f>TB_Parts_Lists[[#This Row],[Quantity Initial]]+ SUMIF(TB_Transactions[Part number],TB_Parts_Lists[[#This Row],[Part Number]],TB_Transactions[Quantity])</f>
        <v>50</v>
      </c>
      <c r="N1596" s="200" t="s">
        <v>4593</v>
      </c>
      <c r="O1596" s="234">
        <v>5</v>
      </c>
      <c r="P1596" s="199">
        <f>TB_Parts_Lists[[#This Row],[Quantity Initial]]*TB_Parts_Lists[[#This Row],[Unit Price AED]]</f>
        <v>250</v>
      </c>
      <c r="Q1596" s="199">
        <f>TB_Parts_Lists[[#This Row],[Quantity Total]]*TB_Parts_Lists[[#This Row],[Unit Price AED]]</f>
        <v>250</v>
      </c>
      <c r="R1596" s="205"/>
      <c r="S1596" s="199" t="s">
        <v>122</v>
      </c>
      <c r="T1596" s="199" t="s">
        <v>8696</v>
      </c>
      <c r="U1596" s="199" t="s">
        <v>292</v>
      </c>
    </row>
    <row r="1597" spans="1:21" s="199" customFormat="1" x14ac:dyDescent="0.25">
      <c r="A1597" s="193" t="s">
        <v>8147</v>
      </c>
      <c r="B1597" s="207" t="s">
        <v>3334</v>
      </c>
      <c r="C1597" s="205" t="s">
        <v>4579</v>
      </c>
      <c r="D1597" s="199" t="s">
        <v>8765</v>
      </c>
      <c r="E1597" s="188" t="s">
        <v>5849</v>
      </c>
      <c r="F1597" s="189" t="s">
        <v>6327</v>
      </c>
      <c r="G1597" s="205" t="s">
        <v>8320</v>
      </c>
      <c r="H1597" s="199" t="s">
        <v>52</v>
      </c>
      <c r="I1597" s="199">
        <v>1</v>
      </c>
      <c r="J1597" s="199">
        <v>1</v>
      </c>
      <c r="K1597" s="199">
        <v>1</v>
      </c>
      <c r="L1597" s="199">
        <v>50</v>
      </c>
      <c r="M1597" s="206">
        <f>TB_Parts_Lists[[#This Row],[Quantity Initial]]+ SUMIF(TB_Transactions[Part number],TB_Parts_Lists[[#This Row],[Part Number]],TB_Transactions[Quantity])</f>
        <v>50</v>
      </c>
      <c r="N1597" s="200" t="s">
        <v>4593</v>
      </c>
      <c r="O1597" s="234">
        <v>5</v>
      </c>
      <c r="P1597" s="199">
        <f>TB_Parts_Lists[[#This Row],[Quantity Initial]]*TB_Parts_Lists[[#This Row],[Unit Price AED]]</f>
        <v>250</v>
      </c>
      <c r="Q1597" s="199">
        <f>TB_Parts_Lists[[#This Row],[Quantity Total]]*TB_Parts_Lists[[#This Row],[Unit Price AED]]</f>
        <v>250</v>
      </c>
      <c r="R1597" s="205"/>
      <c r="S1597" s="199" t="s">
        <v>122</v>
      </c>
      <c r="T1597" s="199" t="s">
        <v>8696</v>
      </c>
      <c r="U1597" s="199" t="s">
        <v>292</v>
      </c>
    </row>
    <row r="1598" spans="1:21" s="199" customFormat="1" x14ac:dyDescent="0.25">
      <c r="A1598" s="193" t="s">
        <v>8148</v>
      </c>
      <c r="B1598" s="207" t="s">
        <v>3334</v>
      </c>
      <c r="C1598" s="205" t="s">
        <v>4579</v>
      </c>
      <c r="D1598" s="199" t="s">
        <v>8732</v>
      </c>
      <c r="E1598" s="188" t="s">
        <v>5850</v>
      </c>
      <c r="F1598" s="189" t="s">
        <v>6328</v>
      </c>
      <c r="G1598" s="205" t="s">
        <v>8320</v>
      </c>
      <c r="H1598" s="199" t="s">
        <v>52</v>
      </c>
      <c r="I1598" s="199">
        <v>1</v>
      </c>
      <c r="J1598" s="199">
        <v>1</v>
      </c>
      <c r="K1598" s="199">
        <v>1</v>
      </c>
      <c r="L1598" s="199">
        <v>50</v>
      </c>
      <c r="M1598" s="206">
        <f>TB_Parts_Lists[[#This Row],[Quantity Initial]]+ SUMIF(TB_Transactions[Part number],TB_Parts_Lists[[#This Row],[Part Number]],TB_Transactions[Quantity])</f>
        <v>50</v>
      </c>
      <c r="N1598" s="200" t="s">
        <v>4593</v>
      </c>
      <c r="O1598" s="234">
        <v>5</v>
      </c>
      <c r="P1598" s="199">
        <f>TB_Parts_Lists[[#This Row],[Quantity Initial]]*TB_Parts_Lists[[#This Row],[Unit Price AED]]</f>
        <v>250</v>
      </c>
      <c r="Q1598" s="199">
        <f>TB_Parts_Lists[[#This Row],[Quantity Total]]*TB_Parts_Lists[[#This Row],[Unit Price AED]]</f>
        <v>250</v>
      </c>
      <c r="R1598" s="205"/>
      <c r="S1598" s="199" t="s">
        <v>122</v>
      </c>
      <c r="T1598" s="199" t="s">
        <v>8696</v>
      </c>
      <c r="U1598" s="199" t="s">
        <v>292</v>
      </c>
    </row>
    <row r="1599" spans="1:21" s="199" customFormat="1" x14ac:dyDescent="0.25">
      <c r="A1599" s="193" t="s">
        <v>8149</v>
      </c>
      <c r="B1599" s="207" t="s">
        <v>3334</v>
      </c>
      <c r="C1599" s="205" t="s">
        <v>4579</v>
      </c>
      <c r="D1599" s="199" t="s">
        <v>8732</v>
      </c>
      <c r="E1599" s="188" t="s">
        <v>5851</v>
      </c>
      <c r="F1599" s="189" t="s">
        <v>6329</v>
      </c>
      <c r="G1599" s="205" t="s">
        <v>8320</v>
      </c>
      <c r="H1599" s="199" t="s">
        <v>52</v>
      </c>
      <c r="I1599" s="199">
        <v>1</v>
      </c>
      <c r="J1599" s="199">
        <v>1</v>
      </c>
      <c r="K1599" s="199">
        <v>1</v>
      </c>
      <c r="L1599" s="199">
        <v>50</v>
      </c>
      <c r="M1599" s="206">
        <f>TB_Parts_Lists[[#This Row],[Quantity Initial]]+ SUMIF(TB_Transactions[Part number],TB_Parts_Lists[[#This Row],[Part Number]],TB_Transactions[Quantity])</f>
        <v>50</v>
      </c>
      <c r="N1599" s="200" t="s">
        <v>4593</v>
      </c>
      <c r="O1599" s="234">
        <v>5</v>
      </c>
      <c r="P1599" s="199">
        <f>TB_Parts_Lists[[#This Row],[Quantity Initial]]*TB_Parts_Lists[[#This Row],[Unit Price AED]]</f>
        <v>250</v>
      </c>
      <c r="Q1599" s="199">
        <f>TB_Parts_Lists[[#This Row],[Quantity Total]]*TB_Parts_Lists[[#This Row],[Unit Price AED]]</f>
        <v>250</v>
      </c>
      <c r="R1599" s="205"/>
      <c r="S1599" s="199" t="s">
        <v>122</v>
      </c>
      <c r="T1599" s="199" t="s">
        <v>8696</v>
      </c>
      <c r="U1599" s="199" t="s">
        <v>292</v>
      </c>
    </row>
    <row r="1600" spans="1:21" s="199" customFormat="1" x14ac:dyDescent="0.25">
      <c r="A1600" s="193" t="s">
        <v>8150</v>
      </c>
      <c r="B1600" s="207" t="s">
        <v>3334</v>
      </c>
      <c r="C1600" s="205" t="s">
        <v>4579</v>
      </c>
      <c r="D1600" s="199" t="s">
        <v>8765</v>
      </c>
      <c r="E1600" s="188" t="s">
        <v>5852</v>
      </c>
      <c r="F1600" s="189" t="s">
        <v>6330</v>
      </c>
      <c r="G1600" s="205" t="s">
        <v>8320</v>
      </c>
      <c r="H1600" s="199" t="s">
        <v>52</v>
      </c>
      <c r="I1600" s="199">
        <v>1</v>
      </c>
      <c r="J1600" s="199">
        <v>1</v>
      </c>
      <c r="K1600" s="199">
        <v>1</v>
      </c>
      <c r="L1600" s="199">
        <v>50</v>
      </c>
      <c r="M1600" s="206">
        <f>TB_Parts_Lists[[#This Row],[Quantity Initial]]+ SUMIF(TB_Transactions[Part number],TB_Parts_Lists[[#This Row],[Part Number]],TB_Transactions[Quantity])</f>
        <v>50</v>
      </c>
      <c r="N1600" s="200" t="s">
        <v>4593</v>
      </c>
      <c r="O1600" s="234">
        <v>5</v>
      </c>
      <c r="P1600" s="199">
        <f>TB_Parts_Lists[[#This Row],[Quantity Initial]]*TB_Parts_Lists[[#This Row],[Unit Price AED]]</f>
        <v>250</v>
      </c>
      <c r="Q1600" s="199">
        <f>TB_Parts_Lists[[#This Row],[Quantity Total]]*TB_Parts_Lists[[#This Row],[Unit Price AED]]</f>
        <v>250</v>
      </c>
      <c r="R1600" s="205"/>
      <c r="S1600" s="199" t="s">
        <v>122</v>
      </c>
      <c r="T1600" s="199" t="s">
        <v>8696</v>
      </c>
      <c r="U1600" s="199" t="s">
        <v>292</v>
      </c>
    </row>
    <row r="1601" spans="1:21" s="199" customFormat="1" x14ac:dyDescent="0.25">
      <c r="A1601" s="193" t="s">
        <v>8151</v>
      </c>
      <c r="B1601" s="207" t="s">
        <v>3334</v>
      </c>
      <c r="C1601" s="205" t="s">
        <v>4579</v>
      </c>
      <c r="D1601" s="199" t="s">
        <v>8732</v>
      </c>
      <c r="E1601" s="188" t="s">
        <v>5853</v>
      </c>
      <c r="F1601" s="189" t="s">
        <v>6331</v>
      </c>
      <c r="G1601" s="205" t="s">
        <v>8320</v>
      </c>
      <c r="H1601" s="199" t="s">
        <v>52</v>
      </c>
      <c r="I1601" s="199">
        <v>1</v>
      </c>
      <c r="J1601" s="199">
        <v>1</v>
      </c>
      <c r="K1601" s="199">
        <v>1</v>
      </c>
      <c r="L1601" s="199">
        <v>50</v>
      </c>
      <c r="M1601" s="206">
        <f>TB_Parts_Lists[[#This Row],[Quantity Initial]]+ SUMIF(TB_Transactions[Part number],TB_Parts_Lists[[#This Row],[Part Number]],TB_Transactions[Quantity])</f>
        <v>50</v>
      </c>
      <c r="N1601" s="200" t="s">
        <v>4593</v>
      </c>
      <c r="O1601" s="234">
        <v>5</v>
      </c>
      <c r="P1601" s="199">
        <f>TB_Parts_Lists[[#This Row],[Quantity Initial]]*TB_Parts_Lists[[#This Row],[Unit Price AED]]</f>
        <v>250</v>
      </c>
      <c r="Q1601" s="199">
        <f>TB_Parts_Lists[[#This Row],[Quantity Total]]*TB_Parts_Lists[[#This Row],[Unit Price AED]]</f>
        <v>250</v>
      </c>
      <c r="R1601" s="205"/>
      <c r="S1601" s="199" t="s">
        <v>122</v>
      </c>
      <c r="T1601" s="199" t="s">
        <v>8696</v>
      </c>
      <c r="U1601" s="199" t="s">
        <v>292</v>
      </c>
    </row>
    <row r="1602" spans="1:21" s="199" customFormat="1" x14ac:dyDescent="0.25">
      <c r="A1602" s="193" t="s">
        <v>8152</v>
      </c>
      <c r="B1602" s="207" t="s">
        <v>3334</v>
      </c>
      <c r="C1602" s="205" t="s">
        <v>4579</v>
      </c>
      <c r="D1602" s="199" t="s">
        <v>8732</v>
      </c>
      <c r="E1602" s="188" t="s">
        <v>5854</v>
      </c>
      <c r="F1602" s="189" t="s">
        <v>6332</v>
      </c>
      <c r="G1602" s="205" t="s">
        <v>8320</v>
      </c>
      <c r="H1602" s="199" t="s">
        <v>52</v>
      </c>
      <c r="I1602" s="199">
        <v>1</v>
      </c>
      <c r="J1602" s="199">
        <v>1</v>
      </c>
      <c r="K1602" s="199">
        <v>1</v>
      </c>
      <c r="L1602" s="199">
        <v>50</v>
      </c>
      <c r="M1602" s="206">
        <f>TB_Parts_Lists[[#This Row],[Quantity Initial]]+ SUMIF(TB_Transactions[Part number],TB_Parts_Lists[[#This Row],[Part Number]],TB_Transactions[Quantity])</f>
        <v>50</v>
      </c>
      <c r="N1602" s="200" t="s">
        <v>4593</v>
      </c>
      <c r="O1602" s="234">
        <v>5</v>
      </c>
      <c r="P1602" s="199">
        <f>TB_Parts_Lists[[#This Row],[Quantity Initial]]*TB_Parts_Lists[[#This Row],[Unit Price AED]]</f>
        <v>250</v>
      </c>
      <c r="Q1602" s="199">
        <f>TB_Parts_Lists[[#This Row],[Quantity Total]]*TB_Parts_Lists[[#This Row],[Unit Price AED]]</f>
        <v>250</v>
      </c>
      <c r="R1602" s="205"/>
      <c r="S1602" s="199" t="s">
        <v>122</v>
      </c>
      <c r="T1602" s="199" t="s">
        <v>8696</v>
      </c>
      <c r="U1602" s="199" t="s">
        <v>292</v>
      </c>
    </row>
    <row r="1603" spans="1:21" s="199" customFormat="1" x14ac:dyDescent="0.25">
      <c r="A1603" s="193" t="s">
        <v>8153</v>
      </c>
      <c r="B1603" s="207" t="s">
        <v>3334</v>
      </c>
      <c r="C1603" s="205" t="s">
        <v>4579</v>
      </c>
      <c r="D1603" s="199" t="s">
        <v>8732</v>
      </c>
      <c r="E1603" s="188" t="s">
        <v>5855</v>
      </c>
      <c r="F1603" s="189" t="s">
        <v>6333</v>
      </c>
      <c r="G1603" s="205" t="s">
        <v>8320</v>
      </c>
      <c r="H1603" s="199" t="s">
        <v>52</v>
      </c>
      <c r="I1603" s="199">
        <v>1</v>
      </c>
      <c r="J1603" s="199">
        <v>1</v>
      </c>
      <c r="K1603" s="199">
        <v>1</v>
      </c>
      <c r="L1603" s="199">
        <v>50</v>
      </c>
      <c r="M1603" s="206">
        <f>TB_Parts_Lists[[#This Row],[Quantity Initial]]+ SUMIF(TB_Transactions[Part number],TB_Parts_Lists[[#This Row],[Part Number]],TB_Transactions[Quantity])</f>
        <v>50</v>
      </c>
      <c r="N1603" s="200" t="s">
        <v>4593</v>
      </c>
      <c r="O1603" s="234">
        <v>5</v>
      </c>
      <c r="P1603" s="199">
        <f>TB_Parts_Lists[[#This Row],[Quantity Initial]]*TB_Parts_Lists[[#This Row],[Unit Price AED]]</f>
        <v>250</v>
      </c>
      <c r="Q1603" s="199">
        <f>TB_Parts_Lists[[#This Row],[Quantity Total]]*TB_Parts_Lists[[#This Row],[Unit Price AED]]</f>
        <v>250</v>
      </c>
      <c r="R1603" s="205"/>
      <c r="S1603" s="199" t="s">
        <v>122</v>
      </c>
      <c r="T1603" s="199" t="s">
        <v>8696</v>
      </c>
      <c r="U1603" s="199" t="s">
        <v>292</v>
      </c>
    </row>
    <row r="1604" spans="1:21" s="199" customFormat="1" x14ac:dyDescent="0.25">
      <c r="A1604" s="193" t="s">
        <v>8154</v>
      </c>
      <c r="B1604" s="207" t="s">
        <v>3334</v>
      </c>
      <c r="C1604" s="205" t="s">
        <v>4579</v>
      </c>
      <c r="D1604" s="199" t="s">
        <v>8732</v>
      </c>
      <c r="E1604" s="188" t="s">
        <v>5856</v>
      </c>
      <c r="F1604" s="189" t="s">
        <v>6334</v>
      </c>
      <c r="G1604" s="205" t="s">
        <v>8320</v>
      </c>
      <c r="H1604" s="199" t="s">
        <v>52</v>
      </c>
      <c r="I1604" s="199">
        <v>1</v>
      </c>
      <c r="J1604" s="199">
        <v>1</v>
      </c>
      <c r="K1604" s="199">
        <v>1</v>
      </c>
      <c r="L1604" s="199">
        <v>50</v>
      </c>
      <c r="M1604" s="206">
        <f>TB_Parts_Lists[[#This Row],[Quantity Initial]]+ SUMIF(TB_Transactions[Part number],TB_Parts_Lists[[#This Row],[Part Number]],TB_Transactions[Quantity])</f>
        <v>50</v>
      </c>
      <c r="N1604" s="200" t="s">
        <v>4593</v>
      </c>
      <c r="O1604" s="234">
        <v>5</v>
      </c>
      <c r="P1604" s="199">
        <f>TB_Parts_Lists[[#This Row],[Quantity Initial]]*TB_Parts_Lists[[#This Row],[Unit Price AED]]</f>
        <v>250</v>
      </c>
      <c r="Q1604" s="199">
        <f>TB_Parts_Lists[[#This Row],[Quantity Total]]*TB_Parts_Lists[[#This Row],[Unit Price AED]]</f>
        <v>250</v>
      </c>
      <c r="R1604" s="205"/>
      <c r="S1604" s="199" t="s">
        <v>122</v>
      </c>
      <c r="T1604" s="199" t="s">
        <v>8696</v>
      </c>
      <c r="U1604" s="199" t="s">
        <v>292</v>
      </c>
    </row>
    <row r="1605" spans="1:21" s="199" customFormat="1" x14ac:dyDescent="0.25">
      <c r="A1605" s="193" t="s">
        <v>8155</v>
      </c>
      <c r="B1605" s="207" t="s">
        <v>3334</v>
      </c>
      <c r="C1605" s="205" t="s">
        <v>4579</v>
      </c>
      <c r="D1605" s="199" t="s">
        <v>8732</v>
      </c>
      <c r="E1605" s="188" t="s">
        <v>5857</v>
      </c>
      <c r="F1605" s="189" t="s">
        <v>6335</v>
      </c>
      <c r="G1605" s="205" t="s">
        <v>8320</v>
      </c>
      <c r="H1605" s="199" t="s">
        <v>52</v>
      </c>
      <c r="I1605" s="199">
        <v>1</v>
      </c>
      <c r="J1605" s="199">
        <v>1</v>
      </c>
      <c r="K1605" s="199">
        <v>1</v>
      </c>
      <c r="L1605" s="199">
        <v>50</v>
      </c>
      <c r="M1605" s="206">
        <f>TB_Parts_Lists[[#This Row],[Quantity Initial]]+ SUMIF(TB_Transactions[Part number],TB_Parts_Lists[[#This Row],[Part Number]],TB_Transactions[Quantity])</f>
        <v>50</v>
      </c>
      <c r="N1605" s="200" t="s">
        <v>4593</v>
      </c>
      <c r="O1605" s="234">
        <v>5</v>
      </c>
      <c r="P1605" s="199">
        <f>TB_Parts_Lists[[#This Row],[Quantity Initial]]*TB_Parts_Lists[[#This Row],[Unit Price AED]]</f>
        <v>250</v>
      </c>
      <c r="Q1605" s="199">
        <f>TB_Parts_Lists[[#This Row],[Quantity Total]]*TB_Parts_Lists[[#This Row],[Unit Price AED]]</f>
        <v>250</v>
      </c>
      <c r="R1605" s="205"/>
      <c r="S1605" s="199" t="s">
        <v>122</v>
      </c>
      <c r="T1605" s="199" t="s">
        <v>8696</v>
      </c>
      <c r="U1605" s="199" t="s">
        <v>292</v>
      </c>
    </row>
    <row r="1606" spans="1:21" s="199" customFormat="1" x14ac:dyDescent="0.25">
      <c r="A1606" s="193" t="s">
        <v>8156</v>
      </c>
      <c r="B1606" s="207" t="s">
        <v>3334</v>
      </c>
      <c r="C1606" s="205" t="s">
        <v>4579</v>
      </c>
      <c r="D1606" s="199" t="s">
        <v>8765</v>
      </c>
      <c r="E1606" s="188" t="s">
        <v>5858</v>
      </c>
      <c r="F1606" s="189" t="s">
        <v>6336</v>
      </c>
      <c r="G1606" s="205" t="s">
        <v>8320</v>
      </c>
      <c r="H1606" s="199" t="s">
        <v>52</v>
      </c>
      <c r="I1606" s="199">
        <v>1</v>
      </c>
      <c r="J1606" s="199">
        <v>1</v>
      </c>
      <c r="K1606" s="199">
        <v>1</v>
      </c>
      <c r="L1606" s="199">
        <v>50</v>
      </c>
      <c r="M1606" s="206">
        <f>TB_Parts_Lists[[#This Row],[Quantity Initial]]+ SUMIF(TB_Transactions[Part number],TB_Parts_Lists[[#This Row],[Part Number]],TB_Transactions[Quantity])</f>
        <v>50</v>
      </c>
      <c r="N1606" s="200" t="s">
        <v>4593</v>
      </c>
      <c r="O1606" s="234">
        <v>5</v>
      </c>
      <c r="P1606" s="199">
        <f>TB_Parts_Lists[[#This Row],[Quantity Initial]]*TB_Parts_Lists[[#This Row],[Unit Price AED]]</f>
        <v>250</v>
      </c>
      <c r="Q1606" s="199">
        <f>TB_Parts_Lists[[#This Row],[Quantity Total]]*TB_Parts_Lists[[#This Row],[Unit Price AED]]</f>
        <v>250</v>
      </c>
      <c r="R1606" s="205"/>
      <c r="S1606" s="199" t="s">
        <v>122</v>
      </c>
      <c r="T1606" s="199" t="s">
        <v>8696</v>
      </c>
      <c r="U1606" s="199" t="s">
        <v>292</v>
      </c>
    </row>
    <row r="1607" spans="1:21" s="199" customFormat="1" x14ac:dyDescent="0.25">
      <c r="A1607" s="193" t="s">
        <v>8157</v>
      </c>
      <c r="B1607" s="207" t="s">
        <v>3334</v>
      </c>
      <c r="C1607" s="205" t="s">
        <v>4579</v>
      </c>
      <c r="D1607" s="199" t="s">
        <v>8765</v>
      </c>
      <c r="E1607" s="188" t="s">
        <v>5859</v>
      </c>
      <c r="F1607" s="189" t="s">
        <v>6337</v>
      </c>
      <c r="G1607" s="205" t="s">
        <v>8320</v>
      </c>
      <c r="H1607" s="199" t="s">
        <v>52</v>
      </c>
      <c r="I1607" s="199">
        <v>1</v>
      </c>
      <c r="J1607" s="199">
        <v>1</v>
      </c>
      <c r="K1607" s="199">
        <v>1</v>
      </c>
      <c r="L1607" s="199">
        <v>50</v>
      </c>
      <c r="M1607" s="206">
        <f>TB_Parts_Lists[[#This Row],[Quantity Initial]]+ SUMIF(TB_Transactions[Part number],TB_Parts_Lists[[#This Row],[Part Number]],TB_Transactions[Quantity])</f>
        <v>50</v>
      </c>
      <c r="N1607" s="200" t="s">
        <v>4593</v>
      </c>
      <c r="O1607" s="234">
        <v>5</v>
      </c>
      <c r="P1607" s="199">
        <f>TB_Parts_Lists[[#This Row],[Quantity Initial]]*TB_Parts_Lists[[#This Row],[Unit Price AED]]</f>
        <v>250</v>
      </c>
      <c r="Q1607" s="199">
        <f>TB_Parts_Lists[[#This Row],[Quantity Total]]*TB_Parts_Lists[[#This Row],[Unit Price AED]]</f>
        <v>250</v>
      </c>
      <c r="R1607" s="205"/>
      <c r="S1607" s="199" t="s">
        <v>122</v>
      </c>
      <c r="T1607" s="199" t="s">
        <v>8696</v>
      </c>
      <c r="U1607" s="199" t="s">
        <v>292</v>
      </c>
    </row>
    <row r="1608" spans="1:21" s="199" customFormat="1" x14ac:dyDescent="0.25">
      <c r="A1608" s="193" t="s">
        <v>8158</v>
      </c>
      <c r="B1608" s="207" t="s">
        <v>3334</v>
      </c>
      <c r="C1608" s="205" t="s">
        <v>4579</v>
      </c>
      <c r="D1608" s="199" t="s">
        <v>8765</v>
      </c>
      <c r="E1608" s="188" t="s">
        <v>5860</v>
      </c>
      <c r="F1608" s="189" t="s">
        <v>6338</v>
      </c>
      <c r="G1608" s="205" t="s">
        <v>8320</v>
      </c>
      <c r="H1608" s="199" t="s">
        <v>52</v>
      </c>
      <c r="I1608" s="199">
        <v>1</v>
      </c>
      <c r="J1608" s="199">
        <v>1</v>
      </c>
      <c r="K1608" s="199">
        <v>1</v>
      </c>
      <c r="L1608" s="199">
        <v>50</v>
      </c>
      <c r="M1608" s="206">
        <f>TB_Parts_Lists[[#This Row],[Quantity Initial]]+ SUMIF(TB_Transactions[Part number],TB_Parts_Lists[[#This Row],[Part Number]],TB_Transactions[Quantity])</f>
        <v>50</v>
      </c>
      <c r="N1608" s="200" t="s">
        <v>4593</v>
      </c>
      <c r="O1608" s="234">
        <v>5</v>
      </c>
      <c r="P1608" s="199">
        <f>TB_Parts_Lists[[#This Row],[Quantity Initial]]*TB_Parts_Lists[[#This Row],[Unit Price AED]]</f>
        <v>250</v>
      </c>
      <c r="Q1608" s="199">
        <f>TB_Parts_Lists[[#This Row],[Quantity Total]]*TB_Parts_Lists[[#This Row],[Unit Price AED]]</f>
        <v>250</v>
      </c>
      <c r="R1608" s="205"/>
      <c r="S1608" s="199" t="s">
        <v>122</v>
      </c>
      <c r="T1608" s="199" t="s">
        <v>8696</v>
      </c>
      <c r="U1608" s="199" t="s">
        <v>292</v>
      </c>
    </row>
    <row r="1609" spans="1:21" s="199" customFormat="1" x14ac:dyDescent="0.25">
      <c r="A1609" s="193" t="s">
        <v>8159</v>
      </c>
      <c r="B1609" s="207" t="s">
        <v>3334</v>
      </c>
      <c r="C1609" s="205" t="s">
        <v>4579</v>
      </c>
      <c r="D1609" s="199" t="s">
        <v>8765</v>
      </c>
      <c r="E1609" s="188" t="s">
        <v>5861</v>
      </c>
      <c r="F1609" s="189" t="s">
        <v>6339</v>
      </c>
      <c r="G1609" s="205" t="s">
        <v>8320</v>
      </c>
      <c r="H1609" s="199" t="s">
        <v>52</v>
      </c>
      <c r="I1609" s="199">
        <v>1</v>
      </c>
      <c r="J1609" s="199">
        <v>1</v>
      </c>
      <c r="K1609" s="199">
        <v>1</v>
      </c>
      <c r="L1609" s="199">
        <v>50</v>
      </c>
      <c r="M1609" s="206">
        <f>TB_Parts_Lists[[#This Row],[Quantity Initial]]+ SUMIF(TB_Transactions[Part number],TB_Parts_Lists[[#This Row],[Part Number]],TB_Transactions[Quantity])</f>
        <v>50</v>
      </c>
      <c r="N1609" s="200" t="s">
        <v>4593</v>
      </c>
      <c r="O1609" s="234">
        <v>5</v>
      </c>
      <c r="P1609" s="199">
        <f>TB_Parts_Lists[[#This Row],[Quantity Initial]]*TB_Parts_Lists[[#This Row],[Unit Price AED]]</f>
        <v>250</v>
      </c>
      <c r="Q1609" s="199">
        <f>TB_Parts_Lists[[#This Row],[Quantity Total]]*TB_Parts_Lists[[#This Row],[Unit Price AED]]</f>
        <v>250</v>
      </c>
      <c r="R1609" s="205"/>
      <c r="S1609" s="199" t="s">
        <v>122</v>
      </c>
      <c r="T1609" s="199" t="s">
        <v>8696</v>
      </c>
      <c r="U1609" s="199" t="s">
        <v>292</v>
      </c>
    </row>
    <row r="1610" spans="1:21" s="199" customFormat="1" x14ac:dyDescent="0.25">
      <c r="A1610" s="193" t="s">
        <v>8160</v>
      </c>
      <c r="B1610" s="207" t="s">
        <v>3334</v>
      </c>
      <c r="C1610" s="205" t="s">
        <v>4579</v>
      </c>
      <c r="D1610" s="199" t="s">
        <v>8765</v>
      </c>
      <c r="E1610" s="188" t="s">
        <v>5862</v>
      </c>
      <c r="F1610" s="189" t="s">
        <v>6340</v>
      </c>
      <c r="G1610" s="205" t="s">
        <v>8320</v>
      </c>
      <c r="H1610" s="199" t="s">
        <v>52</v>
      </c>
      <c r="I1610" s="199">
        <v>1</v>
      </c>
      <c r="J1610" s="199">
        <v>1</v>
      </c>
      <c r="K1610" s="199">
        <v>1</v>
      </c>
      <c r="L1610" s="199">
        <v>50</v>
      </c>
      <c r="M1610" s="206">
        <f>TB_Parts_Lists[[#This Row],[Quantity Initial]]+ SUMIF(TB_Transactions[Part number],TB_Parts_Lists[[#This Row],[Part Number]],TB_Transactions[Quantity])</f>
        <v>50</v>
      </c>
      <c r="N1610" s="200" t="s">
        <v>4593</v>
      </c>
      <c r="O1610" s="234">
        <v>5</v>
      </c>
      <c r="P1610" s="199">
        <f>TB_Parts_Lists[[#This Row],[Quantity Initial]]*TB_Parts_Lists[[#This Row],[Unit Price AED]]</f>
        <v>250</v>
      </c>
      <c r="Q1610" s="199">
        <f>TB_Parts_Lists[[#This Row],[Quantity Total]]*TB_Parts_Lists[[#This Row],[Unit Price AED]]</f>
        <v>250</v>
      </c>
      <c r="R1610" s="205"/>
      <c r="S1610" s="199" t="s">
        <v>122</v>
      </c>
      <c r="T1610" s="199" t="s">
        <v>8696</v>
      </c>
      <c r="U1610" s="199" t="s">
        <v>292</v>
      </c>
    </row>
    <row r="1611" spans="1:21" s="199" customFormat="1" x14ac:dyDescent="0.25">
      <c r="A1611" s="193" t="s">
        <v>8161</v>
      </c>
      <c r="B1611" s="207" t="s">
        <v>3334</v>
      </c>
      <c r="C1611" s="205" t="s">
        <v>4579</v>
      </c>
      <c r="D1611" s="199" t="s">
        <v>8765</v>
      </c>
      <c r="E1611" s="188" t="s">
        <v>5863</v>
      </c>
      <c r="F1611" s="189" t="s">
        <v>6341</v>
      </c>
      <c r="G1611" s="205" t="s">
        <v>8320</v>
      </c>
      <c r="H1611" s="199" t="s">
        <v>52</v>
      </c>
      <c r="I1611" s="199">
        <v>1</v>
      </c>
      <c r="J1611" s="199">
        <v>1</v>
      </c>
      <c r="K1611" s="199">
        <v>1</v>
      </c>
      <c r="L1611" s="199">
        <v>50</v>
      </c>
      <c r="M1611" s="206">
        <f>TB_Parts_Lists[[#This Row],[Quantity Initial]]+ SUMIF(TB_Transactions[Part number],TB_Parts_Lists[[#This Row],[Part Number]],TB_Transactions[Quantity])</f>
        <v>50</v>
      </c>
      <c r="N1611" s="200" t="s">
        <v>4593</v>
      </c>
      <c r="O1611" s="234">
        <v>5</v>
      </c>
      <c r="P1611" s="199">
        <f>TB_Parts_Lists[[#This Row],[Quantity Initial]]*TB_Parts_Lists[[#This Row],[Unit Price AED]]</f>
        <v>250</v>
      </c>
      <c r="Q1611" s="199">
        <f>TB_Parts_Lists[[#This Row],[Quantity Total]]*TB_Parts_Lists[[#This Row],[Unit Price AED]]</f>
        <v>250</v>
      </c>
      <c r="R1611" s="205"/>
      <c r="S1611" s="199" t="s">
        <v>122</v>
      </c>
      <c r="T1611" s="199" t="s">
        <v>8696</v>
      </c>
      <c r="U1611" s="199" t="s">
        <v>292</v>
      </c>
    </row>
    <row r="1612" spans="1:21" s="199" customFormat="1" x14ac:dyDescent="0.25">
      <c r="A1612" s="193" t="s">
        <v>8162</v>
      </c>
      <c r="B1612" s="207" t="s">
        <v>3334</v>
      </c>
      <c r="C1612" s="205" t="s">
        <v>4579</v>
      </c>
      <c r="D1612" s="199" t="s">
        <v>8765</v>
      </c>
      <c r="E1612" s="188" t="s">
        <v>5864</v>
      </c>
      <c r="F1612" s="189" t="s">
        <v>6342</v>
      </c>
      <c r="G1612" s="205" t="s">
        <v>8320</v>
      </c>
      <c r="H1612" s="199" t="s">
        <v>52</v>
      </c>
      <c r="I1612" s="199">
        <v>1</v>
      </c>
      <c r="J1612" s="199">
        <v>1</v>
      </c>
      <c r="K1612" s="199">
        <v>1</v>
      </c>
      <c r="L1612" s="199">
        <v>50</v>
      </c>
      <c r="M1612" s="206">
        <f>TB_Parts_Lists[[#This Row],[Quantity Initial]]+ SUMIF(TB_Transactions[Part number],TB_Parts_Lists[[#This Row],[Part Number]],TB_Transactions[Quantity])</f>
        <v>50</v>
      </c>
      <c r="N1612" s="200" t="s">
        <v>4593</v>
      </c>
      <c r="O1612" s="234">
        <v>5</v>
      </c>
      <c r="P1612" s="199">
        <f>TB_Parts_Lists[[#This Row],[Quantity Initial]]*TB_Parts_Lists[[#This Row],[Unit Price AED]]</f>
        <v>250</v>
      </c>
      <c r="Q1612" s="199">
        <f>TB_Parts_Lists[[#This Row],[Quantity Total]]*TB_Parts_Lists[[#This Row],[Unit Price AED]]</f>
        <v>250</v>
      </c>
      <c r="R1612" s="205"/>
      <c r="S1612" s="199" t="s">
        <v>122</v>
      </c>
      <c r="T1612" s="199" t="s">
        <v>8696</v>
      </c>
      <c r="U1612" s="199" t="s">
        <v>292</v>
      </c>
    </row>
    <row r="1613" spans="1:21" s="199" customFormat="1" x14ac:dyDescent="0.25">
      <c r="A1613" s="193" t="s">
        <v>8163</v>
      </c>
      <c r="B1613" s="207" t="s">
        <v>3334</v>
      </c>
      <c r="C1613" s="205" t="s">
        <v>4579</v>
      </c>
      <c r="D1613" s="199" t="s">
        <v>8765</v>
      </c>
      <c r="E1613" s="188" t="s">
        <v>5865</v>
      </c>
      <c r="F1613" s="189" t="s">
        <v>6343</v>
      </c>
      <c r="G1613" s="205" t="s">
        <v>8320</v>
      </c>
      <c r="H1613" s="199" t="s">
        <v>52</v>
      </c>
      <c r="I1613" s="199">
        <v>1</v>
      </c>
      <c r="J1613" s="199">
        <v>1</v>
      </c>
      <c r="K1613" s="199">
        <v>1</v>
      </c>
      <c r="L1613" s="199">
        <v>50</v>
      </c>
      <c r="M1613" s="206">
        <f>TB_Parts_Lists[[#This Row],[Quantity Initial]]+ SUMIF(TB_Transactions[Part number],TB_Parts_Lists[[#This Row],[Part Number]],TB_Transactions[Quantity])</f>
        <v>50</v>
      </c>
      <c r="N1613" s="200" t="s">
        <v>4593</v>
      </c>
      <c r="O1613" s="234">
        <v>5</v>
      </c>
      <c r="P1613" s="199">
        <f>TB_Parts_Lists[[#This Row],[Quantity Initial]]*TB_Parts_Lists[[#This Row],[Unit Price AED]]</f>
        <v>250</v>
      </c>
      <c r="Q1613" s="199">
        <f>TB_Parts_Lists[[#This Row],[Quantity Total]]*TB_Parts_Lists[[#This Row],[Unit Price AED]]</f>
        <v>250</v>
      </c>
      <c r="R1613" s="205"/>
      <c r="S1613" s="199" t="s">
        <v>122</v>
      </c>
      <c r="T1613" s="199" t="s">
        <v>8696</v>
      </c>
      <c r="U1613" s="199" t="s">
        <v>292</v>
      </c>
    </row>
    <row r="1614" spans="1:21" s="199" customFormat="1" x14ac:dyDescent="0.25">
      <c r="A1614" s="193" t="s">
        <v>8164</v>
      </c>
      <c r="B1614" s="207" t="s">
        <v>3334</v>
      </c>
      <c r="C1614" s="205" t="s">
        <v>4579</v>
      </c>
      <c r="D1614" s="199" t="s">
        <v>8765</v>
      </c>
      <c r="E1614" s="188" t="s">
        <v>5866</v>
      </c>
      <c r="F1614" s="189" t="s">
        <v>6344</v>
      </c>
      <c r="G1614" s="205" t="s">
        <v>8320</v>
      </c>
      <c r="H1614" s="199" t="s">
        <v>52</v>
      </c>
      <c r="I1614" s="199">
        <v>1</v>
      </c>
      <c r="J1614" s="199">
        <v>1</v>
      </c>
      <c r="K1614" s="199">
        <v>1</v>
      </c>
      <c r="L1614" s="199">
        <v>50</v>
      </c>
      <c r="M1614" s="206">
        <f>TB_Parts_Lists[[#This Row],[Quantity Initial]]+ SUMIF(TB_Transactions[Part number],TB_Parts_Lists[[#This Row],[Part Number]],TB_Transactions[Quantity])</f>
        <v>50</v>
      </c>
      <c r="N1614" s="200" t="s">
        <v>4593</v>
      </c>
      <c r="O1614" s="234">
        <v>5</v>
      </c>
      <c r="P1614" s="199">
        <f>TB_Parts_Lists[[#This Row],[Quantity Initial]]*TB_Parts_Lists[[#This Row],[Unit Price AED]]</f>
        <v>250</v>
      </c>
      <c r="Q1614" s="199">
        <f>TB_Parts_Lists[[#This Row],[Quantity Total]]*TB_Parts_Lists[[#This Row],[Unit Price AED]]</f>
        <v>250</v>
      </c>
      <c r="R1614" s="205"/>
      <c r="S1614" s="199" t="s">
        <v>122</v>
      </c>
      <c r="T1614" s="199" t="s">
        <v>8696</v>
      </c>
      <c r="U1614" s="199" t="s">
        <v>292</v>
      </c>
    </row>
    <row r="1615" spans="1:21" s="199" customFormat="1" x14ac:dyDescent="0.25">
      <c r="A1615" s="193" t="s">
        <v>8165</v>
      </c>
      <c r="B1615" s="207" t="s">
        <v>3334</v>
      </c>
      <c r="C1615" s="205" t="s">
        <v>4579</v>
      </c>
      <c r="D1615" s="199" t="s">
        <v>8732</v>
      </c>
      <c r="E1615" s="188" t="s">
        <v>5867</v>
      </c>
      <c r="F1615" s="189" t="s">
        <v>6345</v>
      </c>
      <c r="G1615" s="205" t="s">
        <v>8320</v>
      </c>
      <c r="H1615" s="199" t="s">
        <v>52</v>
      </c>
      <c r="I1615" s="199">
        <v>1</v>
      </c>
      <c r="J1615" s="199">
        <v>1</v>
      </c>
      <c r="K1615" s="199">
        <v>1</v>
      </c>
      <c r="L1615" s="199">
        <v>50</v>
      </c>
      <c r="M1615" s="206">
        <f>TB_Parts_Lists[[#This Row],[Quantity Initial]]+ SUMIF(TB_Transactions[Part number],TB_Parts_Lists[[#This Row],[Part Number]],TB_Transactions[Quantity])</f>
        <v>50</v>
      </c>
      <c r="N1615" s="200" t="s">
        <v>4593</v>
      </c>
      <c r="O1615" s="234">
        <v>5</v>
      </c>
      <c r="P1615" s="199">
        <f>TB_Parts_Lists[[#This Row],[Quantity Initial]]*TB_Parts_Lists[[#This Row],[Unit Price AED]]</f>
        <v>250</v>
      </c>
      <c r="Q1615" s="199">
        <f>TB_Parts_Lists[[#This Row],[Quantity Total]]*TB_Parts_Lists[[#This Row],[Unit Price AED]]</f>
        <v>250</v>
      </c>
      <c r="R1615" s="205"/>
      <c r="S1615" s="199" t="s">
        <v>122</v>
      </c>
      <c r="T1615" s="199" t="s">
        <v>8696</v>
      </c>
      <c r="U1615" s="199" t="s">
        <v>292</v>
      </c>
    </row>
    <row r="1616" spans="1:21" s="199" customFormat="1" x14ac:dyDescent="0.25">
      <c r="A1616" s="193" t="s">
        <v>8166</v>
      </c>
      <c r="B1616" s="207" t="s">
        <v>3334</v>
      </c>
      <c r="C1616" s="205" t="s">
        <v>4579</v>
      </c>
      <c r="D1616" s="199" t="s">
        <v>8765</v>
      </c>
      <c r="E1616" s="188" t="s">
        <v>5868</v>
      </c>
      <c r="F1616" s="189" t="s">
        <v>6346</v>
      </c>
      <c r="G1616" s="205" t="s">
        <v>8320</v>
      </c>
      <c r="H1616" s="199" t="s">
        <v>52</v>
      </c>
      <c r="I1616" s="199">
        <v>1</v>
      </c>
      <c r="J1616" s="199">
        <v>1</v>
      </c>
      <c r="K1616" s="199">
        <v>1</v>
      </c>
      <c r="L1616" s="199">
        <v>50</v>
      </c>
      <c r="M1616" s="206">
        <f>TB_Parts_Lists[[#This Row],[Quantity Initial]]+ SUMIF(TB_Transactions[Part number],TB_Parts_Lists[[#This Row],[Part Number]],TB_Transactions[Quantity])</f>
        <v>50</v>
      </c>
      <c r="N1616" s="200" t="s">
        <v>4593</v>
      </c>
      <c r="O1616" s="234">
        <v>5</v>
      </c>
      <c r="P1616" s="199">
        <f>TB_Parts_Lists[[#This Row],[Quantity Initial]]*TB_Parts_Lists[[#This Row],[Unit Price AED]]</f>
        <v>250</v>
      </c>
      <c r="Q1616" s="199">
        <f>TB_Parts_Lists[[#This Row],[Quantity Total]]*TB_Parts_Lists[[#This Row],[Unit Price AED]]</f>
        <v>250</v>
      </c>
      <c r="R1616" s="205"/>
      <c r="S1616" s="199" t="s">
        <v>122</v>
      </c>
      <c r="T1616" s="199" t="s">
        <v>8696</v>
      </c>
      <c r="U1616" s="199" t="s">
        <v>292</v>
      </c>
    </row>
    <row r="1617" spans="1:21" s="199" customFormat="1" x14ac:dyDescent="0.25">
      <c r="A1617" s="193" t="s">
        <v>8167</v>
      </c>
      <c r="B1617" s="207" t="s">
        <v>3334</v>
      </c>
      <c r="C1617" s="205" t="s">
        <v>4579</v>
      </c>
      <c r="D1617" s="199" t="s">
        <v>8732</v>
      </c>
      <c r="E1617" s="188" t="s">
        <v>5869</v>
      </c>
      <c r="F1617" s="189" t="s">
        <v>6347</v>
      </c>
      <c r="G1617" s="205" t="s">
        <v>8320</v>
      </c>
      <c r="H1617" s="199" t="s">
        <v>52</v>
      </c>
      <c r="I1617" s="199">
        <v>1</v>
      </c>
      <c r="J1617" s="199">
        <v>1</v>
      </c>
      <c r="K1617" s="199">
        <v>1</v>
      </c>
      <c r="L1617" s="199">
        <v>50</v>
      </c>
      <c r="M1617" s="206">
        <f>TB_Parts_Lists[[#This Row],[Quantity Initial]]+ SUMIF(TB_Transactions[Part number],TB_Parts_Lists[[#This Row],[Part Number]],TB_Transactions[Quantity])</f>
        <v>50</v>
      </c>
      <c r="N1617" s="200" t="s">
        <v>4593</v>
      </c>
      <c r="O1617" s="234">
        <v>5</v>
      </c>
      <c r="P1617" s="199">
        <f>TB_Parts_Lists[[#This Row],[Quantity Initial]]*TB_Parts_Lists[[#This Row],[Unit Price AED]]</f>
        <v>250</v>
      </c>
      <c r="Q1617" s="199">
        <f>TB_Parts_Lists[[#This Row],[Quantity Total]]*TB_Parts_Lists[[#This Row],[Unit Price AED]]</f>
        <v>250</v>
      </c>
      <c r="R1617" s="205"/>
      <c r="S1617" s="199" t="s">
        <v>122</v>
      </c>
      <c r="T1617" s="199" t="s">
        <v>8696</v>
      </c>
      <c r="U1617" s="199" t="s">
        <v>292</v>
      </c>
    </row>
    <row r="1618" spans="1:21" s="199" customFormat="1" x14ac:dyDescent="0.25">
      <c r="A1618" s="193" t="s">
        <v>8168</v>
      </c>
      <c r="B1618" s="207" t="s">
        <v>3334</v>
      </c>
      <c r="C1618" s="205" t="s">
        <v>4579</v>
      </c>
      <c r="D1618" s="199" t="s">
        <v>8765</v>
      </c>
      <c r="E1618" s="188" t="s">
        <v>5870</v>
      </c>
      <c r="F1618" s="189" t="s">
        <v>6348</v>
      </c>
      <c r="G1618" s="205" t="s">
        <v>8320</v>
      </c>
      <c r="H1618" s="199" t="s">
        <v>52</v>
      </c>
      <c r="I1618" s="199">
        <v>1</v>
      </c>
      <c r="J1618" s="199">
        <v>1</v>
      </c>
      <c r="K1618" s="199">
        <v>1</v>
      </c>
      <c r="L1618" s="199">
        <v>50</v>
      </c>
      <c r="M1618" s="206">
        <f>TB_Parts_Lists[[#This Row],[Quantity Initial]]+ SUMIF(TB_Transactions[Part number],TB_Parts_Lists[[#This Row],[Part Number]],TB_Transactions[Quantity])</f>
        <v>50</v>
      </c>
      <c r="N1618" s="200" t="s">
        <v>4593</v>
      </c>
      <c r="O1618" s="234">
        <v>5</v>
      </c>
      <c r="P1618" s="199">
        <f>TB_Parts_Lists[[#This Row],[Quantity Initial]]*TB_Parts_Lists[[#This Row],[Unit Price AED]]</f>
        <v>250</v>
      </c>
      <c r="Q1618" s="199">
        <f>TB_Parts_Lists[[#This Row],[Quantity Total]]*TB_Parts_Lists[[#This Row],[Unit Price AED]]</f>
        <v>250</v>
      </c>
      <c r="R1618" s="205"/>
      <c r="S1618" s="199" t="s">
        <v>122</v>
      </c>
      <c r="T1618" s="199" t="s">
        <v>8696</v>
      </c>
      <c r="U1618" s="199" t="s">
        <v>292</v>
      </c>
    </row>
    <row r="1619" spans="1:21" s="199" customFormat="1" x14ac:dyDescent="0.25">
      <c r="A1619" s="193" t="s">
        <v>8169</v>
      </c>
      <c r="B1619" s="207" t="s">
        <v>3334</v>
      </c>
      <c r="C1619" s="205" t="s">
        <v>4579</v>
      </c>
      <c r="D1619" s="199" t="s">
        <v>8765</v>
      </c>
      <c r="E1619" s="188" t="s">
        <v>5871</v>
      </c>
      <c r="F1619" s="189" t="s">
        <v>6349</v>
      </c>
      <c r="G1619" s="205" t="s">
        <v>8320</v>
      </c>
      <c r="H1619" s="199" t="s">
        <v>52</v>
      </c>
      <c r="I1619" s="199">
        <v>1</v>
      </c>
      <c r="J1619" s="199">
        <v>1</v>
      </c>
      <c r="K1619" s="199">
        <v>1</v>
      </c>
      <c r="L1619" s="199">
        <v>50</v>
      </c>
      <c r="M1619" s="206">
        <f>TB_Parts_Lists[[#This Row],[Quantity Initial]]+ SUMIF(TB_Transactions[Part number],TB_Parts_Lists[[#This Row],[Part Number]],TB_Transactions[Quantity])</f>
        <v>50</v>
      </c>
      <c r="N1619" s="200" t="s">
        <v>4593</v>
      </c>
      <c r="O1619" s="234">
        <v>5</v>
      </c>
      <c r="P1619" s="199">
        <f>TB_Parts_Lists[[#This Row],[Quantity Initial]]*TB_Parts_Lists[[#This Row],[Unit Price AED]]</f>
        <v>250</v>
      </c>
      <c r="Q1619" s="199">
        <f>TB_Parts_Lists[[#This Row],[Quantity Total]]*TB_Parts_Lists[[#This Row],[Unit Price AED]]</f>
        <v>250</v>
      </c>
      <c r="R1619" s="205"/>
      <c r="S1619" s="199" t="s">
        <v>122</v>
      </c>
      <c r="T1619" s="199" t="s">
        <v>8696</v>
      </c>
      <c r="U1619" s="199" t="s">
        <v>292</v>
      </c>
    </row>
    <row r="1620" spans="1:21" s="199" customFormat="1" x14ac:dyDescent="0.25">
      <c r="A1620" s="193" t="s">
        <v>8170</v>
      </c>
      <c r="B1620" s="207" t="s">
        <v>3334</v>
      </c>
      <c r="C1620" s="205" t="s">
        <v>4579</v>
      </c>
      <c r="D1620" s="199" t="s">
        <v>8765</v>
      </c>
      <c r="E1620" s="188" t="s">
        <v>5872</v>
      </c>
      <c r="F1620" s="189" t="s">
        <v>6350</v>
      </c>
      <c r="G1620" s="205" t="s">
        <v>8320</v>
      </c>
      <c r="H1620" s="199" t="s">
        <v>52</v>
      </c>
      <c r="I1620" s="199">
        <v>1</v>
      </c>
      <c r="J1620" s="199">
        <v>1</v>
      </c>
      <c r="K1620" s="199">
        <v>1</v>
      </c>
      <c r="L1620" s="199">
        <v>50</v>
      </c>
      <c r="M1620" s="206">
        <f>TB_Parts_Lists[[#This Row],[Quantity Initial]]+ SUMIF(TB_Transactions[Part number],TB_Parts_Lists[[#This Row],[Part Number]],TB_Transactions[Quantity])</f>
        <v>50</v>
      </c>
      <c r="N1620" s="200" t="s">
        <v>4593</v>
      </c>
      <c r="O1620" s="234">
        <v>5</v>
      </c>
      <c r="P1620" s="199">
        <f>TB_Parts_Lists[[#This Row],[Quantity Initial]]*TB_Parts_Lists[[#This Row],[Unit Price AED]]</f>
        <v>250</v>
      </c>
      <c r="Q1620" s="199">
        <f>TB_Parts_Lists[[#This Row],[Quantity Total]]*TB_Parts_Lists[[#This Row],[Unit Price AED]]</f>
        <v>250</v>
      </c>
      <c r="R1620" s="205"/>
      <c r="S1620" s="199" t="s">
        <v>122</v>
      </c>
      <c r="T1620" s="199" t="s">
        <v>8696</v>
      </c>
      <c r="U1620" s="199" t="s">
        <v>292</v>
      </c>
    </row>
    <row r="1621" spans="1:21" s="199" customFormat="1" x14ac:dyDescent="0.25">
      <c r="A1621" s="193" t="s">
        <v>8171</v>
      </c>
      <c r="B1621" s="207" t="s">
        <v>3334</v>
      </c>
      <c r="C1621" s="205" t="s">
        <v>4579</v>
      </c>
      <c r="D1621" s="199" t="s">
        <v>8765</v>
      </c>
      <c r="E1621" s="188" t="s">
        <v>5873</v>
      </c>
      <c r="F1621" s="189" t="s">
        <v>6351</v>
      </c>
      <c r="G1621" s="205" t="s">
        <v>8320</v>
      </c>
      <c r="H1621" s="199" t="s">
        <v>52</v>
      </c>
      <c r="I1621" s="199">
        <v>1</v>
      </c>
      <c r="J1621" s="199">
        <v>1</v>
      </c>
      <c r="K1621" s="199">
        <v>1</v>
      </c>
      <c r="L1621" s="199">
        <v>50</v>
      </c>
      <c r="M1621" s="206">
        <f>TB_Parts_Lists[[#This Row],[Quantity Initial]]+ SUMIF(TB_Transactions[Part number],TB_Parts_Lists[[#This Row],[Part Number]],TB_Transactions[Quantity])</f>
        <v>50</v>
      </c>
      <c r="N1621" s="200" t="s">
        <v>4593</v>
      </c>
      <c r="O1621" s="234">
        <v>5</v>
      </c>
      <c r="P1621" s="199">
        <f>TB_Parts_Lists[[#This Row],[Quantity Initial]]*TB_Parts_Lists[[#This Row],[Unit Price AED]]</f>
        <v>250</v>
      </c>
      <c r="Q1621" s="199">
        <f>TB_Parts_Lists[[#This Row],[Quantity Total]]*TB_Parts_Lists[[#This Row],[Unit Price AED]]</f>
        <v>250</v>
      </c>
      <c r="R1621" s="205"/>
      <c r="S1621" s="199" t="s">
        <v>122</v>
      </c>
      <c r="T1621" s="199" t="s">
        <v>8696</v>
      </c>
      <c r="U1621" s="199" t="s">
        <v>292</v>
      </c>
    </row>
    <row r="1622" spans="1:21" s="199" customFormat="1" x14ac:dyDescent="0.25">
      <c r="A1622" s="193" t="s">
        <v>8172</v>
      </c>
      <c r="B1622" s="207" t="s">
        <v>3334</v>
      </c>
      <c r="C1622" s="205" t="s">
        <v>4579</v>
      </c>
      <c r="D1622" s="199" t="s">
        <v>8765</v>
      </c>
      <c r="E1622" s="188" t="s">
        <v>5874</v>
      </c>
      <c r="F1622" s="189" t="s">
        <v>6352</v>
      </c>
      <c r="G1622" s="205" t="s">
        <v>8320</v>
      </c>
      <c r="H1622" s="199" t="s">
        <v>52</v>
      </c>
      <c r="I1622" s="199">
        <v>1</v>
      </c>
      <c r="J1622" s="199">
        <v>1</v>
      </c>
      <c r="K1622" s="199">
        <v>1</v>
      </c>
      <c r="L1622" s="199">
        <v>50</v>
      </c>
      <c r="M1622" s="206">
        <f>TB_Parts_Lists[[#This Row],[Quantity Initial]]+ SUMIF(TB_Transactions[Part number],TB_Parts_Lists[[#This Row],[Part Number]],TB_Transactions[Quantity])</f>
        <v>50</v>
      </c>
      <c r="N1622" s="200" t="s">
        <v>4593</v>
      </c>
      <c r="O1622" s="234">
        <v>5</v>
      </c>
      <c r="P1622" s="199">
        <f>TB_Parts_Lists[[#This Row],[Quantity Initial]]*TB_Parts_Lists[[#This Row],[Unit Price AED]]</f>
        <v>250</v>
      </c>
      <c r="Q1622" s="199">
        <f>TB_Parts_Lists[[#This Row],[Quantity Total]]*TB_Parts_Lists[[#This Row],[Unit Price AED]]</f>
        <v>250</v>
      </c>
      <c r="R1622" s="205"/>
      <c r="S1622" s="199" t="s">
        <v>122</v>
      </c>
      <c r="T1622" s="199" t="s">
        <v>8696</v>
      </c>
      <c r="U1622" s="199" t="s">
        <v>292</v>
      </c>
    </row>
    <row r="1623" spans="1:21" s="199" customFormat="1" x14ac:dyDescent="0.25">
      <c r="A1623" s="193" t="s">
        <v>8173</v>
      </c>
      <c r="B1623" s="207" t="s">
        <v>3334</v>
      </c>
      <c r="C1623" s="205" t="s">
        <v>4579</v>
      </c>
      <c r="D1623" s="199" t="s">
        <v>8765</v>
      </c>
      <c r="E1623" s="188" t="s">
        <v>5875</v>
      </c>
      <c r="F1623" s="189" t="s">
        <v>6353</v>
      </c>
      <c r="G1623" s="205" t="s">
        <v>8320</v>
      </c>
      <c r="H1623" s="199" t="s">
        <v>52</v>
      </c>
      <c r="I1623" s="199">
        <v>1</v>
      </c>
      <c r="J1623" s="199">
        <v>1</v>
      </c>
      <c r="K1623" s="199">
        <v>1</v>
      </c>
      <c r="L1623" s="199">
        <v>50</v>
      </c>
      <c r="M1623" s="206">
        <f>TB_Parts_Lists[[#This Row],[Quantity Initial]]+ SUMIF(TB_Transactions[Part number],TB_Parts_Lists[[#This Row],[Part Number]],TB_Transactions[Quantity])</f>
        <v>50</v>
      </c>
      <c r="N1623" s="200" t="s">
        <v>4593</v>
      </c>
      <c r="O1623" s="234">
        <v>5</v>
      </c>
      <c r="P1623" s="199">
        <f>TB_Parts_Lists[[#This Row],[Quantity Initial]]*TB_Parts_Lists[[#This Row],[Unit Price AED]]</f>
        <v>250</v>
      </c>
      <c r="Q1623" s="199">
        <f>TB_Parts_Lists[[#This Row],[Quantity Total]]*TB_Parts_Lists[[#This Row],[Unit Price AED]]</f>
        <v>250</v>
      </c>
      <c r="R1623" s="205"/>
      <c r="S1623" s="199" t="s">
        <v>122</v>
      </c>
      <c r="T1623" s="199" t="s">
        <v>8696</v>
      </c>
      <c r="U1623" s="199" t="s">
        <v>292</v>
      </c>
    </row>
    <row r="1624" spans="1:21" s="199" customFormat="1" x14ac:dyDescent="0.25">
      <c r="A1624" s="193" t="s">
        <v>8174</v>
      </c>
      <c r="B1624" s="207" t="s">
        <v>3334</v>
      </c>
      <c r="C1624" s="205" t="s">
        <v>4579</v>
      </c>
      <c r="D1624" s="199" t="s">
        <v>8765</v>
      </c>
      <c r="E1624" s="188" t="s">
        <v>5876</v>
      </c>
      <c r="F1624" s="189" t="s">
        <v>6354</v>
      </c>
      <c r="G1624" s="205" t="s">
        <v>8320</v>
      </c>
      <c r="H1624" s="199" t="s">
        <v>52</v>
      </c>
      <c r="I1624" s="199">
        <v>1</v>
      </c>
      <c r="J1624" s="199">
        <v>1</v>
      </c>
      <c r="K1624" s="199">
        <v>1</v>
      </c>
      <c r="L1624" s="199">
        <v>50</v>
      </c>
      <c r="M1624" s="206">
        <f>TB_Parts_Lists[[#This Row],[Quantity Initial]]+ SUMIF(TB_Transactions[Part number],TB_Parts_Lists[[#This Row],[Part Number]],TB_Transactions[Quantity])</f>
        <v>50</v>
      </c>
      <c r="N1624" s="200" t="s">
        <v>4593</v>
      </c>
      <c r="O1624" s="234">
        <v>5</v>
      </c>
      <c r="P1624" s="199">
        <f>TB_Parts_Lists[[#This Row],[Quantity Initial]]*TB_Parts_Lists[[#This Row],[Unit Price AED]]</f>
        <v>250</v>
      </c>
      <c r="Q1624" s="199">
        <f>TB_Parts_Lists[[#This Row],[Quantity Total]]*TB_Parts_Lists[[#This Row],[Unit Price AED]]</f>
        <v>250</v>
      </c>
      <c r="R1624" s="205"/>
      <c r="S1624" s="199" t="s">
        <v>122</v>
      </c>
      <c r="T1624" s="199" t="s">
        <v>8696</v>
      </c>
      <c r="U1624" s="199" t="s">
        <v>292</v>
      </c>
    </row>
    <row r="1625" spans="1:21" s="199" customFormat="1" x14ac:dyDescent="0.25">
      <c r="A1625" s="193" t="s">
        <v>8175</v>
      </c>
      <c r="B1625" s="207" t="s">
        <v>3334</v>
      </c>
      <c r="C1625" s="205" t="s">
        <v>4579</v>
      </c>
      <c r="D1625" s="199" t="s">
        <v>8765</v>
      </c>
      <c r="E1625" s="188" t="s">
        <v>5877</v>
      </c>
      <c r="F1625" s="189" t="s">
        <v>6355</v>
      </c>
      <c r="G1625" s="205" t="s">
        <v>8320</v>
      </c>
      <c r="H1625" s="199" t="s">
        <v>52</v>
      </c>
      <c r="I1625" s="199">
        <v>1</v>
      </c>
      <c r="J1625" s="199">
        <v>1</v>
      </c>
      <c r="K1625" s="199">
        <v>1</v>
      </c>
      <c r="L1625" s="199">
        <v>50</v>
      </c>
      <c r="M1625" s="206">
        <f>TB_Parts_Lists[[#This Row],[Quantity Initial]]+ SUMIF(TB_Transactions[Part number],TB_Parts_Lists[[#This Row],[Part Number]],TB_Transactions[Quantity])</f>
        <v>50</v>
      </c>
      <c r="N1625" s="200" t="s">
        <v>4593</v>
      </c>
      <c r="O1625" s="234">
        <v>5</v>
      </c>
      <c r="P1625" s="199">
        <f>TB_Parts_Lists[[#This Row],[Quantity Initial]]*TB_Parts_Lists[[#This Row],[Unit Price AED]]</f>
        <v>250</v>
      </c>
      <c r="Q1625" s="199">
        <f>TB_Parts_Lists[[#This Row],[Quantity Total]]*TB_Parts_Lists[[#This Row],[Unit Price AED]]</f>
        <v>250</v>
      </c>
      <c r="R1625" s="205"/>
      <c r="S1625" s="199" t="s">
        <v>122</v>
      </c>
      <c r="T1625" s="199" t="s">
        <v>8696</v>
      </c>
      <c r="U1625" s="199" t="s">
        <v>292</v>
      </c>
    </row>
    <row r="1626" spans="1:21" s="199" customFormat="1" x14ac:dyDescent="0.25">
      <c r="A1626" s="193" t="s">
        <v>8176</v>
      </c>
      <c r="B1626" s="207" t="s">
        <v>3334</v>
      </c>
      <c r="C1626" s="205" t="s">
        <v>4579</v>
      </c>
      <c r="D1626" s="199" t="s">
        <v>8765</v>
      </c>
      <c r="E1626" s="188" t="s">
        <v>5878</v>
      </c>
      <c r="F1626" s="189" t="s">
        <v>6356</v>
      </c>
      <c r="G1626" s="205" t="s">
        <v>8320</v>
      </c>
      <c r="H1626" s="199" t="s">
        <v>52</v>
      </c>
      <c r="I1626" s="199">
        <v>1</v>
      </c>
      <c r="J1626" s="199">
        <v>1</v>
      </c>
      <c r="K1626" s="199">
        <v>1</v>
      </c>
      <c r="L1626" s="199">
        <v>50</v>
      </c>
      <c r="M1626" s="206">
        <f>TB_Parts_Lists[[#This Row],[Quantity Initial]]+ SUMIF(TB_Transactions[Part number],TB_Parts_Lists[[#This Row],[Part Number]],TB_Transactions[Quantity])</f>
        <v>50</v>
      </c>
      <c r="N1626" s="200" t="s">
        <v>4593</v>
      </c>
      <c r="O1626" s="234">
        <v>5</v>
      </c>
      <c r="P1626" s="199">
        <f>TB_Parts_Lists[[#This Row],[Quantity Initial]]*TB_Parts_Lists[[#This Row],[Unit Price AED]]</f>
        <v>250</v>
      </c>
      <c r="Q1626" s="199">
        <f>TB_Parts_Lists[[#This Row],[Quantity Total]]*TB_Parts_Lists[[#This Row],[Unit Price AED]]</f>
        <v>250</v>
      </c>
      <c r="R1626" s="205"/>
      <c r="S1626" s="199" t="s">
        <v>122</v>
      </c>
      <c r="T1626" s="199" t="s">
        <v>8696</v>
      </c>
      <c r="U1626" s="199" t="s">
        <v>292</v>
      </c>
    </row>
    <row r="1627" spans="1:21" s="199" customFormat="1" x14ac:dyDescent="0.25">
      <c r="A1627" s="193" t="s">
        <v>8177</v>
      </c>
      <c r="B1627" s="207" t="s">
        <v>3334</v>
      </c>
      <c r="C1627" s="205" t="s">
        <v>4577</v>
      </c>
      <c r="D1627" s="199" t="s">
        <v>8723</v>
      </c>
      <c r="E1627" s="188" t="s">
        <v>5879</v>
      </c>
      <c r="F1627" s="189" t="s">
        <v>6357</v>
      </c>
      <c r="G1627" s="205" t="s">
        <v>8321</v>
      </c>
      <c r="H1627" s="199" t="s">
        <v>8638</v>
      </c>
      <c r="I1627" s="199">
        <v>1</v>
      </c>
      <c r="J1627" s="199">
        <v>1</v>
      </c>
      <c r="K1627" s="199">
        <v>1</v>
      </c>
      <c r="L1627" s="199">
        <v>50</v>
      </c>
      <c r="M1627" s="206">
        <f>TB_Parts_Lists[[#This Row],[Quantity Initial]]+ SUMIF(TB_Transactions[Part number],TB_Parts_Lists[[#This Row],[Part Number]],TB_Transactions[Quantity])</f>
        <v>50</v>
      </c>
      <c r="N1627" s="200" t="s">
        <v>4593</v>
      </c>
      <c r="O1627" s="234">
        <v>5</v>
      </c>
      <c r="P1627" s="199">
        <f>TB_Parts_Lists[[#This Row],[Quantity Initial]]*TB_Parts_Lists[[#This Row],[Unit Price AED]]</f>
        <v>250</v>
      </c>
      <c r="Q1627" s="199">
        <f>TB_Parts_Lists[[#This Row],[Quantity Total]]*TB_Parts_Lists[[#This Row],[Unit Price AED]]</f>
        <v>250</v>
      </c>
      <c r="R1627" s="205"/>
      <c r="S1627" s="199" t="s">
        <v>122</v>
      </c>
      <c r="T1627" s="199" t="s">
        <v>277</v>
      </c>
      <c r="U1627" s="199" t="s">
        <v>276</v>
      </c>
    </row>
    <row r="1628" spans="1:21" s="199" customFormat="1" x14ac:dyDescent="0.25">
      <c r="A1628" s="193" t="s">
        <v>8178</v>
      </c>
      <c r="B1628" s="207" t="s">
        <v>3334</v>
      </c>
      <c r="C1628" s="205" t="s">
        <v>4577</v>
      </c>
      <c r="D1628" s="199" t="s">
        <v>8723</v>
      </c>
      <c r="E1628" s="188" t="s">
        <v>5880</v>
      </c>
      <c r="F1628" s="189" t="s">
        <v>6358</v>
      </c>
      <c r="G1628" s="205" t="s">
        <v>8321</v>
      </c>
      <c r="H1628" s="199" t="s">
        <v>8638</v>
      </c>
      <c r="I1628" s="199">
        <v>1</v>
      </c>
      <c r="J1628" s="199">
        <v>1</v>
      </c>
      <c r="K1628" s="199">
        <v>1</v>
      </c>
      <c r="L1628" s="199">
        <v>50</v>
      </c>
      <c r="M1628" s="206">
        <f>TB_Parts_Lists[[#This Row],[Quantity Initial]]+ SUMIF(TB_Transactions[Part number],TB_Parts_Lists[[#This Row],[Part Number]],TB_Transactions[Quantity])</f>
        <v>50</v>
      </c>
      <c r="N1628" s="200" t="s">
        <v>4593</v>
      </c>
      <c r="O1628" s="234">
        <v>5</v>
      </c>
      <c r="P1628" s="199">
        <f>TB_Parts_Lists[[#This Row],[Quantity Initial]]*TB_Parts_Lists[[#This Row],[Unit Price AED]]</f>
        <v>250</v>
      </c>
      <c r="Q1628" s="199">
        <f>TB_Parts_Lists[[#This Row],[Quantity Total]]*TB_Parts_Lists[[#This Row],[Unit Price AED]]</f>
        <v>250</v>
      </c>
      <c r="R1628" s="205"/>
      <c r="S1628" s="199" t="s">
        <v>122</v>
      </c>
      <c r="T1628" s="199" t="s">
        <v>277</v>
      </c>
      <c r="U1628" s="199" t="s">
        <v>276</v>
      </c>
    </row>
    <row r="1629" spans="1:21" s="199" customFormat="1" x14ac:dyDescent="0.25">
      <c r="A1629" s="193" t="s">
        <v>8179</v>
      </c>
      <c r="B1629" s="207" t="s">
        <v>3334</v>
      </c>
      <c r="C1629" s="205" t="s">
        <v>4577</v>
      </c>
      <c r="D1629" s="199" t="s">
        <v>8723</v>
      </c>
      <c r="E1629" s="188" t="s">
        <v>5881</v>
      </c>
      <c r="F1629" s="189" t="s">
        <v>6359</v>
      </c>
      <c r="G1629" s="205" t="s">
        <v>8321</v>
      </c>
      <c r="H1629" s="199" t="s">
        <v>8638</v>
      </c>
      <c r="I1629" s="199">
        <v>1</v>
      </c>
      <c r="J1629" s="199">
        <v>1</v>
      </c>
      <c r="K1629" s="199">
        <v>1</v>
      </c>
      <c r="L1629" s="199">
        <v>50</v>
      </c>
      <c r="M1629" s="206">
        <f>TB_Parts_Lists[[#This Row],[Quantity Initial]]+ SUMIF(TB_Transactions[Part number],TB_Parts_Lists[[#This Row],[Part Number]],TB_Transactions[Quantity])</f>
        <v>50</v>
      </c>
      <c r="N1629" s="200" t="s">
        <v>4593</v>
      </c>
      <c r="O1629" s="234">
        <v>5</v>
      </c>
      <c r="P1629" s="199">
        <f>TB_Parts_Lists[[#This Row],[Quantity Initial]]*TB_Parts_Lists[[#This Row],[Unit Price AED]]</f>
        <v>250</v>
      </c>
      <c r="Q1629" s="199">
        <f>TB_Parts_Lists[[#This Row],[Quantity Total]]*TB_Parts_Lists[[#This Row],[Unit Price AED]]</f>
        <v>250</v>
      </c>
      <c r="R1629" s="205"/>
      <c r="S1629" s="199" t="s">
        <v>122</v>
      </c>
      <c r="T1629" s="199" t="s">
        <v>277</v>
      </c>
      <c r="U1629" s="199" t="s">
        <v>276</v>
      </c>
    </row>
    <row r="1630" spans="1:21" s="199" customFormat="1" x14ac:dyDescent="0.25">
      <c r="A1630" s="193" t="s">
        <v>8180</v>
      </c>
      <c r="B1630" s="207" t="s">
        <v>3334</v>
      </c>
      <c r="C1630" s="205" t="s">
        <v>4577</v>
      </c>
      <c r="D1630" s="199" t="s">
        <v>8723</v>
      </c>
      <c r="E1630" s="188" t="s">
        <v>5882</v>
      </c>
      <c r="F1630" s="189" t="s">
        <v>6360</v>
      </c>
      <c r="G1630" s="205" t="s">
        <v>8321</v>
      </c>
      <c r="H1630" s="199" t="s">
        <v>8638</v>
      </c>
      <c r="I1630" s="199">
        <v>1</v>
      </c>
      <c r="J1630" s="199">
        <v>1</v>
      </c>
      <c r="K1630" s="199">
        <v>1</v>
      </c>
      <c r="L1630" s="199">
        <v>50</v>
      </c>
      <c r="M1630" s="206">
        <f>TB_Parts_Lists[[#This Row],[Quantity Initial]]+ SUMIF(TB_Transactions[Part number],TB_Parts_Lists[[#This Row],[Part Number]],TB_Transactions[Quantity])</f>
        <v>50</v>
      </c>
      <c r="N1630" s="200" t="s">
        <v>4593</v>
      </c>
      <c r="O1630" s="234">
        <v>5</v>
      </c>
      <c r="P1630" s="199">
        <f>TB_Parts_Lists[[#This Row],[Quantity Initial]]*TB_Parts_Lists[[#This Row],[Unit Price AED]]</f>
        <v>250</v>
      </c>
      <c r="Q1630" s="199">
        <f>TB_Parts_Lists[[#This Row],[Quantity Total]]*TB_Parts_Lists[[#This Row],[Unit Price AED]]</f>
        <v>250</v>
      </c>
      <c r="R1630" s="205"/>
      <c r="S1630" s="199" t="s">
        <v>122</v>
      </c>
      <c r="T1630" s="199" t="s">
        <v>277</v>
      </c>
      <c r="U1630" s="199" t="s">
        <v>276</v>
      </c>
    </row>
    <row r="1631" spans="1:21" x14ac:dyDescent="0.25">
      <c r="A1631" s="194" t="s">
        <v>8181</v>
      </c>
      <c r="B1631" s="207" t="s">
        <v>3334</v>
      </c>
      <c r="C1631" s="205" t="s">
        <v>4577</v>
      </c>
      <c r="D1631" s="199" t="s">
        <v>8723</v>
      </c>
      <c r="E1631" s="188" t="s">
        <v>5883</v>
      </c>
      <c r="F1631" s="189" t="s">
        <v>6361</v>
      </c>
      <c r="G1631" s="205" t="s">
        <v>8321</v>
      </c>
      <c r="H1631" s="199" t="s">
        <v>8638</v>
      </c>
      <c r="I1631" s="199">
        <v>1</v>
      </c>
      <c r="J1631" s="199">
        <v>1</v>
      </c>
      <c r="K1631" s="199">
        <v>1</v>
      </c>
      <c r="L1631" s="199">
        <v>50</v>
      </c>
      <c r="M1631" s="215">
        <f>TB_Parts_Lists[[#This Row],[Quantity Initial]]+ SUMIF(TB_Transactions[Part number],TB_Parts_Lists[[#This Row],[Part Number]],TB_Transactions[Quantity])</f>
        <v>50</v>
      </c>
      <c r="N1631" s="200" t="s">
        <v>4593</v>
      </c>
      <c r="O1631" s="234">
        <v>5</v>
      </c>
      <c r="P1631" s="199">
        <f>TB_Parts_Lists[[#This Row],[Quantity Initial]]*TB_Parts_Lists[[#This Row],[Unit Price AED]]</f>
        <v>250</v>
      </c>
      <c r="Q1631" s="199">
        <f>TB_Parts_Lists[[#This Row],[Quantity Total]]*TB_Parts_Lists[[#This Row],[Unit Price AED]]</f>
        <v>250</v>
      </c>
      <c r="R1631" s="213"/>
      <c r="S1631" s="199" t="s">
        <v>122</v>
      </c>
      <c r="T1631" s="199" t="s">
        <v>277</v>
      </c>
      <c r="U1631" s="199" t="s">
        <v>276</v>
      </c>
    </row>
    <row r="1632" spans="1:21" x14ac:dyDescent="0.25">
      <c r="A1632" s="194" t="s">
        <v>8182</v>
      </c>
      <c r="B1632" s="207" t="s">
        <v>3334</v>
      </c>
      <c r="C1632" s="205" t="s">
        <v>4577</v>
      </c>
      <c r="D1632" s="199" t="s">
        <v>8723</v>
      </c>
      <c r="E1632" s="188" t="s">
        <v>5884</v>
      </c>
      <c r="F1632" s="189" t="s">
        <v>6362</v>
      </c>
      <c r="G1632" s="205" t="s">
        <v>8321</v>
      </c>
      <c r="H1632" s="199" t="s">
        <v>8638</v>
      </c>
      <c r="I1632" s="199">
        <v>1</v>
      </c>
      <c r="J1632" s="199">
        <v>1</v>
      </c>
      <c r="K1632" s="199">
        <v>1</v>
      </c>
      <c r="L1632" s="199">
        <v>50</v>
      </c>
      <c r="M1632" s="215">
        <f>TB_Parts_Lists[[#This Row],[Quantity Initial]]+ SUMIF(TB_Transactions[Part number],TB_Parts_Lists[[#This Row],[Part Number]],TB_Transactions[Quantity])</f>
        <v>50</v>
      </c>
      <c r="N1632" s="200" t="s">
        <v>4593</v>
      </c>
      <c r="O1632" s="234">
        <v>5</v>
      </c>
      <c r="P1632" s="199">
        <f>TB_Parts_Lists[[#This Row],[Quantity Initial]]*TB_Parts_Lists[[#This Row],[Unit Price AED]]</f>
        <v>250</v>
      </c>
      <c r="Q1632" s="199">
        <f>TB_Parts_Lists[[#This Row],[Quantity Total]]*TB_Parts_Lists[[#This Row],[Unit Price AED]]</f>
        <v>250</v>
      </c>
      <c r="R1632" s="213"/>
      <c r="S1632" s="199" t="s">
        <v>122</v>
      </c>
      <c r="T1632" s="199" t="s">
        <v>277</v>
      </c>
      <c r="U1632" s="199" t="s">
        <v>276</v>
      </c>
    </row>
    <row r="1633" spans="1:21" x14ac:dyDescent="0.25">
      <c r="A1633" s="194" t="s">
        <v>8183</v>
      </c>
      <c r="B1633" s="207" t="s">
        <v>3334</v>
      </c>
      <c r="C1633" s="205" t="s">
        <v>4577</v>
      </c>
      <c r="D1633" s="199" t="s">
        <v>8723</v>
      </c>
      <c r="E1633" s="188" t="s">
        <v>5885</v>
      </c>
      <c r="F1633" s="189" t="s">
        <v>6363</v>
      </c>
      <c r="G1633" s="205" t="s">
        <v>8321</v>
      </c>
      <c r="H1633" s="199" t="s">
        <v>8638</v>
      </c>
      <c r="I1633" s="199">
        <v>1</v>
      </c>
      <c r="J1633" s="199">
        <v>1</v>
      </c>
      <c r="K1633" s="199">
        <v>1</v>
      </c>
      <c r="L1633" s="199">
        <v>50</v>
      </c>
      <c r="M1633" s="215">
        <f>TB_Parts_Lists[[#This Row],[Quantity Initial]]+ SUMIF(TB_Transactions[Part number],TB_Parts_Lists[[#This Row],[Part Number]],TB_Transactions[Quantity])</f>
        <v>50</v>
      </c>
      <c r="N1633" s="200" t="s">
        <v>4593</v>
      </c>
      <c r="O1633" s="234">
        <v>5</v>
      </c>
      <c r="P1633" s="199">
        <f>TB_Parts_Lists[[#This Row],[Quantity Initial]]*TB_Parts_Lists[[#This Row],[Unit Price AED]]</f>
        <v>250</v>
      </c>
      <c r="Q1633" s="199">
        <f>TB_Parts_Lists[[#This Row],[Quantity Total]]*TB_Parts_Lists[[#This Row],[Unit Price AED]]</f>
        <v>250</v>
      </c>
      <c r="R1633" s="213"/>
      <c r="S1633" s="199" t="s">
        <v>122</v>
      </c>
      <c r="T1633" s="199" t="s">
        <v>277</v>
      </c>
      <c r="U1633" s="199" t="s">
        <v>276</v>
      </c>
    </row>
    <row r="1634" spans="1:21" x14ac:dyDescent="0.25">
      <c r="A1634" s="194" t="s">
        <v>8184</v>
      </c>
      <c r="B1634" s="207" t="s">
        <v>3334</v>
      </c>
      <c r="C1634" s="205" t="s">
        <v>4577</v>
      </c>
      <c r="D1634" s="199" t="s">
        <v>8723</v>
      </c>
      <c r="E1634" s="188" t="s">
        <v>5886</v>
      </c>
      <c r="F1634" s="189" t="s">
        <v>6364</v>
      </c>
      <c r="G1634" s="205" t="s">
        <v>8321</v>
      </c>
      <c r="H1634" s="199" t="s">
        <v>8638</v>
      </c>
      <c r="I1634" s="199">
        <v>1</v>
      </c>
      <c r="J1634" s="199">
        <v>1</v>
      </c>
      <c r="K1634" s="199">
        <v>1</v>
      </c>
      <c r="L1634" s="199">
        <v>50</v>
      </c>
      <c r="M1634" s="215">
        <f>TB_Parts_Lists[[#This Row],[Quantity Initial]]+ SUMIF(TB_Transactions[Part number],TB_Parts_Lists[[#This Row],[Part Number]],TB_Transactions[Quantity])</f>
        <v>50</v>
      </c>
      <c r="N1634" s="200" t="s">
        <v>4593</v>
      </c>
      <c r="O1634" s="234">
        <v>5</v>
      </c>
      <c r="P1634" s="199">
        <f>TB_Parts_Lists[[#This Row],[Quantity Initial]]*TB_Parts_Lists[[#This Row],[Unit Price AED]]</f>
        <v>250</v>
      </c>
      <c r="Q1634" s="199">
        <f>TB_Parts_Lists[[#This Row],[Quantity Total]]*TB_Parts_Lists[[#This Row],[Unit Price AED]]</f>
        <v>250</v>
      </c>
      <c r="R1634" s="213"/>
      <c r="S1634" s="199" t="s">
        <v>122</v>
      </c>
      <c r="T1634" s="199" t="s">
        <v>277</v>
      </c>
      <c r="U1634" s="199" t="s">
        <v>276</v>
      </c>
    </row>
    <row r="1635" spans="1:21" x14ac:dyDescent="0.25">
      <c r="A1635" s="194" t="s">
        <v>8185</v>
      </c>
      <c r="B1635" s="207" t="s">
        <v>3334</v>
      </c>
      <c r="C1635" s="205" t="s">
        <v>4577</v>
      </c>
      <c r="D1635" s="199" t="s">
        <v>8723</v>
      </c>
      <c r="E1635" s="188" t="s">
        <v>5887</v>
      </c>
      <c r="F1635" s="189" t="s">
        <v>6365</v>
      </c>
      <c r="G1635" s="205" t="s">
        <v>8321</v>
      </c>
      <c r="H1635" s="199" t="s">
        <v>8638</v>
      </c>
      <c r="I1635" s="199">
        <v>1</v>
      </c>
      <c r="J1635" s="199">
        <v>1</v>
      </c>
      <c r="K1635" s="199">
        <v>1</v>
      </c>
      <c r="L1635" s="199">
        <v>50</v>
      </c>
      <c r="M1635" s="215">
        <f>TB_Parts_Lists[[#This Row],[Quantity Initial]]+ SUMIF(TB_Transactions[Part number],TB_Parts_Lists[[#This Row],[Part Number]],TB_Transactions[Quantity])</f>
        <v>50</v>
      </c>
      <c r="N1635" s="200" t="s">
        <v>4593</v>
      </c>
      <c r="O1635" s="234">
        <v>5</v>
      </c>
      <c r="P1635" s="199">
        <f>TB_Parts_Lists[[#This Row],[Quantity Initial]]*TB_Parts_Lists[[#This Row],[Unit Price AED]]</f>
        <v>250</v>
      </c>
      <c r="Q1635" s="199">
        <f>TB_Parts_Lists[[#This Row],[Quantity Total]]*TB_Parts_Lists[[#This Row],[Unit Price AED]]</f>
        <v>250</v>
      </c>
      <c r="R1635" s="213"/>
      <c r="S1635" s="199" t="s">
        <v>122</v>
      </c>
      <c r="T1635" s="199" t="s">
        <v>277</v>
      </c>
      <c r="U1635" s="199" t="s">
        <v>276</v>
      </c>
    </row>
    <row r="1636" spans="1:21" x14ac:dyDescent="0.25">
      <c r="A1636" s="194" t="s">
        <v>8186</v>
      </c>
      <c r="B1636" s="207" t="s">
        <v>3334</v>
      </c>
      <c r="C1636" s="205" t="s">
        <v>4577</v>
      </c>
      <c r="D1636" s="199" t="s">
        <v>8723</v>
      </c>
      <c r="E1636" s="188" t="s">
        <v>5888</v>
      </c>
      <c r="F1636" s="189" t="s">
        <v>6366</v>
      </c>
      <c r="G1636" s="199" t="s">
        <v>8322</v>
      </c>
      <c r="H1636" s="199" t="s">
        <v>123</v>
      </c>
      <c r="I1636" s="199">
        <v>1</v>
      </c>
      <c r="J1636" s="199">
        <v>1</v>
      </c>
      <c r="K1636" s="199">
        <v>1</v>
      </c>
      <c r="L1636" s="199">
        <v>50</v>
      </c>
      <c r="M1636" s="215">
        <f>TB_Parts_Lists[[#This Row],[Quantity Initial]]+ SUMIF(TB_Transactions[Part number],TB_Parts_Lists[[#This Row],[Part Number]],TB_Transactions[Quantity])</f>
        <v>50</v>
      </c>
      <c r="N1636" s="200" t="s">
        <v>4593</v>
      </c>
      <c r="O1636" s="234">
        <v>5</v>
      </c>
      <c r="P1636" s="199">
        <f>TB_Parts_Lists[[#This Row],[Quantity Initial]]*TB_Parts_Lists[[#This Row],[Unit Price AED]]</f>
        <v>250</v>
      </c>
      <c r="Q1636" s="199">
        <f>TB_Parts_Lists[[#This Row],[Quantity Total]]*TB_Parts_Lists[[#This Row],[Unit Price AED]]</f>
        <v>250</v>
      </c>
      <c r="R1636" s="213"/>
      <c r="S1636" s="199" t="s">
        <v>122</v>
      </c>
      <c r="T1636" s="199" t="s">
        <v>277</v>
      </c>
      <c r="U1636" s="199" t="s">
        <v>276</v>
      </c>
    </row>
    <row r="1637" spans="1:21" x14ac:dyDescent="0.25">
      <c r="A1637" s="194" t="s">
        <v>8187</v>
      </c>
      <c r="B1637" s="207" t="s">
        <v>3334</v>
      </c>
      <c r="C1637" s="205" t="s">
        <v>4577</v>
      </c>
      <c r="D1637" s="199" t="s">
        <v>8723</v>
      </c>
      <c r="E1637" s="188" t="s">
        <v>5889</v>
      </c>
      <c r="F1637" s="189" t="s">
        <v>6367</v>
      </c>
      <c r="G1637" s="199" t="s">
        <v>8322</v>
      </c>
      <c r="H1637" s="199" t="s">
        <v>123</v>
      </c>
      <c r="I1637" s="199">
        <v>1</v>
      </c>
      <c r="J1637" s="199">
        <v>1</v>
      </c>
      <c r="K1637" s="199">
        <v>1</v>
      </c>
      <c r="L1637" s="199">
        <v>50</v>
      </c>
      <c r="M1637" s="215">
        <f>TB_Parts_Lists[[#This Row],[Quantity Initial]]+ SUMIF(TB_Transactions[Part number],TB_Parts_Lists[[#This Row],[Part Number]],TB_Transactions[Quantity])</f>
        <v>50</v>
      </c>
      <c r="N1637" s="200" t="s">
        <v>4593</v>
      </c>
      <c r="O1637" s="234">
        <v>5</v>
      </c>
      <c r="P1637" s="199">
        <f>TB_Parts_Lists[[#This Row],[Quantity Initial]]*TB_Parts_Lists[[#This Row],[Unit Price AED]]</f>
        <v>250</v>
      </c>
      <c r="Q1637" s="199">
        <f>TB_Parts_Lists[[#This Row],[Quantity Total]]*TB_Parts_Lists[[#This Row],[Unit Price AED]]</f>
        <v>250</v>
      </c>
      <c r="R1637" s="213"/>
      <c r="S1637" s="199" t="s">
        <v>122</v>
      </c>
      <c r="T1637" s="199" t="s">
        <v>277</v>
      </c>
      <c r="U1637" s="199" t="s">
        <v>276</v>
      </c>
    </row>
    <row r="1638" spans="1:21" x14ac:dyDescent="0.25">
      <c r="A1638" s="194" t="s">
        <v>8188</v>
      </c>
      <c r="B1638" s="207" t="s">
        <v>3334</v>
      </c>
      <c r="C1638" s="205" t="s">
        <v>4577</v>
      </c>
      <c r="D1638" s="199" t="s">
        <v>8723</v>
      </c>
      <c r="E1638" s="188" t="s">
        <v>5890</v>
      </c>
      <c r="F1638" s="189" t="s">
        <v>6368</v>
      </c>
      <c r="G1638" s="199" t="s">
        <v>8322</v>
      </c>
      <c r="H1638" s="199" t="s">
        <v>123</v>
      </c>
      <c r="I1638" s="199">
        <v>1</v>
      </c>
      <c r="J1638" s="199">
        <v>1</v>
      </c>
      <c r="K1638" s="199">
        <v>1</v>
      </c>
      <c r="L1638" s="199">
        <v>50</v>
      </c>
      <c r="M1638" s="215">
        <f>TB_Parts_Lists[[#This Row],[Quantity Initial]]+ SUMIF(TB_Transactions[Part number],TB_Parts_Lists[[#This Row],[Part Number]],TB_Transactions[Quantity])</f>
        <v>50</v>
      </c>
      <c r="N1638" s="200" t="s">
        <v>4593</v>
      </c>
      <c r="O1638" s="234">
        <v>5</v>
      </c>
      <c r="P1638" s="199">
        <f>TB_Parts_Lists[[#This Row],[Quantity Initial]]*TB_Parts_Lists[[#This Row],[Unit Price AED]]</f>
        <v>250</v>
      </c>
      <c r="Q1638" s="199">
        <f>TB_Parts_Lists[[#This Row],[Quantity Total]]*TB_Parts_Lists[[#This Row],[Unit Price AED]]</f>
        <v>250</v>
      </c>
      <c r="R1638" s="213"/>
      <c r="S1638" s="199" t="s">
        <v>122</v>
      </c>
      <c r="T1638" s="199" t="s">
        <v>277</v>
      </c>
      <c r="U1638" s="199" t="s">
        <v>276</v>
      </c>
    </row>
    <row r="1639" spans="1:21" x14ac:dyDescent="0.25">
      <c r="A1639" s="194" t="s">
        <v>8189</v>
      </c>
      <c r="B1639" s="207" t="s">
        <v>3334</v>
      </c>
      <c r="C1639" s="205" t="s">
        <v>4577</v>
      </c>
      <c r="D1639" s="199" t="s">
        <v>8723</v>
      </c>
      <c r="E1639" s="188" t="s">
        <v>5891</v>
      </c>
      <c r="F1639" s="189" t="s">
        <v>6369</v>
      </c>
      <c r="G1639" s="199" t="s">
        <v>8322</v>
      </c>
      <c r="H1639" s="199" t="s">
        <v>123</v>
      </c>
      <c r="I1639" s="199">
        <v>1</v>
      </c>
      <c r="J1639" s="199">
        <v>1</v>
      </c>
      <c r="K1639" s="199">
        <v>1</v>
      </c>
      <c r="L1639" s="199">
        <v>50</v>
      </c>
      <c r="M1639" s="215">
        <f>TB_Parts_Lists[[#This Row],[Quantity Initial]]+ SUMIF(TB_Transactions[Part number],TB_Parts_Lists[[#This Row],[Part Number]],TB_Transactions[Quantity])</f>
        <v>50</v>
      </c>
      <c r="N1639" s="200" t="s">
        <v>4593</v>
      </c>
      <c r="O1639" s="234">
        <v>5</v>
      </c>
      <c r="P1639" s="199">
        <f>TB_Parts_Lists[[#This Row],[Quantity Initial]]*TB_Parts_Lists[[#This Row],[Unit Price AED]]</f>
        <v>250</v>
      </c>
      <c r="Q1639" s="199">
        <f>TB_Parts_Lists[[#This Row],[Quantity Total]]*TB_Parts_Lists[[#This Row],[Unit Price AED]]</f>
        <v>250</v>
      </c>
      <c r="R1639" s="213"/>
      <c r="S1639" s="199" t="s">
        <v>122</v>
      </c>
      <c r="T1639" s="199" t="s">
        <v>277</v>
      </c>
      <c r="U1639" s="199" t="s">
        <v>276</v>
      </c>
    </row>
    <row r="1640" spans="1:21" x14ac:dyDescent="0.25">
      <c r="A1640" s="194" t="s">
        <v>8190</v>
      </c>
      <c r="B1640" s="207" t="s">
        <v>3334</v>
      </c>
      <c r="C1640" s="205" t="s">
        <v>4577</v>
      </c>
      <c r="D1640" s="199" t="s">
        <v>8723</v>
      </c>
      <c r="E1640" s="188" t="s">
        <v>5892</v>
      </c>
      <c r="F1640" s="189" t="s">
        <v>6370</v>
      </c>
      <c r="G1640" s="199" t="s">
        <v>8322</v>
      </c>
      <c r="H1640" s="199" t="s">
        <v>123</v>
      </c>
      <c r="I1640" s="199">
        <v>1</v>
      </c>
      <c r="J1640" s="199">
        <v>1</v>
      </c>
      <c r="K1640" s="199">
        <v>1</v>
      </c>
      <c r="L1640" s="199">
        <v>50</v>
      </c>
      <c r="M1640" s="215">
        <f>TB_Parts_Lists[[#This Row],[Quantity Initial]]+ SUMIF(TB_Transactions[Part number],TB_Parts_Lists[[#This Row],[Part Number]],TB_Transactions[Quantity])</f>
        <v>50</v>
      </c>
      <c r="N1640" s="200" t="s">
        <v>4593</v>
      </c>
      <c r="O1640" s="234">
        <v>5</v>
      </c>
      <c r="P1640" s="199">
        <f>TB_Parts_Lists[[#This Row],[Quantity Initial]]*TB_Parts_Lists[[#This Row],[Unit Price AED]]</f>
        <v>250</v>
      </c>
      <c r="Q1640" s="199">
        <f>TB_Parts_Lists[[#This Row],[Quantity Total]]*TB_Parts_Lists[[#This Row],[Unit Price AED]]</f>
        <v>250</v>
      </c>
      <c r="R1640" s="213"/>
      <c r="S1640" s="199" t="s">
        <v>122</v>
      </c>
      <c r="T1640" s="199" t="s">
        <v>277</v>
      </c>
      <c r="U1640" s="199" t="s">
        <v>276</v>
      </c>
    </row>
    <row r="1641" spans="1:21" x14ac:dyDescent="0.25">
      <c r="A1641" s="194" t="s">
        <v>8191</v>
      </c>
      <c r="B1641" s="207" t="s">
        <v>3334</v>
      </c>
      <c r="C1641" s="205" t="s">
        <v>4577</v>
      </c>
      <c r="D1641" s="199" t="s">
        <v>8732</v>
      </c>
      <c r="E1641" s="188" t="s">
        <v>5893</v>
      </c>
      <c r="F1641" s="189" t="s">
        <v>6371</v>
      </c>
      <c r="G1641" s="199" t="s">
        <v>8322</v>
      </c>
      <c r="H1641" s="199" t="s">
        <v>123</v>
      </c>
      <c r="I1641" s="199">
        <v>1</v>
      </c>
      <c r="J1641" s="199">
        <v>1</v>
      </c>
      <c r="K1641" s="199">
        <v>1</v>
      </c>
      <c r="L1641" s="199">
        <v>50</v>
      </c>
      <c r="M1641" s="215">
        <f>TB_Parts_Lists[[#This Row],[Quantity Initial]]+ SUMIF(TB_Transactions[Part number],TB_Parts_Lists[[#This Row],[Part Number]],TB_Transactions[Quantity])</f>
        <v>50</v>
      </c>
      <c r="N1641" s="200" t="s">
        <v>4593</v>
      </c>
      <c r="O1641" s="234">
        <v>5</v>
      </c>
      <c r="P1641" s="199">
        <f>TB_Parts_Lists[[#This Row],[Quantity Initial]]*TB_Parts_Lists[[#This Row],[Unit Price AED]]</f>
        <v>250</v>
      </c>
      <c r="Q1641" s="199">
        <f>TB_Parts_Lists[[#This Row],[Quantity Total]]*TB_Parts_Lists[[#This Row],[Unit Price AED]]</f>
        <v>250</v>
      </c>
      <c r="R1641" s="213"/>
      <c r="S1641" s="199" t="s">
        <v>122</v>
      </c>
      <c r="T1641" s="199" t="s">
        <v>277</v>
      </c>
      <c r="U1641" s="199" t="s">
        <v>276</v>
      </c>
    </row>
    <row r="1642" spans="1:21" x14ac:dyDescent="0.25">
      <c r="A1642" s="194" t="s">
        <v>8192</v>
      </c>
      <c r="B1642" s="207" t="s">
        <v>3334</v>
      </c>
      <c r="C1642" s="205" t="s">
        <v>4577</v>
      </c>
      <c r="D1642" s="199" t="s">
        <v>8732</v>
      </c>
      <c r="E1642" s="188" t="s">
        <v>5894</v>
      </c>
      <c r="F1642" s="189" t="s">
        <v>6372</v>
      </c>
      <c r="G1642" s="199" t="s">
        <v>8322</v>
      </c>
      <c r="H1642" s="199" t="s">
        <v>123</v>
      </c>
      <c r="I1642" s="199">
        <v>1</v>
      </c>
      <c r="J1642" s="199">
        <v>1</v>
      </c>
      <c r="K1642" s="199">
        <v>1</v>
      </c>
      <c r="L1642" s="199">
        <v>50</v>
      </c>
      <c r="M1642" s="215">
        <f>TB_Parts_Lists[[#This Row],[Quantity Initial]]+ SUMIF(TB_Transactions[Part number],TB_Parts_Lists[[#This Row],[Part Number]],TB_Transactions[Quantity])</f>
        <v>50</v>
      </c>
      <c r="N1642" s="200" t="s">
        <v>4593</v>
      </c>
      <c r="O1642" s="234">
        <v>5</v>
      </c>
      <c r="P1642" s="199">
        <f>TB_Parts_Lists[[#This Row],[Quantity Initial]]*TB_Parts_Lists[[#This Row],[Unit Price AED]]</f>
        <v>250</v>
      </c>
      <c r="Q1642" s="199">
        <f>TB_Parts_Lists[[#This Row],[Quantity Total]]*TB_Parts_Lists[[#This Row],[Unit Price AED]]</f>
        <v>250</v>
      </c>
      <c r="R1642" s="213"/>
      <c r="S1642" s="199" t="s">
        <v>122</v>
      </c>
      <c r="T1642" s="199" t="s">
        <v>277</v>
      </c>
      <c r="U1642" s="199" t="s">
        <v>276</v>
      </c>
    </row>
    <row r="1643" spans="1:21" x14ac:dyDescent="0.25">
      <c r="A1643" s="194" t="s">
        <v>8193</v>
      </c>
      <c r="B1643" s="207" t="s">
        <v>3334</v>
      </c>
      <c r="C1643" s="205" t="s">
        <v>4577</v>
      </c>
      <c r="D1643" s="199" t="s">
        <v>8732</v>
      </c>
      <c r="E1643" s="188" t="s">
        <v>5895</v>
      </c>
      <c r="F1643" s="189" t="s">
        <v>6373</v>
      </c>
      <c r="G1643" s="199" t="s">
        <v>8322</v>
      </c>
      <c r="H1643" s="199" t="s">
        <v>123</v>
      </c>
      <c r="I1643" s="199">
        <v>1</v>
      </c>
      <c r="J1643" s="199">
        <v>1</v>
      </c>
      <c r="K1643" s="199">
        <v>1</v>
      </c>
      <c r="L1643" s="199">
        <v>50</v>
      </c>
      <c r="M1643" s="215">
        <f>TB_Parts_Lists[[#This Row],[Quantity Initial]]+ SUMIF(TB_Transactions[Part number],TB_Parts_Lists[[#This Row],[Part Number]],TB_Transactions[Quantity])</f>
        <v>50</v>
      </c>
      <c r="N1643" s="200" t="s">
        <v>4593</v>
      </c>
      <c r="O1643" s="234">
        <v>5</v>
      </c>
      <c r="P1643" s="199">
        <f>TB_Parts_Lists[[#This Row],[Quantity Initial]]*TB_Parts_Lists[[#This Row],[Unit Price AED]]</f>
        <v>250</v>
      </c>
      <c r="Q1643" s="199">
        <f>TB_Parts_Lists[[#This Row],[Quantity Total]]*TB_Parts_Lists[[#This Row],[Unit Price AED]]</f>
        <v>250</v>
      </c>
      <c r="R1643" s="213"/>
      <c r="S1643" s="199" t="s">
        <v>122</v>
      </c>
      <c r="T1643" s="199" t="s">
        <v>277</v>
      </c>
      <c r="U1643" s="199" t="s">
        <v>276</v>
      </c>
    </row>
    <row r="1644" spans="1:21" x14ac:dyDescent="0.25">
      <c r="A1644" s="194" t="s">
        <v>8194</v>
      </c>
      <c r="B1644" s="207" t="s">
        <v>3334</v>
      </c>
      <c r="C1644" s="205" t="s">
        <v>4577</v>
      </c>
      <c r="D1644" s="199" t="s">
        <v>8732</v>
      </c>
      <c r="E1644" s="188" t="s">
        <v>5896</v>
      </c>
      <c r="F1644" s="189" t="s">
        <v>6374</v>
      </c>
      <c r="G1644" s="199" t="s">
        <v>8322</v>
      </c>
      <c r="H1644" s="199" t="s">
        <v>123</v>
      </c>
      <c r="I1644" s="199">
        <v>1</v>
      </c>
      <c r="J1644" s="199">
        <v>1</v>
      </c>
      <c r="K1644" s="199">
        <v>1</v>
      </c>
      <c r="L1644" s="199">
        <v>50</v>
      </c>
      <c r="M1644" s="215">
        <f>TB_Parts_Lists[[#This Row],[Quantity Initial]]+ SUMIF(TB_Transactions[Part number],TB_Parts_Lists[[#This Row],[Part Number]],TB_Transactions[Quantity])</f>
        <v>50</v>
      </c>
      <c r="N1644" s="200" t="s">
        <v>4593</v>
      </c>
      <c r="O1644" s="234">
        <v>5</v>
      </c>
      <c r="P1644" s="199">
        <f>TB_Parts_Lists[[#This Row],[Quantity Initial]]*TB_Parts_Lists[[#This Row],[Unit Price AED]]</f>
        <v>250</v>
      </c>
      <c r="Q1644" s="199">
        <f>TB_Parts_Lists[[#This Row],[Quantity Total]]*TB_Parts_Lists[[#This Row],[Unit Price AED]]</f>
        <v>250</v>
      </c>
      <c r="R1644" s="213"/>
      <c r="S1644" s="199" t="s">
        <v>122</v>
      </c>
      <c r="T1644" s="199" t="s">
        <v>277</v>
      </c>
      <c r="U1644" s="199" t="s">
        <v>276</v>
      </c>
    </row>
    <row r="1645" spans="1:21" x14ac:dyDescent="0.25">
      <c r="A1645" s="194" t="s">
        <v>8195</v>
      </c>
      <c r="B1645" s="207" t="s">
        <v>3334</v>
      </c>
      <c r="C1645" s="205" t="s">
        <v>4577</v>
      </c>
      <c r="D1645" s="199" t="s">
        <v>8732</v>
      </c>
      <c r="E1645" s="188" t="s">
        <v>5897</v>
      </c>
      <c r="F1645" s="189" t="s">
        <v>6375</v>
      </c>
      <c r="G1645" s="199" t="s">
        <v>8322</v>
      </c>
      <c r="H1645" s="199" t="s">
        <v>123</v>
      </c>
      <c r="I1645" s="199">
        <v>1</v>
      </c>
      <c r="J1645" s="199">
        <v>1</v>
      </c>
      <c r="K1645" s="199">
        <v>1</v>
      </c>
      <c r="L1645" s="199">
        <v>50</v>
      </c>
      <c r="M1645" s="215">
        <f>TB_Parts_Lists[[#This Row],[Quantity Initial]]+ SUMIF(TB_Transactions[Part number],TB_Parts_Lists[[#This Row],[Part Number]],TB_Transactions[Quantity])</f>
        <v>50</v>
      </c>
      <c r="N1645" s="200" t="s">
        <v>4593</v>
      </c>
      <c r="O1645" s="234">
        <v>5</v>
      </c>
      <c r="P1645" s="199">
        <f>TB_Parts_Lists[[#This Row],[Quantity Initial]]*TB_Parts_Lists[[#This Row],[Unit Price AED]]</f>
        <v>250</v>
      </c>
      <c r="Q1645" s="199">
        <f>TB_Parts_Lists[[#This Row],[Quantity Total]]*TB_Parts_Lists[[#This Row],[Unit Price AED]]</f>
        <v>250</v>
      </c>
      <c r="R1645" s="213"/>
      <c r="S1645" s="199" t="s">
        <v>122</v>
      </c>
      <c r="T1645" s="199" t="s">
        <v>277</v>
      </c>
      <c r="U1645" s="199" t="s">
        <v>276</v>
      </c>
    </row>
    <row r="1646" spans="1:21" x14ac:dyDescent="0.25">
      <c r="A1646" s="194" t="s">
        <v>8196</v>
      </c>
      <c r="B1646" s="207" t="s">
        <v>3334</v>
      </c>
      <c r="C1646" s="205" t="s">
        <v>4577</v>
      </c>
      <c r="D1646" s="199" t="s">
        <v>8732</v>
      </c>
      <c r="E1646" s="188" t="s">
        <v>5898</v>
      </c>
      <c r="F1646" s="189" t="s">
        <v>6376</v>
      </c>
      <c r="G1646" s="199" t="s">
        <v>8322</v>
      </c>
      <c r="H1646" s="199" t="s">
        <v>123</v>
      </c>
      <c r="I1646" s="199">
        <v>1</v>
      </c>
      <c r="J1646" s="199">
        <v>1</v>
      </c>
      <c r="K1646" s="199">
        <v>1</v>
      </c>
      <c r="L1646" s="199">
        <v>50</v>
      </c>
      <c r="M1646" s="215">
        <v>0</v>
      </c>
      <c r="N1646" s="200" t="s">
        <v>4593</v>
      </c>
      <c r="O1646" s="234">
        <v>5</v>
      </c>
      <c r="P1646" s="199">
        <f>TB_Parts_Lists[[#This Row],[Quantity Initial]]*TB_Parts_Lists[[#This Row],[Unit Price AED]]</f>
        <v>250</v>
      </c>
      <c r="Q1646" s="199">
        <f>TB_Parts_Lists[[#This Row],[Quantity Total]]*TB_Parts_Lists[[#This Row],[Unit Price AED]]</f>
        <v>0</v>
      </c>
      <c r="R1646" s="213"/>
      <c r="S1646" s="199" t="s">
        <v>122</v>
      </c>
      <c r="T1646" s="199" t="s">
        <v>277</v>
      </c>
      <c r="U1646" s="199" t="s">
        <v>276</v>
      </c>
    </row>
    <row r="1647" spans="1:21" x14ac:dyDescent="0.25">
      <c r="A1647" s="194" t="s">
        <v>8197</v>
      </c>
      <c r="B1647" s="207" t="s">
        <v>3334</v>
      </c>
      <c r="C1647" s="205" t="s">
        <v>4577</v>
      </c>
      <c r="D1647" s="199" t="s">
        <v>8732</v>
      </c>
      <c r="E1647" s="188" t="s">
        <v>5899</v>
      </c>
      <c r="F1647" s="189" t="s">
        <v>6377</v>
      </c>
      <c r="G1647" s="199" t="s">
        <v>8322</v>
      </c>
      <c r="H1647" s="199" t="s">
        <v>123</v>
      </c>
      <c r="I1647" s="199">
        <v>1</v>
      </c>
      <c r="J1647" s="199">
        <v>1</v>
      </c>
      <c r="K1647" s="199">
        <v>1</v>
      </c>
      <c r="L1647" s="199">
        <v>50</v>
      </c>
      <c r="M1647" s="215">
        <v>0</v>
      </c>
      <c r="N1647" s="200" t="s">
        <v>4593</v>
      </c>
      <c r="O1647" s="234">
        <v>5</v>
      </c>
      <c r="P1647" s="199">
        <f>TB_Parts_Lists[[#This Row],[Quantity Initial]]*TB_Parts_Lists[[#This Row],[Unit Price AED]]</f>
        <v>250</v>
      </c>
      <c r="Q1647" s="199">
        <f>TB_Parts_Lists[[#This Row],[Quantity Total]]*TB_Parts_Lists[[#This Row],[Unit Price AED]]</f>
        <v>0</v>
      </c>
      <c r="R1647" s="213"/>
      <c r="S1647" s="199" t="s">
        <v>122</v>
      </c>
      <c r="T1647" s="199" t="s">
        <v>277</v>
      </c>
      <c r="U1647" s="199" t="s">
        <v>276</v>
      </c>
    </row>
    <row r="1648" spans="1:21" x14ac:dyDescent="0.25">
      <c r="A1648" s="194" t="s">
        <v>8198</v>
      </c>
      <c r="B1648" s="207" t="s">
        <v>3334</v>
      </c>
      <c r="C1648" s="205" t="s">
        <v>4577</v>
      </c>
      <c r="D1648" s="199" t="s">
        <v>8732</v>
      </c>
      <c r="E1648" s="188" t="s">
        <v>5900</v>
      </c>
      <c r="F1648" s="189" t="s">
        <v>6378</v>
      </c>
      <c r="G1648" s="199" t="s">
        <v>8322</v>
      </c>
      <c r="H1648" s="199" t="s">
        <v>123</v>
      </c>
      <c r="I1648" s="199">
        <v>1</v>
      </c>
      <c r="J1648" s="199">
        <v>1</v>
      </c>
      <c r="K1648" s="199">
        <v>1</v>
      </c>
      <c r="L1648" s="199">
        <v>50</v>
      </c>
      <c r="M1648" s="215">
        <v>0</v>
      </c>
      <c r="N1648" s="200" t="s">
        <v>4593</v>
      </c>
      <c r="O1648" s="234">
        <v>5</v>
      </c>
      <c r="P1648" s="199">
        <f>TB_Parts_Lists[[#This Row],[Quantity Initial]]*TB_Parts_Lists[[#This Row],[Unit Price AED]]</f>
        <v>250</v>
      </c>
      <c r="Q1648" s="199">
        <f>TB_Parts_Lists[[#This Row],[Quantity Total]]*TB_Parts_Lists[[#This Row],[Unit Price AED]]</f>
        <v>0</v>
      </c>
      <c r="R1648" s="213"/>
      <c r="S1648" s="199" t="s">
        <v>122</v>
      </c>
      <c r="T1648" s="199" t="s">
        <v>277</v>
      </c>
      <c r="U1648" s="199" t="s">
        <v>276</v>
      </c>
    </row>
    <row r="1649" spans="1:21" x14ac:dyDescent="0.25">
      <c r="A1649" s="194" t="s">
        <v>8199</v>
      </c>
      <c r="B1649" s="207" t="s">
        <v>3334</v>
      </c>
      <c r="C1649" s="205" t="s">
        <v>4577</v>
      </c>
      <c r="D1649" s="199" t="s">
        <v>8723</v>
      </c>
      <c r="E1649" s="188" t="s">
        <v>5901</v>
      </c>
      <c r="F1649" s="189" t="s">
        <v>6379</v>
      </c>
      <c r="G1649" s="199" t="s">
        <v>8322</v>
      </c>
      <c r="H1649" s="199" t="s">
        <v>123</v>
      </c>
      <c r="I1649" s="199">
        <v>1</v>
      </c>
      <c r="J1649" s="199">
        <v>1</v>
      </c>
      <c r="K1649" s="199">
        <v>1</v>
      </c>
      <c r="L1649" s="199">
        <v>50</v>
      </c>
      <c r="M1649" s="215">
        <v>0</v>
      </c>
      <c r="N1649" s="200" t="s">
        <v>4593</v>
      </c>
      <c r="O1649" s="234">
        <v>5</v>
      </c>
      <c r="P1649" s="199">
        <f>TB_Parts_Lists[[#This Row],[Quantity Initial]]*TB_Parts_Lists[[#This Row],[Unit Price AED]]</f>
        <v>250</v>
      </c>
      <c r="Q1649" s="199">
        <f>TB_Parts_Lists[[#This Row],[Quantity Total]]*TB_Parts_Lists[[#This Row],[Unit Price AED]]</f>
        <v>0</v>
      </c>
      <c r="R1649" s="213"/>
      <c r="S1649" s="199" t="s">
        <v>122</v>
      </c>
      <c r="T1649" s="199" t="s">
        <v>277</v>
      </c>
      <c r="U1649" s="199" t="s">
        <v>276</v>
      </c>
    </row>
    <row r="1650" spans="1:21" x14ac:dyDescent="0.25">
      <c r="A1650" s="194" t="s">
        <v>8200</v>
      </c>
      <c r="B1650" s="207" t="s">
        <v>3334</v>
      </c>
      <c r="C1650" s="205" t="s">
        <v>4577</v>
      </c>
      <c r="D1650" s="199" t="s">
        <v>8732</v>
      </c>
      <c r="E1650" s="188" t="s">
        <v>5902</v>
      </c>
      <c r="F1650" s="189" t="s">
        <v>6380</v>
      </c>
      <c r="G1650" s="199" t="s">
        <v>8322</v>
      </c>
      <c r="H1650" s="199" t="s">
        <v>123</v>
      </c>
      <c r="I1650" s="199">
        <v>1</v>
      </c>
      <c r="J1650" s="199">
        <v>1</v>
      </c>
      <c r="K1650" s="199">
        <v>1</v>
      </c>
      <c r="L1650" s="199">
        <v>50</v>
      </c>
      <c r="M1650" s="215">
        <v>0</v>
      </c>
      <c r="N1650" s="200" t="s">
        <v>4593</v>
      </c>
      <c r="O1650" s="234">
        <v>5</v>
      </c>
      <c r="P1650" s="199">
        <f>TB_Parts_Lists[[#This Row],[Quantity Initial]]*TB_Parts_Lists[[#This Row],[Unit Price AED]]</f>
        <v>250</v>
      </c>
      <c r="Q1650" s="199">
        <f>TB_Parts_Lists[[#This Row],[Quantity Total]]*TB_Parts_Lists[[#This Row],[Unit Price AED]]</f>
        <v>0</v>
      </c>
      <c r="R1650" s="213"/>
      <c r="S1650" s="199" t="s">
        <v>122</v>
      </c>
      <c r="T1650" s="199" t="s">
        <v>277</v>
      </c>
      <c r="U1650" s="199" t="s">
        <v>276</v>
      </c>
    </row>
    <row r="1651" spans="1:21" x14ac:dyDescent="0.25">
      <c r="A1651" s="194" t="s">
        <v>8201</v>
      </c>
      <c r="B1651" s="207" t="s">
        <v>3334</v>
      </c>
      <c r="C1651" s="205" t="s">
        <v>4577</v>
      </c>
      <c r="D1651" s="199" t="s">
        <v>8732</v>
      </c>
      <c r="E1651" s="188" t="s">
        <v>5903</v>
      </c>
      <c r="F1651" s="189" t="s">
        <v>6381</v>
      </c>
      <c r="G1651" s="199" t="s">
        <v>8322</v>
      </c>
      <c r="H1651" s="199" t="s">
        <v>123</v>
      </c>
      <c r="I1651" s="199">
        <v>1</v>
      </c>
      <c r="J1651" s="199">
        <v>1</v>
      </c>
      <c r="K1651" s="199">
        <v>1</v>
      </c>
      <c r="L1651" s="199">
        <v>50</v>
      </c>
      <c r="M1651" s="215">
        <v>0</v>
      </c>
      <c r="N1651" s="200" t="s">
        <v>4593</v>
      </c>
      <c r="O1651" s="234">
        <v>5</v>
      </c>
      <c r="P1651" s="199">
        <f>TB_Parts_Lists[[#This Row],[Quantity Initial]]*TB_Parts_Lists[[#This Row],[Unit Price AED]]</f>
        <v>250</v>
      </c>
      <c r="Q1651" s="199">
        <f>TB_Parts_Lists[[#This Row],[Quantity Total]]*TB_Parts_Lists[[#This Row],[Unit Price AED]]</f>
        <v>0</v>
      </c>
      <c r="R1651" s="213"/>
      <c r="S1651" s="199" t="s">
        <v>122</v>
      </c>
      <c r="T1651" s="199" t="s">
        <v>277</v>
      </c>
      <c r="U1651" s="199" t="s">
        <v>276</v>
      </c>
    </row>
    <row r="1652" spans="1:21" x14ac:dyDescent="0.25">
      <c r="A1652" s="194" t="s">
        <v>8202</v>
      </c>
      <c r="B1652" s="207" t="s">
        <v>3334</v>
      </c>
      <c r="C1652" s="205" t="s">
        <v>4577</v>
      </c>
      <c r="D1652" s="199" t="s">
        <v>8732</v>
      </c>
      <c r="E1652" s="188" t="s">
        <v>5904</v>
      </c>
      <c r="F1652" s="189" t="s">
        <v>6382</v>
      </c>
      <c r="G1652" s="199" t="s">
        <v>8322</v>
      </c>
      <c r="H1652" s="199" t="s">
        <v>123</v>
      </c>
      <c r="I1652" s="199">
        <v>1</v>
      </c>
      <c r="J1652" s="199">
        <v>1</v>
      </c>
      <c r="K1652" s="199">
        <v>1</v>
      </c>
      <c r="L1652" s="199">
        <v>50</v>
      </c>
      <c r="M1652" s="215">
        <v>0</v>
      </c>
      <c r="N1652" s="200" t="s">
        <v>4593</v>
      </c>
      <c r="O1652" s="234">
        <v>5</v>
      </c>
      <c r="P1652" s="199">
        <f>TB_Parts_Lists[[#This Row],[Quantity Initial]]*TB_Parts_Lists[[#This Row],[Unit Price AED]]</f>
        <v>250</v>
      </c>
      <c r="Q1652" s="199">
        <f>TB_Parts_Lists[[#This Row],[Quantity Total]]*TB_Parts_Lists[[#This Row],[Unit Price AED]]</f>
        <v>0</v>
      </c>
      <c r="R1652" s="213"/>
      <c r="S1652" s="199" t="s">
        <v>122</v>
      </c>
      <c r="T1652" s="199" t="s">
        <v>277</v>
      </c>
      <c r="U1652" s="199" t="s">
        <v>276</v>
      </c>
    </row>
    <row r="1653" spans="1:21" x14ac:dyDescent="0.25">
      <c r="A1653" s="194" t="s">
        <v>8203</v>
      </c>
      <c r="B1653" s="207" t="s">
        <v>3334</v>
      </c>
      <c r="C1653" s="205" t="s">
        <v>4577</v>
      </c>
      <c r="D1653" s="199" t="s">
        <v>8732</v>
      </c>
      <c r="E1653" s="188" t="s">
        <v>5905</v>
      </c>
      <c r="F1653" s="189" t="s">
        <v>6383</v>
      </c>
      <c r="G1653" s="199" t="s">
        <v>8322</v>
      </c>
      <c r="H1653" s="199" t="s">
        <v>123</v>
      </c>
      <c r="I1653" s="199">
        <v>1</v>
      </c>
      <c r="J1653" s="199">
        <v>1</v>
      </c>
      <c r="K1653" s="199">
        <v>1</v>
      </c>
      <c r="L1653" s="199">
        <v>50</v>
      </c>
      <c r="M1653" s="215">
        <v>0</v>
      </c>
      <c r="N1653" s="200" t="s">
        <v>4593</v>
      </c>
      <c r="O1653" s="234">
        <v>5</v>
      </c>
      <c r="P1653" s="199">
        <f>TB_Parts_Lists[[#This Row],[Quantity Initial]]*TB_Parts_Lists[[#This Row],[Unit Price AED]]</f>
        <v>250</v>
      </c>
      <c r="Q1653" s="199">
        <f>TB_Parts_Lists[[#This Row],[Quantity Total]]*TB_Parts_Lists[[#This Row],[Unit Price AED]]</f>
        <v>0</v>
      </c>
      <c r="R1653" s="213"/>
      <c r="S1653" s="199" t="s">
        <v>122</v>
      </c>
      <c r="T1653" s="199" t="s">
        <v>277</v>
      </c>
      <c r="U1653" s="199" t="s">
        <v>276</v>
      </c>
    </row>
    <row r="1654" spans="1:21" x14ac:dyDescent="0.25">
      <c r="A1654" s="194" t="s">
        <v>8204</v>
      </c>
      <c r="B1654" s="207" t="s">
        <v>3334</v>
      </c>
      <c r="C1654" s="205" t="s">
        <v>4577</v>
      </c>
      <c r="D1654" s="199" t="s">
        <v>8723</v>
      </c>
      <c r="E1654" s="188" t="s">
        <v>5906</v>
      </c>
      <c r="F1654" s="189" t="s">
        <v>6384</v>
      </c>
      <c r="G1654" s="199" t="s">
        <v>8322</v>
      </c>
      <c r="H1654" s="199" t="s">
        <v>123</v>
      </c>
      <c r="I1654" s="199">
        <v>1</v>
      </c>
      <c r="J1654" s="199">
        <v>1</v>
      </c>
      <c r="K1654" s="199">
        <v>1</v>
      </c>
      <c r="L1654" s="199">
        <v>50</v>
      </c>
      <c r="M1654" s="215">
        <v>0</v>
      </c>
      <c r="N1654" s="200" t="s">
        <v>4593</v>
      </c>
      <c r="O1654" s="234">
        <v>5</v>
      </c>
      <c r="P1654" s="199">
        <f>TB_Parts_Lists[[#This Row],[Quantity Initial]]*TB_Parts_Lists[[#This Row],[Unit Price AED]]</f>
        <v>250</v>
      </c>
      <c r="Q1654" s="199">
        <f>TB_Parts_Lists[[#This Row],[Quantity Total]]*TB_Parts_Lists[[#This Row],[Unit Price AED]]</f>
        <v>0</v>
      </c>
      <c r="R1654" s="213"/>
      <c r="S1654" s="199" t="s">
        <v>122</v>
      </c>
      <c r="T1654" s="199" t="s">
        <v>277</v>
      </c>
      <c r="U1654" s="199" t="s">
        <v>276</v>
      </c>
    </row>
    <row r="1655" spans="1:21" x14ac:dyDescent="0.25">
      <c r="A1655" s="194" t="s">
        <v>8205</v>
      </c>
      <c r="B1655" s="207" t="s">
        <v>3334</v>
      </c>
      <c r="C1655" s="205" t="s">
        <v>4577</v>
      </c>
      <c r="D1655" s="199" t="s">
        <v>8723</v>
      </c>
      <c r="E1655" s="188" t="s">
        <v>5907</v>
      </c>
      <c r="F1655" s="189" t="s">
        <v>6385</v>
      </c>
      <c r="G1655" s="199" t="s">
        <v>8322</v>
      </c>
      <c r="H1655" s="199" t="s">
        <v>123</v>
      </c>
      <c r="I1655" s="199">
        <v>1</v>
      </c>
      <c r="J1655" s="199">
        <v>1</v>
      </c>
      <c r="K1655" s="199">
        <v>1</v>
      </c>
      <c r="L1655" s="199">
        <v>50</v>
      </c>
      <c r="M1655" s="215">
        <v>0</v>
      </c>
      <c r="N1655" s="200" t="s">
        <v>4593</v>
      </c>
      <c r="O1655" s="234">
        <v>5</v>
      </c>
      <c r="P1655" s="199">
        <f>TB_Parts_Lists[[#This Row],[Quantity Initial]]*TB_Parts_Lists[[#This Row],[Unit Price AED]]</f>
        <v>250</v>
      </c>
      <c r="Q1655" s="199">
        <f>TB_Parts_Lists[[#This Row],[Quantity Total]]*TB_Parts_Lists[[#This Row],[Unit Price AED]]</f>
        <v>0</v>
      </c>
      <c r="R1655" s="213"/>
      <c r="S1655" s="199" t="s">
        <v>122</v>
      </c>
      <c r="T1655" s="199" t="s">
        <v>277</v>
      </c>
      <c r="U1655" s="199" t="s">
        <v>276</v>
      </c>
    </row>
    <row r="1656" spans="1:21" x14ac:dyDescent="0.25">
      <c r="A1656" s="194" t="s">
        <v>8206</v>
      </c>
      <c r="B1656" s="207" t="s">
        <v>3334</v>
      </c>
      <c r="C1656" s="205" t="s">
        <v>4577</v>
      </c>
      <c r="D1656" s="199" t="s">
        <v>8732</v>
      </c>
      <c r="E1656" s="188" t="s">
        <v>5908</v>
      </c>
      <c r="F1656" s="189" t="s">
        <v>6386</v>
      </c>
      <c r="G1656" s="199" t="s">
        <v>8322</v>
      </c>
      <c r="H1656" s="199" t="s">
        <v>123</v>
      </c>
      <c r="I1656" s="199">
        <v>1</v>
      </c>
      <c r="J1656" s="199">
        <v>1</v>
      </c>
      <c r="K1656" s="199">
        <v>1</v>
      </c>
      <c r="L1656" s="199">
        <v>50</v>
      </c>
      <c r="M1656" s="215">
        <v>0</v>
      </c>
      <c r="N1656" s="200" t="s">
        <v>4593</v>
      </c>
      <c r="O1656" s="234">
        <v>5</v>
      </c>
      <c r="P1656" s="199">
        <f>TB_Parts_Lists[[#This Row],[Quantity Initial]]*TB_Parts_Lists[[#This Row],[Unit Price AED]]</f>
        <v>250</v>
      </c>
      <c r="Q1656" s="199">
        <f>TB_Parts_Lists[[#This Row],[Quantity Total]]*TB_Parts_Lists[[#This Row],[Unit Price AED]]</f>
        <v>0</v>
      </c>
      <c r="R1656" s="213"/>
      <c r="S1656" s="199" t="s">
        <v>122</v>
      </c>
      <c r="T1656" s="199" t="s">
        <v>277</v>
      </c>
      <c r="U1656" s="199" t="s">
        <v>276</v>
      </c>
    </row>
    <row r="1657" spans="1:21" x14ac:dyDescent="0.25">
      <c r="A1657" s="194" t="s">
        <v>8207</v>
      </c>
      <c r="B1657" s="207" t="s">
        <v>3334</v>
      </c>
      <c r="C1657" s="205" t="s">
        <v>4577</v>
      </c>
      <c r="D1657" s="199" t="s">
        <v>8732</v>
      </c>
      <c r="E1657" s="188" t="s">
        <v>5909</v>
      </c>
      <c r="F1657" s="189" t="s">
        <v>6387</v>
      </c>
      <c r="G1657" s="199" t="s">
        <v>8322</v>
      </c>
      <c r="H1657" s="199" t="s">
        <v>123</v>
      </c>
      <c r="I1657" s="199">
        <v>1</v>
      </c>
      <c r="J1657" s="199">
        <v>1</v>
      </c>
      <c r="K1657" s="199">
        <v>1</v>
      </c>
      <c r="L1657" s="199">
        <v>50</v>
      </c>
      <c r="M1657" s="215">
        <v>0</v>
      </c>
      <c r="N1657" s="200" t="s">
        <v>4593</v>
      </c>
      <c r="O1657" s="234">
        <v>5</v>
      </c>
      <c r="P1657" s="199">
        <f>TB_Parts_Lists[[#This Row],[Quantity Initial]]*TB_Parts_Lists[[#This Row],[Unit Price AED]]</f>
        <v>250</v>
      </c>
      <c r="Q1657" s="199">
        <f>TB_Parts_Lists[[#This Row],[Quantity Total]]*TB_Parts_Lists[[#This Row],[Unit Price AED]]</f>
        <v>0</v>
      </c>
      <c r="R1657" s="213"/>
      <c r="S1657" s="199" t="s">
        <v>122</v>
      </c>
      <c r="T1657" s="199" t="s">
        <v>277</v>
      </c>
      <c r="U1657" s="199" t="s">
        <v>276</v>
      </c>
    </row>
    <row r="1658" spans="1:21" x14ac:dyDescent="0.25">
      <c r="A1658" s="194" t="s">
        <v>8208</v>
      </c>
      <c r="B1658" s="207" t="s">
        <v>3334</v>
      </c>
      <c r="C1658" s="205" t="s">
        <v>4577</v>
      </c>
      <c r="D1658" s="199" t="s">
        <v>8732</v>
      </c>
      <c r="E1658" s="188" t="s">
        <v>5910</v>
      </c>
      <c r="F1658" s="189" t="s">
        <v>6388</v>
      </c>
      <c r="G1658" s="199" t="s">
        <v>8322</v>
      </c>
      <c r="H1658" s="199" t="s">
        <v>123</v>
      </c>
      <c r="I1658" s="199">
        <v>1</v>
      </c>
      <c r="J1658" s="199">
        <v>1</v>
      </c>
      <c r="K1658" s="199">
        <v>1</v>
      </c>
      <c r="L1658" s="199">
        <v>50</v>
      </c>
      <c r="M1658" s="215">
        <v>0</v>
      </c>
      <c r="N1658" s="200" t="s">
        <v>4593</v>
      </c>
      <c r="O1658" s="234">
        <v>5</v>
      </c>
      <c r="P1658" s="199">
        <f>TB_Parts_Lists[[#This Row],[Quantity Initial]]*TB_Parts_Lists[[#This Row],[Unit Price AED]]</f>
        <v>250</v>
      </c>
      <c r="Q1658" s="199">
        <f>TB_Parts_Lists[[#This Row],[Quantity Total]]*TB_Parts_Lists[[#This Row],[Unit Price AED]]</f>
        <v>0</v>
      </c>
      <c r="R1658" s="213"/>
      <c r="S1658" s="199" t="s">
        <v>122</v>
      </c>
      <c r="T1658" s="199" t="s">
        <v>277</v>
      </c>
      <c r="U1658" s="199" t="s">
        <v>276</v>
      </c>
    </row>
    <row r="1659" spans="1:21" x14ac:dyDescent="0.25">
      <c r="A1659" s="194" t="s">
        <v>8209</v>
      </c>
      <c r="B1659" s="207" t="s">
        <v>3334</v>
      </c>
      <c r="C1659" s="205" t="s">
        <v>4577</v>
      </c>
      <c r="D1659" s="199" t="s">
        <v>8732</v>
      </c>
      <c r="E1659" s="188" t="s">
        <v>5911</v>
      </c>
      <c r="F1659" s="189" t="s">
        <v>6389</v>
      </c>
      <c r="G1659" s="199" t="s">
        <v>8322</v>
      </c>
      <c r="H1659" s="199" t="s">
        <v>123</v>
      </c>
      <c r="I1659" s="199">
        <v>1</v>
      </c>
      <c r="J1659" s="199">
        <v>1</v>
      </c>
      <c r="K1659" s="199">
        <v>1</v>
      </c>
      <c r="L1659" s="199">
        <v>50</v>
      </c>
      <c r="M1659" s="215">
        <v>0</v>
      </c>
      <c r="N1659" s="200" t="s">
        <v>4593</v>
      </c>
      <c r="O1659" s="234">
        <v>5</v>
      </c>
      <c r="P1659" s="199">
        <f>TB_Parts_Lists[[#This Row],[Quantity Initial]]*TB_Parts_Lists[[#This Row],[Unit Price AED]]</f>
        <v>250</v>
      </c>
      <c r="Q1659" s="199">
        <f>TB_Parts_Lists[[#This Row],[Quantity Total]]*TB_Parts_Lists[[#This Row],[Unit Price AED]]</f>
        <v>0</v>
      </c>
      <c r="R1659" s="213"/>
      <c r="S1659" s="199" t="s">
        <v>122</v>
      </c>
      <c r="T1659" s="199" t="s">
        <v>277</v>
      </c>
      <c r="U1659" s="199" t="s">
        <v>276</v>
      </c>
    </row>
    <row r="1660" spans="1:21" x14ac:dyDescent="0.25">
      <c r="A1660" s="194" t="s">
        <v>8210</v>
      </c>
      <c r="B1660" s="207" t="s">
        <v>3334</v>
      </c>
      <c r="C1660" s="205" t="s">
        <v>4577</v>
      </c>
      <c r="D1660" s="199" t="s">
        <v>8723</v>
      </c>
      <c r="E1660" s="188" t="s">
        <v>5912</v>
      </c>
      <c r="F1660" s="189" t="s">
        <v>6390</v>
      </c>
      <c r="G1660" s="199" t="s">
        <v>8322</v>
      </c>
      <c r="H1660" s="199" t="s">
        <v>123</v>
      </c>
      <c r="I1660" s="199">
        <v>1</v>
      </c>
      <c r="J1660" s="199">
        <v>1</v>
      </c>
      <c r="K1660" s="199">
        <v>1</v>
      </c>
      <c r="L1660" s="199">
        <v>50</v>
      </c>
      <c r="M1660" s="215">
        <v>0</v>
      </c>
      <c r="N1660" s="200" t="s">
        <v>4593</v>
      </c>
      <c r="O1660" s="234">
        <v>5</v>
      </c>
      <c r="P1660" s="199">
        <f>TB_Parts_Lists[[#This Row],[Quantity Initial]]*TB_Parts_Lists[[#This Row],[Unit Price AED]]</f>
        <v>250</v>
      </c>
      <c r="Q1660" s="199">
        <f>TB_Parts_Lists[[#This Row],[Quantity Total]]*TB_Parts_Lists[[#This Row],[Unit Price AED]]</f>
        <v>0</v>
      </c>
      <c r="R1660" s="213"/>
      <c r="S1660" s="199" t="s">
        <v>122</v>
      </c>
      <c r="T1660" s="199" t="s">
        <v>277</v>
      </c>
      <c r="U1660" s="199" t="s">
        <v>276</v>
      </c>
    </row>
    <row r="1661" spans="1:21" x14ac:dyDescent="0.25">
      <c r="A1661" s="194" t="s">
        <v>8211</v>
      </c>
      <c r="B1661" s="207" t="s">
        <v>3334</v>
      </c>
      <c r="C1661" s="205" t="s">
        <v>4577</v>
      </c>
      <c r="D1661" s="199" t="s">
        <v>8723</v>
      </c>
      <c r="E1661" s="188" t="s">
        <v>5913</v>
      </c>
      <c r="F1661" s="189" t="s">
        <v>6391</v>
      </c>
      <c r="G1661" s="199" t="s">
        <v>8322</v>
      </c>
      <c r="H1661" s="199" t="s">
        <v>123</v>
      </c>
      <c r="I1661" s="199">
        <v>1</v>
      </c>
      <c r="J1661" s="199">
        <v>1</v>
      </c>
      <c r="K1661" s="199">
        <v>1</v>
      </c>
      <c r="L1661" s="199">
        <v>50</v>
      </c>
      <c r="M1661" s="215">
        <v>0</v>
      </c>
      <c r="N1661" s="200" t="s">
        <v>4593</v>
      </c>
      <c r="O1661" s="234">
        <v>5</v>
      </c>
      <c r="P1661" s="199">
        <f>TB_Parts_Lists[[#This Row],[Quantity Initial]]*TB_Parts_Lists[[#This Row],[Unit Price AED]]</f>
        <v>250</v>
      </c>
      <c r="Q1661" s="199">
        <f>TB_Parts_Lists[[#This Row],[Quantity Total]]*TB_Parts_Lists[[#This Row],[Unit Price AED]]</f>
        <v>0</v>
      </c>
      <c r="R1661" s="213"/>
      <c r="S1661" s="199" t="s">
        <v>122</v>
      </c>
      <c r="T1661" s="199" t="s">
        <v>277</v>
      </c>
      <c r="U1661" s="199" t="s">
        <v>276</v>
      </c>
    </row>
    <row r="1662" spans="1:21" x14ac:dyDescent="0.25">
      <c r="A1662" s="194" t="s">
        <v>8212</v>
      </c>
      <c r="B1662" s="207" t="s">
        <v>3334</v>
      </c>
      <c r="C1662" s="205" t="s">
        <v>4577</v>
      </c>
      <c r="D1662" s="199" t="s">
        <v>8723</v>
      </c>
      <c r="E1662" s="188" t="s">
        <v>5914</v>
      </c>
      <c r="F1662" s="189" t="s">
        <v>6392</v>
      </c>
      <c r="G1662" s="199" t="s">
        <v>8322</v>
      </c>
      <c r="H1662" s="199" t="s">
        <v>123</v>
      </c>
      <c r="I1662" s="199">
        <v>1</v>
      </c>
      <c r="J1662" s="199">
        <v>1</v>
      </c>
      <c r="K1662" s="199">
        <v>1</v>
      </c>
      <c r="L1662" s="199">
        <v>50</v>
      </c>
      <c r="M1662" s="215">
        <v>0</v>
      </c>
      <c r="N1662" s="200" t="s">
        <v>4593</v>
      </c>
      <c r="O1662" s="234">
        <v>5</v>
      </c>
      <c r="P1662" s="199">
        <f>TB_Parts_Lists[[#This Row],[Quantity Initial]]*TB_Parts_Lists[[#This Row],[Unit Price AED]]</f>
        <v>250</v>
      </c>
      <c r="Q1662" s="199">
        <f>TB_Parts_Lists[[#This Row],[Quantity Total]]*TB_Parts_Lists[[#This Row],[Unit Price AED]]</f>
        <v>0</v>
      </c>
      <c r="R1662" s="213"/>
      <c r="S1662" s="199" t="s">
        <v>122</v>
      </c>
      <c r="T1662" s="199" t="s">
        <v>277</v>
      </c>
      <c r="U1662" s="199" t="s">
        <v>276</v>
      </c>
    </row>
    <row r="1663" spans="1:21" x14ac:dyDescent="0.25">
      <c r="A1663" s="194" t="s">
        <v>8213</v>
      </c>
      <c r="B1663" s="207" t="s">
        <v>3334</v>
      </c>
      <c r="C1663" s="205" t="s">
        <v>4577</v>
      </c>
      <c r="D1663" s="199" t="s">
        <v>8732</v>
      </c>
      <c r="E1663" s="188" t="s">
        <v>5915</v>
      </c>
      <c r="F1663" s="189" t="s">
        <v>6393</v>
      </c>
      <c r="G1663" s="199" t="s">
        <v>8322</v>
      </c>
      <c r="H1663" s="199" t="s">
        <v>123</v>
      </c>
      <c r="I1663" s="199">
        <v>1</v>
      </c>
      <c r="J1663" s="199">
        <v>1</v>
      </c>
      <c r="K1663" s="199">
        <v>1</v>
      </c>
      <c r="L1663" s="199">
        <v>50</v>
      </c>
      <c r="M1663" s="215">
        <v>0</v>
      </c>
      <c r="N1663" s="200" t="s">
        <v>4593</v>
      </c>
      <c r="O1663" s="234">
        <v>5</v>
      </c>
      <c r="P1663" s="199">
        <f>TB_Parts_Lists[[#This Row],[Quantity Initial]]*TB_Parts_Lists[[#This Row],[Unit Price AED]]</f>
        <v>250</v>
      </c>
      <c r="Q1663" s="199">
        <f>TB_Parts_Lists[[#This Row],[Quantity Total]]*TB_Parts_Lists[[#This Row],[Unit Price AED]]</f>
        <v>0</v>
      </c>
      <c r="R1663" s="213"/>
      <c r="S1663" s="199" t="s">
        <v>122</v>
      </c>
      <c r="T1663" s="199" t="s">
        <v>277</v>
      </c>
      <c r="U1663" s="199" t="s">
        <v>276</v>
      </c>
    </row>
    <row r="1664" spans="1:21" x14ac:dyDescent="0.25">
      <c r="A1664" s="194" t="s">
        <v>8214</v>
      </c>
      <c r="B1664" s="207" t="s">
        <v>3334</v>
      </c>
      <c r="C1664" s="205" t="s">
        <v>4577</v>
      </c>
      <c r="D1664" s="199" t="s">
        <v>8732</v>
      </c>
      <c r="E1664" s="188" t="s">
        <v>5916</v>
      </c>
      <c r="F1664" s="189" t="s">
        <v>6394</v>
      </c>
      <c r="G1664" s="199" t="s">
        <v>8322</v>
      </c>
      <c r="H1664" s="199" t="s">
        <v>123</v>
      </c>
      <c r="I1664" s="199">
        <v>1</v>
      </c>
      <c r="J1664" s="199">
        <v>1</v>
      </c>
      <c r="K1664" s="199">
        <v>1</v>
      </c>
      <c r="L1664" s="199">
        <v>50</v>
      </c>
      <c r="M1664" s="215">
        <v>0</v>
      </c>
      <c r="N1664" s="200" t="s">
        <v>4593</v>
      </c>
      <c r="O1664" s="234">
        <v>5</v>
      </c>
      <c r="P1664" s="199">
        <f>TB_Parts_Lists[[#This Row],[Quantity Initial]]*TB_Parts_Lists[[#This Row],[Unit Price AED]]</f>
        <v>250</v>
      </c>
      <c r="Q1664" s="199">
        <f>TB_Parts_Lists[[#This Row],[Quantity Total]]*TB_Parts_Lists[[#This Row],[Unit Price AED]]</f>
        <v>0</v>
      </c>
      <c r="R1664" s="213"/>
      <c r="S1664" s="199" t="s">
        <v>122</v>
      </c>
      <c r="T1664" s="199" t="s">
        <v>277</v>
      </c>
      <c r="U1664" s="199" t="s">
        <v>276</v>
      </c>
    </row>
    <row r="1665" spans="1:21" x14ac:dyDescent="0.25">
      <c r="A1665" s="194" t="s">
        <v>8215</v>
      </c>
      <c r="B1665" s="207" t="s">
        <v>3334</v>
      </c>
      <c r="C1665" s="205" t="s">
        <v>4577</v>
      </c>
      <c r="D1665" s="199" t="s">
        <v>8723</v>
      </c>
      <c r="E1665" s="188" t="s">
        <v>5917</v>
      </c>
      <c r="F1665" s="189" t="s">
        <v>6395</v>
      </c>
      <c r="G1665" s="199" t="s">
        <v>8322</v>
      </c>
      <c r="H1665" s="199" t="s">
        <v>123</v>
      </c>
      <c r="I1665" s="199">
        <v>1</v>
      </c>
      <c r="J1665" s="199">
        <v>1</v>
      </c>
      <c r="K1665" s="199">
        <v>1</v>
      </c>
      <c r="L1665" s="199">
        <v>50</v>
      </c>
      <c r="M1665" s="215">
        <v>0</v>
      </c>
      <c r="N1665" s="200" t="s">
        <v>4593</v>
      </c>
      <c r="O1665" s="234">
        <v>5</v>
      </c>
      <c r="P1665" s="199">
        <f>TB_Parts_Lists[[#This Row],[Quantity Initial]]*TB_Parts_Lists[[#This Row],[Unit Price AED]]</f>
        <v>250</v>
      </c>
      <c r="Q1665" s="199">
        <f>TB_Parts_Lists[[#This Row],[Quantity Total]]*TB_Parts_Lists[[#This Row],[Unit Price AED]]</f>
        <v>0</v>
      </c>
      <c r="R1665" s="213"/>
      <c r="S1665" s="199" t="s">
        <v>122</v>
      </c>
      <c r="T1665" s="199" t="s">
        <v>277</v>
      </c>
      <c r="U1665" s="199" t="s">
        <v>276</v>
      </c>
    </row>
    <row r="1666" spans="1:21" x14ac:dyDescent="0.25">
      <c r="A1666" s="194" t="s">
        <v>8216</v>
      </c>
      <c r="B1666" s="207" t="s">
        <v>3334</v>
      </c>
      <c r="C1666" s="205" t="s">
        <v>4577</v>
      </c>
      <c r="D1666" s="199" t="s">
        <v>8732</v>
      </c>
      <c r="E1666" s="188" t="s">
        <v>5918</v>
      </c>
      <c r="F1666" s="189" t="s">
        <v>6396</v>
      </c>
      <c r="G1666" s="199" t="s">
        <v>8322</v>
      </c>
      <c r="H1666" s="199" t="s">
        <v>123</v>
      </c>
      <c r="I1666" s="199">
        <v>1</v>
      </c>
      <c r="J1666" s="199">
        <v>1</v>
      </c>
      <c r="K1666" s="199">
        <v>1</v>
      </c>
      <c r="L1666" s="199">
        <v>50</v>
      </c>
      <c r="M1666" s="215">
        <v>0</v>
      </c>
      <c r="N1666" s="200" t="s">
        <v>4593</v>
      </c>
      <c r="O1666" s="234">
        <v>5</v>
      </c>
      <c r="P1666" s="199">
        <f>TB_Parts_Lists[[#This Row],[Quantity Initial]]*TB_Parts_Lists[[#This Row],[Unit Price AED]]</f>
        <v>250</v>
      </c>
      <c r="Q1666" s="199">
        <f>TB_Parts_Lists[[#This Row],[Quantity Total]]*TB_Parts_Lists[[#This Row],[Unit Price AED]]</f>
        <v>0</v>
      </c>
      <c r="R1666" s="213"/>
      <c r="S1666" s="199" t="s">
        <v>122</v>
      </c>
      <c r="T1666" s="199" t="s">
        <v>277</v>
      </c>
      <c r="U1666" s="199" t="s">
        <v>276</v>
      </c>
    </row>
    <row r="1667" spans="1:21" x14ac:dyDescent="0.25">
      <c r="A1667" s="194" t="s">
        <v>8217</v>
      </c>
      <c r="B1667" s="207" t="s">
        <v>3334</v>
      </c>
      <c r="C1667" s="205" t="s">
        <v>4577</v>
      </c>
      <c r="D1667" s="199" t="s">
        <v>8723</v>
      </c>
      <c r="E1667" s="188" t="s">
        <v>5919</v>
      </c>
      <c r="F1667" s="189" t="s">
        <v>6397</v>
      </c>
      <c r="G1667" s="199" t="s">
        <v>8322</v>
      </c>
      <c r="H1667" s="199" t="s">
        <v>123</v>
      </c>
      <c r="I1667" s="199">
        <v>1</v>
      </c>
      <c r="J1667" s="199">
        <v>1</v>
      </c>
      <c r="K1667" s="199">
        <v>1</v>
      </c>
      <c r="L1667" s="199">
        <v>50</v>
      </c>
      <c r="M1667" s="215">
        <v>0</v>
      </c>
      <c r="N1667" s="200" t="s">
        <v>4593</v>
      </c>
      <c r="O1667" s="234">
        <v>5</v>
      </c>
      <c r="P1667" s="199">
        <f>TB_Parts_Lists[[#This Row],[Quantity Initial]]*TB_Parts_Lists[[#This Row],[Unit Price AED]]</f>
        <v>250</v>
      </c>
      <c r="Q1667" s="199">
        <f>TB_Parts_Lists[[#This Row],[Quantity Total]]*TB_Parts_Lists[[#This Row],[Unit Price AED]]</f>
        <v>0</v>
      </c>
      <c r="R1667" s="213"/>
      <c r="S1667" s="199" t="s">
        <v>122</v>
      </c>
      <c r="T1667" s="199" t="s">
        <v>277</v>
      </c>
      <c r="U1667" s="199" t="s">
        <v>276</v>
      </c>
    </row>
    <row r="1668" spans="1:21" x14ac:dyDescent="0.25">
      <c r="A1668" s="194" t="s">
        <v>8218</v>
      </c>
      <c r="B1668" s="207" t="s">
        <v>3334</v>
      </c>
      <c r="C1668" s="205" t="s">
        <v>4577</v>
      </c>
      <c r="D1668" s="199" t="s">
        <v>8723</v>
      </c>
      <c r="E1668" s="188" t="s">
        <v>5920</v>
      </c>
      <c r="F1668" s="189" t="s">
        <v>6398</v>
      </c>
      <c r="G1668" s="199" t="s">
        <v>8322</v>
      </c>
      <c r="H1668" s="199" t="s">
        <v>123</v>
      </c>
      <c r="I1668" s="199">
        <v>1</v>
      </c>
      <c r="J1668" s="199">
        <v>1</v>
      </c>
      <c r="K1668" s="199">
        <v>1</v>
      </c>
      <c r="L1668" s="199">
        <v>50</v>
      </c>
      <c r="M1668" s="215">
        <v>0</v>
      </c>
      <c r="N1668" s="200" t="s">
        <v>4593</v>
      </c>
      <c r="O1668" s="234">
        <v>5</v>
      </c>
      <c r="P1668" s="199">
        <f>TB_Parts_Lists[[#This Row],[Quantity Initial]]*TB_Parts_Lists[[#This Row],[Unit Price AED]]</f>
        <v>250</v>
      </c>
      <c r="Q1668" s="199">
        <f>TB_Parts_Lists[[#This Row],[Quantity Total]]*TB_Parts_Lists[[#This Row],[Unit Price AED]]</f>
        <v>0</v>
      </c>
      <c r="R1668" s="213"/>
      <c r="S1668" s="199" t="s">
        <v>122</v>
      </c>
      <c r="T1668" s="199" t="s">
        <v>277</v>
      </c>
      <c r="U1668" s="199" t="s">
        <v>276</v>
      </c>
    </row>
    <row r="1669" spans="1:21" x14ac:dyDescent="0.25">
      <c r="A1669" s="194" t="s">
        <v>8219</v>
      </c>
      <c r="B1669" s="201" t="s">
        <v>3334</v>
      </c>
      <c r="C1669" s="199" t="s">
        <v>7959</v>
      </c>
      <c r="D1669" s="199" t="s">
        <v>8732</v>
      </c>
      <c r="E1669" s="188" t="s">
        <v>5921</v>
      </c>
      <c r="F1669" s="189" t="s">
        <v>6399</v>
      </c>
      <c r="G1669" s="199" t="s">
        <v>8323</v>
      </c>
      <c r="H1669" s="199" t="s">
        <v>8638</v>
      </c>
      <c r="I1669" s="199">
        <v>1</v>
      </c>
      <c r="J1669" s="199">
        <v>1</v>
      </c>
      <c r="K1669" s="199">
        <v>1</v>
      </c>
      <c r="L1669" s="199">
        <v>50</v>
      </c>
      <c r="M1669" s="215">
        <v>0</v>
      </c>
      <c r="N1669" s="200" t="s">
        <v>4593</v>
      </c>
      <c r="O1669" s="234">
        <v>5</v>
      </c>
      <c r="P1669" s="199">
        <f>TB_Parts_Lists[[#This Row],[Quantity Initial]]*TB_Parts_Lists[[#This Row],[Unit Price AED]]</f>
        <v>250</v>
      </c>
      <c r="Q1669" s="199">
        <f>TB_Parts_Lists[[#This Row],[Quantity Total]]*TB_Parts_Lists[[#This Row],[Unit Price AED]]</f>
        <v>0</v>
      </c>
      <c r="R1669" s="213"/>
      <c r="S1669" s="199" t="s">
        <v>122</v>
      </c>
      <c r="T1669" s="199" t="s">
        <v>8696</v>
      </c>
      <c r="U1669" s="199" t="s">
        <v>292</v>
      </c>
    </row>
    <row r="1670" spans="1:21" x14ac:dyDescent="0.25">
      <c r="A1670" s="194" t="s">
        <v>8220</v>
      </c>
      <c r="B1670" s="201" t="s">
        <v>3334</v>
      </c>
      <c r="C1670" s="199" t="s">
        <v>7959</v>
      </c>
      <c r="D1670" s="188" t="s">
        <v>8724</v>
      </c>
      <c r="E1670" s="188" t="s">
        <v>5922</v>
      </c>
      <c r="F1670" s="189" t="s">
        <v>6400</v>
      </c>
      <c r="G1670" s="199" t="s">
        <v>8323</v>
      </c>
      <c r="H1670" s="199" t="s">
        <v>53</v>
      </c>
      <c r="I1670" s="199">
        <v>1</v>
      </c>
      <c r="J1670" s="199">
        <v>1</v>
      </c>
      <c r="K1670" s="199">
        <v>1</v>
      </c>
      <c r="L1670" s="199">
        <v>50</v>
      </c>
      <c r="M1670" s="215">
        <v>0</v>
      </c>
      <c r="N1670" s="200" t="s">
        <v>4593</v>
      </c>
      <c r="O1670" s="234">
        <v>5</v>
      </c>
      <c r="P1670" s="199">
        <f>TB_Parts_Lists[[#This Row],[Quantity Initial]]*TB_Parts_Lists[[#This Row],[Unit Price AED]]</f>
        <v>250</v>
      </c>
      <c r="Q1670" s="199">
        <f>TB_Parts_Lists[[#This Row],[Quantity Total]]*TB_Parts_Lists[[#This Row],[Unit Price AED]]</f>
        <v>0</v>
      </c>
      <c r="R1670" s="213"/>
      <c r="S1670" s="199" t="s">
        <v>122</v>
      </c>
      <c r="T1670" s="199" t="s">
        <v>8696</v>
      </c>
      <c r="U1670" s="199" t="s">
        <v>292</v>
      </c>
    </row>
    <row r="1671" spans="1:21" x14ac:dyDescent="0.25">
      <c r="A1671" s="194" t="s">
        <v>8221</v>
      </c>
      <c r="B1671" s="201" t="s">
        <v>3334</v>
      </c>
      <c r="C1671" s="213" t="s">
        <v>3367</v>
      </c>
      <c r="D1671" s="199" t="s">
        <v>8732</v>
      </c>
      <c r="E1671" s="188" t="s">
        <v>5923</v>
      </c>
      <c r="F1671" s="189" t="s">
        <v>6401</v>
      </c>
      <c r="G1671" s="199" t="s">
        <v>8323</v>
      </c>
      <c r="H1671" s="199" t="s">
        <v>8656</v>
      </c>
      <c r="I1671" s="199">
        <v>1</v>
      </c>
      <c r="J1671" s="199">
        <v>1</v>
      </c>
      <c r="K1671" s="199">
        <v>1</v>
      </c>
      <c r="L1671" s="199">
        <v>50</v>
      </c>
      <c r="M1671" s="215">
        <v>0</v>
      </c>
      <c r="N1671" s="200" t="s">
        <v>4593</v>
      </c>
      <c r="O1671" s="234">
        <v>5</v>
      </c>
      <c r="P1671" s="199">
        <f>TB_Parts_Lists[[#This Row],[Quantity Initial]]*TB_Parts_Lists[[#This Row],[Unit Price AED]]</f>
        <v>250</v>
      </c>
      <c r="Q1671" s="199">
        <f>TB_Parts_Lists[[#This Row],[Quantity Total]]*TB_Parts_Lists[[#This Row],[Unit Price AED]]</f>
        <v>0</v>
      </c>
      <c r="R1671" s="213"/>
      <c r="S1671" s="199" t="s">
        <v>122</v>
      </c>
      <c r="T1671" s="199" t="s">
        <v>8696</v>
      </c>
      <c r="U1671" s="199" t="s">
        <v>292</v>
      </c>
    </row>
    <row r="1672" spans="1:21" x14ac:dyDescent="0.25">
      <c r="A1672" s="194" t="s">
        <v>8222</v>
      </c>
      <c r="B1672" s="201" t="s">
        <v>3334</v>
      </c>
      <c r="C1672" s="199" t="s">
        <v>7959</v>
      </c>
      <c r="D1672" s="199" t="s">
        <v>8732</v>
      </c>
      <c r="E1672" s="188" t="s">
        <v>5924</v>
      </c>
      <c r="F1672" s="189" t="s">
        <v>6402</v>
      </c>
      <c r="G1672" s="199" t="s">
        <v>8323</v>
      </c>
      <c r="H1672" s="199" t="s">
        <v>123</v>
      </c>
      <c r="I1672" s="199">
        <v>1</v>
      </c>
      <c r="J1672" s="199">
        <v>1</v>
      </c>
      <c r="K1672" s="199">
        <v>1</v>
      </c>
      <c r="L1672" s="199">
        <v>50</v>
      </c>
      <c r="M1672" s="215">
        <v>0</v>
      </c>
      <c r="N1672" s="200" t="s">
        <v>4593</v>
      </c>
      <c r="O1672" s="234">
        <v>5</v>
      </c>
      <c r="P1672" s="199">
        <f>TB_Parts_Lists[[#This Row],[Quantity Initial]]*TB_Parts_Lists[[#This Row],[Unit Price AED]]</f>
        <v>250</v>
      </c>
      <c r="Q1672" s="199">
        <f>TB_Parts_Lists[[#This Row],[Quantity Total]]*TB_Parts_Lists[[#This Row],[Unit Price AED]]</f>
        <v>0</v>
      </c>
      <c r="R1672" s="213"/>
      <c r="S1672" s="199" t="s">
        <v>122</v>
      </c>
      <c r="T1672" s="199" t="s">
        <v>8696</v>
      </c>
      <c r="U1672" s="199" t="s">
        <v>292</v>
      </c>
    </row>
    <row r="1673" spans="1:21" x14ac:dyDescent="0.25">
      <c r="A1673" s="194" t="s">
        <v>8223</v>
      </c>
      <c r="B1673" s="201" t="s">
        <v>3334</v>
      </c>
      <c r="C1673" s="213" t="s">
        <v>7244</v>
      </c>
      <c r="D1673" s="199" t="s">
        <v>8732</v>
      </c>
      <c r="E1673" s="188" t="s">
        <v>5925</v>
      </c>
      <c r="F1673" s="189" t="s">
        <v>6403</v>
      </c>
      <c r="G1673" s="199" t="s">
        <v>8323</v>
      </c>
      <c r="H1673" s="199" t="s">
        <v>8652</v>
      </c>
      <c r="I1673" s="199">
        <v>1</v>
      </c>
      <c r="J1673" s="199">
        <v>1</v>
      </c>
      <c r="K1673" s="199">
        <v>1</v>
      </c>
      <c r="L1673" s="199">
        <v>50</v>
      </c>
      <c r="M1673" s="215">
        <v>0</v>
      </c>
      <c r="N1673" s="200" t="s">
        <v>4593</v>
      </c>
      <c r="O1673" s="234">
        <v>5</v>
      </c>
      <c r="P1673" s="199">
        <f>TB_Parts_Lists[[#This Row],[Quantity Initial]]*TB_Parts_Lists[[#This Row],[Unit Price AED]]</f>
        <v>250</v>
      </c>
      <c r="Q1673" s="199">
        <f>TB_Parts_Lists[[#This Row],[Quantity Total]]*TB_Parts_Lists[[#This Row],[Unit Price AED]]</f>
        <v>0</v>
      </c>
      <c r="R1673" s="213"/>
      <c r="S1673" s="199" t="s">
        <v>122</v>
      </c>
      <c r="T1673" s="199" t="s">
        <v>8696</v>
      </c>
      <c r="U1673" s="199" t="s">
        <v>292</v>
      </c>
    </row>
    <row r="1674" spans="1:21" x14ac:dyDescent="0.25">
      <c r="A1674" s="194" t="s">
        <v>8224</v>
      </c>
      <c r="B1674" s="201" t="s">
        <v>3334</v>
      </c>
      <c r="C1674" s="199" t="s">
        <v>7959</v>
      </c>
      <c r="D1674" s="199" t="s">
        <v>8732</v>
      </c>
      <c r="E1674" s="188" t="s">
        <v>5926</v>
      </c>
      <c r="F1674" s="189" t="s">
        <v>6404</v>
      </c>
      <c r="G1674" s="199" t="s">
        <v>8323</v>
      </c>
      <c r="H1674" s="199" t="s">
        <v>123</v>
      </c>
      <c r="I1674" s="199">
        <v>1</v>
      </c>
      <c r="J1674" s="199">
        <v>1</v>
      </c>
      <c r="K1674" s="199">
        <v>1</v>
      </c>
      <c r="L1674" s="199">
        <v>50</v>
      </c>
      <c r="M1674" s="215">
        <v>0</v>
      </c>
      <c r="N1674" s="200" t="s">
        <v>4593</v>
      </c>
      <c r="O1674" s="234">
        <v>5</v>
      </c>
      <c r="P1674" s="199">
        <f>TB_Parts_Lists[[#This Row],[Quantity Initial]]*TB_Parts_Lists[[#This Row],[Unit Price AED]]</f>
        <v>250</v>
      </c>
      <c r="Q1674" s="199">
        <f>TB_Parts_Lists[[#This Row],[Quantity Total]]*TB_Parts_Lists[[#This Row],[Unit Price AED]]</f>
        <v>0</v>
      </c>
      <c r="R1674" s="213"/>
      <c r="S1674" s="199" t="s">
        <v>122</v>
      </c>
      <c r="T1674" s="199" t="s">
        <v>8696</v>
      </c>
      <c r="U1674" s="199" t="s">
        <v>292</v>
      </c>
    </row>
    <row r="1675" spans="1:21" x14ac:dyDescent="0.25">
      <c r="A1675" s="194" t="s">
        <v>8225</v>
      </c>
      <c r="B1675" s="201" t="s">
        <v>3334</v>
      </c>
      <c r="C1675" s="199" t="s">
        <v>7959</v>
      </c>
      <c r="D1675" s="188" t="s">
        <v>8723</v>
      </c>
      <c r="E1675" s="188" t="s">
        <v>5927</v>
      </c>
      <c r="F1675" s="189" t="s">
        <v>6405</v>
      </c>
      <c r="G1675" s="199" t="s">
        <v>8323</v>
      </c>
      <c r="H1675" s="199" t="s">
        <v>53</v>
      </c>
      <c r="I1675" s="199">
        <v>1</v>
      </c>
      <c r="J1675" s="199">
        <v>1</v>
      </c>
      <c r="K1675" s="199">
        <v>1</v>
      </c>
      <c r="L1675" s="199">
        <v>50</v>
      </c>
      <c r="M1675" s="215">
        <v>0</v>
      </c>
      <c r="N1675" s="200" t="s">
        <v>4593</v>
      </c>
      <c r="O1675" s="234">
        <v>5</v>
      </c>
      <c r="P1675" s="199">
        <f>TB_Parts_Lists[[#This Row],[Quantity Initial]]*TB_Parts_Lists[[#This Row],[Unit Price AED]]</f>
        <v>250</v>
      </c>
      <c r="Q1675" s="199">
        <f>TB_Parts_Lists[[#This Row],[Quantity Total]]*TB_Parts_Lists[[#This Row],[Unit Price AED]]</f>
        <v>0</v>
      </c>
      <c r="R1675" s="213"/>
      <c r="S1675" s="199" t="s">
        <v>122</v>
      </c>
      <c r="T1675" s="199" t="s">
        <v>8696</v>
      </c>
      <c r="U1675" s="199" t="s">
        <v>292</v>
      </c>
    </row>
    <row r="1676" spans="1:21" x14ac:dyDescent="0.25">
      <c r="A1676" s="194" t="s">
        <v>8226</v>
      </c>
      <c r="B1676" s="201" t="s">
        <v>3334</v>
      </c>
      <c r="C1676" s="199" t="s">
        <v>3367</v>
      </c>
      <c r="D1676" s="199" t="s">
        <v>8732</v>
      </c>
      <c r="E1676" s="188" t="s">
        <v>5928</v>
      </c>
      <c r="F1676" s="189" t="s">
        <v>6406</v>
      </c>
      <c r="G1676" s="199" t="s">
        <v>8323</v>
      </c>
      <c r="H1676" s="199" t="s">
        <v>3312</v>
      </c>
      <c r="I1676" s="199">
        <v>1</v>
      </c>
      <c r="J1676" s="199">
        <v>1</v>
      </c>
      <c r="K1676" s="199">
        <v>1</v>
      </c>
      <c r="L1676" s="199">
        <v>50</v>
      </c>
      <c r="M1676" s="215">
        <v>0</v>
      </c>
      <c r="N1676" s="200" t="s">
        <v>4593</v>
      </c>
      <c r="O1676" s="234">
        <v>5</v>
      </c>
      <c r="P1676" s="199">
        <f>TB_Parts_Lists[[#This Row],[Quantity Initial]]*TB_Parts_Lists[[#This Row],[Unit Price AED]]</f>
        <v>250</v>
      </c>
      <c r="Q1676" s="199">
        <f>TB_Parts_Lists[[#This Row],[Quantity Total]]*TB_Parts_Lists[[#This Row],[Unit Price AED]]</f>
        <v>0</v>
      </c>
      <c r="R1676" s="213"/>
      <c r="S1676" s="199" t="s">
        <v>122</v>
      </c>
      <c r="T1676" s="199" t="s">
        <v>8696</v>
      </c>
      <c r="U1676" s="199" t="s">
        <v>292</v>
      </c>
    </row>
    <row r="1677" spans="1:21" x14ac:dyDescent="0.25">
      <c r="A1677" s="194" t="s">
        <v>8227</v>
      </c>
      <c r="B1677" s="201" t="s">
        <v>3334</v>
      </c>
      <c r="C1677" s="199" t="s">
        <v>3367</v>
      </c>
      <c r="D1677" s="199" t="s">
        <v>8732</v>
      </c>
      <c r="E1677" s="188" t="s">
        <v>5929</v>
      </c>
      <c r="F1677" s="189" t="s">
        <v>6407</v>
      </c>
      <c r="G1677" s="199" t="s">
        <v>8323</v>
      </c>
      <c r="H1677" s="199" t="s">
        <v>3312</v>
      </c>
      <c r="I1677" s="199">
        <v>1</v>
      </c>
      <c r="J1677" s="199">
        <v>1</v>
      </c>
      <c r="K1677" s="199">
        <v>1</v>
      </c>
      <c r="L1677" s="199">
        <v>50</v>
      </c>
      <c r="M1677" s="215">
        <v>0</v>
      </c>
      <c r="N1677" s="200" t="s">
        <v>4593</v>
      </c>
      <c r="O1677" s="234">
        <v>5</v>
      </c>
      <c r="P1677" s="199">
        <f>TB_Parts_Lists[[#This Row],[Quantity Initial]]*TB_Parts_Lists[[#This Row],[Unit Price AED]]</f>
        <v>250</v>
      </c>
      <c r="Q1677" s="199">
        <f>TB_Parts_Lists[[#This Row],[Quantity Total]]*TB_Parts_Lists[[#This Row],[Unit Price AED]]</f>
        <v>0</v>
      </c>
      <c r="R1677" s="213"/>
      <c r="S1677" s="199" t="s">
        <v>122</v>
      </c>
      <c r="T1677" s="199" t="s">
        <v>8696</v>
      </c>
      <c r="U1677" s="199" t="s">
        <v>292</v>
      </c>
    </row>
    <row r="1678" spans="1:21" x14ac:dyDescent="0.25">
      <c r="A1678" s="194" t="s">
        <v>8228</v>
      </c>
      <c r="B1678" s="201" t="s">
        <v>3334</v>
      </c>
      <c r="C1678" s="213" t="s">
        <v>4580</v>
      </c>
      <c r="D1678" s="188" t="s">
        <v>8724</v>
      </c>
      <c r="E1678" s="188" t="s">
        <v>5930</v>
      </c>
      <c r="F1678" s="189" t="s">
        <v>6408</v>
      </c>
      <c r="G1678" s="199" t="s">
        <v>8323</v>
      </c>
      <c r="H1678" s="199" t="s">
        <v>8671</v>
      </c>
      <c r="I1678" s="199">
        <v>1</v>
      </c>
      <c r="J1678" s="199">
        <v>1</v>
      </c>
      <c r="K1678" s="199">
        <v>1</v>
      </c>
      <c r="L1678" s="199">
        <v>50</v>
      </c>
      <c r="M1678" s="215">
        <v>0</v>
      </c>
      <c r="N1678" s="200" t="s">
        <v>4593</v>
      </c>
      <c r="O1678" s="234">
        <v>5</v>
      </c>
      <c r="P1678" s="199">
        <f>TB_Parts_Lists[[#This Row],[Quantity Initial]]*TB_Parts_Lists[[#This Row],[Unit Price AED]]</f>
        <v>250</v>
      </c>
      <c r="Q1678" s="199">
        <f>TB_Parts_Lists[[#This Row],[Quantity Total]]*TB_Parts_Lists[[#This Row],[Unit Price AED]]</f>
        <v>0</v>
      </c>
      <c r="R1678" s="213"/>
      <c r="S1678" s="199" t="s">
        <v>122</v>
      </c>
      <c r="T1678" s="199" t="s">
        <v>8696</v>
      </c>
      <c r="U1678" s="199" t="s">
        <v>292</v>
      </c>
    </row>
    <row r="1679" spans="1:21" x14ac:dyDescent="0.25">
      <c r="A1679" s="194" t="s">
        <v>8229</v>
      </c>
      <c r="B1679" s="201" t="s">
        <v>3334</v>
      </c>
      <c r="C1679" s="199" t="s">
        <v>4580</v>
      </c>
      <c r="D1679" s="188" t="s">
        <v>8724</v>
      </c>
      <c r="E1679" s="188" t="s">
        <v>5931</v>
      </c>
      <c r="F1679" s="189" t="s">
        <v>6409</v>
      </c>
      <c r="G1679" s="199" t="s">
        <v>8323</v>
      </c>
      <c r="H1679" s="199" t="s">
        <v>8671</v>
      </c>
      <c r="I1679" s="199">
        <v>1</v>
      </c>
      <c r="J1679" s="199">
        <v>1</v>
      </c>
      <c r="K1679" s="199">
        <v>1</v>
      </c>
      <c r="L1679" s="199">
        <v>50</v>
      </c>
      <c r="M1679" s="215">
        <v>0</v>
      </c>
      <c r="N1679" s="200" t="s">
        <v>4593</v>
      </c>
      <c r="O1679" s="234">
        <v>5</v>
      </c>
      <c r="P1679" s="199">
        <f>TB_Parts_Lists[[#This Row],[Quantity Initial]]*TB_Parts_Lists[[#This Row],[Unit Price AED]]</f>
        <v>250</v>
      </c>
      <c r="Q1679" s="199">
        <f>TB_Parts_Lists[[#This Row],[Quantity Total]]*TB_Parts_Lists[[#This Row],[Unit Price AED]]</f>
        <v>0</v>
      </c>
      <c r="R1679" s="213"/>
      <c r="S1679" s="199" t="s">
        <v>122</v>
      </c>
      <c r="T1679" s="199" t="s">
        <v>8696</v>
      </c>
      <c r="U1679" s="199" t="s">
        <v>292</v>
      </c>
    </row>
    <row r="1680" spans="1:21" x14ac:dyDescent="0.25">
      <c r="A1680" s="194" t="s">
        <v>8230</v>
      </c>
      <c r="B1680" s="201" t="s">
        <v>3334</v>
      </c>
      <c r="C1680" s="199" t="s">
        <v>4579</v>
      </c>
      <c r="D1680" s="188" t="s">
        <v>8724</v>
      </c>
      <c r="E1680" s="188" t="s">
        <v>5932</v>
      </c>
      <c r="F1680" s="189" t="s">
        <v>6410</v>
      </c>
      <c r="G1680" s="199" t="s">
        <v>8323</v>
      </c>
      <c r="H1680" s="199" t="s">
        <v>3312</v>
      </c>
      <c r="I1680" s="199">
        <v>1</v>
      </c>
      <c r="J1680" s="199">
        <v>1</v>
      </c>
      <c r="K1680" s="199">
        <v>1</v>
      </c>
      <c r="L1680" s="199">
        <v>50</v>
      </c>
      <c r="M1680" s="215">
        <v>0</v>
      </c>
      <c r="N1680" s="200" t="s">
        <v>4593</v>
      </c>
      <c r="O1680" s="234">
        <v>5</v>
      </c>
      <c r="P1680" s="199">
        <f>TB_Parts_Lists[[#This Row],[Quantity Initial]]*TB_Parts_Lists[[#This Row],[Unit Price AED]]</f>
        <v>250</v>
      </c>
      <c r="Q1680" s="199">
        <f>TB_Parts_Lists[[#This Row],[Quantity Total]]*TB_Parts_Lists[[#This Row],[Unit Price AED]]</f>
        <v>0</v>
      </c>
      <c r="R1680" s="213"/>
      <c r="S1680" s="199" t="s">
        <v>122</v>
      </c>
      <c r="T1680" s="199" t="s">
        <v>8696</v>
      </c>
      <c r="U1680" s="199" t="s">
        <v>292</v>
      </c>
    </row>
    <row r="1681" spans="1:21" x14ac:dyDescent="0.25">
      <c r="A1681" s="194" t="s">
        <v>8231</v>
      </c>
      <c r="B1681" s="201" t="s">
        <v>3334</v>
      </c>
      <c r="C1681" s="199" t="s">
        <v>7959</v>
      </c>
      <c r="D1681" s="199" t="s">
        <v>8732</v>
      </c>
      <c r="E1681" s="188" t="s">
        <v>5933</v>
      </c>
      <c r="F1681" s="189" t="s">
        <v>6411</v>
      </c>
      <c r="G1681" s="199" t="s">
        <v>8323</v>
      </c>
      <c r="H1681" s="199" t="s">
        <v>53</v>
      </c>
      <c r="I1681" s="199">
        <v>1</v>
      </c>
      <c r="J1681" s="199">
        <v>1</v>
      </c>
      <c r="K1681" s="199">
        <v>1</v>
      </c>
      <c r="L1681" s="199">
        <v>50</v>
      </c>
      <c r="M1681" s="215">
        <v>0</v>
      </c>
      <c r="N1681" s="200" t="s">
        <v>4593</v>
      </c>
      <c r="O1681" s="234">
        <v>5</v>
      </c>
      <c r="P1681" s="199">
        <f>TB_Parts_Lists[[#This Row],[Quantity Initial]]*TB_Parts_Lists[[#This Row],[Unit Price AED]]</f>
        <v>250</v>
      </c>
      <c r="Q1681" s="199">
        <f>TB_Parts_Lists[[#This Row],[Quantity Total]]*TB_Parts_Lists[[#This Row],[Unit Price AED]]</f>
        <v>0</v>
      </c>
      <c r="R1681" s="213"/>
      <c r="S1681" s="199" t="s">
        <v>122</v>
      </c>
      <c r="T1681" s="199" t="s">
        <v>8696</v>
      </c>
      <c r="U1681" s="199" t="s">
        <v>292</v>
      </c>
    </row>
    <row r="1682" spans="1:21" x14ac:dyDescent="0.25">
      <c r="A1682" s="194" t="s">
        <v>8232</v>
      </c>
      <c r="B1682" s="201" t="s">
        <v>3334</v>
      </c>
      <c r="C1682" s="199" t="s">
        <v>7959</v>
      </c>
      <c r="D1682" s="188" t="s">
        <v>8724</v>
      </c>
      <c r="E1682" s="188" t="s">
        <v>5934</v>
      </c>
      <c r="F1682" s="189" t="s">
        <v>6412</v>
      </c>
      <c r="G1682" s="199" t="s">
        <v>8323</v>
      </c>
      <c r="H1682" s="199" t="s">
        <v>53</v>
      </c>
      <c r="I1682" s="199">
        <v>1</v>
      </c>
      <c r="J1682" s="199">
        <v>1</v>
      </c>
      <c r="K1682" s="199">
        <v>1</v>
      </c>
      <c r="L1682" s="199">
        <v>50</v>
      </c>
      <c r="M1682" s="215">
        <v>0</v>
      </c>
      <c r="N1682" s="200" t="s">
        <v>4593</v>
      </c>
      <c r="O1682" s="234">
        <v>5</v>
      </c>
      <c r="P1682" s="199">
        <f>TB_Parts_Lists[[#This Row],[Quantity Initial]]*TB_Parts_Lists[[#This Row],[Unit Price AED]]</f>
        <v>250</v>
      </c>
      <c r="Q1682" s="199">
        <f>TB_Parts_Lists[[#This Row],[Quantity Total]]*TB_Parts_Lists[[#This Row],[Unit Price AED]]</f>
        <v>0</v>
      </c>
      <c r="R1682" s="213"/>
      <c r="S1682" s="199" t="s">
        <v>122</v>
      </c>
      <c r="T1682" s="199" t="s">
        <v>8696</v>
      </c>
      <c r="U1682" s="199" t="s">
        <v>292</v>
      </c>
    </row>
    <row r="1683" spans="1:21" x14ac:dyDescent="0.25">
      <c r="A1683" s="194" t="s">
        <v>8233</v>
      </c>
      <c r="B1683" s="201" t="s">
        <v>3334</v>
      </c>
      <c r="C1683" s="199" t="s">
        <v>4579</v>
      </c>
      <c r="D1683" s="188" t="s">
        <v>8724</v>
      </c>
      <c r="E1683" s="188" t="s">
        <v>5935</v>
      </c>
      <c r="F1683" s="189" t="s">
        <v>6413</v>
      </c>
      <c r="G1683" s="199" t="s">
        <v>8323</v>
      </c>
      <c r="H1683" s="199" t="s">
        <v>3312</v>
      </c>
      <c r="I1683" s="199">
        <v>1</v>
      </c>
      <c r="J1683" s="199">
        <v>1</v>
      </c>
      <c r="K1683" s="199">
        <v>1</v>
      </c>
      <c r="L1683" s="199">
        <v>50</v>
      </c>
      <c r="M1683" s="215">
        <v>0</v>
      </c>
      <c r="N1683" s="200" t="s">
        <v>4593</v>
      </c>
      <c r="O1683" s="234">
        <v>5</v>
      </c>
      <c r="P1683" s="199">
        <f>TB_Parts_Lists[[#This Row],[Quantity Initial]]*TB_Parts_Lists[[#This Row],[Unit Price AED]]</f>
        <v>250</v>
      </c>
      <c r="Q1683" s="199">
        <f>TB_Parts_Lists[[#This Row],[Quantity Total]]*TB_Parts_Lists[[#This Row],[Unit Price AED]]</f>
        <v>0</v>
      </c>
      <c r="R1683" s="213"/>
      <c r="S1683" s="199" t="s">
        <v>122</v>
      </c>
      <c r="T1683" s="199" t="s">
        <v>8696</v>
      </c>
      <c r="U1683" s="199" t="s">
        <v>292</v>
      </c>
    </row>
    <row r="1684" spans="1:21" x14ac:dyDescent="0.25">
      <c r="A1684" s="194" t="s">
        <v>8234</v>
      </c>
      <c r="B1684" s="201" t="s">
        <v>3334</v>
      </c>
      <c r="C1684" s="199" t="s">
        <v>4580</v>
      </c>
      <c r="D1684" s="199" t="s">
        <v>8732</v>
      </c>
      <c r="E1684" s="188" t="s">
        <v>5936</v>
      </c>
      <c r="F1684" s="189" t="s">
        <v>6414</v>
      </c>
      <c r="G1684" s="199" t="s">
        <v>8323</v>
      </c>
      <c r="H1684" s="199" t="s">
        <v>8671</v>
      </c>
      <c r="I1684" s="199">
        <v>1</v>
      </c>
      <c r="J1684" s="199">
        <v>1</v>
      </c>
      <c r="K1684" s="199">
        <v>1</v>
      </c>
      <c r="L1684" s="199">
        <v>50</v>
      </c>
      <c r="M1684" s="215">
        <v>0</v>
      </c>
      <c r="N1684" s="200" t="s">
        <v>4593</v>
      </c>
      <c r="O1684" s="234">
        <v>5</v>
      </c>
      <c r="P1684" s="199">
        <f>TB_Parts_Lists[[#This Row],[Quantity Initial]]*TB_Parts_Lists[[#This Row],[Unit Price AED]]</f>
        <v>250</v>
      </c>
      <c r="Q1684" s="199">
        <f>TB_Parts_Lists[[#This Row],[Quantity Total]]*TB_Parts_Lists[[#This Row],[Unit Price AED]]</f>
        <v>0</v>
      </c>
      <c r="R1684" s="213"/>
      <c r="S1684" s="199" t="s">
        <v>122</v>
      </c>
      <c r="T1684" s="199" t="s">
        <v>8696</v>
      </c>
      <c r="U1684" s="199" t="s">
        <v>292</v>
      </c>
    </row>
    <row r="1685" spans="1:21" x14ac:dyDescent="0.25">
      <c r="A1685" s="194" t="s">
        <v>8235</v>
      </c>
      <c r="B1685" s="201" t="s">
        <v>3334</v>
      </c>
      <c r="C1685" s="199" t="s">
        <v>4580</v>
      </c>
      <c r="D1685" s="188" t="s">
        <v>8724</v>
      </c>
      <c r="E1685" s="188" t="s">
        <v>5937</v>
      </c>
      <c r="F1685" s="189" t="s">
        <v>6415</v>
      </c>
      <c r="G1685" s="199" t="s">
        <v>8323</v>
      </c>
      <c r="H1685" s="199" t="s">
        <v>8671</v>
      </c>
      <c r="I1685" s="199">
        <v>1</v>
      </c>
      <c r="J1685" s="199">
        <v>1</v>
      </c>
      <c r="K1685" s="199">
        <v>1</v>
      </c>
      <c r="L1685" s="199">
        <v>50</v>
      </c>
      <c r="M1685" s="215">
        <v>0</v>
      </c>
      <c r="N1685" s="200" t="s">
        <v>4593</v>
      </c>
      <c r="O1685" s="234">
        <v>5</v>
      </c>
      <c r="P1685" s="199">
        <f>TB_Parts_Lists[[#This Row],[Quantity Initial]]*TB_Parts_Lists[[#This Row],[Unit Price AED]]</f>
        <v>250</v>
      </c>
      <c r="Q1685" s="199">
        <f>TB_Parts_Lists[[#This Row],[Quantity Total]]*TB_Parts_Lists[[#This Row],[Unit Price AED]]</f>
        <v>0</v>
      </c>
      <c r="R1685" s="213"/>
      <c r="S1685" s="199" t="s">
        <v>122</v>
      </c>
      <c r="T1685" s="199" t="s">
        <v>8696</v>
      </c>
      <c r="U1685" s="199" t="s">
        <v>292</v>
      </c>
    </row>
    <row r="1686" spans="1:21" x14ac:dyDescent="0.25">
      <c r="A1686" s="194" t="s">
        <v>8236</v>
      </c>
      <c r="B1686" s="201" t="s">
        <v>3334</v>
      </c>
      <c r="C1686" s="199" t="s">
        <v>7244</v>
      </c>
      <c r="D1686" s="188" t="s">
        <v>8724</v>
      </c>
      <c r="E1686" s="188" t="s">
        <v>5938</v>
      </c>
      <c r="F1686" s="189" t="s">
        <v>6416</v>
      </c>
      <c r="G1686" s="199" t="s">
        <v>8323</v>
      </c>
      <c r="H1686" s="199" t="s">
        <v>58</v>
      </c>
      <c r="I1686" s="199">
        <v>1</v>
      </c>
      <c r="J1686" s="199">
        <v>1</v>
      </c>
      <c r="K1686" s="199">
        <v>1</v>
      </c>
      <c r="L1686" s="199">
        <v>50</v>
      </c>
      <c r="M1686" s="215">
        <v>0</v>
      </c>
      <c r="N1686" s="200" t="s">
        <v>4593</v>
      </c>
      <c r="O1686" s="234">
        <v>5</v>
      </c>
      <c r="P1686" s="199">
        <f>TB_Parts_Lists[[#This Row],[Quantity Initial]]*TB_Parts_Lists[[#This Row],[Unit Price AED]]</f>
        <v>250</v>
      </c>
      <c r="Q1686" s="199">
        <f>TB_Parts_Lists[[#This Row],[Quantity Total]]*TB_Parts_Lists[[#This Row],[Unit Price AED]]</f>
        <v>0</v>
      </c>
      <c r="R1686" s="213"/>
      <c r="S1686" s="199" t="s">
        <v>118</v>
      </c>
      <c r="T1686" s="199" t="s">
        <v>8675</v>
      </c>
      <c r="U1686" s="199" t="s">
        <v>8675</v>
      </c>
    </row>
    <row r="1687" spans="1:21" x14ac:dyDescent="0.25">
      <c r="A1687" s="194" t="s">
        <v>8237</v>
      </c>
      <c r="B1687" s="201" t="s">
        <v>3334</v>
      </c>
      <c r="C1687" s="199" t="s">
        <v>4579</v>
      </c>
      <c r="D1687" s="199" t="s">
        <v>8732</v>
      </c>
      <c r="E1687" s="188" t="s">
        <v>5939</v>
      </c>
      <c r="F1687" s="189" t="s">
        <v>6417</v>
      </c>
      <c r="G1687" s="199" t="s">
        <v>8323</v>
      </c>
      <c r="H1687" s="199" t="s">
        <v>3312</v>
      </c>
      <c r="I1687" s="199">
        <v>1</v>
      </c>
      <c r="J1687" s="199">
        <v>1</v>
      </c>
      <c r="K1687" s="199">
        <v>1</v>
      </c>
      <c r="L1687" s="199">
        <v>50</v>
      </c>
      <c r="M1687" s="215">
        <v>0</v>
      </c>
      <c r="N1687" s="200" t="s">
        <v>4593</v>
      </c>
      <c r="O1687" s="234">
        <v>5</v>
      </c>
      <c r="P1687" s="199">
        <f>TB_Parts_Lists[[#This Row],[Quantity Initial]]*TB_Parts_Lists[[#This Row],[Unit Price AED]]</f>
        <v>250</v>
      </c>
      <c r="Q1687" s="199">
        <f>TB_Parts_Lists[[#This Row],[Quantity Total]]*TB_Parts_Lists[[#This Row],[Unit Price AED]]</f>
        <v>0</v>
      </c>
      <c r="R1687" s="213"/>
      <c r="S1687" s="199" t="s">
        <v>122</v>
      </c>
      <c r="T1687" s="199" t="s">
        <v>8696</v>
      </c>
      <c r="U1687" s="199" t="s">
        <v>292</v>
      </c>
    </row>
    <row r="1688" spans="1:21" x14ac:dyDescent="0.25">
      <c r="A1688" s="194" t="s">
        <v>8238</v>
      </c>
      <c r="B1688" s="201" t="s">
        <v>3334</v>
      </c>
      <c r="C1688" s="199" t="s">
        <v>3367</v>
      </c>
      <c r="D1688" s="199" t="s">
        <v>8732</v>
      </c>
      <c r="E1688" s="188" t="s">
        <v>5940</v>
      </c>
      <c r="F1688" s="189" t="s">
        <v>6418</v>
      </c>
      <c r="G1688" s="199" t="s">
        <v>8323</v>
      </c>
      <c r="H1688" s="199" t="s">
        <v>8656</v>
      </c>
      <c r="I1688" s="199">
        <v>1</v>
      </c>
      <c r="J1688" s="199">
        <v>1</v>
      </c>
      <c r="K1688" s="199">
        <v>1</v>
      </c>
      <c r="L1688" s="199">
        <v>50</v>
      </c>
      <c r="M1688" s="215">
        <v>0</v>
      </c>
      <c r="N1688" s="200" t="s">
        <v>4593</v>
      </c>
      <c r="O1688" s="234">
        <v>5</v>
      </c>
      <c r="P1688" s="199">
        <f>TB_Parts_Lists[[#This Row],[Quantity Initial]]*TB_Parts_Lists[[#This Row],[Unit Price AED]]</f>
        <v>250</v>
      </c>
      <c r="Q1688" s="199">
        <f>TB_Parts_Lists[[#This Row],[Quantity Total]]*TB_Parts_Lists[[#This Row],[Unit Price AED]]</f>
        <v>0</v>
      </c>
      <c r="R1688" s="213"/>
      <c r="S1688" s="199" t="s">
        <v>122</v>
      </c>
      <c r="T1688" s="199" t="s">
        <v>8696</v>
      </c>
      <c r="U1688" s="199" t="s">
        <v>292</v>
      </c>
    </row>
    <row r="1689" spans="1:21" x14ac:dyDescent="0.25">
      <c r="A1689" s="194" t="s">
        <v>8239</v>
      </c>
      <c r="B1689" s="201" t="s">
        <v>3334</v>
      </c>
      <c r="C1689" s="199" t="s">
        <v>4580</v>
      </c>
      <c r="D1689" s="188" t="s">
        <v>8724</v>
      </c>
      <c r="E1689" s="188" t="s">
        <v>5941</v>
      </c>
      <c r="F1689" s="189" t="s">
        <v>6419</v>
      </c>
      <c r="G1689" s="199" t="s">
        <v>8323</v>
      </c>
      <c r="H1689" s="199" t="s">
        <v>8671</v>
      </c>
      <c r="I1689" s="199">
        <v>1</v>
      </c>
      <c r="J1689" s="199">
        <v>1</v>
      </c>
      <c r="K1689" s="199">
        <v>1</v>
      </c>
      <c r="L1689" s="199">
        <v>50</v>
      </c>
      <c r="M1689" s="215">
        <v>0</v>
      </c>
      <c r="N1689" s="200" t="s">
        <v>4593</v>
      </c>
      <c r="O1689" s="234">
        <v>5</v>
      </c>
      <c r="P1689" s="199">
        <f>TB_Parts_Lists[[#This Row],[Quantity Initial]]*TB_Parts_Lists[[#This Row],[Unit Price AED]]</f>
        <v>250</v>
      </c>
      <c r="Q1689" s="199">
        <f>TB_Parts_Lists[[#This Row],[Quantity Total]]*TB_Parts_Lists[[#This Row],[Unit Price AED]]</f>
        <v>0</v>
      </c>
      <c r="R1689" s="213"/>
      <c r="S1689" s="199" t="s">
        <v>122</v>
      </c>
      <c r="T1689" s="199" t="s">
        <v>8696</v>
      </c>
      <c r="U1689" s="199" t="s">
        <v>292</v>
      </c>
    </row>
    <row r="1690" spans="1:21" x14ac:dyDescent="0.25">
      <c r="A1690" s="194" t="s">
        <v>8240</v>
      </c>
      <c r="B1690" s="201" t="s">
        <v>3334</v>
      </c>
      <c r="C1690" s="199" t="s">
        <v>4580</v>
      </c>
      <c r="D1690" s="188" t="s">
        <v>8724</v>
      </c>
      <c r="E1690" s="188" t="s">
        <v>5942</v>
      </c>
      <c r="F1690" s="189" t="s">
        <v>6420</v>
      </c>
      <c r="G1690" s="199" t="s">
        <v>8323</v>
      </c>
      <c r="H1690" s="199" t="s">
        <v>8671</v>
      </c>
      <c r="I1690" s="199">
        <v>1</v>
      </c>
      <c r="J1690" s="199">
        <v>1</v>
      </c>
      <c r="K1690" s="199">
        <v>1</v>
      </c>
      <c r="L1690" s="199">
        <v>50</v>
      </c>
      <c r="M1690" s="215">
        <v>0</v>
      </c>
      <c r="N1690" s="200" t="s">
        <v>4593</v>
      </c>
      <c r="O1690" s="234">
        <v>5</v>
      </c>
      <c r="P1690" s="199">
        <f>TB_Parts_Lists[[#This Row],[Quantity Initial]]*TB_Parts_Lists[[#This Row],[Unit Price AED]]</f>
        <v>250</v>
      </c>
      <c r="Q1690" s="199">
        <f>TB_Parts_Lists[[#This Row],[Quantity Total]]*TB_Parts_Lists[[#This Row],[Unit Price AED]]</f>
        <v>0</v>
      </c>
      <c r="R1690" s="213"/>
      <c r="S1690" s="199" t="s">
        <v>122</v>
      </c>
      <c r="T1690" s="199" t="s">
        <v>8696</v>
      </c>
      <c r="U1690" s="199" t="s">
        <v>292</v>
      </c>
    </row>
    <row r="1691" spans="1:21" x14ac:dyDescent="0.25">
      <c r="A1691" s="195" t="s">
        <v>8241</v>
      </c>
      <c r="B1691" s="201" t="s">
        <v>3334</v>
      </c>
      <c r="C1691" s="216" t="s">
        <v>4578</v>
      </c>
      <c r="D1691" s="199" t="s">
        <v>8732</v>
      </c>
      <c r="E1691" s="216" t="s">
        <v>6424</v>
      </c>
      <c r="F1691" s="217" t="s">
        <v>6425</v>
      </c>
      <c r="G1691" s="205" t="s">
        <v>8319</v>
      </c>
      <c r="H1691" s="199" t="s">
        <v>123</v>
      </c>
      <c r="I1691" s="199">
        <v>1</v>
      </c>
      <c r="J1691" s="199">
        <v>1</v>
      </c>
      <c r="K1691" s="199">
        <v>1</v>
      </c>
      <c r="L1691" s="199">
        <v>50</v>
      </c>
      <c r="M1691" s="218">
        <v>0</v>
      </c>
      <c r="N1691" s="200" t="s">
        <v>4593</v>
      </c>
      <c r="O1691" s="234">
        <v>5</v>
      </c>
      <c r="P1691" s="199">
        <f>TB_Parts_Lists[[#This Row],[Quantity Initial]]*TB_Parts_Lists[[#This Row],[Unit Price AED]]</f>
        <v>250</v>
      </c>
      <c r="Q1691" s="199">
        <f>TB_Parts_Lists[[#This Row],[Quantity Total]]*TB_Parts_Lists[[#This Row],[Unit Price AED]]</f>
        <v>0</v>
      </c>
      <c r="R1691" s="216"/>
      <c r="S1691" s="199" t="s">
        <v>122</v>
      </c>
      <c r="T1691" s="199" t="s">
        <v>277</v>
      </c>
      <c r="U1691" s="199" t="s">
        <v>276</v>
      </c>
    </row>
    <row r="1692" spans="1:21" x14ac:dyDescent="0.25">
      <c r="A1692" s="195" t="s">
        <v>8243</v>
      </c>
      <c r="B1692" s="207" t="s">
        <v>3338</v>
      </c>
      <c r="C1692" s="216" t="s">
        <v>8242</v>
      </c>
      <c r="D1692" s="188" t="s">
        <v>8724</v>
      </c>
      <c r="E1692" s="216" t="s">
        <v>6428</v>
      </c>
      <c r="F1692" s="217" t="s">
        <v>6427</v>
      </c>
      <c r="G1692" s="205" t="s">
        <v>8300</v>
      </c>
      <c r="H1692" s="217"/>
      <c r="I1692" s="199">
        <v>1</v>
      </c>
      <c r="J1692" s="199">
        <v>1</v>
      </c>
      <c r="K1692" s="199">
        <v>1</v>
      </c>
      <c r="L1692" s="199">
        <v>50</v>
      </c>
      <c r="M1692" s="218">
        <v>0</v>
      </c>
      <c r="N1692" s="200" t="s">
        <v>4593</v>
      </c>
      <c r="O1692" s="234">
        <v>5</v>
      </c>
      <c r="P1692" s="199">
        <f>TB_Parts_Lists[[#This Row],[Quantity Initial]]*TB_Parts_Lists[[#This Row],[Unit Price AED]]</f>
        <v>250</v>
      </c>
      <c r="Q1692" s="199">
        <f>TB_Parts_Lists[[#This Row],[Quantity Total]]*TB_Parts_Lists[[#This Row],[Unit Price AED]]</f>
        <v>0</v>
      </c>
      <c r="R1692" s="216"/>
      <c r="S1692" s="213" t="e">
        <v>#N/A</v>
      </c>
      <c r="T1692" s="213" t="e">
        <v>#N/A</v>
      </c>
      <c r="U1692" s="213" t="e">
        <v>#N/A</v>
      </c>
    </row>
    <row r="1693" spans="1:21" x14ac:dyDescent="0.25">
      <c r="A1693" s="195" t="s">
        <v>8244</v>
      </c>
      <c r="B1693" s="207" t="s">
        <v>3329</v>
      </c>
      <c r="C1693" s="205" t="s">
        <v>6652</v>
      </c>
      <c r="D1693" s="188" t="s">
        <v>8724</v>
      </c>
      <c r="E1693" s="216" t="s">
        <v>6435</v>
      </c>
      <c r="F1693" s="217" t="s">
        <v>6436</v>
      </c>
      <c r="G1693" s="205" t="s">
        <v>8302</v>
      </c>
      <c r="H1693" s="217"/>
      <c r="I1693" s="199">
        <v>1</v>
      </c>
      <c r="J1693" s="199">
        <v>1</v>
      </c>
      <c r="K1693" s="199">
        <v>1</v>
      </c>
      <c r="L1693" s="199">
        <v>50</v>
      </c>
      <c r="M1693" s="218">
        <v>0</v>
      </c>
      <c r="N1693" s="200" t="s">
        <v>4593</v>
      </c>
      <c r="O1693" s="234">
        <v>5</v>
      </c>
      <c r="P1693" s="199">
        <f>TB_Parts_Lists[[#This Row],[Quantity Initial]]*TB_Parts_Lists[[#This Row],[Unit Price AED]]</f>
        <v>250</v>
      </c>
      <c r="Q1693" s="199">
        <f>TB_Parts_Lists[[#This Row],[Quantity Total]]*TB_Parts_Lists[[#This Row],[Unit Price AED]]</f>
        <v>0</v>
      </c>
      <c r="R1693" s="216"/>
      <c r="S1693" s="213" t="e">
        <v>#N/A</v>
      </c>
      <c r="T1693" s="213" t="e">
        <v>#N/A</v>
      </c>
      <c r="U1693" s="213" t="e">
        <v>#N/A</v>
      </c>
    </row>
    <row r="1694" spans="1:21" x14ac:dyDescent="0.25">
      <c r="A1694" s="195" t="s">
        <v>8245</v>
      </c>
      <c r="B1694" s="207" t="s">
        <v>3332</v>
      </c>
      <c r="C1694" s="205" t="s">
        <v>3357</v>
      </c>
      <c r="D1694" s="188" t="s">
        <v>8724</v>
      </c>
      <c r="E1694" s="216" t="s">
        <v>6438</v>
      </c>
      <c r="F1694" s="217" t="s">
        <v>6437</v>
      </c>
      <c r="G1694" s="205" t="s">
        <v>8271</v>
      </c>
      <c r="H1694" s="217"/>
      <c r="I1694" s="199">
        <v>1</v>
      </c>
      <c r="J1694" s="199">
        <v>1</v>
      </c>
      <c r="K1694" s="199">
        <v>1</v>
      </c>
      <c r="L1694" s="199">
        <v>50</v>
      </c>
      <c r="M1694" s="218">
        <f>TB_Parts_Lists[[#This Row],[Quantity Initial]]+ SUMIF(TB_Transactions[Part number],TB_Parts_Lists[[#This Row],[Part Number]],TB_Transactions[Quantity])</f>
        <v>50</v>
      </c>
      <c r="N1694" s="200" t="s">
        <v>4593</v>
      </c>
      <c r="O1694" s="234">
        <v>5</v>
      </c>
      <c r="P1694" s="199">
        <f>TB_Parts_Lists[[#This Row],[Quantity Initial]]*TB_Parts_Lists[[#This Row],[Unit Price AED]]</f>
        <v>250</v>
      </c>
      <c r="Q1694" s="199">
        <f>TB_Parts_Lists[[#This Row],[Quantity Total]]*TB_Parts_Lists[[#This Row],[Unit Price AED]]</f>
        <v>250</v>
      </c>
      <c r="R1694" s="216"/>
      <c r="S1694" s="213" t="e">
        <v>#N/A</v>
      </c>
      <c r="T1694" s="213" t="e">
        <v>#N/A</v>
      </c>
      <c r="U1694" s="213" t="e">
        <v>#N/A</v>
      </c>
    </row>
    <row r="1695" spans="1:21" x14ac:dyDescent="0.25">
      <c r="A1695" s="195" t="s">
        <v>8246</v>
      </c>
      <c r="B1695" s="207" t="s">
        <v>3332</v>
      </c>
      <c r="C1695" s="205" t="s">
        <v>3356</v>
      </c>
      <c r="D1695" s="188" t="s">
        <v>8724</v>
      </c>
      <c r="E1695" s="216" t="s">
        <v>6442</v>
      </c>
      <c r="F1695" s="217" t="s">
        <v>6439</v>
      </c>
      <c r="G1695" s="205" t="s">
        <v>8271</v>
      </c>
      <c r="H1695" s="217"/>
      <c r="I1695" s="199">
        <v>1</v>
      </c>
      <c r="J1695" s="199">
        <v>1</v>
      </c>
      <c r="K1695" s="199">
        <v>1</v>
      </c>
      <c r="L1695" s="199">
        <v>50</v>
      </c>
      <c r="M1695" s="218">
        <f>TB_Parts_Lists[[#This Row],[Quantity Initial]]+ SUMIF(TB_Transactions[Part number],TB_Parts_Lists[[#This Row],[Part Number]],TB_Transactions[Quantity])</f>
        <v>50</v>
      </c>
      <c r="N1695" s="200" t="s">
        <v>4593</v>
      </c>
      <c r="O1695" s="234">
        <v>5</v>
      </c>
      <c r="P1695" s="199">
        <f>TB_Parts_Lists[[#This Row],[Quantity Initial]]*TB_Parts_Lists[[#This Row],[Unit Price AED]]</f>
        <v>250</v>
      </c>
      <c r="Q1695" s="199">
        <f>TB_Parts_Lists[[#This Row],[Quantity Total]]*TB_Parts_Lists[[#This Row],[Unit Price AED]]</f>
        <v>250</v>
      </c>
      <c r="R1695" s="216"/>
      <c r="S1695" s="213" t="e">
        <v>#N/A</v>
      </c>
      <c r="T1695" s="213" t="e">
        <v>#N/A</v>
      </c>
      <c r="U1695" s="213" t="e">
        <v>#N/A</v>
      </c>
    </row>
    <row r="1696" spans="1:21" x14ac:dyDescent="0.25">
      <c r="A1696" s="195" t="s">
        <v>8247</v>
      </c>
      <c r="B1696" s="207" t="s">
        <v>3332</v>
      </c>
      <c r="C1696" s="205" t="s">
        <v>3356</v>
      </c>
      <c r="D1696" s="188" t="s">
        <v>8724</v>
      </c>
      <c r="E1696" s="216" t="s">
        <v>6441</v>
      </c>
      <c r="F1696" s="217" t="s">
        <v>6440</v>
      </c>
      <c r="G1696" s="205" t="s">
        <v>8271</v>
      </c>
      <c r="H1696" s="217"/>
      <c r="I1696" s="199">
        <v>1</v>
      </c>
      <c r="J1696" s="199">
        <v>1</v>
      </c>
      <c r="K1696" s="199">
        <v>1</v>
      </c>
      <c r="L1696" s="199">
        <v>50</v>
      </c>
      <c r="M1696" s="218">
        <f>TB_Parts_Lists[[#This Row],[Quantity Initial]]+ SUMIF(TB_Transactions[Part number],TB_Parts_Lists[[#This Row],[Part Number]],TB_Transactions[Quantity])</f>
        <v>50</v>
      </c>
      <c r="N1696" s="200" t="s">
        <v>4593</v>
      </c>
      <c r="O1696" s="234">
        <v>5</v>
      </c>
      <c r="P1696" s="199">
        <f>TB_Parts_Lists[[#This Row],[Quantity Initial]]*TB_Parts_Lists[[#This Row],[Unit Price AED]]</f>
        <v>250</v>
      </c>
      <c r="Q1696" s="199">
        <f>TB_Parts_Lists[[#This Row],[Quantity Total]]*TB_Parts_Lists[[#This Row],[Unit Price AED]]</f>
        <v>250</v>
      </c>
      <c r="R1696" s="216"/>
      <c r="S1696" s="213" t="e">
        <v>#N/A</v>
      </c>
      <c r="T1696" s="213" t="e">
        <v>#N/A</v>
      </c>
      <c r="U1696" s="213" t="e">
        <v>#N/A</v>
      </c>
    </row>
    <row r="1697" spans="1:21" x14ac:dyDescent="0.25">
      <c r="A1697" s="195" t="s">
        <v>8248</v>
      </c>
      <c r="B1697" s="207" t="s">
        <v>3332</v>
      </c>
      <c r="C1697" s="205" t="s">
        <v>3357</v>
      </c>
      <c r="D1697" s="188" t="s">
        <v>8724</v>
      </c>
      <c r="E1697" s="216" t="s">
        <v>6452</v>
      </c>
      <c r="F1697" s="217" t="s">
        <v>6453</v>
      </c>
      <c r="G1697" s="205" t="s">
        <v>8255</v>
      </c>
      <c r="H1697" s="217"/>
      <c r="I1697" s="199">
        <v>1</v>
      </c>
      <c r="J1697" s="199">
        <v>1</v>
      </c>
      <c r="K1697" s="199">
        <v>1</v>
      </c>
      <c r="L1697" s="199">
        <v>50</v>
      </c>
      <c r="M1697" s="218">
        <f>TB_Parts_Lists[[#This Row],[Quantity Initial]]+ SUMIF(TB_Transactions[Part number],TB_Parts_Lists[[#This Row],[Part Number]],TB_Transactions[Quantity])</f>
        <v>50</v>
      </c>
      <c r="N1697" s="200" t="s">
        <v>4593</v>
      </c>
      <c r="O1697" s="234">
        <v>5</v>
      </c>
      <c r="P1697" s="199">
        <f>TB_Parts_Lists[[#This Row],[Quantity Initial]]*TB_Parts_Lists[[#This Row],[Unit Price AED]]</f>
        <v>250</v>
      </c>
      <c r="Q1697" s="199">
        <f>TB_Parts_Lists[[#This Row],[Quantity Total]]*TB_Parts_Lists[[#This Row],[Unit Price AED]]</f>
        <v>250</v>
      </c>
      <c r="R1697" s="216"/>
      <c r="S1697" s="213" t="e">
        <v>#N/A</v>
      </c>
      <c r="T1697" s="213" t="e">
        <v>#N/A</v>
      </c>
      <c r="U1697" s="213" t="e">
        <v>#N/A</v>
      </c>
    </row>
    <row r="1698" spans="1:21" x14ac:dyDescent="0.25">
      <c r="A1698" s="195" t="s">
        <v>8249</v>
      </c>
      <c r="B1698" s="207" t="s">
        <v>3332</v>
      </c>
      <c r="C1698" s="205" t="s">
        <v>3357</v>
      </c>
      <c r="D1698" s="188" t="s">
        <v>8724</v>
      </c>
      <c r="E1698" s="216" t="s">
        <v>6454</v>
      </c>
      <c r="F1698" s="217" t="s">
        <v>6455</v>
      </c>
      <c r="G1698" s="205" t="s">
        <v>8255</v>
      </c>
      <c r="H1698" s="217"/>
      <c r="I1698" s="199">
        <v>1</v>
      </c>
      <c r="J1698" s="199">
        <v>1</v>
      </c>
      <c r="K1698" s="199">
        <v>1</v>
      </c>
      <c r="L1698" s="199">
        <v>50</v>
      </c>
      <c r="M1698" s="218">
        <f>TB_Parts_Lists[[#This Row],[Quantity Initial]]+ SUMIF(TB_Transactions[Part number],TB_Parts_Lists[[#This Row],[Part Number]],TB_Transactions[Quantity])</f>
        <v>50</v>
      </c>
      <c r="N1698" s="200" t="s">
        <v>4593</v>
      </c>
      <c r="O1698" s="234">
        <v>5</v>
      </c>
      <c r="P1698" s="199">
        <f>TB_Parts_Lists[[#This Row],[Quantity Initial]]*TB_Parts_Lists[[#This Row],[Unit Price AED]]</f>
        <v>250</v>
      </c>
      <c r="Q1698" s="199">
        <f>TB_Parts_Lists[[#This Row],[Quantity Total]]*TB_Parts_Lists[[#This Row],[Unit Price AED]]</f>
        <v>250</v>
      </c>
      <c r="R1698" s="216"/>
      <c r="S1698" s="213" t="e">
        <v>#N/A</v>
      </c>
      <c r="T1698" s="213" t="e">
        <v>#N/A</v>
      </c>
      <c r="U1698" s="213" t="e">
        <v>#N/A</v>
      </c>
    </row>
    <row r="1699" spans="1:21" x14ac:dyDescent="0.25">
      <c r="A1699" s="195" t="s">
        <v>8250</v>
      </c>
      <c r="B1699" s="207" t="s">
        <v>3335</v>
      </c>
      <c r="C1699" s="205" t="s">
        <v>3368</v>
      </c>
      <c r="D1699" s="188" t="s">
        <v>8724</v>
      </c>
      <c r="E1699" s="216" t="s">
        <v>6456</v>
      </c>
      <c r="F1699" s="217" t="s">
        <v>6457</v>
      </c>
      <c r="G1699" s="205" t="s">
        <v>8270</v>
      </c>
      <c r="H1699" s="217"/>
      <c r="I1699" s="199">
        <v>1</v>
      </c>
      <c r="J1699" s="199">
        <v>1</v>
      </c>
      <c r="K1699" s="199">
        <v>1</v>
      </c>
      <c r="L1699" s="199">
        <v>50</v>
      </c>
      <c r="M1699" s="218">
        <f>TB_Parts_Lists[[#This Row],[Quantity Initial]]+ SUMIF(TB_Transactions[Part number],TB_Parts_Lists[[#This Row],[Part Number]],TB_Transactions[Quantity])</f>
        <v>50</v>
      </c>
      <c r="N1699" s="200" t="s">
        <v>4593</v>
      </c>
      <c r="O1699" s="234">
        <v>5</v>
      </c>
      <c r="P1699" s="199">
        <f>TB_Parts_Lists[[#This Row],[Quantity Initial]]*TB_Parts_Lists[[#This Row],[Unit Price AED]]</f>
        <v>250</v>
      </c>
      <c r="Q1699" s="199">
        <f>TB_Parts_Lists[[#This Row],[Quantity Total]]*TB_Parts_Lists[[#This Row],[Unit Price AED]]</f>
        <v>250</v>
      </c>
      <c r="R1699" s="216"/>
      <c r="S1699" s="213" t="e">
        <v>#N/A</v>
      </c>
      <c r="T1699" s="213" t="e">
        <v>#N/A</v>
      </c>
      <c r="U1699" s="213" t="e">
        <v>#N/A</v>
      </c>
    </row>
    <row r="1700" spans="1:21" x14ac:dyDescent="0.25">
      <c r="A1700" s="195" t="s">
        <v>8251</v>
      </c>
      <c r="B1700" s="207" t="s">
        <v>3329</v>
      </c>
      <c r="C1700" s="205" t="s">
        <v>7083</v>
      </c>
      <c r="D1700" s="188" t="s">
        <v>8724</v>
      </c>
      <c r="E1700" s="216" t="s">
        <v>6458</v>
      </c>
      <c r="F1700" s="217" t="s">
        <v>6459</v>
      </c>
      <c r="G1700" s="205" t="s">
        <v>8258</v>
      </c>
      <c r="H1700" s="217"/>
      <c r="I1700" s="199">
        <v>1</v>
      </c>
      <c r="J1700" s="199">
        <v>1</v>
      </c>
      <c r="K1700" s="199">
        <v>1</v>
      </c>
      <c r="L1700" s="199">
        <v>50</v>
      </c>
      <c r="M1700" s="218">
        <f>TB_Parts_Lists[[#This Row],[Quantity Initial]]+ SUMIF(TB_Transactions[Part number],TB_Parts_Lists[[#This Row],[Part Number]],TB_Transactions[Quantity])</f>
        <v>50</v>
      </c>
      <c r="N1700" s="200" t="s">
        <v>4593</v>
      </c>
      <c r="O1700" s="234">
        <v>5</v>
      </c>
      <c r="P1700" s="199">
        <f>TB_Parts_Lists[[#This Row],[Quantity Initial]]*TB_Parts_Lists[[#This Row],[Unit Price AED]]</f>
        <v>250</v>
      </c>
      <c r="Q1700" s="199">
        <f>TB_Parts_Lists[[#This Row],[Quantity Total]]*TB_Parts_Lists[[#This Row],[Unit Price AED]]</f>
        <v>250</v>
      </c>
      <c r="R1700" s="216"/>
      <c r="S1700" s="213" t="e">
        <v>#N/A</v>
      </c>
      <c r="T1700" s="213" t="e">
        <v>#N/A</v>
      </c>
      <c r="U1700" s="213" t="e">
        <v>#N/A</v>
      </c>
    </row>
    <row r="1701" spans="1:21" x14ac:dyDescent="0.25">
      <c r="A1701" s="195" t="s">
        <v>8252</v>
      </c>
      <c r="B1701" s="207" t="s">
        <v>3331</v>
      </c>
      <c r="C1701" s="205" t="s">
        <v>4700</v>
      </c>
      <c r="D1701" s="188" t="s">
        <v>8724</v>
      </c>
      <c r="E1701" s="216" t="s">
        <v>6461</v>
      </c>
      <c r="F1701" s="217" t="s">
        <v>6462</v>
      </c>
      <c r="G1701" s="205" t="s">
        <v>8316</v>
      </c>
      <c r="H1701" s="217"/>
      <c r="I1701" s="199">
        <v>1</v>
      </c>
      <c r="J1701" s="199">
        <v>1</v>
      </c>
      <c r="K1701" s="199">
        <v>1</v>
      </c>
      <c r="L1701" s="199">
        <v>50</v>
      </c>
      <c r="M1701" s="218">
        <f>TB_Parts_Lists[[#This Row],[Quantity Initial]]+ SUMIF(TB_Transactions[Part number],TB_Parts_Lists[[#This Row],[Part Number]],TB_Transactions[Quantity])</f>
        <v>50</v>
      </c>
      <c r="N1701" s="200" t="s">
        <v>4593</v>
      </c>
      <c r="O1701" s="234">
        <v>5</v>
      </c>
      <c r="P1701" s="199">
        <f>TB_Parts_Lists[[#This Row],[Quantity Initial]]*TB_Parts_Lists[[#This Row],[Unit Price AED]]</f>
        <v>250</v>
      </c>
      <c r="Q1701" s="199">
        <f>TB_Parts_Lists[[#This Row],[Quantity Total]]*TB_Parts_Lists[[#This Row],[Unit Price AED]]</f>
        <v>250</v>
      </c>
      <c r="R1701" s="216"/>
      <c r="S1701" s="213" t="e">
        <v>#N/A</v>
      </c>
      <c r="T1701" s="213" t="e">
        <v>#N/A</v>
      </c>
      <c r="U1701" s="213" t="e">
        <v>#N/A</v>
      </c>
    </row>
    <row r="1702" spans="1:21" x14ac:dyDescent="0.25">
      <c r="A1702" s="194" t="s">
        <v>7077</v>
      </c>
      <c r="B1702" s="219" t="s">
        <v>3330</v>
      </c>
      <c r="C1702" s="213" t="s">
        <v>3338</v>
      </c>
      <c r="D1702" s="188" t="s">
        <v>8724</v>
      </c>
      <c r="E1702" s="213" t="s">
        <v>3749</v>
      </c>
      <c r="F1702" s="214" t="s">
        <v>3685</v>
      </c>
      <c r="G1702" s="199" t="s">
        <v>8267</v>
      </c>
      <c r="H1702" s="214"/>
      <c r="I1702" s="199">
        <v>1</v>
      </c>
      <c r="J1702" s="199">
        <v>1</v>
      </c>
      <c r="K1702" s="199">
        <v>1</v>
      </c>
      <c r="L1702" s="199">
        <v>50</v>
      </c>
      <c r="M1702" s="215">
        <f>TB_Parts_Lists[[#This Row],[Quantity Initial]]+ SUMIF(TB_Transactions[Part number],TB_Parts_Lists[[#This Row],[Part Number]],TB_Transactions[Quantity])</f>
        <v>50</v>
      </c>
      <c r="N1702" s="200" t="s">
        <v>4593</v>
      </c>
      <c r="O1702" s="234">
        <v>5</v>
      </c>
      <c r="P1702" s="199">
        <f>TB_Parts_Lists[[#This Row],[Quantity Initial]]*TB_Parts_Lists[[#This Row],[Unit Price AED]]</f>
        <v>250</v>
      </c>
      <c r="Q1702" s="199">
        <f>TB_Parts_Lists[[#This Row],[Quantity Total]]*TB_Parts_Lists[[#This Row],[Unit Price AED]]</f>
        <v>250</v>
      </c>
      <c r="R1702" s="213"/>
      <c r="S1702" s="213" t="e">
        <v>#N/A</v>
      </c>
      <c r="T1702" s="213" t="e">
        <v>#N/A</v>
      </c>
      <c r="U1702" s="213" t="e">
        <v>#N/A</v>
      </c>
    </row>
    <row r="1703" spans="1:21" x14ac:dyDescent="0.25">
      <c r="A1703" s="194" t="s">
        <v>8529</v>
      </c>
      <c r="B1703" s="219" t="s">
        <v>3331</v>
      </c>
      <c r="C1703" s="213" t="s">
        <v>6675</v>
      </c>
      <c r="D1703" s="188" t="s">
        <v>8724</v>
      </c>
      <c r="E1703" s="213" t="s">
        <v>8327</v>
      </c>
      <c r="F1703" s="184" t="s">
        <v>8426</v>
      </c>
      <c r="G1703" s="213" t="s">
        <v>8525</v>
      </c>
      <c r="H1703" s="199" t="s">
        <v>156</v>
      </c>
      <c r="I1703" s="199">
        <v>1</v>
      </c>
      <c r="J1703" s="199">
        <v>1</v>
      </c>
      <c r="K1703" s="199">
        <v>1</v>
      </c>
      <c r="L1703" s="199">
        <v>50</v>
      </c>
      <c r="M1703" s="215">
        <f>TB_Parts_Lists[[#This Row],[Quantity Initial]]+ SUMIF(TB_Transactions[Part number],TB_Parts_Lists[[#This Row],[Part Number]],TB_Transactions[Quantity])</f>
        <v>50</v>
      </c>
      <c r="N1703" s="200" t="s">
        <v>4593</v>
      </c>
      <c r="O1703" s="234">
        <v>5</v>
      </c>
      <c r="P1703" s="199">
        <f>TB_Parts_Lists[[#This Row],[Quantity Initial]]*TB_Parts_Lists[[#This Row],[Unit Price AED]]</f>
        <v>250</v>
      </c>
      <c r="Q1703" s="199">
        <f>TB_Parts_Lists[[#This Row],[Quantity Total]]*TB_Parts_Lists[[#This Row],[Unit Price AED]]</f>
        <v>250</v>
      </c>
      <c r="R1703" s="213"/>
      <c r="S1703" s="199" t="s">
        <v>122</v>
      </c>
      <c r="T1703" s="199" t="s">
        <v>129</v>
      </c>
      <c r="U1703" s="199" t="s">
        <v>262</v>
      </c>
    </row>
    <row r="1704" spans="1:21" x14ac:dyDescent="0.25">
      <c r="A1704" s="194" t="s">
        <v>8530</v>
      </c>
      <c r="B1704" s="219" t="s">
        <v>3331</v>
      </c>
      <c r="C1704" s="213" t="s">
        <v>6671</v>
      </c>
      <c r="D1704" s="188" t="s">
        <v>8724</v>
      </c>
      <c r="E1704" s="213" t="s">
        <v>8328</v>
      </c>
      <c r="F1704" s="184" t="s">
        <v>8427</v>
      </c>
      <c r="G1704" s="213" t="s">
        <v>8525</v>
      </c>
      <c r="H1704" s="199" t="s">
        <v>8644</v>
      </c>
      <c r="I1704" s="199">
        <v>1</v>
      </c>
      <c r="J1704" s="199">
        <v>1</v>
      </c>
      <c r="K1704" s="199">
        <v>1</v>
      </c>
      <c r="L1704" s="199">
        <v>50</v>
      </c>
      <c r="M1704" s="215">
        <f>TB_Parts_Lists[[#This Row],[Quantity Initial]]+ SUMIF(TB_Transactions[Part number],TB_Parts_Lists[[#This Row],[Part Number]],TB_Transactions[Quantity])</f>
        <v>50</v>
      </c>
      <c r="N1704" s="200" t="s">
        <v>4593</v>
      </c>
      <c r="O1704" s="234">
        <v>5</v>
      </c>
      <c r="P1704" s="199">
        <f>TB_Parts_Lists[[#This Row],[Quantity Initial]]*TB_Parts_Lists[[#This Row],[Unit Price AED]]</f>
        <v>250</v>
      </c>
      <c r="Q1704" s="199">
        <f>TB_Parts_Lists[[#This Row],[Quantity Total]]*TB_Parts_Lists[[#This Row],[Unit Price AED]]</f>
        <v>250</v>
      </c>
      <c r="R1704" s="213"/>
      <c r="S1704" s="199" t="s">
        <v>122</v>
      </c>
      <c r="T1704" s="199" t="s">
        <v>129</v>
      </c>
      <c r="U1704" s="199" t="s">
        <v>262</v>
      </c>
    </row>
    <row r="1705" spans="1:21" x14ac:dyDescent="0.25">
      <c r="A1705" s="194" t="s">
        <v>8531</v>
      </c>
      <c r="B1705" s="219" t="s">
        <v>3330</v>
      </c>
      <c r="C1705" s="213" t="s">
        <v>7002</v>
      </c>
      <c r="D1705" s="188" t="s">
        <v>8724</v>
      </c>
      <c r="E1705" s="213" t="s">
        <v>8329</v>
      </c>
      <c r="F1705" s="184" t="s">
        <v>8428</v>
      </c>
      <c r="G1705" s="213" t="s">
        <v>8525</v>
      </c>
      <c r="H1705" s="199" t="s">
        <v>8642</v>
      </c>
      <c r="I1705" s="199">
        <v>1</v>
      </c>
      <c r="J1705" s="199">
        <v>1</v>
      </c>
      <c r="K1705" s="199">
        <v>1</v>
      </c>
      <c r="L1705" s="199">
        <v>50</v>
      </c>
      <c r="M1705" s="215">
        <f>TB_Parts_Lists[[#This Row],[Quantity Initial]]+ SUMIF(TB_Transactions[Part number],TB_Parts_Lists[[#This Row],[Part Number]],TB_Transactions[Quantity])</f>
        <v>50</v>
      </c>
      <c r="N1705" s="200" t="s">
        <v>4593</v>
      </c>
      <c r="O1705" s="234">
        <v>5</v>
      </c>
      <c r="P1705" s="199">
        <f>TB_Parts_Lists[[#This Row],[Quantity Initial]]*TB_Parts_Lists[[#This Row],[Unit Price AED]]</f>
        <v>250</v>
      </c>
      <c r="Q1705" s="199">
        <f>TB_Parts_Lists[[#This Row],[Quantity Total]]*TB_Parts_Lists[[#This Row],[Unit Price AED]]</f>
        <v>250</v>
      </c>
      <c r="R1705" s="213"/>
      <c r="S1705" s="199" t="s">
        <v>122</v>
      </c>
      <c r="T1705" s="199" t="s">
        <v>129</v>
      </c>
      <c r="U1705" s="199" t="s">
        <v>262</v>
      </c>
    </row>
    <row r="1706" spans="1:21" x14ac:dyDescent="0.25">
      <c r="A1706" s="194" t="s">
        <v>8532</v>
      </c>
      <c r="B1706" s="219" t="s">
        <v>3329</v>
      </c>
      <c r="C1706" s="213" t="s">
        <v>6652</v>
      </c>
      <c r="D1706" s="188" t="s">
        <v>8724</v>
      </c>
      <c r="E1706" s="213" t="s">
        <v>8330</v>
      </c>
      <c r="F1706" s="184" t="s">
        <v>8429</v>
      </c>
      <c r="G1706" s="213" t="s">
        <v>8525</v>
      </c>
      <c r="H1706" s="199" t="s">
        <v>8644</v>
      </c>
      <c r="I1706" s="199">
        <v>1</v>
      </c>
      <c r="J1706" s="199">
        <v>1</v>
      </c>
      <c r="K1706" s="199">
        <v>1</v>
      </c>
      <c r="L1706" s="199">
        <v>50</v>
      </c>
      <c r="M1706" s="215">
        <f>TB_Parts_Lists[[#This Row],[Quantity Initial]]+ SUMIF(TB_Transactions[Part number],TB_Parts_Lists[[#This Row],[Part Number]],TB_Transactions[Quantity])</f>
        <v>50</v>
      </c>
      <c r="N1706" s="200" t="s">
        <v>4593</v>
      </c>
      <c r="O1706" s="234">
        <v>5</v>
      </c>
      <c r="P1706" s="199">
        <f>TB_Parts_Lists[[#This Row],[Quantity Initial]]*TB_Parts_Lists[[#This Row],[Unit Price AED]]</f>
        <v>250</v>
      </c>
      <c r="Q1706" s="199">
        <f>TB_Parts_Lists[[#This Row],[Quantity Total]]*TB_Parts_Lists[[#This Row],[Unit Price AED]]</f>
        <v>250</v>
      </c>
      <c r="R1706" s="213"/>
      <c r="S1706" s="199" t="s">
        <v>122</v>
      </c>
      <c r="T1706" s="199" t="s">
        <v>129</v>
      </c>
      <c r="U1706" s="199" t="s">
        <v>262</v>
      </c>
    </row>
    <row r="1707" spans="1:21" x14ac:dyDescent="0.25">
      <c r="A1707" s="194" t="s">
        <v>8533</v>
      </c>
      <c r="B1707" s="219" t="s">
        <v>3330</v>
      </c>
      <c r="C1707" s="213" t="s">
        <v>7002</v>
      </c>
      <c r="D1707" s="188" t="s">
        <v>8724</v>
      </c>
      <c r="E1707" s="213" t="s">
        <v>8331</v>
      </c>
      <c r="F1707" s="184" t="s">
        <v>8430</v>
      </c>
      <c r="G1707" s="213" t="s">
        <v>8525</v>
      </c>
      <c r="H1707" s="199" t="s">
        <v>8642</v>
      </c>
      <c r="I1707" s="199">
        <v>1</v>
      </c>
      <c r="J1707" s="199">
        <v>1</v>
      </c>
      <c r="K1707" s="199">
        <v>1</v>
      </c>
      <c r="L1707" s="199">
        <v>50</v>
      </c>
      <c r="M1707" s="215">
        <f>TB_Parts_Lists[[#This Row],[Quantity Initial]]+ SUMIF(TB_Transactions[Part number],TB_Parts_Lists[[#This Row],[Part Number]],TB_Transactions[Quantity])</f>
        <v>50</v>
      </c>
      <c r="N1707" s="200" t="s">
        <v>4593</v>
      </c>
      <c r="O1707" s="234">
        <v>5</v>
      </c>
      <c r="P1707" s="199">
        <f>TB_Parts_Lists[[#This Row],[Quantity Initial]]*TB_Parts_Lists[[#This Row],[Unit Price AED]]</f>
        <v>250</v>
      </c>
      <c r="Q1707" s="199">
        <f>TB_Parts_Lists[[#This Row],[Quantity Total]]*TB_Parts_Lists[[#This Row],[Unit Price AED]]</f>
        <v>250</v>
      </c>
      <c r="R1707" s="213"/>
      <c r="S1707" s="199" t="s">
        <v>122</v>
      </c>
      <c r="T1707" s="199" t="s">
        <v>129</v>
      </c>
      <c r="U1707" s="199" t="s">
        <v>262</v>
      </c>
    </row>
    <row r="1708" spans="1:21" x14ac:dyDescent="0.25">
      <c r="A1708" s="194" t="s">
        <v>8534</v>
      </c>
      <c r="B1708" s="219" t="s">
        <v>3330</v>
      </c>
      <c r="C1708" s="213" t="s">
        <v>7047</v>
      </c>
      <c r="D1708" s="188" t="s">
        <v>8724</v>
      </c>
      <c r="E1708" s="213" t="s">
        <v>8332</v>
      </c>
      <c r="F1708" s="184" t="s">
        <v>8431</v>
      </c>
      <c r="G1708" s="213" t="s">
        <v>8525</v>
      </c>
      <c r="H1708" s="199" t="s">
        <v>8642</v>
      </c>
      <c r="I1708" s="199">
        <v>1</v>
      </c>
      <c r="J1708" s="199">
        <v>1</v>
      </c>
      <c r="K1708" s="199">
        <v>1</v>
      </c>
      <c r="L1708" s="199">
        <v>50</v>
      </c>
      <c r="M1708" s="215">
        <f>TB_Parts_Lists[[#This Row],[Quantity Initial]]+ SUMIF(TB_Transactions[Part number],TB_Parts_Lists[[#This Row],[Part Number]],TB_Transactions[Quantity])</f>
        <v>50</v>
      </c>
      <c r="N1708" s="200" t="s">
        <v>4593</v>
      </c>
      <c r="O1708" s="234">
        <v>5</v>
      </c>
      <c r="P1708" s="199">
        <f>TB_Parts_Lists[[#This Row],[Quantity Initial]]*TB_Parts_Lists[[#This Row],[Unit Price AED]]</f>
        <v>250</v>
      </c>
      <c r="Q1708" s="199">
        <f>TB_Parts_Lists[[#This Row],[Quantity Total]]*TB_Parts_Lists[[#This Row],[Unit Price AED]]</f>
        <v>250</v>
      </c>
      <c r="R1708" s="213"/>
      <c r="S1708" s="199" t="s">
        <v>122</v>
      </c>
      <c r="T1708" s="199" t="s">
        <v>129</v>
      </c>
      <c r="U1708" s="199" t="s">
        <v>262</v>
      </c>
    </row>
    <row r="1709" spans="1:21" x14ac:dyDescent="0.25">
      <c r="A1709" s="194" t="s">
        <v>8535</v>
      </c>
      <c r="B1709" s="219" t="s">
        <v>3330</v>
      </c>
      <c r="C1709" s="213" t="s">
        <v>7047</v>
      </c>
      <c r="D1709" s="188" t="s">
        <v>8724</v>
      </c>
      <c r="E1709" s="213" t="s">
        <v>8333</v>
      </c>
      <c r="F1709" s="184" t="s">
        <v>8432</v>
      </c>
      <c r="G1709" s="213" t="s">
        <v>8525</v>
      </c>
      <c r="H1709" s="199" t="s">
        <v>8642</v>
      </c>
      <c r="I1709" s="199">
        <v>1</v>
      </c>
      <c r="J1709" s="199">
        <v>1</v>
      </c>
      <c r="K1709" s="199">
        <v>1</v>
      </c>
      <c r="L1709" s="199">
        <v>50</v>
      </c>
      <c r="M1709" s="215">
        <f>TB_Parts_Lists[[#This Row],[Quantity Initial]]+ SUMIF(TB_Transactions[Part number],TB_Parts_Lists[[#This Row],[Part Number]],TB_Transactions[Quantity])</f>
        <v>50</v>
      </c>
      <c r="N1709" s="200" t="s">
        <v>4593</v>
      </c>
      <c r="O1709" s="234">
        <v>5</v>
      </c>
      <c r="P1709" s="199">
        <f>TB_Parts_Lists[[#This Row],[Quantity Initial]]*TB_Parts_Lists[[#This Row],[Unit Price AED]]</f>
        <v>250</v>
      </c>
      <c r="Q1709" s="199">
        <f>TB_Parts_Lists[[#This Row],[Quantity Total]]*TB_Parts_Lists[[#This Row],[Unit Price AED]]</f>
        <v>250</v>
      </c>
      <c r="R1709" s="213"/>
      <c r="S1709" s="199" t="s">
        <v>122</v>
      </c>
      <c r="T1709" s="199" t="s">
        <v>129</v>
      </c>
      <c r="U1709" s="199" t="s">
        <v>262</v>
      </c>
    </row>
    <row r="1710" spans="1:21" x14ac:dyDescent="0.25">
      <c r="A1710" s="194" t="s">
        <v>8536</v>
      </c>
      <c r="B1710" s="219" t="s">
        <v>3330</v>
      </c>
      <c r="C1710" s="213" t="s">
        <v>6679</v>
      </c>
      <c r="D1710" s="188" t="s">
        <v>8724</v>
      </c>
      <c r="E1710" s="213" t="s">
        <v>8334</v>
      </c>
      <c r="F1710" s="184" t="s">
        <v>8433</v>
      </c>
      <c r="G1710" s="213" t="s">
        <v>8525</v>
      </c>
      <c r="H1710" s="199" t="s">
        <v>156</v>
      </c>
      <c r="I1710" s="199">
        <v>1</v>
      </c>
      <c r="J1710" s="199">
        <v>1</v>
      </c>
      <c r="K1710" s="199">
        <v>1</v>
      </c>
      <c r="L1710" s="199">
        <v>50</v>
      </c>
      <c r="M1710" s="215">
        <f>TB_Parts_Lists[[#This Row],[Quantity Initial]]+ SUMIF(TB_Transactions[Part number],TB_Parts_Lists[[#This Row],[Part Number]],TB_Transactions[Quantity])</f>
        <v>50</v>
      </c>
      <c r="N1710" s="200" t="s">
        <v>4593</v>
      </c>
      <c r="O1710" s="234">
        <v>5</v>
      </c>
      <c r="P1710" s="199">
        <f>TB_Parts_Lists[[#This Row],[Quantity Initial]]*TB_Parts_Lists[[#This Row],[Unit Price AED]]</f>
        <v>250</v>
      </c>
      <c r="Q1710" s="199">
        <f>TB_Parts_Lists[[#This Row],[Quantity Total]]*TB_Parts_Lists[[#This Row],[Unit Price AED]]</f>
        <v>250</v>
      </c>
      <c r="R1710" s="213"/>
      <c r="S1710" s="199" t="s">
        <v>122</v>
      </c>
      <c r="T1710" s="199" t="s">
        <v>129</v>
      </c>
      <c r="U1710" s="199" t="s">
        <v>262</v>
      </c>
    </row>
    <row r="1711" spans="1:21" x14ac:dyDescent="0.25">
      <c r="A1711" s="194" t="s">
        <v>8537</v>
      </c>
      <c r="B1711" s="219" t="s">
        <v>3329</v>
      </c>
      <c r="C1711" s="213" t="s">
        <v>3379</v>
      </c>
      <c r="D1711" s="188" t="s">
        <v>8724</v>
      </c>
      <c r="E1711" s="213" t="s">
        <v>8335</v>
      </c>
      <c r="F1711" s="184" t="s">
        <v>8434</v>
      </c>
      <c r="G1711" s="213" t="s">
        <v>8525</v>
      </c>
      <c r="H1711" s="199" t="s">
        <v>156</v>
      </c>
      <c r="I1711" s="199">
        <v>1</v>
      </c>
      <c r="J1711" s="199">
        <v>1</v>
      </c>
      <c r="K1711" s="199">
        <v>1</v>
      </c>
      <c r="L1711" s="199">
        <v>50</v>
      </c>
      <c r="M1711" s="215">
        <f>TB_Parts_Lists[[#This Row],[Quantity Initial]]+ SUMIF(TB_Transactions[Part number],TB_Parts_Lists[[#This Row],[Part Number]],TB_Transactions[Quantity])</f>
        <v>50</v>
      </c>
      <c r="N1711" s="200" t="s">
        <v>4593</v>
      </c>
      <c r="O1711" s="234">
        <v>5</v>
      </c>
      <c r="P1711" s="199">
        <f>TB_Parts_Lists[[#This Row],[Quantity Initial]]*TB_Parts_Lists[[#This Row],[Unit Price AED]]</f>
        <v>250</v>
      </c>
      <c r="Q1711" s="199">
        <f>TB_Parts_Lists[[#This Row],[Quantity Total]]*TB_Parts_Lists[[#This Row],[Unit Price AED]]</f>
        <v>250</v>
      </c>
      <c r="R1711" s="213"/>
      <c r="S1711" s="199" t="s">
        <v>122</v>
      </c>
      <c r="T1711" s="199" t="s">
        <v>129</v>
      </c>
      <c r="U1711" s="199" t="s">
        <v>262</v>
      </c>
    </row>
    <row r="1712" spans="1:21" x14ac:dyDescent="0.25">
      <c r="A1712" s="194" t="s">
        <v>8538</v>
      </c>
      <c r="B1712" s="219" t="s">
        <v>3329</v>
      </c>
      <c r="C1712" s="213" t="s">
        <v>3379</v>
      </c>
      <c r="D1712" s="188" t="s">
        <v>8724</v>
      </c>
      <c r="E1712" s="213" t="s">
        <v>8336</v>
      </c>
      <c r="F1712" s="184" t="s">
        <v>8435</v>
      </c>
      <c r="G1712" s="213" t="s">
        <v>8525</v>
      </c>
      <c r="H1712" s="199" t="s">
        <v>156</v>
      </c>
      <c r="I1712" s="199">
        <v>1</v>
      </c>
      <c r="J1712" s="199">
        <v>1</v>
      </c>
      <c r="K1712" s="199">
        <v>1</v>
      </c>
      <c r="L1712" s="199">
        <v>50</v>
      </c>
      <c r="M1712" s="215">
        <f>TB_Parts_Lists[[#This Row],[Quantity Initial]]+ SUMIF(TB_Transactions[Part number],TB_Parts_Lists[[#This Row],[Part Number]],TB_Transactions[Quantity])</f>
        <v>50</v>
      </c>
      <c r="N1712" s="200" t="s">
        <v>4593</v>
      </c>
      <c r="O1712" s="234">
        <v>5</v>
      </c>
      <c r="P1712" s="199">
        <f>TB_Parts_Lists[[#This Row],[Quantity Initial]]*TB_Parts_Lists[[#This Row],[Unit Price AED]]</f>
        <v>250</v>
      </c>
      <c r="Q1712" s="199">
        <f>TB_Parts_Lists[[#This Row],[Quantity Total]]*TB_Parts_Lists[[#This Row],[Unit Price AED]]</f>
        <v>250</v>
      </c>
      <c r="R1712" s="213"/>
      <c r="S1712" s="199" t="s">
        <v>122</v>
      </c>
      <c r="T1712" s="199" t="s">
        <v>129</v>
      </c>
      <c r="U1712" s="199" t="s">
        <v>262</v>
      </c>
    </row>
    <row r="1713" spans="1:21" x14ac:dyDescent="0.25">
      <c r="A1713" s="194" t="s">
        <v>8539</v>
      </c>
      <c r="B1713" s="219" t="s">
        <v>3330</v>
      </c>
      <c r="C1713" s="213" t="s">
        <v>7047</v>
      </c>
      <c r="D1713" s="188" t="s">
        <v>8724</v>
      </c>
      <c r="E1713" s="213" t="s">
        <v>8337</v>
      </c>
      <c r="F1713" s="184" t="s">
        <v>8436</v>
      </c>
      <c r="G1713" s="213" t="s">
        <v>8525</v>
      </c>
      <c r="H1713" s="199" t="s">
        <v>156</v>
      </c>
      <c r="I1713" s="199">
        <v>1</v>
      </c>
      <c r="J1713" s="199">
        <v>1</v>
      </c>
      <c r="K1713" s="199">
        <v>1</v>
      </c>
      <c r="L1713" s="199">
        <v>50</v>
      </c>
      <c r="M1713" s="215">
        <f>TB_Parts_Lists[[#This Row],[Quantity Initial]]+ SUMIF(TB_Transactions[Part number],TB_Parts_Lists[[#This Row],[Part Number]],TB_Transactions[Quantity])</f>
        <v>50</v>
      </c>
      <c r="N1713" s="200" t="s">
        <v>4593</v>
      </c>
      <c r="O1713" s="234">
        <v>5</v>
      </c>
      <c r="P1713" s="199">
        <f>TB_Parts_Lists[[#This Row],[Quantity Initial]]*TB_Parts_Lists[[#This Row],[Unit Price AED]]</f>
        <v>250</v>
      </c>
      <c r="Q1713" s="199">
        <f>TB_Parts_Lists[[#This Row],[Quantity Total]]*TB_Parts_Lists[[#This Row],[Unit Price AED]]</f>
        <v>250</v>
      </c>
      <c r="R1713" s="213"/>
      <c r="S1713" s="199" t="s">
        <v>122</v>
      </c>
      <c r="T1713" s="199" t="s">
        <v>129</v>
      </c>
      <c r="U1713" s="199" t="s">
        <v>262</v>
      </c>
    </row>
    <row r="1714" spans="1:21" x14ac:dyDescent="0.25">
      <c r="A1714" s="194" t="s">
        <v>8540</v>
      </c>
      <c r="B1714" s="219" t="s">
        <v>3330</v>
      </c>
      <c r="C1714" s="213" t="s">
        <v>6679</v>
      </c>
      <c r="D1714" s="188" t="s">
        <v>8724</v>
      </c>
      <c r="E1714" s="213" t="s">
        <v>8338</v>
      </c>
      <c r="F1714" s="184" t="s">
        <v>8437</v>
      </c>
      <c r="G1714" s="213" t="s">
        <v>8525</v>
      </c>
      <c r="H1714" s="199" t="s">
        <v>156</v>
      </c>
      <c r="I1714" s="199">
        <v>1</v>
      </c>
      <c r="J1714" s="199">
        <v>1</v>
      </c>
      <c r="K1714" s="199">
        <v>1</v>
      </c>
      <c r="L1714" s="199">
        <v>50</v>
      </c>
      <c r="M1714" s="215">
        <f>TB_Parts_Lists[[#This Row],[Quantity Initial]]+ SUMIF(TB_Transactions[Part number],TB_Parts_Lists[[#This Row],[Part Number]],TB_Transactions[Quantity])</f>
        <v>50</v>
      </c>
      <c r="N1714" s="200" t="s">
        <v>4593</v>
      </c>
      <c r="O1714" s="234">
        <v>5</v>
      </c>
      <c r="P1714" s="199">
        <f>TB_Parts_Lists[[#This Row],[Quantity Initial]]*TB_Parts_Lists[[#This Row],[Unit Price AED]]</f>
        <v>250</v>
      </c>
      <c r="Q1714" s="199">
        <f>TB_Parts_Lists[[#This Row],[Quantity Total]]*TB_Parts_Lists[[#This Row],[Unit Price AED]]</f>
        <v>250</v>
      </c>
      <c r="R1714" s="213"/>
      <c r="S1714" s="199" t="s">
        <v>122</v>
      </c>
      <c r="T1714" s="199" t="s">
        <v>129</v>
      </c>
      <c r="U1714" s="199" t="s">
        <v>262</v>
      </c>
    </row>
    <row r="1715" spans="1:21" x14ac:dyDescent="0.25">
      <c r="A1715" s="194" t="s">
        <v>8541</v>
      </c>
      <c r="B1715" s="219" t="s">
        <v>3329</v>
      </c>
      <c r="C1715" s="213" t="s">
        <v>6652</v>
      </c>
      <c r="D1715" s="188" t="s">
        <v>8724</v>
      </c>
      <c r="E1715" s="213" t="s">
        <v>8339</v>
      </c>
      <c r="F1715" s="184" t="s">
        <v>8438</v>
      </c>
      <c r="G1715" s="213" t="s">
        <v>8525</v>
      </c>
      <c r="H1715" s="199" t="s">
        <v>156</v>
      </c>
      <c r="I1715" s="199">
        <v>1</v>
      </c>
      <c r="J1715" s="199">
        <v>1</v>
      </c>
      <c r="K1715" s="199">
        <v>1</v>
      </c>
      <c r="L1715" s="199">
        <v>50</v>
      </c>
      <c r="M1715" s="215">
        <f>TB_Parts_Lists[[#This Row],[Quantity Initial]]+ SUMIF(TB_Transactions[Part number],TB_Parts_Lists[[#This Row],[Part Number]],TB_Transactions[Quantity])</f>
        <v>50</v>
      </c>
      <c r="N1715" s="200" t="s">
        <v>4593</v>
      </c>
      <c r="O1715" s="234">
        <v>5</v>
      </c>
      <c r="P1715" s="199">
        <f>TB_Parts_Lists[[#This Row],[Quantity Initial]]*TB_Parts_Lists[[#This Row],[Unit Price AED]]</f>
        <v>250</v>
      </c>
      <c r="Q1715" s="199">
        <f>TB_Parts_Lists[[#This Row],[Quantity Total]]*TB_Parts_Lists[[#This Row],[Unit Price AED]]</f>
        <v>250</v>
      </c>
      <c r="R1715" s="213"/>
      <c r="S1715" s="199" t="s">
        <v>122</v>
      </c>
      <c r="T1715" s="199" t="s">
        <v>129</v>
      </c>
      <c r="U1715" s="199" t="s">
        <v>262</v>
      </c>
    </row>
    <row r="1716" spans="1:21" x14ac:dyDescent="0.25">
      <c r="A1716" s="194" t="s">
        <v>8542</v>
      </c>
      <c r="B1716" s="219" t="s">
        <v>3330</v>
      </c>
      <c r="C1716" s="213" t="s">
        <v>3338</v>
      </c>
      <c r="D1716" s="188" t="s">
        <v>8724</v>
      </c>
      <c r="E1716" s="213" t="s">
        <v>8340</v>
      </c>
      <c r="F1716" s="184" t="s">
        <v>8439</v>
      </c>
      <c r="G1716" s="213" t="s">
        <v>8525</v>
      </c>
      <c r="H1716" s="199" t="s">
        <v>156</v>
      </c>
      <c r="I1716" s="199">
        <v>1</v>
      </c>
      <c r="J1716" s="199">
        <v>1</v>
      </c>
      <c r="K1716" s="199">
        <v>1</v>
      </c>
      <c r="L1716" s="199">
        <v>50</v>
      </c>
      <c r="M1716" s="215">
        <f>TB_Parts_Lists[[#This Row],[Quantity Initial]]+ SUMIF(TB_Transactions[Part number],TB_Parts_Lists[[#This Row],[Part Number]],TB_Transactions[Quantity])</f>
        <v>50</v>
      </c>
      <c r="N1716" s="200" t="s">
        <v>4593</v>
      </c>
      <c r="O1716" s="234">
        <v>5</v>
      </c>
      <c r="P1716" s="199">
        <f>TB_Parts_Lists[[#This Row],[Quantity Initial]]*TB_Parts_Lists[[#This Row],[Unit Price AED]]</f>
        <v>250</v>
      </c>
      <c r="Q1716" s="199">
        <f>TB_Parts_Lists[[#This Row],[Quantity Total]]*TB_Parts_Lists[[#This Row],[Unit Price AED]]</f>
        <v>250</v>
      </c>
      <c r="R1716" s="213"/>
      <c r="S1716" s="199" t="s">
        <v>122</v>
      </c>
      <c r="T1716" s="199" t="s">
        <v>129</v>
      </c>
      <c r="U1716" s="199" t="s">
        <v>262</v>
      </c>
    </row>
    <row r="1717" spans="1:21" x14ac:dyDescent="0.25">
      <c r="A1717" s="194" t="s">
        <v>8543</v>
      </c>
      <c r="B1717" s="219" t="s">
        <v>3330</v>
      </c>
      <c r="C1717" s="213" t="s">
        <v>7066</v>
      </c>
      <c r="D1717" s="188" t="s">
        <v>8724</v>
      </c>
      <c r="E1717" s="213" t="s">
        <v>8341</v>
      </c>
      <c r="F1717" s="184" t="s">
        <v>8440</v>
      </c>
      <c r="G1717" s="213" t="s">
        <v>8525</v>
      </c>
      <c r="H1717" s="199" t="s">
        <v>156</v>
      </c>
      <c r="I1717" s="199">
        <v>1</v>
      </c>
      <c r="J1717" s="199">
        <v>1</v>
      </c>
      <c r="K1717" s="199">
        <v>1</v>
      </c>
      <c r="L1717" s="199">
        <v>50</v>
      </c>
      <c r="M1717" s="215">
        <f>TB_Parts_Lists[[#This Row],[Quantity Initial]]+ SUMIF(TB_Transactions[Part number],TB_Parts_Lists[[#This Row],[Part Number]],TB_Transactions[Quantity])</f>
        <v>50</v>
      </c>
      <c r="N1717" s="200" t="s">
        <v>4593</v>
      </c>
      <c r="O1717" s="234">
        <v>5</v>
      </c>
      <c r="P1717" s="199">
        <f>TB_Parts_Lists[[#This Row],[Quantity Initial]]*TB_Parts_Lists[[#This Row],[Unit Price AED]]</f>
        <v>250</v>
      </c>
      <c r="Q1717" s="199">
        <f>TB_Parts_Lists[[#This Row],[Quantity Total]]*TB_Parts_Lists[[#This Row],[Unit Price AED]]</f>
        <v>250</v>
      </c>
      <c r="R1717" s="213"/>
      <c r="S1717" s="199" t="s">
        <v>122</v>
      </c>
      <c r="T1717" s="199" t="s">
        <v>129</v>
      </c>
      <c r="U1717" s="199" t="s">
        <v>262</v>
      </c>
    </row>
    <row r="1718" spans="1:21" x14ac:dyDescent="0.25">
      <c r="A1718" s="194" t="s">
        <v>8544</v>
      </c>
      <c r="B1718" s="219" t="s">
        <v>3330</v>
      </c>
      <c r="C1718" s="213" t="s">
        <v>7066</v>
      </c>
      <c r="D1718" s="188" t="s">
        <v>8724</v>
      </c>
      <c r="E1718" s="213" t="s">
        <v>8342</v>
      </c>
      <c r="F1718" s="184" t="s">
        <v>8441</v>
      </c>
      <c r="G1718" s="213" t="s">
        <v>8525</v>
      </c>
      <c r="H1718" s="199" t="s">
        <v>156</v>
      </c>
      <c r="I1718" s="199">
        <v>1</v>
      </c>
      <c r="J1718" s="199">
        <v>1</v>
      </c>
      <c r="K1718" s="199">
        <v>1</v>
      </c>
      <c r="L1718" s="199">
        <v>50</v>
      </c>
      <c r="M1718" s="215">
        <f>TB_Parts_Lists[[#This Row],[Quantity Initial]]+ SUMIF(TB_Transactions[Part number],TB_Parts_Lists[[#This Row],[Part Number]],TB_Transactions[Quantity])</f>
        <v>50</v>
      </c>
      <c r="N1718" s="200" t="s">
        <v>4593</v>
      </c>
      <c r="O1718" s="234">
        <v>5</v>
      </c>
      <c r="P1718" s="199">
        <f>TB_Parts_Lists[[#This Row],[Quantity Initial]]*TB_Parts_Lists[[#This Row],[Unit Price AED]]</f>
        <v>250</v>
      </c>
      <c r="Q1718" s="199">
        <f>TB_Parts_Lists[[#This Row],[Quantity Total]]*TB_Parts_Lists[[#This Row],[Unit Price AED]]</f>
        <v>250</v>
      </c>
      <c r="R1718" s="213"/>
      <c r="S1718" s="199" t="s">
        <v>122</v>
      </c>
      <c r="T1718" s="199" t="s">
        <v>129</v>
      </c>
      <c r="U1718" s="199" t="s">
        <v>262</v>
      </c>
    </row>
    <row r="1719" spans="1:21" x14ac:dyDescent="0.25">
      <c r="A1719" s="194" t="s">
        <v>8545</v>
      </c>
      <c r="B1719" s="219" t="s">
        <v>3330</v>
      </c>
      <c r="C1719" s="213" t="s">
        <v>3003</v>
      </c>
      <c r="D1719" s="188" t="s">
        <v>8724</v>
      </c>
      <c r="E1719" s="213" t="s">
        <v>8343</v>
      </c>
      <c r="F1719" s="184" t="s">
        <v>8442</v>
      </c>
      <c r="G1719" s="213" t="s">
        <v>8525</v>
      </c>
      <c r="H1719" s="199" t="s">
        <v>156</v>
      </c>
      <c r="I1719" s="199">
        <v>1</v>
      </c>
      <c r="J1719" s="199">
        <v>1</v>
      </c>
      <c r="K1719" s="199">
        <v>1</v>
      </c>
      <c r="L1719" s="199">
        <v>50</v>
      </c>
      <c r="M1719" s="215">
        <f>TB_Parts_Lists[[#This Row],[Quantity Initial]]+ SUMIF(TB_Transactions[Part number],TB_Parts_Lists[[#This Row],[Part Number]],TB_Transactions[Quantity])</f>
        <v>50</v>
      </c>
      <c r="N1719" s="200" t="s">
        <v>4593</v>
      </c>
      <c r="O1719" s="234">
        <v>5</v>
      </c>
      <c r="P1719" s="199">
        <f>TB_Parts_Lists[[#This Row],[Quantity Initial]]*TB_Parts_Lists[[#This Row],[Unit Price AED]]</f>
        <v>250</v>
      </c>
      <c r="Q1719" s="199">
        <f>TB_Parts_Lists[[#This Row],[Quantity Total]]*TB_Parts_Lists[[#This Row],[Unit Price AED]]</f>
        <v>250</v>
      </c>
      <c r="R1719" s="213"/>
      <c r="S1719" s="199" t="s">
        <v>122</v>
      </c>
      <c r="T1719" s="199" t="s">
        <v>129</v>
      </c>
      <c r="U1719" s="199" t="s">
        <v>262</v>
      </c>
    </row>
    <row r="1720" spans="1:21" x14ac:dyDescent="0.25">
      <c r="A1720" s="194" t="s">
        <v>8546</v>
      </c>
      <c r="B1720" s="219" t="s">
        <v>3330</v>
      </c>
      <c r="C1720" s="213" t="s">
        <v>3625</v>
      </c>
      <c r="D1720" s="188" t="s">
        <v>8724</v>
      </c>
      <c r="E1720" s="213" t="s">
        <v>8344</v>
      </c>
      <c r="F1720" s="184" t="s">
        <v>8443</v>
      </c>
      <c r="G1720" s="213" t="s">
        <v>8525</v>
      </c>
      <c r="H1720" s="199" t="s">
        <v>156</v>
      </c>
      <c r="I1720" s="199">
        <v>1</v>
      </c>
      <c r="J1720" s="199">
        <v>1</v>
      </c>
      <c r="K1720" s="199">
        <v>1</v>
      </c>
      <c r="L1720" s="199">
        <v>50</v>
      </c>
      <c r="M1720" s="215">
        <f>TB_Parts_Lists[[#This Row],[Quantity Initial]]+ SUMIF(TB_Transactions[Part number],TB_Parts_Lists[[#This Row],[Part Number]],TB_Transactions[Quantity])</f>
        <v>50</v>
      </c>
      <c r="N1720" s="200" t="s">
        <v>4593</v>
      </c>
      <c r="O1720" s="234">
        <v>5</v>
      </c>
      <c r="P1720" s="199">
        <f>TB_Parts_Lists[[#This Row],[Quantity Initial]]*TB_Parts_Lists[[#This Row],[Unit Price AED]]</f>
        <v>250</v>
      </c>
      <c r="Q1720" s="199">
        <f>TB_Parts_Lists[[#This Row],[Quantity Total]]*TB_Parts_Lists[[#This Row],[Unit Price AED]]</f>
        <v>250</v>
      </c>
      <c r="R1720" s="213"/>
      <c r="S1720" s="199" t="s">
        <v>122</v>
      </c>
      <c r="T1720" s="199" t="s">
        <v>129</v>
      </c>
      <c r="U1720" s="199" t="s">
        <v>262</v>
      </c>
    </row>
    <row r="1721" spans="1:21" x14ac:dyDescent="0.25">
      <c r="A1721" s="194" t="s">
        <v>8547</v>
      </c>
      <c r="B1721" s="219" t="s">
        <v>3330</v>
      </c>
      <c r="C1721" s="213" t="s">
        <v>3625</v>
      </c>
      <c r="D1721" s="188" t="s">
        <v>8724</v>
      </c>
      <c r="E1721" s="213" t="s">
        <v>8345</v>
      </c>
      <c r="F1721" s="184" t="s">
        <v>8444</v>
      </c>
      <c r="G1721" s="213" t="s">
        <v>8525</v>
      </c>
      <c r="H1721" s="199" t="s">
        <v>156</v>
      </c>
      <c r="I1721" s="199">
        <v>1</v>
      </c>
      <c r="J1721" s="199">
        <v>1</v>
      </c>
      <c r="K1721" s="199">
        <v>1</v>
      </c>
      <c r="L1721" s="199">
        <v>50</v>
      </c>
      <c r="M1721" s="215">
        <f>TB_Parts_Lists[[#This Row],[Quantity Initial]]+ SUMIF(TB_Transactions[Part number],TB_Parts_Lists[[#This Row],[Part Number]],TB_Transactions[Quantity])</f>
        <v>50</v>
      </c>
      <c r="N1721" s="200" t="s">
        <v>4593</v>
      </c>
      <c r="O1721" s="234">
        <v>5</v>
      </c>
      <c r="P1721" s="199">
        <f>TB_Parts_Lists[[#This Row],[Quantity Initial]]*TB_Parts_Lists[[#This Row],[Unit Price AED]]</f>
        <v>250</v>
      </c>
      <c r="Q1721" s="199">
        <f>TB_Parts_Lists[[#This Row],[Quantity Total]]*TB_Parts_Lists[[#This Row],[Unit Price AED]]</f>
        <v>250</v>
      </c>
      <c r="R1721" s="213"/>
      <c r="S1721" s="199" t="s">
        <v>122</v>
      </c>
      <c r="T1721" s="199" t="s">
        <v>129</v>
      </c>
      <c r="U1721" s="199" t="s">
        <v>262</v>
      </c>
    </row>
    <row r="1722" spans="1:21" x14ac:dyDescent="0.25">
      <c r="A1722" s="194" t="s">
        <v>8548</v>
      </c>
      <c r="B1722" s="219" t="s">
        <v>3330</v>
      </c>
      <c r="C1722" s="213" t="s">
        <v>4090</v>
      </c>
      <c r="D1722" s="188" t="s">
        <v>8724</v>
      </c>
      <c r="E1722" s="213" t="s">
        <v>8346</v>
      </c>
      <c r="F1722" s="184" t="s">
        <v>8445</v>
      </c>
      <c r="G1722" s="213" t="s">
        <v>8525</v>
      </c>
      <c r="H1722" s="199" t="s">
        <v>156</v>
      </c>
      <c r="I1722" s="199">
        <v>1</v>
      </c>
      <c r="J1722" s="199">
        <v>1</v>
      </c>
      <c r="K1722" s="199">
        <v>1</v>
      </c>
      <c r="L1722" s="199">
        <v>50</v>
      </c>
      <c r="M1722" s="215">
        <f>TB_Parts_Lists[[#This Row],[Quantity Initial]]+ SUMIF(TB_Transactions[Part number],TB_Parts_Lists[[#This Row],[Part Number]],TB_Transactions[Quantity])</f>
        <v>50</v>
      </c>
      <c r="N1722" s="200" t="s">
        <v>4593</v>
      </c>
      <c r="O1722" s="234">
        <v>5</v>
      </c>
      <c r="P1722" s="199">
        <f>TB_Parts_Lists[[#This Row],[Quantity Initial]]*TB_Parts_Lists[[#This Row],[Unit Price AED]]</f>
        <v>250</v>
      </c>
      <c r="Q1722" s="199">
        <f>TB_Parts_Lists[[#This Row],[Quantity Total]]*TB_Parts_Lists[[#This Row],[Unit Price AED]]</f>
        <v>250</v>
      </c>
      <c r="R1722" s="213"/>
      <c r="S1722" s="199" t="s">
        <v>122</v>
      </c>
      <c r="T1722" s="199" t="s">
        <v>129</v>
      </c>
      <c r="U1722" s="199" t="s">
        <v>262</v>
      </c>
    </row>
    <row r="1723" spans="1:21" x14ac:dyDescent="0.25">
      <c r="A1723" s="194" t="s">
        <v>8549</v>
      </c>
      <c r="B1723" s="219" t="s">
        <v>6619</v>
      </c>
      <c r="C1723" s="213" t="s">
        <v>3629</v>
      </c>
      <c r="D1723" s="188" t="s">
        <v>8724</v>
      </c>
      <c r="E1723" s="213" t="s">
        <v>8347</v>
      </c>
      <c r="F1723" s="184" t="s">
        <v>8446</v>
      </c>
      <c r="G1723" s="213" t="s">
        <v>8525</v>
      </c>
      <c r="H1723" s="199" t="s">
        <v>156</v>
      </c>
      <c r="I1723" s="199">
        <v>1</v>
      </c>
      <c r="J1723" s="199">
        <v>1</v>
      </c>
      <c r="K1723" s="199">
        <v>1</v>
      </c>
      <c r="L1723" s="199">
        <v>50</v>
      </c>
      <c r="M1723" s="215">
        <f>TB_Parts_Lists[[#This Row],[Quantity Initial]]+ SUMIF(TB_Transactions[Part number],TB_Parts_Lists[[#This Row],[Part Number]],TB_Transactions[Quantity])</f>
        <v>50</v>
      </c>
      <c r="N1723" s="200" t="s">
        <v>4593</v>
      </c>
      <c r="O1723" s="234">
        <v>5</v>
      </c>
      <c r="P1723" s="199">
        <f>TB_Parts_Lists[[#This Row],[Quantity Initial]]*TB_Parts_Lists[[#This Row],[Unit Price AED]]</f>
        <v>250</v>
      </c>
      <c r="Q1723" s="199">
        <f>TB_Parts_Lists[[#This Row],[Quantity Total]]*TB_Parts_Lists[[#This Row],[Unit Price AED]]</f>
        <v>250</v>
      </c>
      <c r="R1723" s="213"/>
      <c r="S1723" s="199" t="s">
        <v>122</v>
      </c>
      <c r="T1723" s="199" t="s">
        <v>129</v>
      </c>
      <c r="U1723" s="199" t="s">
        <v>262</v>
      </c>
    </row>
    <row r="1724" spans="1:21" x14ac:dyDescent="0.25">
      <c r="A1724" s="194" t="s">
        <v>8550</v>
      </c>
      <c r="B1724" s="219" t="s">
        <v>3330</v>
      </c>
      <c r="C1724" s="213" t="s">
        <v>4090</v>
      </c>
      <c r="D1724" s="188" t="s">
        <v>8724</v>
      </c>
      <c r="E1724" s="213" t="s">
        <v>8348</v>
      </c>
      <c r="F1724" s="184" t="s">
        <v>8447</v>
      </c>
      <c r="G1724" s="213" t="s">
        <v>8525</v>
      </c>
      <c r="H1724" s="199" t="s">
        <v>156</v>
      </c>
      <c r="I1724" s="199">
        <v>1</v>
      </c>
      <c r="J1724" s="199">
        <v>1</v>
      </c>
      <c r="K1724" s="199">
        <v>1</v>
      </c>
      <c r="L1724" s="199">
        <v>50</v>
      </c>
      <c r="M1724" s="215">
        <f>TB_Parts_Lists[[#This Row],[Quantity Initial]]+ SUMIF(TB_Transactions[Part number],TB_Parts_Lists[[#This Row],[Part Number]],TB_Transactions[Quantity])</f>
        <v>50</v>
      </c>
      <c r="N1724" s="200" t="s">
        <v>4593</v>
      </c>
      <c r="O1724" s="234">
        <v>5</v>
      </c>
      <c r="P1724" s="199">
        <f>TB_Parts_Lists[[#This Row],[Quantity Initial]]*TB_Parts_Lists[[#This Row],[Unit Price AED]]</f>
        <v>250</v>
      </c>
      <c r="Q1724" s="199">
        <f>TB_Parts_Lists[[#This Row],[Quantity Total]]*TB_Parts_Lists[[#This Row],[Unit Price AED]]</f>
        <v>250</v>
      </c>
      <c r="R1724" s="213"/>
      <c r="S1724" s="199" t="s">
        <v>122</v>
      </c>
      <c r="T1724" s="199" t="s">
        <v>129</v>
      </c>
      <c r="U1724" s="199" t="s">
        <v>262</v>
      </c>
    </row>
    <row r="1725" spans="1:21" x14ac:dyDescent="0.25">
      <c r="A1725" s="194" t="s">
        <v>8551</v>
      </c>
      <c r="B1725" s="219" t="s">
        <v>3330</v>
      </c>
      <c r="C1725" s="213" t="s">
        <v>6672</v>
      </c>
      <c r="D1725" s="188" t="s">
        <v>8724</v>
      </c>
      <c r="E1725" s="213" t="s">
        <v>8349</v>
      </c>
      <c r="F1725" s="184" t="s">
        <v>8448</v>
      </c>
      <c r="G1725" s="213" t="s">
        <v>8525</v>
      </c>
      <c r="H1725" s="199" t="s">
        <v>8670</v>
      </c>
      <c r="I1725" s="199">
        <v>1</v>
      </c>
      <c r="J1725" s="199">
        <v>1</v>
      </c>
      <c r="K1725" s="199">
        <v>1</v>
      </c>
      <c r="L1725" s="199">
        <v>50</v>
      </c>
      <c r="M1725" s="215">
        <f>TB_Parts_Lists[[#This Row],[Quantity Initial]]+ SUMIF(TB_Transactions[Part number],TB_Parts_Lists[[#This Row],[Part Number]],TB_Transactions[Quantity])</f>
        <v>50</v>
      </c>
      <c r="N1725" s="200" t="s">
        <v>4593</v>
      </c>
      <c r="O1725" s="234">
        <v>5</v>
      </c>
      <c r="P1725" s="199">
        <f>TB_Parts_Lists[[#This Row],[Quantity Initial]]*TB_Parts_Lists[[#This Row],[Unit Price AED]]</f>
        <v>250</v>
      </c>
      <c r="Q1725" s="199">
        <f>TB_Parts_Lists[[#This Row],[Quantity Total]]*TB_Parts_Lists[[#This Row],[Unit Price AED]]</f>
        <v>250</v>
      </c>
      <c r="R1725" s="213"/>
      <c r="S1725" s="199" t="s">
        <v>8675</v>
      </c>
      <c r="T1725" s="199" t="s">
        <v>8675</v>
      </c>
      <c r="U1725" s="199" t="s">
        <v>8675</v>
      </c>
    </row>
    <row r="1726" spans="1:21" x14ac:dyDescent="0.25">
      <c r="A1726" s="194" t="s">
        <v>8552</v>
      </c>
      <c r="B1726" s="219" t="s">
        <v>4697</v>
      </c>
      <c r="C1726" s="213" t="s">
        <v>4700</v>
      </c>
      <c r="D1726" s="188" t="s">
        <v>8724</v>
      </c>
      <c r="E1726" s="213" t="s">
        <v>8350</v>
      </c>
      <c r="F1726" s="184" t="s">
        <v>8449</v>
      </c>
      <c r="G1726" s="213" t="s">
        <v>8525</v>
      </c>
      <c r="H1726" s="199" t="s">
        <v>156</v>
      </c>
      <c r="I1726" s="199">
        <v>1</v>
      </c>
      <c r="J1726" s="199">
        <v>1</v>
      </c>
      <c r="K1726" s="199">
        <v>1</v>
      </c>
      <c r="L1726" s="199">
        <v>50</v>
      </c>
      <c r="M1726" s="215">
        <f>TB_Parts_Lists[[#This Row],[Quantity Initial]]+ SUMIF(TB_Transactions[Part number],TB_Parts_Lists[[#This Row],[Part Number]],TB_Transactions[Quantity])</f>
        <v>50</v>
      </c>
      <c r="N1726" s="200" t="s">
        <v>4593</v>
      </c>
      <c r="O1726" s="234">
        <v>5</v>
      </c>
      <c r="P1726" s="199">
        <f>TB_Parts_Lists[[#This Row],[Quantity Initial]]*TB_Parts_Lists[[#This Row],[Unit Price AED]]</f>
        <v>250</v>
      </c>
      <c r="Q1726" s="199">
        <f>TB_Parts_Lists[[#This Row],[Quantity Total]]*TB_Parts_Lists[[#This Row],[Unit Price AED]]</f>
        <v>250</v>
      </c>
      <c r="R1726" s="213"/>
      <c r="S1726" s="199" t="s">
        <v>118</v>
      </c>
      <c r="T1726" s="199" t="s">
        <v>8675</v>
      </c>
      <c r="U1726" s="199" t="s">
        <v>8675</v>
      </c>
    </row>
    <row r="1727" spans="1:21" x14ac:dyDescent="0.25">
      <c r="A1727" s="194" t="s">
        <v>8553</v>
      </c>
      <c r="B1727" s="219" t="s">
        <v>3330</v>
      </c>
      <c r="C1727" s="213" t="s">
        <v>4608</v>
      </c>
      <c r="D1727" s="188" t="s">
        <v>8724</v>
      </c>
      <c r="E1727" s="213" t="s">
        <v>8351</v>
      </c>
      <c r="F1727" s="184" t="s">
        <v>8450</v>
      </c>
      <c r="G1727" s="213" t="s">
        <v>8525</v>
      </c>
      <c r="H1727" s="199" t="s">
        <v>156</v>
      </c>
      <c r="I1727" s="199">
        <v>1</v>
      </c>
      <c r="J1727" s="199">
        <v>1</v>
      </c>
      <c r="K1727" s="199">
        <v>1</v>
      </c>
      <c r="L1727" s="199">
        <v>50</v>
      </c>
      <c r="M1727" s="215">
        <f>TB_Parts_Lists[[#This Row],[Quantity Initial]]+ SUMIF(TB_Transactions[Part number],TB_Parts_Lists[[#This Row],[Part Number]],TB_Transactions[Quantity])</f>
        <v>50</v>
      </c>
      <c r="N1727" s="200" t="s">
        <v>4593</v>
      </c>
      <c r="O1727" s="234">
        <v>5</v>
      </c>
      <c r="P1727" s="199">
        <f>TB_Parts_Lists[[#This Row],[Quantity Initial]]*TB_Parts_Lists[[#This Row],[Unit Price AED]]</f>
        <v>250</v>
      </c>
      <c r="Q1727" s="199">
        <f>TB_Parts_Lists[[#This Row],[Quantity Total]]*TB_Parts_Lists[[#This Row],[Unit Price AED]]</f>
        <v>250</v>
      </c>
      <c r="R1727" s="213"/>
      <c r="S1727" s="199" t="s">
        <v>8675</v>
      </c>
      <c r="T1727" s="199" t="s">
        <v>8675</v>
      </c>
      <c r="U1727" s="199" t="s">
        <v>8675</v>
      </c>
    </row>
    <row r="1728" spans="1:21" x14ac:dyDescent="0.25">
      <c r="A1728" s="194" t="s">
        <v>8554</v>
      </c>
      <c r="B1728" s="219" t="s">
        <v>3330</v>
      </c>
      <c r="C1728" s="213" t="s">
        <v>3338</v>
      </c>
      <c r="D1728" s="188" t="s">
        <v>8724</v>
      </c>
      <c r="E1728" s="213" t="s">
        <v>8352</v>
      </c>
      <c r="F1728" s="184" t="s">
        <v>8451</v>
      </c>
      <c r="G1728" s="213" t="s">
        <v>8525</v>
      </c>
      <c r="H1728" s="199" t="s">
        <v>156</v>
      </c>
      <c r="I1728" s="199">
        <v>1</v>
      </c>
      <c r="J1728" s="199">
        <v>1</v>
      </c>
      <c r="K1728" s="199">
        <v>1</v>
      </c>
      <c r="L1728" s="199">
        <v>50</v>
      </c>
      <c r="M1728" s="215">
        <f>TB_Parts_Lists[[#This Row],[Quantity Initial]]+ SUMIF(TB_Transactions[Part number],TB_Parts_Lists[[#This Row],[Part Number]],TB_Transactions[Quantity])</f>
        <v>50</v>
      </c>
      <c r="N1728" s="200" t="s">
        <v>4593</v>
      </c>
      <c r="O1728" s="234">
        <v>5</v>
      </c>
      <c r="P1728" s="199">
        <f>TB_Parts_Lists[[#This Row],[Quantity Initial]]*TB_Parts_Lists[[#This Row],[Unit Price AED]]</f>
        <v>250</v>
      </c>
      <c r="Q1728" s="199">
        <f>TB_Parts_Lists[[#This Row],[Quantity Total]]*TB_Parts_Lists[[#This Row],[Unit Price AED]]</f>
        <v>250</v>
      </c>
      <c r="R1728" s="213"/>
      <c r="S1728" s="199" t="s">
        <v>122</v>
      </c>
      <c r="T1728" s="199" t="s">
        <v>129</v>
      </c>
      <c r="U1728" s="199" t="s">
        <v>262</v>
      </c>
    </row>
    <row r="1729" spans="1:21" x14ac:dyDescent="0.25">
      <c r="A1729" s="194" t="s">
        <v>8556</v>
      </c>
      <c r="B1729" s="219" t="s">
        <v>3330</v>
      </c>
      <c r="C1729" s="213" t="s">
        <v>3338</v>
      </c>
      <c r="D1729" s="188" t="s">
        <v>8724</v>
      </c>
      <c r="E1729" s="213" t="s">
        <v>8353</v>
      </c>
      <c r="F1729" s="184" t="s">
        <v>8452</v>
      </c>
      <c r="G1729" s="213" t="s">
        <v>8525</v>
      </c>
      <c r="H1729" s="199" t="s">
        <v>156</v>
      </c>
      <c r="I1729" s="199">
        <v>1</v>
      </c>
      <c r="J1729" s="199">
        <v>1</v>
      </c>
      <c r="K1729" s="199">
        <v>1</v>
      </c>
      <c r="L1729" s="199">
        <v>50</v>
      </c>
      <c r="M1729" s="215">
        <f>TB_Parts_Lists[[#This Row],[Quantity Initial]]+ SUMIF(TB_Transactions[Part number],TB_Parts_Lists[[#This Row],[Part Number]],TB_Transactions[Quantity])</f>
        <v>50</v>
      </c>
      <c r="N1729" s="200" t="s">
        <v>4593</v>
      </c>
      <c r="O1729" s="234">
        <v>5</v>
      </c>
      <c r="P1729" s="199">
        <f>TB_Parts_Lists[[#This Row],[Quantity Initial]]*TB_Parts_Lists[[#This Row],[Unit Price AED]]</f>
        <v>250</v>
      </c>
      <c r="Q1729" s="199">
        <f>TB_Parts_Lists[[#This Row],[Quantity Total]]*TB_Parts_Lists[[#This Row],[Unit Price AED]]</f>
        <v>250</v>
      </c>
      <c r="R1729" s="213"/>
      <c r="S1729" s="199" t="s">
        <v>122</v>
      </c>
      <c r="T1729" s="199" t="s">
        <v>129</v>
      </c>
      <c r="U1729" s="199" t="s">
        <v>262</v>
      </c>
    </row>
    <row r="1730" spans="1:21" x14ac:dyDescent="0.25">
      <c r="A1730" s="194" t="s">
        <v>8557</v>
      </c>
      <c r="B1730" s="219" t="s">
        <v>3330</v>
      </c>
      <c r="C1730" s="213" t="s">
        <v>8555</v>
      </c>
      <c r="D1730" s="188" t="s">
        <v>8724</v>
      </c>
      <c r="E1730" s="213" t="s">
        <v>8354</v>
      </c>
      <c r="F1730" s="184" t="s">
        <v>8453</v>
      </c>
      <c r="G1730" s="213" t="s">
        <v>8525</v>
      </c>
      <c r="H1730" s="199" t="s">
        <v>8644</v>
      </c>
      <c r="I1730" s="199">
        <v>1</v>
      </c>
      <c r="J1730" s="199">
        <v>1</v>
      </c>
      <c r="K1730" s="199">
        <v>1</v>
      </c>
      <c r="L1730" s="199">
        <v>50</v>
      </c>
      <c r="M1730" s="215">
        <f>TB_Parts_Lists[[#This Row],[Quantity Initial]]+ SUMIF(TB_Transactions[Part number],TB_Parts_Lists[[#This Row],[Part Number]],TB_Transactions[Quantity])</f>
        <v>50</v>
      </c>
      <c r="N1730" s="200" t="s">
        <v>4593</v>
      </c>
      <c r="O1730" s="234">
        <v>5</v>
      </c>
      <c r="P1730" s="199">
        <f>TB_Parts_Lists[[#This Row],[Quantity Initial]]*TB_Parts_Lists[[#This Row],[Unit Price AED]]</f>
        <v>250</v>
      </c>
      <c r="Q1730" s="199">
        <f>TB_Parts_Lists[[#This Row],[Quantity Total]]*TB_Parts_Lists[[#This Row],[Unit Price AED]]</f>
        <v>250</v>
      </c>
      <c r="R1730" s="213"/>
      <c r="S1730" s="199" t="s">
        <v>122</v>
      </c>
      <c r="T1730" s="199" t="s">
        <v>129</v>
      </c>
      <c r="U1730" s="199" t="s">
        <v>262</v>
      </c>
    </row>
    <row r="1731" spans="1:21" x14ac:dyDescent="0.25">
      <c r="A1731" s="194" t="s">
        <v>8558</v>
      </c>
      <c r="B1731" s="219" t="s">
        <v>3330</v>
      </c>
      <c r="C1731" s="213" t="s">
        <v>8555</v>
      </c>
      <c r="D1731" s="188" t="s">
        <v>8724</v>
      </c>
      <c r="E1731" s="213" t="s">
        <v>8355</v>
      </c>
      <c r="F1731" s="184" t="s">
        <v>8454</v>
      </c>
      <c r="G1731" s="213" t="s">
        <v>8525</v>
      </c>
      <c r="H1731" s="199" t="s">
        <v>8644</v>
      </c>
      <c r="I1731" s="199">
        <v>1</v>
      </c>
      <c r="J1731" s="199">
        <v>1</v>
      </c>
      <c r="K1731" s="199">
        <v>1</v>
      </c>
      <c r="L1731" s="199">
        <v>50</v>
      </c>
      <c r="M1731" s="215">
        <f>TB_Parts_Lists[[#This Row],[Quantity Initial]]+ SUMIF(TB_Transactions[Part number],TB_Parts_Lists[[#This Row],[Part Number]],TB_Transactions[Quantity])</f>
        <v>50</v>
      </c>
      <c r="N1731" s="200" t="s">
        <v>4593</v>
      </c>
      <c r="O1731" s="234">
        <v>5</v>
      </c>
      <c r="P1731" s="199">
        <f>TB_Parts_Lists[[#This Row],[Quantity Initial]]*TB_Parts_Lists[[#This Row],[Unit Price AED]]</f>
        <v>250</v>
      </c>
      <c r="Q1731" s="199">
        <f>TB_Parts_Lists[[#This Row],[Quantity Total]]*TB_Parts_Lists[[#This Row],[Unit Price AED]]</f>
        <v>250</v>
      </c>
      <c r="R1731" s="213"/>
      <c r="S1731" s="199" t="s">
        <v>122</v>
      </c>
      <c r="T1731" s="199" t="s">
        <v>129</v>
      </c>
      <c r="U1731" s="199" t="s">
        <v>262</v>
      </c>
    </row>
    <row r="1732" spans="1:21" x14ac:dyDescent="0.25">
      <c r="A1732" s="194" t="s">
        <v>8559</v>
      </c>
      <c r="B1732" s="219" t="s">
        <v>3330</v>
      </c>
      <c r="C1732" s="213" t="s">
        <v>6611</v>
      </c>
      <c r="D1732" s="188" t="s">
        <v>8724</v>
      </c>
      <c r="E1732" s="213" t="s">
        <v>8356</v>
      </c>
      <c r="F1732" s="184" t="s">
        <v>8455</v>
      </c>
      <c r="G1732" s="213" t="s">
        <v>8525</v>
      </c>
      <c r="H1732" s="199" t="s">
        <v>8644</v>
      </c>
      <c r="I1732" s="199">
        <v>1</v>
      </c>
      <c r="J1732" s="199">
        <v>1</v>
      </c>
      <c r="K1732" s="199">
        <v>1</v>
      </c>
      <c r="L1732" s="199">
        <v>50</v>
      </c>
      <c r="M1732" s="215">
        <f>TB_Parts_Lists[[#This Row],[Quantity Initial]]+ SUMIF(TB_Transactions[Part number],TB_Parts_Lists[[#This Row],[Part Number]],TB_Transactions[Quantity])</f>
        <v>50</v>
      </c>
      <c r="N1732" s="200" t="s">
        <v>4593</v>
      </c>
      <c r="O1732" s="234">
        <v>5</v>
      </c>
      <c r="P1732" s="199">
        <f>TB_Parts_Lists[[#This Row],[Quantity Initial]]*TB_Parts_Lists[[#This Row],[Unit Price AED]]</f>
        <v>250</v>
      </c>
      <c r="Q1732" s="199">
        <f>TB_Parts_Lists[[#This Row],[Quantity Total]]*TB_Parts_Lists[[#This Row],[Unit Price AED]]</f>
        <v>250</v>
      </c>
      <c r="R1732" s="213"/>
      <c r="S1732" s="199" t="s">
        <v>118</v>
      </c>
      <c r="T1732" s="199" t="s">
        <v>8675</v>
      </c>
      <c r="U1732" s="199" t="s">
        <v>8675</v>
      </c>
    </row>
    <row r="1733" spans="1:21" x14ac:dyDescent="0.25">
      <c r="A1733" s="194" t="s">
        <v>8560</v>
      </c>
      <c r="B1733" s="219" t="s">
        <v>3330</v>
      </c>
      <c r="C1733" s="213" t="s">
        <v>6611</v>
      </c>
      <c r="D1733" s="188" t="s">
        <v>8724</v>
      </c>
      <c r="E1733" s="213" t="s">
        <v>8357</v>
      </c>
      <c r="F1733" s="184" t="s">
        <v>8456</v>
      </c>
      <c r="G1733" s="213" t="s">
        <v>8525</v>
      </c>
      <c r="H1733" s="199" t="s">
        <v>8644</v>
      </c>
      <c r="I1733" s="199">
        <v>1</v>
      </c>
      <c r="J1733" s="199">
        <v>1</v>
      </c>
      <c r="K1733" s="199">
        <v>1</v>
      </c>
      <c r="L1733" s="199">
        <v>50</v>
      </c>
      <c r="M1733" s="215">
        <f>TB_Parts_Lists[[#This Row],[Quantity Initial]]+ SUMIF(TB_Transactions[Part number],TB_Parts_Lists[[#This Row],[Part Number]],TB_Transactions[Quantity])</f>
        <v>50</v>
      </c>
      <c r="N1733" s="200" t="s">
        <v>4593</v>
      </c>
      <c r="O1733" s="234">
        <v>5</v>
      </c>
      <c r="P1733" s="199">
        <f>TB_Parts_Lists[[#This Row],[Quantity Initial]]*TB_Parts_Lists[[#This Row],[Unit Price AED]]</f>
        <v>250</v>
      </c>
      <c r="Q1733" s="199">
        <f>TB_Parts_Lists[[#This Row],[Quantity Total]]*TB_Parts_Lists[[#This Row],[Unit Price AED]]</f>
        <v>250</v>
      </c>
      <c r="R1733" s="213"/>
      <c r="S1733" s="199" t="s">
        <v>118</v>
      </c>
      <c r="T1733" s="199" t="s">
        <v>8675</v>
      </c>
      <c r="U1733" s="199" t="s">
        <v>8675</v>
      </c>
    </row>
    <row r="1734" spans="1:21" x14ac:dyDescent="0.25">
      <c r="A1734" s="194" t="s">
        <v>8561</v>
      </c>
      <c r="B1734" s="219" t="s">
        <v>3330</v>
      </c>
      <c r="C1734" s="213" t="s">
        <v>7002</v>
      </c>
      <c r="D1734" s="188" t="s">
        <v>8724</v>
      </c>
      <c r="E1734" s="213" t="s">
        <v>8358</v>
      </c>
      <c r="F1734" s="184" t="s">
        <v>8457</v>
      </c>
      <c r="G1734" s="213" t="s">
        <v>8525</v>
      </c>
      <c r="H1734" s="199" t="s">
        <v>8644</v>
      </c>
      <c r="I1734" s="199">
        <v>1</v>
      </c>
      <c r="J1734" s="199">
        <v>1</v>
      </c>
      <c r="K1734" s="199">
        <v>1</v>
      </c>
      <c r="L1734" s="199">
        <v>50</v>
      </c>
      <c r="M1734" s="215">
        <f>TB_Parts_Lists[[#This Row],[Quantity Initial]]+ SUMIF(TB_Transactions[Part number],TB_Parts_Lists[[#This Row],[Part Number]],TB_Transactions[Quantity])</f>
        <v>50</v>
      </c>
      <c r="N1734" s="200" t="s">
        <v>4593</v>
      </c>
      <c r="O1734" s="234">
        <v>5</v>
      </c>
      <c r="P1734" s="199">
        <f>TB_Parts_Lists[[#This Row],[Quantity Initial]]*TB_Parts_Lists[[#This Row],[Unit Price AED]]</f>
        <v>250</v>
      </c>
      <c r="Q1734" s="199">
        <f>TB_Parts_Lists[[#This Row],[Quantity Total]]*TB_Parts_Lists[[#This Row],[Unit Price AED]]</f>
        <v>250</v>
      </c>
      <c r="R1734" s="213"/>
      <c r="S1734" s="199" t="s">
        <v>8675</v>
      </c>
      <c r="T1734" s="199" t="s">
        <v>8675</v>
      </c>
      <c r="U1734" s="199" t="s">
        <v>8675</v>
      </c>
    </row>
    <row r="1735" spans="1:21" x14ac:dyDescent="0.25">
      <c r="A1735" s="194" t="s">
        <v>8562</v>
      </c>
      <c r="B1735" s="219" t="s">
        <v>3330</v>
      </c>
      <c r="C1735" s="213" t="s">
        <v>6611</v>
      </c>
      <c r="D1735" s="188" t="s">
        <v>8724</v>
      </c>
      <c r="E1735" s="213" t="s">
        <v>8359</v>
      </c>
      <c r="F1735" s="184" t="s">
        <v>8458</v>
      </c>
      <c r="G1735" s="213" t="s">
        <v>8525</v>
      </c>
      <c r="H1735" s="199" t="s">
        <v>156</v>
      </c>
      <c r="I1735" s="199">
        <v>1</v>
      </c>
      <c r="J1735" s="199">
        <v>1</v>
      </c>
      <c r="K1735" s="199">
        <v>1</v>
      </c>
      <c r="L1735" s="199">
        <v>50</v>
      </c>
      <c r="M1735" s="215">
        <f>TB_Parts_Lists[[#This Row],[Quantity Initial]]+ SUMIF(TB_Transactions[Part number],TB_Parts_Lists[[#This Row],[Part Number]],TB_Transactions[Quantity])</f>
        <v>50</v>
      </c>
      <c r="N1735" s="200" t="s">
        <v>4593</v>
      </c>
      <c r="O1735" s="234">
        <v>5</v>
      </c>
      <c r="P1735" s="199">
        <f>TB_Parts_Lists[[#This Row],[Quantity Initial]]*TB_Parts_Lists[[#This Row],[Unit Price AED]]</f>
        <v>250</v>
      </c>
      <c r="Q1735" s="199">
        <f>TB_Parts_Lists[[#This Row],[Quantity Total]]*TB_Parts_Lists[[#This Row],[Unit Price AED]]</f>
        <v>250</v>
      </c>
      <c r="R1735" s="213"/>
      <c r="S1735" s="199" t="s">
        <v>122</v>
      </c>
      <c r="T1735" s="199" t="s">
        <v>129</v>
      </c>
      <c r="U1735" s="199" t="s">
        <v>262</v>
      </c>
    </row>
    <row r="1736" spans="1:21" x14ac:dyDescent="0.25">
      <c r="A1736" s="194" t="s">
        <v>8563</v>
      </c>
      <c r="B1736" s="219" t="s">
        <v>3330</v>
      </c>
      <c r="C1736" s="213" t="s">
        <v>3625</v>
      </c>
      <c r="D1736" s="188" t="s">
        <v>8724</v>
      </c>
      <c r="E1736" s="199" t="s">
        <v>8564</v>
      </c>
      <c r="F1736" s="184" t="s">
        <v>8459</v>
      </c>
      <c r="G1736" s="213" t="s">
        <v>8525</v>
      </c>
      <c r="H1736" s="199" t="s">
        <v>8642</v>
      </c>
      <c r="I1736" s="199">
        <v>1</v>
      </c>
      <c r="J1736" s="199">
        <v>1</v>
      </c>
      <c r="K1736" s="199">
        <v>1</v>
      </c>
      <c r="L1736" s="199">
        <v>50</v>
      </c>
      <c r="M1736" s="215">
        <f>TB_Parts_Lists[[#This Row],[Quantity Initial]]+ SUMIF(TB_Transactions[Part number],TB_Parts_Lists[[#This Row],[Part Number]],TB_Transactions[Quantity])</f>
        <v>50</v>
      </c>
      <c r="N1736" s="200" t="s">
        <v>4593</v>
      </c>
      <c r="O1736" s="234">
        <v>5</v>
      </c>
      <c r="P1736" s="199">
        <f>TB_Parts_Lists[[#This Row],[Quantity Initial]]*TB_Parts_Lists[[#This Row],[Unit Price AED]]</f>
        <v>250</v>
      </c>
      <c r="Q1736" s="199">
        <f>TB_Parts_Lists[[#This Row],[Quantity Total]]*TB_Parts_Lists[[#This Row],[Unit Price AED]]</f>
        <v>250</v>
      </c>
      <c r="R1736" s="213"/>
      <c r="S1736" s="199" t="s">
        <v>122</v>
      </c>
      <c r="T1736" s="199" t="s">
        <v>129</v>
      </c>
      <c r="U1736" s="199" t="s">
        <v>262</v>
      </c>
    </row>
    <row r="1737" spans="1:21" x14ac:dyDescent="0.25">
      <c r="A1737" s="194" t="s">
        <v>8565</v>
      </c>
      <c r="B1737" s="201" t="s">
        <v>3330</v>
      </c>
      <c r="C1737" s="199" t="s">
        <v>7066</v>
      </c>
      <c r="D1737" s="188" t="s">
        <v>8724</v>
      </c>
      <c r="E1737" s="213" t="s">
        <v>8360</v>
      </c>
      <c r="F1737" s="184" t="s">
        <v>8460</v>
      </c>
      <c r="G1737" s="213" t="s">
        <v>8525</v>
      </c>
      <c r="H1737" s="199" t="s">
        <v>8644</v>
      </c>
      <c r="I1737" s="199">
        <v>1</v>
      </c>
      <c r="J1737" s="199">
        <v>1</v>
      </c>
      <c r="K1737" s="199">
        <v>1</v>
      </c>
      <c r="L1737" s="199">
        <v>50</v>
      </c>
      <c r="M1737" s="215">
        <f>TB_Parts_Lists[[#This Row],[Quantity Initial]]+ SUMIF(TB_Transactions[Part number],TB_Parts_Lists[[#This Row],[Part Number]],TB_Transactions[Quantity])</f>
        <v>50</v>
      </c>
      <c r="N1737" s="200" t="s">
        <v>4593</v>
      </c>
      <c r="O1737" s="234">
        <v>5</v>
      </c>
      <c r="P1737" s="199">
        <f>TB_Parts_Lists[[#This Row],[Quantity Initial]]*TB_Parts_Lists[[#This Row],[Unit Price AED]]</f>
        <v>250</v>
      </c>
      <c r="Q1737" s="199">
        <f>TB_Parts_Lists[[#This Row],[Quantity Total]]*TB_Parts_Lists[[#This Row],[Unit Price AED]]</f>
        <v>250</v>
      </c>
      <c r="R1737" s="213"/>
      <c r="S1737" s="199" t="s">
        <v>122</v>
      </c>
      <c r="T1737" s="199" t="s">
        <v>129</v>
      </c>
      <c r="U1737" s="199" t="s">
        <v>262</v>
      </c>
    </row>
    <row r="1738" spans="1:21" x14ac:dyDescent="0.25">
      <c r="A1738" s="194" t="s">
        <v>8566</v>
      </c>
      <c r="B1738" s="201" t="s">
        <v>3330</v>
      </c>
      <c r="C1738" s="199" t="s">
        <v>7066</v>
      </c>
      <c r="D1738" s="188" t="s">
        <v>8724</v>
      </c>
      <c r="E1738" s="213" t="s">
        <v>8361</v>
      </c>
      <c r="F1738" s="184" t="s">
        <v>8461</v>
      </c>
      <c r="G1738" s="213" t="s">
        <v>8525</v>
      </c>
      <c r="H1738" s="199" t="s">
        <v>8644</v>
      </c>
      <c r="I1738" s="199">
        <v>1</v>
      </c>
      <c r="J1738" s="199">
        <v>1</v>
      </c>
      <c r="K1738" s="199">
        <v>1</v>
      </c>
      <c r="L1738" s="199">
        <v>50</v>
      </c>
      <c r="M1738" s="215">
        <f>TB_Parts_Lists[[#This Row],[Quantity Initial]]+ SUMIF(TB_Transactions[Part number],TB_Parts_Lists[[#This Row],[Part Number]],TB_Transactions[Quantity])</f>
        <v>50</v>
      </c>
      <c r="N1738" s="200" t="s">
        <v>4593</v>
      </c>
      <c r="O1738" s="234">
        <v>5</v>
      </c>
      <c r="P1738" s="199">
        <f>TB_Parts_Lists[[#This Row],[Quantity Initial]]*TB_Parts_Lists[[#This Row],[Unit Price AED]]</f>
        <v>250</v>
      </c>
      <c r="Q1738" s="199">
        <f>TB_Parts_Lists[[#This Row],[Quantity Total]]*TB_Parts_Lists[[#This Row],[Unit Price AED]]</f>
        <v>250</v>
      </c>
      <c r="R1738" s="213"/>
      <c r="S1738" s="199" t="s">
        <v>122</v>
      </c>
      <c r="T1738" s="199" t="s">
        <v>129</v>
      </c>
      <c r="U1738" s="199" t="s">
        <v>262</v>
      </c>
    </row>
    <row r="1739" spans="1:21" x14ac:dyDescent="0.25">
      <c r="A1739" s="194" t="s">
        <v>8567</v>
      </c>
      <c r="B1739" s="201" t="s">
        <v>3330</v>
      </c>
      <c r="C1739" s="199" t="s">
        <v>7047</v>
      </c>
      <c r="D1739" s="188" t="s">
        <v>8724</v>
      </c>
      <c r="E1739" s="213" t="s">
        <v>8362</v>
      </c>
      <c r="F1739" s="184" t="s">
        <v>8462</v>
      </c>
      <c r="G1739" s="213" t="s">
        <v>8525</v>
      </c>
      <c r="H1739" s="199" t="s">
        <v>8644</v>
      </c>
      <c r="I1739" s="199">
        <v>1</v>
      </c>
      <c r="J1739" s="199">
        <v>1</v>
      </c>
      <c r="K1739" s="199">
        <v>1</v>
      </c>
      <c r="L1739" s="199">
        <v>50</v>
      </c>
      <c r="M1739" s="215">
        <f>TB_Parts_Lists[[#This Row],[Quantity Initial]]+ SUMIF(TB_Transactions[Part number],TB_Parts_Lists[[#This Row],[Part Number]],TB_Transactions[Quantity])</f>
        <v>50</v>
      </c>
      <c r="N1739" s="200" t="s">
        <v>4593</v>
      </c>
      <c r="O1739" s="234">
        <v>5</v>
      </c>
      <c r="P1739" s="199">
        <f>TB_Parts_Lists[[#This Row],[Quantity Initial]]*TB_Parts_Lists[[#This Row],[Unit Price AED]]</f>
        <v>250</v>
      </c>
      <c r="Q1739" s="199">
        <f>TB_Parts_Lists[[#This Row],[Quantity Total]]*TB_Parts_Lists[[#This Row],[Unit Price AED]]</f>
        <v>250</v>
      </c>
      <c r="R1739" s="213"/>
      <c r="S1739" s="199" t="s">
        <v>122</v>
      </c>
      <c r="T1739" s="199" t="s">
        <v>129</v>
      </c>
      <c r="U1739" s="199" t="s">
        <v>262</v>
      </c>
    </row>
    <row r="1740" spans="1:21" x14ac:dyDescent="0.25">
      <c r="A1740" s="194" t="s">
        <v>8568</v>
      </c>
      <c r="B1740" s="201" t="s">
        <v>3330</v>
      </c>
      <c r="C1740" s="199" t="s">
        <v>3625</v>
      </c>
      <c r="D1740" s="188" t="s">
        <v>8724</v>
      </c>
      <c r="E1740" s="213" t="s">
        <v>8363</v>
      </c>
      <c r="F1740" s="184" t="s">
        <v>8463</v>
      </c>
      <c r="G1740" s="213" t="s">
        <v>8525</v>
      </c>
      <c r="H1740" s="199" t="s">
        <v>8644</v>
      </c>
      <c r="I1740" s="199">
        <v>1</v>
      </c>
      <c r="J1740" s="199">
        <v>1</v>
      </c>
      <c r="K1740" s="199">
        <v>1</v>
      </c>
      <c r="L1740" s="199">
        <v>50</v>
      </c>
      <c r="M1740" s="215">
        <f>TB_Parts_Lists[[#This Row],[Quantity Initial]]+ SUMIF(TB_Transactions[Part number],TB_Parts_Lists[[#This Row],[Part Number]],TB_Transactions[Quantity])</f>
        <v>50</v>
      </c>
      <c r="N1740" s="200" t="s">
        <v>4593</v>
      </c>
      <c r="O1740" s="234">
        <v>5</v>
      </c>
      <c r="P1740" s="199">
        <f>TB_Parts_Lists[[#This Row],[Quantity Initial]]*TB_Parts_Lists[[#This Row],[Unit Price AED]]</f>
        <v>250</v>
      </c>
      <c r="Q1740" s="199">
        <f>TB_Parts_Lists[[#This Row],[Quantity Total]]*TB_Parts_Lists[[#This Row],[Unit Price AED]]</f>
        <v>250</v>
      </c>
      <c r="R1740" s="213"/>
      <c r="S1740" s="199" t="s">
        <v>122</v>
      </c>
      <c r="T1740" s="199" t="s">
        <v>129</v>
      </c>
      <c r="U1740" s="199" t="s">
        <v>262</v>
      </c>
    </row>
    <row r="1741" spans="1:21" x14ac:dyDescent="0.25">
      <c r="A1741" s="194" t="s">
        <v>8569</v>
      </c>
      <c r="B1741" s="201" t="s">
        <v>3330</v>
      </c>
      <c r="C1741" s="199" t="s">
        <v>3625</v>
      </c>
      <c r="D1741" s="188" t="s">
        <v>8724</v>
      </c>
      <c r="E1741" s="213" t="s">
        <v>8364</v>
      </c>
      <c r="F1741" s="184" t="s">
        <v>8464</v>
      </c>
      <c r="G1741" s="213" t="s">
        <v>8525</v>
      </c>
      <c r="H1741" s="199" t="s">
        <v>8644</v>
      </c>
      <c r="I1741" s="199">
        <v>1</v>
      </c>
      <c r="J1741" s="199">
        <v>1</v>
      </c>
      <c r="K1741" s="199">
        <v>1</v>
      </c>
      <c r="L1741" s="199">
        <v>50</v>
      </c>
      <c r="M1741" s="215">
        <f>TB_Parts_Lists[[#This Row],[Quantity Initial]]+ SUMIF(TB_Transactions[Part number],TB_Parts_Lists[[#This Row],[Part Number]],TB_Transactions[Quantity])</f>
        <v>50</v>
      </c>
      <c r="N1741" s="200" t="s">
        <v>4593</v>
      </c>
      <c r="O1741" s="234">
        <v>5</v>
      </c>
      <c r="P1741" s="199">
        <f>TB_Parts_Lists[[#This Row],[Quantity Initial]]*TB_Parts_Lists[[#This Row],[Unit Price AED]]</f>
        <v>250</v>
      </c>
      <c r="Q1741" s="199">
        <f>TB_Parts_Lists[[#This Row],[Quantity Total]]*TB_Parts_Lists[[#This Row],[Unit Price AED]]</f>
        <v>250</v>
      </c>
      <c r="R1741" s="213"/>
      <c r="S1741" s="199" t="s">
        <v>122</v>
      </c>
      <c r="T1741" s="199" t="s">
        <v>129</v>
      </c>
      <c r="U1741" s="199" t="s">
        <v>262</v>
      </c>
    </row>
    <row r="1742" spans="1:21" x14ac:dyDescent="0.25">
      <c r="A1742" s="194" t="s">
        <v>8570</v>
      </c>
      <c r="B1742" s="201" t="s">
        <v>3330</v>
      </c>
      <c r="C1742" s="199" t="s">
        <v>6674</v>
      </c>
      <c r="D1742" s="188" t="s">
        <v>8724</v>
      </c>
      <c r="E1742" s="213" t="s">
        <v>8365</v>
      </c>
      <c r="F1742" s="184" t="s">
        <v>8465</v>
      </c>
      <c r="G1742" s="213" t="s">
        <v>8525</v>
      </c>
      <c r="H1742" s="199" t="s">
        <v>156</v>
      </c>
      <c r="I1742" s="199">
        <v>1</v>
      </c>
      <c r="J1742" s="199">
        <v>1</v>
      </c>
      <c r="K1742" s="199">
        <v>1</v>
      </c>
      <c r="L1742" s="199">
        <v>50</v>
      </c>
      <c r="M1742" s="215">
        <f>TB_Parts_Lists[[#This Row],[Quantity Initial]]+ SUMIF(TB_Transactions[Part number],TB_Parts_Lists[[#This Row],[Part Number]],TB_Transactions[Quantity])</f>
        <v>50</v>
      </c>
      <c r="N1742" s="200" t="s">
        <v>4593</v>
      </c>
      <c r="O1742" s="234">
        <v>5</v>
      </c>
      <c r="P1742" s="199">
        <f>TB_Parts_Lists[[#This Row],[Quantity Initial]]*TB_Parts_Lists[[#This Row],[Unit Price AED]]</f>
        <v>250</v>
      </c>
      <c r="Q1742" s="199">
        <f>TB_Parts_Lists[[#This Row],[Quantity Total]]*TB_Parts_Lists[[#This Row],[Unit Price AED]]</f>
        <v>250</v>
      </c>
      <c r="R1742" s="213"/>
      <c r="S1742" s="199" t="s">
        <v>8675</v>
      </c>
      <c r="T1742" s="199" t="s">
        <v>8675</v>
      </c>
      <c r="U1742" s="199" t="s">
        <v>8675</v>
      </c>
    </row>
    <row r="1743" spans="1:21" x14ac:dyDescent="0.25">
      <c r="A1743" s="194" t="s">
        <v>8571</v>
      </c>
      <c r="B1743" s="201" t="s">
        <v>3330</v>
      </c>
      <c r="C1743" s="199" t="s">
        <v>7047</v>
      </c>
      <c r="D1743" s="188" t="s">
        <v>8724</v>
      </c>
      <c r="E1743" s="213" t="s">
        <v>8366</v>
      </c>
      <c r="F1743" s="184" t="s">
        <v>8466</v>
      </c>
      <c r="G1743" s="213" t="s">
        <v>8525</v>
      </c>
      <c r="H1743" s="199" t="s">
        <v>8642</v>
      </c>
      <c r="I1743" s="199">
        <v>1</v>
      </c>
      <c r="J1743" s="199">
        <v>1</v>
      </c>
      <c r="K1743" s="199">
        <v>1</v>
      </c>
      <c r="L1743" s="199">
        <v>50</v>
      </c>
      <c r="M1743" s="215">
        <f>TB_Parts_Lists[[#This Row],[Quantity Initial]]+ SUMIF(TB_Transactions[Part number],TB_Parts_Lists[[#This Row],[Part Number]],TB_Transactions[Quantity])</f>
        <v>50</v>
      </c>
      <c r="N1743" s="200" t="s">
        <v>4593</v>
      </c>
      <c r="O1743" s="234">
        <v>5</v>
      </c>
      <c r="P1743" s="199">
        <f>TB_Parts_Lists[[#This Row],[Quantity Initial]]*TB_Parts_Lists[[#This Row],[Unit Price AED]]</f>
        <v>250</v>
      </c>
      <c r="Q1743" s="199">
        <f>TB_Parts_Lists[[#This Row],[Quantity Total]]*TB_Parts_Lists[[#This Row],[Unit Price AED]]</f>
        <v>250</v>
      </c>
      <c r="R1743" s="213"/>
      <c r="S1743" s="199" t="s">
        <v>122</v>
      </c>
      <c r="T1743" s="199" t="s">
        <v>129</v>
      </c>
      <c r="U1743" s="199" t="s">
        <v>262</v>
      </c>
    </row>
    <row r="1744" spans="1:21" x14ac:dyDescent="0.25">
      <c r="A1744" s="194" t="s">
        <v>8572</v>
      </c>
      <c r="B1744" s="201" t="s">
        <v>3330</v>
      </c>
      <c r="C1744" s="199" t="s">
        <v>6674</v>
      </c>
      <c r="D1744" s="188" t="s">
        <v>8724</v>
      </c>
      <c r="E1744" s="213" t="s">
        <v>8367</v>
      </c>
      <c r="F1744" s="184" t="s">
        <v>8467</v>
      </c>
      <c r="G1744" s="213" t="s">
        <v>8525</v>
      </c>
      <c r="H1744" s="199" t="s">
        <v>156</v>
      </c>
      <c r="I1744" s="199">
        <v>1</v>
      </c>
      <c r="J1744" s="199">
        <v>1</v>
      </c>
      <c r="K1744" s="199">
        <v>1</v>
      </c>
      <c r="L1744" s="199">
        <v>50</v>
      </c>
      <c r="M1744" s="215">
        <f>TB_Parts_Lists[[#This Row],[Quantity Initial]]+ SUMIF(TB_Transactions[Part number],TB_Parts_Lists[[#This Row],[Part Number]],TB_Transactions[Quantity])</f>
        <v>50</v>
      </c>
      <c r="N1744" s="200" t="s">
        <v>4593</v>
      </c>
      <c r="O1744" s="234">
        <v>5</v>
      </c>
      <c r="P1744" s="199">
        <f>TB_Parts_Lists[[#This Row],[Quantity Initial]]*TB_Parts_Lists[[#This Row],[Unit Price AED]]</f>
        <v>250</v>
      </c>
      <c r="Q1744" s="199">
        <f>TB_Parts_Lists[[#This Row],[Quantity Total]]*TB_Parts_Lists[[#This Row],[Unit Price AED]]</f>
        <v>250</v>
      </c>
      <c r="R1744" s="213"/>
      <c r="S1744" s="199" t="s">
        <v>8675</v>
      </c>
      <c r="T1744" s="199" t="s">
        <v>8675</v>
      </c>
      <c r="U1744" s="199" t="s">
        <v>8675</v>
      </c>
    </row>
    <row r="1745" spans="1:21" x14ac:dyDescent="0.25">
      <c r="A1745" s="194" t="s">
        <v>8573</v>
      </c>
      <c r="B1745" s="201" t="s">
        <v>3330</v>
      </c>
      <c r="C1745" s="199" t="s">
        <v>8555</v>
      </c>
      <c r="D1745" s="188" t="s">
        <v>8724</v>
      </c>
      <c r="E1745" s="213" t="s">
        <v>8368</v>
      </c>
      <c r="F1745" s="184" t="s">
        <v>8468</v>
      </c>
      <c r="G1745" s="213" t="s">
        <v>8525</v>
      </c>
      <c r="H1745" s="199" t="s">
        <v>8644</v>
      </c>
      <c r="I1745" s="199">
        <v>1</v>
      </c>
      <c r="J1745" s="199">
        <v>1</v>
      </c>
      <c r="K1745" s="199">
        <v>1</v>
      </c>
      <c r="L1745" s="199">
        <v>50</v>
      </c>
      <c r="M1745" s="215">
        <f>TB_Parts_Lists[[#This Row],[Quantity Initial]]+ SUMIF(TB_Transactions[Part number],TB_Parts_Lists[[#This Row],[Part Number]],TB_Transactions[Quantity])</f>
        <v>50</v>
      </c>
      <c r="N1745" s="200" t="s">
        <v>4593</v>
      </c>
      <c r="O1745" s="234">
        <v>5</v>
      </c>
      <c r="P1745" s="199">
        <f>TB_Parts_Lists[[#This Row],[Quantity Initial]]*TB_Parts_Lists[[#This Row],[Unit Price AED]]</f>
        <v>250</v>
      </c>
      <c r="Q1745" s="199">
        <f>TB_Parts_Lists[[#This Row],[Quantity Total]]*TB_Parts_Lists[[#This Row],[Unit Price AED]]</f>
        <v>250</v>
      </c>
      <c r="R1745" s="213"/>
      <c r="S1745" s="199" t="s">
        <v>122</v>
      </c>
      <c r="T1745" s="199" t="s">
        <v>129</v>
      </c>
      <c r="U1745" s="199" t="s">
        <v>262</v>
      </c>
    </row>
    <row r="1746" spans="1:21" x14ac:dyDescent="0.25">
      <c r="A1746" s="194" t="s">
        <v>8574</v>
      </c>
      <c r="B1746" s="201" t="s">
        <v>3330</v>
      </c>
      <c r="C1746" s="199" t="s">
        <v>6679</v>
      </c>
      <c r="D1746" s="188" t="s">
        <v>8724</v>
      </c>
      <c r="E1746" s="213" t="s">
        <v>8369</v>
      </c>
      <c r="F1746" s="184" t="s">
        <v>8469</v>
      </c>
      <c r="G1746" s="213" t="s">
        <v>8525</v>
      </c>
      <c r="H1746" s="199" t="s">
        <v>156</v>
      </c>
      <c r="I1746" s="199">
        <v>1</v>
      </c>
      <c r="J1746" s="199">
        <v>1</v>
      </c>
      <c r="K1746" s="199">
        <v>1</v>
      </c>
      <c r="L1746" s="199">
        <v>50</v>
      </c>
      <c r="M1746" s="215">
        <f>TB_Parts_Lists[[#This Row],[Quantity Initial]]+ SUMIF(TB_Transactions[Part number],TB_Parts_Lists[[#This Row],[Part Number]],TB_Transactions[Quantity])</f>
        <v>50</v>
      </c>
      <c r="N1746" s="200" t="s">
        <v>4593</v>
      </c>
      <c r="O1746" s="234">
        <v>5</v>
      </c>
      <c r="P1746" s="199">
        <f>TB_Parts_Lists[[#This Row],[Quantity Initial]]*TB_Parts_Lists[[#This Row],[Unit Price AED]]</f>
        <v>250</v>
      </c>
      <c r="Q1746" s="199">
        <f>TB_Parts_Lists[[#This Row],[Quantity Total]]*TB_Parts_Lists[[#This Row],[Unit Price AED]]</f>
        <v>250</v>
      </c>
      <c r="R1746" s="213"/>
      <c r="S1746" s="199" t="s">
        <v>122</v>
      </c>
      <c r="T1746" s="199" t="s">
        <v>129</v>
      </c>
      <c r="U1746" s="199" t="s">
        <v>262</v>
      </c>
    </row>
    <row r="1747" spans="1:21" x14ac:dyDescent="0.25">
      <c r="A1747" s="194" t="s">
        <v>8575</v>
      </c>
      <c r="B1747" s="201" t="s">
        <v>3330</v>
      </c>
      <c r="C1747" s="199" t="s">
        <v>7047</v>
      </c>
      <c r="D1747" s="188" t="s">
        <v>8724</v>
      </c>
      <c r="E1747" s="213" t="s">
        <v>8370</v>
      </c>
      <c r="F1747" s="184" t="s">
        <v>8470</v>
      </c>
      <c r="G1747" s="213" t="s">
        <v>8525</v>
      </c>
      <c r="H1747" s="199" t="s">
        <v>156</v>
      </c>
      <c r="I1747" s="199">
        <v>1</v>
      </c>
      <c r="J1747" s="199">
        <v>1</v>
      </c>
      <c r="K1747" s="199">
        <v>1</v>
      </c>
      <c r="L1747" s="199">
        <v>50</v>
      </c>
      <c r="M1747" s="215">
        <f>TB_Parts_Lists[[#This Row],[Quantity Initial]]+ SUMIF(TB_Transactions[Part number],TB_Parts_Lists[[#This Row],[Part Number]],TB_Transactions[Quantity])</f>
        <v>50</v>
      </c>
      <c r="N1747" s="200" t="s">
        <v>4593</v>
      </c>
      <c r="O1747" s="234">
        <v>5</v>
      </c>
      <c r="P1747" s="199">
        <f>TB_Parts_Lists[[#This Row],[Quantity Initial]]*TB_Parts_Lists[[#This Row],[Unit Price AED]]</f>
        <v>250</v>
      </c>
      <c r="Q1747" s="199">
        <f>TB_Parts_Lists[[#This Row],[Quantity Total]]*TB_Parts_Lists[[#This Row],[Unit Price AED]]</f>
        <v>250</v>
      </c>
      <c r="R1747" s="213"/>
      <c r="S1747" s="199" t="s">
        <v>122</v>
      </c>
      <c r="T1747" s="199" t="s">
        <v>129</v>
      </c>
      <c r="U1747" s="199" t="s">
        <v>262</v>
      </c>
    </row>
    <row r="1748" spans="1:21" x14ac:dyDescent="0.25">
      <c r="A1748" s="194" t="s">
        <v>8576</v>
      </c>
      <c r="B1748" s="201" t="s">
        <v>3330</v>
      </c>
      <c r="C1748" s="199" t="s">
        <v>7047</v>
      </c>
      <c r="D1748" s="188" t="s">
        <v>8724</v>
      </c>
      <c r="E1748" s="213" t="s">
        <v>8371</v>
      </c>
      <c r="F1748" s="184" t="s">
        <v>8471</v>
      </c>
      <c r="G1748" s="213" t="s">
        <v>8525</v>
      </c>
      <c r="H1748" s="199" t="s">
        <v>156</v>
      </c>
      <c r="I1748" s="199">
        <v>1</v>
      </c>
      <c r="J1748" s="199">
        <v>1</v>
      </c>
      <c r="K1748" s="199">
        <v>1</v>
      </c>
      <c r="L1748" s="199">
        <v>50</v>
      </c>
      <c r="M1748" s="215">
        <f>TB_Parts_Lists[[#This Row],[Quantity Initial]]+ SUMIF(TB_Transactions[Part number],TB_Parts_Lists[[#This Row],[Part Number]],TB_Transactions[Quantity])</f>
        <v>50</v>
      </c>
      <c r="N1748" s="200" t="s">
        <v>4593</v>
      </c>
      <c r="O1748" s="234">
        <v>5</v>
      </c>
      <c r="P1748" s="199">
        <f>TB_Parts_Lists[[#This Row],[Quantity Initial]]*TB_Parts_Lists[[#This Row],[Unit Price AED]]</f>
        <v>250</v>
      </c>
      <c r="Q1748" s="199">
        <f>TB_Parts_Lists[[#This Row],[Quantity Total]]*TB_Parts_Lists[[#This Row],[Unit Price AED]]</f>
        <v>250</v>
      </c>
      <c r="R1748" s="213"/>
      <c r="S1748" s="199" t="s">
        <v>122</v>
      </c>
      <c r="T1748" s="199" t="s">
        <v>129</v>
      </c>
      <c r="U1748" s="199" t="s">
        <v>262</v>
      </c>
    </row>
    <row r="1749" spans="1:21" x14ac:dyDescent="0.25">
      <c r="A1749" s="194" t="s">
        <v>8577</v>
      </c>
      <c r="B1749" s="201" t="s">
        <v>4697</v>
      </c>
      <c r="C1749" s="199" t="s">
        <v>4700</v>
      </c>
      <c r="D1749" s="188" t="s">
        <v>8724</v>
      </c>
      <c r="E1749" s="213" t="s">
        <v>8372</v>
      </c>
      <c r="F1749" s="184" t="s">
        <v>8472</v>
      </c>
      <c r="G1749" s="213" t="s">
        <v>8525</v>
      </c>
      <c r="H1749" s="199" t="s">
        <v>156</v>
      </c>
      <c r="I1749" s="199">
        <v>1</v>
      </c>
      <c r="J1749" s="199">
        <v>1</v>
      </c>
      <c r="K1749" s="199">
        <v>1</v>
      </c>
      <c r="L1749" s="199">
        <v>50</v>
      </c>
      <c r="M1749" s="215">
        <f>TB_Parts_Lists[[#This Row],[Quantity Initial]]+ SUMIF(TB_Transactions[Part number],TB_Parts_Lists[[#This Row],[Part Number]],TB_Transactions[Quantity])</f>
        <v>50</v>
      </c>
      <c r="N1749" s="200" t="s">
        <v>4593</v>
      </c>
      <c r="O1749" s="234">
        <v>5</v>
      </c>
      <c r="P1749" s="199">
        <f>TB_Parts_Lists[[#This Row],[Quantity Initial]]*TB_Parts_Lists[[#This Row],[Unit Price AED]]</f>
        <v>250</v>
      </c>
      <c r="Q1749" s="199">
        <f>TB_Parts_Lists[[#This Row],[Quantity Total]]*TB_Parts_Lists[[#This Row],[Unit Price AED]]</f>
        <v>250</v>
      </c>
      <c r="R1749" s="213"/>
      <c r="S1749" s="199" t="s">
        <v>122</v>
      </c>
      <c r="T1749" s="199" t="s">
        <v>129</v>
      </c>
      <c r="U1749" s="199" t="s">
        <v>262</v>
      </c>
    </row>
    <row r="1750" spans="1:21" x14ac:dyDescent="0.25">
      <c r="A1750" s="194" t="s">
        <v>8578</v>
      </c>
      <c r="B1750" s="201" t="s">
        <v>4697</v>
      </c>
      <c r="C1750" s="199" t="s">
        <v>4700</v>
      </c>
      <c r="D1750" s="188" t="s">
        <v>8724</v>
      </c>
      <c r="E1750" s="213" t="s">
        <v>8373</v>
      </c>
      <c r="F1750" s="184" t="s">
        <v>8473</v>
      </c>
      <c r="G1750" s="213" t="s">
        <v>8525</v>
      </c>
      <c r="H1750" s="199" t="s">
        <v>8644</v>
      </c>
      <c r="I1750" s="199">
        <v>1</v>
      </c>
      <c r="J1750" s="199">
        <v>1</v>
      </c>
      <c r="K1750" s="199">
        <v>1</v>
      </c>
      <c r="L1750" s="199">
        <v>50</v>
      </c>
      <c r="M1750" s="215">
        <f>TB_Parts_Lists[[#This Row],[Quantity Initial]]+ SUMIF(TB_Transactions[Part number],TB_Parts_Lists[[#This Row],[Part Number]],TB_Transactions[Quantity])</f>
        <v>50</v>
      </c>
      <c r="N1750" s="200" t="s">
        <v>4593</v>
      </c>
      <c r="O1750" s="234">
        <v>5</v>
      </c>
      <c r="P1750" s="199">
        <f>TB_Parts_Lists[[#This Row],[Quantity Initial]]*TB_Parts_Lists[[#This Row],[Unit Price AED]]</f>
        <v>250</v>
      </c>
      <c r="Q1750" s="199">
        <f>TB_Parts_Lists[[#This Row],[Quantity Total]]*TB_Parts_Lists[[#This Row],[Unit Price AED]]</f>
        <v>250</v>
      </c>
      <c r="R1750" s="213"/>
      <c r="S1750" s="199" t="s">
        <v>118</v>
      </c>
      <c r="T1750" s="199" t="s">
        <v>8675</v>
      </c>
      <c r="U1750" s="199" t="s">
        <v>8675</v>
      </c>
    </row>
    <row r="1751" spans="1:21" x14ac:dyDescent="0.25">
      <c r="A1751" s="194" t="s">
        <v>8579</v>
      </c>
      <c r="B1751" s="201" t="s">
        <v>4697</v>
      </c>
      <c r="C1751" s="199" t="s">
        <v>4700</v>
      </c>
      <c r="D1751" s="188" t="s">
        <v>8724</v>
      </c>
      <c r="E1751" s="213" t="s">
        <v>8374</v>
      </c>
      <c r="F1751" s="184" t="s">
        <v>8474</v>
      </c>
      <c r="G1751" s="213" t="s">
        <v>8525</v>
      </c>
      <c r="H1751" s="199" t="s">
        <v>8644</v>
      </c>
      <c r="I1751" s="199">
        <v>1</v>
      </c>
      <c r="J1751" s="199">
        <v>1</v>
      </c>
      <c r="K1751" s="199">
        <v>1</v>
      </c>
      <c r="L1751" s="199">
        <v>50</v>
      </c>
      <c r="M1751" s="215">
        <f>TB_Parts_Lists[[#This Row],[Quantity Initial]]+ SUMIF(TB_Transactions[Part number],TB_Parts_Lists[[#This Row],[Part Number]],TB_Transactions[Quantity])</f>
        <v>50</v>
      </c>
      <c r="N1751" s="200" t="s">
        <v>4593</v>
      </c>
      <c r="O1751" s="234">
        <v>5</v>
      </c>
      <c r="P1751" s="199">
        <f>TB_Parts_Lists[[#This Row],[Quantity Initial]]*TB_Parts_Lists[[#This Row],[Unit Price AED]]</f>
        <v>250</v>
      </c>
      <c r="Q1751" s="199">
        <f>TB_Parts_Lists[[#This Row],[Quantity Total]]*TB_Parts_Lists[[#This Row],[Unit Price AED]]</f>
        <v>250</v>
      </c>
      <c r="R1751" s="213"/>
      <c r="S1751" s="199" t="s">
        <v>118</v>
      </c>
      <c r="T1751" s="199" t="s">
        <v>8675</v>
      </c>
      <c r="U1751" s="199" t="s">
        <v>8675</v>
      </c>
    </row>
    <row r="1752" spans="1:21" x14ac:dyDescent="0.25">
      <c r="A1752" s="194" t="s">
        <v>8580</v>
      </c>
      <c r="B1752" s="201" t="s">
        <v>4697</v>
      </c>
      <c r="C1752" s="199" t="s">
        <v>4700</v>
      </c>
      <c r="D1752" s="188" t="s">
        <v>8724</v>
      </c>
      <c r="E1752" s="213" t="s">
        <v>8375</v>
      </c>
      <c r="F1752" s="184" t="s">
        <v>8475</v>
      </c>
      <c r="G1752" s="213" t="s">
        <v>8525</v>
      </c>
      <c r="H1752" s="199" t="s">
        <v>8644</v>
      </c>
      <c r="I1752" s="199">
        <v>1</v>
      </c>
      <c r="J1752" s="199">
        <v>1</v>
      </c>
      <c r="K1752" s="199">
        <v>1</v>
      </c>
      <c r="L1752" s="199">
        <v>50</v>
      </c>
      <c r="M1752" s="215">
        <f>TB_Parts_Lists[[#This Row],[Quantity Initial]]+ SUMIF(TB_Transactions[Part number],TB_Parts_Lists[[#This Row],[Part Number]],TB_Transactions[Quantity])</f>
        <v>50</v>
      </c>
      <c r="N1752" s="200" t="s">
        <v>4593</v>
      </c>
      <c r="O1752" s="234">
        <v>5</v>
      </c>
      <c r="P1752" s="199">
        <f>TB_Parts_Lists[[#This Row],[Quantity Initial]]*TB_Parts_Lists[[#This Row],[Unit Price AED]]</f>
        <v>250</v>
      </c>
      <c r="Q1752" s="199">
        <f>TB_Parts_Lists[[#This Row],[Quantity Total]]*TB_Parts_Lists[[#This Row],[Unit Price AED]]</f>
        <v>250</v>
      </c>
      <c r="R1752" s="213"/>
      <c r="S1752" s="199" t="s">
        <v>118</v>
      </c>
      <c r="T1752" s="199" t="s">
        <v>8675</v>
      </c>
      <c r="U1752" s="199" t="s">
        <v>8675</v>
      </c>
    </row>
    <row r="1753" spans="1:21" x14ac:dyDescent="0.25">
      <c r="A1753" s="194" t="s">
        <v>8581</v>
      </c>
      <c r="B1753" s="201" t="s">
        <v>4697</v>
      </c>
      <c r="C1753" s="199" t="s">
        <v>4700</v>
      </c>
      <c r="D1753" s="188" t="s">
        <v>8724</v>
      </c>
      <c r="E1753" s="213" t="s">
        <v>8376</v>
      </c>
      <c r="F1753" s="184" t="s">
        <v>8476</v>
      </c>
      <c r="G1753" s="213" t="s">
        <v>8525</v>
      </c>
      <c r="H1753" s="199" t="s">
        <v>8644</v>
      </c>
      <c r="I1753" s="199">
        <v>1</v>
      </c>
      <c r="J1753" s="199">
        <v>1</v>
      </c>
      <c r="K1753" s="199">
        <v>1</v>
      </c>
      <c r="L1753" s="199">
        <v>50</v>
      </c>
      <c r="M1753" s="215">
        <f>TB_Parts_Lists[[#This Row],[Quantity Initial]]+ SUMIF(TB_Transactions[Part number],TB_Parts_Lists[[#This Row],[Part Number]],TB_Transactions[Quantity])</f>
        <v>50</v>
      </c>
      <c r="N1753" s="200" t="s">
        <v>4593</v>
      </c>
      <c r="O1753" s="234">
        <v>5</v>
      </c>
      <c r="P1753" s="199">
        <f>TB_Parts_Lists[[#This Row],[Quantity Initial]]*TB_Parts_Lists[[#This Row],[Unit Price AED]]</f>
        <v>250</v>
      </c>
      <c r="Q1753" s="199">
        <f>TB_Parts_Lists[[#This Row],[Quantity Total]]*TB_Parts_Lists[[#This Row],[Unit Price AED]]</f>
        <v>250</v>
      </c>
      <c r="R1753" s="213"/>
      <c r="S1753" s="199" t="s">
        <v>118</v>
      </c>
      <c r="T1753" s="199" t="s">
        <v>8675</v>
      </c>
      <c r="U1753" s="199" t="s">
        <v>8675</v>
      </c>
    </row>
    <row r="1754" spans="1:21" x14ac:dyDescent="0.25">
      <c r="A1754" s="194" t="s">
        <v>8582</v>
      </c>
      <c r="B1754" s="201" t="s">
        <v>4697</v>
      </c>
      <c r="C1754" s="213" t="s">
        <v>4699</v>
      </c>
      <c r="D1754" s="188" t="s">
        <v>8724</v>
      </c>
      <c r="E1754" s="213" t="s">
        <v>8377</v>
      </c>
      <c r="F1754" s="184" t="s">
        <v>8477</v>
      </c>
      <c r="G1754" s="213" t="s">
        <v>8525</v>
      </c>
      <c r="H1754" s="199" t="s">
        <v>8644</v>
      </c>
      <c r="I1754" s="199">
        <v>1</v>
      </c>
      <c r="J1754" s="199">
        <v>1</v>
      </c>
      <c r="K1754" s="199">
        <v>1</v>
      </c>
      <c r="L1754" s="199">
        <v>50</v>
      </c>
      <c r="M1754" s="215">
        <f>TB_Parts_Lists[[#This Row],[Quantity Initial]]+ SUMIF(TB_Transactions[Part number],TB_Parts_Lists[[#This Row],[Part Number]],TB_Transactions[Quantity])</f>
        <v>50</v>
      </c>
      <c r="N1754" s="200" t="s">
        <v>4593</v>
      </c>
      <c r="O1754" s="234">
        <v>5</v>
      </c>
      <c r="P1754" s="199">
        <f>TB_Parts_Lists[[#This Row],[Quantity Initial]]*TB_Parts_Lists[[#This Row],[Unit Price AED]]</f>
        <v>250</v>
      </c>
      <c r="Q1754" s="199">
        <f>TB_Parts_Lists[[#This Row],[Quantity Total]]*TB_Parts_Lists[[#This Row],[Unit Price AED]]</f>
        <v>250</v>
      </c>
      <c r="R1754" s="213"/>
      <c r="S1754" s="199" t="s">
        <v>118</v>
      </c>
      <c r="T1754" s="199" t="s">
        <v>8675</v>
      </c>
      <c r="U1754" s="199" t="s">
        <v>8675</v>
      </c>
    </row>
    <row r="1755" spans="1:21" x14ac:dyDescent="0.25">
      <c r="A1755" s="194" t="s">
        <v>8583</v>
      </c>
      <c r="B1755" s="201" t="s">
        <v>3329</v>
      </c>
      <c r="C1755" s="199" t="s">
        <v>3342</v>
      </c>
      <c r="D1755" s="188" t="s">
        <v>8724</v>
      </c>
      <c r="E1755" s="213" t="s">
        <v>8378</v>
      </c>
      <c r="F1755" s="184" t="s">
        <v>8478</v>
      </c>
      <c r="G1755" s="213" t="s">
        <v>8525</v>
      </c>
      <c r="H1755" s="199" t="s">
        <v>7741</v>
      </c>
      <c r="I1755" s="199">
        <v>1</v>
      </c>
      <c r="J1755" s="199">
        <v>1</v>
      </c>
      <c r="K1755" s="199">
        <v>1</v>
      </c>
      <c r="L1755" s="199">
        <v>50</v>
      </c>
      <c r="M1755" s="215">
        <f>TB_Parts_Lists[[#This Row],[Quantity Initial]]+ SUMIF(TB_Transactions[Part number],TB_Parts_Lists[[#This Row],[Part Number]],TB_Transactions[Quantity])</f>
        <v>50</v>
      </c>
      <c r="N1755" s="200" t="s">
        <v>4593</v>
      </c>
      <c r="O1755" s="234">
        <v>5</v>
      </c>
      <c r="P1755" s="199">
        <f>TB_Parts_Lists[[#This Row],[Quantity Initial]]*TB_Parts_Lists[[#This Row],[Unit Price AED]]</f>
        <v>250</v>
      </c>
      <c r="Q1755" s="199">
        <f>TB_Parts_Lists[[#This Row],[Quantity Total]]*TB_Parts_Lists[[#This Row],[Unit Price AED]]</f>
        <v>250</v>
      </c>
      <c r="R1755" s="213"/>
      <c r="S1755" s="199" t="s">
        <v>118</v>
      </c>
      <c r="T1755" s="199" t="s">
        <v>8675</v>
      </c>
      <c r="U1755" s="199" t="s">
        <v>8675</v>
      </c>
    </row>
    <row r="1756" spans="1:21" x14ac:dyDescent="0.25">
      <c r="A1756" s="194" t="s">
        <v>8585</v>
      </c>
      <c r="B1756" s="201" t="s">
        <v>4697</v>
      </c>
      <c r="C1756" s="199" t="s">
        <v>8584</v>
      </c>
      <c r="D1756" s="188" t="s">
        <v>8724</v>
      </c>
      <c r="E1756" s="213" t="s">
        <v>8379</v>
      </c>
      <c r="F1756" s="184" t="s">
        <v>8479</v>
      </c>
      <c r="G1756" s="213" t="s">
        <v>8525</v>
      </c>
      <c r="H1756" s="199" t="s">
        <v>156</v>
      </c>
      <c r="I1756" s="199">
        <v>1</v>
      </c>
      <c r="J1756" s="199">
        <v>1</v>
      </c>
      <c r="K1756" s="199">
        <v>1</v>
      </c>
      <c r="L1756" s="199">
        <v>50</v>
      </c>
      <c r="M1756" s="215">
        <v>0</v>
      </c>
      <c r="N1756" s="200" t="s">
        <v>4593</v>
      </c>
      <c r="O1756" s="234">
        <v>5</v>
      </c>
      <c r="P1756" s="199">
        <f>TB_Parts_Lists[[#This Row],[Quantity Initial]]*TB_Parts_Lists[[#This Row],[Unit Price AED]]</f>
        <v>250</v>
      </c>
      <c r="Q1756" s="199">
        <f>TB_Parts_Lists[[#This Row],[Quantity Total]]*TB_Parts_Lists[[#This Row],[Unit Price AED]]</f>
        <v>0</v>
      </c>
      <c r="R1756" s="213"/>
      <c r="S1756" s="199" t="s">
        <v>118</v>
      </c>
      <c r="T1756" s="199" t="s">
        <v>8675</v>
      </c>
      <c r="U1756" s="199" t="s">
        <v>8675</v>
      </c>
    </row>
    <row r="1757" spans="1:21" x14ac:dyDescent="0.25">
      <c r="A1757" s="194" t="s">
        <v>8586</v>
      </c>
      <c r="B1757" s="201" t="s">
        <v>3330</v>
      </c>
      <c r="C1757" s="199" t="s">
        <v>8555</v>
      </c>
      <c r="D1757" s="199" t="s">
        <v>8724</v>
      </c>
      <c r="E1757" s="213" t="s">
        <v>8380</v>
      </c>
      <c r="F1757" s="184" t="s">
        <v>8480</v>
      </c>
      <c r="G1757" s="213" t="s">
        <v>8525</v>
      </c>
      <c r="H1757" s="199" t="s">
        <v>156</v>
      </c>
      <c r="I1757" s="199">
        <v>1</v>
      </c>
      <c r="J1757" s="199">
        <v>1</v>
      </c>
      <c r="K1757" s="199">
        <v>1</v>
      </c>
      <c r="L1757" s="199">
        <v>50</v>
      </c>
      <c r="M1757" s="215">
        <v>0</v>
      </c>
      <c r="N1757" s="200" t="s">
        <v>4593</v>
      </c>
      <c r="O1757" s="234">
        <v>5</v>
      </c>
      <c r="P1757" s="199">
        <f>TB_Parts_Lists[[#This Row],[Quantity Initial]]*TB_Parts_Lists[[#This Row],[Unit Price AED]]</f>
        <v>250</v>
      </c>
      <c r="Q1757" s="199">
        <f>TB_Parts_Lists[[#This Row],[Quantity Total]]*TB_Parts_Lists[[#This Row],[Unit Price AED]]</f>
        <v>0</v>
      </c>
      <c r="R1757" s="213"/>
      <c r="S1757" s="199" t="s">
        <v>118</v>
      </c>
      <c r="T1757" s="199" t="s">
        <v>8675</v>
      </c>
      <c r="U1757" s="199" t="s">
        <v>8675</v>
      </c>
    </row>
    <row r="1758" spans="1:21" x14ac:dyDescent="0.25">
      <c r="A1758" s="194" t="s">
        <v>8587</v>
      </c>
      <c r="B1758" s="201" t="s">
        <v>3330</v>
      </c>
      <c r="C1758" s="199" t="s">
        <v>8555</v>
      </c>
      <c r="D1758" s="199" t="s">
        <v>8724</v>
      </c>
      <c r="E1758" s="213" t="s">
        <v>8381</v>
      </c>
      <c r="F1758" s="184" t="s">
        <v>8481</v>
      </c>
      <c r="G1758" s="213" t="s">
        <v>8525</v>
      </c>
      <c r="H1758" s="199" t="s">
        <v>8644</v>
      </c>
      <c r="I1758" s="199">
        <v>1</v>
      </c>
      <c r="J1758" s="199">
        <v>1</v>
      </c>
      <c r="K1758" s="199">
        <v>1</v>
      </c>
      <c r="L1758" s="199">
        <v>50</v>
      </c>
      <c r="M1758" s="215">
        <v>0</v>
      </c>
      <c r="N1758" s="200" t="s">
        <v>4593</v>
      </c>
      <c r="O1758" s="234">
        <v>5</v>
      </c>
      <c r="P1758" s="199">
        <f>TB_Parts_Lists[[#This Row],[Quantity Initial]]*TB_Parts_Lists[[#This Row],[Unit Price AED]]</f>
        <v>250</v>
      </c>
      <c r="Q1758" s="199">
        <f>TB_Parts_Lists[[#This Row],[Quantity Total]]*TB_Parts_Lists[[#This Row],[Unit Price AED]]</f>
        <v>0</v>
      </c>
      <c r="R1758" s="213"/>
      <c r="S1758" s="199" t="s">
        <v>118</v>
      </c>
      <c r="T1758" s="199" t="s">
        <v>8675</v>
      </c>
      <c r="U1758" s="199" t="s">
        <v>8675</v>
      </c>
    </row>
    <row r="1759" spans="1:21" x14ac:dyDescent="0.25">
      <c r="A1759" s="194" t="s">
        <v>8588</v>
      </c>
      <c r="B1759" s="201" t="s">
        <v>3340</v>
      </c>
      <c r="C1759" s="213" t="s">
        <v>6682</v>
      </c>
      <c r="D1759" s="188" t="s">
        <v>8724</v>
      </c>
      <c r="E1759" s="213" t="s">
        <v>8382</v>
      </c>
      <c r="F1759" s="184" t="s">
        <v>8482</v>
      </c>
      <c r="G1759" s="213" t="s">
        <v>8526</v>
      </c>
      <c r="H1759" s="199" t="s">
        <v>62</v>
      </c>
      <c r="I1759" s="199">
        <v>1</v>
      </c>
      <c r="J1759" s="199">
        <v>1</v>
      </c>
      <c r="K1759" s="199">
        <v>1</v>
      </c>
      <c r="L1759" s="199">
        <v>50</v>
      </c>
      <c r="M1759" s="215">
        <v>0</v>
      </c>
      <c r="N1759" s="200" t="s">
        <v>4593</v>
      </c>
      <c r="O1759" s="234">
        <v>5</v>
      </c>
      <c r="P1759" s="199">
        <f>TB_Parts_Lists[[#This Row],[Quantity Initial]]*TB_Parts_Lists[[#This Row],[Unit Price AED]]</f>
        <v>250</v>
      </c>
      <c r="Q1759" s="199">
        <f>TB_Parts_Lists[[#This Row],[Quantity Total]]*TB_Parts_Lists[[#This Row],[Unit Price AED]]</f>
        <v>0</v>
      </c>
      <c r="R1759" s="213"/>
      <c r="S1759" s="199" t="s">
        <v>118</v>
      </c>
      <c r="T1759" s="199" t="s">
        <v>8692</v>
      </c>
      <c r="U1759" s="199" t="s">
        <v>838</v>
      </c>
    </row>
    <row r="1760" spans="1:21" x14ac:dyDescent="0.25">
      <c r="A1760" s="194" t="s">
        <v>8589</v>
      </c>
      <c r="B1760" s="201" t="s">
        <v>3340</v>
      </c>
      <c r="C1760" s="213" t="s">
        <v>6683</v>
      </c>
      <c r="D1760" s="188" t="s">
        <v>8724</v>
      </c>
      <c r="E1760" s="213" t="s">
        <v>8383</v>
      </c>
      <c r="F1760" s="184" t="s">
        <v>8483</v>
      </c>
      <c r="G1760" s="213" t="s">
        <v>8526</v>
      </c>
      <c r="H1760" s="199" t="s">
        <v>72</v>
      </c>
      <c r="I1760" s="199">
        <v>1</v>
      </c>
      <c r="J1760" s="199">
        <v>1</v>
      </c>
      <c r="K1760" s="199">
        <v>1</v>
      </c>
      <c r="L1760" s="199">
        <v>50</v>
      </c>
      <c r="M1760" s="215">
        <v>0</v>
      </c>
      <c r="N1760" s="200" t="s">
        <v>4593</v>
      </c>
      <c r="O1760" s="234">
        <v>5</v>
      </c>
      <c r="P1760" s="199">
        <f>TB_Parts_Lists[[#This Row],[Quantity Initial]]*TB_Parts_Lists[[#This Row],[Unit Price AED]]</f>
        <v>250</v>
      </c>
      <c r="Q1760" s="199">
        <f>TB_Parts_Lists[[#This Row],[Quantity Total]]*TB_Parts_Lists[[#This Row],[Unit Price AED]]</f>
        <v>0</v>
      </c>
      <c r="R1760" s="213"/>
      <c r="S1760" s="199" t="s">
        <v>118</v>
      </c>
      <c r="T1760" s="199" t="s">
        <v>8692</v>
      </c>
      <c r="U1760" s="199" t="s">
        <v>838</v>
      </c>
    </row>
    <row r="1761" spans="1:21" x14ac:dyDescent="0.25">
      <c r="A1761" s="194" t="s">
        <v>8590</v>
      </c>
      <c r="B1761" s="201" t="s">
        <v>3340</v>
      </c>
      <c r="C1761" s="213" t="s">
        <v>6682</v>
      </c>
      <c r="D1761" s="199" t="s">
        <v>8732</v>
      </c>
      <c r="E1761" s="213" t="s">
        <v>8384</v>
      </c>
      <c r="F1761" s="184" t="s">
        <v>8484</v>
      </c>
      <c r="G1761" s="213" t="s">
        <v>8526</v>
      </c>
      <c r="H1761" s="199" t="s">
        <v>72</v>
      </c>
      <c r="I1761" s="199">
        <v>1</v>
      </c>
      <c r="J1761" s="199">
        <v>1</v>
      </c>
      <c r="K1761" s="199">
        <v>1</v>
      </c>
      <c r="L1761" s="199">
        <v>50</v>
      </c>
      <c r="M1761" s="215">
        <v>0</v>
      </c>
      <c r="N1761" s="200" t="s">
        <v>4593</v>
      </c>
      <c r="O1761" s="234">
        <v>5</v>
      </c>
      <c r="P1761" s="199">
        <f>TB_Parts_Lists[[#This Row],[Quantity Initial]]*TB_Parts_Lists[[#This Row],[Unit Price AED]]</f>
        <v>250</v>
      </c>
      <c r="Q1761" s="199">
        <f>TB_Parts_Lists[[#This Row],[Quantity Total]]*TB_Parts_Lists[[#This Row],[Unit Price AED]]</f>
        <v>0</v>
      </c>
      <c r="R1761" s="213"/>
      <c r="S1761" s="199" t="s">
        <v>118</v>
      </c>
      <c r="T1761" s="199" t="s">
        <v>8692</v>
      </c>
      <c r="U1761" s="199" t="s">
        <v>838</v>
      </c>
    </row>
    <row r="1762" spans="1:21" x14ac:dyDescent="0.25">
      <c r="A1762" s="194" t="s">
        <v>8591</v>
      </c>
      <c r="B1762" s="201" t="s">
        <v>3340</v>
      </c>
      <c r="C1762" s="213" t="s">
        <v>6682</v>
      </c>
      <c r="D1762" s="199" t="s">
        <v>8732</v>
      </c>
      <c r="E1762" s="213" t="s">
        <v>8385</v>
      </c>
      <c r="F1762" s="184" t="s">
        <v>8485</v>
      </c>
      <c r="G1762" s="213" t="s">
        <v>8526</v>
      </c>
      <c r="H1762" s="199" t="s">
        <v>72</v>
      </c>
      <c r="I1762" s="199">
        <v>1</v>
      </c>
      <c r="J1762" s="199">
        <v>1</v>
      </c>
      <c r="K1762" s="199">
        <v>1</v>
      </c>
      <c r="L1762" s="199">
        <v>50</v>
      </c>
      <c r="M1762" s="215">
        <v>0</v>
      </c>
      <c r="N1762" s="200" t="s">
        <v>4593</v>
      </c>
      <c r="O1762" s="234">
        <v>5</v>
      </c>
      <c r="P1762" s="199">
        <f>TB_Parts_Lists[[#This Row],[Quantity Initial]]*TB_Parts_Lists[[#This Row],[Unit Price AED]]</f>
        <v>250</v>
      </c>
      <c r="Q1762" s="199">
        <f>TB_Parts_Lists[[#This Row],[Quantity Total]]*TB_Parts_Lists[[#This Row],[Unit Price AED]]</f>
        <v>0</v>
      </c>
      <c r="R1762" s="213"/>
      <c r="S1762" s="199" t="s">
        <v>118</v>
      </c>
      <c r="T1762" s="199" t="s">
        <v>8692</v>
      </c>
      <c r="U1762" s="199" t="s">
        <v>838</v>
      </c>
    </row>
    <row r="1763" spans="1:21" x14ac:dyDescent="0.25">
      <c r="A1763" s="194" t="s">
        <v>8592</v>
      </c>
      <c r="B1763" s="201" t="s">
        <v>3340</v>
      </c>
      <c r="C1763" s="213" t="s">
        <v>6682</v>
      </c>
      <c r="D1763" s="199" t="s">
        <v>8732</v>
      </c>
      <c r="E1763" s="213" t="s">
        <v>8386</v>
      </c>
      <c r="F1763" s="184" t="s">
        <v>8486</v>
      </c>
      <c r="G1763" s="213" t="s">
        <v>8526</v>
      </c>
      <c r="H1763" s="199" t="s">
        <v>72</v>
      </c>
      <c r="I1763" s="199">
        <v>1</v>
      </c>
      <c r="J1763" s="199">
        <v>1</v>
      </c>
      <c r="K1763" s="199">
        <v>1</v>
      </c>
      <c r="L1763" s="199">
        <v>50</v>
      </c>
      <c r="M1763" s="215">
        <v>0</v>
      </c>
      <c r="N1763" s="200" t="s">
        <v>4593</v>
      </c>
      <c r="O1763" s="234">
        <v>5</v>
      </c>
      <c r="P1763" s="199">
        <f>TB_Parts_Lists[[#This Row],[Quantity Initial]]*TB_Parts_Lists[[#This Row],[Unit Price AED]]</f>
        <v>250</v>
      </c>
      <c r="Q1763" s="199">
        <f>TB_Parts_Lists[[#This Row],[Quantity Total]]*TB_Parts_Lists[[#This Row],[Unit Price AED]]</f>
        <v>0</v>
      </c>
      <c r="R1763" s="213"/>
      <c r="S1763" s="199" t="s">
        <v>118</v>
      </c>
      <c r="T1763" s="199" t="s">
        <v>8692</v>
      </c>
      <c r="U1763" s="199" t="s">
        <v>838</v>
      </c>
    </row>
    <row r="1764" spans="1:21" x14ac:dyDescent="0.25">
      <c r="A1764" s="194" t="s">
        <v>8593</v>
      </c>
      <c r="B1764" s="201" t="s">
        <v>3340</v>
      </c>
      <c r="C1764" s="213" t="s">
        <v>4603</v>
      </c>
      <c r="D1764" s="199" t="s">
        <v>8732</v>
      </c>
      <c r="E1764" s="213" t="s">
        <v>8387</v>
      </c>
      <c r="F1764" s="184" t="s">
        <v>8487</v>
      </c>
      <c r="G1764" s="213" t="s">
        <v>8526</v>
      </c>
      <c r="H1764" s="199" t="s">
        <v>72</v>
      </c>
      <c r="I1764" s="199">
        <v>1</v>
      </c>
      <c r="J1764" s="199">
        <v>1</v>
      </c>
      <c r="K1764" s="199">
        <v>1</v>
      </c>
      <c r="L1764" s="199">
        <v>50</v>
      </c>
      <c r="M1764" s="215">
        <v>0</v>
      </c>
      <c r="N1764" s="200" t="s">
        <v>4593</v>
      </c>
      <c r="O1764" s="234">
        <v>5</v>
      </c>
      <c r="P1764" s="199">
        <f>TB_Parts_Lists[[#This Row],[Quantity Initial]]*TB_Parts_Lists[[#This Row],[Unit Price AED]]</f>
        <v>250</v>
      </c>
      <c r="Q1764" s="199">
        <f>TB_Parts_Lists[[#This Row],[Quantity Total]]*TB_Parts_Lists[[#This Row],[Unit Price AED]]</f>
        <v>0</v>
      </c>
      <c r="R1764" s="213"/>
      <c r="S1764" s="199" t="s">
        <v>118</v>
      </c>
      <c r="T1764" s="199" t="s">
        <v>8692</v>
      </c>
      <c r="U1764" s="199" t="s">
        <v>838</v>
      </c>
    </row>
    <row r="1765" spans="1:21" x14ac:dyDescent="0.25">
      <c r="A1765" s="194" t="s">
        <v>8594</v>
      </c>
      <c r="B1765" s="201" t="s">
        <v>3340</v>
      </c>
      <c r="C1765" s="213" t="s">
        <v>6683</v>
      </c>
      <c r="D1765" s="199" t="s">
        <v>8732</v>
      </c>
      <c r="E1765" s="213" t="s">
        <v>8388</v>
      </c>
      <c r="F1765" s="184" t="s">
        <v>8488</v>
      </c>
      <c r="G1765" s="213" t="s">
        <v>8526</v>
      </c>
      <c r="H1765" s="199" t="s">
        <v>72</v>
      </c>
      <c r="I1765" s="199">
        <v>1</v>
      </c>
      <c r="J1765" s="199">
        <v>1</v>
      </c>
      <c r="K1765" s="199">
        <v>1</v>
      </c>
      <c r="L1765" s="199">
        <v>50</v>
      </c>
      <c r="M1765" s="215">
        <v>0</v>
      </c>
      <c r="N1765" s="200" t="s">
        <v>4593</v>
      </c>
      <c r="O1765" s="234">
        <v>5</v>
      </c>
      <c r="P1765" s="199">
        <f>TB_Parts_Lists[[#This Row],[Quantity Initial]]*TB_Parts_Lists[[#This Row],[Unit Price AED]]</f>
        <v>250</v>
      </c>
      <c r="Q1765" s="199">
        <f>TB_Parts_Lists[[#This Row],[Quantity Total]]*TB_Parts_Lists[[#This Row],[Unit Price AED]]</f>
        <v>0</v>
      </c>
      <c r="R1765" s="213"/>
      <c r="S1765" s="199" t="s">
        <v>118</v>
      </c>
      <c r="T1765" s="199" t="s">
        <v>8692</v>
      </c>
      <c r="U1765" s="199" t="s">
        <v>838</v>
      </c>
    </row>
    <row r="1766" spans="1:21" x14ac:dyDescent="0.25">
      <c r="A1766" s="194" t="s">
        <v>8595</v>
      </c>
      <c r="B1766" s="201" t="s">
        <v>3340</v>
      </c>
      <c r="C1766" s="213" t="s">
        <v>6682</v>
      </c>
      <c r="D1766" s="199" t="s">
        <v>8732</v>
      </c>
      <c r="E1766" s="213" t="s">
        <v>8389</v>
      </c>
      <c r="F1766" s="184" t="s">
        <v>8489</v>
      </c>
      <c r="G1766" s="213" t="s">
        <v>8526</v>
      </c>
      <c r="H1766" s="199" t="s">
        <v>51</v>
      </c>
      <c r="I1766" s="199">
        <v>1</v>
      </c>
      <c r="J1766" s="199">
        <v>1</v>
      </c>
      <c r="K1766" s="199">
        <v>1</v>
      </c>
      <c r="L1766" s="199">
        <v>50</v>
      </c>
      <c r="M1766" s="215">
        <v>0</v>
      </c>
      <c r="N1766" s="200" t="s">
        <v>4593</v>
      </c>
      <c r="O1766" s="234">
        <v>5</v>
      </c>
      <c r="P1766" s="199">
        <f>TB_Parts_Lists[[#This Row],[Quantity Initial]]*TB_Parts_Lists[[#This Row],[Unit Price AED]]</f>
        <v>250</v>
      </c>
      <c r="Q1766" s="199">
        <f>TB_Parts_Lists[[#This Row],[Quantity Total]]*TB_Parts_Lists[[#This Row],[Unit Price AED]]</f>
        <v>0</v>
      </c>
      <c r="R1766" s="213"/>
      <c r="S1766" s="199" t="s">
        <v>118</v>
      </c>
      <c r="T1766" s="199" t="s">
        <v>8692</v>
      </c>
      <c r="U1766" s="199" t="s">
        <v>838</v>
      </c>
    </row>
    <row r="1767" spans="1:21" x14ac:dyDescent="0.25">
      <c r="A1767" s="194" t="s">
        <v>8596</v>
      </c>
      <c r="B1767" s="201" t="s">
        <v>3340</v>
      </c>
      <c r="C1767" s="213" t="s">
        <v>4603</v>
      </c>
      <c r="D1767" s="199" t="s">
        <v>8732</v>
      </c>
      <c r="E1767" s="213" t="s">
        <v>8390</v>
      </c>
      <c r="F1767" s="184" t="s">
        <v>8490</v>
      </c>
      <c r="G1767" s="213" t="s">
        <v>8526</v>
      </c>
      <c r="H1767" s="199" t="s">
        <v>72</v>
      </c>
      <c r="I1767" s="199">
        <v>1</v>
      </c>
      <c r="J1767" s="199">
        <v>1</v>
      </c>
      <c r="K1767" s="199">
        <v>1</v>
      </c>
      <c r="L1767" s="199">
        <v>50</v>
      </c>
      <c r="M1767" s="215">
        <v>0</v>
      </c>
      <c r="N1767" s="200" t="s">
        <v>4593</v>
      </c>
      <c r="O1767" s="234">
        <v>5</v>
      </c>
      <c r="P1767" s="199">
        <f>TB_Parts_Lists[[#This Row],[Quantity Initial]]*TB_Parts_Lists[[#This Row],[Unit Price AED]]</f>
        <v>250</v>
      </c>
      <c r="Q1767" s="199">
        <f>TB_Parts_Lists[[#This Row],[Quantity Total]]*TB_Parts_Lists[[#This Row],[Unit Price AED]]</f>
        <v>0</v>
      </c>
      <c r="R1767" s="213"/>
      <c r="S1767" s="199" t="s">
        <v>118</v>
      </c>
      <c r="T1767" s="199" t="s">
        <v>8692</v>
      </c>
      <c r="U1767" s="199" t="s">
        <v>838</v>
      </c>
    </row>
    <row r="1768" spans="1:21" x14ac:dyDescent="0.25">
      <c r="A1768" s="194" t="s">
        <v>8597</v>
      </c>
      <c r="B1768" s="201" t="s">
        <v>3340</v>
      </c>
      <c r="C1768" s="213" t="s">
        <v>4603</v>
      </c>
      <c r="D1768" s="199" t="s">
        <v>8732</v>
      </c>
      <c r="E1768" s="213" t="s">
        <v>8391</v>
      </c>
      <c r="F1768" s="184" t="s">
        <v>8491</v>
      </c>
      <c r="G1768" s="213" t="s">
        <v>8526</v>
      </c>
      <c r="H1768" s="199" t="s">
        <v>72</v>
      </c>
      <c r="I1768" s="199">
        <v>1</v>
      </c>
      <c r="J1768" s="199">
        <v>1</v>
      </c>
      <c r="K1768" s="199">
        <v>1</v>
      </c>
      <c r="L1768" s="199">
        <v>50</v>
      </c>
      <c r="M1768" s="215">
        <v>0</v>
      </c>
      <c r="N1768" s="200" t="s">
        <v>4593</v>
      </c>
      <c r="O1768" s="234">
        <v>5</v>
      </c>
      <c r="P1768" s="199">
        <f>TB_Parts_Lists[[#This Row],[Quantity Initial]]*TB_Parts_Lists[[#This Row],[Unit Price AED]]</f>
        <v>250</v>
      </c>
      <c r="Q1768" s="199">
        <f>TB_Parts_Lists[[#This Row],[Quantity Total]]*TB_Parts_Lists[[#This Row],[Unit Price AED]]</f>
        <v>0</v>
      </c>
      <c r="R1768" s="213"/>
      <c r="S1768" s="199" t="s">
        <v>118</v>
      </c>
      <c r="T1768" s="199" t="s">
        <v>8692</v>
      </c>
      <c r="U1768" s="199" t="s">
        <v>838</v>
      </c>
    </row>
    <row r="1769" spans="1:21" x14ac:dyDescent="0.25">
      <c r="A1769" s="194" t="s">
        <v>8598</v>
      </c>
      <c r="B1769" s="201" t="s">
        <v>3340</v>
      </c>
      <c r="C1769" s="213" t="s">
        <v>4603</v>
      </c>
      <c r="D1769" s="199" t="s">
        <v>8732</v>
      </c>
      <c r="E1769" s="213" t="s">
        <v>8392</v>
      </c>
      <c r="F1769" s="184" t="s">
        <v>8492</v>
      </c>
      <c r="G1769" s="213" t="s">
        <v>8526</v>
      </c>
      <c r="H1769" s="199" t="s">
        <v>72</v>
      </c>
      <c r="I1769" s="199">
        <v>1</v>
      </c>
      <c r="J1769" s="199">
        <v>1</v>
      </c>
      <c r="K1769" s="199">
        <v>1</v>
      </c>
      <c r="L1769" s="199">
        <v>50</v>
      </c>
      <c r="M1769" s="215">
        <v>0</v>
      </c>
      <c r="N1769" s="200" t="s">
        <v>4593</v>
      </c>
      <c r="O1769" s="234">
        <v>5</v>
      </c>
      <c r="P1769" s="199">
        <f>TB_Parts_Lists[[#This Row],[Quantity Initial]]*TB_Parts_Lists[[#This Row],[Unit Price AED]]</f>
        <v>250</v>
      </c>
      <c r="Q1769" s="199">
        <f>TB_Parts_Lists[[#This Row],[Quantity Total]]*TB_Parts_Lists[[#This Row],[Unit Price AED]]</f>
        <v>0</v>
      </c>
      <c r="R1769" s="213"/>
      <c r="S1769" s="199" t="s">
        <v>118</v>
      </c>
      <c r="T1769" s="199" t="s">
        <v>8692</v>
      </c>
      <c r="U1769" s="199" t="s">
        <v>838</v>
      </c>
    </row>
    <row r="1770" spans="1:21" x14ac:dyDescent="0.25">
      <c r="A1770" s="194" t="s">
        <v>8599</v>
      </c>
      <c r="B1770" s="201" t="s">
        <v>3340</v>
      </c>
      <c r="C1770" s="213" t="s">
        <v>6682</v>
      </c>
      <c r="D1770" s="199" t="s">
        <v>8732</v>
      </c>
      <c r="E1770" s="213" t="s">
        <v>8393</v>
      </c>
      <c r="F1770" s="184" t="s">
        <v>8493</v>
      </c>
      <c r="G1770" s="213" t="s">
        <v>8526</v>
      </c>
      <c r="H1770" s="199" t="s">
        <v>72</v>
      </c>
      <c r="I1770" s="199">
        <v>1</v>
      </c>
      <c r="J1770" s="199">
        <v>1</v>
      </c>
      <c r="K1770" s="199">
        <v>1</v>
      </c>
      <c r="L1770" s="199">
        <v>50</v>
      </c>
      <c r="M1770" s="215">
        <v>0</v>
      </c>
      <c r="N1770" s="200" t="s">
        <v>4593</v>
      </c>
      <c r="O1770" s="234">
        <v>5</v>
      </c>
      <c r="P1770" s="199">
        <f>TB_Parts_Lists[[#This Row],[Quantity Initial]]*TB_Parts_Lists[[#This Row],[Unit Price AED]]</f>
        <v>250</v>
      </c>
      <c r="Q1770" s="199">
        <f>TB_Parts_Lists[[#This Row],[Quantity Total]]*TB_Parts_Lists[[#This Row],[Unit Price AED]]</f>
        <v>0</v>
      </c>
      <c r="R1770" s="213"/>
      <c r="S1770" s="199" t="s">
        <v>118</v>
      </c>
      <c r="T1770" s="199" t="s">
        <v>8692</v>
      </c>
      <c r="U1770" s="199" t="s">
        <v>838</v>
      </c>
    </row>
    <row r="1771" spans="1:21" x14ac:dyDescent="0.25">
      <c r="A1771" s="194" t="s">
        <v>8600</v>
      </c>
      <c r="B1771" s="201" t="s">
        <v>3340</v>
      </c>
      <c r="C1771" s="213" t="s">
        <v>4603</v>
      </c>
      <c r="D1771" s="199" t="s">
        <v>8732</v>
      </c>
      <c r="E1771" s="213" t="s">
        <v>8394</v>
      </c>
      <c r="F1771" s="184" t="s">
        <v>8494</v>
      </c>
      <c r="G1771" s="213" t="s">
        <v>8526</v>
      </c>
      <c r="H1771" s="199" t="s">
        <v>72</v>
      </c>
      <c r="I1771" s="199">
        <v>1</v>
      </c>
      <c r="J1771" s="199">
        <v>1</v>
      </c>
      <c r="K1771" s="199">
        <v>1</v>
      </c>
      <c r="L1771" s="199">
        <v>50</v>
      </c>
      <c r="M1771" s="215">
        <v>0</v>
      </c>
      <c r="N1771" s="200" t="s">
        <v>4593</v>
      </c>
      <c r="O1771" s="234">
        <v>5</v>
      </c>
      <c r="P1771" s="199">
        <f>TB_Parts_Lists[[#This Row],[Quantity Initial]]*TB_Parts_Lists[[#This Row],[Unit Price AED]]</f>
        <v>250</v>
      </c>
      <c r="Q1771" s="199">
        <f>TB_Parts_Lists[[#This Row],[Quantity Total]]*TB_Parts_Lists[[#This Row],[Unit Price AED]]</f>
        <v>0</v>
      </c>
      <c r="R1771" s="213"/>
      <c r="S1771" s="199" t="s">
        <v>118</v>
      </c>
      <c r="T1771" s="199" t="s">
        <v>8692</v>
      </c>
      <c r="U1771" s="199" t="s">
        <v>838</v>
      </c>
    </row>
    <row r="1772" spans="1:21" x14ac:dyDescent="0.25">
      <c r="A1772" s="194" t="s">
        <v>8601</v>
      </c>
      <c r="B1772" s="201" t="s">
        <v>3340</v>
      </c>
      <c r="C1772" s="213" t="s">
        <v>6682</v>
      </c>
      <c r="D1772" s="199" t="s">
        <v>8732</v>
      </c>
      <c r="E1772" s="213" t="s">
        <v>8395</v>
      </c>
      <c r="F1772" s="184" t="s">
        <v>8495</v>
      </c>
      <c r="G1772" s="213" t="s">
        <v>8526</v>
      </c>
      <c r="H1772" s="199" t="s">
        <v>72</v>
      </c>
      <c r="I1772" s="199">
        <v>1</v>
      </c>
      <c r="J1772" s="199">
        <v>1</v>
      </c>
      <c r="K1772" s="199">
        <v>1</v>
      </c>
      <c r="L1772" s="199">
        <v>50</v>
      </c>
      <c r="M1772" s="215">
        <v>0</v>
      </c>
      <c r="N1772" s="200" t="s">
        <v>4593</v>
      </c>
      <c r="O1772" s="234">
        <v>5</v>
      </c>
      <c r="P1772" s="199">
        <f>TB_Parts_Lists[[#This Row],[Quantity Initial]]*TB_Parts_Lists[[#This Row],[Unit Price AED]]</f>
        <v>250</v>
      </c>
      <c r="Q1772" s="199">
        <f>TB_Parts_Lists[[#This Row],[Quantity Total]]*TB_Parts_Lists[[#This Row],[Unit Price AED]]</f>
        <v>0</v>
      </c>
      <c r="R1772" s="213"/>
      <c r="S1772" s="199" t="s">
        <v>118</v>
      </c>
      <c r="T1772" s="199" t="s">
        <v>8692</v>
      </c>
      <c r="U1772" s="199" t="s">
        <v>838</v>
      </c>
    </row>
    <row r="1773" spans="1:21" x14ac:dyDescent="0.25">
      <c r="A1773" s="194" t="s">
        <v>8602</v>
      </c>
      <c r="B1773" s="201" t="s">
        <v>3340</v>
      </c>
      <c r="C1773" s="213" t="s">
        <v>4604</v>
      </c>
      <c r="D1773" s="199" t="s">
        <v>8732</v>
      </c>
      <c r="E1773" s="213" t="s">
        <v>8396</v>
      </c>
      <c r="F1773" s="184" t="s">
        <v>8496</v>
      </c>
      <c r="G1773" s="213" t="s">
        <v>8526</v>
      </c>
      <c r="H1773" s="199" t="s">
        <v>72</v>
      </c>
      <c r="I1773" s="199">
        <v>1</v>
      </c>
      <c r="J1773" s="199">
        <v>1</v>
      </c>
      <c r="K1773" s="199">
        <v>1</v>
      </c>
      <c r="L1773" s="199">
        <v>50</v>
      </c>
      <c r="M1773" s="215">
        <v>0</v>
      </c>
      <c r="N1773" s="200" t="s">
        <v>4593</v>
      </c>
      <c r="O1773" s="234">
        <v>5</v>
      </c>
      <c r="P1773" s="199">
        <f>TB_Parts_Lists[[#This Row],[Quantity Initial]]*TB_Parts_Lists[[#This Row],[Unit Price AED]]</f>
        <v>250</v>
      </c>
      <c r="Q1773" s="199">
        <f>TB_Parts_Lists[[#This Row],[Quantity Total]]*TB_Parts_Lists[[#This Row],[Unit Price AED]]</f>
        <v>0</v>
      </c>
      <c r="R1773" s="213"/>
      <c r="S1773" s="199" t="s">
        <v>118</v>
      </c>
      <c r="T1773" s="199" t="s">
        <v>8692</v>
      </c>
      <c r="U1773" s="199" t="s">
        <v>838</v>
      </c>
    </row>
    <row r="1774" spans="1:21" x14ac:dyDescent="0.25">
      <c r="A1774" s="194" t="s">
        <v>8603</v>
      </c>
      <c r="B1774" s="201" t="s">
        <v>3340</v>
      </c>
      <c r="C1774" s="213" t="s">
        <v>4604</v>
      </c>
      <c r="D1774" s="199" t="s">
        <v>8732</v>
      </c>
      <c r="E1774" s="213" t="s">
        <v>8397</v>
      </c>
      <c r="F1774" s="184" t="s">
        <v>8497</v>
      </c>
      <c r="G1774" s="213" t="s">
        <v>8526</v>
      </c>
      <c r="H1774" s="199" t="s">
        <v>72</v>
      </c>
      <c r="I1774" s="199">
        <v>1</v>
      </c>
      <c r="J1774" s="199">
        <v>1</v>
      </c>
      <c r="K1774" s="199">
        <v>1</v>
      </c>
      <c r="L1774" s="199">
        <v>50</v>
      </c>
      <c r="M1774" s="215">
        <v>0</v>
      </c>
      <c r="N1774" s="200" t="s">
        <v>4593</v>
      </c>
      <c r="O1774" s="234">
        <v>5</v>
      </c>
      <c r="P1774" s="199">
        <f>TB_Parts_Lists[[#This Row],[Quantity Initial]]*TB_Parts_Lists[[#This Row],[Unit Price AED]]</f>
        <v>250</v>
      </c>
      <c r="Q1774" s="199">
        <f>TB_Parts_Lists[[#This Row],[Quantity Total]]*TB_Parts_Lists[[#This Row],[Unit Price AED]]</f>
        <v>0</v>
      </c>
      <c r="R1774" s="213"/>
      <c r="S1774" s="199" t="s">
        <v>118</v>
      </c>
      <c r="T1774" s="199" t="s">
        <v>8692</v>
      </c>
      <c r="U1774" s="199" t="s">
        <v>838</v>
      </c>
    </row>
    <row r="1775" spans="1:21" x14ac:dyDescent="0.25">
      <c r="A1775" s="194" t="s">
        <v>8604</v>
      </c>
      <c r="B1775" s="201" t="s">
        <v>3340</v>
      </c>
      <c r="C1775" s="213" t="s">
        <v>4604</v>
      </c>
      <c r="D1775" s="199" t="s">
        <v>8732</v>
      </c>
      <c r="E1775" s="213" t="s">
        <v>8398</v>
      </c>
      <c r="F1775" s="184" t="s">
        <v>8498</v>
      </c>
      <c r="G1775" s="213" t="s">
        <v>8526</v>
      </c>
      <c r="H1775" s="199" t="s">
        <v>72</v>
      </c>
      <c r="I1775" s="199">
        <v>1</v>
      </c>
      <c r="J1775" s="199">
        <v>1</v>
      </c>
      <c r="K1775" s="199">
        <v>1</v>
      </c>
      <c r="L1775" s="199">
        <v>50</v>
      </c>
      <c r="M1775" s="215">
        <v>0</v>
      </c>
      <c r="N1775" s="200" t="s">
        <v>4593</v>
      </c>
      <c r="O1775" s="234">
        <v>5</v>
      </c>
      <c r="P1775" s="199">
        <f>TB_Parts_Lists[[#This Row],[Quantity Initial]]*TB_Parts_Lists[[#This Row],[Unit Price AED]]</f>
        <v>250</v>
      </c>
      <c r="Q1775" s="199">
        <f>TB_Parts_Lists[[#This Row],[Quantity Total]]*TB_Parts_Lists[[#This Row],[Unit Price AED]]</f>
        <v>0</v>
      </c>
      <c r="R1775" s="213"/>
      <c r="S1775" s="199" t="s">
        <v>118</v>
      </c>
      <c r="T1775" s="199" t="s">
        <v>8692</v>
      </c>
      <c r="U1775" s="199" t="s">
        <v>838</v>
      </c>
    </row>
    <row r="1776" spans="1:21" x14ac:dyDescent="0.25">
      <c r="A1776" s="194" t="s">
        <v>8605</v>
      </c>
      <c r="B1776" s="201" t="s">
        <v>3340</v>
      </c>
      <c r="C1776" s="213" t="s">
        <v>4604</v>
      </c>
      <c r="D1776" s="199" t="s">
        <v>8732</v>
      </c>
      <c r="E1776" s="213" t="s">
        <v>8399</v>
      </c>
      <c r="F1776" s="184" t="s">
        <v>8499</v>
      </c>
      <c r="G1776" s="213" t="s">
        <v>8526</v>
      </c>
      <c r="H1776" s="199" t="s">
        <v>72</v>
      </c>
      <c r="I1776" s="199">
        <v>1</v>
      </c>
      <c r="J1776" s="199">
        <v>1</v>
      </c>
      <c r="K1776" s="199">
        <v>1</v>
      </c>
      <c r="L1776" s="199">
        <v>50</v>
      </c>
      <c r="M1776" s="215">
        <v>0</v>
      </c>
      <c r="N1776" s="200" t="s">
        <v>4593</v>
      </c>
      <c r="O1776" s="234">
        <v>5</v>
      </c>
      <c r="P1776" s="199">
        <f>TB_Parts_Lists[[#This Row],[Quantity Initial]]*TB_Parts_Lists[[#This Row],[Unit Price AED]]</f>
        <v>250</v>
      </c>
      <c r="Q1776" s="199">
        <f>TB_Parts_Lists[[#This Row],[Quantity Total]]*TB_Parts_Lists[[#This Row],[Unit Price AED]]</f>
        <v>0</v>
      </c>
      <c r="R1776" s="213"/>
      <c r="S1776" s="199" t="s">
        <v>118</v>
      </c>
      <c r="T1776" s="199" t="s">
        <v>8692</v>
      </c>
      <c r="U1776" s="199" t="s">
        <v>838</v>
      </c>
    </row>
    <row r="1777" spans="1:21" x14ac:dyDescent="0.25">
      <c r="A1777" s="194" t="s">
        <v>8606</v>
      </c>
      <c r="B1777" s="201" t="s">
        <v>3340</v>
      </c>
      <c r="C1777" s="213" t="s">
        <v>4604</v>
      </c>
      <c r="D1777" s="199" t="s">
        <v>8732</v>
      </c>
      <c r="E1777" s="213" t="s">
        <v>8400</v>
      </c>
      <c r="F1777" s="184" t="s">
        <v>8500</v>
      </c>
      <c r="G1777" s="213" t="s">
        <v>8526</v>
      </c>
      <c r="H1777" s="199" t="s">
        <v>72</v>
      </c>
      <c r="I1777" s="199">
        <v>1</v>
      </c>
      <c r="J1777" s="199">
        <v>1</v>
      </c>
      <c r="K1777" s="199">
        <v>1</v>
      </c>
      <c r="L1777" s="199">
        <v>50</v>
      </c>
      <c r="M1777" s="215">
        <v>0</v>
      </c>
      <c r="N1777" s="200" t="s">
        <v>4593</v>
      </c>
      <c r="O1777" s="234">
        <v>5</v>
      </c>
      <c r="P1777" s="199">
        <f>TB_Parts_Lists[[#This Row],[Quantity Initial]]*TB_Parts_Lists[[#This Row],[Unit Price AED]]</f>
        <v>250</v>
      </c>
      <c r="Q1777" s="199">
        <f>TB_Parts_Lists[[#This Row],[Quantity Total]]*TB_Parts_Lists[[#This Row],[Unit Price AED]]</f>
        <v>0</v>
      </c>
      <c r="R1777" s="213"/>
      <c r="S1777" s="199" t="s">
        <v>118</v>
      </c>
      <c r="T1777" s="199" t="s">
        <v>8692</v>
      </c>
      <c r="U1777" s="199" t="s">
        <v>838</v>
      </c>
    </row>
    <row r="1778" spans="1:21" x14ac:dyDescent="0.25">
      <c r="A1778" s="194" t="s">
        <v>8607</v>
      </c>
      <c r="B1778" s="201" t="s">
        <v>3340</v>
      </c>
      <c r="C1778" s="213" t="s">
        <v>4603</v>
      </c>
      <c r="D1778" s="199" t="s">
        <v>8732</v>
      </c>
      <c r="E1778" s="213" t="s">
        <v>8401</v>
      </c>
      <c r="F1778" s="184" t="s">
        <v>8501</v>
      </c>
      <c r="G1778" s="213" t="s">
        <v>8526</v>
      </c>
      <c r="H1778" s="199" t="s">
        <v>72</v>
      </c>
      <c r="I1778" s="199">
        <v>1</v>
      </c>
      <c r="J1778" s="199">
        <v>1</v>
      </c>
      <c r="K1778" s="199">
        <v>1</v>
      </c>
      <c r="L1778" s="199">
        <v>50</v>
      </c>
      <c r="M1778" s="215">
        <v>0</v>
      </c>
      <c r="N1778" s="200" t="s">
        <v>4593</v>
      </c>
      <c r="O1778" s="234">
        <v>5</v>
      </c>
      <c r="P1778" s="199">
        <f>TB_Parts_Lists[[#This Row],[Quantity Initial]]*TB_Parts_Lists[[#This Row],[Unit Price AED]]</f>
        <v>250</v>
      </c>
      <c r="Q1778" s="199">
        <f>TB_Parts_Lists[[#This Row],[Quantity Total]]*TB_Parts_Lists[[#This Row],[Unit Price AED]]</f>
        <v>0</v>
      </c>
      <c r="R1778" s="213"/>
      <c r="S1778" s="199" t="s">
        <v>118</v>
      </c>
      <c r="T1778" s="199" t="s">
        <v>8692</v>
      </c>
      <c r="U1778" s="199" t="s">
        <v>838</v>
      </c>
    </row>
    <row r="1779" spans="1:21" x14ac:dyDescent="0.25">
      <c r="A1779" s="194" t="s">
        <v>8608</v>
      </c>
      <c r="B1779" s="201" t="s">
        <v>3340</v>
      </c>
      <c r="C1779" s="213" t="s">
        <v>4603</v>
      </c>
      <c r="D1779" s="199" t="s">
        <v>8732</v>
      </c>
      <c r="E1779" s="213" t="s">
        <v>8402</v>
      </c>
      <c r="F1779" s="184" t="s">
        <v>8502</v>
      </c>
      <c r="G1779" s="213" t="s">
        <v>8526</v>
      </c>
      <c r="H1779" s="199" t="s">
        <v>72</v>
      </c>
      <c r="I1779" s="199">
        <v>1</v>
      </c>
      <c r="J1779" s="199">
        <v>1</v>
      </c>
      <c r="K1779" s="199">
        <v>1</v>
      </c>
      <c r="L1779" s="199">
        <v>50</v>
      </c>
      <c r="M1779" s="215">
        <v>0</v>
      </c>
      <c r="N1779" s="200" t="s">
        <v>4593</v>
      </c>
      <c r="O1779" s="234">
        <v>5</v>
      </c>
      <c r="P1779" s="199">
        <f>TB_Parts_Lists[[#This Row],[Quantity Initial]]*TB_Parts_Lists[[#This Row],[Unit Price AED]]</f>
        <v>250</v>
      </c>
      <c r="Q1779" s="199">
        <f>TB_Parts_Lists[[#This Row],[Quantity Total]]*TB_Parts_Lists[[#This Row],[Unit Price AED]]</f>
        <v>0</v>
      </c>
      <c r="R1779" s="213"/>
      <c r="S1779" s="199" t="s">
        <v>118</v>
      </c>
      <c r="T1779" s="199" t="s">
        <v>8692</v>
      </c>
      <c r="U1779" s="199" t="s">
        <v>838</v>
      </c>
    </row>
    <row r="1780" spans="1:21" x14ac:dyDescent="0.25">
      <c r="A1780" s="194" t="s">
        <v>8609</v>
      </c>
      <c r="B1780" s="201" t="s">
        <v>3340</v>
      </c>
      <c r="C1780" s="213" t="s">
        <v>6682</v>
      </c>
      <c r="D1780" s="199" t="s">
        <v>8732</v>
      </c>
      <c r="E1780" s="213" t="s">
        <v>8403</v>
      </c>
      <c r="F1780" s="184" t="s">
        <v>8503</v>
      </c>
      <c r="G1780" s="213" t="s">
        <v>8526</v>
      </c>
      <c r="H1780" s="199" t="s">
        <v>72</v>
      </c>
      <c r="I1780" s="199">
        <v>1</v>
      </c>
      <c r="J1780" s="199">
        <v>1</v>
      </c>
      <c r="K1780" s="199">
        <v>1</v>
      </c>
      <c r="L1780" s="199">
        <v>50</v>
      </c>
      <c r="M1780" s="215">
        <v>0</v>
      </c>
      <c r="N1780" s="200" t="s">
        <v>4593</v>
      </c>
      <c r="O1780" s="234">
        <v>5</v>
      </c>
      <c r="P1780" s="199">
        <f>TB_Parts_Lists[[#This Row],[Quantity Initial]]*TB_Parts_Lists[[#This Row],[Unit Price AED]]</f>
        <v>250</v>
      </c>
      <c r="Q1780" s="199">
        <f>TB_Parts_Lists[[#This Row],[Quantity Total]]*TB_Parts_Lists[[#This Row],[Unit Price AED]]</f>
        <v>0</v>
      </c>
      <c r="R1780" s="213"/>
      <c r="S1780" s="199" t="s">
        <v>118</v>
      </c>
      <c r="T1780" s="199" t="s">
        <v>8692</v>
      </c>
      <c r="U1780" s="199" t="s">
        <v>838</v>
      </c>
    </row>
    <row r="1781" spans="1:21" x14ac:dyDescent="0.25">
      <c r="A1781" s="194" t="s">
        <v>8610</v>
      </c>
      <c r="B1781" s="201" t="s">
        <v>3340</v>
      </c>
      <c r="C1781" s="213" t="s">
        <v>6682</v>
      </c>
      <c r="D1781" s="199" t="s">
        <v>8732</v>
      </c>
      <c r="E1781" s="213" t="s">
        <v>8404</v>
      </c>
      <c r="F1781" s="184" t="s">
        <v>8504</v>
      </c>
      <c r="G1781" s="213" t="s">
        <v>8526</v>
      </c>
      <c r="H1781" s="199" t="s">
        <v>72</v>
      </c>
      <c r="I1781" s="199">
        <v>1</v>
      </c>
      <c r="J1781" s="199">
        <v>1</v>
      </c>
      <c r="K1781" s="199">
        <v>1</v>
      </c>
      <c r="L1781" s="199">
        <v>50</v>
      </c>
      <c r="M1781" s="215">
        <v>0</v>
      </c>
      <c r="N1781" s="200" t="s">
        <v>4593</v>
      </c>
      <c r="O1781" s="234">
        <v>5</v>
      </c>
      <c r="P1781" s="199">
        <f>TB_Parts_Lists[[#This Row],[Quantity Initial]]*TB_Parts_Lists[[#This Row],[Unit Price AED]]</f>
        <v>250</v>
      </c>
      <c r="Q1781" s="199">
        <f>TB_Parts_Lists[[#This Row],[Quantity Total]]*TB_Parts_Lists[[#This Row],[Unit Price AED]]</f>
        <v>0</v>
      </c>
      <c r="R1781" s="213"/>
      <c r="S1781" s="199" t="s">
        <v>118</v>
      </c>
      <c r="T1781" s="199" t="s">
        <v>8692</v>
      </c>
      <c r="U1781" s="199" t="s">
        <v>838</v>
      </c>
    </row>
    <row r="1782" spans="1:21" x14ac:dyDescent="0.25">
      <c r="A1782" s="194" t="s">
        <v>8611</v>
      </c>
      <c r="B1782" s="201" t="s">
        <v>3340</v>
      </c>
      <c r="C1782" s="213" t="s">
        <v>4603</v>
      </c>
      <c r="D1782" s="199" t="s">
        <v>8732</v>
      </c>
      <c r="E1782" s="213" t="s">
        <v>8405</v>
      </c>
      <c r="F1782" s="184" t="s">
        <v>8505</v>
      </c>
      <c r="G1782" s="213" t="s">
        <v>8526</v>
      </c>
      <c r="H1782" s="199" t="s">
        <v>72</v>
      </c>
      <c r="I1782" s="199">
        <v>1</v>
      </c>
      <c r="J1782" s="199">
        <v>1</v>
      </c>
      <c r="K1782" s="199">
        <v>1</v>
      </c>
      <c r="L1782" s="199">
        <v>50</v>
      </c>
      <c r="M1782" s="215">
        <v>0</v>
      </c>
      <c r="N1782" s="200" t="s">
        <v>4593</v>
      </c>
      <c r="O1782" s="234">
        <v>5</v>
      </c>
      <c r="P1782" s="199">
        <f>TB_Parts_Lists[[#This Row],[Quantity Initial]]*TB_Parts_Lists[[#This Row],[Unit Price AED]]</f>
        <v>250</v>
      </c>
      <c r="Q1782" s="199">
        <f>TB_Parts_Lists[[#This Row],[Quantity Total]]*TB_Parts_Lists[[#This Row],[Unit Price AED]]</f>
        <v>0</v>
      </c>
      <c r="R1782" s="213"/>
      <c r="S1782" s="199" t="s">
        <v>118</v>
      </c>
      <c r="T1782" s="199" t="s">
        <v>8692</v>
      </c>
      <c r="U1782" s="199" t="s">
        <v>838</v>
      </c>
    </row>
    <row r="1783" spans="1:21" x14ac:dyDescent="0.25">
      <c r="A1783" s="194" t="s">
        <v>8612</v>
      </c>
      <c r="B1783" s="201" t="s">
        <v>3340</v>
      </c>
      <c r="C1783" s="213" t="s">
        <v>4604</v>
      </c>
      <c r="D1783" s="199" t="s">
        <v>8732</v>
      </c>
      <c r="E1783" s="213" t="s">
        <v>8406</v>
      </c>
      <c r="F1783" s="184" t="s">
        <v>8506</v>
      </c>
      <c r="G1783" s="213" t="s">
        <v>8526</v>
      </c>
      <c r="H1783" s="199" t="s">
        <v>72</v>
      </c>
      <c r="I1783" s="199">
        <v>1</v>
      </c>
      <c r="J1783" s="199">
        <v>1</v>
      </c>
      <c r="K1783" s="199">
        <v>1</v>
      </c>
      <c r="L1783" s="199">
        <v>50</v>
      </c>
      <c r="M1783" s="215">
        <v>0</v>
      </c>
      <c r="N1783" s="200" t="s">
        <v>4593</v>
      </c>
      <c r="O1783" s="234">
        <v>5</v>
      </c>
      <c r="P1783" s="199">
        <f>TB_Parts_Lists[[#This Row],[Quantity Initial]]*TB_Parts_Lists[[#This Row],[Unit Price AED]]</f>
        <v>250</v>
      </c>
      <c r="Q1783" s="199">
        <f>TB_Parts_Lists[[#This Row],[Quantity Total]]*TB_Parts_Lists[[#This Row],[Unit Price AED]]</f>
        <v>0</v>
      </c>
      <c r="R1783" s="213"/>
      <c r="S1783" s="199" t="s">
        <v>118</v>
      </c>
      <c r="T1783" s="199" t="s">
        <v>8692</v>
      </c>
      <c r="U1783" s="199" t="s">
        <v>838</v>
      </c>
    </row>
    <row r="1784" spans="1:21" x14ac:dyDescent="0.25">
      <c r="A1784" s="194" t="s">
        <v>8613</v>
      </c>
      <c r="B1784" s="201" t="s">
        <v>3340</v>
      </c>
      <c r="C1784" s="213" t="s">
        <v>4603</v>
      </c>
      <c r="D1784" s="199" t="s">
        <v>8732</v>
      </c>
      <c r="E1784" s="213" t="s">
        <v>8407</v>
      </c>
      <c r="F1784" s="184" t="s">
        <v>8507</v>
      </c>
      <c r="G1784" s="213" t="s">
        <v>8526</v>
      </c>
      <c r="H1784" s="199" t="s">
        <v>72</v>
      </c>
      <c r="I1784" s="199">
        <v>1</v>
      </c>
      <c r="J1784" s="199">
        <v>1</v>
      </c>
      <c r="K1784" s="199">
        <v>1</v>
      </c>
      <c r="L1784" s="199">
        <v>50</v>
      </c>
      <c r="M1784" s="215">
        <v>0</v>
      </c>
      <c r="N1784" s="200" t="s">
        <v>4593</v>
      </c>
      <c r="O1784" s="234">
        <v>5</v>
      </c>
      <c r="P1784" s="199">
        <f>TB_Parts_Lists[[#This Row],[Quantity Initial]]*TB_Parts_Lists[[#This Row],[Unit Price AED]]</f>
        <v>250</v>
      </c>
      <c r="Q1784" s="199">
        <f>TB_Parts_Lists[[#This Row],[Quantity Total]]*TB_Parts_Lists[[#This Row],[Unit Price AED]]</f>
        <v>0</v>
      </c>
      <c r="R1784" s="213"/>
      <c r="S1784" s="199" t="s">
        <v>118</v>
      </c>
      <c r="T1784" s="199" t="s">
        <v>8692</v>
      </c>
      <c r="U1784" s="199" t="s">
        <v>838</v>
      </c>
    </row>
    <row r="1785" spans="1:21" x14ac:dyDescent="0.25">
      <c r="A1785" s="194" t="s">
        <v>8614</v>
      </c>
      <c r="B1785" s="201" t="s">
        <v>3340</v>
      </c>
      <c r="C1785" s="213" t="s">
        <v>6682</v>
      </c>
      <c r="D1785" s="199" t="s">
        <v>8732</v>
      </c>
      <c r="E1785" s="213" t="s">
        <v>8408</v>
      </c>
      <c r="F1785" s="184" t="s">
        <v>8508</v>
      </c>
      <c r="G1785" s="213" t="s">
        <v>8526</v>
      </c>
      <c r="H1785" s="199" t="s">
        <v>72</v>
      </c>
      <c r="I1785" s="199">
        <v>1</v>
      </c>
      <c r="J1785" s="199">
        <v>1</v>
      </c>
      <c r="K1785" s="199">
        <v>1</v>
      </c>
      <c r="L1785" s="199">
        <v>50</v>
      </c>
      <c r="M1785" s="215">
        <v>0</v>
      </c>
      <c r="N1785" s="200" t="s">
        <v>4593</v>
      </c>
      <c r="O1785" s="234">
        <v>5</v>
      </c>
      <c r="P1785" s="199">
        <f>TB_Parts_Lists[[#This Row],[Quantity Initial]]*TB_Parts_Lists[[#This Row],[Unit Price AED]]</f>
        <v>250</v>
      </c>
      <c r="Q1785" s="199">
        <f>TB_Parts_Lists[[#This Row],[Quantity Total]]*TB_Parts_Lists[[#This Row],[Unit Price AED]]</f>
        <v>0</v>
      </c>
      <c r="R1785" s="213"/>
      <c r="S1785" s="199" t="s">
        <v>118</v>
      </c>
      <c r="T1785" s="199" t="s">
        <v>8692</v>
      </c>
      <c r="U1785" s="199" t="s">
        <v>838</v>
      </c>
    </row>
    <row r="1786" spans="1:21" x14ac:dyDescent="0.25">
      <c r="A1786" s="194" t="s">
        <v>8615</v>
      </c>
      <c r="B1786" s="201" t="s">
        <v>3340</v>
      </c>
      <c r="C1786" s="213" t="s">
        <v>4603</v>
      </c>
      <c r="D1786" s="199" t="s">
        <v>8732</v>
      </c>
      <c r="E1786" s="213" t="s">
        <v>8409</v>
      </c>
      <c r="F1786" s="184" t="s">
        <v>8509</v>
      </c>
      <c r="G1786" s="213" t="s">
        <v>8526</v>
      </c>
      <c r="H1786" s="199" t="s">
        <v>72</v>
      </c>
      <c r="I1786" s="199">
        <v>1</v>
      </c>
      <c r="J1786" s="199">
        <v>1</v>
      </c>
      <c r="K1786" s="199">
        <v>1</v>
      </c>
      <c r="L1786" s="199">
        <v>50</v>
      </c>
      <c r="M1786" s="215">
        <v>0</v>
      </c>
      <c r="N1786" s="200" t="s">
        <v>4593</v>
      </c>
      <c r="O1786" s="234">
        <v>5</v>
      </c>
      <c r="P1786" s="199">
        <f>TB_Parts_Lists[[#This Row],[Quantity Initial]]*TB_Parts_Lists[[#This Row],[Unit Price AED]]</f>
        <v>250</v>
      </c>
      <c r="Q1786" s="199">
        <f>TB_Parts_Lists[[#This Row],[Quantity Total]]*TB_Parts_Lists[[#This Row],[Unit Price AED]]</f>
        <v>0</v>
      </c>
      <c r="R1786" s="213"/>
      <c r="S1786" s="199" t="s">
        <v>118</v>
      </c>
      <c r="T1786" s="199" t="s">
        <v>8692</v>
      </c>
      <c r="U1786" s="199" t="s">
        <v>838</v>
      </c>
    </row>
    <row r="1787" spans="1:21" x14ac:dyDescent="0.25">
      <c r="A1787" s="194" t="s">
        <v>8616</v>
      </c>
      <c r="B1787" s="201" t="s">
        <v>3340</v>
      </c>
      <c r="C1787" s="213" t="s">
        <v>4604</v>
      </c>
      <c r="D1787" s="199" t="s">
        <v>8732</v>
      </c>
      <c r="E1787" s="213" t="s">
        <v>8410</v>
      </c>
      <c r="F1787" s="184" t="s">
        <v>8510</v>
      </c>
      <c r="G1787" s="213" t="s">
        <v>8526</v>
      </c>
      <c r="H1787" s="199" t="s">
        <v>72</v>
      </c>
      <c r="I1787" s="199">
        <v>1</v>
      </c>
      <c r="J1787" s="199">
        <v>1</v>
      </c>
      <c r="K1787" s="199">
        <v>1</v>
      </c>
      <c r="L1787" s="199">
        <v>50</v>
      </c>
      <c r="M1787" s="215">
        <v>0</v>
      </c>
      <c r="N1787" s="200" t="s">
        <v>4593</v>
      </c>
      <c r="O1787" s="234">
        <v>5</v>
      </c>
      <c r="P1787" s="199">
        <f>TB_Parts_Lists[[#This Row],[Quantity Initial]]*TB_Parts_Lists[[#This Row],[Unit Price AED]]</f>
        <v>250</v>
      </c>
      <c r="Q1787" s="199">
        <f>TB_Parts_Lists[[#This Row],[Quantity Total]]*TB_Parts_Lists[[#This Row],[Unit Price AED]]</f>
        <v>0</v>
      </c>
      <c r="R1787" s="213"/>
      <c r="S1787" s="199" t="s">
        <v>118</v>
      </c>
      <c r="T1787" s="199" t="s">
        <v>8692</v>
      </c>
      <c r="U1787" s="199" t="s">
        <v>838</v>
      </c>
    </row>
    <row r="1788" spans="1:21" x14ac:dyDescent="0.25">
      <c r="A1788" s="194" t="s">
        <v>8617</v>
      </c>
      <c r="B1788" s="201" t="s">
        <v>3340</v>
      </c>
      <c r="C1788" s="213" t="s">
        <v>4603</v>
      </c>
      <c r="D1788" s="199" t="s">
        <v>8732</v>
      </c>
      <c r="E1788" s="213" t="s">
        <v>8411</v>
      </c>
      <c r="F1788" s="184" t="s">
        <v>8511</v>
      </c>
      <c r="G1788" s="213" t="s">
        <v>8526</v>
      </c>
      <c r="H1788" s="199" t="s">
        <v>72</v>
      </c>
      <c r="I1788" s="199">
        <v>1</v>
      </c>
      <c r="J1788" s="199">
        <v>1</v>
      </c>
      <c r="K1788" s="199">
        <v>1</v>
      </c>
      <c r="L1788" s="199">
        <v>50</v>
      </c>
      <c r="M1788" s="215">
        <v>0</v>
      </c>
      <c r="N1788" s="200" t="s">
        <v>4593</v>
      </c>
      <c r="O1788" s="234">
        <v>5</v>
      </c>
      <c r="P1788" s="199">
        <f>TB_Parts_Lists[[#This Row],[Quantity Initial]]*TB_Parts_Lists[[#This Row],[Unit Price AED]]</f>
        <v>250</v>
      </c>
      <c r="Q1788" s="199">
        <f>TB_Parts_Lists[[#This Row],[Quantity Total]]*TB_Parts_Lists[[#This Row],[Unit Price AED]]</f>
        <v>0</v>
      </c>
      <c r="R1788" s="213"/>
      <c r="S1788" s="199" t="s">
        <v>118</v>
      </c>
      <c r="T1788" s="199" t="s">
        <v>8692</v>
      </c>
      <c r="U1788" s="199" t="s">
        <v>838</v>
      </c>
    </row>
    <row r="1789" spans="1:21" x14ac:dyDescent="0.25">
      <c r="A1789" s="194" t="s">
        <v>8618</v>
      </c>
      <c r="B1789" s="219" t="s">
        <v>3330</v>
      </c>
      <c r="C1789" s="213" t="s">
        <v>3966</v>
      </c>
      <c r="D1789" s="199" t="s">
        <v>8724</v>
      </c>
      <c r="E1789" s="213" t="s">
        <v>8412</v>
      </c>
      <c r="F1789" s="184" t="s">
        <v>8512</v>
      </c>
      <c r="G1789" s="213" t="s">
        <v>8527</v>
      </c>
      <c r="H1789" s="199" t="s">
        <v>8638</v>
      </c>
      <c r="I1789" s="199">
        <v>1</v>
      </c>
      <c r="J1789" s="199">
        <v>1</v>
      </c>
      <c r="K1789" s="199">
        <v>1</v>
      </c>
      <c r="L1789" s="199">
        <v>50</v>
      </c>
      <c r="M1789" s="215">
        <v>0</v>
      </c>
      <c r="N1789" s="200" t="s">
        <v>4593</v>
      </c>
      <c r="O1789" s="234">
        <v>5</v>
      </c>
      <c r="P1789" s="199">
        <f>TB_Parts_Lists[[#This Row],[Quantity Initial]]*TB_Parts_Lists[[#This Row],[Unit Price AED]]</f>
        <v>250</v>
      </c>
      <c r="Q1789" s="199">
        <f>TB_Parts_Lists[[#This Row],[Quantity Total]]*TB_Parts_Lists[[#This Row],[Unit Price AED]]</f>
        <v>0</v>
      </c>
      <c r="R1789" s="213"/>
      <c r="S1789" s="199" t="s">
        <v>118</v>
      </c>
      <c r="T1789" s="199" t="s">
        <v>8692</v>
      </c>
      <c r="U1789" s="199" t="s">
        <v>838</v>
      </c>
    </row>
    <row r="1790" spans="1:21" x14ac:dyDescent="0.25">
      <c r="A1790" s="194" t="s">
        <v>8619</v>
      </c>
      <c r="B1790" s="219" t="s">
        <v>3333</v>
      </c>
      <c r="C1790" s="213" t="s">
        <v>3311</v>
      </c>
      <c r="D1790" s="199" t="s">
        <v>8724</v>
      </c>
      <c r="E1790" s="213" t="s">
        <v>8413</v>
      </c>
      <c r="F1790" s="184" t="s">
        <v>8513</v>
      </c>
      <c r="G1790" s="213" t="s">
        <v>8527</v>
      </c>
      <c r="H1790" s="199" t="s">
        <v>8638</v>
      </c>
      <c r="I1790" s="199">
        <v>1</v>
      </c>
      <c r="J1790" s="199">
        <v>1</v>
      </c>
      <c r="K1790" s="199">
        <v>1</v>
      </c>
      <c r="L1790" s="199">
        <v>50</v>
      </c>
      <c r="M1790" s="215">
        <v>0</v>
      </c>
      <c r="N1790" s="200" t="s">
        <v>4593</v>
      </c>
      <c r="O1790" s="234">
        <v>5</v>
      </c>
      <c r="P1790" s="199">
        <f>TB_Parts_Lists[[#This Row],[Quantity Initial]]*TB_Parts_Lists[[#This Row],[Unit Price AED]]</f>
        <v>250</v>
      </c>
      <c r="Q1790" s="199">
        <f>TB_Parts_Lists[[#This Row],[Quantity Total]]*TB_Parts_Lists[[#This Row],[Unit Price AED]]</f>
        <v>0</v>
      </c>
      <c r="R1790" s="213"/>
      <c r="S1790" s="199" t="s">
        <v>118</v>
      </c>
      <c r="T1790" s="199" t="s">
        <v>8692</v>
      </c>
      <c r="U1790" s="199" t="s">
        <v>838</v>
      </c>
    </row>
    <row r="1791" spans="1:21" x14ac:dyDescent="0.25">
      <c r="A1791" s="194" t="s">
        <v>8620</v>
      </c>
      <c r="B1791" s="219" t="s">
        <v>3333</v>
      </c>
      <c r="C1791" s="213" t="s">
        <v>3311</v>
      </c>
      <c r="D1791" s="199" t="s">
        <v>8724</v>
      </c>
      <c r="E1791" s="213" t="s">
        <v>8414</v>
      </c>
      <c r="F1791" s="184" t="s">
        <v>8514</v>
      </c>
      <c r="G1791" s="213" t="s">
        <v>8527</v>
      </c>
      <c r="H1791" s="199" t="s">
        <v>8638</v>
      </c>
      <c r="I1791" s="199">
        <v>1</v>
      </c>
      <c r="J1791" s="199">
        <v>1</v>
      </c>
      <c r="K1791" s="199">
        <v>1</v>
      </c>
      <c r="L1791" s="199">
        <v>50</v>
      </c>
      <c r="M1791" s="215">
        <v>0</v>
      </c>
      <c r="N1791" s="200" t="s">
        <v>4593</v>
      </c>
      <c r="O1791" s="234">
        <v>5</v>
      </c>
      <c r="P1791" s="199">
        <f>TB_Parts_Lists[[#This Row],[Quantity Initial]]*TB_Parts_Lists[[#This Row],[Unit Price AED]]</f>
        <v>250</v>
      </c>
      <c r="Q1791" s="199">
        <f>TB_Parts_Lists[[#This Row],[Quantity Total]]*TB_Parts_Lists[[#This Row],[Unit Price AED]]</f>
        <v>0</v>
      </c>
      <c r="R1791" s="213"/>
      <c r="S1791" s="199" t="s">
        <v>118</v>
      </c>
      <c r="T1791" s="199" t="s">
        <v>8692</v>
      </c>
      <c r="U1791" s="199" t="s">
        <v>838</v>
      </c>
    </row>
    <row r="1792" spans="1:21" x14ac:dyDescent="0.25">
      <c r="A1792" s="194" t="s">
        <v>8621</v>
      </c>
      <c r="B1792" s="219" t="s">
        <v>3330</v>
      </c>
      <c r="C1792" s="213" t="s">
        <v>3009</v>
      </c>
      <c r="D1792" s="199" t="s">
        <v>8723</v>
      </c>
      <c r="E1792" s="213" t="s">
        <v>8415</v>
      </c>
      <c r="F1792" s="184" t="s">
        <v>8515</v>
      </c>
      <c r="G1792" s="213" t="s">
        <v>8528</v>
      </c>
      <c r="H1792" s="199" t="s">
        <v>72</v>
      </c>
      <c r="I1792" s="199">
        <v>1</v>
      </c>
      <c r="J1792" s="199">
        <v>1</v>
      </c>
      <c r="K1792" s="199">
        <v>1</v>
      </c>
      <c r="L1792" s="199">
        <v>50</v>
      </c>
      <c r="M1792" s="215">
        <v>0</v>
      </c>
      <c r="N1792" s="200" t="s">
        <v>4593</v>
      </c>
      <c r="O1792" s="234">
        <v>5</v>
      </c>
      <c r="P1792" s="199">
        <f>TB_Parts_Lists[[#This Row],[Quantity Initial]]*TB_Parts_Lists[[#This Row],[Unit Price AED]]</f>
        <v>250</v>
      </c>
      <c r="Q1792" s="199">
        <f>TB_Parts_Lists[[#This Row],[Quantity Total]]*TB_Parts_Lists[[#This Row],[Unit Price AED]]</f>
        <v>0</v>
      </c>
      <c r="R1792" s="213"/>
      <c r="S1792" s="199" t="s">
        <v>8675</v>
      </c>
      <c r="T1792" s="199" t="s">
        <v>8675</v>
      </c>
      <c r="U1792" s="199" t="s">
        <v>8675</v>
      </c>
    </row>
    <row r="1793" spans="1:21" x14ac:dyDescent="0.25">
      <c r="A1793" s="194" t="s">
        <v>8622</v>
      </c>
      <c r="B1793" s="219" t="s">
        <v>3330</v>
      </c>
      <c r="C1793" s="213" t="s">
        <v>3009</v>
      </c>
      <c r="D1793" s="199" t="s">
        <v>8723</v>
      </c>
      <c r="E1793" s="213" t="s">
        <v>8416</v>
      </c>
      <c r="F1793" s="184" t="s">
        <v>8516</v>
      </c>
      <c r="G1793" s="213" t="s">
        <v>8528</v>
      </c>
      <c r="H1793" s="199" t="s">
        <v>72</v>
      </c>
      <c r="I1793" s="199">
        <v>1</v>
      </c>
      <c r="J1793" s="199">
        <v>1</v>
      </c>
      <c r="K1793" s="199">
        <v>1</v>
      </c>
      <c r="L1793" s="199">
        <v>50</v>
      </c>
      <c r="M1793" s="215">
        <v>0</v>
      </c>
      <c r="N1793" s="200" t="s">
        <v>4593</v>
      </c>
      <c r="O1793" s="234">
        <v>5</v>
      </c>
      <c r="P1793" s="199">
        <f>TB_Parts_Lists[[#This Row],[Quantity Initial]]*TB_Parts_Lists[[#This Row],[Unit Price AED]]</f>
        <v>250</v>
      </c>
      <c r="Q1793" s="199">
        <f>TB_Parts_Lists[[#This Row],[Quantity Total]]*TB_Parts_Lists[[#This Row],[Unit Price AED]]</f>
        <v>0</v>
      </c>
      <c r="R1793" s="213"/>
      <c r="S1793" s="199" t="s">
        <v>8675</v>
      </c>
      <c r="T1793" s="199" t="s">
        <v>8675</v>
      </c>
      <c r="U1793" s="199" t="s">
        <v>8675</v>
      </c>
    </row>
    <row r="1794" spans="1:21" x14ac:dyDescent="0.25">
      <c r="A1794" s="194" t="s">
        <v>8623</v>
      </c>
      <c r="B1794" s="219" t="s">
        <v>3330</v>
      </c>
      <c r="C1794" s="213" t="s">
        <v>3009</v>
      </c>
      <c r="D1794" s="199" t="s">
        <v>8723</v>
      </c>
      <c r="E1794" s="213" t="s">
        <v>8417</v>
      </c>
      <c r="F1794" s="184" t="s">
        <v>8517</v>
      </c>
      <c r="G1794" s="213" t="s">
        <v>8528</v>
      </c>
      <c r="H1794" s="199" t="s">
        <v>72</v>
      </c>
      <c r="I1794" s="199">
        <v>1</v>
      </c>
      <c r="J1794" s="199">
        <v>1</v>
      </c>
      <c r="K1794" s="199">
        <v>1</v>
      </c>
      <c r="L1794" s="199">
        <v>50</v>
      </c>
      <c r="M1794" s="215">
        <v>0</v>
      </c>
      <c r="N1794" s="200" t="s">
        <v>4593</v>
      </c>
      <c r="O1794" s="234">
        <v>5</v>
      </c>
      <c r="P1794" s="199">
        <f>TB_Parts_Lists[[#This Row],[Quantity Initial]]*TB_Parts_Lists[[#This Row],[Unit Price AED]]</f>
        <v>250</v>
      </c>
      <c r="Q1794" s="199">
        <f>TB_Parts_Lists[[#This Row],[Quantity Total]]*TB_Parts_Lists[[#This Row],[Unit Price AED]]</f>
        <v>0</v>
      </c>
      <c r="R1794" s="213"/>
      <c r="S1794" s="199" t="s">
        <v>8675</v>
      </c>
      <c r="T1794" s="199" t="s">
        <v>8675</v>
      </c>
      <c r="U1794" s="199" t="s">
        <v>8675</v>
      </c>
    </row>
    <row r="1795" spans="1:21" x14ac:dyDescent="0.25">
      <c r="A1795" s="194" t="s">
        <v>8624</v>
      </c>
      <c r="B1795" s="219" t="s">
        <v>3330</v>
      </c>
      <c r="C1795" s="213" t="s">
        <v>3009</v>
      </c>
      <c r="D1795" s="199" t="s">
        <v>8723</v>
      </c>
      <c r="E1795" s="213" t="s">
        <v>8418</v>
      </c>
      <c r="F1795" s="184" t="s">
        <v>8518</v>
      </c>
      <c r="G1795" s="213" t="s">
        <v>8528</v>
      </c>
      <c r="H1795" s="199" t="s">
        <v>72</v>
      </c>
      <c r="I1795" s="199">
        <v>1</v>
      </c>
      <c r="J1795" s="199">
        <v>1</v>
      </c>
      <c r="K1795" s="199">
        <v>1</v>
      </c>
      <c r="L1795" s="199">
        <v>50</v>
      </c>
      <c r="M1795" s="215">
        <v>0</v>
      </c>
      <c r="N1795" s="200" t="s">
        <v>4593</v>
      </c>
      <c r="O1795" s="234">
        <v>5</v>
      </c>
      <c r="P1795" s="199">
        <f>TB_Parts_Lists[[#This Row],[Quantity Initial]]*TB_Parts_Lists[[#This Row],[Unit Price AED]]</f>
        <v>250</v>
      </c>
      <c r="Q1795" s="199">
        <f>TB_Parts_Lists[[#This Row],[Quantity Total]]*TB_Parts_Lists[[#This Row],[Unit Price AED]]</f>
        <v>0</v>
      </c>
      <c r="R1795" s="213"/>
      <c r="S1795" s="199" t="s">
        <v>8675</v>
      </c>
      <c r="T1795" s="199" t="s">
        <v>8675</v>
      </c>
      <c r="U1795" s="199" t="s">
        <v>8675</v>
      </c>
    </row>
    <row r="1796" spans="1:21" x14ac:dyDescent="0.25">
      <c r="A1796" s="194" t="s">
        <v>8625</v>
      </c>
      <c r="B1796" s="219" t="s">
        <v>3330</v>
      </c>
      <c r="C1796" s="213" t="s">
        <v>3009</v>
      </c>
      <c r="D1796" s="199" t="s">
        <v>8723</v>
      </c>
      <c r="E1796" s="213" t="s">
        <v>8419</v>
      </c>
      <c r="F1796" s="184" t="s">
        <v>8519</v>
      </c>
      <c r="G1796" s="213" t="s">
        <v>8528</v>
      </c>
      <c r="H1796" s="199" t="s">
        <v>72</v>
      </c>
      <c r="I1796" s="199">
        <v>1</v>
      </c>
      <c r="J1796" s="199">
        <v>1</v>
      </c>
      <c r="K1796" s="199">
        <v>1</v>
      </c>
      <c r="L1796" s="199">
        <v>50</v>
      </c>
      <c r="M1796" s="215">
        <v>0</v>
      </c>
      <c r="N1796" s="200" t="s">
        <v>4593</v>
      </c>
      <c r="O1796" s="234">
        <v>5</v>
      </c>
      <c r="P1796" s="199">
        <f>TB_Parts_Lists[[#This Row],[Quantity Initial]]*TB_Parts_Lists[[#This Row],[Unit Price AED]]</f>
        <v>250</v>
      </c>
      <c r="Q1796" s="199">
        <f>TB_Parts_Lists[[#This Row],[Quantity Total]]*TB_Parts_Lists[[#This Row],[Unit Price AED]]</f>
        <v>0</v>
      </c>
      <c r="R1796" s="213"/>
      <c r="S1796" s="199" t="s">
        <v>8675</v>
      </c>
      <c r="T1796" s="199" t="s">
        <v>8675</v>
      </c>
      <c r="U1796" s="199" t="s">
        <v>8675</v>
      </c>
    </row>
    <row r="1797" spans="1:21" x14ac:dyDescent="0.25">
      <c r="A1797" s="194" t="s">
        <v>8626</v>
      </c>
      <c r="B1797" s="219" t="s">
        <v>3330</v>
      </c>
      <c r="C1797" s="213" t="s">
        <v>3009</v>
      </c>
      <c r="D1797" s="199" t="s">
        <v>8723</v>
      </c>
      <c r="E1797" s="213" t="s">
        <v>8420</v>
      </c>
      <c r="F1797" s="184" t="s">
        <v>8520</v>
      </c>
      <c r="G1797" s="213" t="s">
        <v>8528</v>
      </c>
      <c r="H1797" s="199" t="s">
        <v>72</v>
      </c>
      <c r="I1797" s="199">
        <v>1</v>
      </c>
      <c r="J1797" s="199">
        <v>1</v>
      </c>
      <c r="K1797" s="199">
        <v>1</v>
      </c>
      <c r="L1797" s="199">
        <v>50</v>
      </c>
      <c r="M1797" s="215">
        <v>0</v>
      </c>
      <c r="N1797" s="200" t="s">
        <v>4593</v>
      </c>
      <c r="O1797" s="234">
        <v>5</v>
      </c>
      <c r="P1797" s="199">
        <f>TB_Parts_Lists[[#This Row],[Quantity Initial]]*TB_Parts_Lists[[#This Row],[Unit Price AED]]</f>
        <v>250</v>
      </c>
      <c r="Q1797" s="199">
        <f>TB_Parts_Lists[[#This Row],[Quantity Total]]*TB_Parts_Lists[[#This Row],[Unit Price AED]]</f>
        <v>0</v>
      </c>
      <c r="R1797" s="213"/>
      <c r="S1797" s="199" t="s">
        <v>8675</v>
      </c>
      <c r="T1797" s="199" t="s">
        <v>8675</v>
      </c>
      <c r="U1797" s="199" t="s">
        <v>8675</v>
      </c>
    </row>
    <row r="1798" spans="1:21" x14ac:dyDescent="0.25">
      <c r="A1798" s="194" t="s">
        <v>8627</v>
      </c>
      <c r="B1798" s="219" t="s">
        <v>3330</v>
      </c>
      <c r="C1798" s="213" t="s">
        <v>3009</v>
      </c>
      <c r="D1798" s="199" t="s">
        <v>8723</v>
      </c>
      <c r="E1798" s="213" t="s">
        <v>8421</v>
      </c>
      <c r="F1798" s="184" t="s">
        <v>8521</v>
      </c>
      <c r="G1798" s="213" t="s">
        <v>8528</v>
      </c>
      <c r="H1798" s="199" t="s">
        <v>72</v>
      </c>
      <c r="I1798" s="199">
        <v>1</v>
      </c>
      <c r="J1798" s="199">
        <v>1</v>
      </c>
      <c r="K1798" s="199">
        <v>1</v>
      </c>
      <c r="L1798" s="199">
        <v>50</v>
      </c>
      <c r="M1798" s="215">
        <v>0</v>
      </c>
      <c r="N1798" s="200" t="s">
        <v>4593</v>
      </c>
      <c r="O1798" s="234">
        <v>5</v>
      </c>
      <c r="P1798" s="199">
        <f>TB_Parts_Lists[[#This Row],[Quantity Initial]]*TB_Parts_Lists[[#This Row],[Unit Price AED]]</f>
        <v>250</v>
      </c>
      <c r="Q1798" s="199">
        <f>TB_Parts_Lists[[#This Row],[Quantity Total]]*TB_Parts_Lists[[#This Row],[Unit Price AED]]</f>
        <v>0</v>
      </c>
      <c r="R1798" s="213"/>
      <c r="S1798" s="199" t="s">
        <v>8675</v>
      </c>
      <c r="T1798" s="199" t="s">
        <v>8675</v>
      </c>
      <c r="U1798" s="199" t="s">
        <v>8675</v>
      </c>
    </row>
    <row r="1799" spans="1:21" x14ac:dyDescent="0.25">
      <c r="A1799" s="194" t="s">
        <v>8628</v>
      </c>
      <c r="B1799" s="219" t="s">
        <v>3330</v>
      </c>
      <c r="C1799" s="213" t="s">
        <v>3009</v>
      </c>
      <c r="D1799" s="199" t="s">
        <v>8723</v>
      </c>
      <c r="E1799" s="213" t="s">
        <v>8422</v>
      </c>
      <c r="F1799" s="184" t="s">
        <v>8522</v>
      </c>
      <c r="G1799" s="213" t="s">
        <v>8528</v>
      </c>
      <c r="H1799" s="199" t="s">
        <v>72</v>
      </c>
      <c r="I1799" s="199">
        <v>1</v>
      </c>
      <c r="J1799" s="199">
        <v>1</v>
      </c>
      <c r="K1799" s="199">
        <v>1</v>
      </c>
      <c r="L1799" s="199">
        <v>50</v>
      </c>
      <c r="M1799" s="215">
        <v>0</v>
      </c>
      <c r="N1799" s="200" t="s">
        <v>4593</v>
      </c>
      <c r="O1799" s="234">
        <v>5</v>
      </c>
      <c r="P1799" s="199">
        <f>TB_Parts_Lists[[#This Row],[Quantity Initial]]*TB_Parts_Lists[[#This Row],[Unit Price AED]]</f>
        <v>250</v>
      </c>
      <c r="Q1799" s="199">
        <f>TB_Parts_Lists[[#This Row],[Quantity Total]]*TB_Parts_Lists[[#This Row],[Unit Price AED]]</f>
        <v>0</v>
      </c>
      <c r="R1799" s="213"/>
      <c r="S1799" s="199" t="s">
        <v>8675</v>
      </c>
      <c r="T1799" s="199" t="s">
        <v>8675</v>
      </c>
      <c r="U1799" s="199" t="s">
        <v>8675</v>
      </c>
    </row>
    <row r="1800" spans="1:21" x14ac:dyDescent="0.25">
      <c r="A1800" s="194" t="s">
        <v>8629</v>
      </c>
      <c r="B1800" s="219" t="s">
        <v>3330</v>
      </c>
      <c r="C1800" s="213" t="s">
        <v>3009</v>
      </c>
      <c r="D1800" s="199" t="s">
        <v>8723</v>
      </c>
      <c r="E1800" s="213" t="s">
        <v>8423</v>
      </c>
      <c r="F1800" s="184" t="s">
        <v>8523</v>
      </c>
      <c r="G1800" s="213" t="s">
        <v>8528</v>
      </c>
      <c r="H1800" s="199" t="s">
        <v>72</v>
      </c>
      <c r="I1800" s="199">
        <v>1</v>
      </c>
      <c r="J1800" s="199">
        <v>1</v>
      </c>
      <c r="K1800" s="199">
        <v>1</v>
      </c>
      <c r="L1800" s="199">
        <v>50</v>
      </c>
      <c r="M1800" s="215">
        <v>0</v>
      </c>
      <c r="N1800" s="200" t="s">
        <v>4593</v>
      </c>
      <c r="O1800" s="234">
        <v>5</v>
      </c>
      <c r="P1800" s="199">
        <f>TB_Parts_Lists[[#This Row],[Quantity Initial]]*TB_Parts_Lists[[#This Row],[Unit Price AED]]</f>
        <v>250</v>
      </c>
      <c r="Q1800" s="199">
        <f>TB_Parts_Lists[[#This Row],[Quantity Total]]*TB_Parts_Lists[[#This Row],[Unit Price AED]]</f>
        <v>0</v>
      </c>
      <c r="R1800" s="213"/>
      <c r="S1800" s="199" t="s">
        <v>8675</v>
      </c>
      <c r="T1800" s="199" t="s">
        <v>8675</v>
      </c>
      <c r="U1800" s="199" t="s">
        <v>8675</v>
      </c>
    </row>
    <row r="1801" spans="1:21" x14ac:dyDescent="0.25">
      <c r="A1801" s="194" t="s">
        <v>8630</v>
      </c>
      <c r="B1801" s="219" t="s">
        <v>3330</v>
      </c>
      <c r="C1801" s="213" t="s">
        <v>3009</v>
      </c>
      <c r="D1801" s="199" t="s">
        <v>8723</v>
      </c>
      <c r="E1801" s="213" t="s">
        <v>8424</v>
      </c>
      <c r="F1801" s="184" t="s">
        <v>8524</v>
      </c>
      <c r="G1801" s="213" t="s">
        <v>8528</v>
      </c>
      <c r="H1801" s="199" t="s">
        <v>72</v>
      </c>
      <c r="I1801" s="199">
        <v>1</v>
      </c>
      <c r="J1801" s="199">
        <v>1</v>
      </c>
      <c r="K1801" s="199">
        <v>1</v>
      </c>
      <c r="L1801" s="199">
        <v>50</v>
      </c>
      <c r="M1801" s="215">
        <v>0</v>
      </c>
      <c r="N1801" s="200" t="s">
        <v>4593</v>
      </c>
      <c r="O1801" s="234">
        <v>5</v>
      </c>
      <c r="P1801" s="199">
        <f>TB_Parts_Lists[[#This Row],[Quantity Initial]]*TB_Parts_Lists[[#This Row],[Unit Price AED]]</f>
        <v>250</v>
      </c>
      <c r="Q1801" s="199">
        <f>TB_Parts_Lists[[#This Row],[Quantity Total]]*TB_Parts_Lists[[#This Row],[Unit Price AED]]</f>
        <v>0</v>
      </c>
      <c r="R1801" s="213"/>
      <c r="S1801" s="199" t="s">
        <v>8675</v>
      </c>
      <c r="T1801" s="199" t="s">
        <v>8675</v>
      </c>
      <c r="U1801" s="199" t="s">
        <v>8675</v>
      </c>
    </row>
    <row r="1802" spans="1:21" x14ac:dyDescent="0.25">
      <c r="A1802" s="194" t="s">
        <v>8631</v>
      </c>
      <c r="B1802" s="219" t="s">
        <v>3330</v>
      </c>
      <c r="C1802" s="213" t="s">
        <v>3009</v>
      </c>
      <c r="D1802" s="199" t="s">
        <v>8723</v>
      </c>
      <c r="E1802" s="213" t="s">
        <v>8425</v>
      </c>
      <c r="F1802" s="184" t="s">
        <v>8632</v>
      </c>
      <c r="G1802" s="213" t="s">
        <v>8528</v>
      </c>
      <c r="H1802" s="199" t="s">
        <v>72</v>
      </c>
      <c r="I1802" s="199">
        <v>1</v>
      </c>
      <c r="J1802" s="199">
        <v>1</v>
      </c>
      <c r="K1802" s="199">
        <v>1</v>
      </c>
      <c r="L1802" s="199">
        <v>50</v>
      </c>
      <c r="M1802" s="215">
        <v>0</v>
      </c>
      <c r="N1802" s="200" t="s">
        <v>4593</v>
      </c>
      <c r="O1802" s="234">
        <v>5</v>
      </c>
      <c r="P1802" s="199">
        <f>TB_Parts_Lists[[#This Row],[Quantity Initial]]*TB_Parts_Lists[[#This Row],[Unit Price AED]]</f>
        <v>250</v>
      </c>
      <c r="Q1802" s="199">
        <f>TB_Parts_Lists[[#This Row],[Quantity Total]]*TB_Parts_Lists[[#This Row],[Unit Price AED]]</f>
        <v>0</v>
      </c>
      <c r="R1802" s="213"/>
      <c r="S1802" s="199">
        <v>0</v>
      </c>
      <c r="T1802" s="199">
        <v>0</v>
      </c>
      <c r="U1802" s="199">
        <v>0</v>
      </c>
    </row>
    <row r="1803" spans="1:21" x14ac:dyDescent="0.25">
      <c r="A1803" s="195" t="s">
        <v>8730</v>
      </c>
      <c r="B1803" s="220" t="s">
        <v>3330</v>
      </c>
      <c r="C1803" s="216" t="s">
        <v>5051</v>
      </c>
      <c r="D1803" s="216" t="s">
        <v>8724</v>
      </c>
      <c r="E1803" s="216" t="s">
        <v>8726</v>
      </c>
      <c r="F1803" s="217" t="s">
        <v>8727</v>
      </c>
      <c r="G1803" s="216" t="s">
        <v>8272</v>
      </c>
      <c r="H1803" s="220" t="s">
        <v>186</v>
      </c>
      <c r="I1803" s="199">
        <v>1</v>
      </c>
      <c r="J1803" s="199">
        <v>1</v>
      </c>
      <c r="K1803" s="199">
        <v>1</v>
      </c>
      <c r="L1803" s="199">
        <v>50</v>
      </c>
      <c r="M1803" s="218">
        <f>TB_Parts_Lists[[#This Row],[Quantity Initial]]+ SUMIF(TB_Transactions[Part number],TB_Parts_Lists[[#This Row],[Part Number]],TB_Transactions[Quantity])</f>
        <v>50</v>
      </c>
      <c r="N1803" s="217" t="s">
        <v>4593</v>
      </c>
      <c r="O1803" s="234">
        <v>5</v>
      </c>
      <c r="P1803" s="199">
        <f>TB_Parts_Lists[[#This Row],[Quantity Initial]]*TB_Parts_Lists[[#This Row],[Unit Price AED]]</f>
        <v>250</v>
      </c>
      <c r="Q1803" s="199">
        <f>TB_Parts_Lists[[#This Row],[Quantity Total]]*TB_Parts_Lists[[#This Row],[Unit Price AED]]</f>
        <v>250</v>
      </c>
      <c r="R1803" s="216"/>
      <c r="S1803" s="218"/>
      <c r="T1803" s="218"/>
      <c r="U1803" s="218"/>
    </row>
    <row r="1804" spans="1:21" x14ac:dyDescent="0.25">
      <c r="A1804" s="195" t="s">
        <v>8731</v>
      </c>
      <c r="B1804" s="220" t="s">
        <v>3329</v>
      </c>
      <c r="C1804" s="216" t="s">
        <v>6915</v>
      </c>
      <c r="D1804" s="216" t="s">
        <v>8732</v>
      </c>
      <c r="E1804" s="216" t="s">
        <v>8728</v>
      </c>
      <c r="F1804" s="217" t="s">
        <v>8729</v>
      </c>
      <c r="G1804" s="216" t="s">
        <v>8258</v>
      </c>
      <c r="H1804" s="220" t="s">
        <v>72</v>
      </c>
      <c r="I1804" s="199">
        <v>1</v>
      </c>
      <c r="J1804" s="199">
        <v>1</v>
      </c>
      <c r="K1804" s="199">
        <v>1</v>
      </c>
      <c r="L1804" s="199">
        <v>50</v>
      </c>
      <c r="M1804" s="218">
        <f>TB_Parts_Lists[[#This Row],[Quantity Initial]]+ SUMIF(TB_Transactions[Part number],TB_Parts_Lists[[#This Row],[Part Number]],TB_Transactions[Quantity])</f>
        <v>50</v>
      </c>
      <c r="N1804" s="217" t="s">
        <v>4593</v>
      </c>
      <c r="O1804" s="234">
        <v>5</v>
      </c>
      <c r="P1804" s="199">
        <f>TB_Parts_Lists[[#This Row],[Quantity Initial]]*TB_Parts_Lists[[#This Row],[Unit Price AED]]</f>
        <v>250</v>
      </c>
      <c r="Q1804" s="199">
        <f>TB_Parts_Lists[[#This Row],[Quantity Total]]*TB_Parts_Lists[[#This Row],[Unit Price AED]]</f>
        <v>250</v>
      </c>
      <c r="R1804" s="216"/>
      <c r="S1804" s="218"/>
      <c r="T1804" s="218"/>
      <c r="U1804" s="218"/>
    </row>
    <row r="1805" spans="1:21" x14ac:dyDescent="0.25">
      <c r="A1805" s="195" t="s">
        <v>8735</v>
      </c>
      <c r="B1805" s="220" t="s">
        <v>3329</v>
      </c>
      <c r="C1805" s="216" t="s">
        <v>3347</v>
      </c>
      <c r="D1805" s="216" t="s">
        <v>8732</v>
      </c>
      <c r="E1805" s="216" t="s">
        <v>8733</v>
      </c>
      <c r="F1805" s="217" t="s">
        <v>8734</v>
      </c>
      <c r="G1805" s="216" t="s">
        <v>8258</v>
      </c>
      <c r="H1805" s="220" t="s">
        <v>72</v>
      </c>
      <c r="I1805" s="199">
        <v>1</v>
      </c>
      <c r="J1805" s="199">
        <v>1</v>
      </c>
      <c r="K1805" s="199">
        <v>1</v>
      </c>
      <c r="L1805" s="199">
        <v>50</v>
      </c>
      <c r="M1805" s="218">
        <f>TB_Parts_Lists[[#This Row],[Quantity Initial]]+ SUMIF(TB_Transactions[Part number],TB_Parts_Lists[[#This Row],[Part Number]],TB_Transactions[Quantity])</f>
        <v>50</v>
      </c>
      <c r="N1805" s="217" t="s">
        <v>4593</v>
      </c>
      <c r="O1805" s="234">
        <v>5</v>
      </c>
      <c r="P1805" s="199">
        <f>TB_Parts_Lists[[#This Row],[Quantity Initial]]*TB_Parts_Lists[[#This Row],[Unit Price AED]]</f>
        <v>250</v>
      </c>
      <c r="Q1805" s="199">
        <f>TB_Parts_Lists[[#This Row],[Quantity Total]]*TB_Parts_Lists[[#This Row],[Unit Price AED]]</f>
        <v>250</v>
      </c>
      <c r="R1805" s="216"/>
      <c r="S1805" s="218"/>
      <c r="T1805" s="218"/>
      <c r="U1805" s="218"/>
    </row>
    <row r="1806" spans="1:21" x14ac:dyDescent="0.25">
      <c r="A1806" s="195" t="s">
        <v>8738</v>
      </c>
      <c r="B1806" s="220" t="s">
        <v>3329</v>
      </c>
      <c r="C1806" s="216" t="s">
        <v>3347</v>
      </c>
      <c r="D1806" s="216" t="s">
        <v>8732</v>
      </c>
      <c r="E1806" s="216" t="s">
        <v>8736</v>
      </c>
      <c r="F1806" s="217" t="s">
        <v>8737</v>
      </c>
      <c r="G1806" s="216" t="s">
        <v>8258</v>
      </c>
      <c r="H1806" s="220" t="s">
        <v>72</v>
      </c>
      <c r="I1806" s="199">
        <v>1</v>
      </c>
      <c r="J1806" s="199">
        <v>1</v>
      </c>
      <c r="K1806" s="199">
        <v>1</v>
      </c>
      <c r="L1806" s="199">
        <v>50</v>
      </c>
      <c r="M1806" s="218">
        <f>TB_Parts_Lists[[#This Row],[Quantity Initial]]+ SUMIF(TB_Transactions[Part number],TB_Parts_Lists[[#This Row],[Part Number]],TB_Transactions[Quantity])</f>
        <v>50</v>
      </c>
      <c r="N1806" s="217" t="s">
        <v>4593</v>
      </c>
      <c r="O1806" s="234">
        <v>5</v>
      </c>
      <c r="P1806" s="199">
        <f>TB_Parts_Lists[[#This Row],[Quantity Initial]]*TB_Parts_Lists[[#This Row],[Unit Price AED]]</f>
        <v>250</v>
      </c>
      <c r="Q1806" s="199">
        <f>TB_Parts_Lists[[#This Row],[Quantity Total]]*TB_Parts_Lists[[#This Row],[Unit Price AED]]</f>
        <v>250</v>
      </c>
      <c r="R1806" s="216"/>
      <c r="S1806" s="218"/>
      <c r="T1806" s="218"/>
      <c r="U1806" s="218"/>
    </row>
    <row r="1807" spans="1:21" x14ac:dyDescent="0.25">
      <c r="A1807" s="195" t="s">
        <v>8742</v>
      </c>
      <c r="B1807" s="220" t="s">
        <v>3329</v>
      </c>
      <c r="C1807" s="216" t="s">
        <v>8741</v>
      </c>
      <c r="D1807" s="216" t="s">
        <v>8732</v>
      </c>
      <c r="E1807" s="216" t="s">
        <v>8740</v>
      </c>
      <c r="F1807" s="217" t="s">
        <v>8739</v>
      </c>
      <c r="G1807" s="216" t="s">
        <v>8258</v>
      </c>
      <c r="H1807" s="220" t="s">
        <v>72</v>
      </c>
      <c r="I1807" s="199">
        <v>1</v>
      </c>
      <c r="J1807" s="199">
        <v>1</v>
      </c>
      <c r="K1807" s="199">
        <v>1</v>
      </c>
      <c r="L1807" s="199">
        <v>50</v>
      </c>
      <c r="M1807" s="218">
        <f>TB_Parts_Lists[[#This Row],[Quantity Initial]]+ SUMIF(TB_Transactions[Part number],TB_Parts_Lists[[#This Row],[Part Number]],TB_Transactions[Quantity])</f>
        <v>50</v>
      </c>
      <c r="N1807" s="217" t="s">
        <v>4593</v>
      </c>
      <c r="O1807" s="234">
        <v>5</v>
      </c>
      <c r="P1807" s="199">
        <f>TB_Parts_Lists[[#This Row],[Quantity Initial]]*TB_Parts_Lists[[#This Row],[Unit Price AED]]</f>
        <v>250</v>
      </c>
      <c r="Q1807" s="199">
        <f>TB_Parts_Lists[[#This Row],[Quantity Total]]*TB_Parts_Lists[[#This Row],[Unit Price AED]]</f>
        <v>250</v>
      </c>
      <c r="R1807" s="216"/>
      <c r="S1807" s="218"/>
      <c r="T1807" s="218"/>
      <c r="U1807" s="218"/>
    </row>
    <row r="1808" spans="1:21" x14ac:dyDescent="0.25">
      <c r="A1808" s="195" t="s">
        <v>8745</v>
      </c>
      <c r="B1808" s="220" t="s">
        <v>3338</v>
      </c>
      <c r="C1808" s="216" t="s">
        <v>651</v>
      </c>
      <c r="D1808" s="216" t="s">
        <v>8724</v>
      </c>
      <c r="E1808" s="216" t="s">
        <v>8743</v>
      </c>
      <c r="F1808" s="217" t="s">
        <v>8744</v>
      </c>
      <c r="G1808" s="216" t="s">
        <v>8301</v>
      </c>
      <c r="H1808" s="220" t="s">
        <v>8659</v>
      </c>
      <c r="I1808" s="199">
        <v>1</v>
      </c>
      <c r="J1808" s="199">
        <v>1</v>
      </c>
      <c r="K1808" s="199">
        <v>1</v>
      </c>
      <c r="L1808" s="199">
        <v>50</v>
      </c>
      <c r="M1808" s="218">
        <f>TB_Parts_Lists[[#This Row],[Quantity Initial]]+ SUMIF(TB_Transactions[Part number],TB_Parts_Lists[[#This Row],[Part Number]],TB_Transactions[Quantity])</f>
        <v>50</v>
      </c>
      <c r="N1808" s="217" t="s">
        <v>4593</v>
      </c>
      <c r="O1808" s="234">
        <v>5</v>
      </c>
      <c r="P1808" s="199">
        <f>TB_Parts_Lists[[#This Row],[Quantity Initial]]*TB_Parts_Lists[[#This Row],[Unit Price AED]]</f>
        <v>250</v>
      </c>
      <c r="Q1808" s="199">
        <f>TB_Parts_Lists[[#This Row],[Quantity Total]]*TB_Parts_Lists[[#This Row],[Unit Price AED]]</f>
        <v>250</v>
      </c>
      <c r="R1808" s="216"/>
      <c r="S1808" s="218"/>
      <c r="T1808" s="218"/>
      <c r="U1808" s="218"/>
    </row>
    <row r="1809" spans="1:21" x14ac:dyDescent="0.25">
      <c r="A1809" s="195" t="s">
        <v>8750</v>
      </c>
      <c r="B1809" s="220" t="s">
        <v>3329</v>
      </c>
      <c r="C1809" s="216" t="s">
        <v>5277</v>
      </c>
      <c r="D1809" s="216" t="s">
        <v>8724</v>
      </c>
      <c r="E1809" s="216" t="s">
        <v>8749</v>
      </c>
      <c r="F1809" s="217" t="s">
        <v>8748</v>
      </c>
      <c r="G1809" s="216" t="s">
        <v>8309</v>
      </c>
      <c r="H1809" s="220" t="s">
        <v>72</v>
      </c>
      <c r="I1809" s="199">
        <v>1</v>
      </c>
      <c r="J1809" s="199">
        <v>1</v>
      </c>
      <c r="K1809" s="199">
        <v>1</v>
      </c>
      <c r="L1809" s="199">
        <v>50</v>
      </c>
      <c r="M1809" s="218">
        <f>TB_Parts_Lists[[#This Row],[Quantity Initial]]+ SUMIF(TB_Transactions[Part number],TB_Parts_Lists[[#This Row],[Part Number]],TB_Transactions[Quantity])</f>
        <v>50</v>
      </c>
      <c r="N1809" s="217" t="s">
        <v>4593</v>
      </c>
      <c r="O1809" s="234">
        <v>5</v>
      </c>
      <c r="P1809" s="199">
        <f>TB_Parts_Lists[[#This Row],[Quantity Initial]]*TB_Parts_Lists[[#This Row],[Unit Price AED]]</f>
        <v>250</v>
      </c>
      <c r="Q1809" s="199">
        <f>TB_Parts_Lists[[#This Row],[Quantity Total]]*TB_Parts_Lists[[#This Row],[Unit Price AED]]</f>
        <v>250</v>
      </c>
      <c r="R1809" s="216"/>
      <c r="S1809" s="218"/>
      <c r="T1809" s="218"/>
      <c r="U1809" s="218"/>
    </row>
    <row r="1810" spans="1:21" x14ac:dyDescent="0.25">
      <c r="A1810" s="195" t="s">
        <v>8752</v>
      </c>
      <c r="B1810" s="220" t="s">
        <v>3329</v>
      </c>
      <c r="C1810" s="216" t="s">
        <v>5277</v>
      </c>
      <c r="D1810" s="216" t="s">
        <v>8724</v>
      </c>
      <c r="E1810" s="216" t="s">
        <v>8749</v>
      </c>
      <c r="F1810" s="217" t="s">
        <v>8751</v>
      </c>
      <c r="G1810" s="216" t="s">
        <v>8309</v>
      </c>
      <c r="H1810" s="220" t="s">
        <v>72</v>
      </c>
      <c r="I1810" s="199">
        <v>1</v>
      </c>
      <c r="J1810" s="199">
        <v>1</v>
      </c>
      <c r="K1810" s="199">
        <v>1</v>
      </c>
      <c r="L1810" s="199">
        <v>50</v>
      </c>
      <c r="M1810" s="218">
        <f>TB_Parts_Lists[[#This Row],[Quantity Initial]]+ SUMIF(TB_Transactions[Part number],TB_Parts_Lists[[#This Row],[Part Number]],TB_Transactions[Quantity])</f>
        <v>50</v>
      </c>
      <c r="N1810" s="217" t="s">
        <v>4593</v>
      </c>
      <c r="O1810" s="234">
        <v>5</v>
      </c>
      <c r="P1810" s="199">
        <f>TB_Parts_Lists[[#This Row],[Quantity Initial]]*TB_Parts_Lists[[#This Row],[Unit Price AED]]</f>
        <v>250</v>
      </c>
      <c r="Q1810" s="199">
        <f>TB_Parts_Lists[[#This Row],[Quantity Total]]*TB_Parts_Lists[[#This Row],[Unit Price AED]]</f>
        <v>250</v>
      </c>
      <c r="R1810" s="216"/>
      <c r="S1810" s="218"/>
      <c r="T1810" s="218"/>
      <c r="U1810" s="218"/>
    </row>
    <row r="1811" spans="1:21" x14ac:dyDescent="0.25">
      <c r="A1811" s="195" t="s">
        <v>8755</v>
      </c>
      <c r="B1811" s="220" t="s">
        <v>3331</v>
      </c>
      <c r="C1811" s="216" t="s">
        <v>4700</v>
      </c>
      <c r="D1811" s="216" t="s">
        <v>8732</v>
      </c>
      <c r="E1811" s="216" t="s">
        <v>8754</v>
      </c>
      <c r="F1811" s="217" t="s">
        <v>8753</v>
      </c>
      <c r="G1811" s="216" t="s">
        <v>8316</v>
      </c>
      <c r="H1811" s="220" t="s">
        <v>72</v>
      </c>
      <c r="I1811" s="199">
        <v>1</v>
      </c>
      <c r="J1811" s="199">
        <v>1</v>
      </c>
      <c r="K1811" s="199">
        <v>1</v>
      </c>
      <c r="L1811" s="199">
        <v>50</v>
      </c>
      <c r="M1811" s="218">
        <f>TB_Parts_Lists[[#This Row],[Quantity Initial]]+ SUMIF(TB_Transactions[Part number],TB_Parts_Lists[[#This Row],[Part Number]],TB_Transactions[Quantity])</f>
        <v>50</v>
      </c>
      <c r="N1811" s="217" t="s">
        <v>4593</v>
      </c>
      <c r="O1811" s="234">
        <v>5</v>
      </c>
      <c r="P1811" s="199">
        <f>TB_Parts_Lists[[#This Row],[Quantity Initial]]*TB_Parts_Lists[[#This Row],[Unit Price AED]]</f>
        <v>250</v>
      </c>
      <c r="Q1811" s="199">
        <f>TB_Parts_Lists[[#This Row],[Quantity Total]]*TB_Parts_Lists[[#This Row],[Unit Price AED]]</f>
        <v>250</v>
      </c>
      <c r="R1811" s="216"/>
      <c r="S1811" s="218"/>
      <c r="T1811" s="218"/>
      <c r="U1811" s="218"/>
    </row>
    <row r="1812" spans="1:21" x14ac:dyDescent="0.25">
      <c r="A1812" s="195" t="s">
        <v>8757</v>
      </c>
      <c r="B1812" s="220" t="s">
        <v>3331</v>
      </c>
      <c r="C1812" s="216" t="s">
        <v>4700</v>
      </c>
      <c r="D1812" s="216" t="s">
        <v>8732</v>
      </c>
      <c r="E1812" s="216" t="s">
        <v>8756</v>
      </c>
      <c r="F1812" s="217" t="s">
        <v>8758</v>
      </c>
      <c r="G1812" s="216" t="s">
        <v>8316</v>
      </c>
      <c r="H1812" s="220" t="s">
        <v>72</v>
      </c>
      <c r="I1812" s="199">
        <v>1</v>
      </c>
      <c r="J1812" s="199">
        <v>1</v>
      </c>
      <c r="K1812" s="199">
        <v>1</v>
      </c>
      <c r="L1812" s="199">
        <v>50</v>
      </c>
      <c r="M1812" s="218">
        <f>TB_Parts_Lists[[#This Row],[Quantity Initial]]+ SUMIF(TB_Transactions[Part number],TB_Parts_Lists[[#This Row],[Part Number]],TB_Transactions[Quantity])</f>
        <v>50</v>
      </c>
      <c r="N1812" s="217" t="s">
        <v>4593</v>
      </c>
      <c r="O1812" s="234">
        <v>5</v>
      </c>
      <c r="P1812" s="199">
        <f>TB_Parts_Lists[[#This Row],[Quantity Initial]]*TB_Parts_Lists[[#This Row],[Unit Price AED]]</f>
        <v>250</v>
      </c>
      <c r="Q1812" s="199">
        <f>TB_Parts_Lists[[#This Row],[Quantity Total]]*TB_Parts_Lists[[#This Row],[Unit Price AED]]</f>
        <v>250</v>
      </c>
      <c r="R1812" s="216"/>
      <c r="S1812" s="218"/>
      <c r="T1812" s="218"/>
      <c r="U1812" s="218"/>
    </row>
    <row r="1813" spans="1:21" x14ac:dyDescent="0.25">
      <c r="A1813" s="195" t="s">
        <v>8760</v>
      </c>
      <c r="B1813" s="220" t="s">
        <v>3329</v>
      </c>
      <c r="C1813" s="216" t="s">
        <v>3348</v>
      </c>
      <c r="D1813" s="216" t="s">
        <v>8732</v>
      </c>
      <c r="E1813" s="216" t="s">
        <v>8761</v>
      </c>
      <c r="F1813" s="217" t="s">
        <v>8759</v>
      </c>
      <c r="G1813" s="216" t="s">
        <v>8258</v>
      </c>
      <c r="H1813" s="220" t="s">
        <v>72</v>
      </c>
      <c r="I1813" s="199">
        <v>1</v>
      </c>
      <c r="J1813" s="199">
        <v>1</v>
      </c>
      <c r="K1813" s="199">
        <v>1</v>
      </c>
      <c r="L1813" s="199">
        <v>50</v>
      </c>
      <c r="M1813" s="218">
        <f>TB_Parts_Lists[[#This Row],[Quantity Initial]]+ SUMIF(TB_Transactions[Part number],TB_Parts_Lists[[#This Row],[Part Number]],TB_Transactions[Quantity])</f>
        <v>50</v>
      </c>
      <c r="N1813" s="217" t="s">
        <v>4593</v>
      </c>
      <c r="O1813" s="234">
        <v>5</v>
      </c>
      <c r="P1813" s="199">
        <f>TB_Parts_Lists[[#This Row],[Quantity Initial]]*TB_Parts_Lists[[#This Row],[Unit Price AED]]</f>
        <v>250</v>
      </c>
      <c r="Q1813" s="199">
        <f>TB_Parts_Lists[[#This Row],[Quantity Total]]*TB_Parts_Lists[[#This Row],[Unit Price AED]]</f>
        <v>250</v>
      </c>
      <c r="R1813" s="216"/>
      <c r="S1813" s="218"/>
      <c r="T1813" s="218"/>
      <c r="U1813" s="218"/>
    </row>
    <row r="1814" spans="1:21" x14ac:dyDescent="0.25">
      <c r="A1814" s="195"/>
      <c r="B1814" s="220" t="s">
        <v>3330</v>
      </c>
      <c r="C1814" s="216"/>
      <c r="D1814" s="216"/>
      <c r="E1814" s="216"/>
      <c r="F1814" s="217"/>
      <c r="G1814" s="216"/>
      <c r="H1814" s="217"/>
      <c r="I1814" s="213"/>
      <c r="J1814" s="215"/>
      <c r="K1814" s="215"/>
      <c r="L1814" s="213"/>
      <c r="M1814" s="218">
        <f>TB_Parts_Lists[[#This Row],[Quantity Initial]]+ SUMIF(TB_Transactions[Part number],TB_Parts_Lists[[#This Row],[Part Number]],TB_Transactions[Quantity])</f>
        <v>0</v>
      </c>
      <c r="N1814" s="217"/>
      <c r="O1814" s="236"/>
      <c r="P1814" s="215"/>
      <c r="Q1814" s="215">
        <f>SUMIF(TB_Transactions[Part number],TB_Parts_Lists[[#This Row],[Part Number]],TB_Transactions[Total Cost AED])+TB_Parts_Lists[[#This Row],[Initial Value AED]]</f>
        <v>0</v>
      </c>
      <c r="R1814" s="216"/>
      <c r="S1814" s="218"/>
      <c r="T1814" s="218"/>
      <c r="U1814" s="218"/>
    </row>
  </sheetData>
  <conditionalFormatting sqref="A2:A1814">
    <cfRule type="duplicateValues" dxfId="79" priority="109"/>
  </conditionalFormatting>
  <dataValidations count="4">
    <dataValidation type="list" allowBlank="1" showInputMessage="1" showErrorMessage="1" sqref="H1692:H1702">
      <formula1>INDIRECT("Table_MachineCode[MC]")</formula1>
    </dataValidation>
    <dataValidation type="list" allowBlank="1" showInputMessage="1" showErrorMessage="1" sqref="B2:B1814">
      <formula1>Part_catagory</formula1>
    </dataValidation>
    <dataValidation type="list" allowBlank="1" showInputMessage="1" showErrorMessage="1" sqref="C2:C1814">
      <formula1>Part_subcatagory</formula1>
    </dataValidation>
    <dataValidation type="list" allowBlank="1" showInputMessage="1" showErrorMessage="1" sqref="N1:N1048576">
      <formula1>Units</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R6"/>
  <sheetViews>
    <sheetView workbookViewId="0">
      <selection activeCell="H2" sqref="H2"/>
    </sheetView>
  </sheetViews>
  <sheetFormatPr defaultRowHeight="15" x14ac:dyDescent="0.25"/>
  <cols>
    <col min="1" max="1" width="16.7109375" customWidth="1"/>
    <col min="2" max="2" width="58.85546875" customWidth="1"/>
    <col min="3" max="3" width="20.42578125" bestFit="1" customWidth="1"/>
    <col min="4" max="4" width="11" bestFit="1" customWidth="1"/>
    <col min="5" max="5" width="18.5703125" customWidth="1"/>
    <col min="6" max="6" width="14.140625" customWidth="1"/>
    <col min="7" max="8" width="14" customWidth="1"/>
    <col min="9" max="9" width="16.42578125" bestFit="1" customWidth="1"/>
    <col min="10" max="10" width="16.42578125" customWidth="1"/>
    <col min="12" max="12" width="11.85546875" customWidth="1"/>
    <col min="13" max="13" width="18.5703125" customWidth="1"/>
    <col min="14" max="15" width="17.5703125" bestFit="1" customWidth="1"/>
    <col min="16" max="16" width="16.42578125" bestFit="1" customWidth="1"/>
    <col min="17" max="18" width="17.5703125" bestFit="1" customWidth="1"/>
    <col min="19" max="20" width="16.42578125" bestFit="1" customWidth="1"/>
    <col min="23" max="23" width="16.42578125" customWidth="1"/>
  </cols>
  <sheetData>
    <row r="1" spans="1:18" x14ac:dyDescent="0.25">
      <c r="A1" t="s">
        <v>23</v>
      </c>
      <c r="B1" t="s">
        <v>5</v>
      </c>
      <c r="C1" t="s">
        <v>24</v>
      </c>
      <c r="D1" t="s">
        <v>25</v>
      </c>
      <c r="E1" t="s">
        <v>2980</v>
      </c>
      <c r="F1" t="s">
        <v>8772</v>
      </c>
      <c r="G1" t="s">
        <v>8773</v>
      </c>
      <c r="H1" t="s">
        <v>35</v>
      </c>
      <c r="I1" t="s">
        <v>34</v>
      </c>
      <c r="J1" t="s">
        <v>8771</v>
      </c>
      <c r="K1" t="s">
        <v>8769</v>
      </c>
      <c r="L1" t="s">
        <v>1628</v>
      </c>
      <c r="M1" t="s">
        <v>3309</v>
      </c>
      <c r="N1" t="s">
        <v>3310</v>
      </c>
      <c r="O1" t="s">
        <v>1635</v>
      </c>
      <c r="P1" t="s">
        <v>1634</v>
      </c>
      <c r="Q1" t="s">
        <v>1629</v>
      </c>
      <c r="R1" t="s">
        <v>117</v>
      </c>
    </row>
    <row r="2" spans="1:18" x14ac:dyDescent="0.25">
      <c r="A2" s="221" t="s">
        <v>6443</v>
      </c>
      <c r="B2" s="222" t="str">
        <f>IF(TB_Transactions[[#This Row],[Part number]]="","",INDEX(TB_Parts_Lists[Description],MATCH(TB_Transactions[Part number],TB_Parts_Lists[Part Number],0),1))</f>
        <v>BALL BEARING 6000-2Z (10 x 26 x 8 mm)</v>
      </c>
      <c r="C2" s="221" t="s">
        <v>1627</v>
      </c>
      <c r="D2" s="221">
        <v>-2</v>
      </c>
      <c r="E2" s="222" t="str">
        <f>IF(TB_Transactions[[#This Row],[Part number]]="","",INDEX(TB_Parts_Lists[Default Location],MATCH(TB_Transactions[Part number],TB_Parts_Lists[Part Number],0),1))</f>
        <v>A1</v>
      </c>
      <c r="F2" s="222"/>
      <c r="G2" s="54"/>
      <c r="H2" s="54"/>
      <c r="I2" s="221" t="s">
        <v>51</v>
      </c>
      <c r="J2" s="221"/>
      <c r="K2" s="53">
        <v>5</v>
      </c>
      <c r="L2" s="53"/>
      <c r="M2" s="221"/>
      <c r="N2" s="221"/>
      <c r="O2" s="221"/>
      <c r="P2" s="223"/>
      <c r="Q2" s="221"/>
      <c r="R2" s="222"/>
    </row>
    <row r="3" spans="1:18" x14ac:dyDescent="0.25">
      <c r="A3" s="221" t="s">
        <v>6443</v>
      </c>
      <c r="B3" s="222" t="str">
        <f>IF(TB_Transactions[[#This Row],[Part number]]="","",INDEX(TB_Parts_Lists[Description],MATCH(TB_Transactions[Part number],TB_Parts_Lists[Part Number],0),1))</f>
        <v>BALL BEARING 6000-2Z (10 x 26 x 8 mm)</v>
      </c>
      <c r="C3" s="221" t="s">
        <v>1627</v>
      </c>
      <c r="D3" s="221">
        <v>-1</v>
      </c>
      <c r="E3" s="222" t="str">
        <f>IF(TB_Transactions[[#This Row],[Part number]]="","",INDEX(TB_Parts_Lists[Default Location],MATCH(TB_Transactions[Part number],TB_Parts_Lists[Part Number],0),1))</f>
        <v>A1</v>
      </c>
      <c r="F3" s="222"/>
      <c r="G3" s="231"/>
      <c r="H3" s="231"/>
      <c r="I3" s="221" t="s">
        <v>51</v>
      </c>
      <c r="J3" s="221"/>
      <c r="K3" s="53">
        <v>5</v>
      </c>
      <c r="L3" s="53"/>
      <c r="M3" s="221"/>
      <c r="N3" s="221"/>
      <c r="O3" s="221"/>
      <c r="P3" s="223"/>
      <c r="Q3" s="221"/>
      <c r="R3" s="222"/>
    </row>
    <row r="4" spans="1:18" x14ac:dyDescent="0.25">
      <c r="A4" s="221" t="s">
        <v>6475</v>
      </c>
      <c r="B4" s="222" t="str">
        <f>IF(TB_Transactions[[#This Row],[Part number]]="","",INDEX(TB_Parts_Lists[Description],MATCH(TB_Transactions[Part number],TB_Parts_Lists[Part Number],0),1))</f>
        <v>BALL BEARING 6301-2Z (12 x 37 x 12 mm)</v>
      </c>
      <c r="C4" s="221" t="s">
        <v>1627</v>
      </c>
      <c r="D4" s="221">
        <v>-1</v>
      </c>
      <c r="E4" s="222" t="str">
        <f>IF(TB_Transactions[[#This Row],[Part number]]="","",INDEX(TB_Parts_Lists[Default Location],MATCH(TB_Transactions[Part number],TB_Parts_Lists[Part Number],0),1))</f>
        <v>A1</v>
      </c>
      <c r="F4" s="222"/>
      <c r="G4" s="231"/>
      <c r="H4" s="231"/>
      <c r="I4" s="221" t="s">
        <v>51</v>
      </c>
      <c r="J4" s="221"/>
      <c r="K4" s="53">
        <v>5</v>
      </c>
      <c r="L4" s="53"/>
      <c r="M4" s="221"/>
      <c r="N4" s="221"/>
      <c r="O4" s="221"/>
      <c r="P4" s="223"/>
      <c r="Q4" s="221"/>
      <c r="R4" s="222"/>
    </row>
    <row r="5" spans="1:18" x14ac:dyDescent="0.25">
      <c r="A5" s="221" t="s">
        <v>6477</v>
      </c>
      <c r="B5" s="222" t="str">
        <f>IF(TB_Transactions[[#This Row],[Part number]]="","",INDEX(TB_Parts_Lists[Description],MATCH(TB_Transactions[Part number],TB_Parts_Lists[Part Number],0),1))</f>
        <v>BALL BEARING 6303-2Z (17 x 47 x 14 mm)</v>
      </c>
      <c r="C5" s="221" t="s">
        <v>92</v>
      </c>
      <c r="D5" s="221">
        <v>2</v>
      </c>
      <c r="E5" s="222" t="str">
        <f>IF(TB_Transactions[[#This Row],[Part number]]="","",INDEX(TB_Parts_Lists[Default Location],MATCH(TB_Transactions[Part number],TB_Parts_Lists[Part Number],0),1))</f>
        <v>A1</v>
      </c>
      <c r="F5" s="222"/>
      <c r="G5" s="231"/>
      <c r="H5" s="231"/>
      <c r="I5" s="221" t="s">
        <v>51</v>
      </c>
      <c r="J5" s="221"/>
      <c r="K5" s="53">
        <v>10</v>
      </c>
      <c r="L5" s="53"/>
      <c r="M5" s="221"/>
      <c r="N5" s="221"/>
      <c r="O5" s="221"/>
      <c r="P5" s="223"/>
      <c r="Q5" s="221"/>
      <c r="R5" s="222"/>
    </row>
    <row r="6" spans="1:18" x14ac:dyDescent="0.25">
      <c r="A6" s="221" t="s">
        <v>6475</v>
      </c>
      <c r="B6" s="222" t="str">
        <f>IF(TB_Transactions[[#This Row],[Part number]]="","",INDEX(TB_Parts_Lists[Description],MATCH(TB_Transactions[Part number],TB_Parts_Lists[Part Number],0),1))</f>
        <v>BALL BEARING 6301-2Z (12 x 37 x 12 mm)</v>
      </c>
      <c r="C6" s="221" t="s">
        <v>92</v>
      </c>
      <c r="D6" s="221">
        <v>5</v>
      </c>
      <c r="E6" s="222" t="str">
        <f>IF(TB_Transactions[[#This Row],[Part number]]="","",INDEX(TB_Parts_Lists[Default Location],MATCH(TB_Transactions[Part number],TB_Parts_Lists[Part Number],0),1))</f>
        <v>A1</v>
      </c>
      <c r="F6" s="222"/>
      <c r="G6" s="231"/>
      <c r="H6" s="231"/>
      <c r="I6" s="221" t="s">
        <v>51</v>
      </c>
      <c r="J6" s="221"/>
      <c r="K6" s="53">
        <v>10</v>
      </c>
      <c r="L6" s="53"/>
      <c r="M6" s="221"/>
      <c r="N6" s="221"/>
      <c r="O6" s="221"/>
      <c r="P6" s="223"/>
      <c r="Q6" s="221"/>
      <c r="R6" s="222"/>
    </row>
  </sheetData>
  <dataValidations count="3">
    <dataValidation type="list" allowBlank="1" showInputMessage="1" showErrorMessage="1" sqref="L2:L6">
      <formula1>"AED,USD,EUR"</formula1>
    </dataValidation>
    <dataValidation type="list" allowBlank="1" showInputMessage="1" showErrorMessage="1" sqref="C2:C6">
      <formula1>"Issuance,Return,Stock"</formula1>
    </dataValidation>
    <dataValidation type="list" allowBlank="1" showInputMessage="1" showErrorMessage="1" sqref="I2:J6">
      <formula1>Code_Equipment_Dropdown</formula1>
    </dataValidation>
  </dataValidation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B2:S59"/>
  <sheetViews>
    <sheetView workbookViewId="0">
      <selection activeCell="A8" sqref="A8"/>
    </sheetView>
  </sheetViews>
  <sheetFormatPr defaultRowHeight="15" x14ac:dyDescent="0.25"/>
  <cols>
    <col min="1" max="1" width="9.140625" style="188"/>
    <col min="2" max="2" width="20" style="188" bestFit="1" customWidth="1"/>
    <col min="3" max="3" width="16.28515625" style="188" bestFit="1" customWidth="1"/>
    <col min="4" max="4" width="16.5703125" style="188" bestFit="1" customWidth="1"/>
    <col min="5" max="5" width="21.5703125" style="188" bestFit="1" customWidth="1"/>
    <col min="6" max="6" width="16.42578125" style="188" bestFit="1" customWidth="1"/>
    <col min="7" max="7" width="29" style="188" bestFit="1" customWidth="1"/>
    <col min="8" max="8" width="23.42578125" style="188" bestFit="1" customWidth="1"/>
    <col min="9" max="9" width="27" style="188" bestFit="1" customWidth="1"/>
    <col min="10" max="10" width="17.42578125" style="188" bestFit="1" customWidth="1"/>
    <col min="11" max="11" width="18.42578125" style="188" bestFit="1" customWidth="1"/>
    <col min="12" max="12" width="19.85546875" style="188" bestFit="1" customWidth="1"/>
    <col min="13" max="13" width="16.28515625" style="188" bestFit="1" customWidth="1"/>
    <col min="14" max="14" width="21.140625" style="188" bestFit="1" customWidth="1"/>
    <col min="15" max="15" width="12.42578125" style="188" bestFit="1" customWidth="1"/>
    <col min="16" max="16" width="14.7109375" style="188" bestFit="1" customWidth="1"/>
    <col min="17" max="17" width="15.85546875" style="188" bestFit="1" customWidth="1"/>
    <col min="18" max="18" width="20.42578125" style="188" bestFit="1" customWidth="1"/>
    <col min="19" max="19" width="12.7109375" style="188" bestFit="1" customWidth="1"/>
    <col min="20" max="16384" width="9.140625" style="188"/>
  </cols>
  <sheetData>
    <row r="2" spans="2:19" s="189" customFormat="1" x14ac:dyDescent="0.25"/>
    <row r="3" spans="2:19" s="189" customFormat="1" x14ac:dyDescent="0.25">
      <c r="B3" s="189" t="s">
        <v>4585</v>
      </c>
      <c r="C3" s="189" t="s">
        <v>3329</v>
      </c>
      <c r="D3" s="189" t="s">
        <v>3330</v>
      </c>
      <c r="E3" s="189" t="s">
        <v>3331</v>
      </c>
      <c r="F3" s="189" t="s">
        <v>3332</v>
      </c>
      <c r="G3" s="189" t="s">
        <v>3333</v>
      </c>
      <c r="H3" s="189" t="s">
        <v>3334</v>
      </c>
      <c r="I3" s="189" t="s">
        <v>3335</v>
      </c>
      <c r="J3" s="189" t="s">
        <v>3337</v>
      </c>
      <c r="K3" s="189" t="s">
        <v>6619</v>
      </c>
      <c r="L3" s="189" t="s">
        <v>3338</v>
      </c>
      <c r="M3" s="189" t="s">
        <v>3339</v>
      </c>
      <c r="N3" s="189" t="s">
        <v>3340</v>
      </c>
      <c r="O3" s="189" t="s">
        <v>3341</v>
      </c>
      <c r="P3" s="189" t="s">
        <v>3002</v>
      </c>
      <c r="Q3" s="189" t="s">
        <v>7603</v>
      </c>
      <c r="R3" s="189" t="s">
        <v>4605</v>
      </c>
      <c r="S3" s="189" t="s">
        <v>4697</v>
      </c>
    </row>
    <row r="4" spans="2:19" x14ac:dyDescent="0.25">
      <c r="B4" s="188">
        <v>1</v>
      </c>
      <c r="C4" s="188" t="s">
        <v>3342</v>
      </c>
      <c r="D4" s="188" t="s">
        <v>3966</v>
      </c>
      <c r="E4" s="188" t="s">
        <v>3338</v>
      </c>
      <c r="F4" s="188" t="s">
        <v>3355</v>
      </c>
      <c r="G4" s="188" t="s">
        <v>3311</v>
      </c>
      <c r="H4" s="188" t="s">
        <v>4576</v>
      </c>
      <c r="I4" s="188" t="s">
        <v>3365</v>
      </c>
      <c r="J4" s="188" t="s">
        <v>3375</v>
      </c>
      <c r="K4" s="188" t="s">
        <v>6620</v>
      </c>
      <c r="L4" s="188" t="s">
        <v>651</v>
      </c>
      <c r="M4" s="188" t="s">
        <v>7653</v>
      </c>
      <c r="N4" s="188" t="s">
        <v>6682</v>
      </c>
      <c r="O4" s="188" t="s">
        <v>4249</v>
      </c>
      <c r="P4" s="188" t="s">
        <v>3006</v>
      </c>
      <c r="Q4" s="188" t="s">
        <v>7604</v>
      </c>
      <c r="R4" s="188" t="s">
        <v>4608</v>
      </c>
      <c r="S4" s="188" t="s">
        <v>4698</v>
      </c>
    </row>
    <row r="5" spans="2:19" x14ac:dyDescent="0.25">
      <c r="B5" s="188">
        <v>2</v>
      </c>
      <c r="C5" s="188" t="s">
        <v>3008</v>
      </c>
      <c r="D5" s="188" t="s">
        <v>3338</v>
      </c>
      <c r="E5" s="188" t="s">
        <v>6670</v>
      </c>
      <c r="F5" s="188" t="s">
        <v>3356</v>
      </c>
      <c r="G5" s="188" t="s">
        <v>2985</v>
      </c>
      <c r="H5" s="188" t="s">
        <v>4581</v>
      </c>
      <c r="I5" s="188" t="s">
        <v>3005</v>
      </c>
      <c r="J5" s="188" t="s">
        <v>3376</v>
      </c>
      <c r="K5" s="188" t="s">
        <v>161</v>
      </c>
      <c r="L5" s="188" t="s">
        <v>6689</v>
      </c>
      <c r="M5" s="188" t="s">
        <v>4548</v>
      </c>
      <c r="N5" s="188" t="s">
        <v>6683</v>
      </c>
      <c r="O5" s="188" t="s">
        <v>4297</v>
      </c>
      <c r="P5" s="188" t="s">
        <v>3362</v>
      </c>
      <c r="Q5" s="188" t="s">
        <v>7605</v>
      </c>
      <c r="R5" s="188" t="s">
        <v>4609</v>
      </c>
      <c r="S5" s="188" t="s">
        <v>4699</v>
      </c>
    </row>
    <row r="6" spans="2:19" x14ac:dyDescent="0.25">
      <c r="B6" s="188">
        <v>3</v>
      </c>
      <c r="C6" s="188" t="s">
        <v>3343</v>
      </c>
      <c r="D6" s="188" t="s">
        <v>3003</v>
      </c>
      <c r="E6" s="188" t="s">
        <v>6671</v>
      </c>
      <c r="F6" s="188" t="s">
        <v>3357</v>
      </c>
      <c r="G6" s="188" t="s">
        <v>2984</v>
      </c>
      <c r="H6" s="188" t="s">
        <v>3366</v>
      </c>
      <c r="I6" s="188" t="s">
        <v>3353</v>
      </c>
      <c r="J6" s="188" t="s">
        <v>3377</v>
      </c>
      <c r="K6" s="188" t="s">
        <v>3629</v>
      </c>
      <c r="L6" s="188" t="s">
        <v>6708</v>
      </c>
      <c r="M6" s="188" t="s">
        <v>7654</v>
      </c>
      <c r="N6" s="188" t="s">
        <v>4603</v>
      </c>
      <c r="O6" s="188" t="s">
        <v>4298</v>
      </c>
      <c r="P6" s="188" t="s">
        <v>3007</v>
      </c>
      <c r="Q6" s="188" t="s">
        <v>7606</v>
      </c>
      <c r="R6" s="188" t="s">
        <v>4607</v>
      </c>
      <c r="S6" s="188" t="s">
        <v>4700</v>
      </c>
    </row>
    <row r="7" spans="2:19" x14ac:dyDescent="0.25">
      <c r="B7" s="188">
        <v>4</v>
      </c>
      <c r="C7" s="188" t="s">
        <v>3344</v>
      </c>
      <c r="D7" s="188" t="s">
        <v>6611</v>
      </c>
      <c r="E7" s="188" t="s">
        <v>6672</v>
      </c>
      <c r="F7" s="188" t="s">
        <v>3358</v>
      </c>
      <c r="G7" s="188" t="s">
        <v>3004</v>
      </c>
      <c r="H7" s="188" t="s">
        <v>3367</v>
      </c>
      <c r="I7" s="188" t="s">
        <v>3354</v>
      </c>
      <c r="J7" s="188" t="s">
        <v>3378</v>
      </c>
      <c r="K7" s="188" t="s">
        <v>6637</v>
      </c>
      <c r="L7" s="188" t="s">
        <v>6722</v>
      </c>
      <c r="M7" s="188" t="s">
        <v>7655</v>
      </c>
      <c r="N7" s="188" t="s">
        <v>4604</v>
      </c>
      <c r="O7" s="188" t="s">
        <v>4299</v>
      </c>
      <c r="P7" s="188" t="s">
        <v>3363</v>
      </c>
      <c r="Q7" s="188" t="s">
        <v>7607</v>
      </c>
      <c r="R7" s="188" t="s">
        <v>3338</v>
      </c>
      <c r="S7" s="188" t="s">
        <v>7224</v>
      </c>
    </row>
    <row r="8" spans="2:19" x14ac:dyDescent="0.25">
      <c r="B8" s="188">
        <v>5</v>
      </c>
      <c r="C8" s="188" t="s">
        <v>3345</v>
      </c>
      <c r="D8" s="188" t="s">
        <v>3009</v>
      </c>
      <c r="E8" s="188" t="s">
        <v>6673</v>
      </c>
      <c r="F8" s="188" t="s">
        <v>3359</v>
      </c>
      <c r="G8" s="188" t="s">
        <v>3223</v>
      </c>
      <c r="H8" s="188" t="s">
        <v>7287</v>
      </c>
      <c r="I8" s="188" t="s">
        <v>3368</v>
      </c>
      <c r="J8" s="188" t="s">
        <v>7011</v>
      </c>
      <c r="K8" s="188" t="s">
        <v>6638</v>
      </c>
      <c r="L8" s="188" t="s">
        <v>6741</v>
      </c>
      <c r="M8" s="188" t="s">
        <v>7656</v>
      </c>
      <c r="N8" s="188" t="s">
        <v>6684</v>
      </c>
      <c r="O8" s="188" t="s">
        <v>4300</v>
      </c>
      <c r="P8" s="188" t="s">
        <v>3364</v>
      </c>
      <c r="Q8" s="188" t="s">
        <v>5465</v>
      </c>
      <c r="R8" s="188" t="s">
        <v>7152</v>
      </c>
      <c r="S8" s="188" t="s">
        <v>6674</v>
      </c>
    </row>
    <row r="9" spans="2:19" x14ac:dyDescent="0.25">
      <c r="B9" s="188">
        <v>6</v>
      </c>
      <c r="C9" s="188" t="s">
        <v>3346</v>
      </c>
      <c r="D9" s="188" t="s">
        <v>4090</v>
      </c>
      <c r="E9" s="188" t="s">
        <v>6674</v>
      </c>
      <c r="F9" s="188" t="s">
        <v>3360</v>
      </c>
      <c r="G9" s="188" t="s">
        <v>3349</v>
      </c>
      <c r="H9" s="188" t="s">
        <v>4577</v>
      </c>
      <c r="I9" s="188" t="s">
        <v>3373</v>
      </c>
      <c r="J9" s="188" t="s">
        <v>7168</v>
      </c>
      <c r="K9" s="188" t="s">
        <v>6639</v>
      </c>
      <c r="L9" s="188" t="s">
        <v>7015</v>
      </c>
      <c r="M9" s="188" t="s">
        <v>7657</v>
      </c>
      <c r="N9" s="188" t="s">
        <v>7129</v>
      </c>
      <c r="O9" s="188" t="s">
        <v>4301</v>
      </c>
      <c r="Q9" s="188" t="s">
        <v>7608</v>
      </c>
      <c r="R9" s="188" t="s">
        <v>5485</v>
      </c>
      <c r="S9" s="188" t="s">
        <v>7751</v>
      </c>
    </row>
    <row r="10" spans="2:19" x14ac:dyDescent="0.25">
      <c r="B10" s="188">
        <v>7</v>
      </c>
      <c r="C10" s="188" t="s">
        <v>3379</v>
      </c>
      <c r="D10" s="188" t="s">
        <v>6679</v>
      </c>
      <c r="E10" s="188" t="s">
        <v>6675</v>
      </c>
      <c r="F10" s="188" t="s">
        <v>3361</v>
      </c>
      <c r="G10" s="188" t="s">
        <v>3350</v>
      </c>
      <c r="H10" s="188" t="s">
        <v>4578</v>
      </c>
      <c r="I10" s="188" t="s">
        <v>3374</v>
      </c>
      <c r="J10" s="188" t="s">
        <v>7673</v>
      </c>
      <c r="K10" s="188" t="s">
        <v>6640</v>
      </c>
      <c r="L10" s="188" t="s">
        <v>7017</v>
      </c>
      <c r="M10" s="188" t="s">
        <v>5768</v>
      </c>
      <c r="N10" s="188" t="s">
        <v>3338</v>
      </c>
      <c r="O10" s="188" t="s">
        <v>4302</v>
      </c>
      <c r="Q10" s="188" t="s">
        <v>7609</v>
      </c>
      <c r="R10" s="188" t="s">
        <v>8061</v>
      </c>
      <c r="S10" s="188" t="s">
        <v>7818</v>
      </c>
    </row>
    <row r="11" spans="2:19" x14ac:dyDescent="0.25">
      <c r="B11" s="188">
        <v>8</v>
      </c>
      <c r="C11" s="188" t="s">
        <v>3347</v>
      </c>
      <c r="D11" s="188" t="s">
        <v>6695</v>
      </c>
      <c r="E11" s="188" t="s">
        <v>6652</v>
      </c>
      <c r="F11" s="188" t="s">
        <v>7253</v>
      </c>
      <c r="G11" s="188" t="s">
        <v>3351</v>
      </c>
      <c r="H11" s="188" t="s">
        <v>4579</v>
      </c>
      <c r="I11" s="188" t="s">
        <v>3636</v>
      </c>
      <c r="K11" s="188" t="s">
        <v>6748</v>
      </c>
      <c r="L11" s="188" t="s">
        <v>7646</v>
      </c>
      <c r="M11" s="188" t="s">
        <v>7658</v>
      </c>
      <c r="O11" s="188" t="s">
        <v>4303</v>
      </c>
      <c r="Q11" s="188" t="s">
        <v>7610</v>
      </c>
      <c r="S11" s="188" t="s">
        <v>8584</v>
      </c>
    </row>
    <row r="12" spans="2:19" x14ac:dyDescent="0.25">
      <c r="B12" s="188">
        <v>9</v>
      </c>
      <c r="C12" s="188" t="s">
        <v>3348</v>
      </c>
      <c r="D12" s="188" t="s">
        <v>6704</v>
      </c>
      <c r="E12" s="188" t="s">
        <v>4700</v>
      </c>
      <c r="G12" s="188" t="s">
        <v>3352</v>
      </c>
      <c r="H12" s="188" t="s">
        <v>4580</v>
      </c>
      <c r="I12" s="188" t="s">
        <v>3770</v>
      </c>
      <c r="K12" s="188" t="s">
        <v>3787</v>
      </c>
      <c r="L12" s="188" t="s">
        <v>7648</v>
      </c>
      <c r="M12" s="188" t="s">
        <v>7659</v>
      </c>
      <c r="O12" s="188" t="s">
        <v>4304</v>
      </c>
      <c r="Q12" s="188" t="s">
        <v>7611</v>
      </c>
    </row>
    <row r="13" spans="2:19" x14ac:dyDescent="0.25">
      <c r="B13" s="188">
        <v>10</v>
      </c>
      <c r="C13" s="188" t="s">
        <v>3338</v>
      </c>
      <c r="D13" s="188" t="s">
        <v>6735</v>
      </c>
      <c r="E13" s="188" t="s">
        <v>7002</v>
      </c>
      <c r="G13" s="188" t="s">
        <v>6421</v>
      </c>
      <c r="H13" s="190" t="s">
        <v>4582</v>
      </c>
      <c r="I13" s="188" t="s">
        <v>3771</v>
      </c>
      <c r="K13" s="188" t="s">
        <v>3637</v>
      </c>
      <c r="L13" s="188" t="s">
        <v>7608</v>
      </c>
      <c r="M13" s="188" t="s">
        <v>8066</v>
      </c>
      <c r="Q13" s="188" t="s">
        <v>7612</v>
      </c>
    </row>
    <row r="14" spans="2:19" x14ac:dyDescent="0.25">
      <c r="B14" s="188">
        <v>11</v>
      </c>
      <c r="C14" s="190" t="s">
        <v>4616</v>
      </c>
      <c r="D14" s="190" t="s">
        <v>1836</v>
      </c>
      <c r="E14" s="190" t="s">
        <v>7204</v>
      </c>
      <c r="F14" s="190"/>
      <c r="G14" s="190" t="s">
        <v>2992</v>
      </c>
      <c r="H14" s="190" t="s">
        <v>7222</v>
      </c>
      <c r="I14" s="190" t="s">
        <v>3772</v>
      </c>
      <c r="J14" s="190"/>
      <c r="K14" s="190"/>
      <c r="L14" s="190" t="s">
        <v>8242</v>
      </c>
      <c r="M14" s="190"/>
      <c r="N14" s="190"/>
      <c r="O14" s="190"/>
      <c r="P14" s="190"/>
      <c r="Q14" s="190" t="s">
        <v>7613</v>
      </c>
    </row>
    <row r="15" spans="2:19" x14ac:dyDescent="0.25">
      <c r="B15" s="188">
        <v>12</v>
      </c>
      <c r="C15" s="190" t="s">
        <v>4617</v>
      </c>
      <c r="D15" s="190" t="s">
        <v>6744</v>
      </c>
      <c r="E15" s="190" t="s">
        <v>7322</v>
      </c>
      <c r="F15" s="190"/>
      <c r="G15" s="190" t="s">
        <v>6423</v>
      </c>
      <c r="H15" s="190" t="s">
        <v>7244</v>
      </c>
      <c r="I15" s="190" t="s">
        <v>3773</v>
      </c>
      <c r="J15" s="190"/>
      <c r="K15" s="190"/>
      <c r="L15" s="190"/>
      <c r="M15" s="190"/>
      <c r="N15" s="190"/>
      <c r="O15" s="190"/>
      <c r="P15" s="190"/>
      <c r="Q15" s="190" t="s">
        <v>7614</v>
      </c>
    </row>
    <row r="16" spans="2:19" x14ac:dyDescent="0.25">
      <c r="B16" s="188">
        <v>13</v>
      </c>
      <c r="C16" s="190" t="s">
        <v>4633</v>
      </c>
      <c r="D16" s="190" t="s">
        <v>6672</v>
      </c>
      <c r="E16" s="190"/>
      <c r="F16" s="190"/>
      <c r="G16" s="190"/>
      <c r="H16" s="190" t="s">
        <v>7959</v>
      </c>
      <c r="I16" s="190" t="s">
        <v>3774</v>
      </c>
      <c r="J16" s="190"/>
      <c r="K16" s="190"/>
      <c r="L16" s="190"/>
      <c r="M16" s="190"/>
      <c r="N16" s="190"/>
      <c r="O16" s="190"/>
      <c r="P16" s="190"/>
      <c r="Q16" s="190"/>
    </row>
    <row r="17" spans="2:17" x14ac:dyDescent="0.25">
      <c r="B17" s="188">
        <v>14</v>
      </c>
      <c r="C17" s="190" t="s">
        <v>6652</v>
      </c>
      <c r="D17" s="190" t="s">
        <v>3625</v>
      </c>
      <c r="E17" s="190"/>
      <c r="F17" s="190"/>
      <c r="G17" s="190"/>
      <c r="H17" s="190" t="s">
        <v>7995</v>
      </c>
      <c r="I17" s="190" t="s">
        <v>3775</v>
      </c>
      <c r="J17" s="190"/>
      <c r="K17" s="190"/>
      <c r="L17" s="190"/>
      <c r="M17" s="190"/>
      <c r="N17" s="190"/>
      <c r="O17" s="190"/>
      <c r="P17" s="190"/>
      <c r="Q17" s="190"/>
    </row>
    <row r="18" spans="2:17" x14ac:dyDescent="0.25">
      <c r="B18" s="188">
        <v>15</v>
      </c>
      <c r="C18" s="190" t="s">
        <v>6779</v>
      </c>
      <c r="D18" s="190" t="s">
        <v>4608</v>
      </c>
      <c r="E18" s="190"/>
      <c r="F18" s="190"/>
      <c r="G18" s="190"/>
      <c r="H18" s="190"/>
      <c r="I18" s="190" t="s">
        <v>6623</v>
      </c>
      <c r="J18" s="190"/>
      <c r="K18" s="190"/>
      <c r="L18" s="190"/>
      <c r="M18" s="190"/>
      <c r="N18" s="190"/>
      <c r="O18" s="190"/>
      <c r="P18" s="190"/>
      <c r="Q18" s="190"/>
    </row>
    <row r="19" spans="2:17" x14ac:dyDescent="0.25">
      <c r="B19" s="188">
        <v>16</v>
      </c>
      <c r="C19" s="190" t="s">
        <v>6799</v>
      </c>
      <c r="D19" s="190" t="s">
        <v>6770</v>
      </c>
      <c r="E19" s="190"/>
      <c r="F19" s="190"/>
      <c r="G19" s="190"/>
      <c r="H19" s="190"/>
      <c r="I19" s="190" t="s">
        <v>6759</v>
      </c>
      <c r="J19" s="190"/>
      <c r="K19" s="190"/>
      <c r="L19" s="190"/>
      <c r="M19" s="190"/>
      <c r="N19" s="190"/>
      <c r="O19" s="190"/>
      <c r="P19" s="190"/>
      <c r="Q19" s="190"/>
    </row>
    <row r="20" spans="2:17" x14ac:dyDescent="0.25">
      <c r="B20" s="188">
        <v>17</v>
      </c>
      <c r="C20" s="190" t="s">
        <v>5277</v>
      </c>
      <c r="D20" s="190" t="s">
        <v>4150</v>
      </c>
      <c r="E20" s="190"/>
      <c r="F20" s="190"/>
      <c r="G20" s="190"/>
      <c r="H20" s="190"/>
      <c r="I20" s="190" t="s">
        <v>7940</v>
      </c>
      <c r="J20" s="190"/>
      <c r="K20" s="190"/>
      <c r="L20" s="190"/>
      <c r="M20" s="190"/>
      <c r="N20" s="190"/>
      <c r="O20" s="190"/>
      <c r="P20" s="190"/>
      <c r="Q20" s="190"/>
    </row>
    <row r="21" spans="2:17" x14ac:dyDescent="0.25">
      <c r="B21" s="188">
        <v>18</v>
      </c>
      <c r="C21" s="190" t="s">
        <v>6804</v>
      </c>
      <c r="D21" s="190" t="s">
        <v>7047</v>
      </c>
      <c r="E21" s="190"/>
      <c r="F21" s="190"/>
      <c r="G21" s="190"/>
      <c r="H21" s="190"/>
      <c r="I21" s="190"/>
      <c r="J21" s="190"/>
      <c r="K21" s="190"/>
      <c r="L21" s="190"/>
      <c r="M21" s="190"/>
      <c r="N21" s="190"/>
      <c r="O21" s="190"/>
      <c r="P21" s="190"/>
      <c r="Q21" s="190"/>
    </row>
    <row r="22" spans="2:17" x14ac:dyDescent="0.25">
      <c r="B22" s="188">
        <v>19</v>
      </c>
      <c r="C22" s="190" t="s">
        <v>6811</v>
      </c>
      <c r="D22" s="190" t="s">
        <v>7066</v>
      </c>
      <c r="E22" s="190"/>
      <c r="F22" s="190"/>
      <c r="G22" s="190"/>
      <c r="H22" s="190"/>
      <c r="I22" s="190"/>
      <c r="J22" s="190"/>
      <c r="K22" s="190"/>
      <c r="L22" s="190"/>
      <c r="M22" s="190"/>
      <c r="N22" s="190"/>
      <c r="O22" s="190"/>
      <c r="P22" s="190"/>
      <c r="Q22" s="190"/>
    </row>
    <row r="23" spans="2:17" x14ac:dyDescent="0.25">
      <c r="B23" s="188">
        <v>20</v>
      </c>
      <c r="C23" s="190" t="s">
        <v>6820</v>
      </c>
      <c r="D23" s="190" t="s">
        <v>7175</v>
      </c>
      <c r="E23" s="190"/>
      <c r="F23" s="190"/>
      <c r="G23" s="190"/>
      <c r="H23" s="190"/>
      <c r="I23" s="190"/>
      <c r="J23" s="190"/>
      <c r="K23" s="190"/>
      <c r="L23" s="190"/>
      <c r="M23" s="190"/>
      <c r="N23" s="190"/>
      <c r="O23" s="190"/>
      <c r="P23" s="190"/>
      <c r="Q23" s="190"/>
    </row>
    <row r="24" spans="2:17" x14ac:dyDescent="0.25">
      <c r="B24" s="188">
        <v>21</v>
      </c>
      <c r="C24" s="190" t="s">
        <v>6899</v>
      </c>
      <c r="D24" s="190" t="s">
        <v>5051</v>
      </c>
      <c r="E24" s="190"/>
      <c r="F24" s="190"/>
      <c r="G24" s="190"/>
      <c r="H24" s="190"/>
      <c r="I24" s="190"/>
      <c r="J24" s="190"/>
      <c r="K24" s="190"/>
      <c r="L24" s="190"/>
      <c r="M24" s="190"/>
      <c r="N24" s="190"/>
      <c r="O24" s="190"/>
      <c r="P24" s="190"/>
      <c r="Q24" s="190"/>
    </row>
    <row r="25" spans="2:17" x14ac:dyDescent="0.25">
      <c r="B25" s="188">
        <v>22</v>
      </c>
      <c r="C25" s="190" t="s">
        <v>6915</v>
      </c>
      <c r="D25" s="190" t="s">
        <v>3567</v>
      </c>
      <c r="E25" s="190"/>
      <c r="F25" s="190"/>
      <c r="G25" s="190"/>
      <c r="H25" s="190"/>
      <c r="I25" s="190"/>
      <c r="J25" s="190"/>
      <c r="K25" s="190"/>
      <c r="L25" s="190"/>
      <c r="M25" s="190"/>
      <c r="N25" s="190"/>
      <c r="O25" s="190"/>
      <c r="P25" s="190"/>
      <c r="Q25" s="190"/>
    </row>
    <row r="26" spans="2:17" x14ac:dyDescent="0.25">
      <c r="B26" s="188">
        <v>23</v>
      </c>
      <c r="C26" s="190" t="s">
        <v>6940</v>
      </c>
      <c r="D26" s="190" t="s">
        <v>2992</v>
      </c>
      <c r="E26" s="190"/>
      <c r="F26" s="190"/>
      <c r="G26" s="190"/>
      <c r="H26" s="190"/>
      <c r="I26" s="190"/>
      <c r="J26" s="190"/>
      <c r="K26" s="190"/>
      <c r="L26" s="190"/>
      <c r="M26" s="190"/>
      <c r="N26" s="190"/>
      <c r="O26" s="190"/>
      <c r="P26" s="190"/>
      <c r="Q26" s="190"/>
    </row>
    <row r="27" spans="2:17" x14ac:dyDescent="0.25">
      <c r="B27" s="188">
        <v>24</v>
      </c>
      <c r="C27" s="190" t="s">
        <v>6949</v>
      </c>
      <c r="D27" s="190" t="s">
        <v>6674</v>
      </c>
      <c r="E27" s="190"/>
      <c r="F27" s="190"/>
      <c r="G27" s="190"/>
      <c r="H27" s="190"/>
      <c r="I27" s="190"/>
      <c r="J27" s="190"/>
      <c r="K27" s="190"/>
      <c r="L27" s="190"/>
      <c r="M27" s="190"/>
      <c r="N27" s="190"/>
      <c r="O27" s="190"/>
      <c r="P27" s="190"/>
      <c r="Q27" s="190"/>
    </row>
    <row r="28" spans="2:17" x14ac:dyDescent="0.25">
      <c r="B28" s="188">
        <v>25</v>
      </c>
      <c r="C28" s="190" t="s">
        <v>6966</v>
      </c>
      <c r="D28" s="190" t="s">
        <v>7002</v>
      </c>
      <c r="E28" s="190"/>
      <c r="F28" s="190"/>
      <c r="G28" s="190"/>
      <c r="H28" s="190"/>
      <c r="I28" s="190"/>
      <c r="J28" s="190"/>
      <c r="K28" s="190"/>
      <c r="L28" s="190"/>
      <c r="M28" s="190"/>
      <c r="N28" s="190"/>
      <c r="O28" s="190"/>
      <c r="P28" s="190"/>
      <c r="Q28" s="190"/>
    </row>
    <row r="29" spans="2:17" x14ac:dyDescent="0.25">
      <c r="B29" s="188">
        <v>26</v>
      </c>
      <c r="C29" s="190" t="s">
        <v>7083</v>
      </c>
      <c r="D29" s="190" t="s">
        <v>7759</v>
      </c>
      <c r="E29" s="190"/>
      <c r="F29" s="190"/>
      <c r="G29" s="190"/>
      <c r="H29" s="190"/>
      <c r="I29" s="190"/>
      <c r="J29" s="190"/>
      <c r="K29" s="190"/>
      <c r="L29" s="190"/>
      <c r="M29" s="190"/>
      <c r="N29" s="190"/>
      <c r="O29" s="190"/>
      <c r="P29" s="190"/>
      <c r="Q29" s="190"/>
    </row>
    <row r="30" spans="2:17" x14ac:dyDescent="0.25">
      <c r="B30" s="188">
        <v>27</v>
      </c>
      <c r="C30" s="190" t="s">
        <v>7219</v>
      </c>
      <c r="D30" s="190" t="s">
        <v>7776</v>
      </c>
      <c r="E30" s="190"/>
      <c r="F30" s="190"/>
      <c r="G30" s="190"/>
      <c r="H30" s="190"/>
      <c r="I30" s="190"/>
      <c r="J30" s="190"/>
      <c r="K30" s="190"/>
      <c r="L30" s="190"/>
      <c r="M30" s="190"/>
      <c r="N30" s="190"/>
      <c r="O30" s="190"/>
      <c r="P30" s="190"/>
      <c r="Q30" s="190"/>
    </row>
    <row r="31" spans="2:17" x14ac:dyDescent="0.25">
      <c r="B31" s="188">
        <v>28</v>
      </c>
      <c r="C31" s="190" t="s">
        <v>7741</v>
      </c>
      <c r="D31" s="190" t="s">
        <v>7808</v>
      </c>
      <c r="E31" s="190"/>
      <c r="F31" s="190"/>
      <c r="G31" s="190"/>
      <c r="H31" s="190"/>
      <c r="I31" s="190"/>
      <c r="J31" s="190"/>
      <c r="K31" s="190"/>
      <c r="L31" s="190"/>
      <c r="M31" s="190"/>
      <c r="N31" s="190"/>
      <c r="O31" s="190"/>
      <c r="P31" s="190"/>
      <c r="Q31" s="190"/>
    </row>
    <row r="32" spans="2:17" x14ac:dyDescent="0.25">
      <c r="B32" s="188">
        <v>29</v>
      </c>
      <c r="C32" s="190" t="s">
        <v>7886</v>
      </c>
      <c r="D32" s="190" t="s">
        <v>7809</v>
      </c>
      <c r="E32" s="190"/>
      <c r="F32" s="190"/>
      <c r="G32" s="190"/>
      <c r="H32" s="190"/>
      <c r="I32" s="190"/>
      <c r="J32" s="190"/>
      <c r="K32" s="190"/>
      <c r="L32" s="190"/>
      <c r="M32" s="190"/>
      <c r="N32" s="190"/>
      <c r="O32" s="190"/>
      <c r="P32" s="190"/>
      <c r="Q32" s="190"/>
    </row>
    <row r="33" spans="2:19" x14ac:dyDescent="0.25">
      <c r="B33" s="188">
        <v>30</v>
      </c>
      <c r="C33" s="190" t="s">
        <v>7925</v>
      </c>
      <c r="D33" s="190" t="s">
        <v>7854</v>
      </c>
      <c r="E33" s="190"/>
      <c r="F33" s="190"/>
      <c r="G33" s="190"/>
      <c r="H33" s="190"/>
      <c r="I33" s="190"/>
      <c r="J33" s="190"/>
      <c r="K33" s="190"/>
      <c r="L33" s="190"/>
      <c r="M33" s="190"/>
      <c r="N33" s="190"/>
      <c r="O33" s="190"/>
      <c r="P33" s="190"/>
      <c r="Q33" s="190"/>
    </row>
    <row r="34" spans="2:19" x14ac:dyDescent="0.25">
      <c r="B34" s="188">
        <v>31</v>
      </c>
      <c r="C34" s="190" t="s">
        <v>8741</v>
      </c>
      <c r="D34" s="190" t="s">
        <v>8555</v>
      </c>
      <c r="E34" s="190"/>
      <c r="F34" s="190"/>
      <c r="G34" s="190"/>
      <c r="H34" s="190"/>
      <c r="I34" s="190"/>
      <c r="J34" s="190"/>
      <c r="K34" s="190"/>
      <c r="L34" s="190"/>
      <c r="M34" s="190"/>
      <c r="N34" s="190"/>
      <c r="O34" s="190"/>
      <c r="P34" s="190"/>
      <c r="Q34" s="190"/>
    </row>
    <row r="35" spans="2:19" x14ac:dyDescent="0.25">
      <c r="B35" s="188">
        <v>32</v>
      </c>
      <c r="C35" s="190"/>
      <c r="D35" s="190"/>
      <c r="E35" s="190"/>
      <c r="F35" s="190"/>
      <c r="G35" s="190"/>
      <c r="H35" s="190"/>
      <c r="I35" s="190"/>
      <c r="J35" s="190"/>
      <c r="K35" s="190"/>
      <c r="L35" s="190"/>
      <c r="M35" s="190"/>
      <c r="N35" s="190"/>
      <c r="O35" s="190"/>
      <c r="P35" s="190"/>
      <c r="Q35" s="190"/>
    </row>
    <row r="36" spans="2:19" x14ac:dyDescent="0.25">
      <c r="B36" s="188">
        <v>33</v>
      </c>
      <c r="C36" s="190"/>
      <c r="D36" s="190"/>
      <c r="E36" s="190"/>
      <c r="F36" s="190"/>
      <c r="G36" s="190"/>
      <c r="H36" s="190"/>
      <c r="I36" s="190"/>
      <c r="J36" s="190"/>
      <c r="K36" s="190"/>
      <c r="L36" s="190"/>
      <c r="M36" s="190"/>
      <c r="N36" s="190"/>
      <c r="O36" s="190"/>
      <c r="P36" s="190"/>
      <c r="Q36" s="190"/>
    </row>
    <row r="37" spans="2:19" x14ac:dyDescent="0.25">
      <c r="C37" s="188">
        <f>COUNTIFS(TB_Parts_Lists[Category],C$3)</f>
        <v>303</v>
      </c>
      <c r="D37" s="188">
        <f>COUNTIFS(TB_Parts_Lists[Category],D$3)</f>
        <v>439</v>
      </c>
      <c r="E37" s="188">
        <f>COUNTIFS(TB_Parts_Lists[Category],E$3)</f>
        <v>51</v>
      </c>
      <c r="F37" s="188">
        <f>COUNTIFS(TB_Parts_Lists[Category],F$3)</f>
        <v>124</v>
      </c>
      <c r="G37" s="188">
        <f>COUNTIFS(TB_Parts_Lists[Category],G$3)</f>
        <v>180</v>
      </c>
      <c r="H37" s="188">
        <f>COUNTIFS(TB_Parts_Lists[Category],H$3)</f>
        <v>207</v>
      </c>
      <c r="I37" s="188">
        <f>COUNTIFS(TB_Parts_Lists[Category],I$3)</f>
        <v>146</v>
      </c>
      <c r="J37" s="188">
        <f>COUNTIFS(TB_Parts_Lists[Category],J$3)</f>
        <v>24</v>
      </c>
      <c r="K37" s="188">
        <f>COUNTIFS(TB_Parts_Lists[Category],K$3)</f>
        <v>87</v>
      </c>
      <c r="L37" s="188">
        <f>COUNTIFS(TB_Parts_Lists[Category],L$3)</f>
        <v>49</v>
      </c>
      <c r="M37" s="188">
        <f>COUNTIFS(TB_Parts_Lists[Category],M$3)</f>
        <v>16</v>
      </c>
      <c r="N37" s="188">
        <f>COUNTIFS(TB_Parts_Lists[Category],N$3)</f>
        <v>40</v>
      </c>
      <c r="O37" s="188">
        <f>COUNTIFS(TB_Parts_Lists[Category],O$3)</f>
        <v>21</v>
      </c>
      <c r="P37" s="188">
        <f>COUNTIFS(TB_Parts_Lists[Category],P$3)</f>
        <v>67</v>
      </c>
      <c r="Q37" s="188">
        <f>COUNTIFS(TB_Parts_Lists[Category],Q$3)</f>
        <v>28</v>
      </c>
      <c r="R37" s="188">
        <f>COUNTIFS(TB_Parts_Lists[Category],R$3)</f>
        <v>15</v>
      </c>
      <c r="S37" s="188">
        <f>COUNTIFS(TB_Parts_Lists[Category],S$3)</f>
        <v>16</v>
      </c>
    </row>
    <row r="38" spans="2:19" x14ac:dyDescent="0.25">
      <c r="B38" s="190"/>
      <c r="C38" s="190"/>
      <c r="D38" s="190"/>
      <c r="E38" s="190"/>
      <c r="F38" s="190"/>
      <c r="G38" s="190"/>
      <c r="H38" s="190"/>
      <c r="I38" s="190"/>
      <c r="J38" s="190"/>
      <c r="K38" s="190"/>
      <c r="L38" s="190"/>
      <c r="M38" s="190"/>
      <c r="N38" s="190"/>
      <c r="O38" s="190"/>
      <c r="P38" s="190"/>
      <c r="Q38" s="190"/>
    </row>
    <row r="42" spans="2:19" x14ac:dyDescent="0.25">
      <c r="B42" s="188" t="s">
        <v>4588</v>
      </c>
      <c r="C42" s="188" t="s">
        <v>4583</v>
      </c>
      <c r="D42" s="188" t="s">
        <v>4587</v>
      </c>
    </row>
    <row r="43" spans="2:19" x14ac:dyDescent="0.25">
      <c r="B43" s="188" t="s">
        <v>3329</v>
      </c>
      <c r="C43" s="188" t="s">
        <v>11</v>
      </c>
      <c r="D43" s="188">
        <v>304</v>
      </c>
    </row>
    <row r="44" spans="2:19" x14ac:dyDescent="0.25">
      <c r="B44" s="188" t="s">
        <v>3330</v>
      </c>
      <c r="C44" s="188" t="s">
        <v>12</v>
      </c>
      <c r="D44" s="188">
        <v>463</v>
      </c>
    </row>
    <row r="45" spans="2:19" x14ac:dyDescent="0.25">
      <c r="B45" s="188" t="s">
        <v>3331</v>
      </c>
      <c r="C45" s="188" t="s">
        <v>13</v>
      </c>
      <c r="D45" s="188">
        <v>51</v>
      </c>
    </row>
    <row r="46" spans="2:19" x14ac:dyDescent="0.25">
      <c r="B46" s="188" t="s">
        <v>3332</v>
      </c>
      <c r="C46" s="188" t="s">
        <v>14</v>
      </c>
      <c r="D46" s="188">
        <v>131</v>
      </c>
    </row>
    <row r="47" spans="2:19" x14ac:dyDescent="0.25">
      <c r="B47" s="188" t="s">
        <v>3333</v>
      </c>
      <c r="C47" s="188" t="s">
        <v>15</v>
      </c>
      <c r="D47" s="188">
        <v>180</v>
      </c>
    </row>
    <row r="48" spans="2:19" x14ac:dyDescent="0.25">
      <c r="B48" s="188" t="s">
        <v>3334</v>
      </c>
      <c r="C48" s="188" t="s">
        <v>16</v>
      </c>
      <c r="D48" s="188">
        <v>209</v>
      </c>
    </row>
    <row r="49" spans="2:4" x14ac:dyDescent="0.25">
      <c r="B49" s="188" t="s">
        <v>3335</v>
      </c>
      <c r="C49" s="188" t="s">
        <v>17</v>
      </c>
      <c r="D49" s="188">
        <v>148</v>
      </c>
    </row>
    <row r="50" spans="2:4" x14ac:dyDescent="0.25">
      <c r="B50" s="188" t="s">
        <v>3337</v>
      </c>
      <c r="C50" s="188" t="s">
        <v>18</v>
      </c>
      <c r="D50" s="188">
        <v>24</v>
      </c>
    </row>
    <row r="51" spans="2:4" x14ac:dyDescent="0.25">
      <c r="B51" s="188" t="s">
        <v>6619</v>
      </c>
      <c r="C51" s="188" t="s">
        <v>6621</v>
      </c>
      <c r="D51" s="188">
        <v>93</v>
      </c>
    </row>
    <row r="52" spans="2:4" x14ac:dyDescent="0.25">
      <c r="B52" s="188" t="s">
        <v>3338</v>
      </c>
      <c r="C52" s="188" t="s">
        <v>21</v>
      </c>
      <c r="D52" s="188">
        <v>61</v>
      </c>
    </row>
    <row r="53" spans="2:4" x14ac:dyDescent="0.25">
      <c r="B53" s="188" t="s">
        <v>3339</v>
      </c>
      <c r="C53" s="188" t="s">
        <v>19</v>
      </c>
      <c r="D53" s="188">
        <v>16</v>
      </c>
    </row>
    <row r="54" spans="2:4" x14ac:dyDescent="0.25">
      <c r="B54" s="188" t="s">
        <v>3340</v>
      </c>
      <c r="C54" s="188" t="s">
        <v>20</v>
      </c>
      <c r="D54" s="188">
        <v>40</v>
      </c>
    </row>
    <row r="55" spans="2:4" x14ac:dyDescent="0.25">
      <c r="B55" s="188" t="s">
        <v>3341</v>
      </c>
      <c r="C55" s="188" t="s">
        <v>3341</v>
      </c>
      <c r="D55" s="188">
        <v>21</v>
      </c>
    </row>
    <row r="56" spans="2:4" x14ac:dyDescent="0.25">
      <c r="B56" s="188" t="s">
        <v>3002</v>
      </c>
      <c r="C56" s="188" t="s">
        <v>4586</v>
      </c>
      <c r="D56" s="188">
        <v>68</v>
      </c>
    </row>
    <row r="57" spans="2:4" x14ac:dyDescent="0.25">
      <c r="B57" s="188" t="s">
        <v>4605</v>
      </c>
      <c r="C57" s="188" t="s">
        <v>4606</v>
      </c>
      <c r="D57" s="191">
        <v>14</v>
      </c>
    </row>
    <row r="58" spans="2:4" x14ac:dyDescent="0.25">
      <c r="B58" s="188" t="s">
        <v>4697</v>
      </c>
      <c r="C58" s="188" t="s">
        <v>4701</v>
      </c>
      <c r="D58" s="191">
        <v>16</v>
      </c>
    </row>
    <row r="59" spans="2:4" x14ac:dyDescent="0.25">
      <c r="B59" s="190" t="s">
        <v>7603</v>
      </c>
      <c r="C59" s="190" t="s">
        <v>7615</v>
      </c>
      <c r="D59" s="197">
        <v>28</v>
      </c>
    </row>
  </sheetData>
  <pageMargins left="0.7" right="0.7" top="0.75" bottom="0.75" header="0.3" footer="0.3"/>
  <pageSetup orientation="portrait"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election activeCell="A6" sqref="A6"/>
    </sheetView>
  </sheetViews>
  <sheetFormatPr defaultRowHeight="15" x14ac:dyDescent="0.25"/>
  <cols>
    <col min="1" max="1" width="29.28515625" customWidth="1"/>
    <col min="2" max="2" width="22.28515625" customWidth="1"/>
    <col min="3" max="3" width="27.85546875" customWidth="1"/>
  </cols>
  <sheetData>
    <row r="1" spans="1:3" x14ac:dyDescent="0.25">
      <c r="A1" t="s">
        <v>22</v>
      </c>
      <c r="B1" t="s">
        <v>5</v>
      </c>
      <c r="C1" t="s">
        <v>3</v>
      </c>
    </row>
    <row r="2" spans="1:3" x14ac:dyDescent="0.25">
      <c r="A2" t="s">
        <v>3197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55"/>
  <sheetViews>
    <sheetView topLeftCell="A31" workbookViewId="0">
      <selection activeCell="H15" sqref="H15"/>
    </sheetView>
  </sheetViews>
  <sheetFormatPr defaultRowHeight="15" x14ac:dyDescent="0.25"/>
  <cols>
    <col min="1" max="1" width="9.140625" style="185"/>
    <col min="2" max="2" width="7.85546875" style="185" bestFit="1" customWidth="1"/>
    <col min="3" max="3" width="28.28515625" bestFit="1" customWidth="1"/>
    <col min="4" max="16384" width="9.140625" style="185"/>
  </cols>
  <sheetData>
    <row r="1" spans="1:3" x14ac:dyDescent="0.25">
      <c r="A1" s="187" t="s">
        <v>4585</v>
      </c>
      <c r="B1" s="187" t="s">
        <v>4583</v>
      </c>
      <c r="C1" s="34" t="s">
        <v>4584</v>
      </c>
    </row>
    <row r="2" spans="1:3" x14ac:dyDescent="0.25">
      <c r="A2" s="186">
        <v>3</v>
      </c>
      <c r="B2" s="186">
        <v>1</v>
      </c>
      <c r="C2" s="187" t="s">
        <v>48</v>
      </c>
    </row>
    <row r="3" spans="1:3" x14ac:dyDescent="0.25">
      <c r="A3" s="186">
        <v>4</v>
      </c>
      <c r="B3" s="186">
        <v>2</v>
      </c>
      <c r="C3" s="187" t="s">
        <v>49</v>
      </c>
    </row>
    <row r="4" spans="1:3" x14ac:dyDescent="0.25">
      <c r="A4" s="186">
        <v>5</v>
      </c>
      <c r="B4" s="186">
        <v>3</v>
      </c>
      <c r="C4" s="187" t="s">
        <v>50</v>
      </c>
    </row>
    <row r="5" spans="1:3" x14ac:dyDescent="0.25">
      <c r="A5" s="186">
        <v>33</v>
      </c>
      <c r="B5" s="186">
        <v>4</v>
      </c>
      <c r="C5" s="187" t="s">
        <v>51</v>
      </c>
    </row>
    <row r="6" spans="1:3" x14ac:dyDescent="0.25">
      <c r="A6" s="186">
        <v>2</v>
      </c>
      <c r="B6" s="186">
        <v>5</v>
      </c>
      <c r="C6" s="187" t="s">
        <v>52</v>
      </c>
    </row>
    <row r="7" spans="1:3" x14ac:dyDescent="0.25">
      <c r="A7" s="186">
        <v>7</v>
      </c>
      <c r="B7" s="186">
        <v>6</v>
      </c>
      <c r="C7" s="187" t="s">
        <v>53</v>
      </c>
    </row>
    <row r="8" spans="1:3" x14ac:dyDescent="0.25">
      <c r="A8" s="186">
        <v>8</v>
      </c>
      <c r="B8" s="186">
        <v>7</v>
      </c>
      <c r="C8" s="187" t="s">
        <v>54</v>
      </c>
    </row>
    <row r="9" spans="1:3" x14ac:dyDescent="0.25">
      <c r="A9" s="186">
        <v>36</v>
      </c>
      <c r="B9" s="186">
        <v>8</v>
      </c>
      <c r="C9" s="187" t="s">
        <v>55</v>
      </c>
    </row>
    <row r="10" spans="1:3" x14ac:dyDescent="0.25">
      <c r="A10" s="186">
        <v>30</v>
      </c>
      <c r="B10" s="186">
        <v>9</v>
      </c>
      <c r="C10" s="187" t="s">
        <v>56</v>
      </c>
    </row>
    <row r="11" spans="1:3" x14ac:dyDescent="0.25">
      <c r="A11" s="186">
        <v>1</v>
      </c>
      <c r="B11" s="186">
        <v>10</v>
      </c>
      <c r="C11" s="187">
        <v>214</v>
      </c>
    </row>
    <row r="12" spans="1:3" x14ac:dyDescent="0.25">
      <c r="A12" s="186">
        <v>13</v>
      </c>
      <c r="B12" s="186">
        <v>11</v>
      </c>
      <c r="C12" s="187" t="s">
        <v>57</v>
      </c>
    </row>
    <row r="13" spans="1:3" x14ac:dyDescent="0.25">
      <c r="A13" s="186">
        <v>43</v>
      </c>
      <c r="B13" s="186">
        <v>12</v>
      </c>
      <c r="C13" s="186" t="s">
        <v>58</v>
      </c>
    </row>
    <row r="14" spans="1:3" x14ac:dyDescent="0.25">
      <c r="A14" s="186">
        <v>22</v>
      </c>
      <c r="B14" s="186">
        <v>13</v>
      </c>
      <c r="C14" s="186" t="s">
        <v>59</v>
      </c>
    </row>
    <row r="15" spans="1:3" x14ac:dyDescent="0.25">
      <c r="A15" s="186">
        <v>23</v>
      </c>
      <c r="B15" s="186">
        <v>14</v>
      </c>
      <c r="C15" s="186" t="s">
        <v>60</v>
      </c>
    </row>
    <row r="16" spans="1:3" x14ac:dyDescent="0.25">
      <c r="A16" s="186">
        <v>24</v>
      </c>
      <c r="B16" s="186">
        <v>15</v>
      </c>
      <c r="C16" s="186" t="s">
        <v>61</v>
      </c>
    </row>
    <row r="17" spans="1:3" x14ac:dyDescent="0.25">
      <c r="A17" s="186">
        <v>46</v>
      </c>
      <c r="B17" s="186">
        <v>16</v>
      </c>
      <c r="C17" s="186" t="s">
        <v>62</v>
      </c>
    </row>
    <row r="18" spans="1:3" x14ac:dyDescent="0.25">
      <c r="A18" s="186">
        <v>15</v>
      </c>
      <c r="B18" s="186">
        <v>18</v>
      </c>
      <c r="C18" s="186" t="s">
        <v>3312</v>
      </c>
    </row>
    <row r="19" spans="1:3" x14ac:dyDescent="0.25">
      <c r="A19" s="186">
        <v>14</v>
      </c>
      <c r="B19" s="186">
        <v>19</v>
      </c>
      <c r="C19" s="186" t="s">
        <v>64</v>
      </c>
    </row>
    <row r="20" spans="1:3" x14ac:dyDescent="0.25">
      <c r="A20" s="186">
        <v>37</v>
      </c>
      <c r="B20" s="186">
        <v>20</v>
      </c>
      <c r="C20" s="186" t="s">
        <v>65</v>
      </c>
    </row>
    <row r="21" spans="1:3" x14ac:dyDescent="0.25">
      <c r="A21" s="186">
        <v>38</v>
      </c>
      <c r="B21" s="186">
        <v>21</v>
      </c>
      <c r="C21" s="186" t="s">
        <v>66</v>
      </c>
    </row>
    <row r="22" spans="1:3" x14ac:dyDescent="0.25">
      <c r="A22" s="186">
        <v>39</v>
      </c>
      <c r="B22" s="186">
        <v>22</v>
      </c>
      <c r="C22" s="186" t="s">
        <v>67</v>
      </c>
    </row>
    <row r="23" spans="1:3" x14ac:dyDescent="0.25">
      <c r="A23" s="186">
        <v>47</v>
      </c>
      <c r="B23" s="186">
        <v>23</v>
      </c>
      <c r="C23" s="186" t="s">
        <v>68</v>
      </c>
    </row>
    <row r="24" spans="1:3" x14ac:dyDescent="0.25">
      <c r="A24" s="186">
        <v>11</v>
      </c>
      <c r="B24" s="186">
        <v>24</v>
      </c>
      <c r="C24" s="186" t="s">
        <v>69</v>
      </c>
    </row>
    <row r="25" spans="1:3" x14ac:dyDescent="0.25">
      <c r="A25" s="186">
        <v>49</v>
      </c>
      <c r="B25" s="186">
        <v>25</v>
      </c>
      <c r="C25" s="186" t="s">
        <v>70</v>
      </c>
    </row>
    <row r="26" spans="1:3" x14ac:dyDescent="0.25">
      <c r="A26" s="186">
        <v>25</v>
      </c>
      <c r="B26" s="186">
        <v>26</v>
      </c>
      <c r="C26" s="186" t="s">
        <v>71</v>
      </c>
    </row>
    <row r="27" spans="1:3" x14ac:dyDescent="0.25">
      <c r="A27" s="186">
        <v>19</v>
      </c>
      <c r="B27" s="186">
        <v>27</v>
      </c>
      <c r="C27" s="186" t="s">
        <v>72</v>
      </c>
    </row>
    <row r="28" spans="1:3" x14ac:dyDescent="0.25">
      <c r="A28" s="186">
        <v>40</v>
      </c>
      <c r="B28" s="186">
        <v>28</v>
      </c>
      <c r="C28" s="186" t="s">
        <v>73</v>
      </c>
    </row>
    <row r="29" spans="1:3" x14ac:dyDescent="0.25">
      <c r="A29" s="186">
        <v>35</v>
      </c>
      <c r="B29" s="186">
        <v>29</v>
      </c>
      <c r="C29" s="186" t="s">
        <v>74</v>
      </c>
    </row>
    <row r="30" spans="1:3" x14ac:dyDescent="0.25">
      <c r="A30" s="186">
        <v>48</v>
      </c>
      <c r="B30" s="186">
        <v>30</v>
      </c>
      <c r="C30" s="186" t="s">
        <v>75</v>
      </c>
    </row>
    <row r="31" spans="1:3" x14ac:dyDescent="0.25">
      <c r="A31" s="186">
        <v>31</v>
      </c>
      <c r="B31" s="186">
        <v>31</v>
      </c>
      <c r="C31" s="186" t="s">
        <v>76</v>
      </c>
    </row>
    <row r="32" spans="1:3" x14ac:dyDescent="0.25">
      <c r="A32" s="186">
        <v>42</v>
      </c>
      <c r="B32" s="186">
        <v>32</v>
      </c>
      <c r="C32" s="186" t="s">
        <v>77</v>
      </c>
    </row>
    <row r="33" spans="1:3" x14ac:dyDescent="0.25">
      <c r="A33" s="186">
        <v>41</v>
      </c>
      <c r="B33" s="186">
        <v>33</v>
      </c>
      <c r="C33" s="186" t="s">
        <v>78</v>
      </c>
    </row>
    <row r="34" spans="1:3" x14ac:dyDescent="0.25">
      <c r="A34" s="186">
        <v>44</v>
      </c>
      <c r="B34" s="186">
        <v>34</v>
      </c>
      <c r="C34" s="186" t="s">
        <v>79</v>
      </c>
    </row>
    <row r="35" spans="1:3" x14ac:dyDescent="0.25">
      <c r="A35" s="186">
        <v>21</v>
      </c>
      <c r="B35" s="186">
        <v>35</v>
      </c>
      <c r="C35" s="186" t="s">
        <v>80</v>
      </c>
    </row>
    <row r="36" spans="1:3" x14ac:dyDescent="0.25">
      <c r="A36" s="186">
        <v>17</v>
      </c>
      <c r="B36" s="186">
        <v>36</v>
      </c>
      <c r="C36" s="186" t="s">
        <v>3313</v>
      </c>
    </row>
    <row r="37" spans="1:3" x14ac:dyDescent="0.25">
      <c r="A37" s="186">
        <v>26</v>
      </c>
      <c r="B37" s="186">
        <v>37</v>
      </c>
      <c r="C37" s="186" t="s">
        <v>82</v>
      </c>
    </row>
    <row r="38" spans="1:3" x14ac:dyDescent="0.25">
      <c r="A38" s="186">
        <v>6</v>
      </c>
      <c r="B38" s="186">
        <v>38</v>
      </c>
      <c r="C38" s="186" t="s">
        <v>83</v>
      </c>
    </row>
    <row r="39" spans="1:3" x14ac:dyDescent="0.25">
      <c r="A39" s="186">
        <v>45</v>
      </c>
      <c r="B39" s="186">
        <v>39</v>
      </c>
      <c r="C39" s="186" t="s">
        <v>84</v>
      </c>
    </row>
    <row r="40" spans="1:3" x14ac:dyDescent="0.25">
      <c r="A40" s="186">
        <v>20</v>
      </c>
      <c r="B40" s="186">
        <v>40</v>
      </c>
      <c r="C40" s="186" t="s">
        <v>3314</v>
      </c>
    </row>
    <row r="41" spans="1:3" x14ac:dyDescent="0.25">
      <c r="A41" s="186">
        <v>54</v>
      </c>
      <c r="B41" s="186">
        <v>41</v>
      </c>
      <c r="C41" s="186" t="s">
        <v>3315</v>
      </c>
    </row>
    <row r="42" spans="1:3" x14ac:dyDescent="0.25">
      <c r="A42" s="186">
        <v>9</v>
      </c>
      <c r="B42" s="186">
        <v>42</v>
      </c>
      <c r="C42" s="186" t="s">
        <v>3316</v>
      </c>
    </row>
    <row r="43" spans="1:3" x14ac:dyDescent="0.25">
      <c r="A43" s="186">
        <v>10</v>
      </c>
      <c r="B43" s="186">
        <v>43</v>
      </c>
      <c r="C43" s="186" t="s">
        <v>3317</v>
      </c>
    </row>
    <row r="44" spans="1:3" x14ac:dyDescent="0.25">
      <c r="A44" s="186">
        <v>51</v>
      </c>
      <c r="B44" s="186">
        <v>44</v>
      </c>
      <c r="C44" s="186" t="s">
        <v>3318</v>
      </c>
    </row>
    <row r="45" spans="1:3" x14ac:dyDescent="0.25">
      <c r="A45" s="186">
        <v>52</v>
      </c>
      <c r="B45" s="186">
        <v>45</v>
      </c>
      <c r="C45" s="186" t="s">
        <v>3319</v>
      </c>
    </row>
    <row r="46" spans="1:3" x14ac:dyDescent="0.25">
      <c r="A46" s="186">
        <v>53</v>
      </c>
      <c r="B46" s="186">
        <v>46</v>
      </c>
      <c r="C46" s="186" t="s">
        <v>3320</v>
      </c>
    </row>
    <row r="47" spans="1:3" x14ac:dyDescent="0.25">
      <c r="A47" s="186">
        <v>16</v>
      </c>
      <c r="B47" s="186">
        <v>47</v>
      </c>
      <c r="C47" s="186" t="s">
        <v>3321</v>
      </c>
    </row>
    <row r="48" spans="1:3" x14ac:dyDescent="0.25">
      <c r="A48" s="186">
        <v>29</v>
      </c>
      <c r="B48" s="186">
        <v>48</v>
      </c>
      <c r="C48" s="186" t="s">
        <v>191</v>
      </c>
    </row>
    <row r="49" spans="1:3" x14ac:dyDescent="0.25">
      <c r="A49" s="186">
        <v>28</v>
      </c>
      <c r="B49" s="186">
        <v>49</v>
      </c>
      <c r="C49" s="186" t="s">
        <v>3322</v>
      </c>
    </row>
    <row r="50" spans="1:3" x14ac:dyDescent="0.25">
      <c r="A50" s="186">
        <v>12</v>
      </c>
      <c r="B50" s="186">
        <v>50</v>
      </c>
      <c r="C50" s="186" t="s">
        <v>3323</v>
      </c>
    </row>
    <row r="51" spans="1:3" x14ac:dyDescent="0.25">
      <c r="A51" s="186">
        <v>27</v>
      </c>
      <c r="B51" s="186">
        <v>51</v>
      </c>
      <c r="C51" s="186" t="s">
        <v>3324</v>
      </c>
    </row>
    <row r="52" spans="1:3" x14ac:dyDescent="0.25">
      <c r="A52" s="186">
        <v>32</v>
      </c>
      <c r="B52" s="186">
        <v>52</v>
      </c>
      <c r="C52" s="186" t="s">
        <v>3325</v>
      </c>
    </row>
    <row r="53" spans="1:3" x14ac:dyDescent="0.25">
      <c r="A53" s="186">
        <v>50</v>
      </c>
      <c r="B53" s="186">
        <v>53</v>
      </c>
      <c r="C53" s="186" t="s">
        <v>3326</v>
      </c>
    </row>
    <row r="54" spans="1:3" x14ac:dyDescent="0.25">
      <c r="A54" s="186">
        <v>18</v>
      </c>
      <c r="B54" s="186">
        <v>54</v>
      </c>
      <c r="C54" s="186" t="s">
        <v>3327</v>
      </c>
    </row>
    <row r="55" spans="1:3" x14ac:dyDescent="0.25">
      <c r="A55" s="186">
        <v>34</v>
      </c>
      <c r="B55" s="186">
        <v>55</v>
      </c>
      <c r="C55" s="186" t="s">
        <v>3328</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
  <sheetViews>
    <sheetView workbookViewId="0">
      <selection activeCell="H15" sqref="H15"/>
    </sheetView>
  </sheetViews>
  <sheetFormatPr defaultRowHeight="15" x14ac:dyDescent="0.25"/>
  <cols>
    <col min="3" max="3" width="16" customWidth="1"/>
  </cols>
  <sheetData>
    <row r="1" spans="1:3" x14ac:dyDescent="0.25">
      <c r="A1" t="s">
        <v>1630</v>
      </c>
      <c r="B1" t="s">
        <v>1631</v>
      </c>
      <c r="C1" t="s">
        <v>1632</v>
      </c>
    </row>
    <row r="2" spans="1:3" x14ac:dyDescent="0.25">
      <c r="A2" t="s">
        <v>27</v>
      </c>
      <c r="B2" t="s">
        <v>28</v>
      </c>
      <c r="C2">
        <v>3.67</v>
      </c>
    </row>
    <row r="3" spans="1:3" x14ac:dyDescent="0.25">
      <c r="A3" t="s">
        <v>31</v>
      </c>
      <c r="B3" t="s">
        <v>29</v>
      </c>
      <c r="C3">
        <v>1</v>
      </c>
    </row>
    <row r="4" spans="1:3" x14ac:dyDescent="0.25">
      <c r="A4" t="s">
        <v>32</v>
      </c>
      <c r="B4" t="s">
        <v>30</v>
      </c>
      <c r="C4">
        <v>4</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H15" sqref="H15"/>
    </sheetView>
  </sheetViews>
  <sheetFormatPr defaultRowHeight="15" x14ac:dyDescent="0.25"/>
  <cols>
    <col min="1" max="1" width="7.85546875" style="184" customWidth="1"/>
    <col min="2" max="2" width="15.28515625" style="184" bestFit="1" customWidth="1"/>
    <col min="3" max="16384" width="9.140625" style="184"/>
  </cols>
  <sheetData>
    <row r="1" spans="1:2" x14ac:dyDescent="0.25">
      <c r="A1" s="184" t="s">
        <v>4592</v>
      </c>
      <c r="B1" s="184" t="s">
        <v>26</v>
      </c>
    </row>
    <row r="2" spans="1:2" x14ac:dyDescent="0.25">
      <c r="A2" s="184">
        <v>1</v>
      </c>
      <c r="B2" s="184" t="s">
        <v>4593</v>
      </c>
    </row>
    <row r="3" spans="1:2" x14ac:dyDescent="0.25">
      <c r="A3" s="184">
        <v>2</v>
      </c>
      <c r="B3" s="184" t="s">
        <v>4594</v>
      </c>
    </row>
    <row r="4" spans="1:2" x14ac:dyDescent="0.25">
      <c r="A4" s="184">
        <v>3</v>
      </c>
      <c r="B4" s="184" t="s">
        <v>4595</v>
      </c>
    </row>
    <row r="5" spans="1:2" x14ac:dyDescent="0.25">
      <c r="A5" s="184">
        <v>4</v>
      </c>
      <c r="B5" s="184" t="s">
        <v>140</v>
      </c>
    </row>
    <row r="6" spans="1:2" x14ac:dyDescent="0.25">
      <c r="A6" s="184">
        <v>5</v>
      </c>
      <c r="B6" s="184" t="s">
        <v>203</v>
      </c>
    </row>
    <row r="7" spans="1:2" x14ac:dyDescent="0.25">
      <c r="A7" s="184">
        <v>6</v>
      </c>
      <c r="B7" s="184" t="s">
        <v>174</v>
      </c>
    </row>
    <row r="8" spans="1:2" x14ac:dyDescent="0.25">
      <c r="A8" s="184">
        <v>7</v>
      </c>
      <c r="B8" s="184" t="s">
        <v>195</v>
      </c>
    </row>
    <row r="9" spans="1:2" x14ac:dyDescent="0.25">
      <c r="A9" s="184">
        <v>8</v>
      </c>
      <c r="B9" s="184" t="s">
        <v>4596</v>
      </c>
    </row>
    <row r="10" spans="1:2" x14ac:dyDescent="0.25">
      <c r="A10" s="184">
        <v>9</v>
      </c>
      <c r="B10" s="184" t="s">
        <v>4597</v>
      </c>
    </row>
    <row r="11" spans="1:2" x14ac:dyDescent="0.25">
      <c r="A11" s="184">
        <v>10</v>
      </c>
      <c r="B11" s="184" t="s">
        <v>4598</v>
      </c>
    </row>
    <row r="12" spans="1:2" x14ac:dyDescent="0.25">
      <c r="A12" s="184">
        <v>11</v>
      </c>
      <c r="B12" s="184" t="s">
        <v>208</v>
      </c>
    </row>
    <row r="13" spans="1:2" x14ac:dyDescent="0.25">
      <c r="A13" s="184">
        <v>12</v>
      </c>
      <c r="B13" s="184" t="s">
        <v>135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Code_Expense</vt:lpstr>
      <vt:lpstr>Code_SubExpense</vt:lpstr>
      <vt:lpstr>Code_Equipment</vt:lpstr>
      <vt:lpstr>Codes_Status</vt:lpstr>
      <vt:lpstr>PR</vt:lpstr>
      <vt:lpstr>PURCHASE SYSTEM</vt:lpstr>
      <vt:lpstr>CONTACT REFERENCE</vt:lpstr>
      <vt:lpstr>Sheet1</vt:lpstr>
      <vt:lpstr>Parts_List</vt:lpstr>
      <vt:lpstr>Transactions</vt:lpstr>
      <vt:lpstr>Category</vt:lpstr>
      <vt:lpstr>LocationsParts</vt:lpstr>
      <vt:lpstr>Machine Ref</vt:lpstr>
      <vt:lpstr>CurrencyRates</vt:lpstr>
      <vt:lpstr>Units</vt:lpstr>
      <vt:lpstr>Code_Equipment</vt:lpstr>
      <vt:lpstr>Code_Equipment_Dropdown</vt:lpstr>
      <vt:lpstr>Code_Expense</vt:lpstr>
      <vt:lpstr>Code_Status</vt:lpstr>
      <vt:lpstr>Code_SubExpense</vt:lpstr>
      <vt:lpstr>Dropdown_Equipment</vt:lpstr>
      <vt:lpstr>Dropdown_Expense</vt:lpstr>
      <vt:lpstr>Dropdown_Status</vt:lpstr>
      <vt:lpstr>Dropdown_SubExpense</vt:lpstr>
      <vt:lpstr>'PURCHASE SYSTEM'!Equipment_Code_Range</vt:lpstr>
      <vt:lpstr>'PURCHASE SYSTEM'!Expense_Code_Range</vt:lpstr>
      <vt:lpstr>Part_catagory</vt:lpstr>
      <vt:lpstr>Partno_cat</vt:lpstr>
      <vt:lpstr>Partno_count</vt:lpstr>
      <vt:lpstr>Parts_List!Print_Area</vt:lpstr>
      <vt:lpstr>PR!Print_Area</vt:lpstr>
      <vt:lpstr>'PURCHASE SYSTEM'!Range_Status</vt:lpstr>
      <vt:lpstr>'PURCHASE SYSTEM'!SubExpense_Code_Range</vt:lpstr>
      <vt:lpstr>Units</vt:lpstr>
    </vt:vector>
  </TitlesOfParts>
  <Company>Excel Semi-Pro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MEESAM ALI</dc:creator>
  <cp:lastModifiedBy>Cclgulf</cp:lastModifiedBy>
  <cp:lastPrinted>2019-08-25T18:08:09Z</cp:lastPrinted>
  <dcterms:created xsi:type="dcterms:W3CDTF">2011-05-21T02:26:02Z</dcterms:created>
  <dcterms:modified xsi:type="dcterms:W3CDTF">2019-08-26T12:59:40Z</dcterms:modified>
</cp:coreProperties>
</file>