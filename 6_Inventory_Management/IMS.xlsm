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EA94F2D0-0DFE-4C7D-BF72-D635D91173FE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14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A16" i="7" s="1"/>
  <c r="B10" i="7"/>
  <c r="B12" i="7" s="1"/>
  <c r="B2" i="7"/>
  <c r="B6" i="7"/>
  <c r="B5" i="7"/>
  <c r="A15" i="7" l="1"/>
  <c r="A17" i="7"/>
</calcChain>
</file>

<file path=xl/sharedStrings.xml><?xml version="1.0" encoding="utf-8"?>
<sst xmlns="http://schemas.openxmlformats.org/spreadsheetml/2006/main" count="219" uniqueCount="57">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</sst>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2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40 Unit(s). And, Stock Value is $1099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Chef Collection's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$651,789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630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7.665381597224" createdVersion="5" refreshedVersion="6" minRefreshableVersion="3" recordCount="10" xr:uid="{00000000-000A-0000-FFFF-FFFF18000000}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4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2" totalsRowShown="0" headerRowDxfId="30" dataDxfId="29">
  <tableColumns count="8">
    <tableColumn id="1" xr3:uid="{00000000-0010-0000-0000-000001000000}" name="S No." dataDxfId="28"/>
    <tableColumn id="2" xr3:uid="{00000000-0010-0000-0000-000002000000}" name="Date" dataDxfId="27"/>
    <tableColumn id="3" xr3:uid="{00000000-0010-0000-0000-000003000000}" name="Product ID" dataDxfId="26"/>
    <tableColumn id="4" xr3:uid="{00000000-0010-0000-0000-000004000000}" name="Product Name" dataDxfId="25"/>
    <tableColumn id="5" xr3:uid="{00000000-0010-0000-0000-000005000000}" name="Product Description" dataDxfId="24"/>
    <tableColumn id="6" xr3:uid="{00000000-0010-0000-0000-000006000000}" name="Product Category" dataDxfId="23"/>
    <tableColumn id="7" xr3:uid="{00000000-0010-0000-0000-000007000000}" name="Quantity" dataDxfId="22"/>
    <tableColumn id="8" xr3:uid="{00000000-0010-0000-0000-000008000000}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7" totalsRowShown="0" headerRowDxfId="20" dataDxfId="19">
  <tableColumns count="8">
    <tableColumn id="1" xr3:uid="{00000000-0010-0000-0100-000001000000}" name="S No." dataDxfId="18"/>
    <tableColumn id="2" xr3:uid="{00000000-0010-0000-0100-000002000000}" name="Date" dataDxfId="17"/>
    <tableColumn id="3" xr3:uid="{00000000-0010-0000-0100-000003000000}" name="Product ID" dataDxfId="16"/>
    <tableColumn id="4" xr3:uid="{00000000-0010-0000-0100-000004000000}" name="Product Name" dataDxfId="15"/>
    <tableColumn id="5" xr3:uid="{00000000-0010-0000-0100-000005000000}" name="Product Description" dataDxfId="14"/>
    <tableColumn id="6" xr3:uid="{00000000-0010-0000-0100-000006000000}" name="Product Category" dataDxfId="13"/>
    <tableColumn id="7" xr3:uid="{00000000-0010-0000-0100-000007000000}" name="Quantity" dataDxfId="12"/>
    <tableColumn id="8" xr3:uid="{00000000-0010-0000-0100-000008000000}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Master" displayName="ProductMaster" ref="A1:I11" totalsRowShown="0" headerRowDxfId="10" dataDxfId="9">
  <tableColumns count="9">
    <tableColumn id="1" xr3:uid="{00000000-0010-0000-0200-000001000000}" name="S No." dataDxfId="8"/>
    <tableColumn id="2" xr3:uid="{00000000-0010-0000-0200-000002000000}" name="Product ID" dataDxfId="7"/>
    <tableColumn id="3" xr3:uid="{00000000-0010-0000-0200-000003000000}" name="Product Name" dataDxfId="6"/>
    <tableColumn id="4" xr3:uid="{00000000-0010-0000-0200-000004000000}" name="Product Description" dataDxfId="5"/>
    <tableColumn id="5" xr3:uid="{00000000-0010-0000-0200-000005000000}" name="Product Category" dataDxfId="4"/>
    <tableColumn id="8" xr3:uid="{00000000-0010-0000-0200-000008000000}" name="Unit Price" dataDxfId="3"/>
    <tableColumn id="6" xr3:uid="{00000000-0010-0000-0200-000006000000}" name="Reorder Level" dataDxfId="2"/>
    <tableColumn id="7" xr3:uid="{00000000-0010-0000-0200-000007000000}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xr3:uid="{00000000-0010-0000-0200-000009000000}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9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46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</sheetData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630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651789.04999999993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330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6" t="s">
        <v>32</v>
      </c>
      <c r="G6" s="17">
        <v>630</v>
      </c>
    </row>
    <row r="7" spans="1:7" x14ac:dyDescent="0.25">
      <c r="A7" t="s">
        <v>52</v>
      </c>
      <c r="B7" s="21">
        <f>MATCH(Dashboard!K12,ProductMaster[Product Name],0)</f>
        <v>3</v>
      </c>
    </row>
    <row r="8" spans="1:7" x14ac:dyDescent="0.25">
      <c r="A8" t="s">
        <v>3</v>
      </c>
      <c r="B8" s="21" t="str">
        <f>VLOOKUP(B7,ProductMaster[#All],3,0)</f>
        <v>Chef Collection</v>
      </c>
    </row>
    <row r="9" spans="1:7" x14ac:dyDescent="0.25">
      <c r="A9" t="s">
        <v>11</v>
      </c>
      <c r="B9">
        <f>VLOOKUP(B7,ProductMaster[#All],7,0)</f>
        <v>10</v>
      </c>
    </row>
    <row r="10" spans="1:7" x14ac:dyDescent="0.25">
      <c r="A10" t="s">
        <v>55</v>
      </c>
      <c r="B10">
        <f>VLOOKUP(B7,ProductMaster[#All],8,0)</f>
        <v>40</v>
      </c>
    </row>
    <row r="11" spans="1:7" x14ac:dyDescent="0.25">
      <c r="A11" t="s">
        <v>26</v>
      </c>
      <c r="B11" s="13">
        <f>VLOOKUP(B7,ProductMaster[#All],6,0)</f>
        <v>1099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40 Unit(s). And, Stock Value is $1099</v>
      </c>
    </row>
    <row r="13" spans="1:7" x14ac:dyDescent="0.25">
      <c r="A13" t="s">
        <v>54</v>
      </c>
      <c r="B13" t="str">
        <f>B8&amp;"'s"</f>
        <v>Chef Collection's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150</v>
      </c>
      <c r="I8" s="26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Cclgulf</cp:lastModifiedBy>
  <dcterms:created xsi:type="dcterms:W3CDTF">2016-08-05T04:56:17Z</dcterms:created>
  <dcterms:modified xsi:type="dcterms:W3CDTF">2019-11-18T11:58:09Z</dcterms:modified>
  <cp:contentStatus/>
</cp:coreProperties>
</file>