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881807F2-B313-4285-BCF1-178AC7B58865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3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<sst xmlns="http://schemas.openxmlformats.org/spreadsheetml/2006/main" count="223" uniqueCount="57">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</sst>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5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240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Do Something, Stock is Below Re-Order Level.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60 Unit(s). And, Stock Value is $700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Note 7's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$588,790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12</xdr:col>
      <xdr:colOff>257175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 baseline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 baseline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1" cap="none" spc="0" baseline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9.467635300927" createdVersion="5" refreshedVersion="6" minRefreshableVersion="3" recordCount="10" xr:uid="{00000000-000A-0000-FFFF-FFFF18000000}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60"/>
    <n v="41999.4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2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8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1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49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540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588789.94999999995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240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  <c r="F6" s="16" t="s">
        <v>32</v>
      </c>
      <c r="G6" s="17">
        <v>540</v>
      </c>
    </row>
    <row r="7" spans="1:7" x14ac:dyDescent="0.25">
      <c r="A7" t="s">
        <v>52</v>
      </c>
      <c r="B7" s="21">
        <f>MATCH(Dashboard!K12,ProductMaster[Product Name],0)</f>
        <v>7</v>
      </c>
    </row>
    <row r="8" spans="1:7" x14ac:dyDescent="0.25">
      <c r="A8" t="s">
        <v>3</v>
      </c>
      <c r="B8" s="21" t="str">
        <f>VLOOKUP(B7,ProductMaster[#All],3,0)</f>
        <v>Galaxy Note 7</v>
      </c>
    </row>
    <row r="9" spans="1:7" x14ac:dyDescent="0.25">
      <c r="A9" t="s">
        <v>11</v>
      </c>
      <c r="B9">
        <f>VLOOKUP(B7,ProductMaster[#All],7,0)</f>
        <v>80</v>
      </c>
    </row>
    <row r="10" spans="1:7" x14ac:dyDescent="0.25">
      <c r="A10" t="s">
        <v>55</v>
      </c>
      <c r="B10">
        <f>VLOOKUP(B7,ProductMaster[#All],8,0)</f>
        <v>60</v>
      </c>
    </row>
    <row r="11" spans="1:7" x14ac:dyDescent="0.25">
      <c r="A11" t="s">
        <v>26</v>
      </c>
      <c r="B11" s="13">
        <f>VLOOKUP(B7,ProductMaster[#All],6,0)</f>
        <v>699.99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60 Unit(s). And, Stock Value is $700</v>
      </c>
    </row>
    <row r="13" spans="1:7" x14ac:dyDescent="0.25">
      <c r="A13" t="s">
        <v>54</v>
      </c>
      <c r="B13" t="str">
        <f>B8&amp;"'s"</f>
        <v>Galaxy Note 7's</v>
      </c>
    </row>
    <row r="15" spans="1:7" x14ac:dyDescent="0.25">
      <c r="A15" t="str">
        <f>IF(B10&gt;B9,"Relax! Stock Is Above Re-Order Level.","")</f>
        <v/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2"/>
  <sheetViews>
    <sheetView showGridLines="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  <row r="8" spans="1:8" x14ac:dyDescent="0.25">
      <c r="A8" s="53">
        <v>18</v>
      </c>
      <c r="B8" s="54">
        <v>43787</v>
      </c>
      <c r="C8" s="53" t="s">
        <v>19</v>
      </c>
      <c r="D8" s="53" t="s">
        <v>49</v>
      </c>
      <c r="E8" s="53" t="s">
        <v>34</v>
      </c>
      <c r="F8" s="53" t="s">
        <v>33</v>
      </c>
      <c r="G8" s="53">
        <v>90</v>
      </c>
      <c r="H8" s="55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1"/>
  <sheetViews>
    <sheetView showGridLines="0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60</v>
      </c>
      <c r="I8" s="26">
        <f>SUMIFS(StockInData[Value],StockInData[Product ID],ProductMaster[[#This Row],[Product ID]])-SUMIFS(StockOutData[Value],StockOutData[Product ID],ProductMaster[[#This Row],[Product ID]])</f>
        <v>41999.4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2016-08-05T04:56:17Z</dcterms:created>
  <dcterms:modified xsi:type="dcterms:W3CDTF">2019-11-20T07:13:23Z</dcterms:modified>
  <cp:contentStatus/>
</cp:coreProperties>
</file>