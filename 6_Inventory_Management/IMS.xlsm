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62913"/>
  <pivotCaches>
    <pivotCache cacheId="49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5" l="1"/>
  <c r="B7" i="7"/>
  <c r="B11" i="7" s="1"/>
  <c r="H11" i="4"/>
  <c r="I11" i="4"/>
  <c r="H3" i="4"/>
  <c r="H4" i="4"/>
  <c r="H5" i="4"/>
  <c r="H6" i="4"/>
  <c r="H7" i="4"/>
  <c r="H8" i="4"/>
  <c r="H9" i="4"/>
  <c r="H10" i="4"/>
  <c r="H2" i="4"/>
  <c r="B3" i="7"/>
  <c r="B4" i="7"/>
  <c r="B5" i="10"/>
  <c r="I2" i="4"/>
  <c r="I3" i="4"/>
  <c r="I4" i="4"/>
  <c r="I5" i="4"/>
  <c r="I6" i="4"/>
  <c r="I7" i="4"/>
  <c r="I8" i="4"/>
  <c r="I9" i="4"/>
  <c r="I10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B10" i="7"/>
  <c r="B12" i="7" s="1"/>
  <c r="B2" i="7"/>
  <c r="B6" i="7"/>
  <c r="B5" i="7"/>
  <c r="A16" i="7" l="1"/>
  <c r="A15" i="7"/>
  <c r="A17" i="7"/>
</calcChain>
</file>

<file path=xl/sharedStrings.xml><?xml version="1.0" encoding="utf-8"?>
<sst xmlns="http://schemas.openxmlformats.org/spreadsheetml/2006/main" count="223" uniqueCount="57">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</sst>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2" formatCode="_(&quot;$&quot;* #,##0_);_(&quot;$&quot;* \(#,##0\);_(&quot;$&quot;* &quot;-&quot;_);_(@_)"/>
  </numFmts>
  <fonts count="11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i/>
      <sz val="11"/>
      <color theme="0" tint="-0.499984740745262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4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2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42" fontId="1" fillId="0" borderId="0" xfId="0" applyNumberFormat="1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9" fillId="2" borderId="3" xfId="0" applyFont="1" applyFill="1" applyBorder="1" applyAlignment="1" applyProtection="1">
      <alignment horizontal="right"/>
      <protection locked="0"/>
    </xf>
    <xf numFmtId="15" fontId="9" fillId="2" borderId="3" xfId="0" applyNumberFormat="1" applyFont="1" applyFill="1" applyBorder="1" applyAlignment="1" applyProtection="1">
      <alignment horizontal="right" vertical="center"/>
      <protection locked="0"/>
    </xf>
    <xf numFmtId="42" fontId="9" fillId="2" borderId="3" xfId="0" applyNumberFormat="1" applyFont="1" applyFill="1" applyBorder="1" applyAlignment="1" applyProtection="1">
      <alignment horizontal="right" indent="3"/>
      <protection locked="0"/>
    </xf>
    <xf numFmtId="0" fontId="9" fillId="2" borderId="1" xfId="0" applyFont="1" applyFill="1" applyBorder="1" applyAlignment="1" applyProtection="1">
      <alignment horizontal="right"/>
      <protection locked="0"/>
    </xf>
    <xf numFmtId="0" fontId="9" fillId="2" borderId="0" xfId="0" applyFont="1" applyFill="1"/>
    <xf numFmtId="0" fontId="9" fillId="0" borderId="0" xfId="0" applyFont="1"/>
    <xf numFmtId="0" fontId="9" fillId="4" borderId="2" xfId="0" applyFont="1" applyFill="1" applyBorder="1" applyAlignment="1">
      <alignment vertical="center"/>
    </xf>
    <xf numFmtId="0" fontId="9" fillId="4" borderId="3" xfId="0" applyFont="1" applyFill="1" applyBorder="1" applyAlignment="1">
      <alignment horizontal="right" vertical="center"/>
    </xf>
    <xf numFmtId="15" fontId="9" fillId="4" borderId="3" xfId="0" applyNumberFormat="1" applyFont="1" applyFill="1" applyBorder="1" applyAlignment="1">
      <alignment horizontal="right" vertical="center"/>
    </xf>
    <xf numFmtId="0" fontId="9" fillId="4" borderId="3" xfId="0" applyFont="1" applyFill="1" applyBorder="1" applyAlignment="1">
      <alignment horizontal="right"/>
    </xf>
    <xf numFmtId="0" fontId="9" fillId="4" borderId="4" xfId="0" applyFont="1" applyFill="1" applyBorder="1" applyAlignment="1">
      <alignment vertical="center"/>
    </xf>
    <xf numFmtId="42" fontId="9" fillId="4" borderId="1" xfId="0" applyNumberFormat="1" applyFont="1" applyFill="1" applyBorder="1" applyAlignment="1">
      <alignment horizontal="right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15" fontId="10" fillId="0" borderId="0" xfId="0" applyNumberFormat="1" applyFont="1" applyAlignment="1">
      <alignment horizontal="center"/>
    </xf>
    <xf numFmtId="42" fontId="10" fillId="0" borderId="0" xfId="0" applyNumberFormat="1" applyFont="1" applyAlignment="1">
      <alignment horizontal="center"/>
    </xf>
    <xf numFmtId="0" fontId="7" fillId="5" borderId="5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1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96789"/>
      <color rgb="FF0000EE"/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[IMS.xlsm]Help!PivotTable1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Help!$F$2:$F$6</c:f>
              <c:strCache>
                <c:ptCount val="4"/>
                <c:pt idx="0">
                  <c:v>Home Appliances</c:v>
                </c:pt>
                <c:pt idx="1">
                  <c:v>Mobile Phone</c:v>
                </c:pt>
                <c:pt idx="2">
                  <c:v>Tablet</c:v>
                </c:pt>
                <c:pt idx="3">
                  <c:v>Laptop</c:v>
                </c:pt>
              </c:strCache>
            </c:strRef>
          </c:cat>
          <c:val>
            <c:numRef>
              <c:f>Help!$G$2:$G$6</c:f>
              <c:numCache>
                <c:formatCode>General</c:formatCode>
                <c:ptCount val="4"/>
                <c:pt idx="0">
                  <c:v>170</c:v>
                </c:pt>
                <c:pt idx="1">
                  <c:v>240</c:v>
                </c:pt>
                <c:pt idx="2">
                  <c:v>100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A17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A15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A16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B13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Galaxy Tab A's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B12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Current Stock is 70 Unit(s). And, Stock Value is $280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28734"/>
    <xdr:sp macro="" textlink="Help!B2">
      <xdr:nvSpPr>
        <xdr:cNvPr id="33" name="CurrentStock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181351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$588,790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286500" y="1152525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429750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90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12</xdr:col>
      <xdr:colOff>138677</xdr:colOff>
      <xdr:row>8</xdr:row>
      <xdr:rowOff>150310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368277" y="167431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D15B8E7-67D6-4C05-B3EC-D9F772DEF47E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540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0</xdr:rowOff>
    </xdr:from>
    <xdr:to>
      <xdr:col>12</xdr:col>
      <xdr:colOff>257175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6943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6943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3</xdr:col>
      <xdr:colOff>657225</xdr:colOff>
      <xdr:row>24</xdr:row>
      <xdr:rowOff>0</xdr:rowOff>
    </xdr:to>
    <xdr:sp macro="" textlink="">
      <xdr:nvSpPr>
        <xdr:cNvPr id="4" name="MenuBa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2714625" cy="457200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66675</xdr:colOff>
      <xdr:row>0</xdr:row>
      <xdr:rowOff>28575</xdr:rowOff>
    </xdr:from>
    <xdr:to>
      <xdr:col>0</xdr:col>
      <xdr:colOff>561974</xdr:colOff>
      <xdr:row>2</xdr:row>
      <xdr:rowOff>142874</xdr:rowOff>
    </xdr:to>
    <xdr:pic macro="[0]!CloseMenu">
      <xdr:nvPicPr>
        <xdr:cNvPr id="21" name="Back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3</xdr:col>
      <xdr:colOff>647700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05100" y="0"/>
          <a:ext cx="9782175" cy="4572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800" b="0" u="sng" cap="none" spc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Instructions</a:t>
          </a:r>
        </a:p>
        <a:p>
          <a:pPr marL="0" indent="0" algn="ctr"/>
          <a:endParaRPr lang="en-US" sz="1800" b="0" cap="none" spc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Once you fill user</a:t>
          </a: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 b="1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66675</xdr:colOff>
      <xdr:row>7</xdr:row>
      <xdr:rowOff>47625</xdr:rowOff>
    </xdr:from>
    <xdr:to>
      <xdr:col>1</xdr:col>
      <xdr:colOff>651891</xdr:colOff>
      <xdr:row>9</xdr:row>
      <xdr:rowOff>38100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381125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7</xdr:row>
      <xdr:rowOff>47623</xdr:rowOff>
    </xdr:from>
    <xdr:to>
      <xdr:col>3</xdr:col>
      <xdr:colOff>613792</xdr:colOff>
      <xdr:row>9</xdr:row>
      <xdr:rowOff>41527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381123"/>
          <a:ext cx="127101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9</xdr:row>
      <xdr:rowOff>133350</xdr:rowOff>
    </xdr:from>
    <xdr:to>
      <xdr:col>3</xdr:col>
      <xdr:colOff>523876</xdr:colOff>
      <xdr:row>11</xdr:row>
      <xdr:rowOff>123825</xdr:rowOff>
    </xdr:to>
    <xdr:sp macro="" textlink="">
      <xdr:nvSpPr>
        <xdr:cNvPr id="12" name="ReportHeadi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847850"/>
          <a:ext cx="2581276" cy="371475"/>
        </a:xfrm>
        <a:prstGeom prst="roundRect">
          <a:avLst>
            <a:gd name="adj" fmla="val 6140"/>
          </a:avLst>
        </a:prstGeom>
        <a:solidFill>
          <a:schemeClr val="accent2">
            <a:lumMod val="60000"/>
            <a:lumOff val="4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Original Data</a:t>
          </a:r>
          <a:r>
            <a:rPr lang="en-US" sz="1400" b="0" baseline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Sheets</a:t>
          </a:r>
          <a:endParaRPr lang="en-US" sz="1400" b="0">
            <a:solidFill>
              <a:srgbClr val="0070C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66674</xdr:colOff>
      <xdr:row>12</xdr:row>
      <xdr:rowOff>57149</xdr:rowOff>
    </xdr:from>
    <xdr:to>
      <xdr:col>1</xdr:col>
      <xdr:colOff>647699</xdr:colOff>
      <xdr:row>14</xdr:row>
      <xdr:rowOff>60197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343149"/>
          <a:ext cx="1266825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12</xdr:row>
      <xdr:rowOff>57150</xdr:rowOff>
    </xdr:from>
    <xdr:to>
      <xdr:col>3</xdr:col>
      <xdr:colOff>604266</xdr:colOff>
      <xdr:row>14</xdr:row>
      <xdr:rowOff>60198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343150"/>
          <a:ext cx="1271016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57148</xdr:colOff>
      <xdr:row>4</xdr:row>
      <xdr:rowOff>85724</xdr:rowOff>
    </xdr:from>
    <xdr:to>
      <xdr:col>3</xdr:col>
      <xdr:colOff>609599</xdr:colOff>
      <xdr:row>6</xdr:row>
      <xdr:rowOff>79628</xdr:rowOff>
    </xdr:to>
    <xdr:sp macro="[0]!EnterNewProductSheet" textlink="">
      <xdr:nvSpPr>
        <xdr:cNvPr id="7" name="NewProduc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847724"/>
          <a:ext cx="260985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38100</xdr:colOff>
      <xdr:row>19</xdr:row>
      <xdr:rowOff>57149</xdr:rowOff>
    </xdr:from>
    <xdr:to>
      <xdr:col>3</xdr:col>
      <xdr:colOff>581025</xdr:colOff>
      <xdr:row>22</xdr:row>
      <xdr:rowOff>0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8100" y="3676649"/>
          <a:ext cx="2600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15</xdr:row>
      <xdr:rowOff>38099</xdr:rowOff>
    </xdr:from>
    <xdr:to>
      <xdr:col>3</xdr:col>
      <xdr:colOff>600076</xdr:colOff>
      <xdr:row>17</xdr:row>
      <xdr:rowOff>32003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895599"/>
          <a:ext cx="258127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523876</xdr:colOff>
      <xdr:row>4</xdr:row>
      <xdr:rowOff>66675</xdr:rowOff>
    </xdr:to>
    <xdr:sp macro="" textlink="">
      <xdr:nvSpPr>
        <xdr:cNvPr id="30" name="UserformHeading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45720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361950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787.995301157411" createdVersion="5" refreshedVersion="6" minRefreshableVersion="3" recordCount="10">
  <cacheSource type="worksheet">
    <worksheetSource name="ProductMaster"/>
  </cacheSource>
  <cacheFields count="9">
    <cacheField name="S No." numFmtId="0">
      <sharedItems containsSemiMixedTypes="0" containsString="0" containsNumber="1" containsInteger="1" minValue="1" maxValue="10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ntainsBlank="1" count="5">
        <s v="Home Appliances"/>
        <s v="Mobile Phone"/>
        <s v="Tablet"/>
        <s v="Laptop"/>
        <m u="1"/>
      </sharedItems>
    </cacheField>
    <cacheField name="Unit Price" numFmtId="42">
      <sharedItems containsSemiMixedTypes="0" containsString="0" containsNumber="1" minValue="169" maxValue="5599"/>
    </cacheField>
    <cacheField name="Reorder Level" numFmtId="0">
      <sharedItems containsSemiMixedTypes="0" containsString="0" containsNumber="1" containsInteger="1" minValue="5" maxValue="120"/>
    </cacheField>
    <cacheField name="Current Stock" numFmtId="0">
      <sharedItems containsSemiMixedTypes="0" containsString="0" containsNumber="1" containsInteger="1" minValue="5" maxValue="180"/>
    </cacheField>
    <cacheField name="Value" numFmtId="42">
      <sharedItems containsSemiMixedTypes="0" containsString="0" containsNumber="1" minValue="2535" maxValue="2519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n v="1"/>
    <s v="P000024"/>
    <s v="Add Wash"/>
    <s v="Washing Machine"/>
    <x v="0"/>
    <n v="350"/>
    <n v="20"/>
    <n v="65"/>
    <n v="22750"/>
  </r>
  <r>
    <n v="2"/>
    <s v="P000036"/>
    <s v="4 Door Flex"/>
    <s v="Refrigerator"/>
    <x v="0"/>
    <n v="5599"/>
    <n v="15"/>
    <n v="45"/>
    <n v="251955"/>
  </r>
  <r>
    <n v="3"/>
    <s v="P000042"/>
    <s v="Chef Collection"/>
    <s v="Dishwasher"/>
    <x v="0"/>
    <n v="1099"/>
    <n v="10"/>
    <n v="40"/>
    <n v="43960"/>
  </r>
  <r>
    <n v="4"/>
    <s v="P000010"/>
    <s v="Grill"/>
    <s v="Microwave"/>
    <x v="0"/>
    <n v="169"/>
    <n v="8"/>
    <n v="15"/>
    <n v="2535"/>
  </r>
  <r>
    <n v="5"/>
    <s v="P000020"/>
    <s v="Power Bot"/>
    <s v="Vaccum Cleaner"/>
    <x v="0"/>
    <n v="999.99"/>
    <n v="5"/>
    <n v="5"/>
    <n v="4999.95"/>
  </r>
  <r>
    <n v="6"/>
    <s v="P000018"/>
    <s v="Galaxy S7"/>
    <s v="Smart Phone"/>
    <x v="1"/>
    <n v="849.99"/>
    <n v="120"/>
    <n v="180"/>
    <n v="152998.20000000001"/>
  </r>
  <r>
    <n v="7"/>
    <s v="P000006"/>
    <s v="Galaxy Note 7"/>
    <s v="Smart Phone"/>
    <x v="1"/>
    <n v="699.99"/>
    <n v="80"/>
    <n v="60"/>
    <n v="41999.4"/>
  </r>
  <r>
    <n v="8"/>
    <s v="P000015"/>
    <s v="Galaxy Tab A"/>
    <s v="Smart Phone"/>
    <x v="2"/>
    <n v="279.89999999999998"/>
    <n v="60"/>
    <n v="70"/>
    <n v="19593"/>
  </r>
  <r>
    <n v="9"/>
    <s v="P000017"/>
    <s v="Galaxy Tab S2"/>
    <s v="Smart Phone"/>
    <x v="2"/>
    <n v="399.99"/>
    <n v="15"/>
    <n v="30"/>
    <n v="11999.7"/>
  </r>
  <r>
    <n v="10"/>
    <s v="P000022"/>
    <s v="Notebook 9"/>
    <s v="Laptop"/>
    <x v="3"/>
    <n v="1199.99"/>
    <n v="30"/>
    <n v="30"/>
    <n v="35999.6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9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6" firstHeaderRow="1" firstDataRow="1" firstDataCol="1"/>
  <pivotFields count="9">
    <pivotField showAll="0"/>
    <pivotField showAll="0"/>
    <pivotField showAll="0"/>
    <pivotField showAll="0"/>
    <pivotField axis="axisRow" showAll="0">
      <items count="6">
        <item x="0"/>
        <item m="1" x="4"/>
        <item x="1"/>
        <item x="2"/>
        <item x="3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5">
    <i>
      <x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H22" totalsRowShown="0" headerRowDxfId="30" dataDxfId="29">
  <tableColumns count="8">
    <tableColumn id="1" name="S No." dataDxfId="28"/>
    <tableColumn id="2" name="Date" dataDxfId="27"/>
    <tableColumn id="3" name="Product ID" dataDxfId="26"/>
    <tableColumn id="4" name="Product Name" dataDxfId="25"/>
    <tableColumn id="5" name="Product Description" dataDxfId="24"/>
    <tableColumn id="6" name="Product Category" dataDxfId="23"/>
    <tableColumn id="7" name="Quantity" dataDxfId="22"/>
    <tableColumn id="8" name="Value" dataDxfId="2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8" totalsRowShown="0" headerRowDxfId="20" dataDxfId="19">
  <tableColumns count="8">
    <tableColumn id="1" name="S No." dataDxfId="18"/>
    <tableColumn id="2" name="Date" dataDxfId="17"/>
    <tableColumn id="3" name="Product ID" dataDxfId="16"/>
    <tableColumn id="4" name="Product Name" dataDxfId="15"/>
    <tableColumn id="5" name="Product Description" dataDxfId="14"/>
    <tableColumn id="6" name="Product Category" dataDxfId="13"/>
    <tableColumn id="7" name="Quantity" dataDxfId="12"/>
    <tableColumn id="8" name="Value" dataDxfId="1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3" name="ProductMaster" displayName="ProductMaster" ref="A1:I11" totalsRowShown="0" headerRowDxfId="10" dataDxfId="9">
  <tableColumns count="9">
    <tableColumn id="1" name="S No." dataDxfId="8"/>
    <tableColumn id="2" name="Product ID" dataDxfId="7"/>
    <tableColumn id="3" name="Product Name" dataDxfId="6"/>
    <tableColumn id="4" name="Product Description" dataDxfId="5"/>
    <tableColumn id="5" name="Product Category" dataDxfId="4"/>
    <tableColumn id="8" name="Unit Price" dataDxfId="3"/>
    <tableColumn id="6" name="Reorder Level" dataDxfId="2"/>
    <tableColumn id="7" name="Current Stock" dataDxfId="1">
      <calculatedColumnFormula>SUMIFS(StockInData[Quantity],StockInData[Product ID],ProductMaster[[#This Row],[Product ID]])-SUMIFS(StockOutData[Quantity],StockOutData[Product ID],ProductMaster[[#This Row],[Product ID]])</calculatedColumnFormula>
    </tableColumn>
    <tableColumn id="9" name="Value" dataDxfId="0">
      <calculatedColumnFormula>SUMIFS(StockInData[Value],StockInData[Product ID],ProductMaster[[#This Row],[Product ID]])-SUMIFS(StockOutData[Value],StockOutData[Product ID],ProductMaster[[#This Row],[Product ID]])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5"/>
  <sheetViews>
    <sheetView showGridLines="0" showRowColHeaders="0" tabSelected="1" zoomScaleNormal="100" workbookViewId="0">
      <selection activeCell="K12" sqref="K12:L12"/>
    </sheetView>
  </sheetViews>
  <sheetFormatPr defaultColWidth="0" defaultRowHeight="15" zeroHeight="1" x14ac:dyDescent="0.25"/>
  <cols>
    <col min="1" max="18" width="9" customWidth="1"/>
    <col min="19" max="19" width="1.875" customWidth="1"/>
    <col min="20" max="16384" width="9" hidden="1"/>
  </cols>
  <sheetData>
    <row r="1" spans="1:19" x14ac:dyDescent="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1:19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19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</row>
    <row r="4" spans="1:19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</row>
    <row r="5" spans="1:19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19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1:19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1:19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1:19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1:19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1:19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1:19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56" t="s">
        <v>38</v>
      </c>
      <c r="L12" s="56"/>
      <c r="M12" s="27"/>
      <c r="N12" s="27"/>
      <c r="O12" s="27"/>
      <c r="P12" s="27"/>
      <c r="Q12" s="27"/>
      <c r="R12" s="27"/>
      <c r="S12" s="27"/>
    </row>
    <row r="13" spans="1:19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1:19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1:19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1:19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1:19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1:19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19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1:19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1:19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1:19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1:19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1:19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</sheetData>
  <sheetProtection password="CC72" sheet="1" objects="1" scenarios="1" formatCells="0" formatColumns="0" formatRows="0" insertColumns="0" insertRows="0" insertHyperlinks="0" deleteColumns="0" deleteRows="0" sort="0" autoFilter="0"/>
  <mergeCells count="1">
    <mergeCell ref="K12:L12"/>
  </mergeCells>
  <dataValidations count="1">
    <dataValidation type="list" allowBlank="1" showInputMessage="1" showErrorMessage="1" sqref="K12:L12">
      <formula1>INDIRECT("ProductMaster[Product Name]")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A11" sqref="A1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3.87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SUM(ProductMaster[Current Stock])&amp; " Unit(s)"</f>
        <v>540 Unit(s)</v>
      </c>
      <c r="D1" s="14"/>
      <c r="E1" s="14"/>
      <c r="F1" s="15" t="s">
        <v>31</v>
      </c>
      <c r="G1" t="s">
        <v>37</v>
      </c>
    </row>
    <row r="2" spans="1:7" x14ac:dyDescent="0.25">
      <c r="A2" t="s">
        <v>26</v>
      </c>
      <c r="B2" s="13">
        <f>SUM(ProductMaster[Value])</f>
        <v>588789.94999999995</v>
      </c>
      <c r="F2" s="16" t="s">
        <v>10</v>
      </c>
      <c r="G2" s="17">
        <v>170</v>
      </c>
    </row>
    <row r="3" spans="1:7" x14ac:dyDescent="0.25">
      <c r="A3" t="s">
        <v>27</v>
      </c>
      <c r="B3" s="14">
        <f ca="1">DATE(YEAR(TODAY()),MONTH(TODAY()),1)-1</f>
        <v>43769</v>
      </c>
      <c r="F3" s="16" t="s">
        <v>33</v>
      </c>
      <c r="G3" s="17">
        <v>240</v>
      </c>
    </row>
    <row r="4" spans="1:7" x14ac:dyDescent="0.25">
      <c r="A4" t="s">
        <v>28</v>
      </c>
      <c r="B4" s="14">
        <f ca="1">EOMONTH(TODAY(),0)+1</f>
        <v>43800</v>
      </c>
      <c r="F4" s="16" t="s">
        <v>35</v>
      </c>
      <c r="G4" s="17">
        <v>100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5 Unit(s)</v>
      </c>
      <c r="F5" s="16" t="s">
        <v>36</v>
      </c>
      <c r="G5" s="17">
        <v>30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90 Unit(s)</v>
      </c>
      <c r="F6" s="16" t="s">
        <v>32</v>
      </c>
      <c r="G6" s="17">
        <v>540</v>
      </c>
    </row>
    <row r="7" spans="1:7" x14ac:dyDescent="0.25">
      <c r="A7" t="s">
        <v>52</v>
      </c>
      <c r="B7" s="21">
        <f>MATCH(Dashboard!K12,ProductMaster[Product Name],0)</f>
        <v>8</v>
      </c>
    </row>
    <row r="8" spans="1:7" x14ac:dyDescent="0.25">
      <c r="A8" t="s">
        <v>3</v>
      </c>
      <c r="B8" s="21" t="str">
        <f>VLOOKUP(B7,ProductMaster[#All],3,0)</f>
        <v>Galaxy Tab A</v>
      </c>
    </row>
    <row r="9" spans="1:7" x14ac:dyDescent="0.25">
      <c r="A9" t="s">
        <v>11</v>
      </c>
      <c r="B9">
        <f>VLOOKUP(B7,ProductMaster[#All],7,0)</f>
        <v>60</v>
      </c>
    </row>
    <row r="10" spans="1:7" x14ac:dyDescent="0.25">
      <c r="A10" t="s">
        <v>55</v>
      </c>
      <c r="B10">
        <f>VLOOKUP(B7,ProductMaster[#All],8,0)</f>
        <v>70</v>
      </c>
    </row>
    <row r="11" spans="1:7" x14ac:dyDescent="0.25">
      <c r="A11" t="s">
        <v>26</v>
      </c>
      <c r="B11" s="13">
        <f>VLOOKUP(B7,ProductMaster[#All],6,0)</f>
        <v>279.89999999999998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70 Unit(s). And, Stock Value is $280</v>
      </c>
    </row>
    <row r="13" spans="1:7" x14ac:dyDescent="0.25">
      <c r="A13" t="s">
        <v>54</v>
      </c>
      <c r="B13" t="str">
        <f>B8&amp;"'s"</f>
        <v>Galaxy Tab A's</v>
      </c>
    </row>
    <row r="15" spans="1:7" x14ac:dyDescent="0.25">
      <c r="A15" t="str">
        <f>IF(B10&gt;B9,"Relax! Stock Is Above Re-Order Level.","")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"/>
  <sheetViews>
    <sheetView showGridLines="0" workbookViewId="0">
      <selection activeCell="B5" sqref="B5:B12"/>
    </sheetView>
  </sheetViews>
  <sheetFormatPr defaultColWidth="0" defaultRowHeight="15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s="40" customFormat="1" ht="27.75" customHeight="1" x14ac:dyDescent="0.2">
      <c r="A5" s="41" t="s">
        <v>0</v>
      </c>
      <c r="B5" s="42" t="str">
        <f>IF(B8="","",(MAX(StockInData[S No.])+1))</f>
        <v/>
      </c>
      <c r="C5" s="39"/>
    </row>
    <row r="6" spans="1:3" s="40" customFormat="1" ht="27.75" customHeight="1" x14ac:dyDescent="0.2">
      <c r="A6" s="41" t="s">
        <v>1</v>
      </c>
      <c r="B6" s="43" t="str">
        <f ca="1">IF(B8="","",TODAY())</f>
        <v/>
      </c>
      <c r="C6" s="39"/>
    </row>
    <row r="7" spans="1:3" s="40" customFormat="1" ht="27.75" customHeight="1" x14ac:dyDescent="0.2">
      <c r="A7" s="41" t="s">
        <v>2</v>
      </c>
      <c r="B7" s="44" t="str">
        <f>IFERROR(INDEX(ProductMaster[Product ID],MATCH(EnterStockIn!B8,ProductMaster[Product Name],0),0),"")</f>
        <v/>
      </c>
      <c r="C7" s="39"/>
    </row>
    <row r="8" spans="1:3" s="40" customFormat="1" ht="27.75" customHeight="1" x14ac:dyDescent="0.2">
      <c r="A8" s="41" t="s">
        <v>3</v>
      </c>
      <c r="B8" s="35"/>
      <c r="C8" s="39"/>
    </row>
    <row r="9" spans="1:3" s="40" customFormat="1" ht="27.75" customHeight="1" x14ac:dyDescent="0.2">
      <c r="A9" s="41" t="s">
        <v>4</v>
      </c>
      <c r="B9" s="44" t="str">
        <f>IFERROR(INDEX(ProductMaster[Product Description],MATCH(EnterStockIn!B8,ProductMaster[Product Name],0),0),"")</f>
        <v/>
      </c>
      <c r="C9" s="39"/>
    </row>
    <row r="10" spans="1:3" s="40" customFormat="1" ht="27.75" customHeight="1" x14ac:dyDescent="0.2">
      <c r="A10" s="41" t="s">
        <v>5</v>
      </c>
      <c r="B10" s="44" t="str">
        <f>IFERROR(INDEX(ProductMaster[Product Category],MATCH(EnterStockIn!B8,ProductMaster[Product Name],0),0),"")</f>
        <v/>
      </c>
      <c r="C10" s="39"/>
    </row>
    <row r="11" spans="1:3" s="40" customFormat="1" ht="27.75" customHeight="1" x14ac:dyDescent="0.2">
      <c r="A11" s="41" t="s">
        <v>6</v>
      </c>
      <c r="B11" s="35"/>
      <c r="C11" s="39"/>
    </row>
    <row r="12" spans="1:3" s="40" customFormat="1" ht="27.75" customHeight="1" thickBot="1" x14ac:dyDescent="0.25">
      <c r="A12" s="45" t="s">
        <v>7</v>
      </c>
      <c r="B12" s="46" t="str">
        <f>IF(B11="","",(IFERROR(INDEX(ProductMaster[Unit Price],MATCH(EnterStockIn!B8,ProductMaster[Product Name],0),0),0)*B11))</f>
        <v/>
      </c>
      <c r="C12" s="39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ht="27" customHeight="1" x14ac:dyDescent="0.25">
      <c r="A5" s="41" t="s">
        <v>0</v>
      </c>
      <c r="B5" s="42" t="str">
        <f>IF(B8="","",(MAX(StockOutData[S No.])+1))</f>
        <v/>
      </c>
      <c r="C5" s="27"/>
    </row>
    <row r="6" spans="1:3" ht="27" customHeight="1" x14ac:dyDescent="0.25">
      <c r="A6" s="41" t="s">
        <v>1</v>
      </c>
      <c r="B6" s="43" t="str">
        <f ca="1">IF(B8="","",TODAY())</f>
        <v/>
      </c>
      <c r="C6" s="27"/>
    </row>
    <row r="7" spans="1:3" ht="27" customHeight="1" x14ac:dyDescent="0.25">
      <c r="A7" s="41" t="s">
        <v>2</v>
      </c>
      <c r="B7" s="44" t="str">
        <f>IFERROR(INDEX(ProductMaster[Product ID],MATCH(EnterStockOut!B8,ProductMaster[Product Name],0),0),"")</f>
        <v/>
      </c>
      <c r="C7" s="27"/>
    </row>
    <row r="8" spans="1:3" ht="27" customHeight="1" x14ac:dyDescent="0.25">
      <c r="A8" s="41" t="s">
        <v>3</v>
      </c>
      <c r="B8" s="35"/>
      <c r="C8" s="27"/>
    </row>
    <row r="9" spans="1:3" ht="27" customHeight="1" x14ac:dyDescent="0.25">
      <c r="A9" s="41" t="s">
        <v>4</v>
      </c>
      <c r="B9" s="44" t="str">
        <f>IFERROR(INDEX(ProductMaster[Product Description],MATCH(EnterStockOut!B8,ProductMaster[Product Name],0),0),"")</f>
        <v/>
      </c>
      <c r="C9" s="27"/>
    </row>
    <row r="10" spans="1:3" ht="27" customHeight="1" x14ac:dyDescent="0.25">
      <c r="A10" s="41" t="s">
        <v>5</v>
      </c>
      <c r="B10" s="44" t="str">
        <f>IFERROR(INDEX(ProductMaster[Product Category],MATCH(EnterStockOut!B8,ProductMaster[Product Name],0),0),"")</f>
        <v/>
      </c>
      <c r="C10" s="27"/>
    </row>
    <row r="11" spans="1:3" ht="27" customHeight="1" x14ac:dyDescent="0.25">
      <c r="A11" s="41" t="s">
        <v>6</v>
      </c>
      <c r="B11" s="35"/>
      <c r="C11" s="27"/>
    </row>
    <row r="12" spans="1:3" ht="27" customHeight="1" thickBot="1" x14ac:dyDescent="0.3">
      <c r="A12" s="45" t="s">
        <v>7</v>
      </c>
      <c r="B12" s="46" t="str">
        <f>IF(B11="","",(IFERROR(INDEX(ProductMaster[Unit Price],MATCH(EnterStockOut!B8,ProductMaster[Product Name],0),0),0)*B11))</f>
        <v/>
      </c>
      <c r="C12" s="27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2"/>
  <sheetViews>
    <sheetView showGridLines="0" workbookViewId="0">
      <pane ySplit="1" topLeftCell="A2" activePane="bottomLeft" state="frozen"/>
      <selection pane="bottomLeft" activeCell="A22" sqref="A22:H22"/>
    </sheetView>
  </sheetViews>
  <sheetFormatPr defaultRowHeight="15" x14ac:dyDescent="0.25"/>
  <cols>
    <col min="1" max="1" width="5" style="1" customWidth="1"/>
    <col min="2" max="2" width="10.125" style="11" customWidth="1"/>
    <col min="3" max="3" width="9.75" style="1" customWidth="1"/>
    <col min="4" max="4" width="15.125" style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8" t="s">
        <v>40</v>
      </c>
      <c r="E2" s="18" t="s">
        <v>41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2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2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2">
        <v>7000</v>
      </c>
    </row>
    <row r="7" spans="1:8" x14ac:dyDescent="0.25">
      <c r="A7" s="18">
        <v>3</v>
      </c>
      <c r="B7" s="19">
        <v>42590</v>
      </c>
      <c r="C7" s="18" t="s">
        <v>16</v>
      </c>
      <c r="D7" s="18" t="s">
        <v>45</v>
      </c>
      <c r="E7" s="18" t="s">
        <v>44</v>
      </c>
      <c r="F7" s="18" t="s">
        <v>10</v>
      </c>
      <c r="G7" s="18">
        <v>10</v>
      </c>
      <c r="H7" s="20">
        <v>1690</v>
      </c>
    </row>
    <row r="8" spans="1:8" x14ac:dyDescent="0.25">
      <c r="A8" s="18">
        <v>4</v>
      </c>
      <c r="B8" s="19">
        <v>42590</v>
      </c>
      <c r="C8" s="18" t="s">
        <v>14</v>
      </c>
      <c r="D8" s="18" t="s">
        <v>40</v>
      </c>
      <c r="E8" s="18" t="s">
        <v>41</v>
      </c>
      <c r="F8" s="18" t="s">
        <v>10</v>
      </c>
      <c r="G8" s="18">
        <v>10</v>
      </c>
      <c r="H8" s="20">
        <v>55990</v>
      </c>
    </row>
    <row r="9" spans="1:8" x14ac:dyDescent="0.25">
      <c r="A9" s="18">
        <v>5</v>
      </c>
      <c r="B9" s="19">
        <v>42590</v>
      </c>
      <c r="C9" s="18" t="s">
        <v>13</v>
      </c>
      <c r="D9" s="18" t="s">
        <v>47</v>
      </c>
      <c r="E9" s="18" t="s">
        <v>8</v>
      </c>
      <c r="F9" s="18" t="s">
        <v>10</v>
      </c>
      <c r="G9" s="18">
        <v>5</v>
      </c>
      <c r="H9" s="20">
        <v>1750</v>
      </c>
    </row>
    <row r="10" spans="1:8" x14ac:dyDescent="0.25">
      <c r="A10" s="18">
        <v>6</v>
      </c>
      <c r="B10" s="19">
        <v>42590</v>
      </c>
      <c r="C10" s="18" t="s">
        <v>14</v>
      </c>
      <c r="D10" s="18" t="s">
        <v>40</v>
      </c>
      <c r="E10" s="18" t="s">
        <v>41</v>
      </c>
      <c r="F10" s="18" t="s">
        <v>10</v>
      </c>
      <c r="G10" s="18">
        <v>10</v>
      </c>
      <c r="H10" s="20">
        <v>55990</v>
      </c>
    </row>
    <row r="11" spans="1:8" x14ac:dyDescent="0.25">
      <c r="A11" s="18">
        <v>7</v>
      </c>
      <c r="B11" s="19">
        <v>42590</v>
      </c>
      <c r="C11" s="18" t="s">
        <v>15</v>
      </c>
      <c r="D11" s="18" t="s">
        <v>46</v>
      </c>
      <c r="E11" s="18" t="s">
        <v>43</v>
      </c>
      <c r="F11" s="18" t="s">
        <v>10</v>
      </c>
      <c r="G11" s="18">
        <v>50</v>
      </c>
      <c r="H11" s="20">
        <v>54950</v>
      </c>
    </row>
    <row r="12" spans="1:8" x14ac:dyDescent="0.25">
      <c r="A12" s="18">
        <v>8</v>
      </c>
      <c r="B12" s="19">
        <v>42590</v>
      </c>
      <c r="C12" s="18" t="s">
        <v>18</v>
      </c>
      <c r="D12" s="18" t="s">
        <v>50</v>
      </c>
      <c r="E12" s="18" t="s">
        <v>34</v>
      </c>
      <c r="F12" s="18" t="s">
        <v>33</v>
      </c>
      <c r="G12" s="18">
        <v>200</v>
      </c>
      <c r="H12" s="20">
        <v>169998</v>
      </c>
    </row>
    <row r="13" spans="1:8" x14ac:dyDescent="0.25">
      <c r="A13" s="18">
        <v>9</v>
      </c>
      <c r="B13" s="19">
        <v>42590</v>
      </c>
      <c r="C13" s="18" t="s">
        <v>19</v>
      </c>
      <c r="D13" s="18" t="s">
        <v>49</v>
      </c>
      <c r="E13" s="18" t="s">
        <v>34</v>
      </c>
      <c r="F13" s="18" t="s">
        <v>33</v>
      </c>
      <c r="G13" s="18">
        <v>150</v>
      </c>
      <c r="H13" s="20">
        <v>104998.5</v>
      </c>
    </row>
    <row r="14" spans="1:8" x14ac:dyDescent="0.25">
      <c r="A14" s="18">
        <v>10</v>
      </c>
      <c r="B14" s="19">
        <v>42590</v>
      </c>
      <c r="C14" s="18" t="s">
        <v>20</v>
      </c>
      <c r="D14" s="18" t="s">
        <v>38</v>
      </c>
      <c r="E14" s="18" t="s">
        <v>34</v>
      </c>
      <c r="F14" s="18" t="s">
        <v>35</v>
      </c>
      <c r="G14" s="18">
        <v>70</v>
      </c>
      <c r="H14" s="20">
        <v>19593</v>
      </c>
    </row>
    <row r="15" spans="1:8" x14ac:dyDescent="0.25">
      <c r="A15" s="18">
        <v>11</v>
      </c>
      <c r="B15" s="19">
        <v>42590</v>
      </c>
      <c r="C15" s="18" t="s">
        <v>22</v>
      </c>
      <c r="D15" s="18" t="s">
        <v>42</v>
      </c>
      <c r="E15" s="18" t="s">
        <v>36</v>
      </c>
      <c r="F15" s="18" t="s">
        <v>36</v>
      </c>
      <c r="G15" s="18">
        <v>30</v>
      </c>
      <c r="H15" s="20">
        <v>35999.699999999997</v>
      </c>
    </row>
    <row r="16" spans="1:8" x14ac:dyDescent="0.25">
      <c r="A16" s="18">
        <v>12</v>
      </c>
      <c r="B16" s="19">
        <v>42590</v>
      </c>
      <c r="C16" s="18" t="s">
        <v>21</v>
      </c>
      <c r="D16" s="18" t="s">
        <v>39</v>
      </c>
      <c r="E16" s="18" t="s">
        <v>34</v>
      </c>
      <c r="F16" s="18" t="s">
        <v>35</v>
      </c>
      <c r="G16" s="18">
        <v>30</v>
      </c>
      <c r="H16" s="20">
        <v>11999.7</v>
      </c>
    </row>
    <row r="17" spans="1:8" x14ac:dyDescent="0.25">
      <c r="A17" s="18">
        <v>13</v>
      </c>
      <c r="B17" s="19">
        <v>42590</v>
      </c>
      <c r="C17" s="18" t="s">
        <v>17</v>
      </c>
      <c r="D17" s="18" t="s">
        <v>48</v>
      </c>
      <c r="E17" s="18" t="s">
        <v>51</v>
      </c>
      <c r="F17" s="18" t="s">
        <v>10</v>
      </c>
      <c r="G17" s="18">
        <v>10</v>
      </c>
      <c r="H17" s="20">
        <v>9999.9</v>
      </c>
    </row>
    <row r="18" spans="1:8" x14ac:dyDescent="0.25">
      <c r="A18" s="18">
        <v>14</v>
      </c>
      <c r="B18" s="19">
        <v>42590</v>
      </c>
      <c r="C18" s="18" t="s">
        <v>16</v>
      </c>
      <c r="D18" s="18" t="s">
        <v>45</v>
      </c>
      <c r="E18" s="18" t="s">
        <v>44</v>
      </c>
      <c r="F18" s="18" t="s">
        <v>10</v>
      </c>
      <c r="G18" s="18">
        <v>10</v>
      </c>
      <c r="H18" s="20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2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2">
        <v>55990</v>
      </c>
    </row>
    <row r="21" spans="1:8" x14ac:dyDescent="0.25">
      <c r="A21" s="53" t="s">
        <v>56</v>
      </c>
      <c r="B21" s="54" t="s">
        <v>56</v>
      </c>
      <c r="C21" s="53" t="s">
        <v>56</v>
      </c>
      <c r="D21" s="53"/>
      <c r="E21" s="53" t="s">
        <v>56</v>
      </c>
      <c r="F21" s="53" t="s">
        <v>56</v>
      </c>
      <c r="G21" s="53"/>
      <c r="H21" s="55" t="s">
        <v>56</v>
      </c>
    </row>
    <row r="22" spans="1:8" x14ac:dyDescent="0.25">
      <c r="A22" s="53">
        <v>17</v>
      </c>
      <c r="B22" s="54">
        <v>43786</v>
      </c>
      <c r="C22" s="53" t="s">
        <v>14</v>
      </c>
      <c r="D22" s="53" t="s">
        <v>40</v>
      </c>
      <c r="E22" s="53" t="s">
        <v>41</v>
      </c>
      <c r="F22" s="53" t="s">
        <v>10</v>
      </c>
      <c r="G22" s="53">
        <v>5</v>
      </c>
      <c r="H22" s="55">
        <v>27995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showGridLines="0" workbookViewId="0">
      <pane ySplit="1" topLeftCell="A2" activePane="bottomLeft" state="frozen"/>
      <selection pane="bottomLeft" activeCell="A8" sqref="A8:H8"/>
    </sheetView>
  </sheetViews>
  <sheetFormatPr defaultRowHeight="15" x14ac:dyDescent="0.25"/>
  <cols>
    <col min="1" max="1" width="5" style="1" bestFit="1" customWidth="1"/>
    <col min="2" max="2" width="11" style="11" bestFit="1" customWidth="1"/>
    <col min="3" max="3" width="9.75" style="1" bestFit="1" customWidth="1"/>
    <col min="4" max="4" width="13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2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2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2">
        <v>16999.8</v>
      </c>
    </row>
    <row r="7" spans="1:8" x14ac:dyDescent="0.25">
      <c r="A7" s="50">
        <v>17</v>
      </c>
      <c r="B7" s="51">
        <v>42754</v>
      </c>
      <c r="C7" s="50" t="s">
        <v>15</v>
      </c>
      <c r="D7" s="50" t="s">
        <v>46</v>
      </c>
      <c r="E7" s="50" t="s">
        <v>43</v>
      </c>
      <c r="F7" s="50" t="s">
        <v>10</v>
      </c>
      <c r="G7" s="50">
        <v>10</v>
      </c>
      <c r="H7" s="52">
        <v>10990</v>
      </c>
    </row>
    <row r="8" spans="1:8" x14ac:dyDescent="0.25">
      <c r="A8" s="53">
        <v>18</v>
      </c>
      <c r="B8" s="54">
        <v>43787</v>
      </c>
      <c r="C8" s="53" t="s">
        <v>19</v>
      </c>
      <c r="D8" s="53" t="s">
        <v>49</v>
      </c>
      <c r="E8" s="53" t="s">
        <v>34</v>
      </c>
      <c r="F8" s="53" t="s">
        <v>33</v>
      </c>
      <c r="G8" s="53">
        <v>90</v>
      </c>
      <c r="H8" s="55">
        <v>62999.1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showGridLines="0" workbookViewId="0">
      <pane ySplit="1" topLeftCell="A2" activePane="bottomLeft" state="frozen"/>
      <selection pane="bottomLeft" activeCell="B1" sqref="B1:I11"/>
    </sheetView>
  </sheetViews>
  <sheetFormatPr defaultRowHeight="15" x14ac:dyDescent="0.25"/>
  <cols>
    <col min="1" max="1" width="5" customWidth="1"/>
    <col min="2" max="2" width="9.75" bestFit="1" customWidth="1"/>
    <col min="3" max="3" width="15.125" bestFit="1" customWidth="1"/>
    <col min="4" max="5" width="17.125" bestFit="1" customWidth="1"/>
    <col min="6" max="6" width="9.75" style="13" bestFit="1" customWidth="1"/>
    <col min="7" max="7" width="11.125" bestFit="1" customWidth="1"/>
    <col min="8" max="8" width="10.875" bestFit="1" customWidth="1"/>
    <col min="9" max="9" width="12.25" bestFit="1" customWidth="1"/>
  </cols>
  <sheetData>
    <row r="1" spans="1:9" s="8" customFormat="1" ht="12" x14ac:dyDescent="0.2">
      <c r="A1" s="6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22" t="s">
        <v>25</v>
      </c>
      <c r="G1" s="6" t="s">
        <v>11</v>
      </c>
      <c r="H1" s="7" t="s">
        <v>12</v>
      </c>
      <c r="I1" s="7" t="s">
        <v>7</v>
      </c>
    </row>
    <row r="2" spans="1:9" x14ac:dyDescent="0.25">
      <c r="A2" s="23">
        <v>1</v>
      </c>
      <c r="B2" s="23" t="s">
        <v>13</v>
      </c>
      <c r="C2" s="23" t="s">
        <v>47</v>
      </c>
      <c r="D2" s="23" t="s">
        <v>8</v>
      </c>
      <c r="E2" s="23" t="s">
        <v>10</v>
      </c>
      <c r="F2" s="24">
        <v>350</v>
      </c>
      <c r="G2" s="23">
        <v>20</v>
      </c>
      <c r="H2" s="25">
        <f>SUMIFS(StockInData[Quantity],StockInData[Product ID],ProductMaster[[#This Row],[Product ID]])-SUMIFS(StockOutData[Quantity],StockOutData[Product ID],ProductMaster[[#This Row],[Product ID]])</f>
        <v>65</v>
      </c>
      <c r="I2" s="26">
        <f>SUMIFS(StockInData[Value],StockInData[Product ID],ProductMaster[[#This Row],[Product ID]])-SUMIFS(StockOutData[Value],StockOutData[Product ID],ProductMaster[[#This Row],[Product ID]])</f>
        <v>22750</v>
      </c>
    </row>
    <row r="3" spans="1:9" x14ac:dyDescent="0.25">
      <c r="A3" s="25">
        <v>2</v>
      </c>
      <c r="B3" s="23" t="s">
        <v>14</v>
      </c>
      <c r="C3" s="25" t="s">
        <v>40</v>
      </c>
      <c r="D3" s="25" t="s">
        <v>41</v>
      </c>
      <c r="E3" s="23" t="s">
        <v>10</v>
      </c>
      <c r="F3" s="24">
        <v>5599</v>
      </c>
      <c r="G3" s="25">
        <v>15</v>
      </c>
      <c r="H3" s="25">
        <f>SUMIFS(StockInData[Quantity],StockInData[Product ID],ProductMaster[[#This Row],[Product ID]])-SUMIFS(StockOutData[Quantity],StockOutData[Product ID],ProductMaster[[#This Row],[Product ID]])</f>
        <v>45</v>
      </c>
      <c r="I3" s="26">
        <f>SUMIFS(StockInData[Value],StockInData[Product ID],ProductMaster[[#This Row],[Product ID]])-SUMIFS(StockOutData[Value],StockOutData[Product ID],ProductMaster[[#This Row],[Product ID]])</f>
        <v>251955</v>
      </c>
    </row>
    <row r="4" spans="1:9" x14ac:dyDescent="0.25">
      <c r="A4" s="25">
        <v>3</v>
      </c>
      <c r="B4" s="23" t="s">
        <v>15</v>
      </c>
      <c r="C4" s="25" t="s">
        <v>46</v>
      </c>
      <c r="D4" s="25" t="s">
        <v>43</v>
      </c>
      <c r="E4" s="23" t="s">
        <v>10</v>
      </c>
      <c r="F4" s="24">
        <v>1099</v>
      </c>
      <c r="G4" s="25">
        <v>10</v>
      </c>
      <c r="H4" s="25">
        <f>SUMIFS(StockInData[Quantity],StockInData[Product ID],ProductMaster[[#This Row],[Product ID]])-SUMIFS(StockOutData[Quantity],StockOutData[Product ID],ProductMaster[[#This Row],[Product ID]])</f>
        <v>40</v>
      </c>
      <c r="I4" s="26">
        <f>SUMIFS(StockInData[Value],StockInData[Product ID],ProductMaster[[#This Row],[Product ID]])-SUMIFS(StockOutData[Value],StockOutData[Product ID],ProductMaster[[#This Row],[Product ID]])</f>
        <v>43960</v>
      </c>
    </row>
    <row r="5" spans="1:9" x14ac:dyDescent="0.25">
      <c r="A5" s="25">
        <v>4</v>
      </c>
      <c r="B5" s="23" t="s">
        <v>16</v>
      </c>
      <c r="C5" s="25" t="s">
        <v>45</v>
      </c>
      <c r="D5" s="25" t="s">
        <v>44</v>
      </c>
      <c r="E5" s="23" t="s">
        <v>10</v>
      </c>
      <c r="F5" s="24">
        <v>169</v>
      </c>
      <c r="G5" s="25">
        <v>8</v>
      </c>
      <c r="H5" s="25">
        <f>SUMIFS(StockInData[Quantity],StockInData[Product ID],ProductMaster[[#This Row],[Product ID]])-SUMIFS(StockOutData[Quantity],StockOutData[Product ID],ProductMaster[[#This Row],[Product ID]])</f>
        <v>15</v>
      </c>
      <c r="I5" s="26">
        <f>SUMIFS(StockInData[Value],StockInData[Product ID],ProductMaster[[#This Row],[Product ID]])-SUMIFS(StockOutData[Value],StockOutData[Product ID],ProductMaster[[#This Row],[Product ID]])</f>
        <v>2535</v>
      </c>
    </row>
    <row r="6" spans="1:9" x14ac:dyDescent="0.25">
      <c r="A6" s="25">
        <v>5</v>
      </c>
      <c r="B6" s="23" t="s">
        <v>17</v>
      </c>
      <c r="C6" s="25" t="s">
        <v>48</v>
      </c>
      <c r="D6" s="25" t="s">
        <v>51</v>
      </c>
      <c r="E6" s="23" t="s">
        <v>10</v>
      </c>
      <c r="F6" s="24">
        <v>999.99</v>
      </c>
      <c r="G6" s="25">
        <v>5</v>
      </c>
      <c r="H6" s="25">
        <f>SUMIFS(StockInData[Quantity],StockInData[Product ID],ProductMaster[[#This Row],[Product ID]])-SUMIFS(StockOutData[Quantity],StockOutData[Product ID],ProductMaster[[#This Row],[Product ID]])</f>
        <v>5</v>
      </c>
      <c r="I6" s="26">
        <f>SUMIFS(StockInData[Value],StockInData[Product ID],ProductMaster[[#This Row],[Product ID]])-SUMIFS(StockOutData[Value],StockOutData[Product ID],ProductMaster[[#This Row],[Product ID]])</f>
        <v>4999.95</v>
      </c>
    </row>
    <row r="7" spans="1:9" x14ac:dyDescent="0.25">
      <c r="A7" s="25">
        <v>6</v>
      </c>
      <c r="B7" s="23" t="s">
        <v>18</v>
      </c>
      <c r="C7" s="25" t="s">
        <v>50</v>
      </c>
      <c r="D7" s="25" t="s">
        <v>34</v>
      </c>
      <c r="E7" s="25" t="s">
        <v>33</v>
      </c>
      <c r="F7" s="24">
        <v>849.99</v>
      </c>
      <c r="G7" s="25">
        <v>120</v>
      </c>
      <c r="H7" s="25">
        <f>SUMIFS(StockInData[Quantity],StockInData[Product ID],ProductMaster[[#This Row],[Product ID]])-SUMIFS(StockOutData[Quantity],StockOutData[Product ID],ProductMaster[[#This Row],[Product ID]])</f>
        <v>180</v>
      </c>
      <c r="I7" s="26">
        <f>SUMIFS(StockInData[Value],StockInData[Product ID],ProductMaster[[#This Row],[Product ID]])-SUMIFS(StockOutData[Value],StockOutData[Product ID],ProductMaster[[#This Row],[Product ID]])</f>
        <v>152998.20000000001</v>
      </c>
    </row>
    <row r="8" spans="1:9" x14ac:dyDescent="0.25">
      <c r="A8" s="25">
        <v>7</v>
      </c>
      <c r="B8" s="23" t="s">
        <v>19</v>
      </c>
      <c r="C8" s="25" t="s">
        <v>49</v>
      </c>
      <c r="D8" s="25" t="s">
        <v>34</v>
      </c>
      <c r="E8" s="25" t="s">
        <v>33</v>
      </c>
      <c r="F8" s="24">
        <v>699.99</v>
      </c>
      <c r="G8" s="25">
        <v>80</v>
      </c>
      <c r="H8" s="25">
        <f>SUMIFS(StockInData[Quantity],StockInData[Product ID],ProductMaster[[#This Row],[Product ID]])-SUMIFS(StockOutData[Quantity],StockOutData[Product ID],ProductMaster[[#This Row],[Product ID]])</f>
        <v>60</v>
      </c>
      <c r="I8" s="26">
        <f>SUMIFS(StockInData[Value],StockInData[Product ID],ProductMaster[[#This Row],[Product ID]])-SUMIFS(StockOutData[Value],StockOutData[Product ID],ProductMaster[[#This Row],[Product ID]])</f>
        <v>41999.4</v>
      </c>
    </row>
    <row r="9" spans="1:9" x14ac:dyDescent="0.25">
      <c r="A9" s="25">
        <v>8</v>
      </c>
      <c r="B9" s="23" t="s">
        <v>20</v>
      </c>
      <c r="C9" s="25" t="s">
        <v>38</v>
      </c>
      <c r="D9" s="25" t="s">
        <v>34</v>
      </c>
      <c r="E9" s="25" t="s">
        <v>35</v>
      </c>
      <c r="F9" s="24">
        <v>279.89999999999998</v>
      </c>
      <c r="G9" s="25">
        <v>60</v>
      </c>
      <c r="H9" s="25">
        <f>SUMIFS(StockInData[Quantity],StockInData[Product ID],ProductMaster[[#This Row],[Product ID]])-SUMIFS(StockOutData[Quantity],StockOutData[Product ID],ProductMaster[[#This Row],[Product ID]])</f>
        <v>70</v>
      </c>
      <c r="I9" s="26">
        <f>SUMIFS(StockInData[Value],StockInData[Product ID],ProductMaster[[#This Row],[Product ID]])-SUMIFS(StockOutData[Value],StockOutData[Product ID],ProductMaster[[#This Row],[Product ID]])</f>
        <v>19593</v>
      </c>
    </row>
    <row r="10" spans="1:9" x14ac:dyDescent="0.25">
      <c r="A10" s="25">
        <v>9</v>
      </c>
      <c r="B10" s="23" t="s">
        <v>21</v>
      </c>
      <c r="C10" s="25" t="s">
        <v>39</v>
      </c>
      <c r="D10" s="25" t="s">
        <v>34</v>
      </c>
      <c r="E10" s="25" t="s">
        <v>35</v>
      </c>
      <c r="F10" s="24">
        <v>399.99</v>
      </c>
      <c r="G10" s="25">
        <v>15</v>
      </c>
      <c r="H10" s="25">
        <f>SUMIFS(StockInData[Quantity],StockInData[Product ID],ProductMaster[[#This Row],[Product ID]])-SUMIFS(StockOutData[Quantity],StockOutData[Product ID],ProductMaster[[#This Row],[Product ID]])</f>
        <v>30</v>
      </c>
      <c r="I10" s="26">
        <f>SUMIFS(StockInData[Value],StockInData[Product ID],ProductMaster[[#This Row],[Product ID]])-SUMIFS(StockOutData[Value],StockOutData[Product ID],ProductMaster[[#This Row],[Product ID]])</f>
        <v>11999.7</v>
      </c>
    </row>
    <row r="11" spans="1:9" x14ac:dyDescent="0.25">
      <c r="A11" s="25">
        <v>10</v>
      </c>
      <c r="B11" s="25" t="s">
        <v>22</v>
      </c>
      <c r="C11" s="25" t="s">
        <v>42</v>
      </c>
      <c r="D11" s="25" t="s">
        <v>36</v>
      </c>
      <c r="E11" s="25" t="s">
        <v>36</v>
      </c>
      <c r="F11" s="26">
        <v>1199.99</v>
      </c>
      <c r="G11" s="25">
        <v>30</v>
      </c>
      <c r="H11" s="25">
        <f>SUMIFS(StockInData[Quantity],StockInData[Product ID],ProductMaster[[#This Row],[Product ID]])-SUMIFS(StockOutData[Quantity],StockOutData[Product ID],ProductMaster[[#This Row],[Product ID]])</f>
        <v>30</v>
      </c>
      <c r="I11" s="26">
        <f>SUMIFS(StockInData[Value],StockInData[Product ID],ProductMaster[[#This Row],[Product ID]])-SUMIFS(StockOutData[Value],StockOutData[Product ID],ProductMaster[[#This Row],[Product ID]])</f>
        <v>35999.699999999997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9"/>
      <c r="B4" s="30"/>
      <c r="C4" s="29"/>
    </row>
    <row r="5" spans="1:3" ht="30.75" customHeight="1" x14ac:dyDescent="0.25">
      <c r="A5" s="47" t="s">
        <v>0</v>
      </c>
      <c r="B5" s="48" t="str">
        <f>IF(B6="","",(MAX(ProductMaster[S No.])+1))</f>
        <v/>
      </c>
      <c r="C5" s="29"/>
    </row>
    <row r="6" spans="1:3" ht="30.75" customHeight="1" x14ac:dyDescent="0.25">
      <c r="A6" s="47" t="s">
        <v>2</v>
      </c>
      <c r="B6" s="36"/>
      <c r="C6" s="29"/>
    </row>
    <row r="7" spans="1:3" ht="30.75" customHeight="1" x14ac:dyDescent="0.25">
      <c r="A7" s="47" t="s">
        <v>3</v>
      </c>
      <c r="B7" s="35"/>
      <c r="C7" s="29"/>
    </row>
    <row r="8" spans="1:3" ht="30.75" customHeight="1" x14ac:dyDescent="0.25">
      <c r="A8" s="47" t="s">
        <v>4</v>
      </c>
      <c r="B8" s="35"/>
      <c r="C8" s="29"/>
    </row>
    <row r="9" spans="1:3" ht="30.75" customHeight="1" x14ac:dyDescent="0.25">
      <c r="A9" s="47" t="s">
        <v>5</v>
      </c>
      <c r="B9" s="35"/>
      <c r="C9" s="29"/>
    </row>
    <row r="10" spans="1:3" ht="30.75" customHeight="1" x14ac:dyDescent="0.25">
      <c r="A10" s="47" t="s">
        <v>25</v>
      </c>
      <c r="B10" s="37"/>
      <c r="C10" s="29"/>
    </row>
    <row r="11" spans="1:3" ht="30.75" customHeight="1" thickBot="1" x14ac:dyDescent="0.3">
      <c r="A11" s="49" t="s">
        <v>11</v>
      </c>
      <c r="B11" s="38"/>
      <c r="C11" s="29"/>
    </row>
    <row r="12" spans="1:3" ht="15.75" thickTop="1" x14ac:dyDescent="0.25">
      <c r="A12" s="29"/>
      <c r="B12" s="30"/>
      <c r="C12" s="29"/>
    </row>
    <row r="13" spans="1:3" ht="15" hidden="1" customHeight="1" x14ac:dyDescent="0.25"/>
  </sheetData>
  <sheetProtection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2016-08-05T04:56:17Z</dcterms:created>
  <dcterms:modified xsi:type="dcterms:W3CDTF">2019-11-18T19:53:15Z</dcterms:modified>
  <cp:contentStatus/>
</cp:coreProperties>
</file>