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F21C3944-0AD3-4282-92E9-D56CFEF89733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<sst xmlns="http://schemas.openxmlformats.org/spreadsheetml/2006/main" count="223" uniqueCount="57">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</sst>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5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Do Something, Stock is Below Re-Order Level.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60 Unit(s). And, Stock Value is $700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Note 7's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8.534572337965" createdVersion="5" refreshedVersion="6" minRefreshableVersion="3" recordCount="10" xr:uid="{00000000-000A-0000-FFFF-FFFF18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2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8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49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32</v>
      </c>
      <c r="G6" s="17">
        <v>540</v>
      </c>
    </row>
    <row r="7" spans="1:7" x14ac:dyDescent="0.25">
      <c r="A7" t="s">
        <v>52</v>
      </c>
      <c r="B7" s="21">
        <f>MATCH(Dashboard!K12,ProductMaster[Product Name],0)</f>
        <v>7</v>
      </c>
    </row>
    <row r="8" spans="1:7" x14ac:dyDescent="0.25">
      <c r="A8" t="s">
        <v>3</v>
      </c>
      <c r="B8" s="21" t="str">
        <f>VLOOKUP(B7,ProductMaster[#All],3,0)</f>
        <v>Galaxy Note 7</v>
      </c>
    </row>
    <row r="9" spans="1:7" x14ac:dyDescent="0.25">
      <c r="A9" t="s">
        <v>11</v>
      </c>
      <c r="B9">
        <f>VLOOKUP(B7,ProductMaster[#All],7,0)</f>
        <v>80</v>
      </c>
    </row>
    <row r="10" spans="1:7" x14ac:dyDescent="0.25">
      <c r="A10" t="s">
        <v>55</v>
      </c>
      <c r="B10">
        <f>VLOOKUP(B7,ProductMaster[#All],8,0)</f>
        <v>60</v>
      </c>
    </row>
    <row r="11" spans="1:7" x14ac:dyDescent="0.25">
      <c r="A11" t="s">
        <v>26</v>
      </c>
      <c r="B11" s="13">
        <f>VLOOKUP(B7,ProductMaster[#All],6,0)</f>
        <v>699.99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60 Unit(s). And, Stock Value is $700</v>
      </c>
    </row>
    <row r="13" spans="1:7" x14ac:dyDescent="0.25">
      <c r="A13" t="s">
        <v>54</v>
      </c>
      <c r="B13" t="str">
        <f>B8&amp;"'s"</f>
        <v>Galaxy Note 7's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2016-08-05T04:56:17Z</dcterms:created>
  <dcterms:modified xsi:type="dcterms:W3CDTF">2019-11-19T08:49:47Z</dcterms:modified>
  <cp:contentStatus/>
</cp:coreProperties>
</file>