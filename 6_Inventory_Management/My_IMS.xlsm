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activeTab="1"/>
  </bookViews>
  <sheets>
    <sheet name="StockReport" sheetId="11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0" state="hidden" r:id="rId9"/>
  </sheets>
  <definedNames>
    <definedName name="Puneet">INDEX(Help!XFB1:XFB3,MATCH(Help!XEY1,Help!XFA1:XFA3,0),0)</definedName>
  </definedNames>
  <calcPr calcId="162913"/>
  <pivotCaches>
    <pivotCache cacheId="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" i="4" l="1"/>
  <c r="I12" i="4"/>
  <c r="B5" i="5" l="1"/>
  <c r="B7" i="7"/>
  <c r="B11" i="7" s="1"/>
  <c r="H11" i="4"/>
  <c r="I11" i="4"/>
  <c r="H3" i="4"/>
  <c r="H4" i="4"/>
  <c r="H5" i="4"/>
  <c r="H6" i="4"/>
  <c r="H7" i="4"/>
  <c r="H8" i="4"/>
  <c r="H9" i="4"/>
  <c r="H10" i="4"/>
  <c r="H2" i="4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<sst xmlns="http://schemas.openxmlformats.org/spreadsheetml/2006/main" count="280" uniqueCount="61">
  <si>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</si>
  <si>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</si>
  <si>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</si>
  <si>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</si>
  <si>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</si>
  <si>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</si>
  <si>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</si>
  <si>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</si>
  <si>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</si>
  <si>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</si>
  <si>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</si>
  <si>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</si>
  <si>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</si>
  <si>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</si>
  <si>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</si>
  <si>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</si>
  <si>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</si>
  <si>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</si>
  <si>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</si>
  <si>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</si>
  <si>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</si>
  <si>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</si>
  <si>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</si>
  <si>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</si>
  <si>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</si>
  <si>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</si>
  <si>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</si>
  <si>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</si>
  <si>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</si>
  <si>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</si>
  <si>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</si>
  <si>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</si>
  <si>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</si>
  <si>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</si>
  <si>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</si>
  <si>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</si>
  <si>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</si>
  <si>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</si>
  <si>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</si>
  <si>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</si>
  <si>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</si>
  <si>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</si>
  <si>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</si>
  <si>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</si>
  <si>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</si>
  <si>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</si>
  <si>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</si>
  <si>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</si>
  <si>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</si>
  <si>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</si>
  <si>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</si>
  <si>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</si>
  <si>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</si>
  <si>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</si>
  <si>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</si>
  <si>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</si>
  <si>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/>
  </si>
  <si>
    <t>IP001</t>
  </si>
  <si>
    <t>iPhone 11</t>
  </si>
  <si>
    <t>Mobile</t>
  </si>
  <si>
    <t>Mobiles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</si>
</sst>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15" fontId="10" fillId="0" borderId="0" xfId="0" applyNumberFormat="1" applyFont="1" applyAlignment="1">
      <alignment horizontal="center"/>
    </xf>
    <xf numFmtId="42" fontId="10" fillId="0" borderId="0" xfId="0" applyNumberFormat="1" applyFont="1" applyAlignment="1">
      <alignment horizontal="center"/>
    </xf>
    <xf numFmtId="0" fontId="10" fillId="0" borderId="0" xfId="0" applyFont="1" applyFill="1" applyAlignment="1">
      <alignment horizontal="center" vertical="center"/>
    </xf>
    <xf numFmtId="42" fontId="10" fillId="0" borderId="0" xfId="0" applyNumberFormat="1" applyFont="1" applyFill="1" applyAlignment="1">
      <alignment horizontal="center" vertical="center"/>
    </xf>
    <xf numFmtId="0" fontId="7" fillId="5" borderId="5" xfId="0" applyFont="1" applyFill="1" applyBorder="1" applyAlignment="1" applyProtection="1">
      <alignment horizontal="center" vertical="center"/>
      <protection locked="0"/>
    </xf>
    <xf numFmtId="0" fontId="3" fillId="6" borderId="7" xfId="0" applyFont="1" applyFill="1" applyBorder="1" applyAlignment="1">
      <alignment horizontal="center" vertical="center"/>
    </xf>
    <xf numFmtId="42" fontId="3" fillId="6" borderId="7" xfId="0" applyNumberFormat="1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42" fontId="1" fillId="7" borderId="0" xfId="0" applyNumberFormat="1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42" fontId="1" fillId="7" borderId="0" xfId="0" applyNumberFormat="1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2" fontId="1" fillId="0" borderId="0" xfId="0" applyNumberFormat="1" applyFont="1" applyBorder="1" applyAlignment="1">
      <alignment horizontal="center" vertical="center"/>
    </xf>
    <xf numFmtId="42" fontId="1" fillId="0" borderId="0" xfId="0" applyNumberFormat="1" applyFont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42" fontId="10" fillId="7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[My_IMS.xlsm]Help!PivotTable1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Help!$F$2:$F$7</c:f>
              <c:strCache>
                <c:ptCount val="5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  <c:pt idx="4">
                  <c:v>Mobiles</c:v>
                </c:pt>
              </c:strCache>
            </c:strRef>
          </c:cat>
          <c:val>
            <c:numRef>
              <c:f>Help!$G$2:$G$7</c:f>
              <c:numCache>
                <c:formatCode>General</c:formatCode>
                <c:ptCount val="5"/>
                <c:pt idx="0">
                  <c:v>170</c:v>
                </c:pt>
                <c:pt idx="1">
                  <c:v>240</c:v>
                </c:pt>
                <c:pt idx="2">
                  <c:v>100</c:v>
                </c:pt>
                <c:pt idx="3">
                  <c:v>30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Do Something, Stock is Below Re-Order Level.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iPhone 11's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0 Unit(s). And, Stock Value is $1200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$588,790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540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12</xdr:col>
      <xdr:colOff>257175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0" u="sng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 cap="none" spc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89.903422453703" createdVersion="5" refreshedVersion="6" minRefreshableVersion="3" recordCount="11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1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6">
        <s v="Home Appliances"/>
        <s v="Mobile Phone"/>
        <s v="Tablet"/>
        <s v="Laptop"/>
        <s v="Mobiles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0" maxValue="180"/>
    </cacheField>
    <cacheField name="Value" numFmtId="42">
      <sharedItems containsSemiMixedTypes="0" containsString="0" containsNumber="1" minValue="0" maxValue="2519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5"/>
    <n v="251955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60"/>
    <n v="41999.4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  <r>
    <n v="11"/>
    <s v="IP001"/>
    <s v="iPhone 11"/>
    <s v="Mobile"/>
    <x v="4"/>
    <n v="1200"/>
    <n v="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9">
    <pivotField showAll="0"/>
    <pivotField showAll="0"/>
    <pivotField showAll="0"/>
    <pivotField showAll="0"/>
    <pivotField axis="axisRow" showAll="0">
      <items count="7">
        <item x="0"/>
        <item m="1" x="5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2" totalsRowShown="0" headerRowDxfId="30" dataDxfId="29">
  <tableColumns count="8">
    <tableColumn id="1" name="S No." dataDxfId="28"/>
    <tableColumn id="2" name="Date" dataDxfId="27"/>
    <tableColumn id="3" name="Product ID" dataDxfId="26"/>
    <tableColumn id="4" name="Product Name" dataDxfId="25"/>
    <tableColumn id="5" name="Product Description" dataDxfId="24"/>
    <tableColumn id="6" name="Product Category" dataDxfId="23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8" totalsRowShown="0" headerRowDxfId="20" dataDxfId="19">
  <tableColumns count="8">
    <tableColumn id="1" name="S No." dataDxfId="18"/>
    <tableColumn id="2" name="Date" dataDxfId="17"/>
    <tableColumn id="3" name="Product ID" dataDxfId="16"/>
    <tableColumn id="4" name="Product Name" dataDxfId="15"/>
    <tableColumn id="5" name="Product Description" dataDxfId="14"/>
    <tableColumn id="6" name="Product Category" dataDxfId="13"/>
    <tableColumn id="7" name="Quantity" dataDxfId="12"/>
    <tableColumn id="8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3" name="ProductMaster" displayName="ProductMaster" ref="A1:I12" totalsRowShown="0" headerRowDxfId="10" dataDxfId="9">
  <tableColumns count="9">
    <tableColumn id="1" name="S No." dataDxfId="8"/>
    <tableColumn id="2" name="Product ID" dataDxfId="7"/>
    <tableColumn id="3" name="Product Name" dataDxfId="6"/>
    <tableColumn id="4" name="Product Description" dataDxfId="5"/>
    <tableColumn id="5" name="Product Category" dataDxfId="4"/>
    <tableColumn id="8" name="Unit Price" dataDxfId="3"/>
    <tableColumn id="6" name="Reorder Level" dataDxfId="2"/>
    <tableColumn id="7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showGridLines="0" workbookViewId="0">
      <selection sqref="A1:H12"/>
    </sheetView>
  </sheetViews>
  <sheetFormatPr defaultRowHeight="15" x14ac:dyDescent="0.25"/>
  <cols>
    <col min="1" max="1" width="9.75" bestFit="1" customWidth="1"/>
    <col min="2" max="2" width="15.125" bestFit="1" customWidth="1"/>
    <col min="3" max="4" width="17.125" bestFit="1" customWidth="1"/>
    <col min="5" max="5" width="9.75" bestFit="1" customWidth="1"/>
    <col min="6" max="6" width="11.125" bestFit="1" customWidth="1"/>
    <col min="7" max="7" width="10.875" bestFit="1" customWidth="1"/>
    <col min="8" max="8" width="12.25" bestFit="1" customWidth="1"/>
  </cols>
  <sheetData>
    <row r="1" spans="1:8" ht="15.75" thickBot="1" x14ac:dyDescent="0.3">
      <c r="A1" s="59" t="s">
        <v>2</v>
      </c>
      <c r="B1" s="59" t="s">
        <v>3</v>
      </c>
      <c r="C1" s="59" t="s">
        <v>4</v>
      </c>
      <c r="D1" s="59" t="s">
        <v>5</v>
      </c>
      <c r="E1" s="60" t="s">
        <v>25</v>
      </c>
      <c r="F1" s="59" t="s">
        <v>11</v>
      </c>
      <c r="G1" s="59" t="s">
        <v>12</v>
      </c>
      <c r="H1" s="59" t="s">
        <v>7</v>
      </c>
    </row>
    <row r="2" spans="1:8" x14ac:dyDescent="0.25">
      <c r="A2" s="61" t="s">
        <v>13</v>
      </c>
      <c r="B2" s="61" t="s">
        <v>47</v>
      </c>
      <c r="C2" s="61" t="s">
        <v>8</v>
      </c>
      <c r="D2" s="61" t="s">
        <v>10</v>
      </c>
      <c r="E2" s="62">
        <v>350</v>
      </c>
      <c r="F2" s="61">
        <v>20</v>
      </c>
      <c r="G2" s="63">
        <v>65</v>
      </c>
      <c r="H2" s="64">
        <v>22750</v>
      </c>
    </row>
    <row r="3" spans="1:8" x14ac:dyDescent="0.25">
      <c r="A3" s="65" t="s">
        <v>14</v>
      </c>
      <c r="B3" s="66" t="s">
        <v>40</v>
      </c>
      <c r="C3" s="66" t="s">
        <v>41</v>
      </c>
      <c r="D3" s="65" t="s">
        <v>10</v>
      </c>
      <c r="E3" s="67">
        <v>5599</v>
      </c>
      <c r="F3" s="66">
        <v>15</v>
      </c>
      <c r="G3" s="66">
        <v>45</v>
      </c>
      <c r="H3" s="68">
        <v>251955</v>
      </c>
    </row>
    <row r="4" spans="1:8" x14ac:dyDescent="0.25">
      <c r="A4" s="61" t="s">
        <v>15</v>
      </c>
      <c r="B4" s="63" t="s">
        <v>46</v>
      </c>
      <c r="C4" s="63" t="s">
        <v>43</v>
      </c>
      <c r="D4" s="61" t="s">
        <v>10</v>
      </c>
      <c r="E4" s="62">
        <v>1099</v>
      </c>
      <c r="F4" s="63">
        <v>10</v>
      </c>
      <c r="G4" s="63">
        <v>40</v>
      </c>
      <c r="H4" s="64">
        <v>43960</v>
      </c>
    </row>
    <row r="5" spans="1:8" x14ac:dyDescent="0.25">
      <c r="A5" s="65" t="s">
        <v>16</v>
      </c>
      <c r="B5" s="66" t="s">
        <v>45</v>
      </c>
      <c r="C5" s="66" t="s">
        <v>44</v>
      </c>
      <c r="D5" s="65" t="s">
        <v>10</v>
      </c>
      <c r="E5" s="67">
        <v>169</v>
      </c>
      <c r="F5" s="66">
        <v>8</v>
      </c>
      <c r="G5" s="66">
        <v>15</v>
      </c>
      <c r="H5" s="68">
        <v>2535</v>
      </c>
    </row>
    <row r="6" spans="1:8" x14ac:dyDescent="0.25">
      <c r="A6" s="61" t="s">
        <v>17</v>
      </c>
      <c r="B6" s="63" t="s">
        <v>48</v>
      </c>
      <c r="C6" s="63" t="s">
        <v>51</v>
      </c>
      <c r="D6" s="61" t="s">
        <v>10</v>
      </c>
      <c r="E6" s="62">
        <v>999.99</v>
      </c>
      <c r="F6" s="63">
        <v>5</v>
      </c>
      <c r="G6" s="63">
        <v>5</v>
      </c>
      <c r="H6" s="64">
        <v>4999.95</v>
      </c>
    </row>
    <row r="7" spans="1:8" x14ac:dyDescent="0.25">
      <c r="A7" s="65" t="s">
        <v>18</v>
      </c>
      <c r="B7" s="66" t="s">
        <v>50</v>
      </c>
      <c r="C7" s="66" t="s">
        <v>34</v>
      </c>
      <c r="D7" s="66" t="s">
        <v>33</v>
      </c>
      <c r="E7" s="67">
        <v>849.99</v>
      </c>
      <c r="F7" s="66">
        <v>120</v>
      </c>
      <c r="G7" s="66">
        <v>180</v>
      </c>
      <c r="H7" s="68">
        <v>152998.20000000001</v>
      </c>
    </row>
    <row r="8" spans="1:8" x14ac:dyDescent="0.25">
      <c r="A8" s="61" t="s">
        <v>19</v>
      </c>
      <c r="B8" s="63" t="s">
        <v>49</v>
      </c>
      <c r="C8" s="63" t="s">
        <v>34</v>
      </c>
      <c r="D8" s="63" t="s">
        <v>33</v>
      </c>
      <c r="E8" s="62">
        <v>699.99</v>
      </c>
      <c r="F8" s="63">
        <v>80</v>
      </c>
      <c r="G8" s="63">
        <v>60</v>
      </c>
      <c r="H8" s="64">
        <v>41999.4</v>
      </c>
    </row>
    <row r="9" spans="1:8" x14ac:dyDescent="0.25">
      <c r="A9" s="65" t="s">
        <v>20</v>
      </c>
      <c r="B9" s="66" t="s">
        <v>38</v>
      </c>
      <c r="C9" s="66" t="s">
        <v>34</v>
      </c>
      <c r="D9" s="66" t="s">
        <v>35</v>
      </c>
      <c r="E9" s="67">
        <v>279.89999999999998</v>
      </c>
      <c r="F9" s="66">
        <v>60</v>
      </c>
      <c r="G9" s="66">
        <v>70</v>
      </c>
      <c r="H9" s="68">
        <v>19593</v>
      </c>
    </row>
    <row r="10" spans="1:8" x14ac:dyDescent="0.25">
      <c r="A10" s="61" t="s">
        <v>21</v>
      </c>
      <c r="B10" s="63" t="s">
        <v>39</v>
      </c>
      <c r="C10" s="63" t="s">
        <v>34</v>
      </c>
      <c r="D10" s="63" t="s">
        <v>35</v>
      </c>
      <c r="E10" s="62">
        <v>399.99</v>
      </c>
      <c r="F10" s="63">
        <v>15</v>
      </c>
      <c r="G10" s="63">
        <v>30</v>
      </c>
      <c r="H10" s="64">
        <v>11999.7</v>
      </c>
    </row>
    <row r="11" spans="1:8" x14ac:dyDescent="0.25">
      <c r="A11" s="66" t="s">
        <v>22</v>
      </c>
      <c r="B11" s="66" t="s">
        <v>42</v>
      </c>
      <c r="C11" s="66" t="s">
        <v>36</v>
      </c>
      <c r="D11" s="66" t="s">
        <v>36</v>
      </c>
      <c r="E11" s="68">
        <v>1199.99</v>
      </c>
      <c r="F11" s="66">
        <v>30</v>
      </c>
      <c r="G11" s="66">
        <v>30</v>
      </c>
      <c r="H11" s="68">
        <v>35999.699999999997</v>
      </c>
    </row>
    <row r="12" spans="1:8" ht="15.75" thickBot="1" x14ac:dyDescent="0.3">
      <c r="A12" s="69" t="s">
        <v>57</v>
      </c>
      <c r="B12" s="69" t="s">
        <v>58</v>
      </c>
      <c r="C12" s="69" t="s">
        <v>59</v>
      </c>
      <c r="D12" s="69" t="s">
        <v>60</v>
      </c>
      <c r="E12" s="70">
        <v>1200</v>
      </c>
      <c r="F12" s="69">
        <v>5</v>
      </c>
      <c r="G12" s="69">
        <v>0</v>
      </c>
      <c r="H12" s="7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"/>
  <sheetViews>
    <sheetView showGridLines="0" showRowColHeaders="0" tabSelected="1" zoomScaleNormal="100" workbookViewId="0"/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8" t="s">
        <v>58</v>
      </c>
      <c r="L12" s="58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objects="1" scenarios="1" formatCells="0" formatColumns="0" formatRows="0" insertColumns="0" insertRows="0" insertHyperlinks="0" deleteColumns="0" deleteRows="0" sort="0" autoFilter="0"/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SUM(ProductMaster[Current Stock])&amp; " Unit(s)"</f>
        <v>540 Unit(s)</v>
      </c>
      <c r="D1" s="14"/>
      <c r="E1" s="14"/>
      <c r="F1" s="15" t="s">
        <v>31</v>
      </c>
      <c r="G1" t="s">
        <v>37</v>
      </c>
    </row>
    <row r="2" spans="1:7" x14ac:dyDescent="0.25">
      <c r="A2" t="s">
        <v>26</v>
      </c>
      <c r="B2" s="13">
        <f>SUM(ProductMaster[Value])</f>
        <v>588789.94999999995</v>
      </c>
      <c r="F2" s="16" t="s">
        <v>10</v>
      </c>
      <c r="G2" s="17">
        <v>170</v>
      </c>
    </row>
    <row r="3" spans="1:7" x14ac:dyDescent="0.25">
      <c r="A3" t="s">
        <v>27</v>
      </c>
      <c r="B3" s="14">
        <f ca="1">DATE(YEAR(TODAY()),MONTH(TODAY()),1)-1</f>
        <v>43769</v>
      </c>
      <c r="F3" s="16" t="s">
        <v>33</v>
      </c>
      <c r="G3" s="17">
        <v>240</v>
      </c>
    </row>
    <row r="4" spans="1:7" x14ac:dyDescent="0.25">
      <c r="A4" t="s">
        <v>28</v>
      </c>
      <c r="B4" s="14">
        <f ca="1">EOMONTH(TODAY(),0)+1</f>
        <v>43800</v>
      </c>
      <c r="F4" s="16" t="s">
        <v>35</v>
      </c>
      <c r="G4" s="17">
        <v>100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 Unit(s)</v>
      </c>
      <c r="F5" s="16" t="s">
        <v>36</v>
      </c>
      <c r="G5" s="17">
        <v>30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  <c r="F6" s="16" t="s">
        <v>60</v>
      </c>
      <c r="G6" s="17">
        <v>0</v>
      </c>
    </row>
    <row r="7" spans="1:7" x14ac:dyDescent="0.25">
      <c r="A7" t="s">
        <v>52</v>
      </c>
      <c r="B7" s="21">
        <f>MATCH(Dashboard!K12,ProductMaster[Product Name],0)</f>
        <v>11</v>
      </c>
      <c r="F7" s="16" t="s">
        <v>32</v>
      </c>
      <c r="G7" s="17">
        <v>540</v>
      </c>
    </row>
    <row r="8" spans="1:7" x14ac:dyDescent="0.25">
      <c r="A8" t="s">
        <v>3</v>
      </c>
      <c r="B8" s="21" t="str">
        <f>VLOOKUP(B7,ProductMaster[#All],3,0)</f>
        <v>iPhone 11</v>
      </c>
    </row>
    <row r="9" spans="1:7" x14ac:dyDescent="0.25">
      <c r="A9" t="s">
        <v>11</v>
      </c>
      <c r="B9">
        <f>VLOOKUP(B7,ProductMaster[#All],7,0)</f>
        <v>5</v>
      </c>
    </row>
    <row r="10" spans="1:7" x14ac:dyDescent="0.25">
      <c r="A10" t="s">
        <v>55</v>
      </c>
      <c r="B10">
        <f>VLOOKUP(B7,ProductMaster[#All],8,0)</f>
        <v>0</v>
      </c>
    </row>
    <row r="11" spans="1:7" x14ac:dyDescent="0.25">
      <c r="A11" t="s">
        <v>26</v>
      </c>
      <c r="B11" s="13">
        <f>VLOOKUP(B7,ProductMaster[#All],6,0)</f>
        <v>1200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0 Unit(s). And, Stock Value is $1200</v>
      </c>
    </row>
    <row r="13" spans="1:7" x14ac:dyDescent="0.25">
      <c r="A13" t="s">
        <v>54</v>
      </c>
      <c r="B13" t="str">
        <f>B8&amp;"'s"</f>
        <v>iPhone 11's</v>
      </c>
    </row>
    <row r="15" spans="1:7" x14ac:dyDescent="0.25">
      <c r="A15" t="str">
        <f>IF(B10&gt;B9,"Relax! Stock Is Above Re-Order Level.","")</f>
        <v/>
      </c>
    </row>
    <row r="16" spans="1:7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s="40" customFormat="1" ht="27.75" customHeight="1" x14ac:dyDescent="0.2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 x14ac:dyDescent="0.2">
      <c r="A6" s="41" t="s">
        <v>1</v>
      </c>
      <c r="B6" s="43" t="str">
        <f ca="1">IF(B8="","",TODAY())</f>
        <v/>
      </c>
      <c r="C6" s="39"/>
    </row>
    <row r="7" spans="1:3" s="40" customFormat="1" ht="27.75" customHeight="1" x14ac:dyDescent="0.2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 x14ac:dyDescent="0.2">
      <c r="A8" s="41" t="s">
        <v>3</v>
      </c>
      <c r="B8" s="35"/>
      <c r="C8" s="39"/>
    </row>
    <row r="9" spans="1:3" s="40" customFormat="1" ht="27.75" customHeight="1" x14ac:dyDescent="0.2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 x14ac:dyDescent="0.2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 x14ac:dyDescent="0.2">
      <c r="A11" s="41" t="s">
        <v>6</v>
      </c>
      <c r="B11" s="35"/>
      <c r="C11" s="39"/>
    </row>
    <row r="12" spans="1:3" s="40" customFormat="1" ht="27.75" customHeight="1" thickBot="1" x14ac:dyDescent="0.25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ht="27" customHeight="1" x14ac:dyDescent="0.25">
      <c r="A5" s="41" t="s">
        <v>0</v>
      </c>
      <c r="B5" s="42" t="str">
        <f>IF(B8="","",(MAX(StockOutData[S No.])+1))</f>
        <v/>
      </c>
      <c r="C5" s="27"/>
    </row>
    <row r="6" spans="1:3" ht="27" customHeight="1" x14ac:dyDescent="0.25">
      <c r="A6" s="41" t="s">
        <v>1</v>
      </c>
      <c r="B6" s="43" t="str">
        <f ca="1">IF(B8="","",TODAY())</f>
        <v/>
      </c>
      <c r="C6" s="27"/>
    </row>
    <row r="7" spans="1:3" ht="27" customHeight="1" x14ac:dyDescent="0.25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 x14ac:dyDescent="0.25">
      <c r="A8" s="41" t="s">
        <v>3</v>
      </c>
      <c r="B8" s="35"/>
      <c r="C8" s="27"/>
    </row>
    <row r="9" spans="1:3" ht="27" customHeight="1" x14ac:dyDescent="0.25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 x14ac:dyDescent="0.25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 x14ac:dyDescent="0.25">
      <c r="A11" s="41" t="s">
        <v>6</v>
      </c>
      <c r="B11" s="35"/>
      <c r="C11" s="27"/>
    </row>
    <row r="12" spans="1:3" ht="27" customHeight="1" thickBot="1" x14ac:dyDescent="0.3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2"/>
  <sheetViews>
    <sheetView showGridLines="0" workbookViewId="0">
      <pane ySplit="1" topLeftCell="A2" activePane="bottomLeft" state="frozen"/>
      <selection pane="bottomLeft" activeCell="A22" sqref="A22:H22"/>
    </sheetView>
  </sheetViews>
  <sheetFormatPr defaultRowHeight="15" x14ac:dyDescent="0.25"/>
  <cols>
    <col min="1" max="1" width="5" style="1" customWidth="1"/>
    <col min="2" max="2" width="10.125" style="1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 x14ac:dyDescent="0.25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 x14ac:dyDescent="0.25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 x14ac:dyDescent="0.25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 x14ac:dyDescent="0.25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 x14ac:dyDescent="0.25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 x14ac:dyDescent="0.25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 x14ac:dyDescent="0.25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 x14ac:dyDescent="0.25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 x14ac:dyDescent="0.25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 x14ac:dyDescent="0.25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 x14ac:dyDescent="0.25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 x14ac:dyDescent="0.25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  <row r="21" spans="1:8" x14ac:dyDescent="0.25">
      <c r="A21" s="53" t="s">
        <v>56</v>
      </c>
      <c r="B21" s="54" t="s">
        <v>56</v>
      </c>
      <c r="C21" s="53" t="s">
        <v>56</v>
      </c>
      <c r="D21" s="53"/>
      <c r="E21" s="53" t="s">
        <v>56</v>
      </c>
      <c r="F21" s="53" t="s">
        <v>56</v>
      </c>
      <c r="G21" s="53"/>
      <c r="H21" s="55" t="s">
        <v>56</v>
      </c>
    </row>
    <row r="22" spans="1:8" x14ac:dyDescent="0.25">
      <c r="A22" s="53">
        <v>17</v>
      </c>
      <c r="B22" s="54">
        <v>43786</v>
      </c>
      <c r="C22" s="53" t="s">
        <v>14</v>
      </c>
      <c r="D22" s="53" t="s">
        <v>40</v>
      </c>
      <c r="E22" s="53" t="s">
        <v>41</v>
      </c>
      <c r="F22" s="53" t="s">
        <v>10</v>
      </c>
      <c r="G22" s="53">
        <v>5</v>
      </c>
      <c r="H22" s="55">
        <v>27995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showGridLines="0" workbookViewId="0">
      <pane ySplit="1" topLeftCell="A2" activePane="bottomLeft" state="frozen"/>
      <selection pane="bottomLeft" activeCell="A8" sqref="A8:H8"/>
    </sheetView>
  </sheetViews>
  <sheetFormatPr defaultRowHeight="15" x14ac:dyDescent="0.25"/>
  <cols>
    <col min="1" max="1" width="5" style="1" bestFit="1" customWidth="1"/>
    <col min="2" max="2" width="11" style="11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 x14ac:dyDescent="0.25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  <row r="8" spans="1:8" x14ac:dyDescent="0.25">
      <c r="A8" s="53">
        <v>18</v>
      </c>
      <c r="B8" s="54">
        <v>43787</v>
      </c>
      <c r="C8" s="53" t="s">
        <v>19</v>
      </c>
      <c r="D8" s="53" t="s">
        <v>49</v>
      </c>
      <c r="E8" s="53" t="s">
        <v>34</v>
      </c>
      <c r="F8" s="53" t="s">
        <v>33</v>
      </c>
      <c r="G8" s="53">
        <v>90</v>
      </c>
      <c r="H8" s="55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2"/>
  <sheetViews>
    <sheetView showGridLines="0" workbookViewId="0">
      <pane ySplit="1" topLeftCell="A2" activePane="bottomLeft" state="frozen"/>
      <selection pane="bottomLeft" activeCell="B1" sqref="B1:I12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3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8" customFormat="1" ht="12" x14ac:dyDescent="0.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 x14ac:dyDescent="0.25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45</v>
      </c>
      <c r="I3" s="26">
        <f>SUMIFS(StockInData[Value],StockInData[Product ID],ProductMaster[[#This Row],[Product ID]])-SUMIFS(StockOutData[Value],StockOutData[Product ID],ProductMaster[[#This Row],[Product ID]])</f>
        <v>251955</v>
      </c>
    </row>
    <row r="4" spans="1:9" x14ac:dyDescent="0.25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25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60</v>
      </c>
      <c r="I8" s="26">
        <f>SUMIFS(StockInData[Value],StockInData[Product ID],ProductMaster[[#This Row],[Product ID]])-SUMIFS(StockOutData[Value],StockOutData[Product ID],ProductMaster[[#This Row],[Product ID]])</f>
        <v>41999.4</v>
      </c>
    </row>
    <row r="9" spans="1:9" x14ac:dyDescent="0.25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  <row r="12" spans="1:9" x14ac:dyDescent="0.25">
      <c r="A12" s="56">
        <v>11</v>
      </c>
      <c r="B12" s="56" t="s">
        <v>57</v>
      </c>
      <c r="C12" s="56" t="s">
        <v>58</v>
      </c>
      <c r="D12" s="56" t="s">
        <v>59</v>
      </c>
      <c r="E12" s="56" t="s">
        <v>60</v>
      </c>
      <c r="F12" s="57">
        <v>1200</v>
      </c>
      <c r="G12" s="56">
        <v>5</v>
      </c>
      <c r="H12" s="56">
        <f>SUMIFS(StockInData[Quantity],StockInData[Product ID],ProductMaster[[#This Row],[Product ID]])-SUMIFS(StockOutData[Quantity],StockOutData[Product ID],ProductMaster[[#This Row],[Product ID]])</f>
        <v>0</v>
      </c>
      <c r="I12" s="57">
        <f>SUMIFS(StockInData[Value],StockInData[Product ID],ProductMaster[[#This Row],[Product ID]])-SUMIFS(StockOutData[Value],StockOutData[Product ID],ProductMaster[[#This Row],[Product ID]])</f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B5" sqref="B5:B11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9"/>
      <c r="B4" s="30"/>
      <c r="C4" s="29"/>
    </row>
    <row r="5" spans="1:3" ht="30.75" customHeight="1" x14ac:dyDescent="0.25">
      <c r="A5" s="47" t="s">
        <v>0</v>
      </c>
      <c r="B5" s="48" t="str">
        <f>IF(B6="","",(MAX(ProductMaster[S No.])+1))</f>
        <v/>
      </c>
      <c r="C5" s="29"/>
    </row>
    <row r="6" spans="1:3" ht="30.75" customHeight="1" x14ac:dyDescent="0.25">
      <c r="A6" s="47" t="s">
        <v>2</v>
      </c>
      <c r="B6" s="36"/>
      <c r="C6" s="29"/>
    </row>
    <row r="7" spans="1:3" ht="30.75" customHeight="1" x14ac:dyDescent="0.25">
      <c r="A7" s="47" t="s">
        <v>3</v>
      </c>
      <c r="B7" s="35"/>
      <c r="C7" s="29"/>
    </row>
    <row r="8" spans="1:3" ht="30.75" customHeight="1" x14ac:dyDescent="0.25">
      <c r="A8" s="47" t="s">
        <v>4</v>
      </c>
      <c r="B8" s="35"/>
      <c r="C8" s="29"/>
    </row>
    <row r="9" spans="1:3" ht="30.75" customHeight="1" x14ac:dyDescent="0.25">
      <c r="A9" s="47" t="s">
        <v>5</v>
      </c>
      <c r="B9" s="35"/>
      <c r="C9" s="29"/>
    </row>
    <row r="10" spans="1:3" ht="30.75" customHeight="1" x14ac:dyDescent="0.25">
      <c r="A10" s="47" t="s">
        <v>25</v>
      </c>
      <c r="B10" s="37"/>
      <c r="C10" s="29"/>
    </row>
    <row r="11" spans="1:3" ht="30.75" customHeight="1" thickBot="1" x14ac:dyDescent="0.3">
      <c r="A11" s="49" t="s">
        <v>11</v>
      </c>
      <c r="B11" s="38"/>
      <c r="C11" s="29"/>
    </row>
    <row r="12" spans="1:3" ht="15.75" thickTop="1" x14ac:dyDescent="0.25">
      <c r="A12" s="29"/>
      <c r="B12" s="30"/>
      <c r="C12" s="29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2016-08-05T04:56:17Z</dcterms:created>
  <dcterms:modified xsi:type="dcterms:W3CDTF">2019-11-20T17:40:55Z</dcterms:modified>
  <cp:contentStatus/>
</cp:coreProperties>
</file>