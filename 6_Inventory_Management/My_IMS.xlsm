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/>
  <pivotCaches>
    <pivotCache cacheId="4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" i="4" l="1"/>
  <c r="I12" i="4"/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<sst xmlns="http://schemas.openxmlformats.org/spreadsheetml/2006/main" count="228" uniqueCount="61">
  <si>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</si>
  <si>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</si>
  <si>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</si>
  <si>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</si>
  <si>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</si>
  <si>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</si>
  <si>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</si>
  <si>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</si>
  <si>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</si>
  <si>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</si>
  <si>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</si>
  <si>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</si>
  <si>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</si>
  <si>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</si>
  <si>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</si>
  <si>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</si>
  <si>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</si>
  <si>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</si>
  <si>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</si>
  <si>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</si>
  <si>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</si>
  <si>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</si>
  <si>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</si>
  <si>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</si>
  <si>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</si>
  <si>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</si>
  <si>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</si>
  <si>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</si>
  <si>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</si>
  <si>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</si>
  <si>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</si>
  <si>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</si>
  <si>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</si>
  <si>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</si>
  <si>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</si>
  <si>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</si>
  <si>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</si>
  <si>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</si>
  <si>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</si>
  <si>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</si>
  <si>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</si>
  <si>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</si>
  <si>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</si>
  <si>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</si>
  <si>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</si>
  <si>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</si>
  <si>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</si>
  <si>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</si>
  <si>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</si>
  <si>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</si>
  <si>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</si>
  <si>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</si>
  <si>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</si>
  <si>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</si>
  <si>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</si>
  <si>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</si>
  <si>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</si>
  <si>
    <t>IP001</t>
  </si>
  <si>
    <t>iPhone 11</t>
  </si>
  <si>
    <t>Mobile</t>
  </si>
  <si>
    <t>Mobiles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</si>
</sst>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7" fillId="5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Alignment="1">
      <alignment horizontal="center" vertical="center"/>
    </xf>
    <xf numFmtId="42" fontId="10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[My_IMS.xlsm]Help!PivotTable1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Help!$F$2:$F$7</c:f>
              <c:strCache>
                <c:ptCount val="5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  <c:pt idx="4">
                  <c:v>Mobiles</c:v>
                </c:pt>
              </c:strCache>
            </c:strRef>
          </c:cat>
          <c:val>
            <c:numRef>
              <c:f>Help!$G$2:$G$7</c:f>
              <c:numCache>
                <c:formatCode>General</c:formatCode>
                <c:ptCount val="5"/>
                <c:pt idx="0">
                  <c:v>170</c:v>
                </c:pt>
                <c:pt idx="1">
                  <c:v>240</c:v>
                </c:pt>
                <c:pt idx="2">
                  <c:v>100</c:v>
                </c:pt>
                <c:pt idx="3">
                  <c:v>30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Do Something, Stock is Below Re-Order Level.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iPhone 11's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0 Unit(s). And, Stock Value is $1200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$588,790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540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12</xdr:col>
      <xdr:colOff>257175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0" u="sng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 cap="none" spc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87.99527615741" createdVersion="5" refreshedVersion="6" minRefreshableVersion="3" recordCount="11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1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6">
        <s v="Home Appliances"/>
        <s v="Mobile Phone"/>
        <s v="Tablet"/>
        <s v="Laptop"/>
        <s v="Mobiles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0" maxValue="180"/>
    </cacheField>
    <cacheField name="Value" numFmtId="42">
      <sharedItems containsSemiMixedTypes="0" containsString="0" containsNumber="1" minValue="0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60"/>
    <n v="41999.4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  <r>
    <n v="11"/>
    <s v="IP001"/>
    <s v="iPhone 11"/>
    <s v="Mobile"/>
    <x v="4"/>
    <n v="1200"/>
    <n v="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9">
    <pivotField showAll="0"/>
    <pivotField showAll="0"/>
    <pivotField showAll="0"/>
    <pivotField showAll="0"/>
    <pivotField axis="axisRow" showAll="0">
      <items count="7">
        <item x="0"/>
        <item m="1" x="5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2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8" totalsRowShown="0" headerRowDxfId="20" dataDxfId="19">
  <tableColumns count="8">
    <tableColumn id="1" name="S No." dataDxfId="18"/>
    <tableColumn id="2" name="Date" dataDxfId="17"/>
    <tableColumn id="3" name="Product ID" dataDxfId="16"/>
    <tableColumn id="4" name="Product Name" dataDxfId="15"/>
    <tableColumn id="5" name="Product Description" dataDxfId="14"/>
    <tableColumn id="6" name="Product Category" dataDxfId="13"/>
    <tableColumn id="7" name="Quantity" dataDxfId="12"/>
    <tableColumn id="8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ProductMaster" displayName="ProductMaster" ref="A1:I12" totalsRowShown="0" headerRowDxfId="10" dataDxfId="9">
  <tableColumns count="9">
    <tableColumn id="1" name="S No." dataDxfId="8"/>
    <tableColumn id="2" name="Product ID" dataDxfId="7"/>
    <tableColumn id="3" name="Product Name" dataDxfId="6"/>
    <tableColumn id="4" name="Product Description" dataDxfId="5"/>
    <tableColumn id="5" name="Product Category" dataDxfId="4"/>
    <tableColumn id="8" name="Unit Price" dataDxfId="3"/>
    <tableColumn id="6" name="Reorder Level" dataDxfId="2"/>
    <tableColumn id="7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6" t="s">
        <v>58</v>
      </c>
      <c r="L12" s="56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objects="1" scenarios="1" formatCells="0" formatColumns="0" formatRows="0" insertColumns="0" insertRows="0" insertHyperlinks="0" deleteColumns="0" deleteRows="0" sort="0" autoFilter="0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540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588789.94999999995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240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  <c r="F6" s="16" t="s">
        <v>60</v>
      </c>
      <c r="G6" s="17">
        <v>0</v>
      </c>
    </row>
    <row r="7" spans="1:7" x14ac:dyDescent="0.25">
      <c r="A7" t="s">
        <v>52</v>
      </c>
      <c r="B7" s="21">
        <f>MATCH(Dashboard!K12,ProductMaster[Product Name],0)</f>
        <v>11</v>
      </c>
      <c r="F7" s="16" t="s">
        <v>32</v>
      </c>
      <c r="G7" s="17">
        <v>540</v>
      </c>
    </row>
    <row r="8" spans="1:7" x14ac:dyDescent="0.25">
      <c r="A8" t="s">
        <v>3</v>
      </c>
      <c r="B8" s="21" t="str">
        <f>VLOOKUP(B7,ProductMaster[#All],3,0)</f>
        <v>iPhone 11</v>
      </c>
    </row>
    <row r="9" spans="1:7" x14ac:dyDescent="0.25">
      <c r="A9" t="s">
        <v>11</v>
      </c>
      <c r="B9">
        <f>VLOOKUP(B7,ProductMaster[#All],7,0)</f>
        <v>5</v>
      </c>
    </row>
    <row r="10" spans="1:7" x14ac:dyDescent="0.25">
      <c r="A10" t="s">
        <v>55</v>
      </c>
      <c r="B10">
        <f>VLOOKUP(B7,ProductMaster[#All],8,0)</f>
        <v>0</v>
      </c>
    </row>
    <row r="11" spans="1:7" x14ac:dyDescent="0.25">
      <c r="A11" t="s">
        <v>26</v>
      </c>
      <c r="B11" s="13">
        <f>VLOOKUP(B7,ProductMaster[#All],6,0)</f>
        <v>1200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0 Unit(s). And, Stock Value is $1200</v>
      </c>
    </row>
    <row r="13" spans="1:7" x14ac:dyDescent="0.25">
      <c r="A13" t="s">
        <v>54</v>
      </c>
      <c r="B13" t="str">
        <f>B8&amp;"'s"</f>
        <v>iPhone 11's</v>
      </c>
    </row>
    <row r="15" spans="1:7" x14ac:dyDescent="0.25">
      <c r="A15" t="str">
        <f>IF(B10&gt;B9,"Relax! Stock Is Above Re-Order Level.","")</f>
        <v/>
      </c>
    </row>
    <row r="16" spans="1:7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showGridLines="0" workbookViewId="0">
      <pane ySplit="1" topLeftCell="A2" activePane="bottomLeft" state="frozen"/>
      <selection pane="bottomLeft" activeCell="A22" sqref="A22:H2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showGridLines="0" workbookViewId="0">
      <pane ySplit="1" topLeftCell="A2" activePane="bottomLeft" state="frozen"/>
      <selection pane="bottomLeft" activeCell="A8" sqref="A8:H8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  <row r="8" spans="1:8" x14ac:dyDescent="0.25">
      <c r="A8" s="53">
        <v>18</v>
      </c>
      <c r="B8" s="54">
        <v>43787</v>
      </c>
      <c r="C8" s="53" t="s">
        <v>19</v>
      </c>
      <c r="D8" s="53" t="s">
        <v>49</v>
      </c>
      <c r="E8" s="53" t="s">
        <v>34</v>
      </c>
      <c r="F8" s="53" t="s">
        <v>33</v>
      </c>
      <c r="G8" s="53">
        <v>90</v>
      </c>
      <c r="H8" s="55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2"/>
  <sheetViews>
    <sheetView showGridLines="0" workbookViewId="0">
      <pane ySplit="1" topLeftCell="A2" activePane="bottomLeft" state="frozen"/>
      <selection pane="bottomLeft" activeCell="H12" sqref="H12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60</v>
      </c>
      <c r="I8" s="26">
        <f>SUMIFS(StockInData[Value],StockInData[Product ID],ProductMaster[[#This Row],[Product ID]])-SUMIFS(StockOutData[Value],StockOutData[Product ID],ProductMaster[[#This Row],[Product ID]])</f>
        <v>41999.4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  <row r="12" spans="1:9" x14ac:dyDescent="0.25">
      <c r="A12" s="57">
        <v>11</v>
      </c>
      <c r="B12" s="57" t="s">
        <v>57</v>
      </c>
      <c r="C12" s="57" t="s">
        <v>58</v>
      </c>
      <c r="D12" s="57" t="s">
        <v>59</v>
      </c>
      <c r="E12" s="57" t="s">
        <v>60</v>
      </c>
      <c r="F12" s="58">
        <v>1200</v>
      </c>
      <c r="G12" s="57">
        <v>5</v>
      </c>
      <c r="H12" s="57">
        <f>SUMIFS(StockInData[Quantity],StockInData[Product ID],ProductMaster[[#This Row],[Product ID]])-SUMIFS(StockOutData[Quantity],StockOutData[Product ID],ProductMaster[[#This Row],[Product ID]])</f>
        <v>0</v>
      </c>
      <c r="I12" s="58">
        <f>SUMIFS(StockInData[Value],StockInData[Product ID],ProductMaster[[#This Row],[Product ID]])-SUMIFS(StockOutData[Value],StockOutData[Product ID],ProductMaster[[#This Row],[Product ID]])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B5" sqref="B5:B11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2019-11-18T19:53:13Z</dcterms:modified>
  <cp:contentStatus/>
</cp:coreProperties>
</file>