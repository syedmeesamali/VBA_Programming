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pivotTables/pivotTable1.xml" ContentType="application/vnd.openxmlformats-officedocument.spreadsheetml.pivotTab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showInkAnnotation="0"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YED\Desktop\VBA_Programming\6_Inventory_Management\"/>
    </mc:Choice>
  </mc:AlternateContent>
  <bookViews>
    <workbookView xWindow="-120" yWindow="-120" windowWidth="20730" windowHeight="11160" tabRatio="711" firstSheet="5" activeTab="5"/>
  </bookViews>
  <sheets>
    <sheet name="Dashboard" sheetId="1" state="hidden" r:id="rId1"/>
    <sheet name="Help" sheetId="7" state="hidden" r:id="rId2"/>
    <sheet name="EnterStockIn" sheetId="2" state="hidden" r:id="rId3"/>
    <sheet name="EnterStockOut" sheetId="5" state="hidden" r:id="rId4"/>
    <sheet name="StockIn" sheetId="3" state="hidden" r:id="rId5"/>
    <sheet name="StockOut" sheetId="6" r:id="rId6"/>
    <sheet name="ProductMaster" sheetId="4" state="hidden" r:id="rId7"/>
    <sheet name="EnterNewProduct" sheetId="13" state="hidden" r:id="rId8"/>
    <sheet name="EnterNewSupplier" sheetId="11" state="hidden" r:id="rId9"/>
    <sheet name="EnterNewCustomer" sheetId="12" state="hidden" r:id="rId10"/>
  </sheets>
  <functionGroups builtInGroupCount="18"/>
  <externalReferences>
    <externalReference r:id="rId11"/>
  </externalReferences>
  <definedNames>
    <definedName name="MasterB">"ProductMaster[Product Name]"</definedName>
    <definedName name="_xlnm.Print_Titles" localSheetId="0">Dashboard!$1:$1</definedName>
    <definedName name="_xlnm.Print_Titles" localSheetId="9">EnterNewCustomer!$1:$1</definedName>
    <definedName name="_xlnm.Print_Titles" localSheetId="7">EnterNewProduct!$1:$1</definedName>
    <definedName name="_xlnm.Print_Titles" localSheetId="8">EnterNewSupplier!$1:$1</definedName>
    <definedName name="_xlnm.Print_Titles" localSheetId="2">EnterStockIn!$1:$1</definedName>
    <definedName name="_xlnm.Print_Titles" localSheetId="3">EnterStockOut!$1:$1</definedName>
    <definedName name="_xlnm.Print_Titles" localSheetId="1">Help!$1:$1</definedName>
    <definedName name="_xlnm.Print_Titles" localSheetId="6">ProductMaster!$1:$1</definedName>
    <definedName name="_xlnm.Print_Titles" localSheetId="4">StockIn!$1:$1</definedName>
    <definedName name="_xlnm.Print_Titles" localSheetId="5">StockOut!$1:$1</definedName>
    <definedName name="Puneet" localSheetId="7">INDEX([1]Help!XFB1:XFB3,MATCH([1]Help!XEY1,[1]Help!XFA1:XFA3,0),0)</definedName>
  </definedNames>
  <calcPr calcId="162913"/>
  <pivotCaches>
    <pivotCache cacheId="30" r:id="rId1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429" i="3" l="1"/>
  <c r="I2" i="4" l="1"/>
  <c r="K428" i="3" l="1"/>
  <c r="K427" i="3"/>
  <c r="K426" i="3" l="1"/>
  <c r="B9" i="2"/>
  <c r="B7" i="2"/>
  <c r="B7" i="5"/>
  <c r="B7" i="7" l="1"/>
  <c r="B5" i="12"/>
  <c r="I426" i="4"/>
  <c r="J426" i="4"/>
  <c r="B14" i="5"/>
  <c r="B12" i="5"/>
  <c r="B11" i="5"/>
  <c r="B15" i="2"/>
  <c r="B12" i="2"/>
  <c r="B11" i="2"/>
  <c r="B9" i="7" l="1"/>
  <c r="B8" i="7"/>
  <c r="B11" i="7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B10" i="7" l="1"/>
  <c r="B1" i="7"/>
  <c r="B4" i="7"/>
  <c r="B3" i="7"/>
  <c r="J425" i="6"/>
  <c r="J424" i="6"/>
  <c r="J423" i="6"/>
  <c r="J422" i="6"/>
  <c r="J421" i="6"/>
  <c r="J420" i="6"/>
  <c r="J419" i="6"/>
  <c r="J418" i="6"/>
  <c r="J417" i="6"/>
  <c r="J416" i="6"/>
  <c r="J415" i="6"/>
  <c r="J414" i="6"/>
  <c r="J413" i="6"/>
  <c r="J412" i="6"/>
  <c r="J411" i="6"/>
  <c r="J410" i="6"/>
  <c r="J409" i="6"/>
  <c r="J408" i="6"/>
  <c r="J407" i="6"/>
  <c r="J406" i="6"/>
  <c r="J405" i="6"/>
  <c r="J404" i="6"/>
  <c r="J403" i="6"/>
  <c r="J402" i="6"/>
  <c r="J401" i="6"/>
  <c r="J400" i="6"/>
  <c r="J399" i="6"/>
  <c r="J398" i="6"/>
  <c r="J397" i="6"/>
  <c r="J396" i="6"/>
  <c r="J395" i="6"/>
  <c r="J394" i="6"/>
  <c r="J393" i="6"/>
  <c r="J392" i="6"/>
  <c r="J391" i="6"/>
  <c r="J390" i="6"/>
  <c r="J389" i="6"/>
  <c r="J388" i="6"/>
  <c r="J387" i="6"/>
  <c r="J386" i="6"/>
  <c r="J385" i="6"/>
  <c r="J384" i="6"/>
  <c r="J383" i="6"/>
  <c r="J382" i="6"/>
  <c r="J381" i="6"/>
  <c r="J380" i="6"/>
  <c r="J379" i="6"/>
  <c r="J378" i="6"/>
  <c r="J377" i="6"/>
  <c r="J376" i="6"/>
  <c r="J375" i="6"/>
  <c r="J374" i="6"/>
  <c r="J373" i="6"/>
  <c r="J372" i="6"/>
  <c r="J371" i="6"/>
  <c r="J370" i="6"/>
  <c r="J369" i="6"/>
  <c r="J368" i="6"/>
  <c r="J367" i="6"/>
  <c r="J366" i="6"/>
  <c r="J365" i="6"/>
  <c r="J364" i="6"/>
  <c r="J363" i="6"/>
  <c r="J362" i="6"/>
  <c r="J361" i="6"/>
  <c r="J360" i="6"/>
  <c r="J359" i="6"/>
  <c r="J358" i="6"/>
  <c r="J357" i="6"/>
  <c r="J356" i="6"/>
  <c r="J355" i="6"/>
  <c r="J354" i="6"/>
  <c r="J353" i="6"/>
  <c r="J352" i="6"/>
  <c r="J351" i="6"/>
  <c r="J350" i="6"/>
  <c r="J349" i="6"/>
  <c r="J348" i="6"/>
  <c r="J347" i="6"/>
  <c r="J346" i="6"/>
  <c r="J345" i="6"/>
  <c r="J344" i="6"/>
  <c r="J343" i="6"/>
  <c r="J342" i="6"/>
  <c r="J341" i="6"/>
  <c r="J340" i="6"/>
  <c r="J339" i="6"/>
  <c r="J338" i="6"/>
  <c r="J337" i="6"/>
  <c r="J336" i="6"/>
  <c r="J335" i="6"/>
  <c r="J334" i="6"/>
  <c r="J333" i="6"/>
  <c r="J332" i="6"/>
  <c r="J331" i="6"/>
  <c r="J330" i="6"/>
  <c r="J329" i="6"/>
  <c r="J328" i="6"/>
  <c r="J327" i="6"/>
  <c r="J326" i="6"/>
  <c r="J325" i="6"/>
  <c r="J324" i="6"/>
  <c r="J323" i="6"/>
  <c r="J322" i="6"/>
  <c r="J321" i="6"/>
  <c r="J320" i="6"/>
  <c r="J319" i="6"/>
  <c r="J318" i="6"/>
  <c r="J317" i="6"/>
  <c r="J316" i="6"/>
  <c r="J315" i="6"/>
  <c r="J314" i="6"/>
  <c r="J313" i="6"/>
  <c r="J312" i="6"/>
  <c r="J311" i="6"/>
  <c r="J310" i="6"/>
  <c r="J309" i="6"/>
  <c r="J308" i="6"/>
  <c r="J307" i="6"/>
  <c r="J306" i="6"/>
  <c r="J305" i="6"/>
  <c r="J304" i="6"/>
  <c r="J303" i="6"/>
  <c r="J302" i="6"/>
  <c r="J301" i="6"/>
  <c r="J300" i="6"/>
  <c r="J299" i="6"/>
  <c r="J298" i="6"/>
  <c r="J297" i="6"/>
  <c r="J296" i="6"/>
  <c r="J295" i="6"/>
  <c r="J294" i="6"/>
  <c r="J293" i="6"/>
  <c r="J292" i="6"/>
  <c r="J291" i="6"/>
  <c r="J290" i="6"/>
  <c r="J289" i="6"/>
  <c r="J288" i="6"/>
  <c r="J287" i="6"/>
  <c r="J286" i="6"/>
  <c r="J285" i="6"/>
  <c r="J284" i="6"/>
  <c r="J283" i="6"/>
  <c r="J282" i="6"/>
  <c r="J281" i="6"/>
  <c r="J280" i="6"/>
  <c r="J279" i="6"/>
  <c r="J278" i="6"/>
  <c r="J277" i="6"/>
  <c r="J276" i="6"/>
  <c r="J275" i="6"/>
  <c r="J274" i="6"/>
  <c r="J273" i="6"/>
  <c r="J272" i="6"/>
  <c r="J271" i="6"/>
  <c r="J270" i="6"/>
  <c r="J269" i="6"/>
  <c r="J268" i="6"/>
  <c r="J267" i="6"/>
  <c r="J266" i="6"/>
  <c r="J265" i="6"/>
  <c r="J264" i="6"/>
  <c r="J263" i="6"/>
  <c r="J262" i="6"/>
  <c r="J261" i="6"/>
  <c r="J260" i="6"/>
  <c r="J259" i="6"/>
  <c r="J258" i="6"/>
  <c r="J257" i="6"/>
  <c r="J256" i="6"/>
  <c r="J255" i="6"/>
  <c r="J254" i="6"/>
  <c r="J253" i="6"/>
  <c r="J252" i="6"/>
  <c r="J251" i="6"/>
  <c r="J250" i="6"/>
  <c r="J249" i="6"/>
  <c r="J248" i="6"/>
  <c r="J247" i="6"/>
  <c r="J246" i="6"/>
  <c r="J245" i="6"/>
  <c r="J244" i="6"/>
  <c r="J243" i="6"/>
  <c r="J242" i="6"/>
  <c r="J241" i="6"/>
  <c r="J240" i="6"/>
  <c r="J239" i="6"/>
  <c r="J238" i="6"/>
  <c r="J237" i="6"/>
  <c r="J236" i="6"/>
  <c r="J235" i="6"/>
  <c r="J234" i="6"/>
  <c r="J233" i="6"/>
  <c r="J232" i="6"/>
  <c r="J231" i="6"/>
  <c r="J230" i="6"/>
  <c r="J229" i="6"/>
  <c r="J228" i="6"/>
  <c r="J227" i="6"/>
  <c r="J226" i="6"/>
  <c r="J225" i="6"/>
  <c r="J224" i="6"/>
  <c r="J223" i="6"/>
  <c r="J222" i="6"/>
  <c r="J221" i="6"/>
  <c r="J220" i="6"/>
  <c r="J219" i="6"/>
  <c r="J218" i="6"/>
  <c r="J217" i="6"/>
  <c r="J216" i="6"/>
  <c r="J215" i="6"/>
  <c r="J214" i="6"/>
  <c r="J213" i="6"/>
  <c r="J212" i="6"/>
  <c r="J211" i="6"/>
  <c r="J210" i="6"/>
  <c r="J209" i="6"/>
  <c r="J208" i="6"/>
  <c r="J207" i="6"/>
  <c r="J206" i="6"/>
  <c r="J205" i="6"/>
  <c r="J204" i="6"/>
  <c r="J203" i="6"/>
  <c r="J202" i="6"/>
  <c r="J201" i="6"/>
  <c r="J200" i="6"/>
  <c r="J199" i="6"/>
  <c r="J198" i="6"/>
  <c r="J197" i="6"/>
  <c r="J196" i="6"/>
  <c r="J195" i="6"/>
  <c r="J194" i="6"/>
  <c r="J193" i="6"/>
  <c r="J192" i="6"/>
  <c r="J191" i="6"/>
  <c r="J190" i="6"/>
  <c r="J189" i="6"/>
  <c r="J188" i="6"/>
  <c r="J187" i="6"/>
  <c r="J186" i="6"/>
  <c r="J185" i="6"/>
  <c r="J184" i="6"/>
  <c r="J183" i="6"/>
  <c r="J182" i="6"/>
  <c r="J181" i="6"/>
  <c r="J180" i="6"/>
  <c r="J179" i="6"/>
  <c r="J178" i="6"/>
  <c r="J177" i="6"/>
  <c r="J176" i="6"/>
  <c r="J175" i="6"/>
  <c r="J174" i="6"/>
  <c r="J173" i="6"/>
  <c r="J172" i="6"/>
  <c r="J171" i="6"/>
  <c r="J170" i="6"/>
  <c r="J169" i="6"/>
  <c r="J168" i="6"/>
  <c r="J167" i="6"/>
  <c r="J166" i="6"/>
  <c r="J165" i="6"/>
  <c r="J164" i="6"/>
  <c r="J163" i="6"/>
  <c r="J162" i="6"/>
  <c r="J161" i="6"/>
  <c r="J160" i="6"/>
  <c r="J159" i="6"/>
  <c r="J158" i="6"/>
  <c r="J157" i="6"/>
  <c r="J156" i="6"/>
  <c r="J155" i="6"/>
  <c r="J154" i="6"/>
  <c r="J153" i="6"/>
  <c r="J152" i="6"/>
  <c r="J151" i="6"/>
  <c r="J150" i="6"/>
  <c r="J149" i="6"/>
  <c r="J148" i="6"/>
  <c r="J147" i="6"/>
  <c r="J146" i="6"/>
  <c r="J145" i="6"/>
  <c r="J144" i="6"/>
  <c r="J143" i="6"/>
  <c r="J142" i="6"/>
  <c r="J141" i="6"/>
  <c r="J140" i="6"/>
  <c r="J139" i="6"/>
  <c r="J138" i="6"/>
  <c r="J137" i="6"/>
  <c r="J136" i="6"/>
  <c r="J135" i="6"/>
  <c r="J134" i="6"/>
  <c r="J133" i="6"/>
  <c r="J132" i="6"/>
  <c r="J131" i="6"/>
  <c r="J130" i="6"/>
  <c r="J129" i="6"/>
  <c r="J128" i="6"/>
  <c r="J127" i="6"/>
  <c r="J126" i="6"/>
  <c r="J125" i="6"/>
  <c r="J124" i="6"/>
  <c r="J123" i="6"/>
  <c r="J122" i="6"/>
  <c r="J121" i="6"/>
  <c r="J120" i="6"/>
  <c r="J119" i="6"/>
  <c r="J118" i="6"/>
  <c r="J117" i="6"/>
  <c r="J116" i="6"/>
  <c r="J115" i="6"/>
  <c r="J114" i="6"/>
  <c r="J113" i="6"/>
  <c r="J112" i="6"/>
  <c r="J111" i="6"/>
  <c r="J110" i="6"/>
  <c r="J109" i="6"/>
  <c r="J108" i="6"/>
  <c r="J107" i="6"/>
  <c r="J106" i="6"/>
  <c r="J105" i="6"/>
  <c r="J104" i="6"/>
  <c r="J103" i="6"/>
  <c r="J102" i="6"/>
  <c r="J101" i="6"/>
  <c r="J100" i="6"/>
  <c r="J99" i="6"/>
  <c r="J98" i="6"/>
  <c r="J97" i="6"/>
  <c r="J96" i="6"/>
  <c r="J95" i="6"/>
  <c r="J94" i="6"/>
  <c r="J93" i="6"/>
  <c r="J92" i="6"/>
  <c r="J91" i="6"/>
  <c r="J90" i="6"/>
  <c r="J89" i="6"/>
  <c r="J88" i="6"/>
  <c r="J87" i="6"/>
  <c r="J86" i="6"/>
  <c r="J85" i="6"/>
  <c r="J84" i="6"/>
  <c r="J83" i="6"/>
  <c r="J82" i="6"/>
  <c r="J81" i="6"/>
  <c r="J80" i="6"/>
  <c r="J79" i="6"/>
  <c r="J78" i="6"/>
  <c r="J77" i="6"/>
  <c r="J76" i="6"/>
  <c r="J75" i="6"/>
  <c r="J74" i="6"/>
  <c r="J73" i="6"/>
  <c r="J72" i="6"/>
  <c r="J71" i="6"/>
  <c r="J70" i="6"/>
  <c r="J69" i="6"/>
  <c r="J68" i="6"/>
  <c r="J67" i="6"/>
  <c r="J66" i="6"/>
  <c r="J65" i="6"/>
  <c r="J64" i="6"/>
  <c r="J63" i="6"/>
  <c r="J62" i="6"/>
  <c r="J61" i="6"/>
  <c r="J60" i="6"/>
  <c r="J59" i="6"/>
  <c r="J58" i="6"/>
  <c r="J57" i="6"/>
  <c r="J56" i="6"/>
  <c r="J55" i="6"/>
  <c r="J54" i="6"/>
  <c r="J53" i="6"/>
  <c r="J52" i="6"/>
  <c r="J51" i="6"/>
  <c r="J50" i="6"/>
  <c r="J49" i="6"/>
  <c r="J48" i="6"/>
  <c r="J47" i="6"/>
  <c r="J46" i="6"/>
  <c r="J45" i="6"/>
  <c r="J44" i="6"/>
  <c r="J43" i="6"/>
  <c r="J42" i="6"/>
  <c r="J41" i="6"/>
  <c r="J40" i="6"/>
  <c r="J39" i="6"/>
  <c r="J38" i="6"/>
  <c r="J37" i="6"/>
  <c r="J36" i="6"/>
  <c r="J35" i="6"/>
  <c r="J34" i="6"/>
  <c r="J33" i="6"/>
  <c r="J32" i="6"/>
  <c r="J31" i="6"/>
  <c r="J30" i="6"/>
  <c r="J29" i="6"/>
  <c r="J28" i="6"/>
  <c r="J27" i="6"/>
  <c r="J26" i="6"/>
  <c r="J25" i="6"/>
  <c r="J24" i="6"/>
  <c r="J23" i="6"/>
  <c r="J22" i="6"/>
  <c r="J21" i="6"/>
  <c r="J20" i="6"/>
  <c r="J19" i="6"/>
  <c r="J18" i="6"/>
  <c r="J17" i="6"/>
  <c r="J16" i="6"/>
  <c r="J15" i="6"/>
  <c r="J14" i="6"/>
  <c r="J13" i="6"/>
  <c r="J12" i="6"/>
  <c r="J11" i="6"/>
  <c r="J10" i="6"/>
  <c r="J9" i="6"/>
  <c r="J8" i="6"/>
  <c r="J7" i="6"/>
  <c r="J6" i="6"/>
  <c r="J5" i="6"/>
  <c r="J4" i="6"/>
  <c r="J3" i="6"/>
  <c r="H17" i="1" l="1"/>
  <c r="J2" i="6" l="1"/>
  <c r="B3" i="6"/>
  <c r="B4" i="6" s="1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B28" i="6" s="1"/>
  <c r="B29" i="6" s="1"/>
  <c r="B30" i="6" s="1"/>
  <c r="B31" i="6" s="1"/>
  <c r="B32" i="6" s="1"/>
  <c r="B33" i="6" s="1"/>
  <c r="B34" i="6" s="1"/>
  <c r="B35" i="6" s="1"/>
  <c r="B36" i="6" s="1"/>
  <c r="B37" i="6" s="1"/>
  <c r="B38" i="6" s="1"/>
  <c r="B39" i="6" s="1"/>
  <c r="B40" i="6" s="1"/>
  <c r="B41" i="6" s="1"/>
  <c r="B42" i="6" s="1"/>
  <c r="B43" i="6" s="1"/>
  <c r="B44" i="6" s="1"/>
  <c r="B45" i="6" s="1"/>
  <c r="B46" i="6" s="1"/>
  <c r="B47" i="6" s="1"/>
  <c r="B48" i="6" s="1"/>
  <c r="B49" i="6" s="1"/>
  <c r="B50" i="6" s="1"/>
  <c r="B51" i="6" s="1"/>
  <c r="B52" i="6" s="1"/>
  <c r="B53" i="6" s="1"/>
  <c r="B54" i="6" s="1"/>
  <c r="B55" i="6" s="1"/>
  <c r="B56" i="6" s="1"/>
  <c r="B57" i="6" s="1"/>
  <c r="B58" i="6" s="1"/>
  <c r="B59" i="6" s="1"/>
  <c r="B60" i="6" s="1"/>
  <c r="B61" i="6" s="1"/>
  <c r="B62" i="6" s="1"/>
  <c r="B63" i="6" s="1"/>
  <c r="B64" i="6" s="1"/>
  <c r="B65" i="6" s="1"/>
  <c r="B66" i="6" s="1"/>
  <c r="B67" i="6" s="1"/>
  <c r="B68" i="6" s="1"/>
  <c r="B69" i="6" s="1"/>
  <c r="B70" i="6" s="1"/>
  <c r="B71" i="6" s="1"/>
  <c r="B72" i="6" s="1"/>
  <c r="B73" i="6" s="1"/>
  <c r="B74" i="6" s="1"/>
  <c r="B75" i="6" s="1"/>
  <c r="B76" i="6" s="1"/>
  <c r="B77" i="6" s="1"/>
  <c r="B78" i="6" s="1"/>
  <c r="B79" i="6" s="1"/>
  <c r="B80" i="6" s="1"/>
  <c r="B81" i="6" s="1"/>
  <c r="B82" i="6" s="1"/>
  <c r="B83" i="6" s="1"/>
  <c r="B84" i="6" s="1"/>
  <c r="B85" i="6" s="1"/>
  <c r="B86" i="6" s="1"/>
  <c r="B87" i="6" s="1"/>
  <c r="B88" i="6" s="1"/>
  <c r="B89" i="6" s="1"/>
  <c r="B90" i="6" s="1"/>
  <c r="B91" i="6" s="1"/>
  <c r="B92" i="6" s="1"/>
  <c r="B93" i="6" s="1"/>
  <c r="B94" i="6" s="1"/>
  <c r="B95" i="6" s="1"/>
  <c r="B96" i="6" s="1"/>
  <c r="B97" i="6" s="1"/>
  <c r="B98" i="6" s="1"/>
  <c r="B99" i="6" s="1"/>
  <c r="B100" i="6" s="1"/>
  <c r="B101" i="6" s="1"/>
  <c r="B102" i="6" s="1"/>
  <c r="B103" i="6" s="1"/>
  <c r="B104" i="6" s="1"/>
  <c r="B105" i="6" s="1"/>
  <c r="B106" i="6" s="1"/>
  <c r="B107" i="6" s="1"/>
  <c r="B108" i="6" s="1"/>
  <c r="B109" i="6" s="1"/>
  <c r="B110" i="6" s="1"/>
  <c r="B111" i="6" s="1"/>
  <c r="B112" i="6" s="1"/>
  <c r="B113" i="6" s="1"/>
  <c r="B114" i="6" s="1"/>
  <c r="B115" i="6" s="1"/>
  <c r="B116" i="6" s="1"/>
  <c r="B117" i="6" s="1"/>
  <c r="B118" i="6" s="1"/>
  <c r="B119" i="6" s="1"/>
  <c r="B120" i="6" s="1"/>
  <c r="B121" i="6" s="1"/>
  <c r="B122" i="6" s="1"/>
  <c r="B123" i="6" s="1"/>
  <c r="B124" i="6" s="1"/>
  <c r="B125" i="6" s="1"/>
  <c r="B126" i="6" s="1"/>
  <c r="B127" i="6" s="1"/>
  <c r="B128" i="6" s="1"/>
  <c r="B129" i="6" s="1"/>
  <c r="B130" i="6" s="1"/>
  <c r="B131" i="6" s="1"/>
  <c r="B132" i="6" s="1"/>
  <c r="B133" i="6" s="1"/>
  <c r="B134" i="6" s="1"/>
  <c r="B135" i="6" s="1"/>
  <c r="B136" i="6" s="1"/>
  <c r="B137" i="6" s="1"/>
  <c r="B138" i="6" s="1"/>
  <c r="B139" i="6" s="1"/>
  <c r="B140" i="6" s="1"/>
  <c r="B141" i="6" s="1"/>
  <c r="B142" i="6" s="1"/>
  <c r="B143" i="6" s="1"/>
  <c r="B144" i="6" s="1"/>
  <c r="B145" i="6" s="1"/>
  <c r="B146" i="6" s="1"/>
  <c r="B147" i="6" s="1"/>
  <c r="B148" i="6" s="1"/>
  <c r="B149" i="6" s="1"/>
  <c r="B150" i="6" s="1"/>
  <c r="B151" i="6" s="1"/>
  <c r="B152" i="6" s="1"/>
  <c r="B153" i="6" s="1"/>
  <c r="B154" i="6" s="1"/>
  <c r="B155" i="6" s="1"/>
  <c r="B156" i="6" s="1"/>
  <c r="B157" i="6" s="1"/>
  <c r="B158" i="6" s="1"/>
  <c r="B159" i="6" s="1"/>
  <c r="B160" i="6" s="1"/>
  <c r="B161" i="6" s="1"/>
  <c r="B162" i="6" s="1"/>
  <c r="B163" i="6" s="1"/>
  <c r="B164" i="6" s="1"/>
  <c r="B165" i="6" s="1"/>
  <c r="B166" i="6" s="1"/>
  <c r="B167" i="6" s="1"/>
  <c r="B168" i="6" s="1"/>
  <c r="B169" i="6" s="1"/>
  <c r="B170" i="6" s="1"/>
  <c r="B171" i="6" s="1"/>
  <c r="B172" i="6" s="1"/>
  <c r="B173" i="6" s="1"/>
  <c r="B174" i="6" s="1"/>
  <c r="B175" i="6" s="1"/>
  <c r="B176" i="6" s="1"/>
  <c r="B177" i="6" s="1"/>
  <c r="B178" i="6" s="1"/>
  <c r="B179" i="6" s="1"/>
  <c r="B180" i="6" s="1"/>
  <c r="B181" i="6" s="1"/>
  <c r="B182" i="6" s="1"/>
  <c r="B183" i="6" s="1"/>
  <c r="B184" i="6" s="1"/>
  <c r="B185" i="6" s="1"/>
  <c r="B186" i="6" s="1"/>
  <c r="B187" i="6" s="1"/>
  <c r="B188" i="6" s="1"/>
  <c r="B189" i="6" s="1"/>
  <c r="B190" i="6" s="1"/>
  <c r="B191" i="6" s="1"/>
  <c r="B192" i="6" s="1"/>
  <c r="B193" i="6" s="1"/>
  <c r="B194" i="6" s="1"/>
  <c r="B195" i="6" s="1"/>
  <c r="B196" i="6" s="1"/>
  <c r="B197" i="6" s="1"/>
  <c r="B198" i="6" s="1"/>
  <c r="B199" i="6" s="1"/>
  <c r="B200" i="6" s="1"/>
  <c r="B201" i="6" s="1"/>
  <c r="B202" i="6" s="1"/>
  <c r="B203" i="6" s="1"/>
  <c r="B204" i="6" s="1"/>
  <c r="B205" i="6" s="1"/>
  <c r="B206" i="6" s="1"/>
  <c r="B207" i="6" s="1"/>
  <c r="B208" i="6" s="1"/>
  <c r="B209" i="6" s="1"/>
  <c r="B210" i="6" s="1"/>
  <c r="B211" i="6" s="1"/>
  <c r="B212" i="6" s="1"/>
  <c r="B213" i="6" s="1"/>
  <c r="B214" i="6" s="1"/>
  <c r="B215" i="6" s="1"/>
  <c r="B216" i="6" s="1"/>
  <c r="B217" i="6" s="1"/>
  <c r="B218" i="6" s="1"/>
  <c r="B219" i="6" s="1"/>
  <c r="B220" i="6" s="1"/>
  <c r="B221" i="6" s="1"/>
  <c r="B222" i="6" s="1"/>
  <c r="B223" i="6" s="1"/>
  <c r="B224" i="6" s="1"/>
  <c r="B225" i="6" s="1"/>
  <c r="B226" i="6" s="1"/>
  <c r="B227" i="6" s="1"/>
  <c r="B228" i="6" s="1"/>
  <c r="B229" i="6" s="1"/>
  <c r="B230" i="6" s="1"/>
  <c r="B231" i="6" s="1"/>
  <c r="B232" i="6" s="1"/>
  <c r="B233" i="6" s="1"/>
  <c r="B234" i="6" s="1"/>
  <c r="B235" i="6" s="1"/>
  <c r="B236" i="6" s="1"/>
  <c r="B237" i="6" s="1"/>
  <c r="B238" i="6" s="1"/>
  <c r="B239" i="6" s="1"/>
  <c r="B240" i="6" s="1"/>
  <c r="B241" i="6" s="1"/>
  <c r="B242" i="6" s="1"/>
  <c r="B243" i="6" s="1"/>
  <c r="B244" i="6" s="1"/>
  <c r="B245" i="6" s="1"/>
  <c r="B246" i="6" s="1"/>
  <c r="B247" i="6" s="1"/>
  <c r="B248" i="6" s="1"/>
  <c r="B249" i="6" s="1"/>
  <c r="B250" i="6" s="1"/>
  <c r="B251" i="6" s="1"/>
  <c r="B252" i="6" s="1"/>
  <c r="B253" i="6" s="1"/>
  <c r="B254" i="6" s="1"/>
  <c r="B255" i="6" s="1"/>
  <c r="B256" i="6" s="1"/>
  <c r="B257" i="6" s="1"/>
  <c r="B258" i="6" s="1"/>
  <c r="B259" i="6" s="1"/>
  <c r="B260" i="6" s="1"/>
  <c r="B261" i="6" s="1"/>
  <c r="B262" i="6" s="1"/>
  <c r="B263" i="6" s="1"/>
  <c r="B264" i="6" s="1"/>
  <c r="B265" i="6" s="1"/>
  <c r="B266" i="6" s="1"/>
  <c r="B267" i="6" s="1"/>
  <c r="B268" i="6" s="1"/>
  <c r="B269" i="6" s="1"/>
  <c r="B270" i="6" s="1"/>
  <c r="B271" i="6" s="1"/>
  <c r="B272" i="6" s="1"/>
  <c r="B273" i="6" s="1"/>
  <c r="B274" i="6" s="1"/>
  <c r="B275" i="6" s="1"/>
  <c r="B276" i="6" s="1"/>
  <c r="B277" i="6" s="1"/>
  <c r="B278" i="6" s="1"/>
  <c r="B279" i="6" s="1"/>
  <c r="B280" i="6" s="1"/>
  <c r="B281" i="6" s="1"/>
  <c r="B282" i="6" s="1"/>
  <c r="B283" i="6" s="1"/>
  <c r="B284" i="6" s="1"/>
  <c r="B285" i="6" s="1"/>
  <c r="B286" i="6" s="1"/>
  <c r="B287" i="6" s="1"/>
  <c r="B288" i="6" s="1"/>
  <c r="B289" i="6" s="1"/>
  <c r="B290" i="6" s="1"/>
  <c r="B291" i="6" s="1"/>
  <c r="B292" i="6" s="1"/>
  <c r="B293" i="6" s="1"/>
  <c r="B294" i="6" s="1"/>
  <c r="B295" i="6" s="1"/>
  <c r="B296" i="6" s="1"/>
  <c r="B297" i="6" s="1"/>
  <c r="B298" i="6" s="1"/>
  <c r="B299" i="6" s="1"/>
  <c r="B300" i="6" s="1"/>
  <c r="B301" i="6" s="1"/>
  <c r="B302" i="6" s="1"/>
  <c r="B303" i="6" s="1"/>
  <c r="B304" i="6" s="1"/>
  <c r="B305" i="6" s="1"/>
  <c r="B306" i="6" s="1"/>
  <c r="B307" i="6" s="1"/>
  <c r="B308" i="6" s="1"/>
  <c r="B309" i="6" s="1"/>
  <c r="B310" i="6" s="1"/>
  <c r="B311" i="6" s="1"/>
  <c r="B312" i="6" s="1"/>
  <c r="B313" i="6" s="1"/>
  <c r="B314" i="6" s="1"/>
  <c r="B315" i="6" s="1"/>
  <c r="B316" i="6" s="1"/>
  <c r="B317" i="6" s="1"/>
  <c r="B318" i="6" s="1"/>
  <c r="B319" i="6" s="1"/>
  <c r="B320" i="6" s="1"/>
  <c r="B321" i="6" s="1"/>
  <c r="B322" i="6" s="1"/>
  <c r="B323" i="6" s="1"/>
  <c r="B324" i="6" s="1"/>
  <c r="B325" i="6" s="1"/>
  <c r="B326" i="6" s="1"/>
  <c r="B327" i="6" s="1"/>
  <c r="B328" i="6" s="1"/>
  <c r="B329" i="6" s="1"/>
  <c r="B330" i="6" s="1"/>
  <c r="B331" i="6" s="1"/>
  <c r="B332" i="6" s="1"/>
  <c r="B333" i="6" s="1"/>
  <c r="B334" i="6" s="1"/>
  <c r="B335" i="6" s="1"/>
  <c r="B336" i="6" s="1"/>
  <c r="B337" i="6" s="1"/>
  <c r="B338" i="6" s="1"/>
  <c r="B339" i="6" s="1"/>
  <c r="B340" i="6" s="1"/>
  <c r="B341" i="6" s="1"/>
  <c r="B342" i="6" s="1"/>
  <c r="B343" i="6" s="1"/>
  <c r="B344" i="6" s="1"/>
  <c r="B345" i="6" s="1"/>
  <c r="B346" i="6" s="1"/>
  <c r="B347" i="6" s="1"/>
  <c r="B348" i="6" s="1"/>
  <c r="B349" i="6" s="1"/>
  <c r="B350" i="6" s="1"/>
  <c r="B351" i="6" s="1"/>
  <c r="B352" i="6" s="1"/>
  <c r="B353" i="6" s="1"/>
  <c r="B354" i="6" s="1"/>
  <c r="B355" i="6" s="1"/>
  <c r="B356" i="6" s="1"/>
  <c r="B357" i="6" s="1"/>
  <c r="B358" i="6" s="1"/>
  <c r="B359" i="6" s="1"/>
  <c r="B360" i="6" s="1"/>
  <c r="B361" i="6" s="1"/>
  <c r="B362" i="6" s="1"/>
  <c r="B363" i="6" s="1"/>
  <c r="B364" i="6" s="1"/>
  <c r="B365" i="6" s="1"/>
  <c r="B366" i="6" s="1"/>
  <c r="B367" i="6" s="1"/>
  <c r="B368" i="6" s="1"/>
  <c r="B369" i="6" s="1"/>
  <c r="B370" i="6" s="1"/>
  <c r="B371" i="6" s="1"/>
  <c r="B372" i="6" s="1"/>
  <c r="B373" i="6" s="1"/>
  <c r="B374" i="6" s="1"/>
  <c r="B375" i="6" s="1"/>
  <c r="B376" i="6" s="1"/>
  <c r="B377" i="6" s="1"/>
  <c r="B378" i="6" s="1"/>
  <c r="B379" i="6" s="1"/>
  <c r="B380" i="6" s="1"/>
  <c r="B381" i="6" s="1"/>
  <c r="B382" i="6" s="1"/>
  <c r="B383" i="6" s="1"/>
  <c r="B384" i="6" s="1"/>
  <c r="B385" i="6" s="1"/>
  <c r="B386" i="6" s="1"/>
  <c r="B387" i="6" s="1"/>
  <c r="B388" i="6" s="1"/>
  <c r="B389" i="6" s="1"/>
  <c r="B390" i="6" s="1"/>
  <c r="B391" i="6" s="1"/>
  <c r="B392" i="6" s="1"/>
  <c r="B393" i="6" s="1"/>
  <c r="B394" i="6" s="1"/>
  <c r="B395" i="6" s="1"/>
  <c r="B396" i="6" s="1"/>
  <c r="B397" i="6" s="1"/>
  <c r="B398" i="6" s="1"/>
  <c r="B399" i="6" s="1"/>
  <c r="B400" i="6" s="1"/>
  <c r="B401" i="6" s="1"/>
  <c r="B402" i="6" s="1"/>
  <c r="B403" i="6" s="1"/>
  <c r="B404" i="6" s="1"/>
  <c r="B405" i="6" s="1"/>
  <c r="B406" i="6" s="1"/>
  <c r="B407" i="6" s="1"/>
  <c r="B408" i="6" s="1"/>
  <c r="B409" i="6" s="1"/>
  <c r="B410" i="6" s="1"/>
  <c r="B411" i="6" s="1"/>
  <c r="B412" i="6" s="1"/>
  <c r="B413" i="6" s="1"/>
  <c r="B414" i="6" s="1"/>
  <c r="B415" i="6" s="1"/>
  <c r="B416" i="6" s="1"/>
  <c r="B417" i="6" s="1"/>
  <c r="B418" i="6" s="1"/>
  <c r="B419" i="6" s="1"/>
  <c r="B420" i="6" s="1"/>
  <c r="B421" i="6" s="1"/>
  <c r="B422" i="6" s="1"/>
  <c r="B423" i="6" s="1"/>
  <c r="B424" i="6" s="1"/>
  <c r="B425" i="6" s="1"/>
  <c r="I3" i="3"/>
  <c r="G3" i="4" s="1"/>
  <c r="K425" i="3"/>
  <c r="K424" i="3"/>
  <c r="K423" i="3"/>
  <c r="K422" i="3"/>
  <c r="K421" i="3"/>
  <c r="J421" i="4" s="1"/>
  <c r="K420" i="3"/>
  <c r="K419" i="3"/>
  <c r="K418" i="3"/>
  <c r="K417" i="3"/>
  <c r="K416" i="3"/>
  <c r="K415" i="3"/>
  <c r="K414" i="3"/>
  <c r="K413" i="3"/>
  <c r="K412" i="3"/>
  <c r="K411" i="3"/>
  <c r="K410" i="3"/>
  <c r="K409" i="3"/>
  <c r="K408" i="3"/>
  <c r="K407" i="3"/>
  <c r="K406" i="3"/>
  <c r="K405" i="3"/>
  <c r="K404" i="3"/>
  <c r="K403" i="3"/>
  <c r="K402" i="3"/>
  <c r="K401" i="3"/>
  <c r="K400" i="3"/>
  <c r="K399" i="3"/>
  <c r="K398" i="3"/>
  <c r="K397" i="3"/>
  <c r="K396" i="3"/>
  <c r="K395" i="3"/>
  <c r="K394" i="3"/>
  <c r="K393" i="3"/>
  <c r="K392" i="3"/>
  <c r="K391" i="3"/>
  <c r="K390" i="3"/>
  <c r="K389" i="3"/>
  <c r="K388" i="3"/>
  <c r="K387" i="3"/>
  <c r="K386" i="3"/>
  <c r="K385" i="3"/>
  <c r="K384" i="3"/>
  <c r="K383" i="3"/>
  <c r="K382" i="3"/>
  <c r="K381" i="3"/>
  <c r="K380" i="3"/>
  <c r="K379" i="3"/>
  <c r="K378" i="3"/>
  <c r="K377" i="3"/>
  <c r="K376" i="3"/>
  <c r="K375" i="3"/>
  <c r="K374" i="3"/>
  <c r="K373" i="3"/>
  <c r="K372" i="3"/>
  <c r="K371" i="3"/>
  <c r="K370" i="3"/>
  <c r="K369" i="3"/>
  <c r="K368" i="3"/>
  <c r="K367" i="3"/>
  <c r="K366" i="3"/>
  <c r="K365" i="3"/>
  <c r="K364" i="3"/>
  <c r="K363" i="3"/>
  <c r="K362" i="3"/>
  <c r="K361" i="3"/>
  <c r="K360" i="3"/>
  <c r="K359" i="3"/>
  <c r="K358" i="3"/>
  <c r="K357" i="3"/>
  <c r="K356" i="3"/>
  <c r="K355" i="3"/>
  <c r="K354" i="3"/>
  <c r="K353" i="3"/>
  <c r="K352" i="3"/>
  <c r="K351" i="3"/>
  <c r="K350" i="3"/>
  <c r="K349" i="3"/>
  <c r="K348" i="3"/>
  <c r="K347" i="3"/>
  <c r="K346" i="3"/>
  <c r="K345" i="3"/>
  <c r="K344" i="3"/>
  <c r="K343" i="3"/>
  <c r="K342" i="3"/>
  <c r="K341" i="3"/>
  <c r="K340" i="3"/>
  <c r="K339" i="3"/>
  <c r="K338" i="3"/>
  <c r="K337" i="3"/>
  <c r="K336" i="3"/>
  <c r="K335" i="3"/>
  <c r="K334" i="3"/>
  <c r="K333" i="3"/>
  <c r="K332" i="3"/>
  <c r="K331" i="3"/>
  <c r="K330" i="3"/>
  <c r="K329" i="3"/>
  <c r="K328" i="3"/>
  <c r="K327" i="3"/>
  <c r="K326" i="3"/>
  <c r="K325" i="3"/>
  <c r="K324" i="3"/>
  <c r="K323" i="3"/>
  <c r="K322" i="3"/>
  <c r="K321" i="3"/>
  <c r="K320" i="3"/>
  <c r="K319" i="3"/>
  <c r="K318" i="3"/>
  <c r="K317" i="3"/>
  <c r="K316" i="3"/>
  <c r="K315" i="3"/>
  <c r="K314" i="3"/>
  <c r="K313" i="3"/>
  <c r="K312" i="3"/>
  <c r="K311" i="3"/>
  <c r="K310" i="3"/>
  <c r="K309" i="3"/>
  <c r="K308" i="3"/>
  <c r="K307" i="3"/>
  <c r="K306" i="3"/>
  <c r="K305" i="3"/>
  <c r="K304" i="3"/>
  <c r="K303" i="3"/>
  <c r="K302" i="3"/>
  <c r="K301" i="3"/>
  <c r="K300" i="3"/>
  <c r="K299" i="3"/>
  <c r="K298" i="3"/>
  <c r="K297" i="3"/>
  <c r="K296" i="3"/>
  <c r="K295" i="3"/>
  <c r="K294" i="3"/>
  <c r="K293" i="3"/>
  <c r="K292" i="3"/>
  <c r="K291" i="3"/>
  <c r="K290" i="3"/>
  <c r="K289" i="3"/>
  <c r="K288" i="3"/>
  <c r="K287" i="3"/>
  <c r="K286" i="3"/>
  <c r="K285" i="3"/>
  <c r="K284" i="3"/>
  <c r="K283" i="3"/>
  <c r="K282" i="3"/>
  <c r="K281" i="3"/>
  <c r="K280" i="3"/>
  <c r="K279" i="3"/>
  <c r="K278" i="3"/>
  <c r="K277" i="3"/>
  <c r="K276" i="3"/>
  <c r="K275" i="3"/>
  <c r="K274" i="3"/>
  <c r="K273" i="3"/>
  <c r="K272" i="3"/>
  <c r="K271" i="3"/>
  <c r="K270" i="3"/>
  <c r="K269" i="3"/>
  <c r="K268" i="3"/>
  <c r="K267" i="3"/>
  <c r="K266" i="3"/>
  <c r="K265" i="3"/>
  <c r="K264" i="3"/>
  <c r="K263" i="3"/>
  <c r="K262" i="3"/>
  <c r="K261" i="3"/>
  <c r="K260" i="3"/>
  <c r="K259" i="3"/>
  <c r="K258" i="3"/>
  <c r="K257" i="3"/>
  <c r="K256" i="3"/>
  <c r="K255" i="3"/>
  <c r="K254" i="3"/>
  <c r="K253" i="3"/>
  <c r="K252" i="3"/>
  <c r="K251" i="3"/>
  <c r="K250" i="3"/>
  <c r="K249" i="3"/>
  <c r="K248" i="3"/>
  <c r="K247" i="3"/>
  <c r="K246" i="3"/>
  <c r="K245" i="3"/>
  <c r="K244" i="3"/>
  <c r="K243" i="3"/>
  <c r="K242" i="3"/>
  <c r="K241" i="3"/>
  <c r="K240" i="3"/>
  <c r="K239" i="3"/>
  <c r="K238" i="3"/>
  <c r="K237" i="3"/>
  <c r="K236" i="3"/>
  <c r="K235" i="3"/>
  <c r="K234" i="3"/>
  <c r="K233" i="3"/>
  <c r="K232" i="3"/>
  <c r="K231" i="3"/>
  <c r="K230" i="3"/>
  <c r="K229" i="3"/>
  <c r="K228" i="3"/>
  <c r="K227" i="3"/>
  <c r="K226" i="3"/>
  <c r="K225" i="3"/>
  <c r="K224" i="3"/>
  <c r="K223" i="3"/>
  <c r="K222" i="3"/>
  <c r="K221" i="3"/>
  <c r="K220" i="3"/>
  <c r="K219" i="3"/>
  <c r="K218" i="3"/>
  <c r="K217" i="3"/>
  <c r="K216" i="3"/>
  <c r="K215" i="3"/>
  <c r="K214" i="3"/>
  <c r="K213" i="3"/>
  <c r="K212" i="3"/>
  <c r="K211" i="3"/>
  <c r="K210" i="3"/>
  <c r="K209" i="3"/>
  <c r="K208" i="3"/>
  <c r="K207" i="3"/>
  <c r="K206" i="3"/>
  <c r="K205" i="3"/>
  <c r="K204" i="3"/>
  <c r="K203" i="3"/>
  <c r="K202" i="3"/>
  <c r="K201" i="3"/>
  <c r="K200" i="3"/>
  <c r="K199" i="3"/>
  <c r="K198" i="3"/>
  <c r="K197" i="3"/>
  <c r="K196" i="3"/>
  <c r="K195" i="3"/>
  <c r="K194" i="3"/>
  <c r="K193" i="3"/>
  <c r="K192" i="3"/>
  <c r="K191" i="3"/>
  <c r="K190" i="3"/>
  <c r="K189" i="3"/>
  <c r="K188" i="3"/>
  <c r="K187" i="3"/>
  <c r="K186" i="3"/>
  <c r="K185" i="3"/>
  <c r="K184" i="3"/>
  <c r="K183" i="3"/>
  <c r="K182" i="3"/>
  <c r="K181" i="3"/>
  <c r="K180" i="3"/>
  <c r="K179" i="3"/>
  <c r="K178" i="3"/>
  <c r="K177" i="3"/>
  <c r="K176" i="3"/>
  <c r="K175" i="3"/>
  <c r="K174" i="3"/>
  <c r="K173" i="3"/>
  <c r="K172" i="3"/>
  <c r="K171" i="3"/>
  <c r="K170" i="3"/>
  <c r="K169" i="3"/>
  <c r="K168" i="3"/>
  <c r="K167" i="3"/>
  <c r="K166" i="3"/>
  <c r="K165" i="3"/>
  <c r="K164" i="3"/>
  <c r="K163" i="3"/>
  <c r="K162" i="3"/>
  <c r="K161" i="3"/>
  <c r="K160" i="3"/>
  <c r="K159" i="3"/>
  <c r="K158" i="3"/>
  <c r="K157" i="3"/>
  <c r="K156" i="3"/>
  <c r="K155" i="3"/>
  <c r="K154" i="3"/>
  <c r="K153" i="3"/>
  <c r="K152" i="3"/>
  <c r="K151" i="3"/>
  <c r="K150" i="3"/>
  <c r="K149" i="3"/>
  <c r="K148" i="3"/>
  <c r="K147" i="3"/>
  <c r="K146" i="3"/>
  <c r="K145" i="3"/>
  <c r="K144" i="3"/>
  <c r="K143" i="3"/>
  <c r="K142" i="3"/>
  <c r="K141" i="3"/>
  <c r="K140" i="3"/>
  <c r="K139" i="3"/>
  <c r="K138" i="3"/>
  <c r="K137" i="3"/>
  <c r="K136" i="3"/>
  <c r="K135" i="3"/>
  <c r="K134" i="3"/>
  <c r="K133" i="3"/>
  <c r="K132" i="3"/>
  <c r="K131" i="3"/>
  <c r="K130" i="3"/>
  <c r="K129" i="3"/>
  <c r="K128" i="3"/>
  <c r="K127" i="3"/>
  <c r="K126" i="3"/>
  <c r="K125" i="3"/>
  <c r="K124" i="3"/>
  <c r="K123" i="3"/>
  <c r="K122" i="3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65" i="3"/>
  <c r="K64" i="3"/>
  <c r="K63" i="3"/>
  <c r="K62" i="3"/>
  <c r="K61" i="3"/>
  <c r="K60" i="3"/>
  <c r="K59" i="3"/>
  <c r="K58" i="3"/>
  <c r="K57" i="3"/>
  <c r="K56" i="3"/>
  <c r="K55" i="3"/>
  <c r="K54" i="3"/>
  <c r="K53" i="3"/>
  <c r="K52" i="3"/>
  <c r="K51" i="3"/>
  <c r="K50" i="3"/>
  <c r="K49" i="3"/>
  <c r="K48" i="3"/>
  <c r="K47" i="3"/>
  <c r="K46" i="3"/>
  <c r="K45" i="3"/>
  <c r="K44" i="3"/>
  <c r="K43" i="3"/>
  <c r="K42" i="3"/>
  <c r="K41" i="3"/>
  <c r="K40" i="3"/>
  <c r="K39" i="3"/>
  <c r="K38" i="3"/>
  <c r="K37" i="3"/>
  <c r="K36" i="3"/>
  <c r="K35" i="3"/>
  <c r="K34" i="3"/>
  <c r="K33" i="3"/>
  <c r="K32" i="3"/>
  <c r="K31" i="3"/>
  <c r="K30" i="3"/>
  <c r="K29" i="3"/>
  <c r="K28" i="3"/>
  <c r="K27" i="3"/>
  <c r="K26" i="3"/>
  <c r="K25" i="3"/>
  <c r="K24" i="3"/>
  <c r="K23" i="3"/>
  <c r="K22" i="3"/>
  <c r="K21" i="3"/>
  <c r="K20" i="3"/>
  <c r="K19" i="3"/>
  <c r="K18" i="3"/>
  <c r="K17" i="3"/>
  <c r="K16" i="3"/>
  <c r="K15" i="3"/>
  <c r="K14" i="3"/>
  <c r="K13" i="3"/>
  <c r="K12" i="3"/>
  <c r="K11" i="3"/>
  <c r="K10" i="3"/>
  <c r="K9" i="3"/>
  <c r="K8" i="3"/>
  <c r="K7" i="3"/>
  <c r="K6" i="3"/>
  <c r="K5" i="3"/>
  <c r="K4" i="3"/>
  <c r="K3" i="3"/>
  <c r="J2" i="4" s="1"/>
  <c r="K2" i="3"/>
  <c r="B3" i="3"/>
  <c r="B4" i="3" s="1"/>
  <c r="B5" i="3" s="1"/>
  <c r="B6" i="3" s="1"/>
  <c r="B7" i="3" s="1"/>
  <c r="B8" i="3" s="1"/>
  <c r="B9" i="3" s="1"/>
  <c r="B10" i="3" s="1"/>
  <c r="B11" i="3" s="1"/>
  <c r="B12" i="3" s="1"/>
  <c r="B13" i="3" s="1"/>
  <c r="B14" i="3" s="1"/>
  <c r="B15" i="3" s="1"/>
  <c r="B16" i="3" s="1"/>
  <c r="B17" i="3" s="1"/>
  <c r="B18" i="3" s="1"/>
  <c r="B19" i="3" s="1"/>
  <c r="B20" i="3" s="1"/>
  <c r="B21" i="3" s="1"/>
  <c r="B22" i="3" s="1"/>
  <c r="B23" i="3" s="1"/>
  <c r="B24" i="3" s="1"/>
  <c r="B25" i="3" s="1"/>
  <c r="B26" i="3" s="1"/>
  <c r="B27" i="3" s="1"/>
  <c r="B28" i="3" s="1"/>
  <c r="B29" i="3" s="1"/>
  <c r="B30" i="3" s="1"/>
  <c r="B31" i="3" s="1"/>
  <c r="B32" i="3" s="1"/>
  <c r="B33" i="3" s="1"/>
  <c r="B34" i="3" s="1"/>
  <c r="B35" i="3" s="1"/>
  <c r="B36" i="3" s="1"/>
  <c r="B37" i="3" s="1"/>
  <c r="B38" i="3" s="1"/>
  <c r="B39" i="3" s="1"/>
  <c r="B40" i="3" s="1"/>
  <c r="B41" i="3" s="1"/>
  <c r="B42" i="3" s="1"/>
  <c r="B43" i="3" s="1"/>
  <c r="B44" i="3" s="1"/>
  <c r="B45" i="3" s="1"/>
  <c r="B46" i="3" s="1"/>
  <c r="B47" i="3" s="1"/>
  <c r="B48" i="3" s="1"/>
  <c r="B49" i="3" s="1"/>
  <c r="B50" i="3" s="1"/>
  <c r="B51" i="3" s="1"/>
  <c r="B52" i="3" s="1"/>
  <c r="B53" i="3" s="1"/>
  <c r="B54" i="3" s="1"/>
  <c r="B55" i="3" s="1"/>
  <c r="B56" i="3" s="1"/>
  <c r="B57" i="3" s="1"/>
  <c r="B58" i="3" s="1"/>
  <c r="B59" i="3" s="1"/>
  <c r="B60" i="3" s="1"/>
  <c r="B61" i="3" s="1"/>
  <c r="B62" i="3" s="1"/>
  <c r="B63" i="3" s="1"/>
  <c r="B64" i="3" s="1"/>
  <c r="B65" i="3" s="1"/>
  <c r="B66" i="3" s="1"/>
  <c r="B67" i="3" s="1"/>
  <c r="B68" i="3" s="1"/>
  <c r="B69" i="3" s="1"/>
  <c r="B70" i="3" s="1"/>
  <c r="B71" i="3" s="1"/>
  <c r="B72" i="3" s="1"/>
  <c r="B73" i="3" s="1"/>
  <c r="B74" i="3" s="1"/>
  <c r="B75" i="3" s="1"/>
  <c r="B76" i="3" s="1"/>
  <c r="B77" i="3" s="1"/>
  <c r="B78" i="3" s="1"/>
  <c r="B79" i="3" s="1"/>
  <c r="B80" i="3" s="1"/>
  <c r="B81" i="3" s="1"/>
  <c r="B82" i="3" s="1"/>
  <c r="B83" i="3" s="1"/>
  <c r="B84" i="3" s="1"/>
  <c r="B85" i="3" s="1"/>
  <c r="B86" i="3" s="1"/>
  <c r="B87" i="3" s="1"/>
  <c r="B88" i="3" s="1"/>
  <c r="B89" i="3" s="1"/>
  <c r="B90" i="3" s="1"/>
  <c r="B91" i="3" s="1"/>
  <c r="B92" i="3" s="1"/>
  <c r="B93" i="3" s="1"/>
  <c r="B94" i="3" s="1"/>
  <c r="B95" i="3" s="1"/>
  <c r="B96" i="3" s="1"/>
  <c r="B97" i="3" s="1"/>
  <c r="B98" i="3" s="1"/>
  <c r="B99" i="3" s="1"/>
  <c r="B100" i="3" s="1"/>
  <c r="B101" i="3" s="1"/>
  <c r="B102" i="3" s="1"/>
  <c r="B103" i="3" s="1"/>
  <c r="B104" i="3" s="1"/>
  <c r="B105" i="3" s="1"/>
  <c r="B106" i="3" s="1"/>
  <c r="B107" i="3" s="1"/>
  <c r="B108" i="3" s="1"/>
  <c r="B109" i="3" s="1"/>
  <c r="B110" i="3" s="1"/>
  <c r="B111" i="3" s="1"/>
  <c r="B112" i="3" s="1"/>
  <c r="B113" i="3" s="1"/>
  <c r="B114" i="3" s="1"/>
  <c r="B115" i="3" s="1"/>
  <c r="B116" i="3" s="1"/>
  <c r="B117" i="3" s="1"/>
  <c r="B118" i="3" s="1"/>
  <c r="B119" i="3" s="1"/>
  <c r="B120" i="3" s="1"/>
  <c r="B121" i="3" s="1"/>
  <c r="B122" i="3" s="1"/>
  <c r="B123" i="3" s="1"/>
  <c r="B124" i="3" s="1"/>
  <c r="B125" i="3" s="1"/>
  <c r="B126" i="3" s="1"/>
  <c r="B127" i="3" s="1"/>
  <c r="B128" i="3" s="1"/>
  <c r="B129" i="3" s="1"/>
  <c r="B130" i="3" s="1"/>
  <c r="B131" i="3" s="1"/>
  <c r="B132" i="3" s="1"/>
  <c r="B133" i="3" s="1"/>
  <c r="B134" i="3" s="1"/>
  <c r="B135" i="3" s="1"/>
  <c r="B136" i="3" s="1"/>
  <c r="B137" i="3" s="1"/>
  <c r="B138" i="3" s="1"/>
  <c r="B139" i="3" s="1"/>
  <c r="B140" i="3" s="1"/>
  <c r="B141" i="3" s="1"/>
  <c r="B142" i="3" s="1"/>
  <c r="B143" i="3" s="1"/>
  <c r="B144" i="3" s="1"/>
  <c r="B145" i="3" s="1"/>
  <c r="B146" i="3" s="1"/>
  <c r="B147" i="3" s="1"/>
  <c r="B148" i="3" s="1"/>
  <c r="B149" i="3" s="1"/>
  <c r="B150" i="3" s="1"/>
  <c r="B151" i="3" s="1"/>
  <c r="B152" i="3" s="1"/>
  <c r="B153" i="3" s="1"/>
  <c r="B154" i="3" s="1"/>
  <c r="B155" i="3" s="1"/>
  <c r="B156" i="3" s="1"/>
  <c r="B157" i="3" s="1"/>
  <c r="B158" i="3" s="1"/>
  <c r="B159" i="3" s="1"/>
  <c r="B160" i="3" s="1"/>
  <c r="B161" i="3" s="1"/>
  <c r="B162" i="3" s="1"/>
  <c r="B163" i="3" s="1"/>
  <c r="B164" i="3" s="1"/>
  <c r="B165" i="3" s="1"/>
  <c r="B166" i="3" s="1"/>
  <c r="B167" i="3" s="1"/>
  <c r="B168" i="3" s="1"/>
  <c r="B169" i="3" s="1"/>
  <c r="B170" i="3" s="1"/>
  <c r="B171" i="3" s="1"/>
  <c r="B172" i="3" s="1"/>
  <c r="B173" i="3" s="1"/>
  <c r="B174" i="3" s="1"/>
  <c r="B175" i="3" s="1"/>
  <c r="B176" i="3" s="1"/>
  <c r="B177" i="3" s="1"/>
  <c r="B178" i="3" s="1"/>
  <c r="B179" i="3" s="1"/>
  <c r="B180" i="3" s="1"/>
  <c r="B181" i="3" s="1"/>
  <c r="B182" i="3" s="1"/>
  <c r="B183" i="3" s="1"/>
  <c r="B184" i="3" s="1"/>
  <c r="B185" i="3" s="1"/>
  <c r="B186" i="3" s="1"/>
  <c r="B187" i="3" s="1"/>
  <c r="B188" i="3" s="1"/>
  <c r="B189" i="3" s="1"/>
  <c r="B190" i="3" s="1"/>
  <c r="B191" i="3" s="1"/>
  <c r="B192" i="3" s="1"/>
  <c r="B193" i="3" s="1"/>
  <c r="B194" i="3" s="1"/>
  <c r="B195" i="3" s="1"/>
  <c r="B196" i="3" s="1"/>
  <c r="B197" i="3" s="1"/>
  <c r="B198" i="3" s="1"/>
  <c r="B199" i="3" s="1"/>
  <c r="B200" i="3" s="1"/>
  <c r="B201" i="3" s="1"/>
  <c r="B202" i="3" s="1"/>
  <c r="B203" i="3" s="1"/>
  <c r="B204" i="3" s="1"/>
  <c r="B205" i="3" s="1"/>
  <c r="B206" i="3" s="1"/>
  <c r="B207" i="3" s="1"/>
  <c r="B208" i="3" s="1"/>
  <c r="B209" i="3" s="1"/>
  <c r="B210" i="3" s="1"/>
  <c r="B211" i="3" s="1"/>
  <c r="B212" i="3" s="1"/>
  <c r="B213" i="3" s="1"/>
  <c r="B214" i="3" s="1"/>
  <c r="B215" i="3" s="1"/>
  <c r="B216" i="3" s="1"/>
  <c r="B217" i="3" s="1"/>
  <c r="B218" i="3" s="1"/>
  <c r="B219" i="3" s="1"/>
  <c r="B220" i="3" s="1"/>
  <c r="B221" i="3" s="1"/>
  <c r="B222" i="3" s="1"/>
  <c r="B223" i="3" s="1"/>
  <c r="B224" i="3" s="1"/>
  <c r="B225" i="3" s="1"/>
  <c r="B226" i="3" s="1"/>
  <c r="B227" i="3" s="1"/>
  <c r="B228" i="3" s="1"/>
  <c r="B229" i="3" s="1"/>
  <c r="B230" i="3" s="1"/>
  <c r="B231" i="3" s="1"/>
  <c r="B232" i="3" s="1"/>
  <c r="B233" i="3" s="1"/>
  <c r="B234" i="3" s="1"/>
  <c r="B235" i="3" s="1"/>
  <c r="B236" i="3" s="1"/>
  <c r="B237" i="3" s="1"/>
  <c r="B238" i="3" s="1"/>
  <c r="B239" i="3" s="1"/>
  <c r="B240" i="3" s="1"/>
  <c r="B241" i="3" s="1"/>
  <c r="B242" i="3" s="1"/>
  <c r="B243" i="3" s="1"/>
  <c r="B244" i="3" s="1"/>
  <c r="B245" i="3" s="1"/>
  <c r="B246" i="3" s="1"/>
  <c r="B247" i="3" s="1"/>
  <c r="B248" i="3" s="1"/>
  <c r="B249" i="3" s="1"/>
  <c r="B250" i="3" s="1"/>
  <c r="B251" i="3" s="1"/>
  <c r="B252" i="3" s="1"/>
  <c r="B253" i="3" s="1"/>
  <c r="B254" i="3" s="1"/>
  <c r="B255" i="3" s="1"/>
  <c r="B256" i="3" s="1"/>
  <c r="B257" i="3" s="1"/>
  <c r="B258" i="3" s="1"/>
  <c r="B259" i="3" s="1"/>
  <c r="B260" i="3" s="1"/>
  <c r="B261" i="3" s="1"/>
  <c r="B262" i="3" s="1"/>
  <c r="B263" i="3" s="1"/>
  <c r="B264" i="3" s="1"/>
  <c r="B265" i="3" s="1"/>
  <c r="B266" i="3" s="1"/>
  <c r="B267" i="3" s="1"/>
  <c r="B268" i="3" s="1"/>
  <c r="B269" i="3" s="1"/>
  <c r="B270" i="3" s="1"/>
  <c r="B271" i="3" s="1"/>
  <c r="B272" i="3" s="1"/>
  <c r="B273" i="3" s="1"/>
  <c r="B274" i="3" s="1"/>
  <c r="B275" i="3" s="1"/>
  <c r="B276" i="3" s="1"/>
  <c r="B277" i="3" s="1"/>
  <c r="B278" i="3" s="1"/>
  <c r="B279" i="3" s="1"/>
  <c r="B280" i="3" s="1"/>
  <c r="B281" i="3" s="1"/>
  <c r="B282" i="3" s="1"/>
  <c r="B283" i="3" s="1"/>
  <c r="B284" i="3" s="1"/>
  <c r="B285" i="3" s="1"/>
  <c r="B286" i="3" s="1"/>
  <c r="B287" i="3" s="1"/>
  <c r="B288" i="3" s="1"/>
  <c r="B289" i="3" s="1"/>
  <c r="B290" i="3" s="1"/>
  <c r="B291" i="3" s="1"/>
  <c r="B292" i="3" s="1"/>
  <c r="B293" i="3" s="1"/>
  <c r="B294" i="3" s="1"/>
  <c r="B295" i="3" s="1"/>
  <c r="B296" i="3" s="1"/>
  <c r="B297" i="3" s="1"/>
  <c r="B298" i="3" s="1"/>
  <c r="B299" i="3" s="1"/>
  <c r="B300" i="3" s="1"/>
  <c r="B301" i="3" s="1"/>
  <c r="B302" i="3" s="1"/>
  <c r="B303" i="3" s="1"/>
  <c r="B304" i="3" s="1"/>
  <c r="B305" i="3" s="1"/>
  <c r="B306" i="3" s="1"/>
  <c r="B307" i="3" s="1"/>
  <c r="B308" i="3" s="1"/>
  <c r="B309" i="3" s="1"/>
  <c r="B310" i="3" s="1"/>
  <c r="B311" i="3" s="1"/>
  <c r="B312" i="3" s="1"/>
  <c r="B313" i="3" s="1"/>
  <c r="B314" i="3" s="1"/>
  <c r="B315" i="3" s="1"/>
  <c r="B316" i="3" s="1"/>
  <c r="B317" i="3" s="1"/>
  <c r="B318" i="3" s="1"/>
  <c r="B319" i="3" s="1"/>
  <c r="B320" i="3" s="1"/>
  <c r="B321" i="3" s="1"/>
  <c r="B322" i="3" s="1"/>
  <c r="B323" i="3" s="1"/>
  <c r="B324" i="3" s="1"/>
  <c r="B325" i="3" s="1"/>
  <c r="B326" i="3" s="1"/>
  <c r="B327" i="3" s="1"/>
  <c r="B328" i="3" s="1"/>
  <c r="B329" i="3" s="1"/>
  <c r="B330" i="3" s="1"/>
  <c r="B331" i="3" s="1"/>
  <c r="B332" i="3" s="1"/>
  <c r="B333" i="3" s="1"/>
  <c r="B334" i="3" s="1"/>
  <c r="B335" i="3" s="1"/>
  <c r="B336" i="3" s="1"/>
  <c r="B337" i="3" s="1"/>
  <c r="B338" i="3" s="1"/>
  <c r="B339" i="3" s="1"/>
  <c r="B340" i="3" s="1"/>
  <c r="B341" i="3" s="1"/>
  <c r="B342" i="3" s="1"/>
  <c r="B343" i="3" s="1"/>
  <c r="B344" i="3" s="1"/>
  <c r="B345" i="3" s="1"/>
  <c r="B346" i="3" s="1"/>
  <c r="B347" i="3" s="1"/>
  <c r="B348" i="3" s="1"/>
  <c r="B349" i="3" s="1"/>
  <c r="B350" i="3" s="1"/>
  <c r="B351" i="3" s="1"/>
  <c r="B352" i="3" s="1"/>
  <c r="B353" i="3" s="1"/>
  <c r="B354" i="3" s="1"/>
  <c r="B355" i="3" s="1"/>
  <c r="B356" i="3" s="1"/>
  <c r="B357" i="3" s="1"/>
  <c r="B358" i="3" s="1"/>
  <c r="B359" i="3" s="1"/>
  <c r="B360" i="3" s="1"/>
  <c r="B361" i="3" s="1"/>
  <c r="B362" i="3" s="1"/>
  <c r="B363" i="3" s="1"/>
  <c r="B364" i="3" s="1"/>
  <c r="B365" i="3" s="1"/>
  <c r="B366" i="3" s="1"/>
  <c r="B367" i="3" s="1"/>
  <c r="B368" i="3" s="1"/>
  <c r="B369" i="3" s="1"/>
  <c r="B370" i="3" s="1"/>
  <c r="B371" i="3" s="1"/>
  <c r="B372" i="3" s="1"/>
  <c r="B373" i="3" s="1"/>
  <c r="B374" i="3" s="1"/>
  <c r="B375" i="3" s="1"/>
  <c r="B376" i="3" s="1"/>
  <c r="B377" i="3" s="1"/>
  <c r="B378" i="3" s="1"/>
  <c r="B379" i="3" s="1"/>
  <c r="B380" i="3" s="1"/>
  <c r="B381" i="3" s="1"/>
  <c r="B382" i="3" s="1"/>
  <c r="B383" i="3" s="1"/>
  <c r="B384" i="3" s="1"/>
  <c r="B385" i="3" s="1"/>
  <c r="B386" i="3" s="1"/>
  <c r="B387" i="3" s="1"/>
  <c r="B388" i="3" s="1"/>
  <c r="B389" i="3" s="1"/>
  <c r="B390" i="3" s="1"/>
  <c r="B391" i="3" s="1"/>
  <c r="B392" i="3" s="1"/>
  <c r="B393" i="3" s="1"/>
  <c r="B394" i="3" s="1"/>
  <c r="B395" i="3" s="1"/>
  <c r="B396" i="3" s="1"/>
  <c r="B397" i="3" s="1"/>
  <c r="B398" i="3" s="1"/>
  <c r="B399" i="3" s="1"/>
  <c r="B400" i="3" s="1"/>
  <c r="B401" i="3" s="1"/>
  <c r="B402" i="3" s="1"/>
  <c r="B403" i="3" s="1"/>
  <c r="B404" i="3" s="1"/>
  <c r="B405" i="3" s="1"/>
  <c r="B406" i="3" s="1"/>
  <c r="B407" i="3" s="1"/>
  <c r="B408" i="3" s="1"/>
  <c r="B409" i="3" s="1"/>
  <c r="B410" i="3" s="1"/>
  <c r="B411" i="3" s="1"/>
  <c r="B412" i="3" s="1"/>
  <c r="B413" i="3" s="1"/>
  <c r="B414" i="3" s="1"/>
  <c r="B415" i="3" s="1"/>
  <c r="B416" i="3" s="1"/>
  <c r="B417" i="3" s="1"/>
  <c r="B418" i="3" s="1"/>
  <c r="B419" i="3" s="1"/>
  <c r="B420" i="3" s="1"/>
  <c r="B421" i="3" s="1"/>
  <c r="B422" i="3" s="1"/>
  <c r="B423" i="3" s="1"/>
  <c r="B424" i="3" s="1"/>
  <c r="B425" i="3" s="1"/>
  <c r="I4" i="3" l="1"/>
  <c r="G4" i="4" s="1"/>
  <c r="I5" i="3" l="1"/>
  <c r="G5" i="4" s="1"/>
  <c r="B5" i="11"/>
  <c r="I6" i="3" l="1"/>
  <c r="G6" i="4" s="1"/>
  <c r="I7" i="3" l="1"/>
  <c r="G7" i="4" s="1"/>
  <c r="J293" i="4"/>
  <c r="J294" i="4"/>
  <c r="J295" i="4"/>
  <c r="J296" i="4"/>
  <c r="J297" i="4"/>
  <c r="J298" i="4"/>
  <c r="J299" i="4"/>
  <c r="J300" i="4"/>
  <c r="J301" i="4"/>
  <c r="J302" i="4"/>
  <c r="J303" i="4"/>
  <c r="J304" i="4"/>
  <c r="J305" i="4"/>
  <c r="J306" i="4"/>
  <c r="J307" i="4"/>
  <c r="J308" i="4"/>
  <c r="J309" i="4"/>
  <c r="J310" i="4"/>
  <c r="J311" i="4"/>
  <c r="J312" i="4"/>
  <c r="J313" i="4"/>
  <c r="J314" i="4"/>
  <c r="J315" i="4"/>
  <c r="J316" i="4"/>
  <c r="J317" i="4"/>
  <c r="J318" i="4"/>
  <c r="J319" i="4"/>
  <c r="J320" i="4"/>
  <c r="J321" i="4"/>
  <c r="J322" i="4"/>
  <c r="J323" i="4"/>
  <c r="J324" i="4"/>
  <c r="J325" i="4"/>
  <c r="J326" i="4"/>
  <c r="J327" i="4"/>
  <c r="J328" i="4"/>
  <c r="J329" i="4"/>
  <c r="J330" i="4"/>
  <c r="J331" i="4"/>
  <c r="J332" i="4"/>
  <c r="J333" i="4"/>
  <c r="J334" i="4"/>
  <c r="J335" i="4"/>
  <c r="J336" i="4"/>
  <c r="J337" i="4"/>
  <c r="J338" i="4"/>
  <c r="J339" i="4"/>
  <c r="J340" i="4"/>
  <c r="J341" i="4"/>
  <c r="J342" i="4"/>
  <c r="J343" i="4"/>
  <c r="J344" i="4"/>
  <c r="J345" i="4"/>
  <c r="J346" i="4"/>
  <c r="J347" i="4"/>
  <c r="J348" i="4"/>
  <c r="J349" i="4"/>
  <c r="J350" i="4"/>
  <c r="J351" i="4"/>
  <c r="J352" i="4"/>
  <c r="J353" i="4"/>
  <c r="J354" i="4"/>
  <c r="J355" i="4"/>
  <c r="J356" i="4"/>
  <c r="J357" i="4"/>
  <c r="J358" i="4"/>
  <c r="J359" i="4"/>
  <c r="J360" i="4"/>
  <c r="J361" i="4"/>
  <c r="J362" i="4"/>
  <c r="J363" i="4"/>
  <c r="J364" i="4"/>
  <c r="J365" i="4"/>
  <c r="J366" i="4"/>
  <c r="J367" i="4"/>
  <c r="J368" i="4"/>
  <c r="J369" i="4"/>
  <c r="J370" i="4"/>
  <c r="J371" i="4"/>
  <c r="J372" i="4"/>
  <c r="J373" i="4"/>
  <c r="J374" i="4"/>
  <c r="J375" i="4"/>
  <c r="J376" i="4"/>
  <c r="J377" i="4"/>
  <c r="J378" i="4"/>
  <c r="J379" i="4"/>
  <c r="J380" i="4"/>
  <c r="J381" i="4"/>
  <c r="J382" i="4"/>
  <c r="J383" i="4"/>
  <c r="J384" i="4"/>
  <c r="J385" i="4"/>
  <c r="J386" i="4"/>
  <c r="J387" i="4"/>
  <c r="J388" i="4"/>
  <c r="J389" i="4"/>
  <c r="J390" i="4"/>
  <c r="J391" i="4"/>
  <c r="J392" i="4"/>
  <c r="J393" i="4"/>
  <c r="J394" i="4"/>
  <c r="J395" i="4"/>
  <c r="J396" i="4"/>
  <c r="J397" i="4"/>
  <c r="J398" i="4"/>
  <c r="J399" i="4"/>
  <c r="J400" i="4"/>
  <c r="J401" i="4"/>
  <c r="J402" i="4"/>
  <c r="J403" i="4"/>
  <c r="J404" i="4"/>
  <c r="J405" i="4"/>
  <c r="J406" i="4"/>
  <c r="J407" i="4"/>
  <c r="J408" i="4"/>
  <c r="J409" i="4"/>
  <c r="J410" i="4"/>
  <c r="J411" i="4"/>
  <c r="J412" i="4"/>
  <c r="J413" i="4"/>
  <c r="J414" i="4"/>
  <c r="J415" i="4"/>
  <c r="J416" i="4"/>
  <c r="J417" i="4"/>
  <c r="J418" i="4"/>
  <c r="J419" i="4"/>
  <c r="J420" i="4"/>
  <c r="J422" i="4"/>
  <c r="J423" i="4"/>
  <c r="J424" i="4"/>
  <c r="J425" i="4"/>
  <c r="J8" i="4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J51" i="4"/>
  <c r="J52" i="4"/>
  <c r="J53" i="4"/>
  <c r="J54" i="4"/>
  <c r="J55" i="4"/>
  <c r="J56" i="4"/>
  <c r="J57" i="4"/>
  <c r="J58" i="4"/>
  <c r="J59" i="4"/>
  <c r="J60" i="4"/>
  <c r="J61" i="4"/>
  <c r="J62" i="4"/>
  <c r="J63" i="4"/>
  <c r="J64" i="4"/>
  <c r="J65" i="4"/>
  <c r="J66" i="4"/>
  <c r="J67" i="4"/>
  <c r="J68" i="4"/>
  <c r="J69" i="4"/>
  <c r="J70" i="4"/>
  <c r="J71" i="4"/>
  <c r="J72" i="4"/>
  <c r="J73" i="4"/>
  <c r="J74" i="4"/>
  <c r="J75" i="4"/>
  <c r="J76" i="4"/>
  <c r="J77" i="4"/>
  <c r="J78" i="4"/>
  <c r="J79" i="4"/>
  <c r="J80" i="4"/>
  <c r="J81" i="4"/>
  <c r="J82" i="4"/>
  <c r="J83" i="4"/>
  <c r="J84" i="4"/>
  <c r="J85" i="4"/>
  <c r="J86" i="4"/>
  <c r="J87" i="4"/>
  <c r="J88" i="4"/>
  <c r="J89" i="4"/>
  <c r="J90" i="4"/>
  <c r="J91" i="4"/>
  <c r="J92" i="4"/>
  <c r="J93" i="4"/>
  <c r="J94" i="4"/>
  <c r="J95" i="4"/>
  <c r="J96" i="4"/>
  <c r="J97" i="4"/>
  <c r="J98" i="4"/>
  <c r="J99" i="4"/>
  <c r="J100" i="4"/>
  <c r="J101" i="4"/>
  <c r="J102" i="4"/>
  <c r="J103" i="4"/>
  <c r="J104" i="4"/>
  <c r="J105" i="4"/>
  <c r="J106" i="4"/>
  <c r="J107" i="4"/>
  <c r="J108" i="4"/>
  <c r="J109" i="4"/>
  <c r="J110" i="4"/>
  <c r="J111" i="4"/>
  <c r="J112" i="4"/>
  <c r="J113" i="4"/>
  <c r="J114" i="4"/>
  <c r="J115" i="4"/>
  <c r="J116" i="4"/>
  <c r="J117" i="4"/>
  <c r="J118" i="4"/>
  <c r="J119" i="4"/>
  <c r="J120" i="4"/>
  <c r="J121" i="4"/>
  <c r="J122" i="4"/>
  <c r="J123" i="4"/>
  <c r="J124" i="4"/>
  <c r="J125" i="4"/>
  <c r="J126" i="4"/>
  <c r="J127" i="4"/>
  <c r="J128" i="4"/>
  <c r="J129" i="4"/>
  <c r="J130" i="4"/>
  <c r="J131" i="4"/>
  <c r="J132" i="4"/>
  <c r="J133" i="4"/>
  <c r="J134" i="4"/>
  <c r="J135" i="4"/>
  <c r="J136" i="4"/>
  <c r="J137" i="4"/>
  <c r="J138" i="4"/>
  <c r="J139" i="4"/>
  <c r="J140" i="4"/>
  <c r="J141" i="4"/>
  <c r="J142" i="4"/>
  <c r="J143" i="4"/>
  <c r="J144" i="4"/>
  <c r="J145" i="4"/>
  <c r="J146" i="4"/>
  <c r="J147" i="4"/>
  <c r="J148" i="4"/>
  <c r="J149" i="4"/>
  <c r="J150" i="4"/>
  <c r="J151" i="4"/>
  <c r="J152" i="4"/>
  <c r="J153" i="4"/>
  <c r="J154" i="4"/>
  <c r="J155" i="4"/>
  <c r="J156" i="4"/>
  <c r="J157" i="4"/>
  <c r="J158" i="4"/>
  <c r="J159" i="4"/>
  <c r="J160" i="4"/>
  <c r="J161" i="4"/>
  <c r="J162" i="4"/>
  <c r="J163" i="4"/>
  <c r="J164" i="4"/>
  <c r="J165" i="4"/>
  <c r="J166" i="4"/>
  <c r="J167" i="4"/>
  <c r="J168" i="4"/>
  <c r="J169" i="4"/>
  <c r="J170" i="4"/>
  <c r="J171" i="4"/>
  <c r="J172" i="4"/>
  <c r="J173" i="4"/>
  <c r="J174" i="4"/>
  <c r="J175" i="4"/>
  <c r="J176" i="4"/>
  <c r="J177" i="4"/>
  <c r="J178" i="4"/>
  <c r="J179" i="4"/>
  <c r="J180" i="4"/>
  <c r="J181" i="4"/>
  <c r="J182" i="4"/>
  <c r="J183" i="4"/>
  <c r="J184" i="4"/>
  <c r="J185" i="4"/>
  <c r="J186" i="4"/>
  <c r="J187" i="4"/>
  <c r="J188" i="4"/>
  <c r="J189" i="4"/>
  <c r="J190" i="4"/>
  <c r="J191" i="4"/>
  <c r="J192" i="4"/>
  <c r="J193" i="4"/>
  <c r="J194" i="4"/>
  <c r="J195" i="4"/>
  <c r="J196" i="4"/>
  <c r="J197" i="4"/>
  <c r="J198" i="4"/>
  <c r="J199" i="4"/>
  <c r="J200" i="4"/>
  <c r="J201" i="4"/>
  <c r="J202" i="4"/>
  <c r="J203" i="4"/>
  <c r="J204" i="4"/>
  <c r="J205" i="4"/>
  <c r="J206" i="4"/>
  <c r="J207" i="4"/>
  <c r="J208" i="4"/>
  <c r="J209" i="4"/>
  <c r="J210" i="4"/>
  <c r="J211" i="4"/>
  <c r="J212" i="4"/>
  <c r="J213" i="4"/>
  <c r="J214" i="4"/>
  <c r="J215" i="4"/>
  <c r="J216" i="4"/>
  <c r="J217" i="4"/>
  <c r="J218" i="4"/>
  <c r="J219" i="4"/>
  <c r="J220" i="4"/>
  <c r="J221" i="4"/>
  <c r="J222" i="4"/>
  <c r="J223" i="4"/>
  <c r="J224" i="4"/>
  <c r="J225" i="4"/>
  <c r="J226" i="4"/>
  <c r="J227" i="4"/>
  <c r="J228" i="4"/>
  <c r="J229" i="4"/>
  <c r="J230" i="4"/>
  <c r="J231" i="4"/>
  <c r="J232" i="4"/>
  <c r="J233" i="4"/>
  <c r="J234" i="4"/>
  <c r="J235" i="4"/>
  <c r="J236" i="4"/>
  <c r="J237" i="4"/>
  <c r="J238" i="4"/>
  <c r="J239" i="4"/>
  <c r="J240" i="4"/>
  <c r="J241" i="4"/>
  <c r="J242" i="4"/>
  <c r="J243" i="4"/>
  <c r="J244" i="4"/>
  <c r="J245" i="4"/>
  <c r="J246" i="4"/>
  <c r="J247" i="4"/>
  <c r="J248" i="4"/>
  <c r="J249" i="4"/>
  <c r="J250" i="4"/>
  <c r="J251" i="4"/>
  <c r="J252" i="4"/>
  <c r="J253" i="4"/>
  <c r="J254" i="4"/>
  <c r="J255" i="4"/>
  <c r="J256" i="4"/>
  <c r="J257" i="4"/>
  <c r="J258" i="4"/>
  <c r="J259" i="4"/>
  <c r="J260" i="4"/>
  <c r="J261" i="4"/>
  <c r="J262" i="4"/>
  <c r="J263" i="4"/>
  <c r="J264" i="4"/>
  <c r="J265" i="4"/>
  <c r="J266" i="4"/>
  <c r="J267" i="4"/>
  <c r="J268" i="4"/>
  <c r="J269" i="4"/>
  <c r="J270" i="4"/>
  <c r="J271" i="4"/>
  <c r="J272" i="4"/>
  <c r="J273" i="4"/>
  <c r="J274" i="4"/>
  <c r="J275" i="4"/>
  <c r="J276" i="4"/>
  <c r="J277" i="4"/>
  <c r="J278" i="4"/>
  <c r="J279" i="4"/>
  <c r="J280" i="4"/>
  <c r="J281" i="4"/>
  <c r="J282" i="4"/>
  <c r="J283" i="4"/>
  <c r="J284" i="4"/>
  <c r="J285" i="4"/>
  <c r="J286" i="4"/>
  <c r="J287" i="4"/>
  <c r="J288" i="4"/>
  <c r="I8" i="3" l="1"/>
  <c r="G8" i="4" s="1"/>
  <c r="B5" i="5"/>
  <c r="J292" i="4"/>
  <c r="A15" i="7"/>
  <c r="J3" i="4"/>
  <c r="J4" i="4"/>
  <c r="J5" i="4"/>
  <c r="J6" i="4"/>
  <c r="J7" i="4"/>
  <c r="J289" i="4"/>
  <c r="J290" i="4"/>
  <c r="J291" i="4"/>
  <c r="B5" i="2"/>
  <c r="B2" i="7" l="1"/>
  <c r="B5" i="13"/>
  <c r="I9" i="3"/>
  <c r="B13" i="7"/>
  <c r="B6" i="7"/>
  <c r="B5" i="7"/>
  <c r="G9" i="4" l="1"/>
  <c r="I10" i="3"/>
  <c r="G10" i="4" s="1"/>
  <c r="B12" i="7"/>
  <c r="I11" i="3" l="1"/>
  <c r="G11" i="4" s="1"/>
  <c r="I12" i="3" l="1"/>
  <c r="G12" i="4" s="1"/>
  <c r="I13" i="3" l="1"/>
  <c r="G13" i="4" s="1"/>
  <c r="I14" i="3" l="1"/>
  <c r="G14" i="4" s="1"/>
  <c r="I15" i="3" l="1"/>
  <c r="G15" i="4" s="1"/>
  <c r="I16" i="3" l="1"/>
  <c r="G16" i="4" s="1"/>
  <c r="I17" i="3" l="1"/>
  <c r="G17" i="4" s="1"/>
  <c r="I18" i="3" l="1"/>
  <c r="G18" i="4" l="1"/>
  <c r="I19" i="3"/>
  <c r="G19" i="4" s="1"/>
  <c r="I20" i="3" l="1"/>
  <c r="G20" i="4" s="1"/>
  <c r="I21" i="3" l="1"/>
  <c r="G21" i="4" s="1"/>
  <c r="I22" i="3" l="1"/>
  <c r="G22" i="4" s="1"/>
  <c r="I23" i="3" l="1"/>
  <c r="G23" i="4" s="1"/>
  <c r="I24" i="3" l="1"/>
  <c r="G24" i="4" s="1"/>
  <c r="I25" i="3" l="1"/>
  <c r="G25" i="4" s="1"/>
  <c r="I26" i="3" l="1"/>
  <c r="G26" i="4" s="1"/>
  <c r="I27" i="3" l="1"/>
  <c r="G27" i="4" s="1"/>
  <c r="I28" i="3" l="1"/>
  <c r="G28" i="4" s="1"/>
  <c r="I29" i="3" l="1"/>
  <c r="G29" i="4" s="1"/>
  <c r="I30" i="3" l="1"/>
  <c r="G30" i="4" s="1"/>
  <c r="I31" i="3" l="1"/>
  <c r="G31" i="4" s="1"/>
  <c r="I32" i="3" l="1"/>
  <c r="G32" i="4" s="1"/>
  <c r="I33" i="3" l="1"/>
  <c r="G33" i="4" s="1"/>
  <c r="I34" i="3" l="1"/>
  <c r="G34" i="4" s="1"/>
  <c r="I35" i="3" l="1"/>
  <c r="G35" i="4" s="1"/>
  <c r="I36" i="3" l="1"/>
  <c r="G36" i="4" s="1"/>
  <c r="I37" i="3" l="1"/>
  <c r="G37" i="4" s="1"/>
  <c r="I38" i="3" l="1"/>
  <c r="G38" i="4" s="1"/>
  <c r="I39" i="3" l="1"/>
  <c r="G39" i="4" s="1"/>
  <c r="I40" i="3" l="1"/>
  <c r="G40" i="4" s="1"/>
  <c r="I41" i="3" l="1"/>
  <c r="G41" i="4" s="1"/>
  <c r="I42" i="3" l="1"/>
  <c r="G42" i="4" s="1"/>
  <c r="I43" i="3" l="1"/>
  <c r="G43" i="4" s="1"/>
  <c r="I44" i="3" l="1"/>
  <c r="G44" i="4" s="1"/>
  <c r="I45" i="3" l="1"/>
  <c r="G45" i="4" s="1"/>
  <c r="I46" i="3" l="1"/>
  <c r="G46" i="4" s="1"/>
  <c r="I47" i="3" l="1"/>
  <c r="G47" i="4" s="1"/>
  <c r="I48" i="3" l="1"/>
  <c r="G48" i="4" s="1"/>
  <c r="I49" i="3" l="1"/>
  <c r="G49" i="4" s="1"/>
  <c r="I50" i="3" l="1"/>
  <c r="G50" i="4" s="1"/>
  <c r="I51" i="3" l="1"/>
  <c r="G51" i="4" s="1"/>
  <c r="I52" i="3" l="1"/>
  <c r="G52" i="4" s="1"/>
  <c r="I53" i="3" l="1"/>
  <c r="G53" i="4" s="1"/>
  <c r="I54" i="3" l="1"/>
  <c r="G54" i="4" s="1"/>
  <c r="I55" i="3" l="1"/>
  <c r="G55" i="4" s="1"/>
  <c r="I56" i="3" l="1"/>
  <c r="G56" i="4" s="1"/>
  <c r="I57" i="3" l="1"/>
  <c r="G57" i="4" s="1"/>
  <c r="I58" i="3" l="1"/>
  <c r="G58" i="4" s="1"/>
  <c r="I59" i="3" l="1"/>
  <c r="G59" i="4" s="1"/>
  <c r="I60" i="3" l="1"/>
  <c r="G60" i="4" s="1"/>
  <c r="I61" i="3" l="1"/>
  <c r="G61" i="4" s="1"/>
  <c r="I62" i="3" l="1"/>
  <c r="G62" i="4" s="1"/>
  <c r="I63" i="3" l="1"/>
  <c r="G63" i="4" s="1"/>
  <c r="I64" i="3" l="1"/>
  <c r="G64" i="4" s="1"/>
  <c r="I65" i="3" l="1"/>
  <c r="G65" i="4" s="1"/>
  <c r="I66" i="3" l="1"/>
  <c r="G66" i="4" s="1"/>
  <c r="I67" i="3" l="1"/>
  <c r="G67" i="4" s="1"/>
  <c r="I68" i="3" l="1"/>
  <c r="G68" i="4" s="1"/>
  <c r="I69" i="3" l="1"/>
  <c r="G69" i="4" s="1"/>
  <c r="I70" i="3" l="1"/>
  <c r="G70" i="4" s="1"/>
  <c r="I71" i="3" l="1"/>
  <c r="G71" i="4" s="1"/>
  <c r="I72" i="3" l="1"/>
  <c r="G72" i="4" s="1"/>
  <c r="I73" i="3" l="1"/>
  <c r="G73" i="4" s="1"/>
  <c r="I74" i="3" l="1"/>
  <c r="G74" i="4" s="1"/>
  <c r="I75" i="3" l="1"/>
  <c r="G75" i="4" s="1"/>
  <c r="I76" i="3" l="1"/>
  <c r="G76" i="4" s="1"/>
  <c r="I77" i="3" l="1"/>
  <c r="G77" i="4" s="1"/>
  <c r="I78" i="3" l="1"/>
  <c r="G78" i="4" s="1"/>
  <c r="I79" i="3" l="1"/>
  <c r="G79" i="4" s="1"/>
  <c r="I80" i="3" l="1"/>
  <c r="G80" i="4" s="1"/>
  <c r="I81" i="3" l="1"/>
  <c r="G81" i="4" s="1"/>
  <c r="I82" i="3" l="1"/>
  <c r="G82" i="4" s="1"/>
  <c r="I83" i="3" l="1"/>
  <c r="G83" i="4" s="1"/>
  <c r="I84" i="3" l="1"/>
  <c r="G84" i="4" s="1"/>
  <c r="I85" i="3" l="1"/>
  <c r="G85" i="4" s="1"/>
  <c r="I86" i="3" l="1"/>
  <c r="G86" i="4" s="1"/>
  <c r="I87" i="3" l="1"/>
  <c r="G87" i="4" s="1"/>
  <c r="I88" i="3" l="1"/>
  <c r="G88" i="4" s="1"/>
  <c r="I89" i="3" l="1"/>
  <c r="G89" i="4" s="1"/>
  <c r="I90" i="3" l="1"/>
  <c r="G90" i="4" s="1"/>
  <c r="I91" i="3" l="1"/>
  <c r="G91" i="4" s="1"/>
  <c r="I92" i="3" l="1"/>
  <c r="G92" i="4" s="1"/>
  <c r="I93" i="3" l="1"/>
  <c r="G93" i="4" s="1"/>
  <c r="I94" i="3" l="1"/>
  <c r="G94" i="4" s="1"/>
  <c r="I95" i="3" l="1"/>
  <c r="G95" i="4" s="1"/>
  <c r="I96" i="3" l="1"/>
  <c r="G96" i="4" s="1"/>
  <c r="I97" i="3" l="1"/>
  <c r="G97" i="4" s="1"/>
  <c r="I98" i="3" l="1"/>
  <c r="G98" i="4" s="1"/>
  <c r="I99" i="3" l="1"/>
  <c r="G99" i="4" s="1"/>
  <c r="I100" i="3" l="1"/>
  <c r="G100" i="4" s="1"/>
  <c r="I101" i="3" l="1"/>
  <c r="G101" i="4" s="1"/>
  <c r="I102" i="3" l="1"/>
  <c r="G102" i="4" s="1"/>
  <c r="I103" i="3" l="1"/>
  <c r="G103" i="4" s="1"/>
  <c r="I104" i="3" l="1"/>
  <c r="G104" i="4" s="1"/>
  <c r="I105" i="3" l="1"/>
  <c r="G105" i="4" s="1"/>
  <c r="I106" i="3" l="1"/>
  <c r="G106" i="4" s="1"/>
  <c r="I107" i="3" l="1"/>
  <c r="G107" i="4" s="1"/>
  <c r="I108" i="3" l="1"/>
  <c r="G108" i="4" s="1"/>
  <c r="I109" i="3" l="1"/>
  <c r="G109" i="4" s="1"/>
  <c r="I110" i="3" l="1"/>
  <c r="G110" i="4" s="1"/>
  <c r="I111" i="3" l="1"/>
  <c r="G111" i="4" s="1"/>
  <c r="I112" i="3" l="1"/>
  <c r="G112" i="4" s="1"/>
  <c r="I113" i="3" l="1"/>
  <c r="G113" i="4" s="1"/>
  <c r="I114" i="3" l="1"/>
  <c r="G114" i="4" s="1"/>
  <c r="I115" i="3" l="1"/>
  <c r="G115" i="4" s="1"/>
  <c r="I116" i="3" l="1"/>
  <c r="G116" i="4" s="1"/>
  <c r="I117" i="3" l="1"/>
  <c r="G117" i="4" s="1"/>
  <c r="I118" i="3" l="1"/>
  <c r="G118" i="4" s="1"/>
  <c r="I119" i="3" l="1"/>
  <c r="G119" i="4" s="1"/>
  <c r="I120" i="3" l="1"/>
  <c r="G120" i="4" s="1"/>
  <c r="I121" i="3" l="1"/>
  <c r="G121" i="4" s="1"/>
  <c r="I122" i="3" l="1"/>
  <c r="G122" i="4" s="1"/>
  <c r="I123" i="3" l="1"/>
  <c r="G123" i="4" s="1"/>
  <c r="I124" i="3" l="1"/>
  <c r="G124" i="4" s="1"/>
  <c r="I125" i="3" l="1"/>
  <c r="G125" i="4" s="1"/>
  <c r="I126" i="3" l="1"/>
  <c r="G126" i="4" s="1"/>
  <c r="I127" i="3" l="1"/>
  <c r="G127" i="4" s="1"/>
  <c r="I128" i="3" l="1"/>
  <c r="G128" i="4" s="1"/>
  <c r="I129" i="3" l="1"/>
  <c r="G129" i="4" s="1"/>
  <c r="I130" i="3" l="1"/>
  <c r="G130" i="4" s="1"/>
  <c r="I131" i="3" l="1"/>
  <c r="G131" i="4" s="1"/>
  <c r="I132" i="3" l="1"/>
  <c r="G132" i="4" s="1"/>
  <c r="I133" i="3" l="1"/>
  <c r="G133" i="4" s="1"/>
  <c r="I134" i="3" l="1"/>
  <c r="G134" i="4" s="1"/>
  <c r="I135" i="3" l="1"/>
  <c r="G135" i="4" s="1"/>
  <c r="I136" i="3" l="1"/>
  <c r="G136" i="4" s="1"/>
  <c r="I137" i="3" l="1"/>
  <c r="G137" i="4" s="1"/>
  <c r="I138" i="3" l="1"/>
  <c r="G138" i="4" s="1"/>
  <c r="I139" i="3" l="1"/>
  <c r="G139" i="4" s="1"/>
  <c r="I140" i="3" l="1"/>
  <c r="G140" i="4" s="1"/>
  <c r="I141" i="3" l="1"/>
  <c r="G141" i="4" s="1"/>
  <c r="I142" i="3" l="1"/>
  <c r="G142" i="4" s="1"/>
  <c r="I143" i="3" l="1"/>
  <c r="G143" i="4" s="1"/>
  <c r="I144" i="3" l="1"/>
  <c r="G144" i="4" s="1"/>
  <c r="I145" i="3" l="1"/>
  <c r="G145" i="4" s="1"/>
  <c r="I146" i="3" l="1"/>
  <c r="G146" i="4" s="1"/>
  <c r="I147" i="3" l="1"/>
  <c r="G147" i="4" s="1"/>
  <c r="I148" i="3" l="1"/>
  <c r="G148" i="4" s="1"/>
  <c r="I149" i="3" l="1"/>
  <c r="G149" i="4" s="1"/>
  <c r="I150" i="3" l="1"/>
  <c r="G150" i="4" s="1"/>
  <c r="I151" i="3" l="1"/>
  <c r="G151" i="4" s="1"/>
  <c r="I152" i="3" l="1"/>
  <c r="G152" i="4" s="1"/>
  <c r="I153" i="3" l="1"/>
  <c r="G153" i="4" s="1"/>
  <c r="I154" i="3" l="1"/>
  <c r="G154" i="4" s="1"/>
  <c r="I155" i="3" l="1"/>
  <c r="G155" i="4" s="1"/>
  <c r="I156" i="3" l="1"/>
  <c r="G156" i="4" s="1"/>
  <c r="I157" i="3" l="1"/>
  <c r="G157" i="4" s="1"/>
  <c r="I158" i="3" l="1"/>
  <c r="G158" i="4" s="1"/>
  <c r="I159" i="3" l="1"/>
  <c r="G159" i="4" s="1"/>
  <c r="I160" i="3" l="1"/>
  <c r="G160" i="4" s="1"/>
  <c r="I161" i="3" l="1"/>
  <c r="G161" i="4" s="1"/>
  <c r="I162" i="3" l="1"/>
  <c r="G162" i="4" s="1"/>
  <c r="I163" i="3" l="1"/>
  <c r="G163" i="4" s="1"/>
  <c r="I164" i="3" l="1"/>
  <c r="G164" i="4" s="1"/>
  <c r="I165" i="3" l="1"/>
  <c r="G165" i="4" s="1"/>
  <c r="I166" i="3" l="1"/>
  <c r="G166" i="4" s="1"/>
  <c r="I167" i="3" l="1"/>
  <c r="G167" i="4" s="1"/>
  <c r="I168" i="3" l="1"/>
  <c r="G168" i="4" s="1"/>
  <c r="I169" i="3" l="1"/>
  <c r="G169" i="4" s="1"/>
  <c r="I170" i="3" l="1"/>
  <c r="G170" i="4" s="1"/>
  <c r="I171" i="3" l="1"/>
  <c r="G171" i="4" s="1"/>
  <c r="I172" i="3" l="1"/>
  <c r="G172" i="4" s="1"/>
  <c r="I173" i="3" l="1"/>
  <c r="G173" i="4" s="1"/>
  <c r="I174" i="3" l="1"/>
  <c r="G174" i="4" s="1"/>
  <c r="I175" i="3" l="1"/>
  <c r="G175" i="4" s="1"/>
  <c r="I176" i="3" l="1"/>
  <c r="G176" i="4" s="1"/>
  <c r="I177" i="3" l="1"/>
  <c r="G177" i="4" s="1"/>
  <c r="I178" i="3" l="1"/>
  <c r="G178" i="4" s="1"/>
  <c r="I179" i="3" l="1"/>
  <c r="G179" i="4" s="1"/>
  <c r="I180" i="3" l="1"/>
  <c r="G180" i="4" s="1"/>
  <c r="I181" i="3" l="1"/>
  <c r="G181" i="4" s="1"/>
  <c r="I182" i="3" l="1"/>
  <c r="G182" i="4" s="1"/>
  <c r="I183" i="3" l="1"/>
  <c r="G183" i="4" s="1"/>
  <c r="I184" i="3" l="1"/>
  <c r="G184" i="4" s="1"/>
  <c r="I185" i="3" l="1"/>
  <c r="G185" i="4" s="1"/>
  <c r="I186" i="3" l="1"/>
  <c r="G186" i="4" s="1"/>
  <c r="I187" i="3" l="1"/>
  <c r="G187" i="4" s="1"/>
  <c r="I188" i="3" l="1"/>
  <c r="G188" i="4" s="1"/>
  <c r="I189" i="3" l="1"/>
  <c r="G189" i="4" s="1"/>
  <c r="I190" i="3" l="1"/>
  <c r="G190" i="4" s="1"/>
  <c r="I191" i="3" l="1"/>
  <c r="G191" i="4" s="1"/>
  <c r="I192" i="3" l="1"/>
  <c r="G192" i="4" s="1"/>
  <c r="I193" i="3" l="1"/>
  <c r="G193" i="4" s="1"/>
  <c r="I194" i="3" l="1"/>
  <c r="G194" i="4" s="1"/>
  <c r="I195" i="3" l="1"/>
  <c r="G195" i="4" s="1"/>
  <c r="I196" i="3" l="1"/>
  <c r="G196" i="4" s="1"/>
  <c r="I197" i="3" l="1"/>
  <c r="G197" i="4" s="1"/>
  <c r="I198" i="3" l="1"/>
  <c r="G198" i="4" s="1"/>
  <c r="I199" i="3" l="1"/>
  <c r="G199" i="4" s="1"/>
  <c r="I200" i="3" l="1"/>
  <c r="G200" i="4" s="1"/>
  <c r="I201" i="3" l="1"/>
  <c r="G201" i="4" s="1"/>
  <c r="I202" i="3" l="1"/>
  <c r="G202" i="4" s="1"/>
  <c r="I203" i="3" l="1"/>
  <c r="G203" i="4" s="1"/>
  <c r="I204" i="3" l="1"/>
  <c r="G204" i="4" s="1"/>
  <c r="I205" i="3" l="1"/>
  <c r="G205" i="4" s="1"/>
  <c r="I206" i="3" l="1"/>
  <c r="G206" i="4" s="1"/>
  <c r="I207" i="3" l="1"/>
  <c r="G207" i="4" s="1"/>
  <c r="I208" i="3" l="1"/>
  <c r="G208" i="4" s="1"/>
  <c r="I209" i="3" l="1"/>
  <c r="G209" i="4" s="1"/>
  <c r="I210" i="3" l="1"/>
  <c r="G210" i="4" s="1"/>
  <c r="I211" i="3" l="1"/>
  <c r="G211" i="4" s="1"/>
  <c r="I212" i="3" l="1"/>
  <c r="G212" i="4" s="1"/>
  <c r="I213" i="3" l="1"/>
  <c r="G213" i="4" s="1"/>
  <c r="I214" i="3" l="1"/>
  <c r="G214" i="4" s="1"/>
  <c r="I215" i="3" l="1"/>
  <c r="G215" i="4" s="1"/>
  <c r="I216" i="3" l="1"/>
  <c r="G216" i="4" s="1"/>
  <c r="I217" i="3" l="1"/>
  <c r="G217" i="4" s="1"/>
  <c r="I218" i="3" l="1"/>
  <c r="G218" i="4" s="1"/>
  <c r="I219" i="3" l="1"/>
  <c r="G219" i="4" s="1"/>
  <c r="I220" i="3" l="1"/>
  <c r="G220" i="4" s="1"/>
  <c r="I221" i="3" l="1"/>
  <c r="G221" i="4" s="1"/>
  <c r="I222" i="3" l="1"/>
  <c r="G222" i="4" s="1"/>
  <c r="I223" i="3" l="1"/>
  <c r="G223" i="4" s="1"/>
  <c r="I224" i="3" l="1"/>
  <c r="G224" i="4" s="1"/>
  <c r="I225" i="3" l="1"/>
  <c r="G225" i="4" s="1"/>
  <c r="I226" i="3" l="1"/>
  <c r="G226" i="4" s="1"/>
  <c r="I227" i="3" l="1"/>
  <c r="G227" i="4" s="1"/>
  <c r="I228" i="3" l="1"/>
  <c r="G228" i="4" s="1"/>
  <c r="I229" i="3" l="1"/>
  <c r="G229" i="4" s="1"/>
  <c r="I230" i="3" l="1"/>
  <c r="G230" i="4" s="1"/>
  <c r="I231" i="3" l="1"/>
  <c r="G231" i="4" s="1"/>
  <c r="I232" i="3" l="1"/>
  <c r="G232" i="4" s="1"/>
  <c r="I233" i="3" l="1"/>
  <c r="G233" i="4" s="1"/>
  <c r="I234" i="3" l="1"/>
  <c r="G234" i="4" s="1"/>
  <c r="I235" i="3" l="1"/>
  <c r="G235" i="4" s="1"/>
  <c r="I236" i="3" l="1"/>
  <c r="G236" i="4" s="1"/>
  <c r="I237" i="3" l="1"/>
  <c r="G237" i="4" s="1"/>
  <c r="I238" i="3" l="1"/>
  <c r="G238" i="4" s="1"/>
  <c r="I239" i="3" l="1"/>
  <c r="G239" i="4" s="1"/>
  <c r="I240" i="3" l="1"/>
  <c r="G240" i="4" s="1"/>
  <c r="I241" i="3" l="1"/>
  <c r="G241" i="4" s="1"/>
  <c r="I242" i="3" l="1"/>
  <c r="G242" i="4" s="1"/>
  <c r="I243" i="3" l="1"/>
  <c r="G243" i="4" s="1"/>
  <c r="I244" i="3" l="1"/>
  <c r="G244" i="4" s="1"/>
  <c r="I245" i="3" l="1"/>
  <c r="G245" i="4" s="1"/>
  <c r="I246" i="3" l="1"/>
  <c r="G246" i="4" s="1"/>
  <c r="I247" i="3" l="1"/>
  <c r="G247" i="4" s="1"/>
  <c r="I248" i="3" l="1"/>
  <c r="G248" i="4" s="1"/>
  <c r="I249" i="3" l="1"/>
  <c r="G249" i="4" s="1"/>
  <c r="I250" i="3" l="1"/>
  <c r="G250" i="4" s="1"/>
  <c r="I251" i="3" l="1"/>
  <c r="G251" i="4" s="1"/>
  <c r="I252" i="3" l="1"/>
  <c r="G252" i="4" s="1"/>
  <c r="I253" i="3" l="1"/>
  <c r="G253" i="4" s="1"/>
  <c r="I254" i="3" l="1"/>
  <c r="G254" i="4" s="1"/>
  <c r="I255" i="3" l="1"/>
  <c r="G255" i="4" s="1"/>
  <c r="I256" i="3" l="1"/>
  <c r="G256" i="4" s="1"/>
  <c r="I257" i="3" l="1"/>
  <c r="G257" i="4" s="1"/>
  <c r="I258" i="3" l="1"/>
  <c r="G258" i="4" s="1"/>
  <c r="I259" i="3" l="1"/>
  <c r="G259" i="4" s="1"/>
  <c r="I260" i="3" l="1"/>
  <c r="G260" i="4" s="1"/>
  <c r="I261" i="3" l="1"/>
  <c r="G261" i="4" s="1"/>
  <c r="I262" i="3" l="1"/>
  <c r="G262" i="4" s="1"/>
  <c r="I263" i="3" l="1"/>
  <c r="G263" i="4" s="1"/>
  <c r="I264" i="3" l="1"/>
  <c r="G264" i="4" s="1"/>
  <c r="I265" i="3" l="1"/>
  <c r="G265" i="4" s="1"/>
  <c r="I266" i="3" l="1"/>
  <c r="G266" i="4" s="1"/>
  <c r="I267" i="3" l="1"/>
  <c r="G267" i="4" s="1"/>
  <c r="I268" i="3" l="1"/>
  <c r="G268" i="4" s="1"/>
  <c r="I269" i="3" l="1"/>
  <c r="G269" i="4" s="1"/>
  <c r="I270" i="3" l="1"/>
  <c r="G270" i="4" s="1"/>
  <c r="I271" i="3" l="1"/>
  <c r="G271" i="4" s="1"/>
  <c r="I272" i="3" l="1"/>
  <c r="G272" i="4" s="1"/>
  <c r="I273" i="3" l="1"/>
  <c r="G273" i="4" s="1"/>
  <c r="I274" i="3" l="1"/>
  <c r="G274" i="4" s="1"/>
  <c r="I275" i="3" l="1"/>
  <c r="G275" i="4" s="1"/>
  <c r="I276" i="3" l="1"/>
  <c r="G276" i="4" s="1"/>
  <c r="I277" i="3" l="1"/>
  <c r="G277" i="4" s="1"/>
  <c r="I278" i="3" l="1"/>
  <c r="G278" i="4" s="1"/>
  <c r="I279" i="3" l="1"/>
  <c r="G279" i="4" s="1"/>
  <c r="I280" i="3" l="1"/>
  <c r="G280" i="4" s="1"/>
  <c r="I281" i="3" l="1"/>
  <c r="G281" i="4" s="1"/>
  <c r="I282" i="3" l="1"/>
  <c r="G282" i="4" s="1"/>
  <c r="I283" i="3" l="1"/>
  <c r="G283" i="4" s="1"/>
  <c r="I284" i="3" l="1"/>
  <c r="G284" i="4" s="1"/>
  <c r="I285" i="3" l="1"/>
  <c r="G285" i="4" s="1"/>
  <c r="I286" i="3" l="1"/>
  <c r="G286" i="4" s="1"/>
  <c r="I287" i="3" l="1"/>
  <c r="G287" i="4" s="1"/>
  <c r="I288" i="3" l="1"/>
  <c r="G288" i="4" s="1"/>
  <c r="I289" i="3" l="1"/>
  <c r="G289" i="4" s="1"/>
  <c r="I290" i="3" l="1"/>
  <c r="G290" i="4" l="1"/>
  <c r="I291" i="3"/>
  <c r="G291" i="4" s="1"/>
  <c r="I292" i="3" l="1"/>
  <c r="G292" i="4" s="1"/>
  <c r="I293" i="3" l="1"/>
  <c r="G293" i="4" s="1"/>
  <c r="I294" i="3" l="1"/>
  <c r="G294" i="4" s="1"/>
  <c r="I295" i="3" l="1"/>
  <c r="G295" i="4" s="1"/>
  <c r="I296" i="3" l="1"/>
  <c r="G296" i="4" s="1"/>
  <c r="I297" i="3" l="1"/>
  <c r="G297" i="4" s="1"/>
  <c r="I298" i="3" l="1"/>
  <c r="G298" i="4" s="1"/>
  <c r="I299" i="3" l="1"/>
  <c r="G299" i="4" s="1"/>
  <c r="I300" i="3" l="1"/>
  <c r="G300" i="4" s="1"/>
  <c r="I301" i="3" l="1"/>
  <c r="G301" i="4" s="1"/>
  <c r="I302" i="3" l="1"/>
  <c r="G302" i="4" s="1"/>
  <c r="I303" i="3" l="1"/>
  <c r="G303" i="4" s="1"/>
  <c r="I304" i="3" l="1"/>
  <c r="G304" i="4" s="1"/>
  <c r="I305" i="3" l="1"/>
  <c r="G305" i="4" s="1"/>
  <c r="I306" i="3" l="1"/>
  <c r="G306" i="4" s="1"/>
  <c r="I307" i="3" l="1"/>
  <c r="G307" i="4" s="1"/>
  <c r="I308" i="3" l="1"/>
  <c r="G308" i="4" s="1"/>
  <c r="I309" i="3" l="1"/>
  <c r="G309" i="4" s="1"/>
  <c r="I310" i="3" l="1"/>
  <c r="G310" i="4" s="1"/>
  <c r="I311" i="3" l="1"/>
  <c r="G311" i="4" s="1"/>
  <c r="I312" i="3" l="1"/>
  <c r="G312" i="4" s="1"/>
  <c r="I313" i="3" l="1"/>
  <c r="G313" i="4" s="1"/>
  <c r="I314" i="3" l="1"/>
  <c r="G314" i="4" s="1"/>
  <c r="I315" i="3" l="1"/>
  <c r="G315" i="4" s="1"/>
  <c r="I316" i="3" l="1"/>
  <c r="G316" i="4" s="1"/>
  <c r="I317" i="3" l="1"/>
  <c r="G317" i="4" s="1"/>
  <c r="I318" i="3" l="1"/>
  <c r="G318" i="4" s="1"/>
  <c r="I319" i="3" l="1"/>
  <c r="G319" i="4" s="1"/>
  <c r="I320" i="3" l="1"/>
  <c r="G320" i="4" s="1"/>
  <c r="I321" i="3" l="1"/>
  <c r="G321" i="4" s="1"/>
  <c r="I322" i="3" l="1"/>
  <c r="G322" i="4" s="1"/>
  <c r="I323" i="3" l="1"/>
  <c r="G323" i="4" s="1"/>
  <c r="I324" i="3" l="1"/>
  <c r="G324" i="4" s="1"/>
  <c r="I325" i="3" l="1"/>
  <c r="G325" i="4" s="1"/>
  <c r="I326" i="3" l="1"/>
  <c r="G326" i="4" s="1"/>
  <c r="I327" i="3" l="1"/>
  <c r="G327" i="4" s="1"/>
  <c r="I328" i="3" l="1"/>
  <c r="G328" i="4" s="1"/>
  <c r="I329" i="3" l="1"/>
  <c r="G329" i="4" s="1"/>
  <c r="I330" i="3" l="1"/>
  <c r="G330" i="4" s="1"/>
  <c r="I331" i="3" l="1"/>
  <c r="G331" i="4" s="1"/>
  <c r="I332" i="3" l="1"/>
  <c r="G332" i="4" s="1"/>
  <c r="I333" i="3" l="1"/>
  <c r="G333" i="4" s="1"/>
  <c r="I334" i="3" l="1"/>
  <c r="G334" i="4" s="1"/>
  <c r="I335" i="3" l="1"/>
  <c r="G335" i="4" s="1"/>
  <c r="I336" i="3" l="1"/>
  <c r="G336" i="4" s="1"/>
  <c r="I337" i="3" l="1"/>
  <c r="G337" i="4" s="1"/>
  <c r="I338" i="3" l="1"/>
  <c r="G338" i="4" s="1"/>
  <c r="I339" i="3" l="1"/>
  <c r="G339" i="4" s="1"/>
  <c r="I340" i="3" l="1"/>
  <c r="G340" i="4" s="1"/>
  <c r="I341" i="3" l="1"/>
  <c r="G341" i="4" s="1"/>
  <c r="I342" i="3" l="1"/>
  <c r="G342" i="4" s="1"/>
  <c r="I343" i="3" l="1"/>
  <c r="G343" i="4" s="1"/>
  <c r="I344" i="3" l="1"/>
  <c r="G344" i="4" s="1"/>
  <c r="I345" i="3" l="1"/>
  <c r="G345" i="4" s="1"/>
  <c r="I346" i="3" l="1"/>
  <c r="G346" i="4" s="1"/>
  <c r="I347" i="3" l="1"/>
  <c r="G347" i="4" s="1"/>
  <c r="I348" i="3" l="1"/>
  <c r="G348" i="4" s="1"/>
  <c r="I349" i="3" l="1"/>
  <c r="G349" i="4" s="1"/>
  <c r="I350" i="3" l="1"/>
  <c r="G350" i="4" s="1"/>
  <c r="I351" i="3" l="1"/>
  <c r="G351" i="4" s="1"/>
  <c r="I352" i="3" l="1"/>
  <c r="G352" i="4" s="1"/>
  <c r="I353" i="3" l="1"/>
  <c r="G353" i="4" s="1"/>
  <c r="I354" i="3" l="1"/>
  <c r="G354" i="4" s="1"/>
  <c r="I355" i="3" l="1"/>
  <c r="G355" i="4" s="1"/>
  <c r="I356" i="3" l="1"/>
  <c r="G356" i="4" s="1"/>
  <c r="I357" i="3" l="1"/>
  <c r="G357" i="4" s="1"/>
  <c r="I358" i="3" l="1"/>
  <c r="G358" i="4" s="1"/>
  <c r="I359" i="3" l="1"/>
  <c r="G359" i="4" s="1"/>
  <c r="I360" i="3" l="1"/>
  <c r="G360" i="4" s="1"/>
  <c r="I361" i="3" l="1"/>
  <c r="G361" i="4" s="1"/>
  <c r="I362" i="3" l="1"/>
  <c r="G362" i="4" s="1"/>
  <c r="I363" i="3" l="1"/>
  <c r="G363" i="4" s="1"/>
  <c r="I364" i="3" l="1"/>
  <c r="G364" i="4" s="1"/>
  <c r="I365" i="3" l="1"/>
  <c r="G365" i="4" s="1"/>
  <c r="I366" i="3" l="1"/>
  <c r="G366" i="4" s="1"/>
  <c r="I367" i="3" l="1"/>
  <c r="G367" i="4" s="1"/>
  <c r="I368" i="3" l="1"/>
  <c r="G368" i="4" s="1"/>
  <c r="I369" i="3" l="1"/>
  <c r="G369" i="4" s="1"/>
  <c r="I370" i="3" l="1"/>
  <c r="G370" i="4" s="1"/>
  <c r="I371" i="3" l="1"/>
  <c r="G371" i="4" s="1"/>
  <c r="I372" i="3" l="1"/>
  <c r="G372" i="4" s="1"/>
  <c r="I373" i="3" l="1"/>
  <c r="G373" i="4" s="1"/>
  <c r="I374" i="3" l="1"/>
  <c r="G374" i="4" s="1"/>
  <c r="I375" i="3" l="1"/>
  <c r="G375" i="4" s="1"/>
  <c r="I376" i="3" l="1"/>
  <c r="G376" i="4" s="1"/>
  <c r="I377" i="3" l="1"/>
  <c r="G377" i="4" s="1"/>
  <c r="I378" i="3" l="1"/>
  <c r="G378" i="4" s="1"/>
  <c r="I379" i="3" l="1"/>
  <c r="G379" i="4" s="1"/>
  <c r="I380" i="3" l="1"/>
  <c r="G380" i="4" s="1"/>
  <c r="I381" i="3" l="1"/>
  <c r="G381" i="4" s="1"/>
  <c r="I382" i="3" l="1"/>
  <c r="G382" i="4" s="1"/>
  <c r="I383" i="3" l="1"/>
  <c r="G383" i="4" s="1"/>
  <c r="I384" i="3" l="1"/>
  <c r="G384" i="4" s="1"/>
  <c r="I385" i="3" l="1"/>
  <c r="G385" i="4" s="1"/>
  <c r="I386" i="3" l="1"/>
  <c r="G386" i="4" s="1"/>
  <c r="I387" i="3" l="1"/>
  <c r="G387" i="4" s="1"/>
  <c r="I388" i="3" l="1"/>
  <c r="G388" i="4" s="1"/>
  <c r="I389" i="3" l="1"/>
  <c r="G389" i="4" s="1"/>
  <c r="I390" i="3" l="1"/>
  <c r="G390" i="4" s="1"/>
  <c r="I391" i="3" l="1"/>
  <c r="G391" i="4" s="1"/>
  <c r="I392" i="3" l="1"/>
  <c r="G392" i="4" s="1"/>
  <c r="I393" i="3" l="1"/>
  <c r="G393" i="4" s="1"/>
  <c r="I394" i="3" l="1"/>
  <c r="G394" i="4" s="1"/>
  <c r="I395" i="3" l="1"/>
  <c r="G395" i="4" s="1"/>
  <c r="I396" i="3" l="1"/>
  <c r="G396" i="4" s="1"/>
  <c r="I397" i="3" l="1"/>
  <c r="G397" i="4" s="1"/>
  <c r="I398" i="3" l="1"/>
  <c r="G398" i="4" s="1"/>
  <c r="I399" i="3" l="1"/>
  <c r="G399" i="4" s="1"/>
  <c r="I400" i="3" l="1"/>
  <c r="G400" i="4" s="1"/>
  <c r="I401" i="3" l="1"/>
  <c r="G401" i="4" s="1"/>
  <c r="I402" i="3" l="1"/>
  <c r="G402" i="4" s="1"/>
  <c r="I403" i="3" l="1"/>
  <c r="G403" i="4" s="1"/>
  <c r="I404" i="3" l="1"/>
  <c r="G404" i="4" s="1"/>
  <c r="I405" i="3" l="1"/>
  <c r="G405" i="4" s="1"/>
  <c r="I406" i="3" l="1"/>
  <c r="G406" i="4" s="1"/>
  <c r="I407" i="3" l="1"/>
  <c r="G407" i="4" s="1"/>
  <c r="I408" i="3" l="1"/>
  <c r="G408" i="4" s="1"/>
  <c r="I409" i="3" l="1"/>
  <c r="G409" i="4" s="1"/>
  <c r="I410" i="3" l="1"/>
  <c r="G410" i="4" s="1"/>
  <c r="I411" i="3" l="1"/>
  <c r="G411" i="4" s="1"/>
  <c r="I412" i="3" l="1"/>
  <c r="G412" i="4" s="1"/>
  <c r="I413" i="3" l="1"/>
  <c r="G413" i="4" s="1"/>
  <c r="I414" i="3" l="1"/>
  <c r="G414" i="4" s="1"/>
  <c r="B14" i="7" s="1"/>
  <c r="Q17" i="1" s="1"/>
  <c r="I415" i="3" l="1"/>
  <c r="G415" i="4" s="1"/>
  <c r="I416" i="3" l="1"/>
  <c r="G416" i="4" s="1"/>
  <c r="I417" i="3" l="1"/>
  <c r="G417" i="4" s="1"/>
  <c r="I418" i="3" l="1"/>
  <c r="G418" i="4" s="1"/>
  <c r="I419" i="3" l="1"/>
  <c r="G419" i="4" s="1"/>
  <c r="A16" i="7" l="1"/>
  <c r="A17" i="7"/>
  <c r="I420" i="3"/>
  <c r="G420" i="4" s="1"/>
  <c r="I421" i="3" l="1"/>
  <c r="G421" i="4" s="1"/>
  <c r="I422" i="3" l="1"/>
  <c r="G422" i="4" s="1"/>
  <c r="I423" i="3" l="1"/>
  <c r="G423" i="4" s="1"/>
  <c r="I424" i="3" l="1"/>
  <c r="G424" i="4" s="1"/>
  <c r="I425" i="3" l="1"/>
  <c r="G425" i="4" l="1"/>
  <c r="I426" i="3"/>
  <c r="I427" i="3" l="1"/>
  <c r="G426" i="4"/>
  <c r="B13" i="2" s="1"/>
</calcChain>
</file>

<file path=xl/sharedStrings.xml><?xml version="1.0" encoding="utf-8"?>
<sst xmlns="http://schemas.openxmlformats.org/spreadsheetml/2006/main" count="6272" uniqueCount="980">
  <si>
    <t>S No.</t>
  </si>
  <si>
    <t>Date</t>
  </si>
  <si>
    <t>Product ID</t>
  </si>
  <si>
    <t>Product Name</t>
  </si>
  <si>
    <t>Product Description</t>
  </si>
  <si>
    <t>Product Category</t>
  </si>
  <si>
    <t>Quantity</t>
  </si>
  <si>
    <t>Value</t>
  </si>
  <si>
    <t>Reorder Level</t>
  </si>
  <si>
    <t>Current Stock</t>
  </si>
  <si>
    <t>Unit Price</t>
  </si>
  <si>
    <t>Stock Value</t>
  </si>
  <si>
    <t>Current Month Stock In</t>
  </si>
  <si>
    <t>Current Month Stock Out</t>
  </si>
  <si>
    <t>Row Labels</t>
  </si>
  <si>
    <t>Grand Total</t>
  </si>
  <si>
    <t>Sum of Current Stock</t>
  </si>
  <si>
    <t>Linked Cell</t>
  </si>
  <si>
    <t>Message-1</t>
  </si>
  <si>
    <t>Name Label</t>
  </si>
  <si>
    <t>Total Stock</t>
  </si>
  <si>
    <t>AH26</t>
  </si>
  <si>
    <t>AHM TOMATO KETCHUP 300GX12</t>
  </si>
  <si>
    <t>AH27</t>
  </si>
  <si>
    <t>AHM WHITE VINEGAR 800MLX12</t>
  </si>
  <si>
    <t>A10</t>
  </si>
  <si>
    <t>ALPAVIT MILK PWD 25KG X1</t>
  </si>
  <si>
    <t>B1</t>
  </si>
  <si>
    <t>BDM SARSON KA SAAG TIN 800GX12</t>
  </si>
  <si>
    <t>B2</t>
  </si>
  <si>
    <t>BEST GUAVA BOTTLE 1LTX6</t>
  </si>
  <si>
    <t>B3</t>
  </si>
  <si>
    <t>BEST GUAVA BOTTLE 250MLX24</t>
  </si>
  <si>
    <t>B4</t>
  </si>
  <si>
    <t>BEST GUAVA CARTA 1LTX6</t>
  </si>
  <si>
    <t>B5</t>
  </si>
  <si>
    <t>BEST GUAVA LATINA 250MLX30</t>
  </si>
  <si>
    <t>B6</t>
  </si>
  <si>
    <t>BEST MANGO BOTTLE 1LTX6</t>
  </si>
  <si>
    <t>B7</t>
  </si>
  <si>
    <t>BEST MANGO BOTTLE 250MLX24</t>
  </si>
  <si>
    <t>B8</t>
  </si>
  <si>
    <t>BEST MANGO CARTA 1LTX6</t>
  </si>
  <si>
    <t>B9</t>
  </si>
  <si>
    <t>BEST MANGO CARTA 200MLX27</t>
  </si>
  <si>
    <t>B10</t>
  </si>
  <si>
    <t>BEST MANGO LATINA 250MLX30</t>
  </si>
  <si>
    <t>B11</t>
  </si>
  <si>
    <t>BEST MIX BOT 1LTX6</t>
  </si>
  <si>
    <t>B12</t>
  </si>
  <si>
    <t>BEST MIX BOTTLE 250MLX24</t>
  </si>
  <si>
    <t>B13</t>
  </si>
  <si>
    <t>BEST MIX CARTA 1LTX6</t>
  </si>
  <si>
    <t>B14</t>
  </si>
  <si>
    <t>BEST MIX LATINA 250MLX30</t>
  </si>
  <si>
    <t>BG1</t>
  </si>
  <si>
    <t>BG BOMBAY MIX 400G X 12</t>
  </si>
  <si>
    <t>BG2</t>
  </si>
  <si>
    <t>BG CHANA DAL 400G X12</t>
  </si>
  <si>
    <t>BG3</t>
  </si>
  <si>
    <t>BG CHIN CHIN 400G X12</t>
  </si>
  <si>
    <t>BG4</t>
  </si>
  <si>
    <t>BG GHATHIA MIX 400G X12</t>
  </si>
  <si>
    <t>BG5</t>
  </si>
  <si>
    <t>BG GREEN PEAS 400G  X 12</t>
  </si>
  <si>
    <t>BG6</t>
  </si>
  <si>
    <t>BG GUJRATI MIX 400G X12</t>
  </si>
  <si>
    <t>BG7</t>
  </si>
  <si>
    <t>BG KASHMIRI MIX 400G X12</t>
  </si>
  <si>
    <t>BG8</t>
  </si>
  <si>
    <t>BG LAHORI MIX 400G X 12</t>
  </si>
  <si>
    <t>BG9</t>
  </si>
  <si>
    <t>BG PUNJABI MIX 400G X 12</t>
  </si>
  <si>
    <t>BG10</t>
  </si>
  <si>
    <t>BG SPICY CHICK PEAS 400G X12</t>
  </si>
  <si>
    <t>BG11</t>
  </si>
  <si>
    <t>BG TRADITIONAL MIX 400GX12</t>
  </si>
  <si>
    <t>BG12</t>
  </si>
  <si>
    <t>BGD AMLA CANDY 1KGX14</t>
  </si>
  <si>
    <t>BG13</t>
  </si>
  <si>
    <t>BGD BATASAY 300GX24</t>
  </si>
  <si>
    <t>BG14</t>
  </si>
  <si>
    <t>BGD BATASAY 500GX12</t>
  </si>
  <si>
    <t>BG15</t>
  </si>
  <si>
    <t>BGD CORN FLOUR 300GX6</t>
  </si>
  <si>
    <t>BG16</t>
  </si>
  <si>
    <t>BGD GARLIC PASTE 1KGX6</t>
  </si>
  <si>
    <t>BG17</t>
  </si>
  <si>
    <t>BGD GINGER PASTE 1KGX6</t>
  </si>
  <si>
    <t>BG18</t>
  </si>
  <si>
    <t>BGD GINGER&amp;GARLIC PASTE1KGX6</t>
  </si>
  <si>
    <t>BG19</t>
  </si>
  <si>
    <t>BGD GOOR ( IND)MASALA 1KGX12</t>
  </si>
  <si>
    <t>BG20</t>
  </si>
  <si>
    <t>BGD GOOR 1KG (IND)PLAINX12</t>
  </si>
  <si>
    <t>BG21</t>
  </si>
  <si>
    <t>BGD GOOR JAR PACK 500GX12</t>
  </si>
  <si>
    <t>BG22</t>
  </si>
  <si>
    <t>BGD GOOR JAR PACK1KGX12</t>
  </si>
  <si>
    <t>BG23</t>
  </si>
  <si>
    <t>BGD KASOORI MEETHI 100GX6</t>
  </si>
  <si>
    <t>BG24</t>
  </si>
  <si>
    <t>BGD MARUNDA 270GX10</t>
  </si>
  <si>
    <t>BG25</t>
  </si>
  <si>
    <t>BGD MUSTARD OIL 1LTX12</t>
  </si>
  <si>
    <t>BG26</t>
  </si>
  <si>
    <t>BGD SHAKAR (IND) 1KGX12</t>
  </si>
  <si>
    <t>BG27</t>
  </si>
  <si>
    <t>BGD SHAKAR (IND) 500GX24</t>
  </si>
  <si>
    <t>BG28</t>
  </si>
  <si>
    <t>BGD SHAKKAR JAR PACK 500GX12</t>
  </si>
  <si>
    <t>BG29</t>
  </si>
  <si>
    <t>BGD TEA JAR PACK 500GX20</t>
  </si>
  <si>
    <t>BG30</t>
  </si>
  <si>
    <t>BGD TEA JAR PACK 1KGX12</t>
  </si>
  <si>
    <t>BG31</t>
  </si>
  <si>
    <t>BGD TOP DANADAR TEA 1KGX10</t>
  </si>
  <si>
    <t>BG32</t>
  </si>
  <si>
    <t>BGD TOP DANEDAR TEA 500GX20</t>
  </si>
  <si>
    <t>A11</t>
  </si>
  <si>
    <t>BIGEN  N59-6GX6</t>
  </si>
  <si>
    <t>A12</t>
  </si>
  <si>
    <t>BLANKET BIG SIZEX1</t>
  </si>
  <si>
    <t>A13</t>
  </si>
  <si>
    <t>BLANKET MED SIZE X1</t>
  </si>
  <si>
    <t>A14</t>
  </si>
  <si>
    <t>BOURNVITA 500GX15</t>
  </si>
  <si>
    <t>BT1</t>
  </si>
  <si>
    <t>PRAN PUFFED RICE 500G X16</t>
  </si>
  <si>
    <t>BT2</t>
  </si>
  <si>
    <t>REJECTION RICE 20KG X1</t>
  </si>
  <si>
    <t>BT3</t>
  </si>
  <si>
    <t>PRAN NOODLE CURRY 70G X60</t>
  </si>
  <si>
    <t>BT4</t>
  </si>
  <si>
    <t>PRAN NOODLES CHICKEN 70G X60</t>
  </si>
  <si>
    <t>BT5</t>
  </si>
  <si>
    <t>PRAN NOODLES VEG 70G X60</t>
  </si>
  <si>
    <t>BT6</t>
  </si>
  <si>
    <t>PRAN NOODLES BEEF 70G X60</t>
  </si>
  <si>
    <t>BT7</t>
  </si>
  <si>
    <t>PRAN NOODLES CUP VEG 60G X48</t>
  </si>
  <si>
    <t>BT8</t>
  </si>
  <si>
    <t>PRAN NOODLES CUP CURRY 60GX 48</t>
  </si>
  <si>
    <t>ID200</t>
  </si>
  <si>
    <t>Z DE RICA TOMATO PASTE 850GX12*</t>
  </si>
  <si>
    <t>D49</t>
  </si>
  <si>
    <t>DABUR SHAMPOO SHIKAKAI 200MLX6</t>
  </si>
  <si>
    <t>D50</t>
  </si>
  <si>
    <t>DABUR SHAMPOO TROPICAL COCONUT 200MLX6</t>
  </si>
  <si>
    <t>D51</t>
  </si>
  <si>
    <t>DABUR SHAMPOO ARGAN 200MLX6</t>
  </si>
  <si>
    <t>D52</t>
  </si>
  <si>
    <t>DABUR SHAMPOO BLACK SEED 200MLX6</t>
  </si>
  <si>
    <t>D53</t>
  </si>
  <si>
    <t>DABUR SHAMPOO CACTUS 200MLX6</t>
  </si>
  <si>
    <t>D54</t>
  </si>
  <si>
    <t>DABUR SHAMPOO EGG 200MLX6</t>
  </si>
  <si>
    <t>D55</t>
  </si>
  <si>
    <t>DABUR SHAMPOO GARLIC 200MLX6</t>
  </si>
  <si>
    <t>D56</t>
  </si>
  <si>
    <t>DABUR SHAMPOO OLIVE 200MLX6</t>
  </si>
  <si>
    <t>D57</t>
  </si>
  <si>
    <t>DABUR SHAMPOO VIRGIN OLIVE N&amp;P 200MLX6</t>
  </si>
  <si>
    <t>D58</t>
  </si>
  <si>
    <t>DABUR SHAMPOO WILD CACTUS 200MLX6</t>
  </si>
  <si>
    <t>D59</t>
  </si>
  <si>
    <t>DABUR TOOTHPASTE ALOEVERA100GX6</t>
  </si>
  <si>
    <t>D60</t>
  </si>
  <si>
    <t>DABUR TOOTHPASTE BASIL100GX6</t>
  </si>
  <si>
    <t>D61</t>
  </si>
  <si>
    <t>DABUR TOOTHPASTE CLOVE 100GX6</t>
  </si>
  <si>
    <t>D62</t>
  </si>
  <si>
    <t>DABUR TOOTHPASTE MISWAK 100GX6</t>
  </si>
  <si>
    <t>D63</t>
  </si>
  <si>
    <t>DABUR TOOTHPASTE NEEM 100GX6</t>
  </si>
  <si>
    <t>D64</t>
  </si>
  <si>
    <t>DABUR TOOTHPASTE PROMISE 100GX6</t>
  </si>
  <si>
    <t>D65</t>
  </si>
  <si>
    <t>DABUR TOOTHPASTE RED 100GX12</t>
  </si>
  <si>
    <t>D66</t>
  </si>
  <si>
    <t>DABUR TOOTHPASTE RED 200GX6</t>
  </si>
  <si>
    <t>A23</t>
  </si>
  <si>
    <t>DATTERI  RAMATI  1KGX12</t>
  </si>
  <si>
    <t>A24</t>
  </si>
  <si>
    <t>DATTERI STANDARD 1KGX12</t>
  </si>
  <si>
    <t>A25</t>
  </si>
  <si>
    <t>DATTERI RAMATI 500GX15</t>
  </si>
  <si>
    <t>A26</t>
  </si>
  <si>
    <t>DATTERI ST 250GX24</t>
  </si>
  <si>
    <t>A27</t>
  </si>
  <si>
    <t>DETTOL LIQUID 250MLX12</t>
  </si>
  <si>
    <t>A28</t>
  </si>
  <si>
    <t>DETTOL LIQUID 500MLX6</t>
  </si>
  <si>
    <t>A29</t>
  </si>
  <si>
    <t>DETTOL LIQUID 750MLX6</t>
  </si>
  <si>
    <t>A30</t>
  </si>
  <si>
    <t>DETTOL SOAP 100GX12</t>
  </si>
  <si>
    <t>A31</t>
  </si>
  <si>
    <t>FABBRICS X 46 MTR</t>
  </si>
  <si>
    <t>A32</t>
  </si>
  <si>
    <t>FAIR &amp; LOVELY  X12</t>
  </si>
  <si>
    <t>FK1</t>
  </si>
  <si>
    <t>FALAK BASMATI EXTREME 5 KG X 4</t>
  </si>
  <si>
    <t>FK2</t>
  </si>
  <si>
    <t>FALAK BASMATI RICE 1 KG X 20</t>
  </si>
  <si>
    <t>FK3</t>
  </si>
  <si>
    <t>FALAK BASMATI RICE 20 KG X 1</t>
  </si>
  <si>
    <t>FK4</t>
  </si>
  <si>
    <t>FALAK BASMATI RICE 2 KG X 10</t>
  </si>
  <si>
    <t>FK5</t>
  </si>
  <si>
    <t>FALAK BASMATI RICE 5 KG X 4</t>
  </si>
  <si>
    <t>FK6</t>
  </si>
  <si>
    <t>FALAK PERBOILED BASMATI RICE 20 KG X 1</t>
  </si>
  <si>
    <t>FK7</t>
  </si>
  <si>
    <t>FALAK PINK SALT 150 G X 24</t>
  </si>
  <si>
    <t>FK8</t>
  </si>
  <si>
    <t>FALAK PINK SALT 800 G X 18</t>
  </si>
  <si>
    <t>FK9</t>
  </si>
  <si>
    <t>FALAK RICE FLOUR 1 KG X 8</t>
  </si>
  <si>
    <t>FK10</t>
  </si>
  <si>
    <t>FALAK SUNBUL BIRYANI RICE 20 KG X 1</t>
  </si>
  <si>
    <t>FK11</t>
  </si>
  <si>
    <t>FALAK SUPER RICE 20 KG X 1</t>
  </si>
  <si>
    <t>F1</t>
  </si>
  <si>
    <t xml:space="preserve">FARINA BARAGA CHAPATI 10 KG X 1 </t>
  </si>
  <si>
    <t>F2</t>
  </si>
  <si>
    <t>FARINA BARAGA CHAPATI 25 KG X 1</t>
  </si>
  <si>
    <t>F3</t>
  </si>
  <si>
    <t>FARINA LAILA BROWN 10 KG X 1</t>
  </si>
  <si>
    <t>F4</t>
  </si>
  <si>
    <t>FARINA LAILA BROWN 20 KG X 1</t>
  </si>
  <si>
    <t>F5</t>
  </si>
  <si>
    <t>FARINA LAILA LIGHT MED 10 KG X 1</t>
  </si>
  <si>
    <t>F6</t>
  </si>
  <si>
    <t>FARINA LAILA LIGHT MED 20 KG X 1</t>
  </si>
  <si>
    <t>F7</t>
  </si>
  <si>
    <t>FARINA LAILA WHITE 20 KG X 1</t>
  </si>
  <si>
    <t>F8</t>
  </si>
  <si>
    <t>FARINA LAILA WHITE 10 KG X 1</t>
  </si>
  <si>
    <t>FC1</t>
  </si>
  <si>
    <t>FOOD COLOUR GREEN SMALLX 12</t>
  </si>
  <si>
    <t>FC2</t>
  </si>
  <si>
    <t>FOOD COLOUR ORANGE SMALL X 12</t>
  </si>
  <si>
    <t>ARS-11</t>
  </si>
  <si>
    <t>ARS PLAIN TEA RUSK 300GX12</t>
  </si>
  <si>
    <t>FC4</t>
  </si>
  <si>
    <t>FOOD COLOUR ORANGE BIG(5)X 20</t>
  </si>
  <si>
    <t>FC5</t>
  </si>
  <si>
    <t>FOOD COLOUR RED SMALL X 12</t>
  </si>
  <si>
    <t>FC6</t>
  </si>
  <si>
    <t>FOOD COLOUR RED BIG X 20</t>
  </si>
  <si>
    <t>FC7</t>
  </si>
  <si>
    <t>FOOD COLOUR YELLOW SMALL X 12</t>
  </si>
  <si>
    <t>FC8</t>
  </si>
  <si>
    <t>FOOD COLOUR YELLOW BIG X 20</t>
  </si>
  <si>
    <t>A33</t>
  </si>
  <si>
    <t>GAJAK 200 G X10</t>
  </si>
  <si>
    <t>A34</t>
  </si>
  <si>
    <t>GINGER FRESH 10KG</t>
  </si>
  <si>
    <t>GT1</t>
  </si>
  <si>
    <t>GITS DAHI BARA 200 X 10</t>
  </si>
  <si>
    <t>GT2</t>
  </si>
  <si>
    <t>GITS DOSAI 500 G X 5</t>
  </si>
  <si>
    <t>GT3</t>
  </si>
  <si>
    <t>GITS DOSAI MIX 200 G X 10</t>
  </si>
  <si>
    <t>A128</t>
  </si>
  <si>
    <t>BROKEN RISO 20KGX1</t>
  </si>
  <si>
    <t>ID227</t>
  </si>
  <si>
    <t>Z GINO POMODORO 400G X 24*</t>
  </si>
  <si>
    <t>HD15</t>
  </si>
  <si>
    <t>HR CHANA DAL 200 G X 10</t>
  </si>
  <si>
    <t>HD16</t>
  </si>
  <si>
    <t>HR CHANA DAL 400 G X 5</t>
  </si>
  <si>
    <t>HD17</t>
  </si>
  <si>
    <t>HR CHANA JORGARAM 200 G X10</t>
  </si>
  <si>
    <t>HD18</t>
  </si>
  <si>
    <t>HR COOKIES ALMOND 200 G X 24</t>
  </si>
  <si>
    <t>HD19</t>
  </si>
  <si>
    <t>HR COOKIES ALMOND&amp;PISTA 200 G X 24</t>
  </si>
  <si>
    <t>HD20</t>
  </si>
  <si>
    <t>HR COOKIES COCONUT 200 G X 24</t>
  </si>
  <si>
    <t>HD21</t>
  </si>
  <si>
    <t>HR COOKIES JEERA 200 G X 24</t>
  </si>
  <si>
    <t>HD22</t>
  </si>
  <si>
    <t>HR COOKIES KAJU&amp;PISTA  200 G X 24</t>
  </si>
  <si>
    <t>HD23</t>
  </si>
  <si>
    <t>HR COOKIES MULTIGRAIN 200 G X 24</t>
  </si>
  <si>
    <t>HD24</t>
  </si>
  <si>
    <t>HR DAL BIJI 200 G X 10</t>
  </si>
  <si>
    <t>HD25</t>
  </si>
  <si>
    <t>HR DRY PETHA 400 G X 20</t>
  </si>
  <si>
    <t>HD26</t>
  </si>
  <si>
    <t>HR BHELPURI FATAFAT 150 G X 6</t>
  </si>
  <si>
    <t>HD27</t>
  </si>
  <si>
    <t>HR GULAB JAMUN 1 KG X 12</t>
  </si>
  <si>
    <t>HD28</t>
  </si>
  <si>
    <t>HR KABALI CHANA 200 G X 10</t>
  </si>
  <si>
    <t>HD29</t>
  </si>
  <si>
    <t>HR KAJU MIX 200 G X 15</t>
  </si>
  <si>
    <t>HD30</t>
  </si>
  <si>
    <t xml:space="preserve">HR KALAM PETHA 1 KG X 12 offerta </t>
  </si>
  <si>
    <t>HD31</t>
  </si>
  <si>
    <t>HR KASHMIR MIX 200 G X 15</t>
  </si>
  <si>
    <t>HD32</t>
  </si>
  <si>
    <t>HR KASHMIRI MIX 400 G X 5</t>
  </si>
  <si>
    <t>HD33</t>
  </si>
  <si>
    <t>HR KHARI JEERA PUFF 200 G X 24</t>
  </si>
  <si>
    <t>HD34</t>
  </si>
  <si>
    <t>HR KHARI METHI PUFF 200 G X 24</t>
  </si>
  <si>
    <t>HD35</t>
  </si>
  <si>
    <t>HR KHARI PLAIN PUFF 200 G X 24</t>
  </si>
  <si>
    <t>HD36</t>
  </si>
  <si>
    <t>HR KHATTA MEETHA 200 G X 10</t>
  </si>
  <si>
    <t>HD37</t>
  </si>
  <si>
    <t>HR KHATTA METHA 400 G X 5</t>
  </si>
  <si>
    <t>HD38</t>
  </si>
  <si>
    <t>HR MATHRI 200 G X 10</t>
  </si>
  <si>
    <t>HD39</t>
  </si>
  <si>
    <t>HR MINT LACHHA 200 G X 5</t>
  </si>
  <si>
    <t>HD40</t>
  </si>
  <si>
    <t>HR MOONG DAL MAS 200 G X 10</t>
  </si>
  <si>
    <t>HD41</t>
  </si>
  <si>
    <t>HR MOONG DAL 200 G X 10</t>
  </si>
  <si>
    <t>HD42</t>
  </si>
  <si>
    <t>HR NAVRATAN 200 G X 10</t>
  </si>
  <si>
    <t>HD43</t>
  </si>
  <si>
    <t>HR NIMBU MAS 200 G X 10</t>
  </si>
  <si>
    <t>HD44</t>
  </si>
  <si>
    <t>HR NIMBU MASALA 400 G X 5</t>
  </si>
  <si>
    <t>HD45</t>
  </si>
  <si>
    <t>HR NUT CRACKERS 200 G X 15</t>
  </si>
  <si>
    <t>HD46</t>
  </si>
  <si>
    <t>HR PANCH RATAN 200 G X 10</t>
  </si>
  <si>
    <t>HD47</t>
  </si>
  <si>
    <t>HR PANI PURI 360 G X 12</t>
  </si>
  <si>
    <t>HD48</t>
  </si>
  <si>
    <t>HR PATISHA 500 G X 20</t>
  </si>
  <si>
    <t>HD49</t>
  </si>
  <si>
    <t>HR PUNJABI TAKDA 200 G X 10</t>
  </si>
  <si>
    <t>HD50</t>
  </si>
  <si>
    <t xml:space="preserve">HR RASGULLA 1 KG X 12 offerta </t>
  </si>
  <si>
    <t>HD51</t>
  </si>
  <si>
    <t xml:space="preserve">HR RASMALAI 1 KG X 12 offerta </t>
  </si>
  <si>
    <t>HD52</t>
  </si>
  <si>
    <t>HR SAMOSA 200 G X 10</t>
  </si>
  <si>
    <t>HD53</t>
  </si>
  <si>
    <t xml:space="preserve">HR SOAN CAKE DESI GHEE500 G X 20 </t>
  </si>
  <si>
    <t>HD54</t>
  </si>
  <si>
    <t>HR SOAN PAPADI 250 G X 40</t>
  </si>
  <si>
    <t>HD55</t>
  </si>
  <si>
    <t>HR SOAN PAPDI 500 G X 20</t>
  </si>
  <si>
    <t>HD56</t>
  </si>
  <si>
    <t>HR SOAN PAPDI GUR &amp; TIL 500 G X 20</t>
  </si>
  <si>
    <t>HD57</t>
  </si>
  <si>
    <t>HR SOYSTIX CHATPATA MAS 150 G X 6   *Offerta*</t>
  </si>
  <si>
    <t>HD58</t>
  </si>
  <si>
    <t>HRR CHOLEY MASALA300 G X 40    *offerta*</t>
  </si>
  <si>
    <t>HD59</t>
  </si>
  <si>
    <t>HRR DAL MAKHANI 300 G X 40</t>
  </si>
  <si>
    <t>HD60</t>
  </si>
  <si>
    <t>HRR DUM ALOO X 40</t>
  </si>
  <si>
    <t>HD61</t>
  </si>
  <si>
    <t>HRR VEG. PULO 300 G X 40</t>
  </si>
  <si>
    <t>HD62</t>
  </si>
  <si>
    <t>HRR KADHAI PAKORA 300 G X 40</t>
  </si>
  <si>
    <t>HD63</t>
  </si>
  <si>
    <t>HRR  MIX VEGETABLE 300 G X 40</t>
  </si>
  <si>
    <t>HD64</t>
  </si>
  <si>
    <t>HRR PANEER MAKHANI 300 G X 40</t>
  </si>
  <si>
    <t>HD65</t>
  </si>
  <si>
    <t>HRR PAV BHAJI 300 G X 40</t>
  </si>
  <si>
    <t>HD66</t>
  </si>
  <si>
    <t>HRR RAJMA RASEELA 300 G X 40</t>
  </si>
  <si>
    <t>HD67</t>
  </si>
  <si>
    <t>HRR SARSOON KA SAAG X 40</t>
  </si>
  <si>
    <t>HD68</t>
  </si>
  <si>
    <t>HRR YELLOW DAL TADKA 300 G X 40</t>
  </si>
  <si>
    <t>A51</t>
  </si>
  <si>
    <t>IODEX X 10</t>
  </si>
  <si>
    <t>A52</t>
  </si>
  <si>
    <t>ISABGUL BHUSI 100 G X 10</t>
  </si>
  <si>
    <t>A53</t>
  </si>
  <si>
    <t>ISABGUL BHUSI 200 G X 5</t>
  </si>
  <si>
    <t>J1</t>
  </si>
  <si>
    <t>JCR PUNJABI PAKORA 150 G X 12</t>
  </si>
  <si>
    <t>J2</t>
  </si>
  <si>
    <t>JCR PUNJABI PAKORA 600 G X 7</t>
  </si>
  <si>
    <t>J3</t>
  </si>
  <si>
    <t>JCR PUNJABI PAKORA 700 G X 6</t>
  </si>
  <si>
    <t>J4</t>
  </si>
  <si>
    <t>JCR PUNJABI PAKORA 300 G X 10</t>
  </si>
  <si>
    <t>J5</t>
  </si>
  <si>
    <t>JCR SWEET MAKHANA 300 G X 10</t>
  </si>
  <si>
    <t>KO20</t>
  </si>
  <si>
    <t>KOH SARSOON KA SAAG READY2EAT  X30</t>
  </si>
  <si>
    <t>KO21</t>
  </si>
  <si>
    <t>KOH SHAHI PANEER READY2EAT X30</t>
  </si>
  <si>
    <t>KT1</t>
  </si>
  <si>
    <t>KTC ALMOND OIL 200 ML X 12</t>
  </si>
  <si>
    <t>KT2</t>
  </si>
  <si>
    <t>KTC ALMOND OIL 300 ML X 12</t>
  </si>
  <si>
    <t>KT3</t>
  </si>
  <si>
    <t>KTC ALMOND OIL 500 ML X 12</t>
  </si>
  <si>
    <t>KT4</t>
  </si>
  <si>
    <t>KTC ALMOND OIL 750 ML X 6</t>
  </si>
  <si>
    <t>KT5</t>
  </si>
  <si>
    <t>KTC ALSI OIL 250 ML X 12</t>
  </si>
  <si>
    <t>KT6</t>
  </si>
  <si>
    <t>KTC BEST GHEE 2 KG X 6</t>
  </si>
  <si>
    <t>KT7</t>
  </si>
  <si>
    <t>KTC BOILED CHICK PEAS 400 G X 12</t>
  </si>
  <si>
    <t>KT8</t>
  </si>
  <si>
    <t>KTC CASTOR OIL 250 ML X 12</t>
  </si>
  <si>
    <t>KT9</t>
  </si>
  <si>
    <t>KTC CHAMMELI OIL 165 ML X 12</t>
  </si>
  <si>
    <t>KT10</t>
  </si>
  <si>
    <t>KTC COCONUT COOKING OIL 650 ML X 6</t>
  </si>
  <si>
    <t>KT11</t>
  </si>
  <si>
    <t>KTC COCONUT MILK 400 ML X 12</t>
  </si>
  <si>
    <t>KT12</t>
  </si>
  <si>
    <t>KTC COCONUT OIL 250 ML X 12</t>
  </si>
  <si>
    <t>KT13</t>
  </si>
  <si>
    <t>KTC COCONUT OIL 500 ML X 12</t>
  </si>
  <si>
    <t>KT14</t>
  </si>
  <si>
    <t>KTC GHEE 1 KG X 6</t>
  </si>
  <si>
    <t>KT15</t>
  </si>
  <si>
    <t>KTC GHEE 2 KG X 4</t>
  </si>
  <si>
    <t>KT16</t>
  </si>
  <si>
    <t>KTC GHEE 500 G X 12</t>
  </si>
  <si>
    <t>KT17</t>
  </si>
  <si>
    <t>KTC GRAM FLOUR 1 KG X 12</t>
  </si>
  <si>
    <t>KT18</t>
  </si>
  <si>
    <t>KTC JASMIN OIL 250 ML X 12</t>
  </si>
  <si>
    <t>KT19</t>
  </si>
  <si>
    <t>KTC JASMINE OIL 500 ML X 12</t>
  </si>
  <si>
    <t>KT20</t>
  </si>
  <si>
    <t>KTC MUSTARD OIL 250 ML X 12</t>
  </si>
  <si>
    <t>KT21</t>
  </si>
  <si>
    <t>KTC MUSTARD OIL 4LT X 4</t>
  </si>
  <si>
    <t>KT22</t>
  </si>
  <si>
    <t>KTC MUSTARD OIL 500 ML X 12</t>
  </si>
  <si>
    <t>KT23</t>
  </si>
  <si>
    <t>KTC MUSTARD OIL 750 ML X 12</t>
  </si>
  <si>
    <t>KT24</t>
  </si>
  <si>
    <t>KTC OLIVE OIL 5 LT X 4</t>
  </si>
  <si>
    <t>KT25</t>
  </si>
  <si>
    <t>KTC RAAT KI RANI HAIR OIL 165 ML X 12</t>
  </si>
  <si>
    <t>KT26</t>
  </si>
  <si>
    <t>KTC SESAME OIL 650 ML X 12</t>
  </si>
  <si>
    <t>KT27</t>
  </si>
  <si>
    <t>KTC SESAME OIL 250 ML X 12</t>
  </si>
  <si>
    <t>KT28</t>
  </si>
  <si>
    <t>KTC SUNFLOWER OIL 1 LT X 15</t>
  </si>
  <si>
    <t>LA1</t>
  </si>
  <si>
    <t>LAILA BASMATI 5 KG X 4</t>
  </si>
  <si>
    <t>LA2</t>
  </si>
  <si>
    <t>LAILA BROKEN 5 KG X 4</t>
  </si>
  <si>
    <t>LA3</t>
  </si>
  <si>
    <t>LAILA BROKEN RICE 20 KG</t>
  </si>
  <si>
    <t>LA4</t>
  </si>
  <si>
    <t>LAILA GINGER &amp; GARLIC PASTE 1 KG X 6</t>
  </si>
  <si>
    <t>LA5</t>
  </si>
  <si>
    <t>LAILA IDLI RICE 5 KG X 4</t>
  </si>
  <si>
    <t>LA6</t>
  </si>
  <si>
    <t>LAILA MADRAS PLAIN PAPAD 200 G X 10</t>
  </si>
  <si>
    <t>LA7</t>
  </si>
  <si>
    <t>LAILA SONA MASOORI 5 KG X 4</t>
  </si>
  <si>
    <t>LA8</t>
  </si>
  <si>
    <t>LAILA XTRA LONG GRAIN RICE 2 KG X 6</t>
  </si>
  <si>
    <t>LA9</t>
  </si>
  <si>
    <t>LAILA XTRA LONG GRAIN RICE 5 KG X 4</t>
  </si>
  <si>
    <t>LZ1</t>
  </si>
  <si>
    <t>LAZ ACHAR GHOST 100 G X 6</t>
  </si>
  <si>
    <t>LZ2</t>
  </si>
  <si>
    <t>LAZ ALUBUKHARA CHUTNEY 400GX12</t>
  </si>
  <si>
    <t>LZ3</t>
  </si>
  <si>
    <t>LAZ BARYANI MASALA 100GX6</t>
  </si>
  <si>
    <t>LZ4</t>
  </si>
  <si>
    <t>LAZ CHANA MASALA 100GX6</t>
  </si>
  <si>
    <t>LZ5</t>
  </si>
  <si>
    <t>LAZ CHAPLI KEBAB 100GX6</t>
  </si>
  <si>
    <t>LZ6</t>
  </si>
  <si>
    <t>LAZ CHAT MASALA 100GX6</t>
  </si>
  <si>
    <t>LZ7</t>
  </si>
  <si>
    <t>LAZ CHICKEN BROAST X 6</t>
  </si>
  <si>
    <t>LZ8</t>
  </si>
  <si>
    <t>LAZ CHICKEN GINGER X 6</t>
  </si>
  <si>
    <t>LZ9</t>
  </si>
  <si>
    <t>LAZ CHICKEN MASALA X 6</t>
  </si>
  <si>
    <t>LZ10</t>
  </si>
  <si>
    <t>LAZ CHICKEN TIKKA 100 G X 6</t>
  </si>
  <si>
    <t>LZ11</t>
  </si>
  <si>
    <t>LAZ CHUTNEY RAITA  X 6</t>
  </si>
  <si>
    <t>LZ12</t>
  </si>
  <si>
    <t>LAZ DELHI PULAO BIR 100 GX 6</t>
  </si>
  <si>
    <t>LZ13</t>
  </si>
  <si>
    <t>LAZ FISH MASALA 100 G X 6</t>
  </si>
  <si>
    <t>LZ14</t>
  </si>
  <si>
    <t>LAZ GAJAR HALWA 155 G X 6</t>
  </si>
  <si>
    <t>LZ15</t>
  </si>
  <si>
    <t>LAZ KHEER GAJAR 155 G X 6</t>
  </si>
  <si>
    <t>LZ16</t>
  </si>
  <si>
    <t>LAZ HALEEM MASALA 100 G X 6</t>
  </si>
  <si>
    <t>LZ17</t>
  </si>
  <si>
    <t>LAZ HALEEM MIX MASALA 375 G X 6</t>
  </si>
  <si>
    <t>LZ18</t>
  </si>
  <si>
    <t>LAZ FALOODA JELLY 235 G X 6</t>
  </si>
  <si>
    <t>LZ19</t>
  </si>
  <si>
    <t xml:space="preserve">LAZ KARAHI/FRY GHOST MAS 90 G X 6 </t>
  </si>
  <si>
    <t>LZ20</t>
  </si>
  <si>
    <t>LAZ FALOODA KESAR X 6</t>
  </si>
  <si>
    <t>LZ21</t>
  </si>
  <si>
    <t>LAZ KHEER A+S 155 G X 6</t>
  </si>
  <si>
    <t>LZ22</t>
  </si>
  <si>
    <t>LAZ KHEER MIX P+C 155 G X 6</t>
  </si>
  <si>
    <t>HD75</t>
  </si>
  <si>
    <t>HR GUJRATI MIX 200GX10</t>
  </si>
  <si>
    <t>HE69</t>
  </si>
  <si>
    <t>HEERA BJ BOMBAY MIX 350X6</t>
  </si>
  <si>
    <t>HE57</t>
  </si>
  <si>
    <t>HEERA TIN NAVRATAN KORMA450GX12</t>
  </si>
  <si>
    <t>GT4</t>
  </si>
  <si>
    <t>GITS G J MIX 100 G X 10</t>
  </si>
  <si>
    <t>GT5</t>
  </si>
  <si>
    <t>GITS G J MIX 200 G X 10</t>
  </si>
  <si>
    <t>GT6</t>
  </si>
  <si>
    <t>GITS G J MIX 500 G X 5</t>
  </si>
  <si>
    <t>GT7</t>
  </si>
  <si>
    <t>GITS IDLI 200 G X 10</t>
  </si>
  <si>
    <t>GT8</t>
  </si>
  <si>
    <t>GITS IDLI 500 G X 5</t>
  </si>
  <si>
    <t>GT9</t>
  </si>
  <si>
    <t>GITS JILEBI MIX 100 G X 10</t>
  </si>
  <si>
    <t>GT10</t>
  </si>
  <si>
    <t>GITS JILEBI MIX WITH MAKER100 G X 5</t>
  </si>
  <si>
    <t>GT11</t>
  </si>
  <si>
    <t>GITS PAKORA 200 G X 10</t>
  </si>
  <si>
    <t>GT12</t>
  </si>
  <si>
    <t>GITS SAMBHAR MIX 100GX10</t>
  </si>
  <si>
    <t>A35</t>
  </si>
  <si>
    <t>GREEN TEA 250 G X 48</t>
  </si>
  <si>
    <t>A36</t>
  </si>
  <si>
    <t>GREEN TEA RED- 250 G X 48</t>
  </si>
  <si>
    <t>A37</t>
  </si>
  <si>
    <t>GREEN TEA CAMEL 4011 200 G X 48</t>
  </si>
  <si>
    <t>A38</t>
  </si>
  <si>
    <t>GRIPE WATER 150 ML X 6</t>
  </si>
  <si>
    <t>A39</t>
  </si>
  <si>
    <t>GRIPE WATER X12</t>
  </si>
  <si>
    <t>A40</t>
  </si>
  <si>
    <t>HARISSA 135 G X 30</t>
  </si>
  <si>
    <t>A41</t>
  </si>
  <si>
    <t>HARISSA 380 G X 24</t>
  </si>
  <si>
    <t>A42</t>
  </si>
  <si>
    <t>HASHMI KAJAL X10</t>
  </si>
  <si>
    <t>A43</t>
  </si>
  <si>
    <t>HEAD &amp; SHOULDERS 250MLX6</t>
  </si>
  <si>
    <t>A44</t>
  </si>
  <si>
    <t>HEAD&amp;SHOULDERS 200MLX6</t>
  </si>
  <si>
    <t>A45</t>
  </si>
  <si>
    <t>HEAD&amp;SHOULDERS400MLX6</t>
  </si>
  <si>
    <t>HE2</t>
  </si>
  <si>
    <t>HEERA CORN FLOUR 500GX6</t>
  </si>
  <si>
    <t>HE3</t>
  </si>
  <si>
    <t>HEERA AG PURE ROSE X 12</t>
  </si>
  <si>
    <t>HE4</t>
  </si>
  <si>
    <t>HEERA AG PURE RUDRAKSH X12</t>
  </si>
  <si>
    <t>HE5</t>
  </si>
  <si>
    <t>HEERA AMLA POWDER 100 G X 20</t>
  </si>
  <si>
    <t>HE6</t>
  </si>
  <si>
    <t>HEERA ANARDANA PWD 100 G X 12</t>
  </si>
  <si>
    <t>HE7</t>
  </si>
  <si>
    <t>HEERA ANARDANA WHOLE 100 G X 20</t>
  </si>
  <si>
    <t>HE8</t>
  </si>
  <si>
    <t>HEERA TIN BAIGHAN BHARTA 450 G X 12</t>
  </si>
  <si>
    <t>HE1</t>
  </si>
  <si>
    <t>HEERA BAJRA FLOUR 1 KG X 12*</t>
  </si>
  <si>
    <t>HE9</t>
  </si>
  <si>
    <t>HEERA BAJRA FLOUR 1 KG X 6</t>
  </si>
  <si>
    <t>HE10</t>
  </si>
  <si>
    <t>HEERA BARLEY FLOUR 1 KG X 6</t>
  </si>
  <si>
    <t>HE11</t>
  </si>
  <si>
    <t>HEERA BAY LEAVES 10 G X 20</t>
  </si>
  <si>
    <t>HE12</t>
  </si>
  <si>
    <t>HEERA BICARBONATE SODA X 10</t>
  </si>
  <si>
    <t>HE13</t>
  </si>
  <si>
    <t>HEERA BOILD CHICK PEAS 400 G X 12</t>
  </si>
  <si>
    <t>HE14</t>
  </si>
  <si>
    <t>HEERA TIN CHATPATA CHANA 450 G X 12</t>
  </si>
  <si>
    <t>HE15</t>
  </si>
  <si>
    <t>HEERA COCONUT MILK 400 G X 24</t>
  </si>
  <si>
    <t>HE16</t>
  </si>
  <si>
    <t>HEERA COCONUT OIL RISHTA 250 G X 12</t>
  </si>
  <si>
    <t>HE17</t>
  </si>
  <si>
    <t>HEERA COCONUT OIL RISHTA 500 G X 12</t>
  </si>
  <si>
    <t>HE18</t>
  </si>
  <si>
    <t>HEERA CURRY LEAVES 20 G X 15</t>
  </si>
  <si>
    <t>HE19</t>
  </si>
  <si>
    <t>HEERA TIN DAL MAKHANI 450 G X 12</t>
  </si>
  <si>
    <t>HE20</t>
  </si>
  <si>
    <t>HEERA DALCHINI 200 G X 10</t>
  </si>
  <si>
    <t>HE21</t>
  </si>
  <si>
    <t>HEERA DRIED COCONUT 300 G X 10</t>
  </si>
  <si>
    <t>HE22</t>
  </si>
  <si>
    <t>HEERA DRIED DATE 300 G X 20</t>
  </si>
  <si>
    <t>HE23</t>
  </si>
  <si>
    <t>HEERA DRY AMLA WHOLE 100 G X 20</t>
  </si>
  <si>
    <t>HE24</t>
  </si>
  <si>
    <t>HEERA FLAKE RICE 200 G X 20</t>
  </si>
  <si>
    <t>HE25</t>
  </si>
  <si>
    <t>HEERA GOL GAPPA FRY 250 G X 10</t>
  </si>
  <si>
    <t>HE26</t>
  </si>
  <si>
    <t>HEERA GARAM MASALA WHOLE 200 G X 10</t>
  </si>
  <si>
    <t>HE27</t>
  </si>
  <si>
    <t>HEERA GHEE 1 KG X 12</t>
  </si>
  <si>
    <t>HE28</t>
  </si>
  <si>
    <t xml:space="preserve">HEERA GHEE 2 KG X 6  </t>
  </si>
  <si>
    <t>HE29</t>
  </si>
  <si>
    <t>HEERA GHEE 500 G X 12  OFFERATA</t>
  </si>
  <si>
    <t>HE30</t>
  </si>
  <si>
    <t>HEERA GINGER WHOLE 300 G X 10</t>
  </si>
  <si>
    <t>HE31</t>
  </si>
  <si>
    <t>HEERA GOOR 450 G X 20</t>
  </si>
  <si>
    <t>HE32</t>
  </si>
  <si>
    <t>HEERA GOUND KATERA 100 G X 20</t>
  </si>
  <si>
    <t>HE33</t>
  </si>
  <si>
    <t xml:space="preserve">HEERA GRAM FLOUR 2 KG X 6  offerta </t>
  </si>
  <si>
    <t>HE34</t>
  </si>
  <si>
    <t>HEERA IMLI 400 G X 50</t>
  </si>
  <si>
    <t>HE35</t>
  </si>
  <si>
    <t>HEERA JUWAR FLOUR 1 KG X 6</t>
  </si>
  <si>
    <t>HE36</t>
  </si>
  <si>
    <t>HEERA KAMARKHAS 100 G X 20</t>
  </si>
  <si>
    <t>HE37</t>
  </si>
  <si>
    <t>HEERA TIN KARRI PAKORA 450 G X 12</t>
  </si>
  <si>
    <t>HE38</t>
  </si>
  <si>
    <t>HEERA TIN MATTAR PANEER 450 G X 12</t>
  </si>
  <si>
    <t>HE39</t>
  </si>
  <si>
    <t>HEERA MOONG FLOUR 1 KG X 12</t>
  </si>
  <si>
    <t>A136</t>
  </si>
  <si>
    <t>VASLINE 250GX6</t>
  </si>
  <si>
    <t>T241</t>
  </si>
  <si>
    <t>TRS TOOR DALL 2KGX6</t>
  </si>
  <si>
    <t>R108</t>
  </si>
  <si>
    <t>RAW CINNAMON WHOLE 25KG</t>
  </si>
  <si>
    <t>SF023</t>
  </si>
  <si>
    <t>SFI SOY SAUCE 220 G X 24</t>
  </si>
  <si>
    <t>PJ29</t>
  </si>
  <si>
    <t>PJ MEHNDI HERBAL X 10</t>
  </si>
  <si>
    <t>HD104</t>
  </si>
  <si>
    <t>HR BHUJIA MAS 40GX12</t>
  </si>
  <si>
    <t>MH17</t>
  </si>
  <si>
    <t>MDH PAKORA MIX MAS X 10</t>
  </si>
  <si>
    <t>MH18</t>
  </si>
  <si>
    <t>MDH PANI PURI 100 G X 10</t>
  </si>
  <si>
    <t>MH19</t>
  </si>
  <si>
    <t>MDH PAV BHAJI MASALA 100GX10</t>
  </si>
  <si>
    <t>MH20</t>
  </si>
  <si>
    <t>MDH PODINA PWD 100GX10</t>
  </si>
  <si>
    <t>MH21</t>
  </si>
  <si>
    <t>MDH RAJAMA MASALA 100GX10</t>
  </si>
  <si>
    <t>MH22</t>
  </si>
  <si>
    <t>MDH SABAZI MASALA 100GX10</t>
  </si>
  <si>
    <t>MH23</t>
  </si>
  <si>
    <t>MDH SAMBHAR MAS 100GX10</t>
  </si>
  <si>
    <t>MH24</t>
  </si>
  <si>
    <t>MDH SHAHI PANEER100GX10</t>
  </si>
  <si>
    <t>MH25</t>
  </si>
  <si>
    <t>MDH TANDOORI B.B.Q 100GX10</t>
  </si>
  <si>
    <t>MH26</t>
  </si>
  <si>
    <t>MDH TAWA FRY MASALA 100GX10</t>
  </si>
  <si>
    <t>MH27</t>
  </si>
  <si>
    <t>MDH TEA MASALA 35GX10</t>
  </si>
  <si>
    <t>M1</t>
  </si>
  <si>
    <t>MEHNDI BLACK ROSE KALI  X 10</t>
  </si>
  <si>
    <t>M2</t>
  </si>
  <si>
    <t>MEHNDI ZARQA BLACK 100 G X 10</t>
  </si>
  <si>
    <t>M3</t>
  </si>
  <si>
    <t>MEHNDI CONE CHANDNI 30 G X 12</t>
  </si>
  <si>
    <t>M4</t>
  </si>
  <si>
    <t>MEHNDI DULHAN HENNA 100 G X 12</t>
  </si>
  <si>
    <t>M5</t>
  </si>
  <si>
    <t>MEHNDI HEENA MDH 100 G X 10</t>
  </si>
  <si>
    <t>M6</t>
  </si>
  <si>
    <t>MEHNDI HERBAL (NURPUR POUCH) X 12</t>
  </si>
  <si>
    <t>M7</t>
  </si>
  <si>
    <t>MEHNDI HERBAL BLACK  X 10</t>
  </si>
  <si>
    <t>M8</t>
  </si>
  <si>
    <t>MEHNDI HERBAL BROWN X10</t>
  </si>
  <si>
    <t>M9</t>
  </si>
  <si>
    <t>MEHNDI HERBAL RED PWD100GX10</t>
  </si>
  <si>
    <t>M10</t>
  </si>
  <si>
    <t>MEHNDI JAMILA HEENA PWD 100GX12</t>
  </si>
  <si>
    <t>M11</t>
  </si>
  <si>
    <t>MEHNDI JANI CONE X 12</t>
  </si>
  <si>
    <t>M12</t>
  </si>
  <si>
    <t>MEHNDI BEST GOLD 250 G X 10</t>
  </si>
  <si>
    <t>M13</t>
  </si>
  <si>
    <t>MEHNDI BEST GOLD 500 G X 10</t>
  </si>
  <si>
    <t>M14</t>
  </si>
  <si>
    <t>MEHNDI RED 1 KG X 30</t>
  </si>
  <si>
    <t>M15</t>
  </si>
  <si>
    <t>MEHNDI RED 250 G X 10</t>
  </si>
  <si>
    <t>M16</t>
  </si>
  <si>
    <t>MEHNDI RED 500G X 10</t>
  </si>
  <si>
    <t>M17</t>
  </si>
  <si>
    <t>MEHNDI ZARQA RED 100 G X 10</t>
  </si>
  <si>
    <t>M18</t>
  </si>
  <si>
    <t>MEHNDI ZUBEDA RED 100GX6</t>
  </si>
  <si>
    <t>NT1</t>
  </si>
  <si>
    <t>NAT ACHAR GHOST MAS 100 G X 12</t>
  </si>
  <si>
    <t>NT2</t>
  </si>
  <si>
    <t>NAT BIRYANI MAS 90 G X 6</t>
  </si>
  <si>
    <t>NT3</t>
  </si>
  <si>
    <t>NAT BOMBAY BIRYANI 140 G X 6</t>
  </si>
  <si>
    <t>NT4</t>
  </si>
  <si>
    <t>NAT MAS BOM BIRYANI  140 G X 12</t>
  </si>
  <si>
    <t>NT5</t>
  </si>
  <si>
    <t>NAT CARROT PICKLE 1 KG X 6</t>
  </si>
  <si>
    <t>NT6</t>
  </si>
  <si>
    <t>NAT CHAPLI KABAB 100 G X 12</t>
  </si>
  <si>
    <t>NT7</t>
  </si>
  <si>
    <t>NAT CHAT MASALA 110 G X 12</t>
  </si>
  <si>
    <t>NT8</t>
  </si>
  <si>
    <t>NAT CHICKEN BIRYANI 90 G X 12</t>
  </si>
  <si>
    <t>NT9</t>
  </si>
  <si>
    <t>NAT CHICKEN BROAST X 12</t>
  </si>
  <si>
    <t>NT10</t>
  </si>
  <si>
    <t>NAT CHICKEN JALFEREZI 100 G X 12</t>
  </si>
  <si>
    <t>NT11</t>
  </si>
  <si>
    <t>NAT CHICKEN TANDOORI 100 G X 12</t>
  </si>
  <si>
    <t>NT12</t>
  </si>
  <si>
    <t>NAT CHICKEN TIKKA 100 G X 12</t>
  </si>
  <si>
    <t>NT13</t>
  </si>
  <si>
    <t>NAT CHILL&amp;GARLIC SAUCE 300 G X 12</t>
  </si>
  <si>
    <t>NT14</t>
  </si>
  <si>
    <t>NAT CHINESE SALT 45 G X 20</t>
  </si>
  <si>
    <t>NT15</t>
  </si>
  <si>
    <t>NAT CORIANDER CHUTNEY 335 G X 12</t>
  </si>
  <si>
    <t>NT16</t>
  </si>
  <si>
    <t>NAT CUST BANANA 300 G X 12    *offerta*</t>
  </si>
  <si>
    <t>NT17</t>
  </si>
  <si>
    <t xml:space="preserve">NAT CUST MANGO 300 G X 12 </t>
  </si>
  <si>
    <t>NT18</t>
  </si>
  <si>
    <t>NAT CUST STRAWBERRY 300 G X 12</t>
  </si>
  <si>
    <t>NT19</t>
  </si>
  <si>
    <t>NAT CUST VANAILA 300 G X 12    *SPECIAL OFFER*</t>
  </si>
  <si>
    <t>NT20</t>
  </si>
  <si>
    <t>NAT DAHI VADA MASALA X 12</t>
  </si>
  <si>
    <t>NT21</t>
  </si>
  <si>
    <t>NAT FISH MASALA 100 G X 12</t>
  </si>
  <si>
    <t>NT22</t>
  </si>
  <si>
    <t>NAT FRESH MINT CHUTNEY 335 G X 12</t>
  </si>
  <si>
    <t>NT23</t>
  </si>
  <si>
    <t>NAT GAJAR KHEER X 12</t>
  </si>
  <si>
    <t>NT24</t>
  </si>
  <si>
    <t>NAT GARLIC PICKLE 1 KG X 6</t>
  </si>
  <si>
    <t>NT25</t>
  </si>
  <si>
    <t>NAT GARLIC PASTE BIG X 12</t>
  </si>
  <si>
    <t>NT26</t>
  </si>
  <si>
    <t>NAT GARLIC PASTE SMALL X 12</t>
  </si>
  <si>
    <t>NT27</t>
  </si>
  <si>
    <t>NAT GARLIC PICKLE 310 G X 12</t>
  </si>
  <si>
    <t>NT28</t>
  </si>
  <si>
    <t>NAT GINGER PASTE BIG X 12</t>
  </si>
  <si>
    <t>NT29</t>
  </si>
  <si>
    <t>NAT GINGER PASTE SMALL X 12</t>
  </si>
  <si>
    <t>NT30</t>
  </si>
  <si>
    <t>NAT GINGER &amp; GARLIC PASTE BIG X 12</t>
  </si>
  <si>
    <t>NT31</t>
  </si>
  <si>
    <t>NAT GINGER &amp; GARLIC PASTE SMALL X12</t>
  </si>
  <si>
    <t>NT32</t>
  </si>
  <si>
    <t>NAT GREEN CHILLI PICKLE 1 KG X 6</t>
  </si>
  <si>
    <t>PG3</t>
  </si>
  <si>
    <t>PG TEA 240 TEA BAGS X 4</t>
  </si>
  <si>
    <t>PG4</t>
  </si>
  <si>
    <t>PG TEA 250 G LOOSE TEA X 12</t>
  </si>
  <si>
    <t>PG5</t>
  </si>
  <si>
    <t xml:space="preserve">PG TEA 300 TEA BAGS X 8 </t>
  </si>
  <si>
    <t>PG6</t>
  </si>
  <si>
    <t xml:space="preserve">PG TEA 40 TEA BAGS X 12 </t>
  </si>
  <si>
    <t>PG7</t>
  </si>
  <si>
    <t>PG TEA 500 G LOOSE TEA X 6</t>
  </si>
  <si>
    <t>PG8</t>
  </si>
  <si>
    <t>PG TEA 80 TEA BAGS X 12</t>
  </si>
  <si>
    <t>PG9</t>
  </si>
  <si>
    <t>PG TIPS 125GX12</t>
  </si>
  <si>
    <t>A75</t>
  </si>
  <si>
    <t>PHATKARY X 12</t>
  </si>
  <si>
    <t>A76</t>
  </si>
  <si>
    <t>PHENNY X 24</t>
  </si>
  <si>
    <t>PJ1</t>
  </si>
  <si>
    <t>PJ AMLA CANDY 500GX24</t>
  </si>
  <si>
    <t>PJ2</t>
  </si>
  <si>
    <t>PJ AMLA MURABBA 1KGX12</t>
  </si>
  <si>
    <t>PJ3</t>
  </si>
  <si>
    <t>PJ CHYAWANPARSH 500GX24</t>
  </si>
  <si>
    <t>PJ4</t>
  </si>
  <si>
    <t>PJ COCONUT OIL 200MLX36</t>
  </si>
  <si>
    <t>PJ5</t>
  </si>
  <si>
    <t>PJ TOOTHPASTE DANT KANTI 100GX96PCS</t>
  </si>
  <si>
    <t>A77</t>
  </si>
  <si>
    <t>POWER UP BANANA X12</t>
  </si>
  <si>
    <t>A78</t>
  </si>
  <si>
    <t>POWER UP CHOCO X12</t>
  </si>
  <si>
    <t>A79</t>
  </si>
  <si>
    <t>POWER UP STABRE X12</t>
  </si>
  <si>
    <t>A80</t>
  </si>
  <si>
    <t>POWER UP VANILLA X12</t>
  </si>
  <si>
    <t>A81</t>
  </si>
  <si>
    <t>PRESSURE COOKER 11LBX1</t>
  </si>
  <si>
    <t>A82</t>
  </si>
  <si>
    <t>PRESSURE COOKER 18LTX1</t>
  </si>
  <si>
    <t>A83</t>
  </si>
  <si>
    <t>PRESSURE COOKER 5LTX1</t>
  </si>
  <si>
    <t>A84</t>
  </si>
  <si>
    <t>PRESSURE COOKER 7LBX1</t>
  </si>
  <si>
    <t>A85</t>
  </si>
  <si>
    <t>PRESSURE COOKER 7LT (IND)X1</t>
  </si>
  <si>
    <t>A86</t>
  </si>
  <si>
    <t>PRESSURE COOKER 9LBX1</t>
  </si>
  <si>
    <t>A87</t>
  </si>
  <si>
    <t>PRESSURE COOKER ELECTRIC</t>
  </si>
  <si>
    <t>A88</t>
  </si>
  <si>
    <t>PRESSURE COOKER MATKI 5.5LTX1</t>
  </si>
  <si>
    <t>R17</t>
  </si>
  <si>
    <t>PUNJAB KER.BASMATI 20KGX1</t>
  </si>
  <si>
    <t>R18</t>
  </si>
  <si>
    <t>PUNJAB KER.BASMATI 2KGX10</t>
  </si>
  <si>
    <t>R19</t>
  </si>
  <si>
    <t>PUNJAB KER.BASMATI RICE 5KGX4</t>
  </si>
  <si>
    <t>R20</t>
  </si>
  <si>
    <t>PUNJAB KERNAL BAS PARBOILED 5KGX4</t>
  </si>
  <si>
    <t>R21</t>
  </si>
  <si>
    <t>PUNJAB KERNEL BAS PARBOILED20KGX1</t>
  </si>
  <si>
    <t>Q1</t>
  </si>
  <si>
    <t>QARSHI BAZOOROI SYRUP 800MLX12</t>
  </si>
  <si>
    <t>TOP2</t>
  </si>
  <si>
    <t>TOP UP REWDI GUR 100GX20</t>
  </si>
  <si>
    <t>TO3</t>
  </si>
  <si>
    <t>TOP UP ELACHI POWDER 30GX12</t>
  </si>
  <si>
    <t>TO4</t>
  </si>
  <si>
    <t>TOP UP VANILLA ESSENCE 28MLX12</t>
  </si>
  <si>
    <t>TO5</t>
  </si>
  <si>
    <t>TOP UP NEEM OIL 100MLX12</t>
  </si>
  <si>
    <t>BG52</t>
  </si>
  <si>
    <t>BGD BIS PUNJABI 300G X20</t>
  </si>
  <si>
    <t>BG53</t>
  </si>
  <si>
    <t>BGD BIS AJWAIN 300G X20</t>
  </si>
  <si>
    <t>BG54</t>
  </si>
  <si>
    <t>BGD BIS JEERA 300G X20</t>
  </si>
  <si>
    <t>BG55</t>
  </si>
  <si>
    <t>BGD BIS JAGGERY300G X20</t>
  </si>
  <si>
    <t>BG56</t>
  </si>
  <si>
    <t>BGD BIS COCNUT ATTA 300G X20</t>
  </si>
  <si>
    <t>BG57</t>
  </si>
  <si>
    <t>BGD BIS DRY FRUIT 300G X20</t>
  </si>
  <si>
    <t>BG58</t>
  </si>
  <si>
    <t>BGD BIS ALMOND 300G X20</t>
  </si>
  <si>
    <t>BG59</t>
  </si>
  <si>
    <t>BGD CAKE RUSK 450G X16</t>
  </si>
  <si>
    <t>BGD53</t>
  </si>
  <si>
    <t>BGD CHICKEE PEANUT 100GX 10PCS</t>
  </si>
  <si>
    <t>BGD59</t>
  </si>
  <si>
    <t>BGD CHICKEE SESAME 100G X10PCS</t>
  </si>
  <si>
    <t>BGD60</t>
  </si>
  <si>
    <t>BGD CHICKEE PEANUT &amp; SESAME X10PCS</t>
  </si>
  <si>
    <t>BGD61</t>
  </si>
  <si>
    <t>BGD CHICKEE SESAME BALL 350GX20</t>
  </si>
  <si>
    <t>Food</t>
  </si>
  <si>
    <t>Bottled</t>
  </si>
  <si>
    <t>Plastic</t>
  </si>
  <si>
    <t>Expiry</t>
  </si>
  <si>
    <t>Expiry:</t>
  </si>
  <si>
    <t>Supplier ID</t>
  </si>
  <si>
    <t>Special</t>
  </si>
  <si>
    <t>Latest</t>
  </si>
  <si>
    <t>Non-Food</t>
  </si>
  <si>
    <t>Date:</t>
  </si>
  <si>
    <t>Record Start</t>
  </si>
  <si>
    <t>Record End</t>
  </si>
  <si>
    <t>Expiry Date</t>
  </si>
  <si>
    <t>JU001</t>
  </si>
  <si>
    <t>JUHAYNA JUICE MANGO 1LTX12</t>
  </si>
  <si>
    <t>W19</t>
  </si>
  <si>
    <t xml:space="preserve">WSA BLACK EYE BEANS 1KGX16   </t>
  </si>
  <si>
    <t>W37</t>
  </si>
  <si>
    <t>WSA CHANA DAL 1 KG X 15</t>
  </si>
  <si>
    <t>W97</t>
  </si>
  <si>
    <t xml:space="preserve">WSA KALA CHANA 1KGX15  </t>
  </si>
  <si>
    <t>W115</t>
  </si>
  <si>
    <t>WSA MASOOR DAL 1 KG X 15</t>
  </si>
  <si>
    <t>W119</t>
  </si>
  <si>
    <t xml:space="preserve">WSA MASOOR WHOLE 1KGX16  </t>
  </si>
  <si>
    <t>W130</t>
  </si>
  <si>
    <t>WSA MOONG DAL 1 KG X 16</t>
  </si>
  <si>
    <t>W127</t>
  </si>
  <si>
    <t xml:space="preserve">WSA MOONG DAL CHILKA 1KGX16  </t>
  </si>
  <si>
    <t>W131</t>
  </si>
  <si>
    <t xml:space="preserve">WSA MOONG WHOLE 1KGX16  </t>
  </si>
  <si>
    <t>W188</t>
  </si>
  <si>
    <t xml:space="preserve">WSA URID DAL 1 KG X 16  </t>
  </si>
  <si>
    <t>W189</t>
  </si>
  <si>
    <t>WSA URID WHOLE 1KGX15</t>
  </si>
  <si>
    <t>A65</t>
  </si>
  <si>
    <t>MAGGI MASALA FLAVOUR X 96</t>
  </si>
  <si>
    <t>MH11</t>
  </si>
  <si>
    <t>MDH JAL JEERA 100 G X 10</t>
  </si>
  <si>
    <t>R15</t>
  </si>
  <si>
    <t>PAK KERNEL BASMATI 5 KG X 4</t>
  </si>
  <si>
    <t>T27</t>
  </si>
  <si>
    <t>TRS CARDAMOM BLACK 50GX20</t>
  </si>
  <si>
    <t>T96</t>
  </si>
  <si>
    <t>TRS GRAMFLOUR 20 KG X 1</t>
  </si>
  <si>
    <t>T178</t>
  </si>
  <si>
    <t>TRS SARSON KA SAAG 450GX12</t>
  </si>
  <si>
    <t>W94</t>
  </si>
  <si>
    <t xml:space="preserve">WSA JEERA WHOLE 1KG X 8 </t>
  </si>
  <si>
    <t>W96</t>
  </si>
  <si>
    <t xml:space="preserve">WSA JEERA WHOLE 400GX10  </t>
  </si>
  <si>
    <t>BGD51</t>
  </si>
  <si>
    <t>BGD CHANA+MAKHANA 400GX12</t>
  </si>
  <si>
    <t>BG48</t>
  </si>
  <si>
    <t>BGD MURABBA AMLA 1 KG X 12</t>
  </si>
  <si>
    <t>BG37</t>
  </si>
  <si>
    <t>BGD TAMRINDO 400GX50</t>
  </si>
  <si>
    <t>HD9</t>
  </si>
  <si>
    <t>HR BOMBAY MIX 200 G X 10</t>
  </si>
  <si>
    <t>LAZ CHICKEN MASALA X 6    *OFFERTA*</t>
  </si>
  <si>
    <t>MH28</t>
  </si>
  <si>
    <t>MDH BUTTER CHICKEN MASALA 100GX10</t>
  </si>
  <si>
    <t>A110</t>
  </si>
  <si>
    <t>TATA TEA 1 KG X 12  Offerta</t>
  </si>
  <si>
    <t>T71</t>
  </si>
  <si>
    <t>TRS DRIED DATES350GX10</t>
  </si>
  <si>
    <t>W38</t>
  </si>
  <si>
    <t xml:space="preserve">WSA CHANA DAL 2 KG X 8   </t>
  </si>
  <si>
    <t>W98</t>
  </si>
  <si>
    <t xml:space="preserve">WSA KALA CHANA 2KGX8  </t>
  </si>
  <si>
    <t>W113</t>
  </si>
  <si>
    <t xml:space="preserve">WSA MASOOR DAL 2KGX8   </t>
  </si>
  <si>
    <t>W125</t>
  </si>
  <si>
    <t xml:space="preserve">WSA MOONG DAL 2KGX8   </t>
  </si>
  <si>
    <t>MP01</t>
  </si>
  <si>
    <t>Customer ID</t>
  </si>
  <si>
    <t>My Product</t>
  </si>
  <si>
    <t>Bottles</t>
  </si>
  <si>
    <t>Supplier:</t>
  </si>
  <si>
    <t>Product ID:</t>
  </si>
  <si>
    <t>Product Name:</t>
  </si>
  <si>
    <t>Product Description:</t>
  </si>
  <si>
    <t>Product Category:</t>
  </si>
  <si>
    <t>Quantity:</t>
  </si>
  <si>
    <t>Customer:</t>
  </si>
  <si>
    <t>Value:</t>
  </si>
  <si>
    <t>Jaswinder</t>
  </si>
  <si>
    <t>Punjabi Store</t>
  </si>
  <si>
    <t>Gurukaran</t>
  </si>
  <si>
    <t>J123</t>
  </si>
  <si>
    <t>PS12</t>
  </si>
  <si>
    <t>G12</t>
  </si>
  <si>
    <t>ABC123</t>
  </si>
  <si>
    <t>SINGH RUPINDER</t>
  </si>
  <si>
    <t>ALIMENTARI ABBIGLIAMENTO DI RAJ HANS</t>
  </si>
  <si>
    <t>KAUR GURPREET</t>
  </si>
  <si>
    <t>Supplier</t>
  </si>
  <si>
    <t>Customer</t>
  </si>
  <si>
    <t>Sup-ID</t>
  </si>
  <si>
    <t>Cust-ID</t>
  </si>
  <si>
    <t>Cust-01</t>
  </si>
  <si>
    <t>Cust-02</t>
  </si>
  <si>
    <t>ABC124</t>
  </si>
  <si>
    <t>Cust-03</t>
  </si>
  <si>
    <t>ABC125</t>
  </si>
  <si>
    <t>Supplier-ID:</t>
  </si>
  <si>
    <t>Customer-ID:</t>
  </si>
  <si>
    <t>Customer ID:</t>
  </si>
  <si>
    <t>Customer Name:</t>
  </si>
  <si>
    <t>Supplier ID:</t>
  </si>
  <si>
    <t>Supplier Name: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</si>
</sst>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164" formatCode="dd\-mm\-yyyy"/>
    <numFmt numFmtId="165" formatCode="[$-409]d\-mmm\-yyyy;@"/>
    <numFmt numFmtId="166" formatCode="_(&quot;$&quot;* #,##0_);_(&quot;$&quot;* \(#,##0\);_(&quot;$&quot;* &quot;-&quot;??_);_(@_)"/>
    <numFmt numFmtId="167" formatCode="[$-409]d\-mmm\-yy;@"/>
  </numFmts>
  <fonts count="24" x14ac:knownFonts="1">
    <font>
      <sz val="11"/>
      <color theme="1"/>
      <name val="Calibri Light"/>
      <family val="2"/>
    </font>
    <font>
      <sz val="11"/>
      <color theme="1"/>
      <name val="Verdana"/>
      <family val="2"/>
    </font>
    <font>
      <sz val="9"/>
      <color theme="1"/>
      <name val="Yu Gothic UI Light"/>
      <family val="2"/>
    </font>
    <font>
      <sz val="9"/>
      <color theme="1"/>
      <name val="Calibri Light"/>
      <family val="2"/>
    </font>
    <font>
      <sz val="11"/>
      <color theme="7" tint="0.39997558519241921"/>
      <name val="Calibri Light"/>
      <family val="2"/>
    </font>
    <font>
      <sz val="12"/>
      <name val="Verdana"/>
      <family val="2"/>
    </font>
    <font>
      <sz val="12"/>
      <color theme="1"/>
      <name val="Verdana"/>
      <family val="2"/>
    </font>
    <font>
      <sz val="11"/>
      <color theme="1"/>
      <name val="Verdana"/>
      <family val="2"/>
    </font>
    <font>
      <sz val="11"/>
      <color theme="1"/>
      <name val="Calibri Light"/>
      <family val="2"/>
    </font>
    <font>
      <b/>
      <sz val="15"/>
      <color rgb="FFFF0000"/>
      <name val="Arial"/>
      <family val="2"/>
    </font>
    <font>
      <b/>
      <sz val="15"/>
      <color rgb="FF0000EE"/>
      <name val="Arial"/>
      <family val="2"/>
    </font>
    <font>
      <b/>
      <sz val="18"/>
      <color theme="4" tint="0.59999389629810485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3"/>
      <color rgb="FF0000EE"/>
      <name val="Arial"/>
      <family val="2"/>
    </font>
    <font>
      <b/>
      <sz val="9"/>
      <color theme="0"/>
      <name val="Verdana"/>
      <family val="2"/>
    </font>
    <font>
      <sz val="9"/>
      <color theme="1"/>
      <name val="Verdana"/>
      <family val="2"/>
    </font>
    <font>
      <b/>
      <sz val="17"/>
      <color rgb="FFC00000"/>
      <name val="Verdana"/>
      <family val="2"/>
    </font>
    <font>
      <sz val="11"/>
      <color rgb="FFFF0000"/>
      <name val="Verdana"/>
      <family val="2"/>
    </font>
    <font>
      <sz val="11"/>
      <color theme="1"/>
      <name val="Verdana"/>
    </font>
    <font>
      <sz val="11"/>
      <color rgb="FFC00000"/>
      <name val="Verdana"/>
      <family val="2"/>
    </font>
    <font>
      <sz val="11"/>
      <color theme="0" tint="-0.249977111117893"/>
      <name val="Verdana"/>
      <family val="2"/>
    </font>
    <font>
      <b/>
      <sz val="9"/>
      <color theme="1"/>
      <name val="Verdana"/>
      <family val="2"/>
    </font>
    <font>
      <b/>
      <sz val="11"/>
      <color theme="1"/>
      <name val="Calibri Light"/>
      <family val="2"/>
    </font>
    <font>
      <b/>
      <sz val="11"/>
      <color rgb="FFC00000"/>
      <name val="Verdana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0.59999389629810485"/>
        <bgColor indexed="64"/>
      </patternFill>
    </fill>
  </fills>
  <borders count="15">
    <border>
      <left/>
      <right/>
      <top/>
      <bottom/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/>
      <top/>
      <bottom style="medium">
        <color theme="0" tint="-0.249977111117893"/>
      </bottom>
      <diagonal/>
    </border>
    <border>
      <left style="thin">
        <color theme="1"/>
      </left>
      <right/>
      <top/>
      <bottom/>
      <diagonal/>
    </border>
    <border>
      <left/>
      <right/>
      <top style="medium">
        <color theme="0" tint="-0.249977111117893"/>
      </top>
      <bottom/>
      <diagonal/>
    </border>
    <border>
      <left/>
      <right/>
      <top style="medium">
        <color theme="0" tint="-0.249977111117893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theme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1"/>
      </left>
      <right/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theme="1"/>
      </right>
      <top style="thin">
        <color auto="1"/>
      </top>
      <bottom/>
      <diagonal/>
    </border>
  </borders>
  <cellStyleXfs count="3">
    <xf numFmtId="0" fontId="0" fillId="0" borderId="0"/>
    <xf numFmtId="0" fontId="8" fillId="0" borderId="0"/>
    <xf numFmtId="44" fontId="8" fillId="0" borderId="0" applyFont="0" applyFill="0" applyBorder="0" applyAlignment="0" applyProtection="0"/>
  </cellStyleXfs>
  <cellXfs count="109">
    <xf numFmtId="0" fontId="0" fillId="0" borderId="0" xfId="0"/>
    <xf numFmtId="0" fontId="0" fillId="0" borderId="0" xfId="0" applyAlignment="1">
      <alignment horizontal="center"/>
    </xf>
    <xf numFmtId="0" fontId="2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/>
    <xf numFmtId="0" fontId="0" fillId="0" borderId="0" xfId="0" applyAlignment="1">
      <alignment horizontal="right"/>
    </xf>
    <xf numFmtId="15" fontId="2" fillId="0" borderId="0" xfId="0" applyNumberFormat="1" applyFont="1" applyAlignment="1">
      <alignment horizontal="center" vertical="center"/>
    </xf>
    <xf numFmtId="15" fontId="0" fillId="0" borderId="0" xfId="0" applyNumberFormat="1" applyAlignment="1">
      <alignment horizontal="center"/>
    </xf>
    <xf numFmtId="42" fontId="0" fillId="0" borderId="0" xfId="0" applyNumberFormat="1"/>
    <xf numFmtId="15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0" fillId="0" borderId="0" xfId="0" applyAlignment="1">
      <alignment horizontal="center" vertical="center"/>
    </xf>
    <xf numFmtId="0" fontId="0" fillId="2" borderId="0" xfId="0" applyFill="1"/>
    <xf numFmtId="0" fontId="0" fillId="2" borderId="0" xfId="0" applyFill="1" applyAlignment="1">
      <alignment horizontal="right"/>
    </xf>
    <xf numFmtId="0" fontId="4" fillId="2" borderId="0" xfId="0" applyFont="1" applyFill="1"/>
    <xf numFmtId="0" fontId="4" fillId="2" borderId="0" xfId="0" applyFont="1" applyFill="1" applyAlignment="1">
      <alignment horizontal="right"/>
    </xf>
    <xf numFmtId="0" fontId="0" fillId="3" borderId="0" xfId="0" applyFill="1" applyBorder="1"/>
    <xf numFmtId="0" fontId="0" fillId="3" borderId="0" xfId="0" applyFill="1" applyBorder="1" applyAlignment="1">
      <alignment horizontal="right"/>
    </xf>
    <xf numFmtId="0" fontId="0" fillId="3" borderId="5" xfId="0" applyFill="1" applyBorder="1"/>
    <xf numFmtId="0" fontId="0" fillId="3" borderId="5" xfId="0" applyFill="1" applyBorder="1" applyAlignment="1">
      <alignment horizontal="right"/>
    </xf>
    <xf numFmtId="15" fontId="6" fillId="2" borderId="3" xfId="0" applyNumberFormat="1" applyFont="1" applyFill="1" applyBorder="1" applyAlignment="1" applyProtection="1">
      <alignment horizontal="right" vertical="center"/>
      <protection locked="0"/>
    </xf>
    <xf numFmtId="0" fontId="6" fillId="2" borderId="1" xfId="0" applyFont="1" applyFill="1" applyBorder="1" applyAlignment="1" applyProtection="1">
      <alignment horizontal="right"/>
      <protection locked="0"/>
    </xf>
    <xf numFmtId="0" fontId="6" fillId="0" borderId="0" xfId="0" applyFont="1"/>
    <xf numFmtId="0" fontId="5" fillId="4" borderId="2" xfId="0" applyFont="1" applyFill="1" applyBorder="1" applyAlignment="1">
      <alignment vertical="center"/>
    </xf>
    <xf numFmtId="0" fontId="5" fillId="4" borderId="4" xfId="0" applyFont="1" applyFill="1" applyBorder="1" applyAlignment="1">
      <alignment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left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left" vertical="center"/>
    </xf>
    <xf numFmtId="0" fontId="1" fillId="0" borderId="2" xfId="0" applyFont="1" applyBorder="1" applyAlignment="1">
      <alignment horizontal="center"/>
    </xf>
    <xf numFmtId="15" fontId="1" fillId="0" borderId="2" xfId="0" applyNumberFormat="1" applyFont="1" applyBorder="1" applyAlignment="1">
      <alignment horizontal="center"/>
    </xf>
    <xf numFmtId="42" fontId="1" fillId="0" borderId="2" xfId="0" applyNumberFormat="1" applyFont="1" applyBorder="1" applyAlignment="1">
      <alignment horizontal="center"/>
    </xf>
    <xf numFmtId="14" fontId="0" fillId="0" borderId="0" xfId="0" applyNumberFormat="1"/>
    <xf numFmtId="164" fontId="1" fillId="0" borderId="2" xfId="0" applyNumberFormat="1" applyFont="1" applyBorder="1" applyAlignment="1">
      <alignment horizontal="center"/>
    </xf>
    <xf numFmtId="0" fontId="0" fillId="8" borderId="0" xfId="0" applyFill="1"/>
    <xf numFmtId="0" fontId="6" fillId="2" borderId="2" xfId="0" applyFont="1" applyFill="1" applyBorder="1" applyAlignment="1" applyProtection="1">
      <alignment horizontal="right" vertical="center"/>
      <protection locked="0"/>
    </xf>
    <xf numFmtId="0" fontId="0" fillId="2" borderId="7" xfId="0" applyFill="1" applyBorder="1" applyAlignment="1"/>
    <xf numFmtId="0" fontId="0" fillId="2" borderId="0" xfId="0" applyFill="1" applyAlignment="1"/>
    <xf numFmtId="0" fontId="14" fillId="6" borderId="0" xfId="0" applyFont="1" applyFill="1" applyBorder="1" applyAlignment="1">
      <alignment horizontal="center" vertical="center"/>
    </xf>
    <xf numFmtId="0" fontId="14" fillId="6" borderId="6" xfId="0" applyFont="1" applyFill="1" applyBorder="1" applyAlignment="1">
      <alignment horizontal="center" vertical="center"/>
    </xf>
    <xf numFmtId="42" fontId="14" fillId="6" borderId="6" xfId="0" applyNumberFormat="1" applyFont="1" applyFill="1" applyBorder="1" applyAlignment="1">
      <alignment horizontal="center" vertical="center"/>
    </xf>
    <xf numFmtId="14" fontId="14" fillId="6" borderId="6" xfId="0" applyNumberFormat="1" applyFont="1" applyFill="1" applyBorder="1" applyAlignment="1">
      <alignment horizontal="center" vertical="center"/>
    </xf>
    <xf numFmtId="0" fontId="5" fillId="4" borderId="3" xfId="0" applyFont="1" applyFill="1" applyBorder="1" applyAlignment="1" applyProtection="1">
      <alignment horizontal="right" vertical="center"/>
      <protection hidden="1"/>
    </xf>
    <xf numFmtId="15" fontId="6" fillId="2" borderId="2" xfId="0" applyNumberFormat="1" applyFont="1" applyFill="1" applyBorder="1" applyAlignment="1" applyProtection="1">
      <alignment horizontal="right" vertical="center"/>
      <protection locked="0"/>
    </xf>
    <xf numFmtId="42" fontId="6" fillId="2" borderId="2" xfId="0" applyNumberFormat="1" applyFont="1" applyFill="1" applyBorder="1" applyAlignment="1" applyProtection="1">
      <alignment horizontal="right" vertical="center" indent="3"/>
      <protection locked="0"/>
    </xf>
    <xf numFmtId="14" fontId="6" fillId="2" borderId="2" xfId="0" applyNumberFormat="1" applyFont="1" applyFill="1" applyBorder="1" applyAlignment="1" applyProtection="1">
      <alignment horizontal="right" vertical="center" indent="3"/>
      <protection locked="0"/>
    </xf>
    <xf numFmtId="0" fontId="5" fillId="4" borderId="9" xfId="0" applyFont="1" applyFill="1" applyBorder="1" applyAlignment="1">
      <alignment vertical="center"/>
    </xf>
    <xf numFmtId="0" fontId="6" fillId="2" borderId="9" xfId="0" applyFont="1" applyFill="1" applyBorder="1" applyAlignment="1" applyProtection="1">
      <alignment horizontal="right" vertical="center"/>
      <protection locked="0"/>
    </xf>
    <xf numFmtId="0" fontId="5" fillId="4" borderId="2" xfId="0" applyFont="1" applyFill="1" applyBorder="1" applyAlignment="1" applyProtection="1">
      <alignment horizontal="right" vertical="center"/>
      <protection hidden="1"/>
    </xf>
    <xf numFmtId="0" fontId="0" fillId="4" borderId="3" xfId="0" applyFont="1" applyFill="1" applyBorder="1" applyAlignment="1" applyProtection="1">
      <alignment horizontal="right" vertical="center"/>
      <protection hidden="1"/>
    </xf>
    <xf numFmtId="0" fontId="0" fillId="2" borderId="0" xfId="0" applyFill="1" applyBorder="1"/>
    <xf numFmtId="0" fontId="0" fillId="0" borderId="0" xfId="0" applyBorder="1"/>
    <xf numFmtId="0" fontId="20" fillId="2" borderId="0" xfId="0" applyFont="1" applyFill="1"/>
    <xf numFmtId="0" fontId="9" fillId="5" borderId="2" xfId="0" applyFont="1" applyFill="1" applyBorder="1" applyAlignment="1">
      <alignment horizontal="right" vertical="center"/>
    </xf>
    <xf numFmtId="0" fontId="18" fillId="0" borderId="2" xfId="0" applyFont="1" applyBorder="1" applyAlignment="1">
      <alignment horizontal="center"/>
    </xf>
    <xf numFmtId="15" fontId="18" fillId="0" borderId="2" xfId="0" applyNumberFormat="1" applyFont="1" applyBorder="1" applyAlignment="1">
      <alignment horizontal="center"/>
    </xf>
    <xf numFmtId="0" fontId="18" fillId="0" borderId="2" xfId="1" applyFont="1" applyFill="1" applyBorder="1" applyAlignment="1">
      <alignment horizontal="center" vertical="center"/>
    </xf>
    <xf numFmtId="0" fontId="18" fillId="0" borderId="2" xfId="1" applyFont="1" applyFill="1" applyBorder="1" applyAlignment="1">
      <alignment horizontal="left" vertical="center"/>
    </xf>
    <xf numFmtId="15" fontId="1" fillId="0" borderId="2" xfId="0" applyNumberFormat="1" applyFont="1" applyBorder="1" applyAlignment="1">
      <alignment horizontal="left"/>
    </xf>
    <xf numFmtId="0" fontId="1" fillId="0" borderId="10" xfId="0" applyFont="1" applyBorder="1" applyAlignment="1">
      <alignment horizontal="center"/>
    </xf>
    <xf numFmtId="15" fontId="1" fillId="0" borderId="10" xfId="0" applyNumberFormat="1" applyFont="1" applyBorder="1" applyAlignment="1">
      <alignment horizontal="center"/>
    </xf>
    <xf numFmtId="0" fontId="1" fillId="0" borderId="10" xfId="1" applyFont="1" applyFill="1" applyBorder="1" applyAlignment="1">
      <alignment horizontal="center" vertical="center"/>
    </xf>
    <xf numFmtId="0" fontId="1" fillId="0" borderId="10" xfId="1" applyFont="1" applyFill="1" applyBorder="1" applyAlignment="1">
      <alignment horizontal="left" vertical="center"/>
    </xf>
    <xf numFmtId="42" fontId="1" fillId="0" borderId="10" xfId="0" applyNumberFormat="1" applyFont="1" applyBorder="1" applyAlignment="1">
      <alignment horizontal="center"/>
    </xf>
    <xf numFmtId="0" fontId="15" fillId="0" borderId="2" xfId="0" applyFont="1" applyBorder="1" applyAlignment="1">
      <alignment horizontal="center" vertical="center"/>
    </xf>
    <xf numFmtId="0" fontId="15" fillId="0" borderId="2" xfId="0" applyFont="1" applyBorder="1" applyAlignment="1">
      <alignment horizontal="left" vertical="center"/>
    </xf>
    <xf numFmtId="42" fontId="15" fillId="0" borderId="2" xfId="0" applyNumberFormat="1" applyFont="1" applyBorder="1" applyAlignment="1">
      <alignment horizontal="center" vertical="center"/>
    </xf>
    <xf numFmtId="14" fontId="15" fillId="0" borderId="2" xfId="0" applyNumberFormat="1" applyFont="1" applyBorder="1" applyAlignment="1">
      <alignment horizontal="center" vertical="center"/>
    </xf>
    <xf numFmtId="0" fontId="22" fillId="0" borderId="0" xfId="0" applyFont="1"/>
    <xf numFmtId="0" fontId="19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right" vertical="center"/>
      <protection hidden="1"/>
    </xf>
    <xf numFmtId="0" fontId="23" fillId="2" borderId="2" xfId="0" applyFont="1" applyFill="1" applyBorder="1" applyAlignment="1" applyProtection="1">
      <alignment horizontal="left" vertical="center"/>
      <protection locked="0"/>
    </xf>
    <xf numFmtId="0" fontId="1" fillId="4" borderId="2" xfId="0" applyFont="1" applyFill="1" applyBorder="1" applyAlignment="1" applyProtection="1">
      <alignment horizontal="left" vertical="center"/>
      <protection hidden="1"/>
    </xf>
    <xf numFmtId="0" fontId="17" fillId="2" borderId="2" xfId="0" applyFont="1" applyFill="1" applyBorder="1" applyAlignment="1" applyProtection="1">
      <alignment horizontal="left" vertical="center"/>
      <protection locked="0"/>
    </xf>
    <xf numFmtId="0" fontId="1" fillId="2" borderId="2" xfId="0" applyFont="1" applyFill="1" applyBorder="1" applyAlignment="1" applyProtection="1">
      <alignment horizontal="left" vertical="center"/>
      <protection locked="0"/>
    </xf>
    <xf numFmtId="166" fontId="1" fillId="4" borderId="9" xfId="2" applyNumberFormat="1" applyFont="1" applyFill="1" applyBorder="1" applyAlignment="1" applyProtection="1">
      <alignment horizontal="left" vertical="center"/>
      <protection hidden="1"/>
    </xf>
    <xf numFmtId="15" fontId="1" fillId="0" borderId="2" xfId="0" applyNumberFormat="1" applyFont="1" applyFill="1" applyBorder="1" applyAlignment="1" applyProtection="1">
      <alignment horizontal="left" vertical="center"/>
      <protection locked="0"/>
    </xf>
    <xf numFmtId="14" fontId="1" fillId="4" borderId="2" xfId="0" applyNumberFormat="1" applyFont="1" applyFill="1" applyBorder="1" applyAlignment="1" applyProtection="1">
      <alignment horizontal="left" vertical="center"/>
      <protection hidden="1"/>
    </xf>
    <xf numFmtId="166" fontId="1" fillId="4" borderId="2" xfId="2" applyNumberFormat="1" applyFont="1" applyFill="1" applyBorder="1" applyAlignment="1" applyProtection="1">
      <alignment horizontal="left" vertical="center"/>
      <protection hidden="1"/>
    </xf>
    <xf numFmtId="0" fontId="18" fillId="0" borderId="10" xfId="0" applyFont="1" applyBorder="1" applyAlignment="1">
      <alignment horizontal="center"/>
    </xf>
    <xf numFmtId="15" fontId="18" fillId="0" borderId="10" xfId="0" applyNumberFormat="1" applyFont="1" applyBorder="1" applyAlignment="1">
      <alignment horizontal="center"/>
    </xf>
    <xf numFmtId="15" fontId="18" fillId="0" borderId="10" xfId="0" applyNumberFormat="1" applyFont="1" applyBorder="1" applyAlignment="1">
      <alignment horizontal="left"/>
    </xf>
    <xf numFmtId="0" fontId="18" fillId="0" borderId="10" xfId="1" applyFont="1" applyFill="1" applyBorder="1" applyAlignment="1">
      <alignment horizontal="center" vertical="center"/>
    </xf>
    <xf numFmtId="0" fontId="18" fillId="0" borderId="10" xfId="1" applyFont="1" applyFill="1" applyBorder="1" applyAlignment="1">
      <alignment horizontal="left" vertical="center"/>
    </xf>
    <xf numFmtId="167" fontId="18" fillId="0" borderId="10" xfId="1" applyNumberFormat="1" applyFont="1" applyFill="1" applyBorder="1" applyAlignment="1">
      <alignment horizontal="center"/>
    </xf>
    <xf numFmtId="0" fontId="21" fillId="0" borderId="12" xfId="0" applyFont="1" applyBorder="1" applyAlignment="1">
      <alignment horizontal="center" vertical="center"/>
    </xf>
    <xf numFmtId="0" fontId="15" fillId="0" borderId="13" xfId="0" applyFont="1" applyBorder="1" applyAlignment="1">
      <alignment horizontal="center" vertical="center"/>
    </xf>
    <xf numFmtId="0" fontId="15" fillId="0" borderId="13" xfId="0" applyFont="1" applyBorder="1" applyAlignment="1">
      <alignment horizontal="left" vertical="center"/>
    </xf>
    <xf numFmtId="42" fontId="15" fillId="0" borderId="13" xfId="0" applyNumberFormat="1" applyFont="1" applyBorder="1" applyAlignment="1">
      <alignment horizontal="center" vertical="center"/>
    </xf>
    <xf numFmtId="14" fontId="15" fillId="0" borderId="13" xfId="0" applyNumberFormat="1" applyFont="1" applyBorder="1" applyAlignment="1">
      <alignment horizontal="center" vertical="center"/>
    </xf>
    <xf numFmtId="42" fontId="21" fillId="0" borderId="14" xfId="0" applyNumberFormat="1" applyFont="1" applyBorder="1" applyAlignment="1">
      <alignment horizontal="center" vertical="center"/>
    </xf>
    <xf numFmtId="0" fontId="21" fillId="0" borderId="11" xfId="0" applyFont="1" applyBorder="1" applyAlignment="1">
      <alignment horizontal="center" vertical="center"/>
    </xf>
    <xf numFmtId="0" fontId="21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center" vertical="center"/>
    </xf>
    <xf numFmtId="0" fontId="15" fillId="0" borderId="10" xfId="0" applyFont="1" applyBorder="1" applyAlignment="1">
      <alignment horizontal="left" vertical="center"/>
    </xf>
    <xf numFmtId="42" fontId="15" fillId="0" borderId="10" xfId="0" applyNumberFormat="1" applyFont="1" applyBorder="1" applyAlignment="1">
      <alignment horizontal="center" vertical="center"/>
    </xf>
    <xf numFmtId="14" fontId="15" fillId="0" borderId="10" xfId="0" applyNumberFormat="1" applyFont="1" applyBorder="1" applyAlignment="1">
      <alignment horizontal="center" vertical="center"/>
    </xf>
    <xf numFmtId="42" fontId="21" fillId="0" borderId="10" xfId="0" applyNumberFormat="1" applyFont="1" applyBorder="1" applyAlignment="1">
      <alignment horizontal="center" vertical="center"/>
    </xf>
    <xf numFmtId="0" fontId="0" fillId="8" borderId="0" xfId="0" applyFill="1" applyAlignment="1">
      <alignment horizontal="center"/>
    </xf>
    <xf numFmtId="165" fontId="10" fillId="5" borderId="2" xfId="0" applyNumberFormat="1" applyFont="1" applyFill="1" applyBorder="1" applyAlignment="1" applyProtection="1">
      <alignment horizontal="center" vertical="center"/>
      <protection hidden="1"/>
    </xf>
    <xf numFmtId="0" fontId="13" fillId="5" borderId="0" xfId="0" applyFont="1" applyFill="1" applyBorder="1" applyAlignment="1" applyProtection="1">
      <alignment horizontal="left" vertical="center"/>
      <protection locked="0"/>
    </xf>
    <xf numFmtId="164" fontId="12" fillId="5" borderId="0" xfId="0" applyNumberFormat="1" applyFont="1" applyFill="1" applyBorder="1" applyAlignment="1" applyProtection="1">
      <alignment horizontal="center" vertical="top"/>
      <protection locked="0"/>
    </xf>
    <xf numFmtId="0" fontId="16" fillId="8" borderId="0" xfId="0" applyFont="1" applyFill="1" applyAlignment="1" applyProtection="1">
      <alignment horizontal="left" vertical="center"/>
      <protection hidden="1"/>
    </xf>
    <xf numFmtId="0" fontId="11" fillId="7" borderId="0" xfId="0" applyFont="1" applyFill="1" applyBorder="1" applyAlignment="1">
      <alignment horizontal="center" vertical="top"/>
    </xf>
    <xf numFmtId="0" fontId="0" fillId="2" borderId="8" xfId="0" applyFill="1" applyBorder="1" applyAlignment="1">
      <alignment horizontal="center"/>
    </xf>
    <xf numFmtId="0" fontId="1" fillId="4" borderId="2" xfId="0" applyFont="1" applyFill="1" applyBorder="1" applyAlignment="1" applyProtection="1">
      <alignment vertical="center"/>
      <protection hidden="1"/>
    </xf>
    <xf numFmtId="0" fontId="1" fillId="4" borderId="9" xfId="0" applyFont="1" applyFill="1" applyBorder="1" applyAlignment="1" applyProtection="1">
      <alignment vertical="center"/>
      <protection hidden="1"/>
    </xf>
  </cellXfs>
  <cellStyles count="3">
    <cellStyle name="Currency" xfId="2" builtinId="4"/>
    <cellStyle name="Normal" xfId="0" builtinId="0"/>
    <cellStyle name="Normal 5" xfId="1"/>
  </cellStyles>
  <dxfs count="38"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theme="1"/>
        </right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19" formatCode="m/d/yyyy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numFmt numFmtId="32" formatCode="_(&quot;$&quot;* #,##0_);_(&quot;$&quot;* \(#,##0\);_(&quot;$&quot;* &quot;-&quot;_);_(@_)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Verdana"/>
        <scheme val="none"/>
      </font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auto="1"/>
        </top>
        <bottom/>
        <vertical/>
        <horizontal/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Verdana"/>
        <scheme val="none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32" formatCode="_(&quot;$&quot;* #,##0_);_(&quot;$&quot;* \(#,##0\);_(&quot;$&quot;* &quot;-&quot;_);_(@_)"/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167" formatCode="[$-409]d\-mmm\-yy;@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left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numFmt numFmtId="20" formatCode="d\-mmm\-yy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strike val="0"/>
        <outline val="0"/>
        <shadow val="0"/>
        <u val="none"/>
        <vertAlign val="baseline"/>
        <sz val="11"/>
        <color theme="1"/>
        <name val="Verdana"/>
        <scheme val="none"/>
      </font>
      <alignment horizont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theme="1"/>
        <name val="Yu Gothic UI Light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 Light"/>
        <scheme val="none"/>
      </font>
    </dxf>
  </dxfs>
  <tableStyles count="0" defaultTableStyle="TableStyleMedium2" defaultPivotStyle="PivotStyleLight16"/>
  <colors>
    <mruColors>
      <color rgb="FFFFFF99"/>
      <color rgb="FF0000EE"/>
      <color rgb="FF365899"/>
      <color rgb="FFFFFFCC"/>
      <color rgb="FF00CC00"/>
      <color rgb="FF3D6AD6"/>
      <color rgb="FF09678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pivotCacheDefinition" Target="pivotCache/pivotCacheDefinition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434083601288E-2"/>
          <c:y val="8.5596685629970345E-2"/>
          <c:w val="0.95445134575569357"/>
          <c:h val="0.85514407047235785"/>
        </c:manualLayout>
      </c:layout>
      <c:barChart>
        <c:barDir val="bar"/>
        <c:grouping val="clustered"/>
        <c:varyColors val="0"/>
        <c:ser>
          <c:idx val="1"/>
          <c:order val="0"/>
          <c:tx>
            <c:strRef>
              <c:f>Help!$A$10</c:f>
              <c:strCache>
                <c:ptCount val="1"/>
                <c:pt idx="0">
                  <c:v>Total Stock</c:v>
                </c:pt>
              </c:strCache>
            </c:strRef>
          </c:tx>
          <c:spPr>
            <a:solidFill>
              <a:srgbClr val="92D050"/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dLbl>
              <c:idx val="0"/>
              <c:layout/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0-A1A6-420D-B364-8AD24C51D5C3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Help!$B$10</c:f>
              <c:numCache>
                <c:formatCode>General</c:formatCode>
                <c:ptCount val="1"/>
                <c:pt idx="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1A6-420D-B364-8AD24C51D5C3}"/>
            </c:ext>
          </c:extLst>
        </c:ser>
        <c:ser>
          <c:idx val="0"/>
          <c:order val="1"/>
          <c:tx>
            <c:strRef>
              <c:f>Help!$A$9</c:f>
              <c:strCache>
                <c:ptCount val="1"/>
                <c:pt idx="0">
                  <c:v>Reorder Level</c:v>
                </c:pt>
              </c:strCache>
            </c:strRef>
          </c:tx>
          <c:spPr>
            <a:solidFill>
              <a:schemeClr val="accent2">
                <a:lumMod val="60000"/>
                <a:lumOff val="40000"/>
              </a:schemeClr>
            </a:solidFill>
            <a:ln>
              <a:solidFill>
                <a:schemeClr val="tx1"/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Help!$B$9</c:f>
              <c:numCache>
                <c:formatCode>General</c:formatCode>
                <c:ptCount val="1"/>
                <c:pt idx="0">
                  <c:v>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1A6-420D-B364-8AD24C51D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134263168"/>
        <c:axId val="134264704"/>
      </c:barChart>
      <c:catAx>
        <c:axId val="134263168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one"/>
        <c:crossAx val="134264704"/>
        <c:crosses val="autoZero"/>
        <c:auto val="1"/>
        <c:lblAlgn val="ctr"/>
        <c:lblOffset val="100"/>
        <c:noMultiLvlLbl val="0"/>
      </c:catAx>
      <c:valAx>
        <c:axId val="134264704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one"/>
        <c:crossAx val="134263168"/>
        <c:crosses val="autoZero"/>
        <c:crossBetween val="between"/>
      </c:valAx>
      <c:spPr>
        <a:noFill/>
        <a:ln>
          <a:noFill/>
        </a:ln>
        <a:effectLst>
          <a:outerShdw blurRad="50800" dist="2540000" algn="ctr" rotWithShape="0">
            <a:srgbClr val="000000">
              <a:alpha val="43137"/>
            </a:srgbClr>
          </a:outerShdw>
          <a:softEdge rad="1270000"/>
        </a:effectLst>
      </c:spPr>
    </c:plotArea>
    <c:legend>
      <c:legendPos val="t"/>
      <c:layout>
        <c:manualLayout>
          <c:xMode val="edge"/>
          <c:yMode val="edge"/>
          <c:x val="0.68285893611124693"/>
          <c:y val="0.69135784547283741"/>
          <c:w val="0.2802448606967608"/>
          <c:h val="0.1111118599885007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hyperlink" Target="https://gumroad.com/l/PlHCF" TargetMode="External"/><Relationship Id="rId1" Type="http://schemas.openxmlformats.org/officeDocument/2006/relationships/chart" Target="../charts/chart1.xm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514350</xdr:colOff>
      <xdr:row>3</xdr:row>
      <xdr:rowOff>9526</xdr:rowOff>
    </xdr:from>
    <xdr:to>
      <xdr:col>19</xdr:col>
      <xdr:colOff>0</xdr:colOff>
      <xdr:row>23</xdr:row>
      <xdr:rowOff>9525</xdr:rowOff>
    </xdr:to>
    <xdr:grpSp>
      <xdr:nvGrpSpPr>
        <xdr:cNvPr id="2" name="Group 1"/>
        <xdr:cNvGrpSpPr/>
      </xdr:nvGrpSpPr>
      <xdr:grpSpPr>
        <a:xfrm>
          <a:off x="5838825" y="581026"/>
          <a:ext cx="7143750" cy="4029074"/>
          <a:chOff x="5838825" y="581026"/>
          <a:chExt cx="6686550" cy="4029074"/>
        </a:xfrm>
      </xdr:grpSpPr>
      <xdr:sp macro="" textlink="">
        <xdr:nvSpPr>
          <xdr:cNvPr id="56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48350" y="3190875"/>
            <a:ext cx="4476750" cy="1419225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5" name="MainBack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5838825" y="581026"/>
            <a:ext cx="6686550" cy="2609849"/>
          </a:xfrm>
          <a:prstGeom prst="rect">
            <a:avLst/>
          </a:prstGeom>
          <a:solidFill>
            <a:srgbClr val="FFFF99"/>
          </a:solidFill>
          <a:ln>
            <a:noFill/>
          </a:ln>
        </xdr:spPr>
        <xdr:style>
          <a:lnRef idx="1">
            <a:schemeClr val="accent4"/>
          </a:lnRef>
          <a:fillRef idx="2">
            <a:schemeClr val="accent4"/>
          </a:fillRef>
          <a:effectRef idx="1">
            <a:schemeClr val="accent4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0</xdr:col>
      <xdr:colOff>0</xdr:colOff>
      <xdr:row>17</xdr:row>
      <xdr:rowOff>19050</xdr:rowOff>
    </xdr:from>
    <xdr:to>
      <xdr:col>8</xdr:col>
      <xdr:colOff>523874</xdr:colOff>
      <xdr:row>23</xdr:row>
      <xdr:rowOff>190499</xdr:rowOff>
    </xdr:to>
    <xdr:sp macro="" textlink="">
      <xdr:nvSpPr>
        <xdr:cNvPr id="49" name="MainBack">
          <a:extLst>
            <a:ext uri="{FF2B5EF4-FFF2-40B4-BE49-F238E27FC236}">
              <a16:creationId xmlns:a16="http://schemas.microsoft.com/office/drawing/2014/main" id="{488B55A6-7E95-470F-AD85-83253F69257A}"/>
            </a:ext>
          </a:extLst>
        </xdr:cNvPr>
        <xdr:cNvSpPr/>
      </xdr:nvSpPr>
      <xdr:spPr>
        <a:xfrm>
          <a:off x="0" y="3533775"/>
          <a:ext cx="5848349" cy="1257299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2</xdr:row>
      <xdr:rowOff>180976</xdr:rowOff>
    </xdr:from>
    <xdr:to>
      <xdr:col>8</xdr:col>
      <xdr:colOff>523874</xdr:colOff>
      <xdr:row>16</xdr:row>
      <xdr:rowOff>0</xdr:rowOff>
    </xdr:to>
    <xdr:sp macro="" textlink="">
      <xdr:nvSpPr>
        <xdr:cNvPr id="3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0" y="561976"/>
          <a:ext cx="5848349" cy="2505074"/>
        </a:xfrm>
        <a:prstGeom prst="rect">
          <a:avLst/>
        </a:prstGeom>
        <a:gradFill flip="none" rotWithShape="1">
          <a:gsLst>
            <a:gs pos="0">
              <a:schemeClr val="accent4">
                <a:lumMod val="110000"/>
                <a:satMod val="105000"/>
                <a:tint val="67000"/>
              </a:schemeClr>
            </a:gs>
            <a:gs pos="50000">
              <a:schemeClr val="accent4">
                <a:lumMod val="105000"/>
                <a:satMod val="103000"/>
                <a:tint val="73000"/>
              </a:schemeClr>
            </a:gs>
            <a:gs pos="100000">
              <a:schemeClr val="accent4">
                <a:lumMod val="105000"/>
                <a:satMod val="109000"/>
                <a:tint val="81000"/>
              </a:schemeClr>
            </a:gs>
          </a:gsLst>
          <a:lin ang="13500000" scaled="1"/>
          <a:tileRect/>
        </a:gra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9</xdr:col>
      <xdr:colOff>142875</xdr:colOff>
      <xdr:row>20</xdr:row>
      <xdr:rowOff>95250</xdr:rowOff>
    </xdr:from>
    <xdr:ext cx="6081056" cy="341697"/>
    <xdr:sp macro="" textlink="Help!K28">
      <xdr:nvSpPr>
        <xdr:cNvPr id="52" name="ReorderLevelMessage1">
          <a:extLst>
            <a:ext uri="{FF2B5EF4-FFF2-40B4-BE49-F238E27FC236}">
              <a16:creationId xmlns:a16="http://schemas.microsoft.com/office/drawing/2014/main" id="{00000000-0008-0000-0000-000034000000}"/>
            </a:ext>
          </a:extLst>
        </xdr:cNvPr>
        <xdr:cNvSpPr/>
      </xdr:nvSpPr>
      <xdr:spPr>
        <a:xfrm>
          <a:off x="6315075" y="3924300"/>
          <a:ext cx="6081056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AC4F996E-66F2-47F1-96EB-8824D1787E48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 </a:t>
          </a:fld>
          <a:endParaRPr lang="en-US" sz="2800" b="0" i="0" u="none" strike="noStrike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13</xdr:col>
      <xdr:colOff>457200</xdr:colOff>
      <xdr:row>12</xdr:row>
      <xdr:rowOff>180975</xdr:rowOff>
    </xdr:from>
    <xdr:to>
      <xdr:col>18</xdr:col>
      <xdr:colOff>19050</xdr:colOff>
      <xdr:row>15</xdr:row>
      <xdr:rowOff>13560</xdr:rowOff>
    </xdr:to>
    <xdr:sp macro="" textlink="">
      <xdr:nvSpPr>
        <xdr:cNvPr id="53" name="CurrentStockVsReOrderLevel">
          <a:extLst>
            <a:ext uri="{FF2B5EF4-FFF2-40B4-BE49-F238E27FC236}">
              <a16:creationId xmlns:a16="http://schemas.microsoft.com/office/drawing/2014/main" id="{00000000-0008-0000-0000-000035000000}"/>
            </a:ext>
          </a:extLst>
        </xdr:cNvPr>
        <xdr:cNvSpPr/>
      </xdr:nvSpPr>
      <xdr:spPr>
        <a:xfrm>
          <a:off x="9639300" y="2466975"/>
          <a:ext cx="2800350" cy="40408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>
          <a:pPr algn="ctr"/>
          <a:r>
            <a:rPr lang="en-US" sz="1000" b="0" i="0" u="none" strike="noStrike" kern="1200" spc="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Product Wise Current Stock Vs. Re-Order Level</a:t>
          </a:r>
        </a:p>
      </xdr:txBody>
    </xdr:sp>
    <xdr:clientData/>
  </xdr:twoCellAnchor>
  <xdr:oneCellAnchor>
    <xdr:from>
      <xdr:col>9</xdr:col>
      <xdr:colOff>434044</xdr:colOff>
      <xdr:row>20</xdr:row>
      <xdr:rowOff>102685</xdr:rowOff>
    </xdr:from>
    <xdr:ext cx="3956981" cy="279372"/>
    <xdr:sp macro="" textlink="Help!A15">
      <xdr:nvSpPr>
        <xdr:cNvPr id="51" name="ReorderLevelMessage3">
          <a:extLst>
            <a:ext uri="{FF2B5EF4-FFF2-40B4-BE49-F238E27FC236}">
              <a16:creationId xmlns:a16="http://schemas.microsoft.com/office/drawing/2014/main" id="{00000000-0008-0000-0000-000033000000}"/>
            </a:ext>
          </a:extLst>
        </xdr:cNvPr>
        <xdr:cNvSpPr/>
      </xdr:nvSpPr>
      <xdr:spPr>
        <a:xfrm>
          <a:off x="6282394" y="4131760"/>
          <a:ext cx="3956981" cy="27937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7050C9D9-1DFC-4299-A367-2B126CAB5991}" type="TxLink">
            <a:rPr lang="en-US" sz="1200" b="0" i="0" u="none" strike="noStrike" cap="none" spc="0">
              <a:ln w="0"/>
              <a:solidFill>
                <a:srgbClr val="0000EE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l"/>
            <a:t>Order NOW!</a:t>
          </a:fld>
          <a:endParaRPr lang="en-US" sz="1200" b="0" i="0" u="none" strike="noStrike" cap="none" spc="0">
            <a:ln w="0"/>
            <a:solidFill>
              <a:srgbClr val="0000EE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9</xdr:col>
      <xdr:colOff>474198</xdr:colOff>
      <xdr:row>14</xdr:row>
      <xdr:rowOff>114300</xdr:rowOff>
    </xdr:from>
    <xdr:ext cx="4774077" cy="326115"/>
    <xdr:sp macro="" textlink="Help!B8">
      <xdr:nvSpPr>
        <xdr:cNvPr id="50" name="ProductName">
          <a:extLst>
            <a:ext uri="{FF2B5EF4-FFF2-40B4-BE49-F238E27FC236}">
              <a16:creationId xmlns:a16="http://schemas.microsoft.com/office/drawing/2014/main" id="{00000000-0008-0000-0000-000032000000}"/>
            </a:ext>
          </a:extLst>
        </xdr:cNvPr>
        <xdr:cNvSpPr/>
      </xdr:nvSpPr>
      <xdr:spPr>
        <a:xfrm>
          <a:off x="6322548" y="2800350"/>
          <a:ext cx="4774077" cy="3261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l"/>
          <a:fld id="{455EFD9E-04D8-4D37-90F2-BBA855E61CE9}" type="TxLink">
            <a:rPr lang="en-US" sz="1500" b="0" i="0" u="none" strike="noStrike" cap="none" spc="0">
              <a:ln w="0"/>
              <a:solidFill>
                <a:srgbClr val="7030A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marL="0" indent="0" algn="l"/>
            <a:t>FALAK BASMATI RICE 2 KG X 10</a:t>
          </a:fld>
          <a:endParaRPr lang="en-US" sz="1500" b="0" i="0" u="none" strike="noStrike" cap="none" spc="0">
            <a:ln w="0"/>
            <a:solidFill>
              <a:srgbClr val="7030A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9</xdr:col>
      <xdr:colOff>323850</xdr:colOff>
      <xdr:row>15</xdr:row>
      <xdr:rowOff>123826</xdr:rowOff>
    </xdr:from>
    <xdr:to>
      <xdr:col>15</xdr:col>
      <xdr:colOff>104775</xdr:colOff>
      <xdr:row>20</xdr:row>
      <xdr:rowOff>142876</xdr:rowOff>
    </xdr:to>
    <xdr:graphicFrame macro="">
      <xdr:nvGraphicFramePr>
        <xdr:cNvPr id="48" name="ProductChart">
          <a:extLst>
            <a:ext uri="{FF2B5EF4-FFF2-40B4-BE49-F238E27FC236}">
              <a16:creationId xmlns:a16="http://schemas.microsoft.com/office/drawing/2014/main" id="{00000000-0008-0000-00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14</xdr:col>
      <xdr:colOff>323850</xdr:colOff>
      <xdr:row>7</xdr:row>
      <xdr:rowOff>161925</xdr:rowOff>
    </xdr:from>
    <xdr:ext cx="1857376" cy="310534"/>
    <xdr:sp macro="" textlink="">
      <xdr:nvSpPr>
        <xdr:cNvPr id="35" name="StockValueLabel">
          <a:extLst>
            <a:ext uri="{FF2B5EF4-FFF2-40B4-BE49-F238E27FC236}">
              <a16:creationId xmlns:a16="http://schemas.microsoft.com/office/drawing/2014/main" id="{00000000-0008-0000-0000-000023000000}"/>
            </a:ext>
          </a:extLst>
        </xdr:cNvPr>
        <xdr:cNvSpPr/>
      </xdr:nvSpPr>
      <xdr:spPr>
        <a:xfrm>
          <a:off x="10191750" y="1495425"/>
          <a:ext cx="1857376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276225</xdr:colOff>
      <xdr:row>7</xdr:row>
      <xdr:rowOff>171450</xdr:rowOff>
    </xdr:from>
    <xdr:ext cx="1962150" cy="310534"/>
    <xdr:sp macro="" textlink="">
      <xdr:nvSpPr>
        <xdr:cNvPr id="32" name="StockValueLabel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6667500" y="1504950"/>
          <a:ext cx="1962150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Value</a:t>
          </a:r>
        </a:p>
      </xdr:txBody>
    </xdr:sp>
    <xdr:clientData/>
  </xdr:oneCellAnchor>
  <xdr:twoCellAnchor>
    <xdr:from>
      <xdr:col>9</xdr:col>
      <xdr:colOff>342900</xdr:colOff>
      <xdr:row>12</xdr:row>
      <xdr:rowOff>19049</xdr:rowOff>
    </xdr:from>
    <xdr:to>
      <xdr:col>18</xdr:col>
      <xdr:colOff>57150</xdr:colOff>
      <xdr:row>22</xdr:row>
      <xdr:rowOff>142874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6191250" y="2305049"/>
          <a:ext cx="6248400" cy="20669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oneCellAnchor>
    <xdr:from>
      <xdr:col>9</xdr:col>
      <xdr:colOff>421451</xdr:colOff>
      <xdr:row>3</xdr:row>
      <xdr:rowOff>74110</xdr:rowOff>
    </xdr:from>
    <xdr:ext cx="2693224" cy="310534"/>
    <xdr:sp macro="" textlink="">
      <xdr:nvSpPr>
        <xdr:cNvPr id="20" name="CurrentStockLabel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69801" y="645610"/>
          <a:ext cx="2693224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Current Stock</a:t>
          </a:r>
        </a:p>
      </xdr:txBody>
    </xdr:sp>
    <xdr:clientData/>
  </xdr:oneCellAnchor>
  <xdr:oneCellAnchor>
    <xdr:from>
      <xdr:col>13</xdr:col>
      <xdr:colOff>609600</xdr:colOff>
      <xdr:row>5</xdr:row>
      <xdr:rowOff>19050</xdr:rowOff>
    </xdr:from>
    <xdr:ext cx="2628900" cy="341697"/>
    <xdr:sp macro="" textlink="Help!B5">
      <xdr:nvSpPr>
        <xdr:cNvPr id="38" name="CurrentStock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9791700" y="971550"/>
          <a:ext cx="262890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9D09DAC5-ECB6-4715-8CE6-DE6883FF0FD0}" type="TxLink">
            <a:rPr lang="en-US" sz="1600" b="0" i="0" u="none" strike="noStrike" cap="none" spc="0">
              <a:ln w="0"/>
              <a:solidFill>
                <a:srgbClr val="00CC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1853 Unit(s)</a:t>
          </a:fld>
          <a:endParaRPr lang="en-US" sz="1600" b="0" i="0" u="none" strike="noStrike" cap="none" spc="0">
            <a:ln w="0"/>
            <a:solidFill>
              <a:srgbClr val="00CC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295275</xdr:colOff>
      <xdr:row>9</xdr:row>
      <xdr:rowOff>38100</xdr:rowOff>
    </xdr:from>
    <xdr:ext cx="2038350" cy="341697"/>
    <xdr:sp macro="" textlink="Help!B6">
      <xdr:nvSpPr>
        <xdr:cNvPr id="39" name="CurrentStock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/>
      </xdr:nvSpPr>
      <xdr:spPr>
        <a:xfrm>
          <a:off x="10163175" y="1752600"/>
          <a:ext cx="2038350" cy="34169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marL="0" indent="0" algn="ctr"/>
          <a:fld id="{A4E9FBD8-F413-40C8-AF24-9CE21EE72F7E}" type="TxLink">
            <a:rPr lang="en-US" sz="1600" b="0" i="0" u="none" strike="noStrike" cap="none" spc="0">
              <a:ln w="0"/>
              <a:solidFill>
                <a:srgbClr val="3D6AD6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marL="0" indent="0" algn="ctr"/>
            <a:t>60 Unit(s)</a:t>
          </a:fld>
          <a:endParaRPr lang="en-US" sz="1600" b="0" i="0" u="none" strike="noStrike" cap="none" spc="0">
            <a:ln w="0"/>
            <a:solidFill>
              <a:srgbClr val="3D6AD6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10</xdr:col>
      <xdr:colOff>200025</xdr:colOff>
      <xdr:row>4</xdr:row>
      <xdr:rowOff>180975</xdr:rowOff>
    </xdr:from>
    <xdr:ext cx="2105025" cy="310534"/>
    <xdr:sp macro="" textlink="Help!B1">
      <xdr:nvSpPr>
        <xdr:cNvPr id="31" name="CurrentStock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6591300" y="942975"/>
          <a:ext cx="210502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D596830D-324E-48D9-B446-7DB565D6A763}" type="TxLink">
            <a:rPr lang="en-US" sz="1400" b="0" i="0" u="none" strike="noStrike" cap="none" spc="0">
              <a:ln w="0"/>
              <a:solidFill>
                <a:srgbClr val="00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18836 Unit(s)</a:t>
          </a:fld>
          <a:endParaRPr lang="en-US" sz="1400" b="0" cap="none" spc="0">
            <a:ln w="0"/>
            <a:solidFill>
              <a:schemeClr val="accent5">
                <a:lumMod val="50000"/>
              </a:schemeClr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oneCellAnchor>
    <xdr:from>
      <xdr:col>14</xdr:col>
      <xdr:colOff>390525</xdr:colOff>
      <xdr:row>3</xdr:row>
      <xdr:rowOff>123825</xdr:rowOff>
    </xdr:from>
    <xdr:ext cx="1533526" cy="310534"/>
    <xdr:sp macro="" textlink="">
      <xdr:nvSpPr>
        <xdr:cNvPr id="34" name="StockValueLabel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0258425" y="695325"/>
          <a:ext cx="1533526" cy="310534"/>
        </a:xfrm>
        <a:prstGeom prst="rect">
          <a:avLst/>
        </a:prstGeom>
        <a:noFill/>
      </xdr:spPr>
      <xdr:txBody>
        <a:bodyPr wrap="square" lIns="91440" tIns="45720" rIns="91440" bIns="45720" anchor="t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accent4">
                  <a:lumMod val="75000"/>
                </a:schemeClr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  <a:endParaRPr lang="en-US" sz="1400" b="0" cap="none" spc="0" baseline="10000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14</xdr:col>
      <xdr:colOff>228600</xdr:colOff>
      <xdr:row>7</xdr:row>
      <xdr:rowOff>114300</xdr:rowOff>
    </xdr:from>
    <xdr:to>
      <xdr:col>17</xdr:col>
      <xdr:colOff>619125</xdr:colOff>
      <xdr:row>11</xdr:row>
      <xdr:rowOff>66675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10096500" y="1447800"/>
          <a:ext cx="2257425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104774</xdr:colOff>
      <xdr:row>3</xdr:row>
      <xdr:rowOff>95251</xdr:rowOff>
    </xdr:from>
    <xdr:to>
      <xdr:col>12</xdr:col>
      <xdr:colOff>104773</xdr:colOff>
      <xdr:row>7</xdr:row>
      <xdr:rowOff>38100</xdr:rowOff>
    </xdr:to>
    <xdr:sp macro="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6496049" y="666751"/>
          <a:ext cx="2362199" cy="704849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10</xdr:col>
      <xdr:colOff>95250</xdr:colOff>
      <xdr:row>7</xdr:row>
      <xdr:rowOff>161925</xdr:rowOff>
    </xdr:from>
    <xdr:to>
      <xdr:col>12</xdr:col>
      <xdr:colOff>114300</xdr:colOff>
      <xdr:row>11</xdr:row>
      <xdr:rowOff>95250</xdr:rowOff>
    </xdr:to>
    <xdr:sp macro="" textlink="">
      <xdr:nvSpPr>
        <xdr:cNvPr id="22" name="Rounded Rectangl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6486525" y="1495425"/>
          <a:ext cx="2381250" cy="69532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266700</xdr:colOff>
      <xdr:row>3</xdr:row>
      <xdr:rowOff>76200</xdr:rowOff>
    </xdr:from>
    <xdr:to>
      <xdr:col>17</xdr:col>
      <xdr:colOff>609600</xdr:colOff>
      <xdr:row>7</xdr:row>
      <xdr:rowOff>28575</xdr:rowOff>
    </xdr:to>
    <xdr:sp macro="" textlink="">
      <xdr:nvSpPr>
        <xdr:cNvPr id="23" name="Rounded Rectangl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0134600" y="647700"/>
          <a:ext cx="2209800" cy="714375"/>
        </a:xfrm>
        <a:prstGeom prst="roundRect">
          <a:avLst>
            <a:gd name="adj" fmla="val 3690"/>
          </a:avLst>
        </a:prstGeom>
        <a:noFill/>
        <a:ln w="3175">
          <a:solidFill>
            <a:schemeClr val="bg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indent="0" algn="l"/>
          <a:endParaRPr lang="en-US" sz="1050">
            <a:solidFill>
              <a:schemeClr val="lt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2</xdr:row>
      <xdr:rowOff>180975</xdr:rowOff>
    </xdr:to>
    <xdr:sp macro="" textlink="">
      <xdr:nvSpPr>
        <xdr:cNvPr id="6" name="HeadingBar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0" y="0"/>
          <a:ext cx="12487275" cy="561975"/>
        </a:xfrm>
        <a:prstGeom prst="rect">
          <a:avLst/>
        </a:prstGeom>
        <a:solidFill>
          <a:schemeClr val="tx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050"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14</xdr:col>
      <xdr:colOff>495300</xdr:colOff>
      <xdr:row>0</xdr:row>
      <xdr:rowOff>133350</xdr:rowOff>
    </xdr:from>
    <xdr:to>
      <xdr:col>17</xdr:col>
      <xdr:colOff>76200</xdr:colOff>
      <xdr:row>2</xdr:row>
      <xdr:rowOff>57150</xdr:rowOff>
    </xdr:to>
    <xdr:sp macro="" textlink="">
      <xdr:nvSpPr>
        <xdr:cNvPr id="60" name="Rectangle: Rounded Corners 59" hidden="1">
          <a:hlinkClick xmlns:r="http://schemas.openxmlformats.org/officeDocument/2006/relationships" r:id="rId2" tooltip="More Features"/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10096500" y="133350"/>
          <a:ext cx="1638300" cy="304800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accent2"/>
              </a:solidFill>
              <a:latin typeface="Rockwell" panose="02060603020205020403" pitchFamily="18" charset="0"/>
            </a:rPr>
            <a:t>Try Pro Version</a:t>
          </a:r>
        </a:p>
      </xdr:txBody>
    </xdr:sp>
    <xdr:clientData/>
  </xdr:twoCellAnchor>
  <xdr:twoCellAnchor editAs="oneCell">
    <xdr:from>
      <xdr:col>17</xdr:col>
      <xdr:colOff>28575</xdr:colOff>
      <xdr:row>0</xdr:row>
      <xdr:rowOff>76200</xdr:rowOff>
    </xdr:from>
    <xdr:to>
      <xdr:col>17</xdr:col>
      <xdr:colOff>458343</xdr:colOff>
      <xdr:row>2</xdr:row>
      <xdr:rowOff>124968</xdr:rowOff>
    </xdr:to>
    <xdr:pic macro="[0]!ShutDown">
      <xdr:nvPicPr>
        <xdr:cNvPr id="44" name="ShutDown">
          <a:extLst>
            <a:ext uri="{FF2B5EF4-FFF2-40B4-BE49-F238E27FC236}">
              <a16:creationId xmlns:a16="http://schemas.microsoft.com/office/drawing/2014/main" id="{00000000-0008-0000-00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972925" y="76200"/>
          <a:ext cx="429768" cy="429768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0</xdr:row>
      <xdr:rowOff>0</xdr:rowOff>
    </xdr:from>
    <xdr:to>
      <xdr:col>11</xdr:col>
      <xdr:colOff>47625</xdr:colOff>
      <xdr:row>3</xdr:row>
      <xdr:rowOff>107538</xdr:rowOff>
    </xdr:to>
    <xdr:pic>
      <xdr:nvPicPr>
        <xdr:cNvPr id="42" name="StockIcon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34175" y="0"/>
          <a:ext cx="781050" cy="679038"/>
        </a:xfrm>
        <a:prstGeom prst="rect">
          <a:avLst/>
        </a:prstGeom>
      </xdr:spPr>
    </xdr:pic>
    <xdr:clientData/>
  </xdr:twoCellAnchor>
  <xdr:oneCellAnchor>
    <xdr:from>
      <xdr:col>0</xdr:col>
      <xdr:colOff>57593</xdr:colOff>
      <xdr:row>0</xdr:row>
      <xdr:rowOff>0</xdr:rowOff>
    </xdr:from>
    <xdr:ext cx="6562282" cy="542925"/>
    <xdr:sp macro="" textlink="">
      <xdr:nvSpPr>
        <xdr:cNvPr id="8" name="HeadingText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57593" y="0"/>
          <a:ext cx="6562282" cy="542925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en-US" sz="32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Inventory Management System</a:t>
          </a:r>
        </a:p>
      </xdr:txBody>
    </xdr:sp>
    <xdr:clientData/>
  </xdr:oneCellAnchor>
  <xdr:twoCellAnchor>
    <xdr:from>
      <xdr:col>0</xdr:col>
      <xdr:colOff>57150</xdr:colOff>
      <xdr:row>7</xdr:row>
      <xdr:rowOff>19050</xdr:rowOff>
    </xdr:from>
    <xdr:to>
      <xdr:col>1</xdr:col>
      <xdr:colOff>642366</xdr:colOff>
      <xdr:row>9</xdr:row>
      <xdr:rowOff>9525</xdr:rowOff>
    </xdr:to>
    <xdr:sp macro="[0]!EnterStockInSheet" textlink="">
      <xdr:nvSpPr>
        <xdr:cNvPr id="10" name="EnterStockIn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57150" y="1352550"/>
          <a:ext cx="1271016" cy="371475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In</a:t>
          </a:r>
        </a:p>
      </xdr:txBody>
    </xdr:sp>
    <xdr:clientData/>
  </xdr:twoCellAnchor>
  <xdr:twoCellAnchor>
    <xdr:from>
      <xdr:col>2</xdr:col>
      <xdr:colOff>209551</xdr:colOff>
      <xdr:row>7</xdr:row>
      <xdr:rowOff>19048</xdr:rowOff>
    </xdr:from>
    <xdr:to>
      <xdr:col>4</xdr:col>
      <xdr:colOff>333375</xdr:colOff>
      <xdr:row>9</xdr:row>
      <xdr:rowOff>12952</xdr:rowOff>
    </xdr:to>
    <xdr:sp macro="[0]!EnterStockOutSheet" textlink="">
      <xdr:nvSpPr>
        <xdr:cNvPr id="11" name="EnterStockOut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81151" y="1352548"/>
          <a:ext cx="1333499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Out</a:t>
          </a:r>
        </a:p>
      </xdr:txBody>
    </xdr:sp>
    <xdr:clientData/>
  </xdr:twoCellAnchor>
  <xdr:twoCellAnchor>
    <xdr:from>
      <xdr:col>0</xdr:col>
      <xdr:colOff>57149</xdr:colOff>
      <xdr:row>13</xdr:row>
      <xdr:rowOff>28574</xdr:rowOff>
    </xdr:from>
    <xdr:to>
      <xdr:col>2</xdr:col>
      <xdr:colOff>285750</xdr:colOff>
      <xdr:row>15</xdr:row>
      <xdr:rowOff>12572</xdr:rowOff>
    </xdr:to>
    <xdr:sp macro="[0]!StockInSheet" textlink="">
      <xdr:nvSpPr>
        <xdr:cNvPr id="13" name="StockInSheet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57149" y="2505074"/>
          <a:ext cx="1600201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StockIn Sheet</a:t>
          </a:r>
        </a:p>
      </xdr:txBody>
    </xdr:sp>
    <xdr:clientData/>
  </xdr:twoCellAnchor>
  <xdr:twoCellAnchor>
    <xdr:from>
      <xdr:col>2</xdr:col>
      <xdr:colOff>428625</xdr:colOff>
      <xdr:row>13</xdr:row>
      <xdr:rowOff>28575</xdr:rowOff>
    </xdr:from>
    <xdr:to>
      <xdr:col>5</xdr:col>
      <xdr:colOff>238125</xdr:colOff>
      <xdr:row>15</xdr:row>
      <xdr:rowOff>12573</xdr:rowOff>
    </xdr:to>
    <xdr:sp macro="[0]!StockOutSheet" textlink="">
      <xdr:nvSpPr>
        <xdr:cNvPr id="14" name="StockOutSheet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1800225" y="2505075"/>
          <a:ext cx="1704975" cy="384048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StockOut Sheet</a:t>
          </a:r>
        </a:p>
      </xdr:txBody>
    </xdr:sp>
    <xdr:clientData/>
  </xdr:twoCellAnchor>
  <xdr:twoCellAnchor>
    <xdr:from>
      <xdr:col>5</xdr:col>
      <xdr:colOff>504823</xdr:colOff>
      <xdr:row>10</xdr:row>
      <xdr:rowOff>47624</xdr:rowOff>
    </xdr:from>
    <xdr:to>
      <xdr:col>7</xdr:col>
      <xdr:colOff>552450</xdr:colOff>
      <xdr:row>12</xdr:row>
      <xdr:rowOff>41528</xdr:rowOff>
    </xdr:to>
    <xdr:sp macro="[0]!EnterNewSupplierSheet" textlink="">
      <xdr:nvSpPr>
        <xdr:cNvPr id="7" name="NewSupplier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3771898" y="1952624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Supplier</a:t>
          </a:r>
        </a:p>
      </xdr:txBody>
    </xdr:sp>
    <xdr:clientData/>
  </xdr:twoCellAnchor>
  <xdr:twoCellAnchor>
    <xdr:from>
      <xdr:col>0</xdr:col>
      <xdr:colOff>19051</xdr:colOff>
      <xdr:row>15</xdr:row>
      <xdr:rowOff>276225</xdr:rowOff>
    </xdr:from>
    <xdr:to>
      <xdr:col>3</xdr:col>
      <xdr:colOff>333375</xdr:colOff>
      <xdr:row>17</xdr:row>
      <xdr:rowOff>9526</xdr:rowOff>
    </xdr:to>
    <xdr:sp macro="[0]!StockReport" textlink="">
      <xdr:nvSpPr>
        <xdr:cNvPr id="43" name="StockReport">
          <a:extLst>
            <a:ext uri="{FF2B5EF4-FFF2-40B4-BE49-F238E27FC236}">
              <a16:creationId xmlns:a16="http://schemas.microsoft.com/office/drawing/2014/main" id="{00000000-0008-0000-0000-00002B000000}"/>
            </a:ext>
          </a:extLst>
        </xdr:cNvPr>
        <xdr:cNvSpPr/>
      </xdr:nvSpPr>
      <xdr:spPr>
        <a:xfrm>
          <a:off x="19051" y="3152775"/>
          <a:ext cx="2209799" cy="371476"/>
        </a:xfrm>
        <a:prstGeom prst="rect">
          <a:avLst/>
        </a:prstGeom>
        <a:ln w="28575">
          <a:solidFill>
            <a:schemeClr val="bg1"/>
          </a:solidFill>
        </a:ln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3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Stock Report</a:t>
          </a:r>
        </a:p>
      </xdr:txBody>
    </xdr:sp>
    <xdr:clientData/>
  </xdr:twoCellAnchor>
  <xdr:twoCellAnchor>
    <xdr:from>
      <xdr:col>5</xdr:col>
      <xdr:colOff>400051</xdr:colOff>
      <xdr:row>13</xdr:row>
      <xdr:rowOff>38099</xdr:rowOff>
    </xdr:from>
    <xdr:to>
      <xdr:col>7</xdr:col>
      <xdr:colOff>590551</xdr:colOff>
      <xdr:row>15</xdr:row>
      <xdr:rowOff>3428</xdr:rowOff>
    </xdr:to>
    <xdr:sp macro="[0]!ProductMasterSheet" textlink="">
      <xdr:nvSpPr>
        <xdr:cNvPr id="29" name="ProductMaster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SpPr/>
      </xdr:nvSpPr>
      <xdr:spPr>
        <a:xfrm>
          <a:off x="3667126" y="2514599"/>
          <a:ext cx="1562100" cy="365379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en-US" sz="1300" b="1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Master Sheet</a:t>
          </a:r>
        </a:p>
      </xdr:txBody>
    </xdr:sp>
    <xdr:clientData/>
  </xdr:twoCellAnchor>
  <xdr:twoCellAnchor>
    <xdr:from>
      <xdr:col>9</xdr:col>
      <xdr:colOff>457200</xdr:colOff>
      <xdr:row>18</xdr:row>
      <xdr:rowOff>180974</xdr:rowOff>
    </xdr:from>
    <xdr:to>
      <xdr:col>12</xdr:col>
      <xdr:colOff>647700</xdr:colOff>
      <xdr:row>22</xdr:row>
      <xdr:rowOff>38099</xdr:rowOff>
    </xdr:to>
    <xdr:sp macro="[0]!Continue" textlink="">
      <xdr:nvSpPr>
        <xdr:cNvPr id="36" name="Continue" hidden="1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6629400" y="3609974"/>
          <a:ext cx="2247900" cy="619125"/>
        </a:xfrm>
        <a:prstGeom prst="roundRect">
          <a:avLst>
            <a:gd name="adj" fmla="val 50000"/>
          </a:avLst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400" b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CONTINUE</a:t>
          </a:r>
        </a:p>
      </xdr:txBody>
    </xdr:sp>
    <xdr:clientData/>
  </xdr:twoCellAnchor>
  <xdr:twoCellAnchor editAs="oneCell">
    <xdr:from>
      <xdr:col>8</xdr:col>
      <xdr:colOff>504825</xdr:colOff>
      <xdr:row>4</xdr:row>
      <xdr:rowOff>161925</xdr:rowOff>
    </xdr:from>
    <xdr:to>
      <xdr:col>9</xdr:col>
      <xdr:colOff>523875</xdr:colOff>
      <xdr:row>7</xdr:row>
      <xdr:rowOff>133350</xdr:rowOff>
    </xdr:to>
    <xdr:pic>
      <xdr:nvPicPr>
        <xdr:cNvPr id="46" name="Logo" hidden="1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91225" y="923925"/>
          <a:ext cx="542925" cy="542925"/>
        </a:xfrm>
        <a:prstGeom prst="rect">
          <a:avLst/>
        </a:prstGeom>
      </xdr:spPr>
    </xdr:pic>
    <xdr:clientData/>
  </xdr:twoCellAnchor>
  <xdr:oneCellAnchor>
    <xdr:from>
      <xdr:col>11</xdr:col>
      <xdr:colOff>323850</xdr:colOff>
      <xdr:row>9</xdr:row>
      <xdr:rowOff>152400</xdr:rowOff>
    </xdr:from>
    <xdr:ext cx="2009775" cy="310534"/>
    <xdr:sp macro="" textlink="Help!B2">
      <xdr:nvSpPr>
        <xdr:cNvPr id="47" name="StockValue" hidden="1">
          <a:extLst>
            <a:ext uri="{FF2B5EF4-FFF2-40B4-BE49-F238E27FC236}">
              <a16:creationId xmlns:a16="http://schemas.microsoft.com/office/drawing/2014/main" id="{00000000-0008-0000-0000-00002F000000}"/>
            </a:ext>
          </a:extLst>
        </xdr:cNvPr>
        <xdr:cNvSpPr/>
      </xdr:nvSpPr>
      <xdr:spPr>
        <a:xfrm>
          <a:off x="7791450" y="1866900"/>
          <a:ext cx="2009775" cy="310534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CC6745D9-980E-4CAE-9526-5D4CB094AFBE}" type="TxLink">
            <a:rPr lang="en-US" sz="14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pPr algn="ctr"/>
            <a:t> $47,342 </a:t>
          </a:fld>
          <a:endParaRPr lang="en-US" sz="14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0</xdr:col>
      <xdr:colOff>47623</xdr:colOff>
      <xdr:row>4</xdr:row>
      <xdr:rowOff>19049</xdr:rowOff>
    </xdr:from>
    <xdr:to>
      <xdr:col>3</xdr:col>
      <xdr:colOff>571500</xdr:colOff>
      <xdr:row>6</xdr:row>
      <xdr:rowOff>12953</xdr:rowOff>
    </xdr:to>
    <xdr:sp macro="[0]!SaleDataInput" textlink="">
      <xdr:nvSpPr>
        <xdr:cNvPr id="54" name="Sal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4762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Sale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xdr:twoCellAnchor>
    <xdr:from>
      <xdr:col>0</xdr:col>
      <xdr:colOff>19050</xdr:colOff>
      <xdr:row>18</xdr:row>
      <xdr:rowOff>9524</xdr:rowOff>
    </xdr:from>
    <xdr:to>
      <xdr:col>3</xdr:col>
      <xdr:colOff>342900</xdr:colOff>
      <xdr:row>20</xdr:row>
      <xdr:rowOff>47625</xdr:rowOff>
    </xdr:to>
    <xdr:sp macro="[0]!MainModule.ExpiryReport" textlink="">
      <xdr:nvSpPr>
        <xdr:cNvPr id="57" name="ExpiryReport">
          <a:extLst>
            <a:ext uri="{FF2B5EF4-FFF2-40B4-BE49-F238E27FC236}">
              <a16:creationId xmlns:a16="http://schemas.microsoft.com/office/drawing/2014/main" id="{00000000-0008-0000-0000-000039000000}"/>
            </a:ext>
          </a:extLst>
        </xdr:cNvPr>
        <xdr:cNvSpPr/>
      </xdr:nvSpPr>
      <xdr:spPr>
        <a:xfrm>
          <a:off x="19050" y="3714749"/>
          <a:ext cx="2219325" cy="361951"/>
        </a:xfrm>
        <a:prstGeom prst="rect">
          <a:avLst/>
        </a:prstGeom>
        <a:ln w="28575"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1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Expiry Report</a:t>
          </a:r>
        </a:p>
      </xdr:txBody>
    </xdr:sp>
    <xdr:clientData/>
  </xdr:twoCellAnchor>
  <xdr:twoCellAnchor>
    <xdr:from>
      <xdr:col>2</xdr:col>
      <xdr:colOff>380998</xdr:colOff>
      <xdr:row>10</xdr:row>
      <xdr:rowOff>38099</xdr:rowOff>
    </xdr:from>
    <xdr:to>
      <xdr:col>5</xdr:col>
      <xdr:colOff>28575</xdr:colOff>
      <xdr:row>12</xdr:row>
      <xdr:rowOff>32003</xdr:rowOff>
    </xdr:to>
    <xdr:sp macro="[0]!EnterNewCustomerSheet" textlink="">
      <xdr:nvSpPr>
        <xdr:cNvPr id="58" name="NewCustomer">
          <a:extLst>
            <a:ext uri="{FF2B5EF4-FFF2-40B4-BE49-F238E27FC236}">
              <a16:creationId xmlns:a16="http://schemas.microsoft.com/office/drawing/2014/main" id="{00000000-0008-0000-0000-00003A000000}"/>
            </a:ext>
          </a:extLst>
        </xdr:cNvPr>
        <xdr:cNvSpPr/>
      </xdr:nvSpPr>
      <xdr:spPr>
        <a:xfrm>
          <a:off x="1752598" y="1943099"/>
          <a:ext cx="15430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Customer</a:t>
          </a:r>
        </a:p>
      </xdr:txBody>
    </xdr:sp>
    <xdr:clientData/>
  </xdr:twoCellAnchor>
  <xdr:twoCellAnchor>
    <xdr:from>
      <xdr:col>0</xdr:col>
      <xdr:colOff>47623</xdr:colOff>
      <xdr:row>10</xdr:row>
      <xdr:rowOff>38099</xdr:rowOff>
    </xdr:from>
    <xdr:to>
      <xdr:col>2</xdr:col>
      <xdr:colOff>95250</xdr:colOff>
      <xdr:row>12</xdr:row>
      <xdr:rowOff>32003</xdr:rowOff>
    </xdr:to>
    <xdr:sp macro="[0]!EnterNewProductSheet" textlink="">
      <xdr:nvSpPr>
        <xdr:cNvPr id="59" name="NewProduct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47623" y="1943099"/>
          <a:ext cx="1419227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New Product</a:t>
          </a:r>
        </a:p>
      </xdr:txBody>
    </xdr:sp>
    <xdr:clientData/>
  </xdr:twoCellAnchor>
  <xdr:oneCellAnchor>
    <xdr:from>
      <xdr:col>10</xdr:col>
      <xdr:colOff>123825</xdr:colOff>
      <xdr:row>9</xdr:row>
      <xdr:rowOff>47625</xdr:rowOff>
    </xdr:from>
    <xdr:ext cx="2105025" cy="353687"/>
    <xdr:sp macro="" textlink="Help!B2">
      <xdr:nvSpPr>
        <xdr:cNvPr id="41" name="CurrentStock">
          <a:extLst>
            <a:ext uri="{FF2B5EF4-FFF2-40B4-BE49-F238E27FC236}">
              <a16:creationId xmlns:a16="http://schemas.microsoft.com/office/drawing/2014/main" id="{00000000-0008-0000-0000-000029000000}"/>
            </a:ext>
          </a:extLst>
        </xdr:cNvPr>
        <xdr:cNvSpPr/>
      </xdr:nvSpPr>
      <xdr:spPr>
        <a:xfrm>
          <a:off x="6515100" y="1762125"/>
          <a:ext cx="2105025" cy="353687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fld id="{63BAFF0B-7523-455E-9633-EB70075BC5BE}" type="TxLink">
            <a:rPr lang="en-US" sz="1600" b="0" i="0" u="none" strike="noStrike" cap="none" spc="0">
              <a:ln w="0"/>
              <a:solidFill>
                <a:srgbClr val="FF0000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Verdana" panose="020B0604030504040204" pitchFamily="34" charset="0"/>
              <a:ea typeface="Verdana" panose="020B0604030504040204" pitchFamily="34" charset="0"/>
              <a:cs typeface="Calibri Light"/>
            </a:rPr>
            <a:pPr algn="ctr"/>
            <a:t> $47,342 </a:t>
          </a:fld>
          <a:endParaRPr lang="en-US" sz="1600" b="0" cap="none" spc="0">
            <a:ln w="0"/>
            <a:solidFill>
              <a:srgbClr val="FF0000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oneCellAnchor>
  <xdr:twoCellAnchor>
    <xdr:from>
      <xdr:col>4</xdr:col>
      <xdr:colOff>190498</xdr:colOff>
      <xdr:row>4</xdr:row>
      <xdr:rowOff>19049</xdr:rowOff>
    </xdr:from>
    <xdr:to>
      <xdr:col>7</xdr:col>
      <xdr:colOff>552450</xdr:colOff>
      <xdr:row>6</xdr:row>
      <xdr:rowOff>12953</xdr:rowOff>
    </xdr:to>
    <xdr:sp macro="[0]!PurchaseDataInput" textlink="">
      <xdr:nvSpPr>
        <xdr:cNvPr id="45" name="PurchaseInput">
          <a:extLst>
            <a:ext uri="{FF2B5EF4-FFF2-40B4-BE49-F238E27FC236}">
              <a16:creationId xmlns:a16="http://schemas.microsoft.com/office/drawing/2014/main" id="{00000000-0008-0000-0000-000036000000}"/>
            </a:ext>
          </a:extLst>
        </xdr:cNvPr>
        <xdr:cNvSpPr/>
      </xdr:nvSpPr>
      <xdr:spPr>
        <a:xfrm>
          <a:off x="2771773" y="781049"/>
          <a:ext cx="2419352" cy="374904"/>
        </a:xfrm>
        <a:prstGeom prst="rect">
          <a:avLst/>
        </a:prstGeom>
        <a:ln w="19050">
          <a:solidFill>
            <a:schemeClr val="bg1"/>
          </a:solidFill>
        </a:ln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Purchase</a:t>
          </a:r>
          <a:r>
            <a:rPr lang="en-US" sz="1400" baseline="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 Data Input</a:t>
          </a:r>
          <a:endParaRPr lang="en-US" sz="1400">
            <a:solidFill>
              <a:schemeClr val="tx1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457200</xdr:colOff>
          <xdr:row>12</xdr:row>
          <xdr:rowOff>123825</xdr:rowOff>
        </xdr:from>
        <xdr:to>
          <xdr:col>13</xdr:col>
          <xdr:colOff>133350</xdr:colOff>
          <xdr:row>14</xdr:row>
          <xdr:rowOff>9525</xdr:rowOff>
        </xdr:to>
        <xdr:sp macro="" textlink="">
          <xdr:nvSpPr>
            <xdr:cNvPr id="1028" name="cboItems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14</xdr:col>
      <xdr:colOff>476249</xdr:colOff>
      <xdr:row>17</xdr:row>
      <xdr:rowOff>0</xdr:rowOff>
    </xdr:from>
    <xdr:to>
      <xdr:col>18</xdr:col>
      <xdr:colOff>142874</xdr:colOff>
      <xdr:row>23</xdr:row>
      <xdr:rowOff>171450</xdr:rowOff>
    </xdr:to>
    <xdr:sp macro="" textlink="">
      <xdr:nvSpPr>
        <xdr:cNvPr id="61" name="MainBack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10306049" y="3514725"/>
          <a:ext cx="2219325" cy="1257300"/>
        </a:xfrm>
        <a:prstGeom prst="rect">
          <a:avLst/>
        </a:prstGeom>
        <a:solidFill>
          <a:srgbClr val="FFFF99"/>
        </a:solidFill>
        <a:ln>
          <a:noFill/>
        </a:ln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In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StockIn" textlink="">
      <xdr:nvSpPr>
        <xdr:cNvPr id="5" name="Rounded Rectangl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11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352425</xdr:colOff>
      <xdr:row>0</xdr:row>
      <xdr:rowOff>114300</xdr:rowOff>
    </xdr:from>
    <xdr:to>
      <xdr:col>2</xdr:col>
      <xdr:colOff>1933575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4924425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Stock Out</a:t>
          </a:r>
        </a:p>
      </xdr:txBody>
    </xdr:sp>
    <xdr:clientData/>
  </xdr:twoCellAnchor>
  <xdr:twoCellAnchor>
    <xdr:from>
      <xdr:col>2</xdr:col>
      <xdr:colOff>66675</xdr:colOff>
      <xdr:row>4</xdr:row>
      <xdr:rowOff>28577</xdr:rowOff>
    </xdr:from>
    <xdr:to>
      <xdr:col>2</xdr:col>
      <xdr:colOff>1971675</xdr:colOff>
      <xdr:row>4</xdr:row>
      <xdr:rowOff>323851</xdr:rowOff>
    </xdr:to>
    <xdr:sp macro="[0]!EnterStockOu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4638675" y="800102"/>
          <a:ext cx="1905000" cy="295274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7" name="Rounded Rectangl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66675</xdr:colOff>
      <xdr:row>1</xdr:row>
      <xdr:rowOff>57150</xdr:rowOff>
    </xdr:from>
    <xdr:to>
      <xdr:col>12</xdr:col>
      <xdr:colOff>276225</xdr:colOff>
      <xdr:row>3</xdr:row>
      <xdr:rowOff>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1210925" y="20955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142875</xdr:colOff>
      <xdr:row>1</xdr:row>
      <xdr:rowOff>76200</xdr:rowOff>
    </xdr:from>
    <xdr:to>
      <xdr:col>11</xdr:col>
      <xdr:colOff>352425</xdr:colOff>
      <xdr:row>3</xdr:row>
      <xdr:rowOff>19050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153775" y="228600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47625</xdr:colOff>
      <xdr:row>0</xdr:row>
      <xdr:rowOff>123825</xdr:rowOff>
    </xdr:from>
    <xdr:to>
      <xdr:col>11</xdr:col>
      <xdr:colOff>257175</xdr:colOff>
      <xdr:row>2</xdr:row>
      <xdr:rowOff>104775</xdr:rowOff>
    </xdr:to>
    <xdr:sp macro="[0]!ShowDashboard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11410950" y="123825"/>
          <a:ext cx="895350" cy="323850"/>
        </a:xfrm>
        <a:prstGeom prst="roundRect">
          <a:avLst>
            <a:gd name="adj" fmla="val 9849"/>
          </a:avLst>
        </a:prstGeom>
        <a:solidFill>
          <a:schemeClr val="tx2"/>
        </a:solidFill>
        <a:ln w="190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Georgia" panose="02040502050405020303" pitchFamily="18" charset="0"/>
            </a:rPr>
            <a:t>Dashboard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Product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Product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Supplier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Suppli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2009775</xdr:colOff>
      <xdr:row>2</xdr:row>
      <xdr:rowOff>180974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0" y="0"/>
          <a:ext cx="6581775" cy="561974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en-US" sz="3200">
              <a:ln>
                <a:noFill/>
              </a:ln>
              <a:solidFill>
                <a:schemeClr val="bg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 New Customer</a:t>
          </a:r>
        </a:p>
      </xdr:txBody>
    </xdr:sp>
    <xdr:clientData/>
  </xdr:twoCellAnchor>
  <xdr:twoCellAnchor>
    <xdr:from>
      <xdr:col>2</xdr:col>
      <xdr:colOff>361950</xdr:colOff>
      <xdr:row>0</xdr:row>
      <xdr:rowOff>114300</xdr:rowOff>
    </xdr:from>
    <xdr:to>
      <xdr:col>2</xdr:col>
      <xdr:colOff>1943100</xdr:colOff>
      <xdr:row>2</xdr:row>
      <xdr:rowOff>95250</xdr:rowOff>
    </xdr:to>
    <xdr:sp macro="[0]!ShowDashboard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/>
      </xdr:nvSpPr>
      <xdr:spPr>
        <a:xfrm>
          <a:off x="4933950" y="114300"/>
          <a:ext cx="1581150" cy="361950"/>
        </a:xfrm>
        <a:prstGeom prst="roundRect">
          <a:avLst>
            <a:gd name="adj" fmla="val 9849"/>
          </a:avLst>
        </a:prstGeom>
        <a:solidFill>
          <a:schemeClr val="tx2"/>
        </a:solidFill>
        <a:ln w="3175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Back To Dashboard</a:t>
          </a:r>
        </a:p>
      </xdr:txBody>
    </xdr:sp>
    <xdr:clientData/>
  </xdr:twoCellAnchor>
  <xdr:twoCellAnchor>
    <xdr:from>
      <xdr:col>2</xdr:col>
      <xdr:colOff>66675</xdr:colOff>
      <xdr:row>4</xdr:row>
      <xdr:rowOff>28576</xdr:rowOff>
    </xdr:from>
    <xdr:to>
      <xdr:col>2</xdr:col>
      <xdr:colOff>1971675</xdr:colOff>
      <xdr:row>4</xdr:row>
      <xdr:rowOff>314325</xdr:rowOff>
    </xdr:to>
    <xdr:sp macro="[0]!EnterNewCustomer" textlink="">
      <xdr:nvSpPr>
        <xdr:cNvPr id="4" name="Rounded Rectangle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/>
      </xdr:nvSpPr>
      <xdr:spPr>
        <a:xfrm>
          <a:off x="4638675" y="800101"/>
          <a:ext cx="1905000" cy="285749"/>
        </a:xfrm>
        <a:prstGeom prst="roundRect">
          <a:avLst>
            <a:gd name="adj" fmla="val 13641"/>
          </a:avLst>
        </a:prstGeom>
        <a:solidFill>
          <a:schemeClr val="accent4">
            <a:lumMod val="60000"/>
            <a:lumOff val="40000"/>
          </a:schemeClr>
        </a:solidFill>
        <a:ln w="3175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>
              <a:solidFill>
                <a:schemeClr val="tx1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Enter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3_Revisions/IMS_Working_Rev01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shboard"/>
      <sheetName val="Help"/>
      <sheetName val="EnterStockIn"/>
      <sheetName val="EnterStockOut"/>
      <sheetName val="StockIn"/>
      <sheetName val="StockOut"/>
      <sheetName val="ProductMaster"/>
      <sheetName val="EnterNewProduct"/>
      <sheetName val="IMS_Working_Rev0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SYED" refreshedDate="43806.912604745368" createdVersion="6" refreshedVersion="6" minRefreshableVersion="3" recordCount="425">
  <cacheSource type="worksheet">
    <worksheetSource ref="A1:J426" sheet="ProductMaster"/>
  </cacheSource>
  <cacheFields count="10">
    <cacheField name="S No." numFmtId="0">
      <sharedItems containsSemiMixedTypes="0" containsString="0" containsNumber="1" containsInteger="1" minValue="1" maxValue="425"/>
    </cacheField>
    <cacheField name="Product ID" numFmtId="0">
      <sharedItems/>
    </cacheField>
    <cacheField name="Product Name" numFmtId="0">
      <sharedItems/>
    </cacheField>
    <cacheField name="Product Description" numFmtId="0">
      <sharedItems/>
    </cacheField>
    <cacheField name="Product Category" numFmtId="0">
      <sharedItems count="5">
        <s v="Bottled"/>
        <s v="Plastic"/>
        <s v="Special"/>
        <s v="Latest"/>
        <s v="Bottles"/>
      </sharedItems>
    </cacheField>
    <cacheField name="Unit Price" numFmtId="42">
      <sharedItems containsSemiMixedTypes="0" containsString="0" containsNumber="1" containsInteger="1" minValue="10" maxValue="20"/>
    </cacheField>
    <cacheField name="Expiry" numFmtId="14">
      <sharedItems containsSemiMixedTypes="0" containsNonDate="0" containsDate="1" containsString="0" minDate="2020-03-23T00:00:00" maxDate="2022-07-20T00:00:00"/>
    </cacheField>
    <cacheField name="Reorder Level" numFmtId="0">
      <sharedItems containsSemiMixedTypes="0" containsString="0" containsNumber="1" containsInteger="1" minValue="25" maxValue="25"/>
    </cacheField>
    <cacheField name="Current Stock" numFmtId="0">
      <sharedItems containsSemiMixedTypes="0" containsString="0" containsNumber="1" containsInteger="1" minValue="-17" maxValue="96"/>
    </cacheField>
    <cacheField name="Value" numFmtId="42">
      <sharedItems containsSemiMixedTypes="0" containsString="0" containsNumber="1" minValue="-46.379999999999995" maxValue="2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25">
  <r>
    <n v="1"/>
    <s v="AH26"/>
    <s v="AHM TOMATO KETCHUP 300GX12"/>
    <s v="Food"/>
    <x v="0"/>
    <n v="10"/>
    <d v="2020-03-23T00:00:00"/>
    <n v="25"/>
    <n v="33"/>
    <n v="82.5"/>
  </r>
  <r>
    <n v="2"/>
    <s v="AH27"/>
    <s v="AHM WHITE VINEGAR 800MLX12"/>
    <s v="Food"/>
    <x v="0"/>
    <n v="10"/>
    <d v="2020-03-25T00:00:00"/>
    <n v="25"/>
    <n v="35"/>
    <n v="87.5"/>
  </r>
  <r>
    <n v="3"/>
    <s v="A10"/>
    <s v="ALPAVIT MILK PWD 25KG X1"/>
    <s v="Food"/>
    <x v="0"/>
    <n v="10"/>
    <d v="2020-03-27T00:00:00"/>
    <n v="25"/>
    <n v="27"/>
    <n v="67.5"/>
  </r>
  <r>
    <n v="4"/>
    <s v="B1"/>
    <s v="BDM SARSON KA SAAG TIN 800GX12"/>
    <s v="Food"/>
    <x v="0"/>
    <n v="10"/>
    <d v="2020-03-29T00:00:00"/>
    <n v="25"/>
    <n v="8"/>
    <n v="20"/>
  </r>
  <r>
    <n v="5"/>
    <s v="B2"/>
    <s v="BEST GUAVA BOTTLE 1LTX6"/>
    <s v="Food"/>
    <x v="0"/>
    <n v="10"/>
    <d v="2020-03-31T00:00:00"/>
    <n v="25"/>
    <n v="5"/>
    <n v="12.5"/>
  </r>
  <r>
    <n v="6"/>
    <s v="B3"/>
    <s v="BEST GUAVA BOTTLE 250MLX24"/>
    <s v="Food"/>
    <x v="0"/>
    <n v="10"/>
    <d v="2020-04-02T00:00:00"/>
    <n v="25"/>
    <n v="4"/>
    <n v="18.46"/>
  </r>
  <r>
    <n v="7"/>
    <s v="B4"/>
    <s v="BEST GUAVA CARTA 1LTX6"/>
    <s v="Food"/>
    <x v="0"/>
    <n v="10"/>
    <d v="2020-04-04T00:00:00"/>
    <n v="25"/>
    <n v="60"/>
    <n v="150"/>
  </r>
  <r>
    <n v="8"/>
    <s v="B5"/>
    <s v="BEST GUAVA LATINA 250MLX30"/>
    <s v="Food"/>
    <x v="0"/>
    <n v="10"/>
    <d v="2020-04-06T00:00:00"/>
    <n v="25"/>
    <n v="67"/>
    <n v="167.5"/>
  </r>
  <r>
    <n v="9"/>
    <s v="B6"/>
    <s v="BEST MANGO BOTTLE 1LTX6"/>
    <s v="Food"/>
    <x v="0"/>
    <n v="10"/>
    <d v="2020-04-08T00:00:00"/>
    <n v="25"/>
    <n v="69"/>
    <n v="172.5"/>
  </r>
  <r>
    <n v="10"/>
    <s v="B7"/>
    <s v="BEST MANGO BOTTLE 250MLX24"/>
    <s v="Food"/>
    <x v="0"/>
    <n v="10"/>
    <d v="2020-04-10T00:00:00"/>
    <n v="25"/>
    <n v="81"/>
    <n v="202.5"/>
  </r>
  <r>
    <n v="11"/>
    <s v="B8"/>
    <s v="BEST MANGO CARTA 1LTX6"/>
    <s v="Food"/>
    <x v="0"/>
    <n v="10"/>
    <d v="2020-04-12T00:00:00"/>
    <n v="25"/>
    <n v="62"/>
    <n v="213.05"/>
  </r>
  <r>
    <n v="12"/>
    <s v="B9"/>
    <s v="BEST MANGO CARTA 200MLX27"/>
    <s v="Food"/>
    <x v="0"/>
    <n v="10"/>
    <d v="2020-04-14T00:00:00"/>
    <n v="25"/>
    <n v="46"/>
    <n v="115"/>
  </r>
  <r>
    <n v="13"/>
    <s v="B10"/>
    <s v="BEST MANGO LATINA 250MLX30"/>
    <s v="Food"/>
    <x v="0"/>
    <n v="10"/>
    <d v="2020-04-16T00:00:00"/>
    <n v="25"/>
    <n v="27"/>
    <n v="67.5"/>
  </r>
  <r>
    <n v="14"/>
    <s v="B11"/>
    <s v="BEST MIX BOT 1LTX6"/>
    <s v="Food"/>
    <x v="0"/>
    <n v="10"/>
    <d v="2020-04-18T00:00:00"/>
    <n v="25"/>
    <n v="25"/>
    <n v="62.5"/>
  </r>
  <r>
    <n v="15"/>
    <s v="B12"/>
    <s v="BEST MIX BOTTLE 250MLX24"/>
    <s v="Food"/>
    <x v="0"/>
    <n v="10"/>
    <d v="2020-04-20T00:00:00"/>
    <n v="25"/>
    <n v="18"/>
    <n v="45"/>
  </r>
  <r>
    <n v="16"/>
    <s v="B13"/>
    <s v="BEST MIX CARTA 1LTX6"/>
    <s v="Food"/>
    <x v="0"/>
    <n v="10"/>
    <d v="2020-04-22T00:00:00"/>
    <n v="25"/>
    <n v="5"/>
    <n v="12.5"/>
  </r>
  <r>
    <n v="17"/>
    <s v="B14"/>
    <s v="BEST MIX LATINA 250MLX30"/>
    <s v="Food"/>
    <x v="0"/>
    <n v="10"/>
    <d v="2020-04-24T00:00:00"/>
    <n v="25"/>
    <n v="1"/>
    <n v="2.5"/>
  </r>
  <r>
    <n v="18"/>
    <s v="BG1"/>
    <s v="BG BOMBAY MIX 400G X 12"/>
    <s v="Food"/>
    <x v="0"/>
    <n v="10"/>
    <d v="2020-04-26T00:00:00"/>
    <n v="25"/>
    <n v="11"/>
    <n v="27.5"/>
  </r>
  <r>
    <n v="19"/>
    <s v="BG2"/>
    <s v="BG CHANA DAL 400G X12"/>
    <s v="Food"/>
    <x v="0"/>
    <n v="10"/>
    <d v="2020-04-28T00:00:00"/>
    <n v="25"/>
    <n v="51"/>
    <n v="127.5"/>
  </r>
  <r>
    <n v="20"/>
    <s v="BG3"/>
    <s v="BG CHIN CHIN 400G X12"/>
    <s v="Food"/>
    <x v="0"/>
    <n v="10"/>
    <d v="2020-04-30T00:00:00"/>
    <n v="25"/>
    <n v="61"/>
    <n v="152.5"/>
  </r>
  <r>
    <n v="21"/>
    <s v="BG4"/>
    <s v="BG GHATHIA MIX 400G X12"/>
    <s v="Food"/>
    <x v="0"/>
    <n v="10"/>
    <d v="2020-05-02T00:00:00"/>
    <n v="25"/>
    <n v="74"/>
    <n v="185"/>
  </r>
  <r>
    <n v="22"/>
    <s v="BG5"/>
    <s v="BG GREEN PEAS 400G  X 12"/>
    <s v="Food"/>
    <x v="0"/>
    <n v="10"/>
    <d v="2020-05-04T00:00:00"/>
    <n v="25"/>
    <n v="89"/>
    <n v="222.5"/>
  </r>
  <r>
    <n v="23"/>
    <s v="BG6"/>
    <s v="BG GUJRATI MIX 400G X12"/>
    <s v="Food"/>
    <x v="0"/>
    <n v="10"/>
    <d v="2020-05-06T00:00:00"/>
    <n v="25"/>
    <n v="94"/>
    <n v="235"/>
  </r>
  <r>
    <n v="24"/>
    <s v="BG7"/>
    <s v="BG KASHMIRI MIX 400G X12"/>
    <s v="Food"/>
    <x v="0"/>
    <n v="10"/>
    <d v="2020-05-08T00:00:00"/>
    <n v="25"/>
    <n v="45"/>
    <n v="112.5"/>
  </r>
  <r>
    <n v="25"/>
    <s v="BG8"/>
    <s v="BG LAHORI MIX 400G X 12"/>
    <s v="Food"/>
    <x v="0"/>
    <n v="10"/>
    <d v="2020-05-10T00:00:00"/>
    <n v="25"/>
    <n v="22"/>
    <n v="55"/>
  </r>
  <r>
    <n v="26"/>
    <s v="BG9"/>
    <s v="BG PUNJABI MIX 400G X 12"/>
    <s v="Food"/>
    <x v="0"/>
    <n v="10"/>
    <d v="2020-05-12T00:00:00"/>
    <n v="25"/>
    <n v="18"/>
    <n v="45"/>
  </r>
  <r>
    <n v="27"/>
    <s v="BG10"/>
    <s v="BG SPICY CHICK PEAS 400G X12"/>
    <s v="Food"/>
    <x v="0"/>
    <n v="10"/>
    <d v="2020-05-14T00:00:00"/>
    <n v="25"/>
    <n v="11"/>
    <n v="27.5"/>
  </r>
  <r>
    <n v="28"/>
    <s v="BG11"/>
    <s v="BG TRADITIONAL MIX 400GX12"/>
    <s v="Food"/>
    <x v="0"/>
    <n v="10"/>
    <d v="2020-05-16T00:00:00"/>
    <n v="25"/>
    <n v="7"/>
    <n v="17.5"/>
  </r>
  <r>
    <n v="29"/>
    <s v="BG12"/>
    <s v="BGD AMLA CANDY 1KGX14"/>
    <s v="Food"/>
    <x v="0"/>
    <n v="10"/>
    <d v="2020-05-18T00:00:00"/>
    <n v="25"/>
    <n v="14"/>
    <n v="35"/>
  </r>
  <r>
    <n v="30"/>
    <s v="BG13"/>
    <s v="BGD BATASAY 300GX24"/>
    <s v="Food"/>
    <x v="0"/>
    <n v="10"/>
    <d v="2020-05-20T00:00:00"/>
    <n v="25"/>
    <n v="16"/>
    <n v="40"/>
  </r>
  <r>
    <n v="31"/>
    <s v="BG14"/>
    <s v="BGD BATASAY 500GX12"/>
    <s v="Food"/>
    <x v="0"/>
    <n v="10"/>
    <d v="2020-05-22T00:00:00"/>
    <n v="25"/>
    <n v="50"/>
    <n v="125"/>
  </r>
  <r>
    <n v="32"/>
    <s v="BG15"/>
    <s v="BGD CORN FLOUR 300GX6"/>
    <s v="Food"/>
    <x v="0"/>
    <n v="10"/>
    <d v="2020-05-24T00:00:00"/>
    <n v="25"/>
    <n v="56"/>
    <n v="140"/>
  </r>
  <r>
    <n v="33"/>
    <s v="BG16"/>
    <s v="BGD GARLIC PASTE 1KGX6"/>
    <s v="Food"/>
    <x v="0"/>
    <n v="10"/>
    <d v="2020-05-26T00:00:00"/>
    <n v="25"/>
    <n v="72"/>
    <n v="180"/>
  </r>
  <r>
    <n v="34"/>
    <s v="BG17"/>
    <s v="BGD GINGER PASTE 1KGX6"/>
    <s v="Food"/>
    <x v="0"/>
    <n v="10"/>
    <d v="2020-05-28T00:00:00"/>
    <n v="25"/>
    <n v="85"/>
    <n v="212.5"/>
  </r>
  <r>
    <n v="35"/>
    <s v="BG18"/>
    <s v="BGD GINGER&amp;GARLIC PASTE1KGX6"/>
    <s v="Food"/>
    <x v="0"/>
    <n v="10"/>
    <d v="2020-05-30T00:00:00"/>
    <n v="25"/>
    <n v="88"/>
    <n v="220"/>
  </r>
  <r>
    <n v="36"/>
    <s v="BG19"/>
    <s v="BGD GOOR ( IND)MASALA 1KGX12"/>
    <s v="Food"/>
    <x v="0"/>
    <n v="10"/>
    <d v="2020-06-01T00:00:00"/>
    <n v="25"/>
    <n v="95"/>
    <n v="237.5"/>
  </r>
  <r>
    <n v="37"/>
    <s v="BG20"/>
    <s v="BGD GOOR 1KG (IND)PLAINX12"/>
    <s v="Food"/>
    <x v="0"/>
    <n v="10"/>
    <d v="2020-06-03T00:00:00"/>
    <n v="25"/>
    <n v="41"/>
    <n v="114.62"/>
  </r>
  <r>
    <n v="38"/>
    <s v="BG21"/>
    <s v="BGD GOOR JAR PACK 500GX12"/>
    <s v="Food"/>
    <x v="0"/>
    <n v="10"/>
    <d v="2020-06-05T00:00:00"/>
    <n v="25"/>
    <n v="25"/>
    <n v="62.5"/>
  </r>
  <r>
    <n v="39"/>
    <s v="BG22"/>
    <s v="BGD GOOR JAR PACK1KGX12"/>
    <s v="Food"/>
    <x v="0"/>
    <n v="10"/>
    <d v="2020-06-07T00:00:00"/>
    <n v="25"/>
    <n v="12"/>
    <n v="30"/>
  </r>
  <r>
    <n v="40"/>
    <s v="BG23"/>
    <s v="BGD KASOORI MEETHI 100GX6"/>
    <s v="Food"/>
    <x v="0"/>
    <n v="10"/>
    <d v="2020-06-09T00:00:00"/>
    <n v="25"/>
    <n v="13"/>
    <n v="32.5"/>
  </r>
  <r>
    <n v="41"/>
    <s v="BG24"/>
    <s v="BGD MARUNDA 270GX10"/>
    <s v="Food"/>
    <x v="0"/>
    <n v="10"/>
    <d v="2020-06-11T00:00:00"/>
    <n v="25"/>
    <n v="10"/>
    <n v="25"/>
  </r>
  <r>
    <n v="42"/>
    <s v="BG25"/>
    <s v="BGD MUSTARD OIL 1LTX12"/>
    <s v="Food"/>
    <x v="0"/>
    <n v="10"/>
    <d v="2020-06-13T00:00:00"/>
    <n v="25"/>
    <n v="9"/>
    <n v="22.5"/>
  </r>
  <r>
    <n v="43"/>
    <s v="BG26"/>
    <s v="BGD SHAKAR (IND) 1KGX12"/>
    <s v="Food"/>
    <x v="0"/>
    <n v="10"/>
    <d v="2020-06-15T00:00:00"/>
    <n v="25"/>
    <n v="13"/>
    <n v="32.5"/>
  </r>
  <r>
    <n v="44"/>
    <s v="BG27"/>
    <s v="BGD SHAKAR (IND) 500GX24"/>
    <s v="Food"/>
    <x v="0"/>
    <n v="10"/>
    <d v="2020-06-17T00:00:00"/>
    <n v="25"/>
    <n v="55"/>
    <n v="137.5"/>
  </r>
  <r>
    <n v="45"/>
    <s v="BG28"/>
    <s v="BGD SHAKKAR JAR PACK 500GX12"/>
    <s v="Food"/>
    <x v="0"/>
    <n v="10"/>
    <d v="2020-06-19T00:00:00"/>
    <n v="25"/>
    <n v="67"/>
    <n v="167.5"/>
  </r>
  <r>
    <n v="46"/>
    <s v="BG29"/>
    <s v="BGD TEA JAR PACK 500GX20"/>
    <s v="Food"/>
    <x v="0"/>
    <n v="10"/>
    <d v="2020-06-21T00:00:00"/>
    <n v="25"/>
    <n v="69"/>
    <n v="172.5"/>
  </r>
  <r>
    <n v="47"/>
    <s v="BG30"/>
    <s v="BGD TEA JAR PACK 1KGX12"/>
    <s v="Food"/>
    <x v="0"/>
    <n v="10"/>
    <d v="2020-06-23T00:00:00"/>
    <n v="25"/>
    <n v="81"/>
    <n v="202.5"/>
  </r>
  <r>
    <n v="48"/>
    <s v="BG31"/>
    <s v="BGD TOP DANADAR TEA 1KGX10"/>
    <s v="Food"/>
    <x v="0"/>
    <n v="10"/>
    <d v="2020-06-25T00:00:00"/>
    <n v="25"/>
    <n v="89"/>
    <n v="222.5"/>
  </r>
  <r>
    <n v="49"/>
    <s v="BG32"/>
    <s v="BGD TOP DANEDAR TEA 500GX20"/>
    <s v="Food"/>
    <x v="0"/>
    <n v="10"/>
    <d v="2020-06-27T00:00:00"/>
    <n v="25"/>
    <n v="86"/>
    <n v="215"/>
  </r>
  <r>
    <n v="50"/>
    <s v="A11"/>
    <s v="BIGEN  N59-6GX6"/>
    <s v="Food"/>
    <x v="0"/>
    <n v="10"/>
    <d v="2020-06-29T00:00:00"/>
    <n v="25"/>
    <n v="87"/>
    <n v="217.5"/>
  </r>
  <r>
    <n v="51"/>
    <s v="A12"/>
    <s v="BLANKET BIG SIZEX1"/>
    <s v="Food"/>
    <x v="0"/>
    <n v="10"/>
    <d v="2020-07-01T00:00:00"/>
    <n v="25"/>
    <n v="95"/>
    <n v="237.5"/>
  </r>
  <r>
    <n v="52"/>
    <s v="A13"/>
    <s v="BLANKET MED SIZE X1"/>
    <s v="Food"/>
    <x v="0"/>
    <n v="10"/>
    <d v="2020-07-03T00:00:00"/>
    <n v="25"/>
    <n v="53"/>
    <n v="132.5"/>
  </r>
  <r>
    <n v="53"/>
    <s v="A14"/>
    <s v="BOURNVITA 500GX15"/>
    <s v="Food"/>
    <x v="0"/>
    <n v="10"/>
    <d v="2020-07-05T00:00:00"/>
    <n v="25"/>
    <n v="25"/>
    <n v="62.5"/>
  </r>
  <r>
    <n v="54"/>
    <s v="BT1"/>
    <s v="PRAN PUFFED RICE 500G X16"/>
    <s v="Food"/>
    <x v="0"/>
    <n v="10"/>
    <d v="2020-07-07T00:00:00"/>
    <n v="25"/>
    <n v="12"/>
    <n v="30"/>
  </r>
  <r>
    <n v="55"/>
    <s v="BT2"/>
    <s v="REJECTION RICE 20KG X1"/>
    <s v="Food"/>
    <x v="0"/>
    <n v="10"/>
    <d v="2020-07-09T00:00:00"/>
    <n v="25"/>
    <n v="13"/>
    <n v="32.5"/>
  </r>
  <r>
    <n v="56"/>
    <s v="BT3"/>
    <s v="PRAN NOODLE CURRY 70G X60"/>
    <s v="Food"/>
    <x v="0"/>
    <n v="10"/>
    <d v="2020-07-11T00:00:00"/>
    <n v="25"/>
    <n v="6"/>
    <n v="15"/>
  </r>
  <r>
    <n v="57"/>
    <s v="BT4"/>
    <s v="PRAN NOODLES CHICKEN 70G X60"/>
    <s v="Food"/>
    <x v="0"/>
    <n v="10"/>
    <d v="2020-07-13T00:00:00"/>
    <n v="25"/>
    <n v="6"/>
    <n v="15"/>
  </r>
  <r>
    <n v="58"/>
    <s v="BT5"/>
    <s v="PRAN NOODLES VEG 70G X60"/>
    <s v="Food"/>
    <x v="0"/>
    <n v="10"/>
    <d v="2020-07-15T00:00:00"/>
    <n v="25"/>
    <n v="18"/>
    <n v="45"/>
  </r>
  <r>
    <n v="59"/>
    <s v="BT6"/>
    <s v="PRAN NOODLES BEEF 70G X60"/>
    <s v="Food"/>
    <x v="0"/>
    <n v="10"/>
    <d v="2020-07-17T00:00:00"/>
    <n v="25"/>
    <n v="58"/>
    <n v="145"/>
  </r>
  <r>
    <n v="60"/>
    <s v="BT7"/>
    <s v="PRAN NOODLES CUP VEG 60G X48"/>
    <s v="Food"/>
    <x v="0"/>
    <n v="10"/>
    <d v="2020-07-19T00:00:00"/>
    <n v="25"/>
    <n v="59"/>
    <n v="147.5"/>
  </r>
  <r>
    <n v="61"/>
    <s v="BT8"/>
    <s v="PRAN NOODLES CUP CURRY 60GX 48"/>
    <s v="Food"/>
    <x v="0"/>
    <n v="10"/>
    <d v="2020-07-21T00:00:00"/>
    <n v="25"/>
    <n v="66"/>
    <n v="165"/>
  </r>
  <r>
    <n v="62"/>
    <s v="ID200"/>
    <s v="Z DE RICA TOMATO PASTE 850GX12*"/>
    <s v="Food"/>
    <x v="0"/>
    <n v="10"/>
    <d v="2020-07-23T00:00:00"/>
    <n v="25"/>
    <n v="87"/>
    <n v="217.5"/>
  </r>
  <r>
    <n v="63"/>
    <s v="D49"/>
    <s v="DABUR SHAMPOO SHIKAKAI 200MLX6"/>
    <s v="Food"/>
    <x v="0"/>
    <n v="10"/>
    <d v="2020-07-25T00:00:00"/>
    <n v="25"/>
    <n v="91"/>
    <n v="227.5"/>
  </r>
  <r>
    <n v="64"/>
    <s v="D50"/>
    <s v="DABUR SHAMPOO TROPICAL COCONUT 200MLX6"/>
    <s v="Food"/>
    <x v="0"/>
    <n v="10"/>
    <d v="2020-07-27T00:00:00"/>
    <n v="25"/>
    <n v="90"/>
    <n v="225"/>
  </r>
  <r>
    <n v="65"/>
    <s v="D51"/>
    <s v="DABUR SHAMPOO ARGAN 200MLX6"/>
    <s v="Food"/>
    <x v="0"/>
    <n v="10"/>
    <d v="2020-07-29T00:00:00"/>
    <n v="25"/>
    <n v="90"/>
    <n v="225"/>
  </r>
  <r>
    <n v="66"/>
    <s v="D52"/>
    <s v="DABUR SHAMPOO BLACK SEED 200MLX6"/>
    <s v="Food"/>
    <x v="0"/>
    <n v="10"/>
    <d v="2020-07-31T00:00:00"/>
    <n v="25"/>
    <n v="93"/>
    <n v="232.5"/>
  </r>
  <r>
    <n v="67"/>
    <s v="D53"/>
    <s v="DABUR SHAMPOO CACTUS 200MLX6"/>
    <s v="Food"/>
    <x v="0"/>
    <n v="10"/>
    <d v="2020-08-02T00:00:00"/>
    <n v="25"/>
    <n v="45"/>
    <n v="112.5"/>
  </r>
  <r>
    <n v="68"/>
    <s v="D54"/>
    <s v="DABUR SHAMPOO EGG 200MLX6"/>
    <s v="Food"/>
    <x v="0"/>
    <n v="10"/>
    <d v="2020-08-04T00:00:00"/>
    <n v="25"/>
    <n v="22"/>
    <n v="55"/>
  </r>
  <r>
    <n v="69"/>
    <s v="D55"/>
    <s v="DABUR SHAMPOO GARLIC 200MLX6"/>
    <s v="Food"/>
    <x v="1"/>
    <n v="10"/>
    <d v="2020-08-06T00:00:00"/>
    <n v="25"/>
    <n v="18"/>
    <n v="45"/>
  </r>
  <r>
    <n v="70"/>
    <s v="D56"/>
    <s v="DABUR SHAMPOO OLIVE 200MLX6"/>
    <s v="Food"/>
    <x v="1"/>
    <n v="10"/>
    <d v="2020-08-08T00:00:00"/>
    <n v="25"/>
    <n v="11"/>
    <n v="27.5"/>
  </r>
  <r>
    <n v="71"/>
    <s v="D57"/>
    <s v="DABUR SHAMPOO VIRGIN OLIVE N&amp;P 200MLX6"/>
    <s v="Food"/>
    <x v="1"/>
    <n v="10"/>
    <d v="2020-08-10T00:00:00"/>
    <n v="25"/>
    <n v="7"/>
    <n v="17.5"/>
  </r>
  <r>
    <n v="72"/>
    <s v="D58"/>
    <s v="DABUR SHAMPOO WILD CACTUS 200MLX6"/>
    <s v="Food"/>
    <x v="1"/>
    <n v="10"/>
    <d v="2020-08-12T00:00:00"/>
    <n v="25"/>
    <n v="14"/>
    <n v="35"/>
  </r>
  <r>
    <n v="73"/>
    <s v="D59"/>
    <s v="DABUR TOOTHPASTE ALOEVERA100GX6"/>
    <s v="Food"/>
    <x v="1"/>
    <n v="10"/>
    <d v="2020-08-14T00:00:00"/>
    <n v="25"/>
    <n v="16"/>
    <n v="40"/>
  </r>
  <r>
    <n v="74"/>
    <s v="D60"/>
    <s v="DABUR TOOTHPASTE BASIL100GX6"/>
    <s v="Food"/>
    <x v="1"/>
    <n v="10"/>
    <d v="2020-08-16T00:00:00"/>
    <n v="25"/>
    <n v="50"/>
    <n v="125"/>
  </r>
  <r>
    <n v="75"/>
    <s v="D61"/>
    <s v="DABUR TOOTHPASTE CLOVE 100GX6"/>
    <s v="Food"/>
    <x v="1"/>
    <n v="10"/>
    <d v="2020-08-18T00:00:00"/>
    <n v="25"/>
    <n v="56"/>
    <n v="140"/>
  </r>
  <r>
    <n v="76"/>
    <s v="D62"/>
    <s v="DABUR TOOTHPASTE MISWAK 100GX6"/>
    <s v="Food"/>
    <x v="1"/>
    <n v="10"/>
    <d v="2020-08-20T00:00:00"/>
    <n v="25"/>
    <n v="72"/>
    <n v="180"/>
  </r>
  <r>
    <n v="77"/>
    <s v="D63"/>
    <s v="DABUR TOOTHPASTE NEEM 100GX6"/>
    <s v="Food"/>
    <x v="1"/>
    <n v="10"/>
    <d v="2020-08-22T00:00:00"/>
    <n v="25"/>
    <n v="85"/>
    <n v="212.5"/>
  </r>
  <r>
    <n v="78"/>
    <s v="D64"/>
    <s v="DABUR TOOTHPASTE PROMISE 100GX6"/>
    <s v="Food"/>
    <x v="1"/>
    <n v="10"/>
    <d v="2020-08-24T00:00:00"/>
    <n v="25"/>
    <n v="88"/>
    <n v="220"/>
  </r>
  <r>
    <n v="79"/>
    <s v="D65"/>
    <s v="DABUR TOOTHPASTE RED 100GX12"/>
    <s v="Food"/>
    <x v="1"/>
    <n v="10"/>
    <d v="2020-08-26T00:00:00"/>
    <n v="25"/>
    <n v="35"/>
    <n v="87.5"/>
  </r>
  <r>
    <n v="80"/>
    <s v="D66"/>
    <s v="DABUR TOOTHPASTE RED 200GX6"/>
    <s v="Food"/>
    <x v="1"/>
    <n v="10"/>
    <d v="2020-08-28T00:00:00"/>
    <n v="25"/>
    <n v="23"/>
    <n v="57.5"/>
  </r>
  <r>
    <n v="81"/>
    <s v="A23"/>
    <s v="DATTERI  RAMATI  1KGX12"/>
    <s v="Food"/>
    <x v="1"/>
    <n v="10"/>
    <d v="2020-08-30T00:00:00"/>
    <n v="25"/>
    <n v="10"/>
    <n v="25"/>
  </r>
  <r>
    <n v="82"/>
    <s v="A24"/>
    <s v="DATTERI STANDARD 1KGX12"/>
    <s v="Food"/>
    <x v="1"/>
    <n v="10"/>
    <d v="2020-09-01T00:00:00"/>
    <n v="25"/>
    <n v="2"/>
    <n v="5"/>
  </r>
  <r>
    <n v="83"/>
    <s v="A25"/>
    <s v="DATTERI RAMATI 500GX15"/>
    <s v="Food"/>
    <x v="1"/>
    <n v="10"/>
    <d v="2020-09-03T00:00:00"/>
    <n v="25"/>
    <n v="7"/>
    <n v="17.5"/>
  </r>
  <r>
    <n v="84"/>
    <s v="A26"/>
    <s v="DATTERI ST 250GX24"/>
    <s v="Food"/>
    <x v="1"/>
    <n v="10"/>
    <d v="2020-09-05T00:00:00"/>
    <n v="25"/>
    <n v="13"/>
    <n v="32.5"/>
  </r>
  <r>
    <n v="85"/>
    <s v="A27"/>
    <s v="DETTOL LIQUID 250MLX12"/>
    <s v="Food"/>
    <x v="1"/>
    <n v="10"/>
    <d v="2020-09-07T00:00:00"/>
    <n v="25"/>
    <n v="55"/>
    <n v="137.5"/>
  </r>
  <r>
    <n v="86"/>
    <s v="A28"/>
    <s v="DETTOL LIQUID 500MLX6"/>
    <s v="Food"/>
    <x v="1"/>
    <n v="10"/>
    <d v="2020-09-09T00:00:00"/>
    <n v="25"/>
    <n v="67"/>
    <n v="167.5"/>
  </r>
  <r>
    <n v="87"/>
    <s v="A29"/>
    <s v="DETTOL LIQUID 750MLX6"/>
    <s v="Food"/>
    <x v="1"/>
    <n v="10"/>
    <d v="2020-09-11T00:00:00"/>
    <n v="25"/>
    <n v="69"/>
    <n v="172.5"/>
  </r>
  <r>
    <n v="88"/>
    <s v="A30"/>
    <s v="DETTOL SOAP 100GX12"/>
    <s v="Food"/>
    <x v="1"/>
    <n v="10"/>
    <d v="2020-09-13T00:00:00"/>
    <n v="25"/>
    <n v="81"/>
    <n v="202.5"/>
  </r>
  <r>
    <n v="89"/>
    <s v="A31"/>
    <s v="FABBRICS X 46 MTR"/>
    <s v="Food"/>
    <x v="1"/>
    <n v="10"/>
    <d v="2020-09-15T00:00:00"/>
    <n v="25"/>
    <n v="89"/>
    <n v="222.5"/>
  </r>
  <r>
    <n v="90"/>
    <s v="A32"/>
    <s v="FAIR &amp; LOVELY  X12"/>
    <s v="Food"/>
    <x v="1"/>
    <n v="10"/>
    <d v="2020-09-17T00:00:00"/>
    <n v="25"/>
    <n v="46"/>
    <n v="115"/>
  </r>
  <r>
    <n v="91"/>
    <s v="FK1"/>
    <s v="FALAK BASMATI EXTREME 5 KG X 4"/>
    <s v="Food"/>
    <x v="1"/>
    <n v="10"/>
    <d v="2020-09-19T00:00:00"/>
    <n v="25"/>
    <n v="27"/>
    <n v="67.5"/>
  </r>
  <r>
    <n v="92"/>
    <s v="FK2"/>
    <s v="FALAK BASMATI RICE 1 KG X 20"/>
    <s v="Food"/>
    <x v="1"/>
    <n v="10"/>
    <d v="2020-09-21T00:00:00"/>
    <n v="25"/>
    <n v="25"/>
    <n v="62.5"/>
  </r>
  <r>
    <n v="93"/>
    <s v="FK3"/>
    <s v="FALAK BASMATI RICE 20 KG X 1"/>
    <s v="Food"/>
    <x v="1"/>
    <n v="10"/>
    <d v="2020-09-23T00:00:00"/>
    <n v="25"/>
    <n v="18"/>
    <n v="45"/>
  </r>
  <r>
    <n v="94"/>
    <s v="FK4"/>
    <s v="FALAK BASMATI RICE 2 KG X 10"/>
    <s v="Food"/>
    <x v="1"/>
    <n v="10"/>
    <d v="2020-09-25T00:00:00"/>
    <n v="25"/>
    <n v="5"/>
    <n v="12.5"/>
  </r>
  <r>
    <n v="95"/>
    <s v="FK5"/>
    <s v="FALAK BASMATI RICE 5 KG X 4"/>
    <s v="Food"/>
    <x v="1"/>
    <n v="10"/>
    <d v="2020-09-27T00:00:00"/>
    <n v="25"/>
    <n v="1"/>
    <n v="2.5"/>
  </r>
  <r>
    <n v="96"/>
    <s v="FK6"/>
    <s v="FALAK PERBOILED BASMATI RICE 20 KG X 1"/>
    <s v="Food"/>
    <x v="1"/>
    <n v="10"/>
    <d v="2020-09-29T00:00:00"/>
    <n v="25"/>
    <n v="88"/>
    <n v="220"/>
  </r>
  <r>
    <n v="97"/>
    <s v="FK7"/>
    <s v="FALAK PINK SALT 150 G X 24"/>
    <s v="Food"/>
    <x v="1"/>
    <n v="10"/>
    <d v="2020-10-01T00:00:00"/>
    <n v="25"/>
    <n v="86"/>
    <n v="215"/>
  </r>
  <r>
    <n v="98"/>
    <s v="FK8"/>
    <s v="FALAK PINK SALT 800 G X 18"/>
    <s v="Food"/>
    <x v="1"/>
    <n v="10"/>
    <d v="2020-10-03T00:00:00"/>
    <n v="25"/>
    <n v="87"/>
    <n v="217.5"/>
  </r>
  <r>
    <n v="99"/>
    <s v="FK9"/>
    <s v="FALAK RICE FLOUR 1 KG X 8"/>
    <s v="Food"/>
    <x v="1"/>
    <n v="10"/>
    <d v="2020-10-05T00:00:00"/>
    <n v="25"/>
    <n v="95"/>
    <n v="237.5"/>
  </r>
  <r>
    <n v="100"/>
    <s v="FK10"/>
    <s v="FALAK SUNBUL BIRYANI RICE 20 KG X 1"/>
    <s v="Food"/>
    <x v="1"/>
    <n v="10"/>
    <d v="2020-10-07T00:00:00"/>
    <n v="25"/>
    <n v="33"/>
    <n v="82.5"/>
  </r>
  <r>
    <n v="101"/>
    <s v="FK11"/>
    <s v="FALAK SUPER RICE 20 KG X 1"/>
    <s v="Food"/>
    <x v="1"/>
    <n v="10"/>
    <d v="2020-10-09T00:00:00"/>
    <n v="25"/>
    <n v="15"/>
    <n v="37.5"/>
  </r>
  <r>
    <n v="102"/>
    <s v="F1"/>
    <s v="FARINA BARAGA CHAPATI 10 KG X 1 "/>
    <s v="Food"/>
    <x v="1"/>
    <n v="10"/>
    <d v="2020-10-11T00:00:00"/>
    <n v="25"/>
    <n v="7"/>
    <n v="17.5"/>
  </r>
  <r>
    <n v="103"/>
    <s v="F2"/>
    <s v="FARINA BARAGA CHAPATI 25 KG X 1"/>
    <s v="Food"/>
    <x v="1"/>
    <n v="10"/>
    <d v="2020-10-13T00:00:00"/>
    <n v="25"/>
    <n v="8"/>
    <n v="20"/>
  </r>
  <r>
    <n v="104"/>
    <s v="F3"/>
    <s v="FARINA LAILA BROWN 10 KG X 1"/>
    <s v="Food"/>
    <x v="1"/>
    <n v="10"/>
    <d v="2020-10-15T00:00:00"/>
    <n v="25"/>
    <n v="9"/>
    <n v="22.5"/>
  </r>
  <r>
    <n v="105"/>
    <s v="F4"/>
    <s v="FARINA LAILA BROWN 20 KG X 1"/>
    <s v="Food"/>
    <x v="1"/>
    <n v="10"/>
    <d v="2020-10-17T00:00:00"/>
    <n v="25"/>
    <n v="13"/>
    <n v="32.5"/>
  </r>
  <r>
    <n v="106"/>
    <s v="F5"/>
    <s v="FARINA LAILA LIGHT MED 10 KG X 1"/>
    <s v="Food"/>
    <x v="1"/>
    <n v="10"/>
    <d v="2020-10-19T00:00:00"/>
    <n v="25"/>
    <n v="58"/>
    <n v="145"/>
  </r>
  <r>
    <n v="107"/>
    <s v="F6"/>
    <s v="FARINA LAILA LIGHT MED 20 KG X 1"/>
    <s v="Food"/>
    <x v="1"/>
    <n v="10"/>
    <d v="2020-10-21T00:00:00"/>
    <n v="25"/>
    <n v="59"/>
    <n v="147.5"/>
  </r>
  <r>
    <n v="108"/>
    <s v="F7"/>
    <s v="FARINA LAILA WHITE 20 KG X 1"/>
    <s v="Food"/>
    <x v="1"/>
    <n v="10"/>
    <d v="2020-10-23T00:00:00"/>
    <n v="25"/>
    <n v="66"/>
    <n v="165"/>
  </r>
  <r>
    <n v="109"/>
    <s v="F8"/>
    <s v="FARINA LAILA WHITE 10 KG X 1"/>
    <s v="Food"/>
    <x v="1"/>
    <n v="10"/>
    <d v="2020-10-25T00:00:00"/>
    <n v="25"/>
    <n v="87"/>
    <n v="217.5"/>
  </r>
  <r>
    <n v="110"/>
    <s v="FC1"/>
    <s v="FOOD COLOUR GREEN SMALLX 12"/>
    <s v="Food"/>
    <x v="1"/>
    <n v="10"/>
    <d v="2020-10-27T00:00:00"/>
    <n v="25"/>
    <n v="87"/>
    <n v="217.5"/>
  </r>
  <r>
    <n v="111"/>
    <s v="FC2"/>
    <s v="FOOD COLOUR ORANGE SMALL X 12"/>
    <s v="Food"/>
    <x v="1"/>
    <n v="10"/>
    <d v="2020-10-29T00:00:00"/>
    <n v="25"/>
    <n v="47"/>
    <n v="117.5"/>
  </r>
  <r>
    <n v="112"/>
    <s v="ARS-11"/>
    <s v="ARS PLAIN TEA RUSK 300GX12"/>
    <s v="Food"/>
    <x v="1"/>
    <n v="10"/>
    <d v="2020-10-31T00:00:00"/>
    <n v="25"/>
    <n v="35"/>
    <n v="87.5"/>
  </r>
  <r>
    <n v="113"/>
    <s v="FC4"/>
    <s v="FOOD COLOUR ORANGE BIG(5)X 20"/>
    <s v="Food"/>
    <x v="1"/>
    <n v="10"/>
    <d v="2020-11-02T00:00:00"/>
    <n v="25"/>
    <n v="23"/>
    <n v="57.5"/>
  </r>
  <r>
    <n v="114"/>
    <s v="FC5"/>
    <s v="FOOD COLOUR RED SMALL X 12"/>
    <s v="Food"/>
    <x v="1"/>
    <n v="10"/>
    <d v="2020-11-04T00:00:00"/>
    <n v="25"/>
    <n v="10"/>
    <n v="25"/>
  </r>
  <r>
    <n v="115"/>
    <s v="FC6"/>
    <s v="FOOD COLOUR RED BIG X 20"/>
    <s v="Food"/>
    <x v="1"/>
    <n v="10"/>
    <d v="2020-11-06T00:00:00"/>
    <n v="25"/>
    <n v="2"/>
    <n v="5"/>
  </r>
  <r>
    <n v="116"/>
    <s v="FC7"/>
    <s v="FOOD COLOUR YELLOW SMALL X 12"/>
    <s v="Food"/>
    <x v="1"/>
    <n v="10"/>
    <d v="2020-11-08T00:00:00"/>
    <n v="25"/>
    <n v="7"/>
    <n v="17.5"/>
  </r>
  <r>
    <n v="117"/>
    <s v="FC8"/>
    <s v="FOOD COLOUR YELLOW BIG X 20"/>
    <s v="Food"/>
    <x v="1"/>
    <n v="10"/>
    <d v="2020-11-10T00:00:00"/>
    <n v="25"/>
    <n v="9"/>
    <n v="22.5"/>
  </r>
  <r>
    <n v="118"/>
    <s v="A33"/>
    <s v="GAJAK 200 G X10"/>
    <s v="Food"/>
    <x v="1"/>
    <n v="10"/>
    <d v="2020-11-12T00:00:00"/>
    <n v="25"/>
    <n v="52"/>
    <n v="130"/>
  </r>
  <r>
    <n v="119"/>
    <s v="A34"/>
    <s v="GINGER FRESH 10KG"/>
    <s v="Food"/>
    <x v="1"/>
    <n v="10"/>
    <d v="2020-11-14T00:00:00"/>
    <n v="25"/>
    <n v="69"/>
    <n v="172.5"/>
  </r>
  <r>
    <n v="120"/>
    <s v="GT1"/>
    <s v="GITS DAHI BARA 200 X 10"/>
    <s v="Food"/>
    <x v="1"/>
    <n v="10"/>
    <d v="2020-11-16T00:00:00"/>
    <n v="25"/>
    <n v="77"/>
    <n v="192.5"/>
  </r>
  <r>
    <n v="121"/>
    <s v="GT2"/>
    <s v="GITS DOSAI 500 G X 5"/>
    <s v="Food"/>
    <x v="1"/>
    <n v="10"/>
    <d v="2020-11-18T00:00:00"/>
    <n v="25"/>
    <n v="84"/>
    <n v="210"/>
  </r>
  <r>
    <n v="122"/>
    <s v="GT3"/>
    <s v="GITS DOSAI MIX 200 G X 10"/>
    <s v="Food"/>
    <x v="1"/>
    <n v="10"/>
    <d v="2020-11-20T00:00:00"/>
    <n v="25"/>
    <n v="83"/>
    <n v="207.5"/>
  </r>
  <r>
    <n v="123"/>
    <s v="A128"/>
    <s v="BROKEN RISO 20KGX1"/>
    <s v="Food"/>
    <x v="1"/>
    <n v="10"/>
    <d v="2020-11-22T00:00:00"/>
    <n v="25"/>
    <n v="48"/>
    <n v="120"/>
  </r>
  <r>
    <n v="124"/>
    <s v="ID227"/>
    <s v="Z GINO POMODORO 400G X 24*"/>
    <s v="Food"/>
    <x v="1"/>
    <n v="10"/>
    <d v="2020-11-24T00:00:00"/>
    <n v="25"/>
    <n v="30"/>
    <n v="75"/>
  </r>
  <r>
    <n v="125"/>
    <s v="HD15"/>
    <s v="HR CHANA DAL 200 G X 10"/>
    <s v="Food"/>
    <x v="1"/>
    <n v="10"/>
    <d v="2020-11-26T00:00:00"/>
    <n v="25"/>
    <n v="20"/>
    <n v="50"/>
  </r>
  <r>
    <n v="126"/>
    <s v="HD16"/>
    <s v="HR CHANA DAL 400 G X 5"/>
    <s v="Food"/>
    <x v="1"/>
    <n v="10"/>
    <d v="2020-11-28T00:00:00"/>
    <n v="25"/>
    <n v="15"/>
    <n v="37.5"/>
  </r>
  <r>
    <n v="127"/>
    <s v="HD17"/>
    <s v="HR CHANA JORGARAM 200 G X10"/>
    <s v="Food"/>
    <x v="1"/>
    <n v="10"/>
    <d v="2020-11-30T00:00:00"/>
    <n v="25"/>
    <n v="10"/>
    <n v="25"/>
  </r>
  <r>
    <n v="128"/>
    <s v="HD18"/>
    <s v="HR COOKIES ALMOND 200 G X 24"/>
    <s v="Food"/>
    <x v="1"/>
    <n v="10"/>
    <d v="2020-12-02T00:00:00"/>
    <n v="25"/>
    <n v="9"/>
    <n v="22.5"/>
  </r>
  <r>
    <n v="129"/>
    <s v="HD19"/>
    <s v="HR COOKIES ALMOND&amp;PISTA 200 G X 24"/>
    <s v="Food"/>
    <x v="1"/>
    <n v="10"/>
    <d v="2020-12-04T00:00:00"/>
    <n v="25"/>
    <n v="13"/>
    <n v="32.5"/>
  </r>
  <r>
    <n v="130"/>
    <s v="HD20"/>
    <s v="HR COOKIES COCONUT 200 G X 24"/>
    <s v="Food"/>
    <x v="1"/>
    <n v="10"/>
    <d v="2020-12-06T00:00:00"/>
    <n v="25"/>
    <n v="55"/>
    <n v="137.5"/>
  </r>
  <r>
    <n v="131"/>
    <s v="HD21"/>
    <s v="HR COOKIES JEERA 200 G X 24"/>
    <s v="Food"/>
    <x v="1"/>
    <n v="10"/>
    <d v="2020-12-08T00:00:00"/>
    <n v="25"/>
    <n v="64"/>
    <n v="160"/>
  </r>
  <r>
    <n v="132"/>
    <s v="HD22"/>
    <s v="HR COOKIES KAJU&amp;PISTA  200 G X 24"/>
    <s v="Food"/>
    <x v="1"/>
    <n v="10"/>
    <d v="2020-12-10T00:00:00"/>
    <n v="25"/>
    <n v="74"/>
    <n v="185"/>
  </r>
  <r>
    <n v="133"/>
    <s v="HD23"/>
    <s v="HR COOKIES MULTIGRAIN 200 G X 24"/>
    <s v="Food"/>
    <x v="1"/>
    <n v="10"/>
    <d v="2020-12-12T00:00:00"/>
    <n v="25"/>
    <n v="89"/>
    <n v="222.5"/>
  </r>
  <r>
    <n v="134"/>
    <s v="HD24"/>
    <s v="HR DAL BIJI 200 G X 10"/>
    <s v="Food"/>
    <x v="1"/>
    <n v="10"/>
    <d v="2020-12-14T00:00:00"/>
    <n v="25"/>
    <n v="91"/>
    <n v="227.5"/>
  </r>
  <r>
    <n v="135"/>
    <s v="HD25"/>
    <s v="HR DRY PETHA 400 G X 20"/>
    <s v="Food"/>
    <x v="1"/>
    <n v="10"/>
    <d v="2020-12-16T00:00:00"/>
    <n v="25"/>
    <n v="90"/>
    <n v="225"/>
  </r>
  <r>
    <n v="136"/>
    <s v="HD26"/>
    <s v="HR BHELPURI FATAFAT 150 G X 6"/>
    <s v="Food"/>
    <x v="1"/>
    <n v="10"/>
    <d v="2020-12-18T00:00:00"/>
    <n v="25"/>
    <n v="50"/>
    <n v="125"/>
  </r>
  <r>
    <n v="137"/>
    <s v="HD27"/>
    <s v="HR GULAB JAMUN 1 KG X 12"/>
    <s v="Food"/>
    <x v="1"/>
    <n v="10"/>
    <d v="2020-12-20T00:00:00"/>
    <n v="25"/>
    <n v="30"/>
    <n v="75"/>
  </r>
  <r>
    <n v="138"/>
    <s v="HD28"/>
    <s v="HR KABALI CHANA 200 G X 10"/>
    <s v="Food"/>
    <x v="1"/>
    <n v="10"/>
    <d v="2020-12-22T00:00:00"/>
    <n v="25"/>
    <n v="23"/>
    <n v="57.5"/>
  </r>
  <r>
    <n v="139"/>
    <s v="HD29"/>
    <s v="HR KAJU MIX 200 G X 15"/>
    <s v="Food"/>
    <x v="1"/>
    <n v="10"/>
    <d v="2020-12-24T00:00:00"/>
    <n v="25"/>
    <n v="10"/>
    <n v="25"/>
  </r>
  <r>
    <n v="140"/>
    <s v="HD30"/>
    <s v="HR KALAM PETHA 1 KG X 12 offerta "/>
    <s v="Food"/>
    <x v="1"/>
    <n v="10"/>
    <d v="2020-12-26T00:00:00"/>
    <n v="25"/>
    <n v="2"/>
    <n v="5"/>
  </r>
  <r>
    <n v="141"/>
    <s v="HD31"/>
    <s v="HR KASHMIR MIX 200 G X 15"/>
    <s v="Food"/>
    <x v="1"/>
    <n v="10"/>
    <d v="2020-12-28T00:00:00"/>
    <n v="25"/>
    <n v="7"/>
    <n v="17.5"/>
  </r>
  <r>
    <n v="142"/>
    <s v="HD32"/>
    <s v="HR KASHMIRI MIX 400 G X 5"/>
    <s v="Food"/>
    <x v="1"/>
    <n v="10"/>
    <d v="2020-12-30T00:00:00"/>
    <n v="25"/>
    <n v="9"/>
    <n v="22.5"/>
  </r>
  <r>
    <n v="143"/>
    <s v="HD33"/>
    <s v="HR KHARI JEERA PUFF 200 G X 24"/>
    <s v="Food"/>
    <x v="1"/>
    <n v="10"/>
    <d v="2021-01-01T00:00:00"/>
    <n v="25"/>
    <n v="52"/>
    <n v="130"/>
  </r>
  <r>
    <n v="144"/>
    <s v="HD34"/>
    <s v="HR KHARI METHI PUFF 200 G X 24"/>
    <s v="Food"/>
    <x v="1"/>
    <n v="10"/>
    <d v="2021-01-03T00:00:00"/>
    <n v="25"/>
    <n v="69"/>
    <n v="172.5"/>
  </r>
  <r>
    <n v="145"/>
    <s v="HD35"/>
    <s v="HR KHARI PLAIN PUFF 200 G X 24"/>
    <s v="Food"/>
    <x v="1"/>
    <n v="10"/>
    <d v="2021-01-05T00:00:00"/>
    <n v="25"/>
    <n v="67"/>
    <n v="184.6"/>
  </r>
  <r>
    <n v="146"/>
    <s v="HD36"/>
    <s v="HR KHATTA MEETHA 200 G X 10"/>
    <s v="Food"/>
    <x v="1"/>
    <n v="10"/>
    <d v="2021-01-07T00:00:00"/>
    <n v="25"/>
    <n v="84"/>
    <n v="210"/>
  </r>
  <r>
    <n v="147"/>
    <s v="HD37"/>
    <s v="HR KHATTA METHA 400 G X 5"/>
    <s v="Food"/>
    <x v="1"/>
    <n v="10"/>
    <d v="2021-01-09T00:00:00"/>
    <n v="25"/>
    <n v="83"/>
    <n v="207.5"/>
  </r>
  <r>
    <n v="148"/>
    <s v="HD38"/>
    <s v="HR MATHRI 200 G X 10"/>
    <s v="Food"/>
    <x v="1"/>
    <n v="10"/>
    <d v="2021-01-11T00:00:00"/>
    <n v="25"/>
    <n v="88"/>
    <n v="220"/>
  </r>
  <r>
    <n v="149"/>
    <s v="HD39"/>
    <s v="HR MINT LACHHA 200 G X 5"/>
    <s v="Food"/>
    <x v="1"/>
    <n v="10"/>
    <d v="2021-01-13T00:00:00"/>
    <n v="25"/>
    <n v="86"/>
    <n v="215"/>
  </r>
  <r>
    <n v="150"/>
    <s v="HD40"/>
    <s v="HR MOONG DAL MAS 200 G X 10"/>
    <s v="Food"/>
    <x v="1"/>
    <n v="10"/>
    <d v="2021-01-15T00:00:00"/>
    <n v="25"/>
    <n v="87"/>
    <n v="217.5"/>
  </r>
  <r>
    <n v="151"/>
    <s v="HD41"/>
    <s v="HR MOONG DAL 200 G X 10"/>
    <s v="Food"/>
    <x v="1"/>
    <n v="10"/>
    <d v="2021-01-17T00:00:00"/>
    <n v="25"/>
    <n v="35"/>
    <n v="87.5"/>
  </r>
  <r>
    <n v="152"/>
    <s v="HD42"/>
    <s v="HR NAVRATAN 200 G X 10"/>
    <s v="Food"/>
    <x v="1"/>
    <n v="10"/>
    <d v="2021-01-19T00:00:00"/>
    <n v="25"/>
    <n v="23"/>
    <n v="57.5"/>
  </r>
  <r>
    <n v="153"/>
    <s v="HD43"/>
    <s v="HR NIMBU MAS 200 G X 10"/>
    <s v="Food"/>
    <x v="1"/>
    <n v="10"/>
    <d v="2021-01-21T00:00:00"/>
    <n v="25"/>
    <n v="10"/>
    <n v="25"/>
  </r>
  <r>
    <n v="154"/>
    <s v="HD44"/>
    <s v="HR NIMBU MASALA 400 G X 5"/>
    <s v="Food"/>
    <x v="1"/>
    <n v="10"/>
    <d v="2021-01-23T00:00:00"/>
    <n v="25"/>
    <n v="-13"/>
    <n v="-7.75"/>
  </r>
  <r>
    <n v="155"/>
    <s v="HD45"/>
    <s v="HR NUT CRACKERS 200 G X 15"/>
    <s v="Food"/>
    <x v="1"/>
    <n v="10"/>
    <d v="2021-01-25T00:00:00"/>
    <n v="25"/>
    <n v="7"/>
    <n v="17.5"/>
  </r>
  <r>
    <n v="156"/>
    <s v="HD46"/>
    <s v="HR PANCH RATAN 200 G X 10"/>
    <s v="Food"/>
    <x v="1"/>
    <n v="10"/>
    <d v="2021-01-27T00:00:00"/>
    <n v="25"/>
    <n v="13"/>
    <n v="32.5"/>
  </r>
  <r>
    <n v="157"/>
    <s v="HD47"/>
    <s v="HR PANI PURI 360 G X 12"/>
    <s v="Food"/>
    <x v="1"/>
    <n v="10"/>
    <d v="2021-01-29T00:00:00"/>
    <n v="25"/>
    <n v="55"/>
    <n v="137.5"/>
  </r>
  <r>
    <n v="158"/>
    <s v="HD48"/>
    <s v="HR PATISHA 500 G X 20"/>
    <s v="Food"/>
    <x v="1"/>
    <n v="10"/>
    <d v="2021-01-31T00:00:00"/>
    <n v="25"/>
    <n v="64"/>
    <n v="160"/>
  </r>
  <r>
    <n v="159"/>
    <s v="HD49"/>
    <s v="HR PUNJABI TAKDA 200 G X 10"/>
    <s v="Food"/>
    <x v="1"/>
    <n v="10"/>
    <d v="2021-02-02T00:00:00"/>
    <n v="25"/>
    <n v="74"/>
    <n v="185"/>
  </r>
  <r>
    <n v="160"/>
    <s v="HD50"/>
    <s v="HR RASGULLA 1 KG X 12 offerta "/>
    <s v="Food"/>
    <x v="1"/>
    <n v="10"/>
    <d v="2021-02-04T00:00:00"/>
    <n v="25"/>
    <n v="89"/>
    <n v="222.5"/>
  </r>
  <r>
    <n v="161"/>
    <s v="HD51"/>
    <s v="HR RASMALAI 1 KG X 12 offerta "/>
    <s v="Food"/>
    <x v="1"/>
    <n v="10"/>
    <d v="2021-02-06T00:00:00"/>
    <n v="25"/>
    <n v="91"/>
    <n v="227.5"/>
  </r>
  <r>
    <n v="162"/>
    <s v="HD52"/>
    <s v="HR SAMOSA 200 G X 10"/>
    <s v="Food"/>
    <x v="1"/>
    <n v="10"/>
    <d v="2021-02-08T00:00:00"/>
    <n v="25"/>
    <n v="53"/>
    <n v="132.5"/>
  </r>
  <r>
    <n v="163"/>
    <s v="HD53"/>
    <s v="HR SOAN CAKE DESI GHEE500 G X 20 "/>
    <s v="Food"/>
    <x v="1"/>
    <n v="10"/>
    <d v="2021-02-10T00:00:00"/>
    <n v="25"/>
    <n v="25"/>
    <n v="62.5"/>
  </r>
  <r>
    <n v="164"/>
    <s v="HD54"/>
    <s v="HR SOAN PAPADI 250 G X 40"/>
    <s v="Food"/>
    <x v="1"/>
    <n v="10"/>
    <d v="2021-02-12T00:00:00"/>
    <n v="25"/>
    <n v="12"/>
    <n v="30"/>
  </r>
  <r>
    <n v="165"/>
    <s v="HD55"/>
    <s v="HR SOAN PAPDI 500 G X 20"/>
    <s v="Food"/>
    <x v="1"/>
    <n v="10"/>
    <d v="2021-02-14T00:00:00"/>
    <n v="25"/>
    <n v="13"/>
    <n v="32.5"/>
  </r>
  <r>
    <n v="166"/>
    <s v="HD56"/>
    <s v="HR SOAN PAPDI GUR &amp; TIL 500 G X 20"/>
    <s v="Food"/>
    <x v="1"/>
    <n v="10"/>
    <d v="2021-02-16T00:00:00"/>
    <n v="25"/>
    <n v="-6"/>
    <n v="12.600000000000001"/>
  </r>
  <r>
    <n v="167"/>
    <s v="HD57"/>
    <s v="HR SOYSTIX CHATPATA MAS 150 G X 6   *Offerta*"/>
    <s v="Food"/>
    <x v="1"/>
    <n v="10"/>
    <d v="2021-02-18T00:00:00"/>
    <n v="25"/>
    <n v="6"/>
    <n v="15"/>
  </r>
  <r>
    <n v="168"/>
    <s v="HD58"/>
    <s v="HRR CHOLEY MASALA300 G X 40    *offerta*"/>
    <s v="Food"/>
    <x v="1"/>
    <n v="10"/>
    <d v="2021-02-20T00:00:00"/>
    <n v="25"/>
    <n v="18"/>
    <n v="45"/>
  </r>
  <r>
    <n v="169"/>
    <s v="HD59"/>
    <s v="HRR DAL MAKHANI 300 G X 40"/>
    <s v="Food"/>
    <x v="1"/>
    <n v="10"/>
    <d v="2021-02-22T00:00:00"/>
    <n v="25"/>
    <n v="58"/>
    <n v="145"/>
  </r>
  <r>
    <n v="170"/>
    <s v="HD60"/>
    <s v="HRR DUM ALOO X 40"/>
    <s v="Food"/>
    <x v="1"/>
    <n v="10"/>
    <d v="2021-02-24T00:00:00"/>
    <n v="25"/>
    <n v="59"/>
    <n v="147.5"/>
  </r>
  <r>
    <n v="171"/>
    <s v="HD61"/>
    <s v="HRR VEG. PULO 300 G X 40"/>
    <s v="Food"/>
    <x v="1"/>
    <n v="10"/>
    <d v="2021-02-26T00:00:00"/>
    <n v="25"/>
    <n v="66"/>
    <n v="165"/>
  </r>
  <r>
    <n v="172"/>
    <s v="HD62"/>
    <s v="HRR KADHAI PAKORA 300 G X 40"/>
    <s v="Food"/>
    <x v="1"/>
    <n v="10"/>
    <d v="2021-02-28T00:00:00"/>
    <n v="25"/>
    <n v="87"/>
    <n v="217.5"/>
  </r>
  <r>
    <n v="173"/>
    <s v="HD63"/>
    <s v="HRR  MIX VEGETABLE 300 G X 40"/>
    <s v="Food"/>
    <x v="1"/>
    <n v="10"/>
    <d v="2021-03-02T00:00:00"/>
    <n v="25"/>
    <n v="87"/>
    <n v="217.5"/>
  </r>
  <r>
    <n v="174"/>
    <s v="HD64"/>
    <s v="HRR PANEER MAKHANI 300 G X 40"/>
    <s v="Food"/>
    <x v="1"/>
    <n v="10"/>
    <d v="2021-03-04T00:00:00"/>
    <n v="25"/>
    <n v="47"/>
    <n v="117.5"/>
  </r>
  <r>
    <n v="175"/>
    <s v="HD65"/>
    <s v="HRR PAV BHAJI 300 G X 40"/>
    <s v="Food"/>
    <x v="1"/>
    <n v="10"/>
    <d v="2021-03-06T00:00:00"/>
    <n v="25"/>
    <n v="35"/>
    <n v="87.5"/>
  </r>
  <r>
    <n v="176"/>
    <s v="HD66"/>
    <s v="HRR RAJMA RASEELA 300 G X 40"/>
    <s v="Food"/>
    <x v="1"/>
    <n v="10"/>
    <d v="2021-03-08T00:00:00"/>
    <n v="25"/>
    <n v="-17"/>
    <n v="37.1"/>
  </r>
  <r>
    <n v="177"/>
    <s v="HD67"/>
    <s v="HRR SARSOON KA SAAG X 40"/>
    <s v="Food"/>
    <x v="1"/>
    <n v="10"/>
    <d v="2021-03-10T00:00:00"/>
    <n v="25"/>
    <n v="10"/>
    <n v="25"/>
  </r>
  <r>
    <n v="178"/>
    <s v="HD68"/>
    <s v="HRR YELLOW DAL TADKA 300 G X 40"/>
    <s v="Food"/>
    <x v="1"/>
    <n v="10"/>
    <d v="2021-03-12T00:00:00"/>
    <n v="25"/>
    <n v="2"/>
    <n v="5"/>
  </r>
  <r>
    <n v="179"/>
    <s v="A51"/>
    <s v="IODEX X 10"/>
    <s v="Food"/>
    <x v="1"/>
    <n v="10"/>
    <d v="2021-03-14T00:00:00"/>
    <n v="25"/>
    <n v="7"/>
    <n v="17.5"/>
  </r>
  <r>
    <n v="180"/>
    <s v="A52"/>
    <s v="ISABGUL BHUSI 100 G X 10"/>
    <s v="Food"/>
    <x v="1"/>
    <n v="10"/>
    <d v="2021-03-16T00:00:00"/>
    <n v="25"/>
    <n v="13"/>
    <n v="32.5"/>
  </r>
  <r>
    <n v="181"/>
    <s v="A53"/>
    <s v="ISABGUL BHUSI 200 G X 5"/>
    <s v="Food"/>
    <x v="1"/>
    <n v="10"/>
    <d v="2021-03-18T00:00:00"/>
    <n v="25"/>
    <n v="55"/>
    <n v="137.5"/>
  </r>
  <r>
    <n v="182"/>
    <s v="J1"/>
    <s v="JCR PUNJABI PAKORA 150 G X 12"/>
    <s v="Food"/>
    <x v="1"/>
    <n v="10"/>
    <d v="2021-03-20T00:00:00"/>
    <n v="25"/>
    <n v="64"/>
    <n v="160"/>
  </r>
  <r>
    <n v="183"/>
    <s v="J2"/>
    <s v="JCR PUNJABI PAKORA 600 G X 7"/>
    <s v="Food"/>
    <x v="1"/>
    <n v="10"/>
    <d v="2021-03-22T00:00:00"/>
    <n v="25"/>
    <n v="74"/>
    <n v="185"/>
  </r>
  <r>
    <n v="184"/>
    <s v="J3"/>
    <s v="JCR PUNJABI PAKORA 700 G X 6"/>
    <s v="Food"/>
    <x v="1"/>
    <n v="10"/>
    <d v="2021-03-24T00:00:00"/>
    <n v="25"/>
    <n v="89"/>
    <n v="222.5"/>
  </r>
  <r>
    <n v="185"/>
    <s v="J4"/>
    <s v="JCR PUNJABI PAKORA 300 G X 10"/>
    <s v="Food"/>
    <x v="1"/>
    <n v="10"/>
    <d v="2021-03-26T00:00:00"/>
    <n v="25"/>
    <n v="94"/>
    <n v="235"/>
  </r>
  <r>
    <n v="186"/>
    <s v="J5"/>
    <s v="JCR SWEET MAKHANA 300 G X 10"/>
    <s v="Food"/>
    <x v="1"/>
    <n v="10"/>
    <d v="2021-03-28T00:00:00"/>
    <n v="25"/>
    <n v="85"/>
    <n v="212.5"/>
  </r>
  <r>
    <n v="187"/>
    <s v="KO20"/>
    <s v="KOH SARSOON KA SAAG READY2EAT  X30"/>
    <s v="Food"/>
    <x v="1"/>
    <n v="10"/>
    <d v="2021-03-30T00:00:00"/>
    <n v="25"/>
    <n v="42"/>
    <n v="105"/>
  </r>
  <r>
    <n v="188"/>
    <s v="KO21"/>
    <s v="KOH SHAHI PANEER READY2EAT X30"/>
    <s v="Food"/>
    <x v="1"/>
    <n v="10"/>
    <d v="2021-04-01T00:00:00"/>
    <n v="25"/>
    <n v="28"/>
    <n v="70"/>
  </r>
  <r>
    <n v="189"/>
    <s v="KT1"/>
    <s v="KTC ALMOND OIL 200 ML X 12"/>
    <s v="Food"/>
    <x v="1"/>
    <n v="10"/>
    <d v="2021-04-03T00:00:00"/>
    <n v="25"/>
    <n v="16"/>
    <n v="40"/>
  </r>
  <r>
    <n v="190"/>
    <s v="KT2"/>
    <s v="KTC ALMOND OIL 300 ML X 12"/>
    <s v="Food"/>
    <x v="1"/>
    <n v="10"/>
    <d v="2021-04-05T00:00:00"/>
    <n v="25"/>
    <n v="12"/>
    <n v="30"/>
  </r>
  <r>
    <n v="191"/>
    <s v="KT3"/>
    <s v="KTC ALMOND OIL 500 ML X 12"/>
    <s v="Food"/>
    <x v="1"/>
    <n v="10"/>
    <d v="2021-04-07T00:00:00"/>
    <n v="25"/>
    <n v="15"/>
    <n v="37.5"/>
  </r>
  <r>
    <n v="192"/>
    <s v="KT4"/>
    <s v="KTC ALMOND OIL 750 ML X 6"/>
    <s v="Food"/>
    <x v="1"/>
    <n v="10"/>
    <d v="2021-04-09T00:00:00"/>
    <n v="25"/>
    <n v="12"/>
    <n v="30"/>
  </r>
  <r>
    <n v="193"/>
    <s v="KT5"/>
    <s v="KTC ALSI OIL 250 ML X 12"/>
    <s v="Food"/>
    <x v="1"/>
    <n v="10"/>
    <d v="2021-04-11T00:00:00"/>
    <n v="25"/>
    <n v="8"/>
    <n v="20"/>
  </r>
  <r>
    <n v="194"/>
    <s v="KT6"/>
    <s v="KTC BEST GHEE 2 KG X 6"/>
    <s v="Food"/>
    <x v="1"/>
    <n v="10"/>
    <d v="2021-04-13T00:00:00"/>
    <n v="25"/>
    <n v="47"/>
    <n v="117.5"/>
  </r>
  <r>
    <n v="195"/>
    <s v="KT7"/>
    <s v="KTC BOILED CHICK PEAS 400 G X 12"/>
    <s v="Food"/>
    <x v="1"/>
    <n v="10"/>
    <d v="2021-04-15T00:00:00"/>
    <n v="25"/>
    <n v="62"/>
    <n v="155"/>
  </r>
  <r>
    <n v="196"/>
    <s v="KT8"/>
    <s v="KTC CASTOR OIL 250 ML X 12"/>
    <s v="Food"/>
    <x v="1"/>
    <n v="10"/>
    <d v="2021-04-17T00:00:00"/>
    <n v="25"/>
    <n v="70"/>
    <n v="175"/>
  </r>
  <r>
    <n v="197"/>
    <s v="KT9"/>
    <s v="KTC CHAMMELI OIL 165 ML X 12"/>
    <s v="Food"/>
    <x v="1"/>
    <n v="10"/>
    <d v="2021-04-19T00:00:00"/>
    <n v="25"/>
    <n v="86"/>
    <n v="215"/>
  </r>
  <r>
    <n v="198"/>
    <s v="KT10"/>
    <s v="KTC COCONUT COOKING OIL 650 ML X 6"/>
    <s v="Food"/>
    <x v="1"/>
    <n v="10"/>
    <d v="2021-04-21T00:00:00"/>
    <n v="25"/>
    <n v="96"/>
    <n v="240"/>
  </r>
  <r>
    <n v="199"/>
    <s v="KT11"/>
    <s v="KTC COCONUT MILK 400 ML X 12"/>
    <s v="Food"/>
    <x v="1"/>
    <n v="10"/>
    <d v="2021-04-23T00:00:00"/>
    <n v="25"/>
    <n v="93"/>
    <n v="232.5"/>
  </r>
  <r>
    <n v="200"/>
    <s v="KT12"/>
    <s v="KTC COCONUT OIL 250 ML X 12"/>
    <s v="Food"/>
    <x v="1"/>
    <n v="10"/>
    <d v="2021-04-25T00:00:00"/>
    <n v="25"/>
    <n v="85"/>
    <n v="212.5"/>
  </r>
  <r>
    <n v="201"/>
    <s v="KT13"/>
    <s v="KTC COCONUT OIL 500 ML X 12"/>
    <s v="Food"/>
    <x v="1"/>
    <n v="10"/>
    <d v="2021-04-27T00:00:00"/>
    <n v="25"/>
    <n v="82"/>
    <n v="205"/>
  </r>
  <r>
    <n v="202"/>
    <s v="KT14"/>
    <s v="KTC GHEE 1 KG X 6"/>
    <s v="Food"/>
    <x v="1"/>
    <n v="10"/>
    <d v="2021-04-29T00:00:00"/>
    <n v="25"/>
    <n v="88"/>
    <n v="220"/>
  </r>
  <r>
    <n v="203"/>
    <s v="KT15"/>
    <s v="KTC GHEE 2 KG X 4"/>
    <s v="Food"/>
    <x v="1"/>
    <n v="10"/>
    <d v="2021-05-01T00:00:00"/>
    <n v="25"/>
    <n v="30"/>
    <n v="75"/>
  </r>
  <r>
    <n v="204"/>
    <s v="KT16"/>
    <s v="KTC GHEE 500 G X 12"/>
    <s v="Food"/>
    <x v="1"/>
    <n v="10"/>
    <d v="2021-05-03T00:00:00"/>
    <n v="25"/>
    <n v="20"/>
    <n v="50"/>
  </r>
  <r>
    <n v="205"/>
    <s v="KT17"/>
    <s v="KTC GRAM FLOUR 1 KG X 12"/>
    <s v="Food"/>
    <x v="1"/>
    <n v="10"/>
    <d v="2021-05-05T00:00:00"/>
    <n v="25"/>
    <n v="15"/>
    <n v="37.5"/>
  </r>
  <r>
    <n v="206"/>
    <s v="KT18"/>
    <s v="KTC JASMIN OIL 250 ML X 12"/>
    <s v="Food"/>
    <x v="1"/>
    <n v="10"/>
    <d v="2021-05-07T00:00:00"/>
    <n v="25"/>
    <n v="10"/>
    <n v="25"/>
  </r>
  <r>
    <n v="207"/>
    <s v="KT19"/>
    <s v="KTC JASMINE OIL 500 ML X 12"/>
    <s v="Food"/>
    <x v="1"/>
    <n v="10"/>
    <d v="2021-05-09T00:00:00"/>
    <n v="25"/>
    <n v="9"/>
    <n v="22.5"/>
  </r>
  <r>
    <n v="208"/>
    <s v="KT20"/>
    <s v="KTC MUSTARD OIL 250 ML X 12"/>
    <s v="Food"/>
    <x v="1"/>
    <n v="10"/>
    <d v="2021-05-11T00:00:00"/>
    <n v="25"/>
    <n v="16"/>
    <n v="40"/>
  </r>
  <r>
    <n v="209"/>
    <s v="KT21"/>
    <s v="KTC MUSTARD OIL 4LT X 4"/>
    <s v="Food"/>
    <x v="1"/>
    <n v="10"/>
    <d v="2021-05-13T00:00:00"/>
    <n v="25"/>
    <n v="50"/>
    <n v="125"/>
  </r>
  <r>
    <n v="210"/>
    <s v="KT22"/>
    <s v="KTC MUSTARD OIL 500 ML X 12"/>
    <s v="Food"/>
    <x v="2"/>
    <n v="10"/>
    <d v="2021-05-15T00:00:00"/>
    <n v="25"/>
    <n v="56"/>
    <n v="140"/>
  </r>
  <r>
    <n v="211"/>
    <s v="KT23"/>
    <s v="KTC MUSTARD OIL 750 ML X 12"/>
    <s v="Food"/>
    <x v="2"/>
    <n v="10"/>
    <d v="2021-05-17T00:00:00"/>
    <n v="25"/>
    <n v="72"/>
    <n v="180"/>
  </r>
  <r>
    <n v="212"/>
    <s v="KT24"/>
    <s v="KTC OLIVE OIL 5 LT X 4"/>
    <s v="Food"/>
    <x v="2"/>
    <n v="10"/>
    <d v="2021-05-19T00:00:00"/>
    <n v="25"/>
    <n v="85"/>
    <n v="212.5"/>
  </r>
  <r>
    <n v="213"/>
    <s v="KT25"/>
    <s v="KTC RAAT KI RANI HAIR OIL 165 ML X 12"/>
    <s v="Food"/>
    <x v="2"/>
    <n v="10"/>
    <d v="2021-05-21T00:00:00"/>
    <n v="25"/>
    <n v="88"/>
    <n v="220"/>
  </r>
  <r>
    <n v="214"/>
    <s v="KT26"/>
    <s v="KTC SESAME OIL 650 ML X 12"/>
    <s v="Food"/>
    <x v="2"/>
    <n v="10"/>
    <d v="2021-05-23T00:00:00"/>
    <n v="25"/>
    <n v="55"/>
    <n v="137.5"/>
  </r>
  <r>
    <n v="215"/>
    <s v="KT27"/>
    <s v="KTC SESAME OIL 250 ML X 12"/>
    <s v="Food"/>
    <x v="2"/>
    <n v="10"/>
    <d v="2021-05-25T00:00:00"/>
    <n v="25"/>
    <n v="33"/>
    <n v="82.5"/>
  </r>
  <r>
    <n v="216"/>
    <s v="KT28"/>
    <s v="KTC SUNFLOWER OIL 1 LT X 15"/>
    <s v="Food"/>
    <x v="2"/>
    <n v="10"/>
    <d v="2021-05-27T00:00:00"/>
    <n v="25"/>
    <n v="15"/>
    <n v="37.5"/>
  </r>
  <r>
    <n v="217"/>
    <s v="LA1"/>
    <s v="LAILA BASMATI 5 KG X 4"/>
    <s v="Food"/>
    <x v="2"/>
    <n v="10"/>
    <d v="2021-05-29T00:00:00"/>
    <n v="25"/>
    <n v="7"/>
    <n v="17.5"/>
  </r>
  <r>
    <n v="218"/>
    <s v="LA2"/>
    <s v="LAILA BROKEN 5 KG X 4"/>
    <s v="Food"/>
    <x v="2"/>
    <n v="10"/>
    <d v="2021-05-31T00:00:00"/>
    <n v="25"/>
    <n v="8"/>
    <n v="20"/>
  </r>
  <r>
    <n v="219"/>
    <s v="LA3"/>
    <s v="LAILA BROKEN RICE 20 KG"/>
    <s v="Food"/>
    <x v="2"/>
    <n v="10"/>
    <d v="2021-06-02T00:00:00"/>
    <n v="25"/>
    <n v="5"/>
    <n v="12.5"/>
  </r>
  <r>
    <n v="220"/>
    <s v="LA4"/>
    <s v="LAILA GINGER &amp; GARLIC PASTE 1 KG X 6"/>
    <s v="Food"/>
    <x v="2"/>
    <n v="10"/>
    <d v="2021-06-04T00:00:00"/>
    <n v="25"/>
    <n v="10"/>
    <n v="25"/>
  </r>
  <r>
    <n v="221"/>
    <s v="LA5"/>
    <s v="LAILA IDLI RICE 5 KG X 4"/>
    <s v="Food"/>
    <x v="2"/>
    <n v="10"/>
    <d v="2021-06-06T00:00:00"/>
    <n v="25"/>
    <n v="60"/>
    <n v="150"/>
  </r>
  <r>
    <n v="222"/>
    <s v="LA6"/>
    <s v="LAILA MADRAS PLAIN PAPAD 200 G X 10"/>
    <s v="Food"/>
    <x v="2"/>
    <n v="10"/>
    <d v="2021-06-08T00:00:00"/>
    <n v="25"/>
    <n v="67"/>
    <n v="167.5"/>
  </r>
  <r>
    <n v="223"/>
    <s v="LA7"/>
    <s v="LAILA SONA MASOORI 5 KG X 4"/>
    <s v="Food"/>
    <x v="2"/>
    <n v="10"/>
    <d v="2021-06-10T00:00:00"/>
    <n v="25"/>
    <n v="69"/>
    <n v="172.5"/>
  </r>
  <r>
    <n v="224"/>
    <s v="LA8"/>
    <s v="LAILA XTRA LONG GRAIN RICE 2 KG X 6"/>
    <s v="Food"/>
    <x v="2"/>
    <n v="10"/>
    <d v="2021-06-12T00:00:00"/>
    <n v="25"/>
    <n v="81"/>
    <n v="202.5"/>
  </r>
  <r>
    <n v="225"/>
    <s v="LA9"/>
    <s v="LAILA XTRA LONG GRAIN RICE 5 KG X 4"/>
    <s v="Food"/>
    <x v="2"/>
    <n v="10"/>
    <d v="2021-06-14T00:00:00"/>
    <n v="25"/>
    <n v="89"/>
    <n v="222.5"/>
  </r>
  <r>
    <n v="226"/>
    <s v="LZ1"/>
    <s v="LAZ ACHAR GHOST 100 G X 6"/>
    <s v="Food"/>
    <x v="2"/>
    <n v="10"/>
    <d v="2021-06-16T00:00:00"/>
    <n v="25"/>
    <n v="50"/>
    <n v="125"/>
  </r>
  <r>
    <n v="227"/>
    <s v="LZ2"/>
    <s v="LAZ ALUBUKHARA CHUTNEY 400GX12"/>
    <s v="Food"/>
    <x v="2"/>
    <n v="10"/>
    <d v="2021-06-18T00:00:00"/>
    <n v="25"/>
    <n v="30"/>
    <n v="75"/>
  </r>
  <r>
    <n v="228"/>
    <s v="LZ3"/>
    <s v="LAZ BARYANI MASALA 100GX6"/>
    <s v="Food"/>
    <x v="2"/>
    <n v="10"/>
    <d v="2021-06-20T00:00:00"/>
    <n v="25"/>
    <n v="20"/>
    <n v="50"/>
  </r>
  <r>
    <n v="229"/>
    <s v="LZ4"/>
    <s v="LAZ CHANA MASALA 100GX6"/>
    <s v="Food"/>
    <x v="2"/>
    <n v="10"/>
    <d v="2021-06-22T00:00:00"/>
    <n v="25"/>
    <n v="15"/>
    <n v="37.5"/>
  </r>
  <r>
    <n v="230"/>
    <s v="LZ5"/>
    <s v="LAZ CHAPLI KEBAB 100GX6"/>
    <s v="Food"/>
    <x v="2"/>
    <n v="10"/>
    <d v="2021-06-24T00:00:00"/>
    <n v="25"/>
    <n v="10"/>
    <n v="25"/>
  </r>
  <r>
    <n v="231"/>
    <s v="LZ6"/>
    <s v="LAZ CHAT MASALA 100GX6"/>
    <s v="Food"/>
    <x v="2"/>
    <n v="10"/>
    <d v="2021-06-26T00:00:00"/>
    <n v="25"/>
    <n v="12"/>
    <n v="30"/>
  </r>
  <r>
    <n v="232"/>
    <s v="LZ7"/>
    <s v="LAZ CHICKEN BROAST X 6"/>
    <s v="Food"/>
    <x v="2"/>
    <n v="10"/>
    <d v="2021-06-28T00:00:00"/>
    <n v="25"/>
    <n v="8"/>
    <n v="20"/>
  </r>
  <r>
    <n v="233"/>
    <s v="LZ8"/>
    <s v="LAZ CHICKEN GINGER X 6"/>
    <s v="Food"/>
    <x v="2"/>
    <n v="10"/>
    <d v="2021-06-30T00:00:00"/>
    <n v="25"/>
    <n v="41"/>
    <n v="114.5"/>
  </r>
  <r>
    <n v="234"/>
    <s v="LZ9"/>
    <s v="LAZ CHICKEN MASALA X 6"/>
    <s v="Food"/>
    <x v="2"/>
    <n v="10"/>
    <d v="2021-07-02T00:00:00"/>
    <n v="25"/>
    <n v="56"/>
    <n v="152"/>
  </r>
  <r>
    <n v="235"/>
    <s v="LZ10"/>
    <s v="LAZ CHICKEN TIKKA 100 G X 6"/>
    <s v="Food"/>
    <x v="2"/>
    <n v="10"/>
    <d v="2021-07-04T00:00:00"/>
    <n v="25"/>
    <n v="70"/>
    <n v="175"/>
  </r>
  <r>
    <n v="236"/>
    <s v="LZ11"/>
    <s v="LAZ CHUTNEY RAITA  X 6"/>
    <s v="Food"/>
    <x v="2"/>
    <n v="10"/>
    <d v="2021-07-06T00:00:00"/>
    <n v="25"/>
    <n v="86"/>
    <n v="215"/>
  </r>
  <r>
    <n v="237"/>
    <s v="LZ12"/>
    <s v="LAZ DELHI PULAO BIR 100 GX 6"/>
    <s v="Food"/>
    <x v="2"/>
    <n v="10"/>
    <d v="2021-07-08T00:00:00"/>
    <n v="25"/>
    <n v="96"/>
    <n v="240"/>
  </r>
  <r>
    <n v="238"/>
    <s v="LZ13"/>
    <s v="LAZ FISH MASALA 100 G X 6"/>
    <s v="Food"/>
    <x v="2"/>
    <n v="10"/>
    <d v="2021-07-10T00:00:00"/>
    <n v="25"/>
    <n v="93"/>
    <n v="232.5"/>
  </r>
  <r>
    <n v="239"/>
    <s v="LZ14"/>
    <s v="LAZ GAJAR HALWA 155 G X 6"/>
    <s v="Food"/>
    <x v="2"/>
    <n v="10"/>
    <d v="2021-07-12T00:00:00"/>
    <n v="25"/>
    <n v="45"/>
    <n v="112.5"/>
  </r>
  <r>
    <n v="240"/>
    <s v="LZ15"/>
    <s v="LAZ KHEER GAJAR 155 G X 6"/>
    <s v="Food"/>
    <x v="2"/>
    <n v="10"/>
    <d v="2021-07-14T00:00:00"/>
    <n v="25"/>
    <n v="22"/>
    <n v="55"/>
  </r>
  <r>
    <n v="241"/>
    <s v="LZ16"/>
    <s v="LAZ HALEEM MASALA 100 G X 6"/>
    <s v="Food"/>
    <x v="2"/>
    <n v="10"/>
    <d v="2021-07-16T00:00:00"/>
    <n v="25"/>
    <n v="18"/>
    <n v="45"/>
  </r>
  <r>
    <n v="242"/>
    <s v="LZ17"/>
    <s v="LAZ HALEEM MIX MASALA 375 G X 6"/>
    <s v="Food"/>
    <x v="2"/>
    <n v="10"/>
    <d v="2021-07-18T00:00:00"/>
    <n v="25"/>
    <n v="11"/>
    <n v="27.5"/>
  </r>
  <r>
    <n v="243"/>
    <s v="LZ18"/>
    <s v="LAZ FALOODA JELLY 235 G X 6"/>
    <s v="Food"/>
    <x v="2"/>
    <n v="10"/>
    <d v="2021-07-20T00:00:00"/>
    <n v="25"/>
    <n v="7"/>
    <n v="17.5"/>
  </r>
  <r>
    <n v="244"/>
    <s v="LZ19"/>
    <s v="LAZ KARAHI/FRY GHOST MAS 90 G X 6 "/>
    <s v="Food"/>
    <x v="2"/>
    <n v="10"/>
    <d v="2021-07-22T00:00:00"/>
    <n v="25"/>
    <n v="14"/>
    <n v="35"/>
  </r>
  <r>
    <n v="245"/>
    <s v="LZ20"/>
    <s v="LAZ FALOODA KESAR X 6"/>
    <s v="Food"/>
    <x v="2"/>
    <n v="10"/>
    <d v="2021-07-24T00:00:00"/>
    <n v="25"/>
    <n v="10"/>
    <n v="34.06"/>
  </r>
  <r>
    <n v="246"/>
    <s v="LZ21"/>
    <s v="LAZ KHEER A+S 155 G X 6"/>
    <s v="Food"/>
    <x v="2"/>
    <n v="10"/>
    <d v="2021-07-26T00:00:00"/>
    <n v="25"/>
    <n v="50"/>
    <n v="125"/>
  </r>
  <r>
    <n v="247"/>
    <s v="LZ22"/>
    <s v="LAZ KHEER MIX P+C 155 G X 6"/>
    <s v="Food"/>
    <x v="2"/>
    <n v="10"/>
    <d v="2021-07-28T00:00:00"/>
    <n v="25"/>
    <n v="56"/>
    <n v="140"/>
  </r>
  <r>
    <n v="248"/>
    <s v="HD75"/>
    <s v="HR GUJRATI MIX 200GX10"/>
    <s v="Food"/>
    <x v="2"/>
    <n v="10"/>
    <d v="2021-07-30T00:00:00"/>
    <n v="25"/>
    <n v="72"/>
    <n v="180"/>
  </r>
  <r>
    <n v="249"/>
    <s v="HE69"/>
    <s v="HEERA BJ BOMBAY MIX 350X6"/>
    <s v="Food"/>
    <x v="2"/>
    <n v="10"/>
    <d v="2021-08-01T00:00:00"/>
    <n v="25"/>
    <n v="89"/>
    <n v="222.5"/>
  </r>
  <r>
    <n v="250"/>
    <s v="HE57"/>
    <s v="HEERA TIN NAVRATAN KORMA450GX12"/>
    <s v="Food"/>
    <x v="2"/>
    <n v="10"/>
    <d v="2021-08-03T00:00:00"/>
    <n v="25"/>
    <n v="91"/>
    <n v="227.5"/>
  </r>
  <r>
    <n v="251"/>
    <s v="GT4"/>
    <s v="GITS G J MIX 100 G X 10"/>
    <s v="Food"/>
    <x v="2"/>
    <n v="10"/>
    <d v="2021-08-05T00:00:00"/>
    <n v="25"/>
    <n v="90"/>
    <n v="225"/>
  </r>
  <r>
    <n v="252"/>
    <s v="GT5"/>
    <s v="GITS G J MIX 200 G X 10"/>
    <s v="Food"/>
    <x v="2"/>
    <n v="10"/>
    <d v="2021-08-07T00:00:00"/>
    <n v="25"/>
    <n v="90"/>
    <n v="225"/>
  </r>
  <r>
    <n v="253"/>
    <s v="GT6"/>
    <s v="GITS G J MIX 500 G X 5"/>
    <s v="Food"/>
    <x v="2"/>
    <n v="10"/>
    <d v="2021-08-09T00:00:00"/>
    <n v="25"/>
    <n v="93"/>
    <n v="232.5"/>
  </r>
  <r>
    <n v="254"/>
    <s v="GT7"/>
    <s v="GITS IDLI 200 G X 10"/>
    <s v="Food"/>
    <x v="2"/>
    <n v="10"/>
    <d v="2021-08-11T00:00:00"/>
    <n v="25"/>
    <n v="85"/>
    <n v="212.5"/>
  </r>
  <r>
    <n v="255"/>
    <s v="GT8"/>
    <s v="GITS IDLI 500 G X 5"/>
    <s v="Food"/>
    <x v="2"/>
    <n v="10"/>
    <d v="2021-08-13T00:00:00"/>
    <n v="25"/>
    <n v="82"/>
    <n v="205"/>
  </r>
  <r>
    <n v="256"/>
    <s v="GT9"/>
    <s v="GITS JILEBI MIX 100 G X 10"/>
    <s v="Food"/>
    <x v="2"/>
    <n v="10"/>
    <d v="2021-08-15T00:00:00"/>
    <n v="25"/>
    <n v="88"/>
    <n v="220"/>
  </r>
  <r>
    <n v="257"/>
    <s v="GT10"/>
    <s v="GITS JILEBI MIX WITH MAKER100 G X 5"/>
    <s v="Food"/>
    <x v="2"/>
    <n v="10"/>
    <d v="2021-08-17T00:00:00"/>
    <n v="25"/>
    <n v="26"/>
    <n v="65"/>
  </r>
  <r>
    <n v="258"/>
    <s v="GT11"/>
    <s v="GITS PAKORA 200 G X 10"/>
    <s v="Food"/>
    <x v="2"/>
    <n v="10"/>
    <d v="2021-08-19T00:00:00"/>
    <n v="25"/>
    <n v="17"/>
    <n v="42.5"/>
  </r>
  <r>
    <n v="259"/>
    <s v="GT12"/>
    <s v="GITS SAMBHAR MIX 100GX10"/>
    <s v="Food"/>
    <x v="2"/>
    <n v="10"/>
    <d v="2021-08-21T00:00:00"/>
    <n v="25"/>
    <n v="20"/>
    <n v="50"/>
  </r>
  <r>
    <n v="260"/>
    <s v="A35"/>
    <s v="GREEN TEA 250 G X 48"/>
    <s v="Food"/>
    <x v="2"/>
    <n v="10"/>
    <d v="2021-08-23T00:00:00"/>
    <n v="25"/>
    <n v="13"/>
    <n v="32.5"/>
  </r>
  <r>
    <n v="261"/>
    <s v="A36"/>
    <s v="GREEN TEA RED- 250 G X 48"/>
    <s v="Food"/>
    <x v="2"/>
    <n v="10"/>
    <d v="2021-08-25T00:00:00"/>
    <n v="25"/>
    <n v="4"/>
    <n v="10"/>
  </r>
  <r>
    <n v="262"/>
    <s v="A37"/>
    <s v="GREEN TEA CAMEL 4011 200 G X 48"/>
    <s v="Food"/>
    <x v="2"/>
    <n v="10"/>
    <d v="2021-08-27T00:00:00"/>
    <n v="25"/>
    <n v="5"/>
    <n v="12.5"/>
  </r>
  <r>
    <n v="263"/>
    <s v="A38"/>
    <s v="GRIPE WATER 150 ML X 6"/>
    <s v="Food"/>
    <x v="2"/>
    <n v="10"/>
    <d v="2021-08-29T00:00:00"/>
    <n v="25"/>
    <n v="53"/>
    <n v="132.5"/>
  </r>
  <r>
    <n v="264"/>
    <s v="A39"/>
    <s v="GRIPE WATER X12"/>
    <s v="Food"/>
    <x v="2"/>
    <n v="10"/>
    <d v="2021-08-31T00:00:00"/>
    <n v="25"/>
    <n v="60"/>
    <n v="150"/>
  </r>
  <r>
    <n v="265"/>
    <s v="A40"/>
    <s v="HARISSA 135 G X 30"/>
    <s v="Food"/>
    <x v="2"/>
    <n v="10"/>
    <d v="2021-09-02T00:00:00"/>
    <n v="25"/>
    <n v="71"/>
    <n v="177.5"/>
  </r>
  <r>
    <n v="266"/>
    <s v="A41"/>
    <s v="HARISSA 380 G X 24"/>
    <s v="Food"/>
    <x v="2"/>
    <n v="10"/>
    <d v="2021-09-04T00:00:00"/>
    <n v="25"/>
    <n v="94"/>
    <n v="235"/>
  </r>
  <r>
    <n v="267"/>
    <s v="A42"/>
    <s v="HASHMI KAJAL X10"/>
    <s v="Food"/>
    <x v="2"/>
    <n v="10"/>
    <d v="2021-09-06T00:00:00"/>
    <n v="25"/>
    <n v="94"/>
    <n v="235"/>
  </r>
  <r>
    <n v="268"/>
    <s v="A43"/>
    <s v="HEAD &amp; SHOULDERS 250MLX6"/>
    <s v="Food"/>
    <x v="2"/>
    <n v="10"/>
    <d v="2021-09-08T00:00:00"/>
    <n v="25"/>
    <n v="45"/>
    <n v="112.5"/>
  </r>
  <r>
    <n v="269"/>
    <s v="A44"/>
    <s v="HEAD&amp;SHOULDERS 200MLX6"/>
    <s v="Food"/>
    <x v="2"/>
    <n v="10"/>
    <d v="2021-09-10T00:00:00"/>
    <n v="25"/>
    <n v="22"/>
    <n v="55"/>
  </r>
  <r>
    <n v="270"/>
    <s v="A45"/>
    <s v="HEAD&amp;SHOULDERS400MLX6"/>
    <s v="Food"/>
    <x v="2"/>
    <n v="10"/>
    <d v="2021-09-12T00:00:00"/>
    <n v="25"/>
    <n v="18"/>
    <n v="45"/>
  </r>
  <r>
    <n v="271"/>
    <s v="HE2"/>
    <s v="HEERA CORN FLOUR 500GX6"/>
    <s v="Food"/>
    <x v="2"/>
    <n v="10"/>
    <d v="2021-09-14T00:00:00"/>
    <n v="25"/>
    <n v="15"/>
    <n v="37.5"/>
  </r>
  <r>
    <n v="272"/>
    <s v="HE3"/>
    <s v="HEERA AG PURE ROSE X 12"/>
    <s v="Food"/>
    <x v="2"/>
    <n v="10"/>
    <d v="2021-09-16T00:00:00"/>
    <n v="25"/>
    <n v="10"/>
    <n v="25"/>
  </r>
  <r>
    <n v="273"/>
    <s v="HE4"/>
    <s v="HEERA AG PURE RUDRAKSH X12"/>
    <s v="Food"/>
    <x v="2"/>
    <n v="10"/>
    <d v="2021-09-18T00:00:00"/>
    <n v="25"/>
    <n v="9"/>
    <n v="22.5"/>
  </r>
  <r>
    <n v="274"/>
    <s v="HE5"/>
    <s v="HEERA AMLA POWDER 100 G X 20"/>
    <s v="Food"/>
    <x v="2"/>
    <n v="10"/>
    <d v="2021-09-20T00:00:00"/>
    <n v="25"/>
    <n v="13"/>
    <n v="32.5"/>
  </r>
  <r>
    <n v="275"/>
    <s v="HE6"/>
    <s v="HEERA ANARDANA PWD 100 G X 12"/>
    <s v="Food"/>
    <x v="2"/>
    <n v="10"/>
    <d v="2021-09-22T00:00:00"/>
    <n v="25"/>
    <n v="58"/>
    <n v="145"/>
  </r>
  <r>
    <n v="276"/>
    <s v="HE7"/>
    <s v="HEERA ANARDANA WHOLE 100 G X 20"/>
    <s v="Food"/>
    <x v="2"/>
    <n v="10"/>
    <d v="2021-09-24T00:00:00"/>
    <n v="25"/>
    <n v="59"/>
    <n v="147.5"/>
  </r>
  <r>
    <n v="277"/>
    <s v="HE8"/>
    <s v="HEERA TIN BAIGHAN BHARTA 450 G X 12"/>
    <s v="Food"/>
    <x v="2"/>
    <n v="10"/>
    <d v="2021-09-26T00:00:00"/>
    <n v="25"/>
    <n v="66"/>
    <n v="165"/>
  </r>
  <r>
    <n v="278"/>
    <s v="HE1"/>
    <s v="HEERA BAJRA FLOUR 1 KG X 12*"/>
    <s v="Food"/>
    <x v="2"/>
    <n v="10"/>
    <d v="2021-09-28T00:00:00"/>
    <n v="25"/>
    <n v="87"/>
    <n v="217.5"/>
  </r>
  <r>
    <n v="279"/>
    <s v="HE9"/>
    <s v="HEERA BAJRA FLOUR 1 KG X 6"/>
    <s v="Food"/>
    <x v="2"/>
    <n v="10"/>
    <d v="2021-09-30T00:00:00"/>
    <n v="25"/>
    <n v="87"/>
    <n v="217.5"/>
  </r>
  <r>
    <n v="280"/>
    <s v="HE10"/>
    <s v="HEERA BARLEY FLOUR 1 KG X 6"/>
    <s v="Food"/>
    <x v="2"/>
    <n v="10"/>
    <d v="2021-10-02T00:00:00"/>
    <n v="25"/>
    <n v="47"/>
    <n v="117.5"/>
  </r>
  <r>
    <n v="281"/>
    <s v="HE11"/>
    <s v="HEERA BAY LEAVES 10 G X 20"/>
    <s v="Food"/>
    <x v="2"/>
    <n v="10"/>
    <d v="2021-10-04T00:00:00"/>
    <n v="25"/>
    <n v="35"/>
    <n v="87.5"/>
  </r>
  <r>
    <n v="282"/>
    <s v="HE12"/>
    <s v="HEERA BICARBONATE SODA X 10"/>
    <s v="Food"/>
    <x v="2"/>
    <n v="10"/>
    <d v="2021-10-06T00:00:00"/>
    <n v="25"/>
    <n v="23"/>
    <n v="57.5"/>
  </r>
  <r>
    <n v="283"/>
    <s v="HE13"/>
    <s v="HEERA BOILD CHICK PEAS 400 G X 12"/>
    <s v="Food"/>
    <x v="2"/>
    <n v="10"/>
    <d v="2021-10-08T00:00:00"/>
    <n v="25"/>
    <n v="10"/>
    <n v="25"/>
  </r>
  <r>
    <n v="284"/>
    <s v="HE14"/>
    <s v="HEERA TIN CHATPATA CHANA 450 G X 12"/>
    <s v="Food"/>
    <x v="2"/>
    <n v="10"/>
    <d v="2021-10-10T00:00:00"/>
    <n v="25"/>
    <n v="2"/>
    <n v="5"/>
  </r>
  <r>
    <n v="285"/>
    <s v="HE15"/>
    <s v="HEERA COCONUT MILK 400 G X 24"/>
    <s v="Food"/>
    <x v="2"/>
    <n v="10"/>
    <d v="2021-10-12T00:00:00"/>
    <n v="25"/>
    <n v="7"/>
    <n v="17.5"/>
  </r>
  <r>
    <n v="286"/>
    <s v="HE16"/>
    <s v="HEERA COCONUT OIL RISHTA 250 G X 12"/>
    <s v="Food"/>
    <x v="2"/>
    <n v="10"/>
    <d v="2021-10-14T00:00:00"/>
    <n v="25"/>
    <n v="9"/>
    <n v="22.5"/>
  </r>
  <r>
    <n v="287"/>
    <s v="HE17"/>
    <s v="HEERA COCONUT OIL RISHTA 500 G X 12"/>
    <s v="Food"/>
    <x v="2"/>
    <n v="10"/>
    <d v="2021-10-16T00:00:00"/>
    <n v="25"/>
    <n v="52"/>
    <n v="130"/>
  </r>
  <r>
    <n v="288"/>
    <s v="HE18"/>
    <s v="HEERA CURRY LEAVES 20 G X 15"/>
    <s v="Food"/>
    <x v="2"/>
    <n v="10"/>
    <d v="2021-10-18T00:00:00"/>
    <n v="25"/>
    <n v="69"/>
    <n v="172.5"/>
  </r>
  <r>
    <n v="289"/>
    <s v="HE19"/>
    <s v="HEERA TIN DAL MAKHANI 450 G X 12"/>
    <s v="Food"/>
    <x v="2"/>
    <n v="10"/>
    <d v="2021-10-20T00:00:00"/>
    <n v="25"/>
    <n v="77"/>
    <n v="192.5"/>
  </r>
  <r>
    <n v="290"/>
    <s v="HE20"/>
    <s v="HEERA DALCHINI 200 G X 10"/>
    <s v="Food"/>
    <x v="2"/>
    <n v="10"/>
    <d v="2021-10-22T00:00:00"/>
    <n v="25"/>
    <n v="84"/>
    <n v="210"/>
  </r>
  <r>
    <n v="291"/>
    <s v="HE21"/>
    <s v="HEERA DRIED COCONUT 300 G X 10"/>
    <s v="Food"/>
    <x v="2"/>
    <n v="10"/>
    <d v="2021-10-24T00:00:00"/>
    <n v="25"/>
    <n v="83"/>
    <n v="207.5"/>
  </r>
  <r>
    <n v="292"/>
    <s v="HE22"/>
    <s v="HEERA DRIED DATE 300 G X 20"/>
    <s v="Food"/>
    <x v="2"/>
    <n v="10"/>
    <d v="2021-10-26T00:00:00"/>
    <n v="25"/>
    <n v="88"/>
    <n v="220"/>
  </r>
  <r>
    <n v="293"/>
    <s v="HE23"/>
    <s v="HEERA DRY AMLA WHOLE 100 G X 20"/>
    <s v="Food"/>
    <x v="2"/>
    <n v="10"/>
    <d v="2021-10-28T00:00:00"/>
    <n v="25"/>
    <n v="50"/>
    <n v="125"/>
  </r>
  <r>
    <n v="294"/>
    <s v="HE24"/>
    <s v="HEERA FLAKE RICE 200 G X 20"/>
    <s v="Food"/>
    <x v="2"/>
    <n v="10"/>
    <d v="2021-10-30T00:00:00"/>
    <n v="25"/>
    <n v="30"/>
    <n v="75"/>
  </r>
  <r>
    <n v="295"/>
    <s v="HE25"/>
    <s v="HEERA GOL GAPPA FRY 250 G X 10"/>
    <s v="Food"/>
    <x v="2"/>
    <n v="10"/>
    <d v="2021-11-01T00:00:00"/>
    <n v="25"/>
    <n v="20"/>
    <n v="50"/>
  </r>
  <r>
    <n v="296"/>
    <s v="HE26"/>
    <s v="HEERA GARAM MASALA WHOLE 200 G X 10"/>
    <s v="Food"/>
    <x v="2"/>
    <n v="10"/>
    <d v="2021-11-03T00:00:00"/>
    <n v="25"/>
    <n v="3"/>
    <n v="-46.379999999999995"/>
  </r>
  <r>
    <n v="297"/>
    <s v="HE27"/>
    <s v="HEERA GHEE 1 KG X 12"/>
    <s v="Food"/>
    <x v="2"/>
    <n v="10"/>
    <d v="2021-11-05T00:00:00"/>
    <n v="25"/>
    <n v="13"/>
    <n v="32.5"/>
  </r>
  <r>
    <n v="298"/>
    <s v="HE28"/>
    <s v="HEERA GHEE 2 KG X 6  "/>
    <s v="Food"/>
    <x v="2"/>
    <n v="10"/>
    <d v="2021-11-07T00:00:00"/>
    <n v="25"/>
    <n v="4"/>
    <n v="10"/>
  </r>
  <r>
    <n v="299"/>
    <s v="HE29"/>
    <s v="HEERA GHEE 500 G X 12  OFFERATA"/>
    <s v="Food"/>
    <x v="2"/>
    <n v="10"/>
    <d v="2021-11-09T00:00:00"/>
    <n v="25"/>
    <n v="5"/>
    <n v="12.5"/>
  </r>
  <r>
    <n v="300"/>
    <s v="HE30"/>
    <s v="HEERA GINGER WHOLE 300 G X 10"/>
    <s v="Food"/>
    <x v="2"/>
    <n v="10"/>
    <d v="2021-11-11T00:00:00"/>
    <n v="25"/>
    <n v="53"/>
    <n v="132.5"/>
  </r>
  <r>
    <n v="301"/>
    <s v="HE31"/>
    <s v="HEERA GOOR 450 G X 20"/>
    <s v="Food"/>
    <x v="2"/>
    <n v="10"/>
    <d v="2021-11-13T00:00:00"/>
    <n v="25"/>
    <n v="60"/>
    <n v="150"/>
  </r>
  <r>
    <n v="302"/>
    <s v="HE32"/>
    <s v="HEERA GOUND KATERA 100 G X 20"/>
    <s v="Food"/>
    <x v="2"/>
    <n v="10"/>
    <d v="2021-11-15T00:00:00"/>
    <n v="25"/>
    <n v="71"/>
    <n v="177.5"/>
  </r>
  <r>
    <n v="303"/>
    <s v="HE33"/>
    <s v="HEERA GRAM FLOUR 2 KG X 6  offerta "/>
    <s v="Food"/>
    <x v="2"/>
    <n v="10"/>
    <d v="2021-11-17T00:00:00"/>
    <n v="25"/>
    <n v="94"/>
    <n v="235"/>
  </r>
  <r>
    <n v="304"/>
    <s v="HE34"/>
    <s v="HEERA IMLI 400 G X 50"/>
    <s v="Food"/>
    <x v="2"/>
    <n v="10"/>
    <d v="2021-11-19T00:00:00"/>
    <n v="25"/>
    <n v="94"/>
    <n v="235"/>
  </r>
  <r>
    <n v="305"/>
    <s v="HE35"/>
    <s v="HEERA JUWAR FLOUR 1 KG X 6"/>
    <s v="Food"/>
    <x v="2"/>
    <n v="10"/>
    <d v="2021-11-21T00:00:00"/>
    <n v="25"/>
    <n v="85"/>
    <n v="212.5"/>
  </r>
  <r>
    <n v="306"/>
    <s v="HE36"/>
    <s v="HEERA KAMARKHAS 100 G X 20"/>
    <s v="Food"/>
    <x v="2"/>
    <n v="10"/>
    <d v="2021-11-23T00:00:00"/>
    <n v="25"/>
    <n v="82"/>
    <n v="205"/>
  </r>
  <r>
    <n v="307"/>
    <s v="HE37"/>
    <s v="HEERA TIN KARRI PAKORA 450 G X 12"/>
    <s v="Food"/>
    <x v="2"/>
    <n v="10"/>
    <d v="2021-11-25T00:00:00"/>
    <n v="25"/>
    <n v="88"/>
    <n v="220"/>
  </r>
  <r>
    <n v="308"/>
    <s v="HE38"/>
    <s v="HEERA TIN MATTAR PANEER 450 G X 12"/>
    <s v="Food"/>
    <x v="2"/>
    <n v="10"/>
    <d v="2021-11-27T00:00:00"/>
    <n v="25"/>
    <n v="86"/>
    <n v="215"/>
  </r>
  <r>
    <n v="309"/>
    <s v="HE39"/>
    <s v="HEERA MOONG FLOUR 1 KG X 12"/>
    <s v="Food"/>
    <x v="2"/>
    <n v="10"/>
    <d v="2021-11-29T00:00:00"/>
    <n v="25"/>
    <n v="27"/>
    <n v="67.5"/>
  </r>
  <r>
    <n v="310"/>
    <s v="A136"/>
    <s v="VASLINE 250GX6"/>
    <s v="Food"/>
    <x v="2"/>
    <n v="10"/>
    <d v="2021-12-01T00:00:00"/>
    <n v="25"/>
    <n v="25"/>
    <n v="62.5"/>
  </r>
  <r>
    <n v="311"/>
    <s v="T241"/>
    <s v="TRS TOOR DALL 2KGX6"/>
    <s v="Food"/>
    <x v="2"/>
    <n v="10"/>
    <d v="2021-12-03T00:00:00"/>
    <n v="25"/>
    <n v="18"/>
    <n v="45"/>
  </r>
  <r>
    <n v="312"/>
    <s v="R108"/>
    <s v="RAW CINNAMON WHOLE 25KG"/>
    <s v="Food"/>
    <x v="2"/>
    <n v="10"/>
    <d v="2021-12-05T00:00:00"/>
    <n v="25"/>
    <n v="5"/>
    <n v="12.5"/>
  </r>
  <r>
    <n v="313"/>
    <s v="SF023"/>
    <s v="SFI SOY SAUCE 220 G X 24"/>
    <s v="Food"/>
    <x v="2"/>
    <n v="10"/>
    <d v="2021-12-07T00:00:00"/>
    <n v="25"/>
    <n v="1"/>
    <n v="2.5"/>
  </r>
  <r>
    <n v="314"/>
    <s v="PJ29"/>
    <s v="PJ MEHNDI HERBAL X 10"/>
    <s v="Food"/>
    <x v="2"/>
    <n v="10"/>
    <d v="2021-12-09T00:00:00"/>
    <n v="25"/>
    <n v="11"/>
    <n v="27.5"/>
  </r>
  <r>
    <n v="315"/>
    <s v="HD104"/>
    <s v="HR BHUJIA MAS 40GX12"/>
    <s v="Food"/>
    <x v="2"/>
    <n v="10"/>
    <d v="2021-12-11T00:00:00"/>
    <n v="25"/>
    <n v="55"/>
    <n v="137.5"/>
  </r>
  <r>
    <n v="316"/>
    <s v="MH17"/>
    <s v="MDH PAKORA MIX MAS X 10"/>
    <s v="Food"/>
    <x v="2"/>
    <n v="10"/>
    <d v="2021-12-13T00:00:00"/>
    <n v="25"/>
    <n v="64"/>
    <n v="160"/>
  </r>
  <r>
    <n v="317"/>
    <s v="MH18"/>
    <s v="MDH PANI PURI 100 G X 10"/>
    <s v="Food"/>
    <x v="2"/>
    <n v="10"/>
    <d v="2021-12-15T00:00:00"/>
    <n v="25"/>
    <n v="74"/>
    <n v="185"/>
  </r>
  <r>
    <n v="318"/>
    <s v="MH19"/>
    <s v="MDH PAV BHAJI MASALA 100GX10"/>
    <s v="Food"/>
    <x v="2"/>
    <n v="10"/>
    <d v="2021-12-17T00:00:00"/>
    <n v="25"/>
    <n v="92"/>
    <n v="230"/>
  </r>
  <r>
    <n v="319"/>
    <s v="MH20"/>
    <s v="MDH PODINA PWD 100GX10"/>
    <s v="Food"/>
    <x v="2"/>
    <n v="10"/>
    <d v="2021-12-19T00:00:00"/>
    <n v="25"/>
    <n v="86"/>
    <n v="215"/>
  </r>
  <r>
    <n v="320"/>
    <s v="MH21"/>
    <s v="MDH RAJAMA MASALA 100GX10"/>
    <s v="Food"/>
    <x v="2"/>
    <n v="10"/>
    <d v="2021-12-21T00:00:00"/>
    <n v="25"/>
    <n v="42"/>
    <n v="105"/>
  </r>
  <r>
    <n v="321"/>
    <s v="MH22"/>
    <s v="MDH SABAZI MASALA 100GX10"/>
    <s v="Food"/>
    <x v="2"/>
    <n v="10"/>
    <d v="2021-12-23T00:00:00"/>
    <n v="25"/>
    <n v="28"/>
    <n v="70"/>
  </r>
  <r>
    <n v="322"/>
    <s v="MH23"/>
    <s v="MDH SAMBHAR MAS 100GX10"/>
    <s v="Food"/>
    <x v="3"/>
    <n v="10"/>
    <d v="2021-12-25T00:00:00"/>
    <n v="25"/>
    <n v="16"/>
    <n v="40"/>
  </r>
  <r>
    <n v="323"/>
    <s v="MH24"/>
    <s v="MDH SHAHI PANEER100GX10"/>
    <s v="Food"/>
    <x v="3"/>
    <n v="10"/>
    <d v="2021-12-27T00:00:00"/>
    <n v="25"/>
    <n v="12"/>
    <n v="30"/>
  </r>
  <r>
    <n v="324"/>
    <s v="MH25"/>
    <s v="MDH TANDOORI B.B.Q 100GX10"/>
    <s v="Food"/>
    <x v="3"/>
    <n v="10"/>
    <d v="2021-12-29T00:00:00"/>
    <n v="25"/>
    <n v="15"/>
    <n v="37.5"/>
  </r>
  <r>
    <n v="325"/>
    <s v="MH26"/>
    <s v="MDH TAWA FRY MASALA 100GX10"/>
    <s v="Food"/>
    <x v="3"/>
    <n v="10"/>
    <d v="2021-12-31T00:00:00"/>
    <n v="25"/>
    <n v="12"/>
    <n v="30"/>
  </r>
  <r>
    <n v="326"/>
    <s v="MH27"/>
    <s v="MDH TEA MASALA 35GX10"/>
    <s v="Food"/>
    <x v="3"/>
    <n v="10"/>
    <d v="2022-01-02T00:00:00"/>
    <n v="25"/>
    <n v="8"/>
    <n v="20"/>
  </r>
  <r>
    <n v="327"/>
    <s v="M1"/>
    <s v="MEHNDI BLACK ROSE KALI  X 10"/>
    <s v="Non-Food"/>
    <x v="3"/>
    <n v="10"/>
    <d v="2022-01-04T00:00:00"/>
    <n v="25"/>
    <n v="47"/>
    <n v="117.5"/>
  </r>
  <r>
    <n v="328"/>
    <s v="M2"/>
    <s v="MEHNDI ZARQA BLACK 100 G X 10"/>
    <s v="Non-Food"/>
    <x v="3"/>
    <n v="10"/>
    <d v="2022-01-06T00:00:00"/>
    <n v="25"/>
    <n v="62"/>
    <n v="155"/>
  </r>
  <r>
    <n v="329"/>
    <s v="M3"/>
    <s v="MEHNDI CONE CHANDNI 30 G X 12"/>
    <s v="Non-Food"/>
    <x v="3"/>
    <n v="10"/>
    <d v="2022-01-08T00:00:00"/>
    <n v="25"/>
    <n v="70"/>
    <n v="175"/>
  </r>
  <r>
    <n v="330"/>
    <s v="M4"/>
    <s v="MEHNDI DULHAN HENNA 100 G X 12"/>
    <s v="Non-Food"/>
    <x v="3"/>
    <n v="10"/>
    <d v="2022-01-10T00:00:00"/>
    <n v="25"/>
    <n v="86"/>
    <n v="215"/>
  </r>
  <r>
    <n v="331"/>
    <s v="M5"/>
    <s v="MEHNDI HEENA MDH 100 G X 10"/>
    <s v="Non-Food"/>
    <x v="3"/>
    <n v="10"/>
    <d v="2022-01-12T00:00:00"/>
    <n v="25"/>
    <n v="96"/>
    <n v="240"/>
  </r>
  <r>
    <n v="332"/>
    <s v="M6"/>
    <s v="MEHNDI HERBAL (NURPUR POUCH) X 12"/>
    <s v="Non-Food"/>
    <x v="3"/>
    <n v="10"/>
    <d v="2022-01-14T00:00:00"/>
    <n v="25"/>
    <n v="53"/>
    <n v="132.5"/>
  </r>
  <r>
    <n v="333"/>
    <s v="M7"/>
    <s v="MEHNDI HERBAL BLACK  X 10"/>
    <s v="Non-Food"/>
    <x v="3"/>
    <n v="10"/>
    <d v="2022-01-16T00:00:00"/>
    <n v="25"/>
    <n v="25"/>
    <n v="62.5"/>
  </r>
  <r>
    <n v="334"/>
    <s v="M8"/>
    <s v="MEHNDI HERBAL BROWN X10"/>
    <s v="Non-Food"/>
    <x v="3"/>
    <n v="10"/>
    <d v="2022-01-18T00:00:00"/>
    <n v="25"/>
    <n v="12"/>
    <n v="30"/>
  </r>
  <r>
    <n v="335"/>
    <s v="M9"/>
    <s v="MEHNDI HERBAL RED PWD100GX10"/>
    <s v="Non-Food"/>
    <x v="3"/>
    <n v="10"/>
    <d v="2022-01-20T00:00:00"/>
    <n v="25"/>
    <n v="13"/>
    <n v="32.5"/>
  </r>
  <r>
    <n v="336"/>
    <s v="M10"/>
    <s v="MEHNDI JAMILA HEENA PWD 100GX12"/>
    <s v="Non-Food"/>
    <x v="3"/>
    <n v="10"/>
    <d v="2022-01-22T00:00:00"/>
    <n v="25"/>
    <n v="10"/>
    <n v="25"/>
  </r>
  <r>
    <n v="337"/>
    <s v="M11"/>
    <s v="MEHNDI JANI CONE X 12"/>
    <s v="Non-Food"/>
    <x v="3"/>
    <n v="10"/>
    <d v="2022-01-24T00:00:00"/>
    <n v="25"/>
    <n v="9"/>
    <n v="22.5"/>
  </r>
  <r>
    <n v="338"/>
    <s v="M12"/>
    <s v="MEHNDI BEST GOLD 250 G X 10"/>
    <s v="Non-Food"/>
    <x v="3"/>
    <n v="10"/>
    <d v="2022-01-26T00:00:00"/>
    <n v="25"/>
    <n v="13"/>
    <n v="32.5"/>
  </r>
  <r>
    <n v="339"/>
    <s v="M13"/>
    <s v="MEHNDI BEST GOLD 500 G X 10"/>
    <s v="Non-Food"/>
    <x v="3"/>
    <n v="10"/>
    <d v="2022-01-28T00:00:00"/>
    <n v="25"/>
    <n v="58"/>
    <n v="145"/>
  </r>
  <r>
    <n v="340"/>
    <s v="M14"/>
    <s v="MEHNDI RED 1 KG X 30"/>
    <s v="Non-Food"/>
    <x v="3"/>
    <n v="10"/>
    <d v="2022-01-30T00:00:00"/>
    <n v="25"/>
    <n v="59"/>
    <n v="147.5"/>
  </r>
  <r>
    <n v="341"/>
    <s v="M15"/>
    <s v="MEHNDI RED 250 G X 10"/>
    <s v="Non-Food"/>
    <x v="3"/>
    <n v="10"/>
    <d v="2022-02-01T00:00:00"/>
    <n v="25"/>
    <n v="66"/>
    <n v="165"/>
  </r>
  <r>
    <n v="342"/>
    <s v="M16"/>
    <s v="MEHNDI RED 500G X 10"/>
    <s v="Non-Food"/>
    <x v="3"/>
    <n v="10"/>
    <d v="2022-02-03T00:00:00"/>
    <n v="25"/>
    <n v="87"/>
    <n v="217.5"/>
  </r>
  <r>
    <n v="343"/>
    <s v="M17"/>
    <s v="MEHNDI ZARQA RED 100 G X 10"/>
    <s v="Non-Food"/>
    <x v="3"/>
    <n v="10"/>
    <d v="2022-02-05T00:00:00"/>
    <n v="25"/>
    <n v="87"/>
    <n v="217.5"/>
  </r>
  <r>
    <n v="344"/>
    <s v="M18"/>
    <s v="MEHNDI ZUBEDA RED 100GX6"/>
    <s v="Non-Food"/>
    <x v="3"/>
    <n v="10"/>
    <d v="2022-02-07T00:00:00"/>
    <n v="25"/>
    <n v="87"/>
    <n v="217.5"/>
  </r>
  <r>
    <n v="345"/>
    <s v="NT1"/>
    <s v="NAT ACHAR GHOST MAS 100 G X 12"/>
    <s v="Food"/>
    <x v="3"/>
    <n v="10"/>
    <d v="2022-02-09T00:00:00"/>
    <n v="25"/>
    <n v="43"/>
    <n v="129.22"/>
  </r>
  <r>
    <n v="346"/>
    <s v="NT2"/>
    <s v="NAT BIRYANI MAS 90 G X 6"/>
    <s v="Food"/>
    <x v="3"/>
    <n v="10"/>
    <d v="2022-02-11T00:00:00"/>
    <n v="25"/>
    <n v="33"/>
    <n v="82.5"/>
  </r>
  <r>
    <n v="347"/>
    <s v="NT3"/>
    <s v="NAT BOMBAY BIRYANI 140 G X 6"/>
    <s v="Food"/>
    <x v="3"/>
    <n v="10"/>
    <d v="2022-02-13T00:00:00"/>
    <n v="25"/>
    <n v="15"/>
    <n v="37.5"/>
  </r>
  <r>
    <n v="348"/>
    <s v="NT4"/>
    <s v="NAT MAS BOM BIRYANI  140 G X 12"/>
    <s v="Food"/>
    <x v="3"/>
    <n v="10"/>
    <d v="2022-02-15T00:00:00"/>
    <n v="25"/>
    <n v="7"/>
    <n v="17.5"/>
  </r>
  <r>
    <n v="349"/>
    <s v="NT5"/>
    <s v="NAT CARROT PICKLE 1 KG X 6"/>
    <s v="Food"/>
    <x v="3"/>
    <n v="10"/>
    <d v="2022-02-17T00:00:00"/>
    <n v="25"/>
    <n v="8"/>
    <n v="20"/>
  </r>
  <r>
    <n v="350"/>
    <s v="NT6"/>
    <s v="NAT CHAPLI KABAB 100 G X 12"/>
    <s v="Food"/>
    <x v="3"/>
    <n v="10"/>
    <d v="2022-02-19T00:00:00"/>
    <n v="25"/>
    <n v="5"/>
    <n v="12.5"/>
  </r>
  <r>
    <n v="351"/>
    <s v="NT7"/>
    <s v="NAT CHAT MASALA 110 G X 12"/>
    <s v="Food"/>
    <x v="3"/>
    <n v="10"/>
    <d v="2022-02-21T00:00:00"/>
    <n v="25"/>
    <n v="10"/>
    <n v="25"/>
  </r>
  <r>
    <n v="352"/>
    <s v="NT8"/>
    <s v="NAT CHICKEN BIRYANI 90 G X 12"/>
    <s v="Food"/>
    <x v="3"/>
    <n v="10"/>
    <d v="2022-02-23T00:00:00"/>
    <n v="25"/>
    <n v="60"/>
    <n v="150"/>
  </r>
  <r>
    <n v="353"/>
    <s v="NT9"/>
    <s v="NAT CHICKEN BROAST X 12"/>
    <s v="Food"/>
    <x v="3"/>
    <n v="10"/>
    <d v="2022-02-25T00:00:00"/>
    <n v="25"/>
    <n v="67"/>
    <n v="167.5"/>
  </r>
  <r>
    <n v="354"/>
    <s v="NT10"/>
    <s v="NAT CHICKEN JALFEREZI 100 G X 12"/>
    <s v="Food"/>
    <x v="3"/>
    <n v="10"/>
    <d v="2022-02-27T00:00:00"/>
    <n v="25"/>
    <n v="69"/>
    <n v="172.5"/>
  </r>
  <r>
    <n v="355"/>
    <s v="NT11"/>
    <s v="NAT CHICKEN TANDOORI 100 G X 12"/>
    <s v="Food"/>
    <x v="3"/>
    <n v="10"/>
    <d v="2022-03-01T00:00:00"/>
    <n v="25"/>
    <n v="81"/>
    <n v="202.5"/>
  </r>
  <r>
    <n v="356"/>
    <s v="NT12"/>
    <s v="NAT CHICKEN TIKKA 100 G X 12"/>
    <s v="Food"/>
    <x v="3"/>
    <n v="10"/>
    <d v="2022-03-03T00:00:00"/>
    <n v="25"/>
    <n v="89"/>
    <n v="222.5"/>
  </r>
  <r>
    <n v="357"/>
    <s v="NT13"/>
    <s v="NAT CHILL&amp;GARLIC SAUCE 300 G X 12"/>
    <s v="Food"/>
    <x v="3"/>
    <n v="10"/>
    <d v="2022-03-05T00:00:00"/>
    <n v="25"/>
    <n v="90"/>
    <n v="225"/>
  </r>
  <r>
    <n v="358"/>
    <s v="NT14"/>
    <s v="NAT CHINESE SALT 45 G X 20"/>
    <s v="Food"/>
    <x v="3"/>
    <n v="10"/>
    <d v="2022-03-07T00:00:00"/>
    <n v="25"/>
    <n v="90"/>
    <n v="225"/>
  </r>
  <r>
    <n v="359"/>
    <s v="NT15"/>
    <s v="NAT CORIANDER CHUTNEY 335 G X 12"/>
    <s v="Food"/>
    <x v="3"/>
    <n v="10"/>
    <d v="2022-03-09T00:00:00"/>
    <n v="25"/>
    <n v="90"/>
    <n v="225"/>
  </r>
  <r>
    <n v="360"/>
    <s v="NT16"/>
    <s v="NAT CUST BANANA 300 G X 12    *offerta*"/>
    <s v="Food"/>
    <x v="3"/>
    <n v="10"/>
    <d v="2022-03-11T00:00:00"/>
    <n v="25"/>
    <n v="30"/>
    <n v="75"/>
  </r>
  <r>
    <n v="361"/>
    <s v="NT17"/>
    <s v="NAT CUST MANGO 300 G X 12 "/>
    <s v="Food"/>
    <x v="3"/>
    <n v="10"/>
    <d v="2022-03-13T00:00:00"/>
    <n v="25"/>
    <n v="23"/>
    <n v="57.5"/>
  </r>
  <r>
    <n v="362"/>
    <s v="NT18"/>
    <s v="NAT CUST STRAWBERRY 300 G X 12"/>
    <s v="Food"/>
    <x v="3"/>
    <n v="10"/>
    <d v="2022-03-15T00:00:00"/>
    <n v="25"/>
    <n v="-2"/>
    <n v="17.920000000000002"/>
  </r>
  <r>
    <n v="363"/>
    <s v="NT19"/>
    <s v="NAT CUST VANAILA 300 G X 12    *SPECIAL OFFER*"/>
    <s v="Food"/>
    <x v="3"/>
    <n v="10"/>
    <d v="2022-03-17T00:00:00"/>
    <n v="25"/>
    <n v="2"/>
    <n v="5"/>
  </r>
  <r>
    <n v="364"/>
    <s v="NT20"/>
    <s v="NAT DAHI VADA MASALA X 12"/>
    <s v="Food"/>
    <x v="3"/>
    <n v="10"/>
    <d v="2022-03-19T00:00:00"/>
    <n v="25"/>
    <n v="7"/>
    <n v="17.5"/>
  </r>
  <r>
    <n v="365"/>
    <s v="NT21"/>
    <s v="NAT FISH MASALA 100 G X 12"/>
    <s v="Food"/>
    <x v="3"/>
    <n v="10"/>
    <d v="2022-03-21T00:00:00"/>
    <n v="25"/>
    <n v="9"/>
    <n v="22.5"/>
  </r>
  <r>
    <n v="366"/>
    <s v="NT22"/>
    <s v="NAT FRESH MINT CHUTNEY 335 G X 12"/>
    <s v="Food"/>
    <x v="3"/>
    <n v="10"/>
    <d v="2022-03-23T00:00:00"/>
    <n v="25"/>
    <n v="52"/>
    <n v="130"/>
  </r>
  <r>
    <n v="367"/>
    <s v="NT23"/>
    <s v="NAT GAJAR KHEER X 12"/>
    <s v="Food"/>
    <x v="3"/>
    <n v="10"/>
    <d v="2022-03-25T00:00:00"/>
    <n v="25"/>
    <n v="69"/>
    <n v="172.5"/>
  </r>
  <r>
    <n v="368"/>
    <s v="NT24"/>
    <s v="NAT GARLIC PICKLE 1 KG X 6"/>
    <s v="Food"/>
    <x v="3"/>
    <n v="10"/>
    <d v="2022-03-27T00:00:00"/>
    <n v="25"/>
    <n v="77"/>
    <n v="192.5"/>
  </r>
  <r>
    <n v="369"/>
    <s v="NT25"/>
    <s v="NAT GARLIC PASTE BIG X 12"/>
    <s v="Food"/>
    <x v="3"/>
    <n v="10"/>
    <d v="2022-03-29T00:00:00"/>
    <n v="25"/>
    <n v="84"/>
    <n v="210"/>
  </r>
  <r>
    <n v="370"/>
    <s v="NT26"/>
    <s v="NAT GARLIC PASTE SMALL X 12"/>
    <s v="Food"/>
    <x v="3"/>
    <n v="10"/>
    <d v="2022-03-31T00:00:00"/>
    <n v="25"/>
    <n v="83"/>
    <n v="207.5"/>
  </r>
  <r>
    <n v="371"/>
    <s v="NT27"/>
    <s v="NAT GARLIC PICKLE 310 G X 12"/>
    <s v="Food"/>
    <x v="3"/>
    <n v="10"/>
    <d v="2022-04-02T00:00:00"/>
    <n v="25"/>
    <n v="48"/>
    <n v="120"/>
  </r>
  <r>
    <n v="372"/>
    <s v="NT28"/>
    <s v="NAT GINGER PASTE BIG X 12"/>
    <s v="Food"/>
    <x v="3"/>
    <n v="10"/>
    <d v="2022-04-04T00:00:00"/>
    <n v="25"/>
    <n v="26"/>
    <n v="65"/>
  </r>
  <r>
    <n v="373"/>
    <s v="NT29"/>
    <s v="NAT GINGER PASTE SMALL X 12"/>
    <s v="Food"/>
    <x v="3"/>
    <n v="10"/>
    <d v="2022-04-06T00:00:00"/>
    <n v="25"/>
    <n v="17"/>
    <n v="42.5"/>
  </r>
  <r>
    <n v="374"/>
    <s v="NT30"/>
    <s v="NAT GINGER &amp; GARLIC PASTE BIG X 12"/>
    <s v="Food"/>
    <x v="3"/>
    <n v="10"/>
    <d v="2022-04-08T00:00:00"/>
    <n v="25"/>
    <n v="20"/>
    <n v="50"/>
  </r>
  <r>
    <n v="375"/>
    <s v="NT31"/>
    <s v="NAT GINGER &amp; GARLIC PASTE SMALL X12"/>
    <s v="Food"/>
    <x v="3"/>
    <n v="10"/>
    <d v="2022-04-10T00:00:00"/>
    <n v="25"/>
    <n v="13"/>
    <n v="32.5"/>
  </r>
  <r>
    <n v="376"/>
    <s v="NT32"/>
    <s v="NAT GREEN CHILLI PICKLE 1 KG X 6"/>
    <s v="Food"/>
    <x v="3"/>
    <n v="10"/>
    <d v="2022-04-12T00:00:00"/>
    <n v="25"/>
    <n v="4"/>
    <n v="10"/>
  </r>
  <r>
    <n v="377"/>
    <s v="PG3"/>
    <s v="PG TEA 240 TEA BAGS X 4"/>
    <s v="Food"/>
    <x v="3"/>
    <n v="10"/>
    <d v="2022-04-14T00:00:00"/>
    <n v="25"/>
    <n v="5"/>
    <n v="12.5"/>
  </r>
  <r>
    <n v="378"/>
    <s v="PG4"/>
    <s v="PG TEA 250 G LOOSE TEA X 12"/>
    <s v="Food"/>
    <x v="3"/>
    <n v="10"/>
    <d v="2022-04-16T00:00:00"/>
    <n v="25"/>
    <n v="53"/>
    <n v="132.5"/>
  </r>
  <r>
    <n v="379"/>
    <s v="PG5"/>
    <s v="PG TEA 300 TEA BAGS X 8 "/>
    <s v="Food"/>
    <x v="3"/>
    <n v="10"/>
    <d v="2022-04-18T00:00:00"/>
    <n v="25"/>
    <n v="64"/>
    <n v="160"/>
  </r>
  <r>
    <n v="380"/>
    <s v="PG6"/>
    <s v="PG TEA 40 TEA BAGS X 12 "/>
    <s v="Food"/>
    <x v="3"/>
    <n v="10"/>
    <d v="2022-04-20T00:00:00"/>
    <n v="25"/>
    <n v="74"/>
    <n v="185"/>
  </r>
  <r>
    <n v="381"/>
    <s v="PG7"/>
    <s v="PG TEA 500 G LOOSE TEA X 6"/>
    <s v="Food"/>
    <x v="3"/>
    <n v="10"/>
    <d v="2022-04-22T00:00:00"/>
    <n v="25"/>
    <n v="89"/>
    <n v="222.5"/>
  </r>
  <r>
    <n v="382"/>
    <s v="PG8"/>
    <s v="PG TEA 80 TEA BAGS X 12"/>
    <s v="Food"/>
    <x v="3"/>
    <n v="10"/>
    <d v="2022-04-24T00:00:00"/>
    <n v="25"/>
    <n v="94"/>
    <n v="235"/>
  </r>
  <r>
    <n v="383"/>
    <s v="PG9"/>
    <s v="PG TIPS 125GX12"/>
    <s v="Food"/>
    <x v="3"/>
    <n v="10"/>
    <d v="2022-04-26T00:00:00"/>
    <n v="25"/>
    <n v="45"/>
    <n v="112.5"/>
  </r>
  <r>
    <n v="384"/>
    <s v="A75"/>
    <s v="PHATKARY X 12"/>
    <s v="Food"/>
    <x v="3"/>
    <n v="10"/>
    <d v="2022-04-28T00:00:00"/>
    <n v="25"/>
    <n v="22"/>
    <n v="55"/>
  </r>
  <r>
    <n v="385"/>
    <s v="A76"/>
    <s v="PHENNY X 24"/>
    <s v="Food"/>
    <x v="3"/>
    <n v="10"/>
    <d v="2022-04-30T00:00:00"/>
    <n v="25"/>
    <n v="18"/>
    <n v="45"/>
  </r>
  <r>
    <n v="386"/>
    <s v="PJ1"/>
    <s v="PJ AMLA CANDY 500GX24"/>
    <s v="Food"/>
    <x v="3"/>
    <n v="10"/>
    <d v="2022-05-02T00:00:00"/>
    <n v="25"/>
    <n v="11"/>
    <n v="27.5"/>
  </r>
  <r>
    <n v="387"/>
    <s v="PJ2"/>
    <s v="PJ AMLA MURABBA 1KGX12"/>
    <s v="Food"/>
    <x v="3"/>
    <n v="10"/>
    <d v="2022-05-04T00:00:00"/>
    <n v="25"/>
    <n v="7"/>
    <n v="17.5"/>
  </r>
  <r>
    <n v="388"/>
    <s v="PJ3"/>
    <s v="PJ CHYAWANPARSH 500GX24"/>
    <s v="Food"/>
    <x v="3"/>
    <n v="10"/>
    <d v="2022-05-06T00:00:00"/>
    <n v="25"/>
    <n v="14"/>
    <n v="35"/>
  </r>
  <r>
    <n v="389"/>
    <s v="PJ4"/>
    <s v="PJ COCONUT OIL 200MLX36"/>
    <s v="Food"/>
    <x v="3"/>
    <n v="10"/>
    <d v="2022-05-08T00:00:00"/>
    <n v="25"/>
    <n v="16"/>
    <n v="40"/>
  </r>
  <r>
    <n v="390"/>
    <s v="PJ5"/>
    <s v="PJ TOOTHPASTE DANT KANTI 100GX96PCS"/>
    <s v="Food"/>
    <x v="1"/>
    <n v="10"/>
    <d v="2022-05-10T00:00:00"/>
    <n v="25"/>
    <n v="50"/>
    <n v="125"/>
  </r>
  <r>
    <n v="391"/>
    <s v="A77"/>
    <s v="POWER UP BANANA X12"/>
    <s v="Food"/>
    <x v="1"/>
    <n v="10"/>
    <d v="2022-05-12T00:00:00"/>
    <n v="25"/>
    <n v="56"/>
    <n v="140"/>
  </r>
  <r>
    <n v="392"/>
    <s v="A78"/>
    <s v="POWER UP CHOCO X12"/>
    <s v="Food"/>
    <x v="1"/>
    <n v="10"/>
    <d v="2022-05-14T00:00:00"/>
    <n v="25"/>
    <n v="72"/>
    <n v="180"/>
  </r>
  <r>
    <n v="393"/>
    <s v="A79"/>
    <s v="POWER UP STABRE X12"/>
    <s v="Food"/>
    <x v="1"/>
    <n v="10"/>
    <d v="2022-05-16T00:00:00"/>
    <n v="25"/>
    <n v="85"/>
    <n v="212.5"/>
  </r>
  <r>
    <n v="394"/>
    <s v="A80"/>
    <s v="POWER UP VANILLA X12"/>
    <s v="Food"/>
    <x v="1"/>
    <n v="10"/>
    <d v="2022-05-18T00:00:00"/>
    <n v="25"/>
    <n v="88"/>
    <n v="220"/>
  </r>
  <r>
    <n v="395"/>
    <s v="A81"/>
    <s v="PRESSURE COOKER 11LBX1"/>
    <s v="Food"/>
    <x v="1"/>
    <n v="10"/>
    <d v="2022-05-20T00:00:00"/>
    <n v="25"/>
    <n v="95"/>
    <n v="237.5"/>
  </r>
  <r>
    <n v="396"/>
    <s v="A82"/>
    <s v="PRESSURE COOKER 18LTX1"/>
    <s v="Food"/>
    <x v="1"/>
    <n v="10"/>
    <d v="2022-05-22T00:00:00"/>
    <n v="25"/>
    <n v="53"/>
    <n v="132.5"/>
  </r>
  <r>
    <n v="397"/>
    <s v="A83"/>
    <s v="PRESSURE COOKER 5LTX1"/>
    <s v="Food"/>
    <x v="1"/>
    <n v="10"/>
    <d v="2022-05-24T00:00:00"/>
    <n v="25"/>
    <n v="25"/>
    <n v="62.5"/>
  </r>
  <r>
    <n v="398"/>
    <s v="A84"/>
    <s v="PRESSURE COOKER 7LBX1"/>
    <s v="Food"/>
    <x v="1"/>
    <n v="10"/>
    <d v="2022-05-26T00:00:00"/>
    <n v="25"/>
    <n v="12"/>
    <n v="30"/>
  </r>
  <r>
    <n v="399"/>
    <s v="A85"/>
    <s v="PRESSURE COOKER 7LT (IND)X1"/>
    <s v="Food"/>
    <x v="1"/>
    <n v="10"/>
    <d v="2022-05-28T00:00:00"/>
    <n v="25"/>
    <n v="13"/>
    <n v="32.5"/>
  </r>
  <r>
    <n v="400"/>
    <s v="A86"/>
    <s v="PRESSURE COOKER 9LBX1"/>
    <s v="Food"/>
    <x v="1"/>
    <n v="10"/>
    <d v="2022-05-30T00:00:00"/>
    <n v="25"/>
    <n v="10"/>
    <n v="25"/>
  </r>
  <r>
    <n v="401"/>
    <s v="A87"/>
    <s v="PRESSURE COOKER ELECTRIC"/>
    <s v="Food"/>
    <x v="1"/>
    <n v="10"/>
    <d v="2022-06-01T00:00:00"/>
    <n v="25"/>
    <n v="12"/>
    <n v="30"/>
  </r>
  <r>
    <n v="402"/>
    <s v="A88"/>
    <s v="PRESSURE COOKER MATKI 5.5LTX1"/>
    <s v="Food"/>
    <x v="1"/>
    <n v="10"/>
    <d v="2022-06-03T00:00:00"/>
    <n v="25"/>
    <n v="8"/>
    <n v="20"/>
  </r>
  <r>
    <n v="403"/>
    <s v="R17"/>
    <s v="PUNJAB KER.BASMATI 20KGX1"/>
    <s v="Food"/>
    <x v="1"/>
    <n v="10"/>
    <d v="2022-06-05T00:00:00"/>
    <n v="25"/>
    <n v="47"/>
    <n v="117.5"/>
  </r>
  <r>
    <n v="404"/>
    <s v="R18"/>
    <s v="PUNJAB KER.BASMATI 2KGX10"/>
    <s v="Food"/>
    <x v="1"/>
    <n v="10"/>
    <d v="2022-06-07T00:00:00"/>
    <n v="25"/>
    <n v="62"/>
    <n v="155"/>
  </r>
  <r>
    <n v="405"/>
    <s v="R19"/>
    <s v="PUNJAB KER.BASMATI RICE 5KGX4"/>
    <s v="Food"/>
    <x v="1"/>
    <n v="10"/>
    <d v="2022-06-09T00:00:00"/>
    <n v="25"/>
    <n v="70"/>
    <n v="175"/>
  </r>
  <r>
    <n v="406"/>
    <s v="R20"/>
    <s v="PUNJAB KERNAL BAS PARBOILED 5KGX4"/>
    <s v="Food"/>
    <x v="1"/>
    <n v="10"/>
    <d v="2022-06-11T00:00:00"/>
    <n v="25"/>
    <n v="86"/>
    <n v="215"/>
  </r>
  <r>
    <n v="407"/>
    <s v="R21"/>
    <s v="PUNJAB KERNEL BAS PARBOILED20KGX1"/>
    <s v="Food"/>
    <x v="1"/>
    <n v="10"/>
    <d v="2022-06-13T00:00:00"/>
    <n v="25"/>
    <n v="35"/>
    <n v="87.5"/>
  </r>
  <r>
    <n v="408"/>
    <s v="Q1"/>
    <s v="QARSHI BAZOOROI SYRUP 800MLX12"/>
    <s v="Food"/>
    <x v="1"/>
    <n v="10"/>
    <d v="2022-06-15T00:00:00"/>
    <n v="25"/>
    <n v="23"/>
    <n v="57.5"/>
  </r>
  <r>
    <n v="409"/>
    <s v="TOP2"/>
    <s v="TOP UP REWDI GUR 100GX20"/>
    <s v="Food"/>
    <x v="0"/>
    <n v="10"/>
    <d v="2022-06-17T00:00:00"/>
    <n v="25"/>
    <n v="10"/>
    <n v="25"/>
  </r>
  <r>
    <n v="410"/>
    <s v="TO3"/>
    <s v="TOP UP ELACHI POWDER 30GX12"/>
    <s v="Food"/>
    <x v="0"/>
    <n v="10"/>
    <d v="2022-06-19T00:00:00"/>
    <n v="25"/>
    <n v="2"/>
    <n v="5"/>
  </r>
  <r>
    <n v="411"/>
    <s v="TO4"/>
    <s v="TOP UP VANILLA ESSENCE 28MLX12"/>
    <s v="Food"/>
    <x v="0"/>
    <n v="10"/>
    <d v="2022-06-21T00:00:00"/>
    <n v="25"/>
    <n v="7"/>
    <n v="17.5"/>
  </r>
  <r>
    <n v="412"/>
    <s v="TO5"/>
    <s v="TOP UP NEEM OIL 100MLX12"/>
    <s v="Food"/>
    <x v="0"/>
    <n v="10"/>
    <d v="2022-06-23T00:00:00"/>
    <n v="25"/>
    <n v="9"/>
    <n v="22.5"/>
  </r>
  <r>
    <n v="413"/>
    <s v="BG52"/>
    <s v="BGD BIS PUNJABI 300G X20"/>
    <s v="Food"/>
    <x v="0"/>
    <n v="10"/>
    <d v="2022-06-25T00:00:00"/>
    <n v="25"/>
    <n v="52"/>
    <n v="130"/>
  </r>
  <r>
    <n v="414"/>
    <s v="BG53"/>
    <s v="BGD BIS AJWAIN 300G X20"/>
    <s v="Food"/>
    <x v="0"/>
    <n v="10"/>
    <d v="2022-06-27T00:00:00"/>
    <n v="25"/>
    <n v="69"/>
    <n v="172.5"/>
  </r>
  <r>
    <n v="415"/>
    <s v="BG54"/>
    <s v="BGD BIS JEERA 300G X20"/>
    <s v="Food"/>
    <x v="0"/>
    <n v="10"/>
    <d v="2022-06-29T00:00:00"/>
    <n v="25"/>
    <n v="77"/>
    <n v="192.5"/>
  </r>
  <r>
    <n v="416"/>
    <s v="BG55"/>
    <s v="BGD BIS JAGGERY300G X20"/>
    <s v="Food"/>
    <x v="0"/>
    <n v="10"/>
    <d v="2022-07-01T00:00:00"/>
    <n v="25"/>
    <n v="84"/>
    <n v="210"/>
  </r>
  <r>
    <n v="417"/>
    <s v="BG56"/>
    <s v="BGD BIS COCNUT ATTA 300G X20"/>
    <s v="Food"/>
    <x v="0"/>
    <n v="10"/>
    <d v="2022-07-03T00:00:00"/>
    <n v="25"/>
    <n v="83"/>
    <n v="207.5"/>
  </r>
  <r>
    <n v="418"/>
    <s v="BG57"/>
    <s v="BGD BIS DRY FRUIT 300G X20"/>
    <s v="Food"/>
    <x v="0"/>
    <n v="10"/>
    <d v="2022-07-05T00:00:00"/>
    <n v="25"/>
    <n v="48"/>
    <n v="120"/>
  </r>
  <r>
    <n v="419"/>
    <s v="BG58"/>
    <s v="BGD BIS ALMOND 300G X20"/>
    <s v="Food"/>
    <x v="0"/>
    <n v="10"/>
    <d v="2022-07-07T00:00:00"/>
    <n v="25"/>
    <n v="50"/>
    <n v="125"/>
  </r>
  <r>
    <n v="420"/>
    <s v="BG59"/>
    <s v="BGD CAKE RUSK 450G X16"/>
    <s v="Food"/>
    <x v="0"/>
    <n v="10"/>
    <d v="2022-07-09T00:00:00"/>
    <n v="25"/>
    <n v="20"/>
    <n v="50"/>
  </r>
  <r>
    <n v="421"/>
    <s v="BGD53"/>
    <s v="BGD CHICKEE PEANUT 100GX 10PCS"/>
    <s v="Food"/>
    <x v="0"/>
    <n v="10"/>
    <d v="2022-07-11T00:00:00"/>
    <n v="25"/>
    <n v="15"/>
    <n v="37.5"/>
  </r>
  <r>
    <n v="422"/>
    <s v="BGD59"/>
    <s v="BGD CHICKEE SESAME 100G X10PCS"/>
    <s v="Food"/>
    <x v="0"/>
    <n v="10"/>
    <d v="2022-07-13T00:00:00"/>
    <n v="25"/>
    <n v="10"/>
    <n v="25"/>
  </r>
  <r>
    <n v="423"/>
    <s v="BGD60"/>
    <s v="BGD CHICKEE PEANUT &amp; SESAME X10PCS"/>
    <s v="Food"/>
    <x v="0"/>
    <n v="10"/>
    <d v="2022-07-15T00:00:00"/>
    <n v="25"/>
    <n v="9"/>
    <n v="22.5"/>
  </r>
  <r>
    <n v="424"/>
    <s v="BGD61"/>
    <s v="BGD CHICKEE SESAME BALL 350GX20"/>
    <s v="Food"/>
    <x v="0"/>
    <n v="10"/>
    <d v="2022-07-17T00:00:00"/>
    <n v="25"/>
    <n v="55"/>
    <n v="137.5"/>
  </r>
  <r>
    <n v="425"/>
    <s v="MP01"/>
    <s v="My Product"/>
    <s v="Food"/>
    <x v="4"/>
    <n v="20"/>
    <d v="2022-07-19T00:00:00"/>
    <n v="25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30" applyNumberFormats="0" applyBorderFormats="0" applyFontFormats="0" applyPatternFormats="0" applyAlignmentFormats="0" applyWidthHeightFormats="1" dataCaption="Values" updatedVersion="6" minRefreshableVersion="3" useAutoFormatting="1" itemPrintTitles="1" createdVersion="5" indent="0" outline="1" outlineData="1" multipleFieldFilters="0" chartFormat="8">
  <location ref="F1:G7" firstHeaderRow="1" firstDataRow="1" firstDataCol="1"/>
  <pivotFields count="10">
    <pivotField showAll="0" defaultSubtota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x="4"/>
        <item x="3"/>
        <item x="1"/>
        <item x="2"/>
      </items>
    </pivotField>
    <pivotField numFmtId="42" showAll="0" defaultSubtotal="0"/>
    <pivotField numFmtId="14" showAll="0" defaultSubtotal="0"/>
    <pivotField showAll="0" defaultSubtotal="0"/>
    <pivotField dataField="1" showAll="0" defaultSubtotal="0"/>
    <pivotField numFmtId="42" showAll="0" defaultSubtotal="0"/>
  </pivotFields>
  <rowFields count="1">
    <field x="4"/>
  </rowFields>
  <rowItems count="6">
    <i>
      <x/>
    </i>
    <i>
      <x v="1"/>
    </i>
    <i>
      <x v="2"/>
    </i>
    <i>
      <x v="3"/>
    </i>
    <i>
      <x v="4"/>
    </i>
    <i t="grand">
      <x/>
    </i>
  </rowItems>
  <colItems count="1">
    <i/>
  </colItems>
  <dataFields count="1">
    <dataField name="Sum of Current Stock" fld="8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id="3" name="CustSup" displayName="CustSup" ref="I1:L4" totalsRowShown="0" headerRowDxfId="37">
  <autoFilter ref="I1:L4"/>
  <tableColumns count="4">
    <tableColumn id="1" name="Sup-ID"/>
    <tableColumn id="2" name="Supplier"/>
    <tableColumn id="3" name="Cust-ID"/>
    <tableColumn id="4" name="Customer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StockInData" displayName="StockInData" ref="A1:K429" totalsRowShown="0" headerRowDxfId="36" dataDxfId="35">
  <tableColumns count="11">
    <tableColumn id="1" name="S No." dataDxfId="34"/>
    <tableColumn id="2" name="Date" dataDxfId="33"/>
    <tableColumn id="11" name="Supplier ID" dataDxfId="32"/>
    <tableColumn id="10" name="Supplier" dataDxfId="31"/>
    <tableColumn id="3" name="Product ID" dataDxfId="30" dataCellStyle="Normal 5"/>
    <tableColumn id="4" name="Product Name" dataDxfId="29" dataCellStyle="Normal 5"/>
    <tableColumn id="5" name="Product Description" dataDxfId="28" dataCellStyle="Normal 5"/>
    <tableColumn id="6" name="Product Category" dataDxfId="27" dataCellStyle="Normal 5"/>
    <tableColumn id="9" name="Expiry" dataDxfId="26" dataCellStyle="Normal 5">
      <calculatedColumnFormula>11/23/2019</calculatedColumnFormula>
    </tableColumn>
    <tableColumn id="7" name="Quantity" dataDxfId="25"/>
    <tableColumn id="8" name="Value" dataDxfId="24"/>
  </tableColumns>
  <tableStyleInfo name="TableStyleMedium20" showFirstColumn="0" showLastColumn="0" showRowStripes="1" showColumnStripes="0"/>
</table>
</file>

<file path=xl/tables/table3.xml><?xml version="1.0" encoding="utf-8"?>
<table xmlns="http://schemas.openxmlformats.org/spreadsheetml/2006/main" id="1" name="StockOutData" displayName="StockOutData" ref="A1:J475" totalsRowShown="0" headerRowDxfId="23" dataDxfId="22">
  <tableColumns count="10">
    <tableColumn id="1" name="S No." dataDxfId="21"/>
    <tableColumn id="2" name="Date" dataDxfId="20"/>
    <tableColumn id="14" name="Customer ID" dataDxfId="19"/>
    <tableColumn id="13" name="Customer" dataDxfId="18"/>
    <tableColumn id="3" name="Product ID" dataDxfId="17" dataCellStyle="Normal 5"/>
    <tableColumn id="4" name="Product Name" dataDxfId="16" dataCellStyle="Normal 5"/>
    <tableColumn id="5" name="Product Description" dataDxfId="15" dataCellStyle="Normal 5"/>
    <tableColumn id="6" name="Product Category" dataDxfId="14" dataCellStyle="Normal 5"/>
    <tableColumn id="7" name="Quantity" dataDxfId="13"/>
    <tableColumn id="8" name="Value" dataDxfId="12"/>
  </tableColumns>
  <tableStyleInfo name="TableStyleMedium20" showFirstColumn="0" showLastColumn="0" showRowStripes="1" showColumnStripes="0"/>
</table>
</file>

<file path=xl/tables/table4.xml><?xml version="1.0" encoding="utf-8"?>
<table xmlns="http://schemas.openxmlformats.org/spreadsheetml/2006/main" id="4" name="ProductMaster" displayName="ProductMaster" ref="A1:J426" totalsRowShown="0" headerRowDxfId="11" tableBorderDxfId="10">
  <autoFilter ref="A1:J426"/>
  <tableColumns count="10">
    <tableColumn id="1" name="S No." dataDxfId="9"/>
    <tableColumn id="2" name="Product ID" dataDxfId="8"/>
    <tableColumn id="3" name="Product Name" dataDxfId="7"/>
    <tableColumn id="4" name="Product Description" dataDxfId="6"/>
    <tableColumn id="5" name="Product Category" dataDxfId="5"/>
    <tableColumn id="6" name="Unit Price" dataDxfId="4"/>
    <tableColumn id="7" name="Expiry" dataDxfId="3">
      <calculatedColumnFormula>StockInData[Expiry]</calculatedColumnFormula>
    </tableColumn>
    <tableColumn id="8" name="Reorder Level" dataDxfId="2"/>
    <tableColumn id="9" name="Current Stock" dataDxfId="1"/>
    <tableColumn id="10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S59"/>
  <sheetViews>
    <sheetView showGridLines="0" showRowColHeaders="0" zoomScaleNormal="100" workbookViewId="0">
      <selection activeCell="D17" sqref="D17:E17"/>
    </sheetView>
  </sheetViews>
  <sheetFormatPr defaultColWidth="0" defaultRowHeight="15" zeroHeight="1" x14ac:dyDescent="0.25"/>
  <cols>
    <col min="1" max="2" width="9" customWidth="1"/>
    <col min="3" max="3" width="6.875" customWidth="1"/>
    <col min="4" max="8" width="9" customWidth="1"/>
    <col min="9" max="9" width="6.875" customWidth="1"/>
    <col min="10" max="10" width="7.125" customWidth="1"/>
    <col min="11" max="11" width="14.125" customWidth="1"/>
    <col min="12" max="12" width="16.875" customWidth="1"/>
    <col min="13" max="13" width="9" customWidth="1"/>
    <col min="14" max="14" width="5.125" customWidth="1"/>
    <col min="15" max="15" width="6.5" customWidth="1"/>
    <col min="16" max="16" width="14.5" customWidth="1"/>
    <col min="17" max="17" width="9.5" customWidth="1"/>
    <col min="18" max="18" width="9" customWidth="1"/>
    <col min="19" max="19" width="1.875" customWidth="1"/>
    <col min="20" max="16384" width="9" hidden="1"/>
  </cols>
  <sheetData>
    <row r="1" spans="1:19" x14ac:dyDescent="0.25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</row>
    <row r="2" spans="1:19" x14ac:dyDescent="0.25">
      <c r="A2" s="14"/>
      <c r="B2" s="14"/>
      <c r="C2" s="14"/>
      <c r="D2" s="14"/>
      <c r="E2" s="14"/>
      <c r="F2" s="14"/>
      <c r="G2" s="14"/>
      <c r="H2" s="14"/>
      <c r="I2" s="14"/>
      <c r="J2" s="14"/>
      <c r="K2" s="14"/>
      <c r="L2" s="14"/>
      <c r="M2" s="14"/>
      <c r="N2" s="14"/>
      <c r="O2" s="14"/>
      <c r="P2" s="14"/>
      <c r="Q2" s="14"/>
      <c r="R2" s="14"/>
      <c r="S2" s="14"/>
    </row>
    <row r="3" spans="1:19" x14ac:dyDescent="0.25">
      <c r="A3" s="14"/>
      <c r="B3" s="14"/>
      <c r="C3" s="14"/>
      <c r="D3" s="14"/>
      <c r="E3" s="14"/>
      <c r="F3" s="14"/>
      <c r="G3" s="14"/>
      <c r="H3" s="14"/>
      <c r="I3" s="14"/>
      <c r="J3" s="14"/>
      <c r="K3" s="14"/>
      <c r="L3" s="14"/>
      <c r="M3" s="14"/>
      <c r="N3" s="14"/>
      <c r="O3" s="14"/>
      <c r="P3" s="14"/>
      <c r="Q3" s="14"/>
      <c r="R3" s="14"/>
      <c r="S3" s="14"/>
    </row>
    <row r="4" spans="1:19" x14ac:dyDescent="0.25">
      <c r="A4" s="14"/>
      <c r="B4" s="14"/>
      <c r="C4" s="14"/>
      <c r="D4" s="14"/>
      <c r="E4" s="14"/>
      <c r="F4" s="14"/>
      <c r="G4" s="14"/>
      <c r="H4" s="14"/>
      <c r="I4" s="14"/>
      <c r="J4" s="14"/>
      <c r="K4" s="14"/>
      <c r="L4" s="14"/>
      <c r="M4" s="14"/>
      <c r="N4" s="14"/>
      <c r="O4" s="14"/>
      <c r="P4" s="14"/>
      <c r="Q4" s="14"/>
      <c r="R4" s="14"/>
      <c r="S4" s="14"/>
    </row>
    <row r="5" spans="1:19" x14ac:dyDescent="0.25">
      <c r="A5" s="14"/>
      <c r="B5" s="14"/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P5" s="14"/>
      <c r="Q5" s="14"/>
      <c r="R5" s="14"/>
      <c r="S5" s="14"/>
    </row>
    <row r="6" spans="1:19" x14ac:dyDescent="0.25">
      <c r="A6" s="14"/>
      <c r="B6" s="14"/>
      <c r="C6" s="14"/>
      <c r="D6" s="14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4"/>
      <c r="R6" s="14"/>
      <c r="S6" s="14"/>
    </row>
    <row r="7" spans="1:19" x14ac:dyDescent="0.25">
      <c r="A7" s="14"/>
      <c r="B7" s="14"/>
      <c r="C7" s="14"/>
      <c r="D7" s="14"/>
      <c r="E7" s="14"/>
      <c r="F7" s="14"/>
      <c r="G7" s="14"/>
      <c r="H7" s="14"/>
      <c r="I7" s="14"/>
      <c r="J7" s="14"/>
      <c r="K7" s="14"/>
      <c r="L7" s="14"/>
      <c r="M7" s="14"/>
      <c r="N7" s="14"/>
      <c r="O7" s="14"/>
      <c r="P7" s="14"/>
      <c r="Q7" s="14"/>
      <c r="R7" s="14"/>
      <c r="S7" s="14"/>
    </row>
    <row r="8" spans="1:19" x14ac:dyDescent="0.25">
      <c r="A8" s="14"/>
      <c r="B8" s="14"/>
      <c r="C8" s="14"/>
      <c r="D8" s="14"/>
      <c r="E8" s="14"/>
      <c r="F8" s="14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  <c r="R8" s="14"/>
      <c r="S8" s="14"/>
    </row>
    <row r="9" spans="1:19" x14ac:dyDescent="0.25">
      <c r="A9" s="14"/>
      <c r="B9" s="14"/>
      <c r="C9" s="14"/>
      <c r="D9" s="14"/>
      <c r="E9" s="14"/>
      <c r="F9" s="14"/>
      <c r="G9" s="14"/>
      <c r="H9" s="14"/>
      <c r="I9" s="14"/>
      <c r="J9" s="14"/>
      <c r="K9" s="14"/>
      <c r="L9" s="14"/>
      <c r="M9" s="14"/>
      <c r="N9" s="14"/>
      <c r="O9" s="14"/>
      <c r="P9" s="14"/>
      <c r="Q9" s="14"/>
      <c r="R9" s="14"/>
      <c r="S9" s="14"/>
    </row>
    <row r="10" spans="1:19" x14ac:dyDescent="0.25">
      <c r="A10" s="14"/>
      <c r="B10" s="14"/>
      <c r="C10" s="14"/>
      <c r="D10" s="14"/>
      <c r="E10" s="14"/>
      <c r="F10" s="14"/>
      <c r="G10" s="14"/>
      <c r="H10" s="14"/>
      <c r="I10" s="14"/>
      <c r="J10" s="14"/>
      <c r="K10" s="14"/>
      <c r="L10" s="14"/>
      <c r="M10" s="14"/>
      <c r="N10" s="14"/>
      <c r="O10" s="14"/>
      <c r="P10" s="14"/>
      <c r="Q10" s="14"/>
      <c r="R10" s="14"/>
      <c r="S10" s="14"/>
    </row>
    <row r="11" spans="1:19" x14ac:dyDescent="0.25">
      <c r="A11" s="14"/>
      <c r="B11" s="14"/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</row>
    <row r="12" spans="1:19" x14ac:dyDescent="0.25">
      <c r="A12" s="14"/>
      <c r="B12" s="14"/>
      <c r="C12" s="14"/>
      <c r="D12" s="14"/>
      <c r="E12" s="14"/>
      <c r="F12" s="14"/>
      <c r="G12" s="14"/>
      <c r="H12" s="14"/>
      <c r="I12" s="14"/>
      <c r="J12" s="14"/>
      <c r="N12" s="14"/>
      <c r="O12" s="14"/>
      <c r="P12" s="14"/>
      <c r="Q12" s="14"/>
      <c r="R12" s="14"/>
      <c r="S12" s="14"/>
    </row>
    <row r="13" spans="1:19" x14ac:dyDescent="0.25">
      <c r="A13" s="14"/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</row>
    <row r="14" spans="1:19" ht="16.5" x14ac:dyDescent="0.25">
      <c r="A14" s="14"/>
      <c r="B14" s="14"/>
      <c r="C14" s="14"/>
      <c r="D14" s="14"/>
      <c r="E14" s="14"/>
      <c r="F14" s="14"/>
      <c r="G14" s="14"/>
      <c r="H14" s="14"/>
      <c r="I14" s="14"/>
      <c r="J14" s="14"/>
      <c r="K14" s="102" t="s">
        <v>210</v>
      </c>
      <c r="L14" s="102"/>
      <c r="M14" s="102"/>
      <c r="N14" s="54"/>
      <c r="O14" s="14"/>
      <c r="P14" s="14"/>
      <c r="Q14" s="14"/>
      <c r="R14" s="14"/>
      <c r="S14" s="14"/>
    </row>
    <row r="15" spans="1:19" x14ac:dyDescent="0.25">
      <c r="A15" s="14"/>
      <c r="B15" s="14"/>
      <c r="C15" s="14"/>
      <c r="D15" s="14"/>
      <c r="E15" s="14"/>
      <c r="F15" s="14"/>
      <c r="G15" s="14"/>
      <c r="H15" s="14"/>
      <c r="I15" s="14"/>
      <c r="J15" s="14"/>
      <c r="K15" s="14"/>
      <c r="L15" s="14"/>
      <c r="M15" s="14"/>
      <c r="N15" s="14"/>
      <c r="O15" s="14"/>
      <c r="S15" s="14"/>
    </row>
    <row r="16" spans="1:19" ht="23.25" customHeight="1" x14ac:dyDescent="0.25">
      <c r="A16" s="36"/>
      <c r="B16" s="36"/>
      <c r="C16" s="36"/>
      <c r="D16" s="36"/>
      <c r="E16" s="36"/>
      <c r="F16" s="36"/>
      <c r="G16" s="36"/>
      <c r="H16" s="36"/>
      <c r="I16" s="36"/>
      <c r="J16" s="14"/>
      <c r="K16" s="14"/>
      <c r="L16" s="14"/>
      <c r="M16" s="14"/>
      <c r="N16" s="14"/>
      <c r="O16" s="14"/>
      <c r="P16" s="14"/>
      <c r="Q16" s="14"/>
      <c r="R16" s="14"/>
      <c r="S16" s="14"/>
    </row>
    <row r="17" spans="1:19" ht="27" customHeight="1" x14ac:dyDescent="0.25">
      <c r="A17" s="100"/>
      <c r="B17" s="100"/>
      <c r="C17" s="100"/>
      <c r="D17" s="105" t="s">
        <v>878</v>
      </c>
      <c r="E17" s="105"/>
      <c r="F17" s="103">
        <v>44245</v>
      </c>
      <c r="G17" s="103"/>
      <c r="H17" s="104" t="str">
        <f>TEXT(F17,"DDD")</f>
        <v>Thu</v>
      </c>
      <c r="I17" s="104"/>
      <c r="J17" s="14"/>
      <c r="K17" s="14"/>
      <c r="L17" s="14"/>
      <c r="M17" s="14"/>
      <c r="N17" s="14"/>
      <c r="O17" s="14"/>
      <c r="P17" s="55" t="s">
        <v>873</v>
      </c>
      <c r="Q17" s="101">
        <f>IFERROR(Help!B14,"")</f>
        <v>44099</v>
      </c>
      <c r="R17" s="101"/>
      <c r="S17" s="14"/>
    </row>
    <row r="18" spans="1:19" x14ac:dyDescent="0.25">
      <c r="A18" s="100"/>
      <c r="B18" s="100"/>
      <c r="C18" s="100"/>
      <c r="D18" s="100"/>
      <c r="E18" s="100"/>
      <c r="F18" s="100"/>
      <c r="G18" s="100"/>
      <c r="H18" s="100"/>
      <c r="I18" s="100"/>
      <c r="J18" s="14"/>
      <c r="K18" s="14"/>
      <c r="L18" s="14"/>
      <c r="M18" s="14"/>
      <c r="N18" s="14"/>
      <c r="O18" s="14"/>
      <c r="S18" s="14"/>
    </row>
    <row r="19" spans="1:19" x14ac:dyDescent="0.25">
      <c r="A19" s="100"/>
      <c r="B19" s="100"/>
      <c r="C19" s="100"/>
      <c r="D19" s="100"/>
      <c r="E19" s="100"/>
      <c r="F19" s="100"/>
      <c r="G19" s="100"/>
      <c r="H19" s="100"/>
      <c r="I19" s="100"/>
      <c r="J19" s="14"/>
      <c r="K19" s="14"/>
      <c r="L19" s="14"/>
      <c r="M19" s="14"/>
      <c r="N19" s="14"/>
      <c r="O19" s="14"/>
      <c r="P19" s="14"/>
      <c r="Q19" s="14"/>
      <c r="R19" s="14"/>
      <c r="S19" s="14"/>
    </row>
    <row r="20" spans="1:19" ht="10.5" customHeight="1" x14ac:dyDescent="0.25">
      <c r="A20" s="100"/>
      <c r="B20" s="100"/>
      <c r="C20" s="100"/>
      <c r="D20" s="100"/>
      <c r="E20" s="100"/>
      <c r="F20" s="100"/>
      <c r="G20" s="100"/>
      <c r="H20" s="100"/>
      <c r="I20" s="100"/>
      <c r="J20" s="14"/>
      <c r="K20" s="14"/>
      <c r="L20" s="14"/>
      <c r="M20" s="14"/>
      <c r="N20" s="14"/>
      <c r="O20" s="14"/>
      <c r="P20" s="14"/>
      <c r="Q20" s="14"/>
      <c r="R20" s="14"/>
      <c r="S20" s="14"/>
    </row>
    <row r="21" spans="1:19" x14ac:dyDescent="0.25">
      <c r="A21" s="100"/>
      <c r="B21" s="100"/>
      <c r="C21" s="100"/>
      <c r="D21" s="100"/>
      <c r="E21" s="100"/>
      <c r="F21" s="100"/>
      <c r="G21" s="100"/>
      <c r="H21" s="100"/>
      <c r="I21" s="100"/>
      <c r="J21" s="14"/>
      <c r="K21" s="14"/>
      <c r="L21" s="14"/>
      <c r="M21" s="14"/>
      <c r="N21" s="14"/>
      <c r="O21" s="14"/>
      <c r="P21" s="14"/>
      <c r="Q21" s="14"/>
      <c r="R21" s="14"/>
      <c r="S21" s="14"/>
    </row>
    <row r="22" spans="1:19" x14ac:dyDescent="0.25">
      <c r="A22" s="100"/>
      <c r="B22" s="100"/>
      <c r="C22" s="100"/>
      <c r="D22" s="100"/>
      <c r="E22" s="100"/>
      <c r="F22" s="100"/>
      <c r="G22" s="100"/>
      <c r="H22" s="100"/>
      <c r="I22" s="100"/>
      <c r="J22" s="14"/>
      <c r="K22" s="14"/>
      <c r="L22" s="14"/>
      <c r="M22" s="14"/>
      <c r="N22" s="14"/>
      <c r="O22" s="14"/>
      <c r="P22" s="14"/>
      <c r="Q22" s="14"/>
      <c r="R22" s="14"/>
      <c r="S22" s="14"/>
    </row>
    <row r="23" spans="1:19" x14ac:dyDescent="0.25">
      <c r="A23" s="100"/>
      <c r="B23" s="100"/>
      <c r="C23" s="100"/>
      <c r="D23" s="100"/>
      <c r="E23" s="100"/>
      <c r="F23" s="100"/>
      <c r="G23" s="100"/>
      <c r="H23" s="100"/>
      <c r="I23" s="100"/>
      <c r="J23" s="14"/>
      <c r="K23" s="14"/>
      <c r="L23" s="14"/>
      <c r="M23" s="14"/>
      <c r="N23" s="14"/>
      <c r="O23" s="14"/>
      <c r="P23" s="14"/>
      <c r="Q23" s="14"/>
      <c r="R23" s="14"/>
      <c r="S23" s="14"/>
    </row>
    <row r="24" spans="1:19" x14ac:dyDescent="0.25">
      <c r="A24" s="100"/>
      <c r="B24" s="100"/>
      <c r="C24" s="100"/>
      <c r="D24" s="100"/>
      <c r="E24" s="100"/>
      <c r="F24" s="100"/>
      <c r="G24" s="100"/>
      <c r="H24" s="100"/>
      <c r="I24" s="100"/>
      <c r="J24" s="14"/>
      <c r="K24" s="14"/>
      <c r="L24" s="14"/>
      <c r="M24" s="14"/>
      <c r="N24" s="14"/>
      <c r="O24" s="14"/>
      <c r="P24" s="14"/>
      <c r="Q24" s="14"/>
      <c r="R24" s="14"/>
      <c r="S24" s="14"/>
    </row>
    <row r="25" spans="1:19" hidden="1" x14ac:dyDescent="0.25"/>
    <row r="26" spans="1:19" hidden="1" x14ac:dyDescent="0.25"/>
    <row r="27" spans="1:19" hidden="1" x14ac:dyDescent="0.25"/>
    <row r="28" spans="1:19" hidden="1" x14ac:dyDescent="0.25"/>
    <row r="29" spans="1:19" hidden="1" x14ac:dyDescent="0.25"/>
    <row r="30" spans="1:19" hidden="1" x14ac:dyDescent="0.25"/>
    <row r="31" spans="1:19" hidden="1" x14ac:dyDescent="0.25"/>
    <row r="32" spans="1:19" hidden="1" x14ac:dyDescent="0.25"/>
    <row r="33" hidden="1" x14ac:dyDescent="0.25"/>
    <row r="34" hidden="1" x14ac:dyDescent="0.25"/>
    <row r="35" hidden="1" x14ac:dyDescent="0.25"/>
    <row r="36" hidden="1" x14ac:dyDescent="0.25"/>
    <row r="37" hidden="1" x14ac:dyDescent="0.25"/>
    <row r="38" hidden="1" x14ac:dyDescent="0.25"/>
    <row r="39" hidden="1" x14ac:dyDescent="0.25"/>
    <row r="40" hidden="1" x14ac:dyDescent="0.25"/>
    <row r="41" hidden="1" x14ac:dyDescent="0.25"/>
    <row r="42" hidden="1" x14ac:dyDescent="0.25"/>
    <row r="43" hidden="1" x14ac:dyDescent="0.25"/>
    <row r="44" hidden="1" x14ac:dyDescent="0.25"/>
    <row r="45" hidden="1" x14ac:dyDescent="0.25"/>
    <row r="46" hidden="1" x14ac:dyDescent="0.25"/>
    <row r="47" hidden="1" x14ac:dyDescent="0.25"/>
    <row r="48" hidden="1" x14ac:dyDescent="0.25"/>
    <row r="49" hidden="1" x14ac:dyDescent="0.25"/>
    <row r="50" hidden="1" x14ac:dyDescent="0.25"/>
    <row r="51" hidden="1" x14ac:dyDescent="0.25"/>
    <row r="52" hidden="1" x14ac:dyDescent="0.25"/>
    <row r="53" hidden="1" x14ac:dyDescent="0.25"/>
    <row r="54" hidden="1" x14ac:dyDescent="0.25"/>
    <row r="55" hidden="1" x14ac:dyDescent="0.25"/>
    <row r="56" hidden="1" x14ac:dyDescent="0.25"/>
    <row r="57" hidden="1" x14ac:dyDescent="0.25"/>
    <row r="58" hidden="1" x14ac:dyDescent="0.25"/>
    <row r="59" hidden="1" x14ac:dyDescent="0.25"/>
  </sheetData>
  <sheetProtection password="CC72" sheet="1" objects="1" scenarios="1"/>
  <mergeCells count="7">
    <mergeCell ref="A18:I24"/>
    <mergeCell ref="Q17:R17"/>
    <mergeCell ref="K14:M14"/>
    <mergeCell ref="F17:G17"/>
    <mergeCell ref="A17:C17"/>
    <mergeCell ref="H17:I17"/>
    <mergeCell ref="D17:E17"/>
  </mergeCells>
  <dataValidations disablePrompts="1" count="1">
    <dataValidation type="list" allowBlank="1" showInputMessage="1" showErrorMessage="1" sqref="K14">
      <formula1>INDIRECT("ProductMaster[Product Name]")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8" r:id="rId4" name="cboItems">
          <controlPr defaultSize="0" autoLine="0" linkedCell="K14" r:id="rId5">
            <anchor moveWithCells="1">
              <from>
                <xdr:col>9</xdr:col>
                <xdr:colOff>457200</xdr:colOff>
                <xdr:row>12</xdr:row>
                <xdr:rowOff>123825</xdr:rowOff>
              </from>
              <to>
                <xdr:col>13</xdr:col>
                <xdr:colOff>133350</xdr:colOff>
                <xdr:row>14</xdr:row>
                <xdr:rowOff>9525</xdr:rowOff>
              </to>
            </anchor>
          </controlPr>
        </control>
      </mc:Choice>
      <mc:Fallback>
        <control shapeId="1028" r:id="rId4" name="cboItem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L47"/>
  <sheetViews>
    <sheetView workbookViewId="0">
      <selection activeCell="B14" sqref="B14"/>
    </sheetView>
  </sheetViews>
  <sheetFormatPr defaultRowHeight="15" x14ac:dyDescent="0.25"/>
  <cols>
    <col min="1" max="1" width="29" bestFit="1" customWidth="1"/>
    <col min="2" max="2" width="12" bestFit="1" customWidth="1"/>
    <col min="4" max="4" width="10" customWidth="1"/>
    <col min="6" max="6" width="12.625" bestFit="1" customWidth="1"/>
    <col min="7" max="7" width="19.75" bestFit="1" customWidth="1"/>
    <col min="9" max="9" width="9" bestFit="1" customWidth="1"/>
    <col min="10" max="10" width="10.875" bestFit="1" customWidth="1"/>
    <col min="11" max="11" width="9.625" bestFit="1" customWidth="1"/>
    <col min="12" max="12" width="11.5" bestFit="1" customWidth="1"/>
    <col min="14" max="18" width="18.625" customWidth="1"/>
  </cols>
  <sheetData>
    <row r="1" spans="1:12" x14ac:dyDescent="0.25">
      <c r="A1" t="s">
        <v>9</v>
      </c>
      <c r="B1" s="1" t="str">
        <f>SUM(ProductMaster!$I$3:$I$426)&amp; " Unit(s)"</f>
        <v>18836 Unit(s)</v>
      </c>
      <c r="D1" s="9"/>
      <c r="E1" s="9"/>
      <c r="F1" s="10" t="s">
        <v>14</v>
      </c>
      <c r="G1" t="s">
        <v>16</v>
      </c>
      <c r="I1" s="70" t="s">
        <v>967</v>
      </c>
      <c r="J1" s="70" t="s">
        <v>965</v>
      </c>
      <c r="K1" s="70" t="s">
        <v>968</v>
      </c>
      <c r="L1" s="70" t="s">
        <v>966</v>
      </c>
    </row>
    <row r="2" spans="1:12" x14ac:dyDescent="0.25">
      <c r="A2" t="s">
        <v>11</v>
      </c>
      <c r="B2" s="8">
        <f>SUM(ProductMaster!$J$3:$J$426)</f>
        <v>47341.500000000007</v>
      </c>
      <c r="F2" s="11" t="s">
        <v>870</v>
      </c>
      <c r="G2" s="12">
        <v>3718</v>
      </c>
      <c r="I2" t="s">
        <v>958</v>
      </c>
      <c r="J2" t="s">
        <v>955</v>
      </c>
      <c r="K2" t="s">
        <v>969</v>
      </c>
      <c r="L2" t="s">
        <v>961</v>
      </c>
    </row>
    <row r="3" spans="1:12" x14ac:dyDescent="0.25">
      <c r="A3" t="s">
        <v>879</v>
      </c>
      <c r="B3" s="9">
        <f ca="1">TODAY()-30</f>
        <v>43776</v>
      </c>
      <c r="F3" s="11" t="s">
        <v>946</v>
      </c>
      <c r="G3" s="12">
        <v>0</v>
      </c>
      <c r="I3" t="s">
        <v>959</v>
      </c>
      <c r="J3" t="s">
        <v>956</v>
      </c>
      <c r="K3" t="s">
        <v>970</v>
      </c>
      <c r="L3" t="s">
        <v>971</v>
      </c>
    </row>
    <row r="4" spans="1:12" x14ac:dyDescent="0.25">
      <c r="A4" t="s">
        <v>880</v>
      </c>
      <c r="B4" s="9">
        <f ca="1">TODAY()</f>
        <v>43806</v>
      </c>
      <c r="F4" s="11" t="s">
        <v>876</v>
      </c>
      <c r="G4" s="12">
        <v>2834</v>
      </c>
      <c r="I4" t="s">
        <v>960</v>
      </c>
      <c r="J4" t="s">
        <v>957</v>
      </c>
      <c r="K4" t="s">
        <v>972</v>
      </c>
      <c r="L4" t="s">
        <v>973</v>
      </c>
    </row>
    <row r="5" spans="1:12" x14ac:dyDescent="0.25">
      <c r="A5" t="s">
        <v>12</v>
      </c>
      <c r="B5" s="1" t="str">
        <f ca="1">SUMIFS(StockInData[Quantity],StockInData[Date],"&gt;"&amp;Help!B3,StockInData[Date],"&lt;"&amp;Help!B4)&amp;" Unit(s)"</f>
        <v>1853 Unit(s)</v>
      </c>
      <c r="F5" s="11" t="s">
        <v>871</v>
      </c>
      <c r="G5" s="12">
        <v>7019</v>
      </c>
    </row>
    <row r="6" spans="1:12" x14ac:dyDescent="0.25">
      <c r="A6" t="s">
        <v>13</v>
      </c>
      <c r="B6" s="1" t="str">
        <f ca="1">SUMIFS(StockOutData[Quantity],StockOutData[Date],"&gt;"&amp;Help!B3,StockOutData[Date],"&lt;"&amp;Help!B4)&amp;" Unit(s)"</f>
        <v>60 Unit(s)</v>
      </c>
      <c r="F6" s="11" t="s">
        <v>875</v>
      </c>
      <c r="G6" s="12">
        <v>5298</v>
      </c>
    </row>
    <row r="7" spans="1:12" x14ac:dyDescent="0.25">
      <c r="A7" t="s">
        <v>17</v>
      </c>
      <c r="B7" s="13">
        <f>MATCH(Dashboard!K14,ProductMaster!$C$3:$C$426,0)</f>
        <v>94</v>
      </c>
      <c r="F7" s="11" t="s">
        <v>15</v>
      </c>
      <c r="G7" s="12">
        <v>18869</v>
      </c>
    </row>
    <row r="8" spans="1:12" x14ac:dyDescent="0.25">
      <c r="A8" t="s">
        <v>3</v>
      </c>
      <c r="B8" s="13" t="str">
        <f>VLOOKUP(B7,ProductMaster!$A$2:$J$426,3,0)</f>
        <v>FALAK BASMATI RICE 2 KG X 10</v>
      </c>
    </row>
    <row r="9" spans="1:12" x14ac:dyDescent="0.25">
      <c r="A9" t="s">
        <v>8</v>
      </c>
      <c r="B9">
        <f>VLOOKUP(B7,ProductMaster!$A$2:$J$426,8,0)</f>
        <v>25</v>
      </c>
    </row>
    <row r="10" spans="1:12" x14ac:dyDescent="0.25">
      <c r="A10" t="s">
        <v>20</v>
      </c>
      <c r="B10">
        <f>VLOOKUP(B7,ProductMaster!$A$2:$J$426,9,0)</f>
        <v>5</v>
      </c>
    </row>
    <row r="11" spans="1:12" x14ac:dyDescent="0.25">
      <c r="A11" t="s">
        <v>11</v>
      </c>
      <c r="B11" s="8">
        <f>VLOOKUP(B7,ProductMaster!$A$2:$J$426,6,0)</f>
        <v>10</v>
      </c>
    </row>
    <row r="12" spans="1:12" x14ac:dyDescent="0.25">
      <c r="A12" t="s">
        <v>18</v>
      </c>
      <c r="B12" t="str">
        <f>"Current Stock is "&amp;B10&amp;" Unit(s). And, Stock Value is "&amp;TEXT(B11,"$0")</f>
        <v>Current Stock is 5 Unit(s). And, Stock Value is $10</v>
      </c>
    </row>
    <row r="13" spans="1:12" x14ac:dyDescent="0.25">
      <c r="A13" t="s">
        <v>19</v>
      </c>
      <c r="B13" t="str">
        <f>B8&amp;"'s"</f>
        <v>FALAK BASMATI RICE 2 KG X 10's</v>
      </c>
    </row>
    <row r="14" spans="1:12" x14ac:dyDescent="0.25">
      <c r="A14" t="s">
        <v>872</v>
      </c>
      <c r="B14" s="34">
        <f>VLOOKUP(B7,ProductMaster!$A$2:$J$426,7,0)</f>
        <v>44099</v>
      </c>
    </row>
    <row r="15" spans="1:12" x14ac:dyDescent="0.25">
      <c r="A15" t="str">
        <f>IF(B10&gt;B9,"Relax! Stock Is Above Re-Order Level.","Order NOW!")</f>
        <v>Order NOW!</v>
      </c>
    </row>
    <row r="16" spans="1:12" ht="37.5" customHeight="1" x14ac:dyDescent="0.25">
      <c r="A16" t="str">
        <f>IF(B9&gt;B10,"Do Something, Stock is Below Re-Order Level.","")</f>
        <v>Do Something, Stock is Below Re-Order Level.</v>
      </c>
    </row>
    <row r="17" spans="1:1" ht="37.5" customHeight="1" x14ac:dyDescent="0.25">
      <c r="A17" t="str">
        <f>IF(B10=B9,"Hurry Up You Need More Stock","")</f>
        <v/>
      </c>
    </row>
    <row r="18" spans="1:1" ht="37.5" customHeight="1" x14ac:dyDescent="0.25"/>
    <row r="19" spans="1:1" ht="52.5" customHeight="1" x14ac:dyDescent="0.25"/>
    <row r="20" spans="1:1" ht="52.5" customHeight="1" x14ac:dyDescent="0.25"/>
    <row r="38" ht="31.5" customHeight="1" x14ac:dyDescent="0.25"/>
    <row r="39" ht="79.5" customHeight="1" x14ac:dyDescent="0.25"/>
    <row r="40" ht="31.5" customHeight="1" x14ac:dyDescent="0.25"/>
    <row r="41" ht="31.5" customHeight="1" x14ac:dyDescent="0.25"/>
    <row r="42" ht="31.5" customHeight="1" x14ac:dyDescent="0.25"/>
    <row r="43" ht="31.5" customHeight="1" x14ac:dyDescent="0.25"/>
    <row r="44" ht="31.5" customHeight="1" x14ac:dyDescent="0.25"/>
    <row r="45" ht="31.5" customHeight="1" x14ac:dyDescent="0.25"/>
    <row r="46" ht="31.5" customHeight="1" x14ac:dyDescent="0.25"/>
    <row r="47" ht="31.5" customHeight="1" x14ac:dyDescent="0.25"/>
  </sheetData>
  <pageMargins left="0.7" right="0.7" top="0.75" bottom="0.75" header="0.3" footer="0.3"/>
  <pageSetup orientation="portrait"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25"/>
  <sheetViews>
    <sheetView showGridLines="0" workbookViewId="0">
      <selection activeCell="B8" sqref="B8"/>
    </sheetView>
  </sheetViews>
  <sheetFormatPr defaultColWidth="0" defaultRowHeight="15" zeroHeight="1" x14ac:dyDescent="0.25"/>
  <cols>
    <col min="1" max="1" width="24.625" customWidth="1"/>
    <col min="2" max="2" width="43.12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ht="10.5" customHeight="1" x14ac:dyDescent="0.25">
      <c r="A4" s="106"/>
      <c r="B4" s="106"/>
      <c r="C4" s="38"/>
    </row>
    <row r="5" spans="1:3" s="24" customFormat="1" ht="18" customHeight="1" x14ac:dyDescent="0.25">
      <c r="A5" s="107" t="s">
        <v>0</v>
      </c>
      <c r="B5" s="72" t="str">
        <f>IF(B10="","",(MAX(StockInData[S No.])+1))</f>
        <v/>
      </c>
      <c r="C5" s="39"/>
    </row>
    <row r="6" spans="1:3" s="24" customFormat="1" ht="18" customHeight="1" x14ac:dyDescent="0.25">
      <c r="A6" s="107" t="s">
        <v>878</v>
      </c>
      <c r="B6" s="78"/>
      <c r="C6" s="39"/>
    </row>
    <row r="7" spans="1:3" s="24" customFormat="1" ht="18" customHeight="1" x14ac:dyDescent="0.25">
      <c r="A7" s="107" t="s">
        <v>974</v>
      </c>
      <c r="B7" s="74" t="str">
        <f>IFERROR(INDEX(CustSup[Sup-ID],MATCH(B8,CustSup[Supplier],0)),"")</f>
        <v/>
      </c>
      <c r="C7" s="39"/>
    </row>
    <row r="8" spans="1:3" s="24" customFormat="1" ht="18" customHeight="1" x14ac:dyDescent="0.25">
      <c r="A8" s="107" t="s">
        <v>947</v>
      </c>
      <c r="B8" s="73"/>
      <c r="C8" s="39"/>
    </row>
    <row r="9" spans="1:3" s="24" customFormat="1" ht="18" customHeight="1" x14ac:dyDescent="0.25">
      <c r="A9" s="107" t="s">
        <v>948</v>
      </c>
      <c r="B9" s="74" t="str">
        <f>IFERROR(INDEX(ProductMaster!$B$3:INDEX(ProductMaster!$B:$B,COUNTA(ProductMaster!$B:$B)),MATCH(EnterStockIn!B10,ProductMaster!$C$3:INDEX(ProductMaster!$C:$C,COUNTA(ProductMaster!$C:$C)),0),0),"")</f>
        <v/>
      </c>
      <c r="C9" s="39"/>
    </row>
    <row r="10" spans="1:3" s="24" customFormat="1" ht="18" customHeight="1" x14ac:dyDescent="0.25">
      <c r="A10" s="107" t="s">
        <v>949</v>
      </c>
      <c r="B10" s="71"/>
      <c r="C10" s="39"/>
    </row>
    <row r="11" spans="1:3" s="24" customFormat="1" ht="18" customHeight="1" x14ac:dyDescent="0.25">
      <c r="A11" s="107" t="s">
        <v>950</v>
      </c>
      <c r="B11" s="74" t="str">
        <f>IFERROR(INDEX(ProductMaster!$D$3:INDEX(ProductMaster!$D:$D,COUNTA(ProductMaster!$D:$D)),MATCH(EnterStockIn!B10,ProductMaster!$C$3:INDEX(ProductMaster!$C:$C,COUNTA(ProductMaster!$C:$C)),0),0),"")</f>
        <v/>
      </c>
      <c r="C11" s="39"/>
    </row>
    <row r="12" spans="1:3" s="24" customFormat="1" ht="18" customHeight="1" x14ac:dyDescent="0.25">
      <c r="A12" s="107" t="s">
        <v>951</v>
      </c>
      <c r="B12" s="74" t="str">
        <f>IFERROR(INDEX(ProductMaster!$E$3:INDEX(ProductMaster!$E:$E,COUNTA(ProductMaster!$E:$E)),MATCH(EnterStockIn!B10,ProductMaster!$C$3:INDEX(ProductMaster!$C:$C,COUNTA(ProductMaster!$C:$C)),0),0),"")</f>
        <v/>
      </c>
      <c r="C12" s="39"/>
    </row>
    <row r="13" spans="1:3" s="24" customFormat="1" ht="18" customHeight="1" x14ac:dyDescent="0.25">
      <c r="A13" s="107" t="s">
        <v>873</v>
      </c>
      <c r="B13" s="79" t="str">
        <f>IFERROR(INDEX(ProductMaster!$G$3:INDEX(ProductMaster!$G:$G,COUNTA(ProductMaster!$G:$G)),MATCH(EnterStockIn!B10,ProductMaster!$C$3:INDEX(ProductMaster!$C:$C,COUNTA(ProductMaster!$C:$C)),0),0),"")</f>
        <v/>
      </c>
      <c r="C13" s="39"/>
    </row>
    <row r="14" spans="1:3" s="24" customFormat="1" ht="18" customHeight="1" x14ac:dyDescent="0.25">
      <c r="A14" s="107" t="s">
        <v>952</v>
      </c>
      <c r="B14" s="76"/>
      <c r="C14" s="39"/>
    </row>
    <row r="15" spans="1:3" s="24" customFormat="1" ht="18" customHeight="1" x14ac:dyDescent="0.25">
      <c r="A15" s="107" t="s">
        <v>7</v>
      </c>
      <c r="B15" s="80" t="str">
        <f>IFERROR(INDEX(ProductMaster!$F$3:INDEX(ProductMaster!$F:$F,COUNTA(ProductMaster!$F:$F)),MATCH(EnterStockIn!B10,ProductMaster!$C$3:INDEX(ProductMaster!$C:$C,COUNTA(ProductMaster!$C:$C)),0),0)*B14,"")</f>
        <v/>
      </c>
      <c r="C15" s="39"/>
    </row>
    <row r="16" spans="1:3" hidden="1" x14ac:dyDescent="0.25"/>
    <row r="17" hidden="1" x14ac:dyDescent="0.25"/>
    <row r="18" hidden="1" x14ac:dyDescent="0.25"/>
    <row r="19" hidden="1" x14ac:dyDescent="0.25"/>
    <row r="20" hidden="1" x14ac:dyDescent="0.25"/>
    <row r="21" hidden="1" x14ac:dyDescent="0.25"/>
    <row r="22" x14ac:dyDescent="0.25"/>
    <row r="23" hidden="1" x14ac:dyDescent="0.25"/>
    <row r="24" x14ac:dyDescent="0.25"/>
    <row r="25" x14ac:dyDescent="0.25"/>
  </sheetData>
  <sheetProtection sheet="1" objects="1" scenarios="1" selectLockedCells="1"/>
  <mergeCells count="1">
    <mergeCell ref="A4:B4"/>
  </mergeCells>
  <dataValidations xWindow="553" yWindow="477" count="3">
    <dataValidation type="list" allowBlank="1" showInputMessage="1" showErrorMessage="1" promptTitle="Select Product" prompt="Select Product Name From Drop Down List" sqref="B10">
      <formula1>INDIRECT("ProductMaster[Product Name]")</formula1>
    </dataValidation>
    <dataValidation type="decimal" allowBlank="1" showInputMessage="1" showErrorMessage="1" errorTitle="Wrong Value" error="Please enter valid number!" promptTitle="Enter Quantity" prompt="Enter Stock Units_x000a_" sqref="B14">
      <formula1>1</formula1>
      <formula2>999999</formula2>
    </dataValidation>
    <dataValidation type="list" allowBlank="1" showInputMessage="1" showErrorMessage="1" promptTitle="Select Supplier" sqref="B8">
      <formula1>INDIRECT("CustSup[Supplier]")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24"/>
  <sheetViews>
    <sheetView showGridLines="0" workbookViewId="0">
      <selection activeCell="B5" sqref="B5:B14"/>
    </sheetView>
  </sheetViews>
  <sheetFormatPr defaultColWidth="0" defaultRowHeight="15" customHeight="1" zeroHeight="1" x14ac:dyDescent="0.25"/>
  <cols>
    <col min="1" max="1" width="24.625" customWidth="1"/>
    <col min="2" max="2" width="38.7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4"/>
      <c r="B4" s="15"/>
      <c r="C4" s="14"/>
    </row>
    <row r="5" spans="1:3" ht="18" customHeight="1" x14ac:dyDescent="0.25">
      <c r="A5" s="107" t="s">
        <v>0</v>
      </c>
      <c r="B5" s="72" t="str">
        <f>IF(B10="","",(MAX(StockOutData[S No.])+1))</f>
        <v/>
      </c>
      <c r="C5" s="14"/>
    </row>
    <row r="6" spans="1:3" ht="18" customHeight="1" x14ac:dyDescent="0.25">
      <c r="A6" s="107" t="s">
        <v>878</v>
      </c>
      <c r="B6" s="78"/>
      <c r="C6" s="14"/>
    </row>
    <row r="7" spans="1:3" ht="18" customHeight="1" x14ac:dyDescent="0.25">
      <c r="A7" s="107" t="s">
        <v>975</v>
      </c>
      <c r="B7" s="74" t="str">
        <f>IFERROR(INDEX(CustSup[Cust-ID],MATCH(B8,CustSup[Customer],0)),"")</f>
        <v/>
      </c>
      <c r="C7" s="14"/>
    </row>
    <row r="8" spans="1:3" ht="18" customHeight="1" x14ac:dyDescent="0.25">
      <c r="A8" s="107" t="s">
        <v>953</v>
      </c>
      <c r="B8" s="73"/>
      <c r="C8" s="14"/>
    </row>
    <row r="9" spans="1:3" s="53" customFormat="1" ht="18" customHeight="1" x14ac:dyDescent="0.25">
      <c r="A9" s="107" t="s">
        <v>948</v>
      </c>
      <c r="B9" s="74"/>
      <c r="C9" s="52"/>
    </row>
    <row r="10" spans="1:3" ht="18" customHeight="1" x14ac:dyDescent="0.25">
      <c r="A10" s="107" t="s">
        <v>949</v>
      </c>
      <c r="B10" s="75"/>
      <c r="C10" s="14"/>
    </row>
    <row r="11" spans="1:3" ht="18" customHeight="1" x14ac:dyDescent="0.25">
      <c r="A11" s="107" t="s">
        <v>950</v>
      </c>
      <c r="B11" s="74" t="str">
        <f>IFERROR(INDEX(ProductMaster!$D$3:INDEX(ProductMaster!$D:$D,COUNTA(ProductMaster!$D:$D)),MATCH(EnterStockOut!B10,ProductMaster!$C$3:INDEX(ProductMaster!$C:$C,COUNTA(ProductMaster!$C:$C)),0),0),"")</f>
        <v/>
      </c>
      <c r="C11" s="14"/>
    </row>
    <row r="12" spans="1:3" ht="18" customHeight="1" x14ac:dyDescent="0.25">
      <c r="A12" s="107" t="s">
        <v>951</v>
      </c>
      <c r="B12" s="74" t="str">
        <f>IFERROR(INDEX(ProductMaster!$E$3:INDEX(ProductMaster!$E:$E,COUNTA(ProductMaster!$E:$E)),MATCH(EnterStockOut!B10,ProductMaster!$C$3:INDEX(ProductMaster!$C:$C,COUNTA(ProductMaster!$C:$C)),0),0),"")</f>
        <v/>
      </c>
      <c r="C12" s="14"/>
    </row>
    <row r="13" spans="1:3" ht="18" customHeight="1" x14ac:dyDescent="0.25">
      <c r="A13" s="107" t="s">
        <v>952</v>
      </c>
      <c r="B13" s="76"/>
      <c r="C13" s="14"/>
    </row>
    <row r="14" spans="1:3" ht="18" customHeight="1" thickBot="1" x14ac:dyDescent="0.3">
      <c r="A14" s="108" t="s">
        <v>954</v>
      </c>
      <c r="B14" s="77" t="str">
        <f>IFERROR(INDEX(ProductMaster!$F$3:INDEX(ProductMaster!$F:$F,COUNTA(ProductMaster!$F:$F)),MATCH(EnterStockOut!B10,ProductMaster!$C$3:INDEX(ProductMaster!$C:$C,COUNTA(ProductMaster!$C:$C)),0),0)*B13,"")</f>
        <v/>
      </c>
      <c r="C14" s="14"/>
    </row>
    <row r="15" spans="1:3" x14ac:dyDescent="0.25">
      <c r="A15" s="14"/>
      <c r="B15" s="15"/>
      <c r="C15" s="14"/>
    </row>
    <row r="16" spans="1:3" ht="15" hidden="1" customHeight="1" x14ac:dyDescent="0.25"/>
    <row r="17" ht="15" hidden="1" customHeight="1" x14ac:dyDescent="0.25"/>
    <row r="18" ht="15" hidden="1" customHeight="1" x14ac:dyDescent="0.25"/>
    <row r="19" ht="15" hidden="1" customHeight="1" x14ac:dyDescent="0.25"/>
    <row r="20" ht="15" hidden="1" customHeight="1" x14ac:dyDescent="0.25"/>
    <row r="21" ht="15" hidden="1" customHeight="1" x14ac:dyDescent="0.25"/>
    <row r="22" ht="15" customHeight="1" x14ac:dyDescent="0.25"/>
    <row r="23" ht="15" customHeight="1" x14ac:dyDescent="0.25"/>
    <row r="24" ht="15" customHeight="1" x14ac:dyDescent="0.25"/>
  </sheetData>
  <sheetProtection password="CC72" sheet="1" objects="1" scenarios="1" selectLockedCells="1"/>
  <dataValidations xWindow="546" yWindow="382" count="3">
    <dataValidation type="list" allowBlank="1" showInputMessage="1" showErrorMessage="1" promptTitle="Select Product" prompt="Select Product Name From Drop Down. Rest Data Will Be Added Automatically" sqref="B10">
      <formula1>INDIRECT("ProductMaster[Product Name]")</formula1>
    </dataValidation>
    <dataValidation allowBlank="1" showInputMessage="1" showErrorMessage="1" promptTitle="Enter Quantity" prompt="Enter Stock Unit._x000a_" sqref="B13"/>
    <dataValidation type="list" allowBlank="1" showInputMessage="1" showErrorMessage="1" promptTitle="Select Customer" sqref="B8">
      <formula1>INDIRECT("CustSup[Customer]")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429"/>
  <sheetViews>
    <sheetView showGridLines="0" workbookViewId="0">
      <pane xSplit="10" ySplit="3" topLeftCell="K419" activePane="bottomRight" state="frozen"/>
      <selection pane="topRight" activeCell="J1" sqref="J1"/>
      <selection pane="bottomLeft" activeCell="A4" sqref="A4"/>
      <selection pane="bottomRight" activeCell="K421" sqref="K421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3" width="9" style="7" bestFit="1" customWidth="1"/>
    <col min="4" max="4" width="13.625" style="1" bestFit="1" customWidth="1"/>
    <col min="5" max="5" width="8.875" style="1" bestFit="1" customWidth="1"/>
    <col min="6" max="6" width="33.5" style="1" customWidth="1"/>
    <col min="7" max="7" width="14.125" bestFit="1" customWidth="1"/>
    <col min="8" max="9" width="12.875" bestFit="1" customWidth="1"/>
    <col min="10" max="11" width="9.75" bestFit="1" customWidth="1"/>
  </cols>
  <sheetData>
    <row r="1" spans="1:15" s="3" customFormat="1" ht="12" x14ac:dyDescent="0.25">
      <c r="A1" s="2" t="s">
        <v>0</v>
      </c>
      <c r="B1" s="6" t="s">
        <v>1</v>
      </c>
      <c r="C1" s="6" t="s">
        <v>874</v>
      </c>
      <c r="D1" s="6" t="s">
        <v>965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872</v>
      </c>
      <c r="J1" s="2" t="s">
        <v>6</v>
      </c>
      <c r="K1" s="2" t="s">
        <v>7</v>
      </c>
    </row>
    <row r="2" spans="1:15" x14ac:dyDescent="0.25">
      <c r="A2" s="31">
        <v>1</v>
      </c>
      <c r="B2" s="32">
        <v>43410</v>
      </c>
      <c r="C2" s="32" t="s">
        <v>958</v>
      </c>
      <c r="D2" s="60" t="s">
        <v>955</v>
      </c>
      <c r="E2" s="27" t="s">
        <v>21</v>
      </c>
      <c r="F2" s="28" t="s">
        <v>22</v>
      </c>
      <c r="G2" s="27" t="s">
        <v>869</v>
      </c>
      <c r="H2" s="27" t="s">
        <v>870</v>
      </c>
      <c r="I2" s="35">
        <v>43913</v>
      </c>
      <c r="J2" s="31">
        <v>60</v>
      </c>
      <c r="K2" s="33">
        <f>StockInData[[#This Row],[Quantity]]*2.5</f>
        <v>150</v>
      </c>
      <c r="O2" s="34"/>
    </row>
    <row r="3" spans="1:15" x14ac:dyDescent="0.25">
      <c r="A3" s="31">
        <v>2</v>
      </c>
      <c r="B3" s="32">
        <f>B2+1</f>
        <v>43411</v>
      </c>
      <c r="C3" s="32" t="s">
        <v>958</v>
      </c>
      <c r="D3" s="60" t="s">
        <v>955</v>
      </c>
      <c r="E3" s="27" t="s">
        <v>23</v>
      </c>
      <c r="F3" s="28" t="s">
        <v>24</v>
      </c>
      <c r="G3" s="27" t="s">
        <v>869</v>
      </c>
      <c r="H3" s="27" t="s">
        <v>870</v>
      </c>
      <c r="I3" s="35">
        <f>I2+2</f>
        <v>43915</v>
      </c>
      <c r="J3" s="31">
        <v>40</v>
      </c>
      <c r="K3" s="33">
        <f>StockInData[[#This Row],[Quantity]]*2.5</f>
        <v>100</v>
      </c>
    </row>
    <row r="4" spans="1:15" x14ac:dyDescent="0.25">
      <c r="A4" s="31">
        <v>3</v>
      </c>
      <c r="B4" s="32">
        <f>B3+1</f>
        <v>43412</v>
      </c>
      <c r="C4" s="32" t="s">
        <v>958</v>
      </c>
      <c r="D4" s="60" t="s">
        <v>955</v>
      </c>
      <c r="E4" s="27" t="s">
        <v>25</v>
      </c>
      <c r="F4" s="28" t="s">
        <v>26</v>
      </c>
      <c r="G4" s="27" t="s">
        <v>869</v>
      </c>
      <c r="H4" s="27" t="s">
        <v>870</v>
      </c>
      <c r="I4" s="35">
        <f t="shared" ref="I4:I67" si="0">I3+2</f>
        <v>43917</v>
      </c>
      <c r="J4" s="31">
        <v>30</v>
      </c>
      <c r="K4" s="33">
        <f>StockInData[[#This Row],[Quantity]]*2.5</f>
        <v>75</v>
      </c>
    </row>
    <row r="5" spans="1:15" x14ac:dyDescent="0.25">
      <c r="A5" s="31">
        <v>4</v>
      </c>
      <c r="B5" s="32">
        <f t="shared" ref="B5:B68" si="1">B4+1</f>
        <v>43413</v>
      </c>
      <c r="C5" s="32" t="s">
        <v>958</v>
      </c>
      <c r="D5" s="60" t="s">
        <v>955</v>
      </c>
      <c r="E5" s="27" t="s">
        <v>27</v>
      </c>
      <c r="F5" s="28" t="s">
        <v>28</v>
      </c>
      <c r="G5" s="27" t="s">
        <v>869</v>
      </c>
      <c r="H5" s="27" t="s">
        <v>870</v>
      </c>
      <c r="I5" s="35">
        <f t="shared" si="0"/>
        <v>43919</v>
      </c>
      <c r="J5" s="31">
        <v>25</v>
      </c>
      <c r="K5" s="33">
        <f>StockInData[[#This Row],[Quantity]]*2.5</f>
        <v>62.5</v>
      </c>
    </row>
    <row r="6" spans="1:15" x14ac:dyDescent="0.25">
      <c r="A6" s="31">
        <v>5</v>
      </c>
      <c r="B6" s="32">
        <f t="shared" si="1"/>
        <v>43414</v>
      </c>
      <c r="C6" s="32" t="s">
        <v>958</v>
      </c>
      <c r="D6" s="60" t="s">
        <v>955</v>
      </c>
      <c r="E6" s="27" t="s">
        <v>29</v>
      </c>
      <c r="F6" s="28" t="s">
        <v>30</v>
      </c>
      <c r="G6" s="27" t="s">
        <v>869</v>
      </c>
      <c r="H6" s="27" t="s">
        <v>870</v>
      </c>
      <c r="I6" s="35">
        <f t="shared" si="0"/>
        <v>43921</v>
      </c>
      <c r="J6" s="31">
        <v>20</v>
      </c>
      <c r="K6" s="33">
        <f>StockInData[[#This Row],[Quantity]]*2.5</f>
        <v>50</v>
      </c>
    </row>
    <row r="7" spans="1:15" x14ac:dyDescent="0.25">
      <c r="A7" s="31">
        <v>6</v>
      </c>
      <c r="B7" s="32">
        <f t="shared" si="1"/>
        <v>43415</v>
      </c>
      <c r="C7" s="32" t="s">
        <v>958</v>
      </c>
      <c r="D7" s="60" t="s">
        <v>955</v>
      </c>
      <c r="E7" s="27" t="s">
        <v>31</v>
      </c>
      <c r="F7" s="28" t="s">
        <v>32</v>
      </c>
      <c r="G7" s="27" t="s">
        <v>869</v>
      </c>
      <c r="H7" s="27" t="s">
        <v>870</v>
      </c>
      <c r="I7" s="35">
        <f t="shared" si="0"/>
        <v>43923</v>
      </c>
      <c r="J7" s="31">
        <v>19</v>
      </c>
      <c r="K7" s="33">
        <f>StockInData[[#This Row],[Quantity]]*2.5</f>
        <v>47.5</v>
      </c>
      <c r="M7" s="34"/>
    </row>
    <row r="8" spans="1:15" x14ac:dyDescent="0.25">
      <c r="A8" s="31">
        <v>7</v>
      </c>
      <c r="B8" s="32">
        <f t="shared" si="1"/>
        <v>43416</v>
      </c>
      <c r="C8" s="32" t="s">
        <v>958</v>
      </c>
      <c r="D8" s="60" t="s">
        <v>955</v>
      </c>
      <c r="E8" s="27" t="s">
        <v>33</v>
      </c>
      <c r="F8" s="28" t="s">
        <v>34</v>
      </c>
      <c r="G8" s="27" t="s">
        <v>869</v>
      </c>
      <c r="H8" s="27" t="s">
        <v>870</v>
      </c>
      <c r="I8" s="35">
        <f t="shared" si="0"/>
        <v>43925</v>
      </c>
      <c r="J8" s="31">
        <v>23</v>
      </c>
      <c r="K8" s="33">
        <f>StockInData[[#This Row],[Quantity]]*2.5</f>
        <v>57.5</v>
      </c>
    </row>
    <row r="9" spans="1:15" x14ac:dyDescent="0.25">
      <c r="A9" s="31">
        <v>8</v>
      </c>
      <c r="B9" s="32">
        <f t="shared" si="1"/>
        <v>43417</v>
      </c>
      <c r="C9" s="32" t="s">
        <v>958</v>
      </c>
      <c r="D9" s="60" t="s">
        <v>955</v>
      </c>
      <c r="E9" s="27" t="s">
        <v>35</v>
      </c>
      <c r="F9" s="28" t="s">
        <v>36</v>
      </c>
      <c r="G9" s="27" t="s">
        <v>869</v>
      </c>
      <c r="H9" s="27" t="s">
        <v>870</v>
      </c>
      <c r="I9" s="35">
        <f t="shared" si="0"/>
        <v>43927</v>
      </c>
      <c r="J9" s="31">
        <v>65</v>
      </c>
      <c r="K9" s="33">
        <f>StockInData[[#This Row],[Quantity]]*2.5</f>
        <v>162.5</v>
      </c>
    </row>
    <row r="10" spans="1:15" x14ac:dyDescent="0.25">
      <c r="A10" s="31">
        <v>9</v>
      </c>
      <c r="B10" s="32">
        <f t="shared" si="1"/>
        <v>43418</v>
      </c>
      <c r="C10" s="32" t="s">
        <v>958</v>
      </c>
      <c r="D10" s="60" t="s">
        <v>955</v>
      </c>
      <c r="E10" s="27" t="s">
        <v>37</v>
      </c>
      <c r="F10" s="28" t="s">
        <v>38</v>
      </c>
      <c r="G10" s="27" t="s">
        <v>869</v>
      </c>
      <c r="H10" s="27" t="s">
        <v>870</v>
      </c>
      <c r="I10" s="35">
        <f t="shared" si="0"/>
        <v>43929</v>
      </c>
      <c r="J10" s="31">
        <v>74</v>
      </c>
      <c r="K10" s="33">
        <f>StockInData[[#This Row],[Quantity]]*2.5</f>
        <v>185</v>
      </c>
    </row>
    <row r="11" spans="1:15" x14ac:dyDescent="0.25">
      <c r="A11" s="31">
        <v>10</v>
      </c>
      <c r="B11" s="32">
        <f t="shared" si="1"/>
        <v>43419</v>
      </c>
      <c r="C11" s="32" t="s">
        <v>958</v>
      </c>
      <c r="D11" s="60" t="s">
        <v>955</v>
      </c>
      <c r="E11" s="27" t="s">
        <v>39</v>
      </c>
      <c r="F11" s="28" t="s">
        <v>40</v>
      </c>
      <c r="G11" s="27" t="s">
        <v>869</v>
      </c>
      <c r="H11" s="27" t="s">
        <v>870</v>
      </c>
      <c r="I11" s="35">
        <f t="shared" si="0"/>
        <v>43931</v>
      </c>
      <c r="J11" s="31">
        <v>84</v>
      </c>
      <c r="K11" s="33">
        <f>StockInData[[#This Row],[Quantity]]*2.5</f>
        <v>210</v>
      </c>
    </row>
    <row r="12" spans="1:15" x14ac:dyDescent="0.25">
      <c r="A12" s="31">
        <v>11</v>
      </c>
      <c r="B12" s="32">
        <f t="shared" si="1"/>
        <v>43420</v>
      </c>
      <c r="C12" s="32" t="s">
        <v>958</v>
      </c>
      <c r="D12" s="60" t="s">
        <v>955</v>
      </c>
      <c r="E12" s="27" t="s">
        <v>41</v>
      </c>
      <c r="F12" s="28" t="s">
        <v>42</v>
      </c>
      <c r="G12" s="27" t="s">
        <v>869</v>
      </c>
      <c r="H12" s="27" t="s">
        <v>870</v>
      </c>
      <c r="I12" s="35">
        <f t="shared" si="0"/>
        <v>43933</v>
      </c>
      <c r="J12" s="31">
        <v>99</v>
      </c>
      <c r="K12" s="33">
        <f>StockInData[[#This Row],[Quantity]]*2.5</f>
        <v>247.5</v>
      </c>
    </row>
    <row r="13" spans="1:15" x14ac:dyDescent="0.25">
      <c r="A13" s="31">
        <v>12</v>
      </c>
      <c r="B13" s="32">
        <f t="shared" si="1"/>
        <v>43421</v>
      </c>
      <c r="C13" s="32" t="s">
        <v>958</v>
      </c>
      <c r="D13" s="60" t="s">
        <v>955</v>
      </c>
      <c r="E13" s="27" t="s">
        <v>43</v>
      </c>
      <c r="F13" s="28" t="s">
        <v>44</v>
      </c>
      <c r="G13" s="27" t="s">
        <v>869</v>
      </c>
      <c r="H13" s="27" t="s">
        <v>870</v>
      </c>
      <c r="I13" s="35">
        <f t="shared" si="0"/>
        <v>43935</v>
      </c>
      <c r="J13" s="31">
        <v>101</v>
      </c>
      <c r="K13" s="33">
        <f>StockInData[[#This Row],[Quantity]]*2.5</f>
        <v>252.5</v>
      </c>
    </row>
    <row r="14" spans="1:15" x14ac:dyDescent="0.25">
      <c r="A14" s="31">
        <v>13</v>
      </c>
      <c r="B14" s="32">
        <f t="shared" si="1"/>
        <v>43422</v>
      </c>
      <c r="C14" s="32" t="s">
        <v>958</v>
      </c>
      <c r="D14" s="60" t="s">
        <v>955</v>
      </c>
      <c r="E14" s="27" t="s">
        <v>45</v>
      </c>
      <c r="F14" s="28" t="s">
        <v>46</v>
      </c>
      <c r="G14" s="27" t="s">
        <v>869</v>
      </c>
      <c r="H14" s="27" t="s">
        <v>870</v>
      </c>
      <c r="I14" s="35">
        <f t="shared" si="0"/>
        <v>43937</v>
      </c>
      <c r="J14" s="31">
        <v>60</v>
      </c>
      <c r="K14" s="33">
        <f>StockInData[[#This Row],[Quantity]]*2.5</f>
        <v>150</v>
      </c>
    </row>
    <row r="15" spans="1:15" x14ac:dyDescent="0.25">
      <c r="A15" s="31">
        <v>14</v>
      </c>
      <c r="B15" s="32">
        <f t="shared" si="1"/>
        <v>43423</v>
      </c>
      <c r="C15" s="32" t="s">
        <v>958</v>
      </c>
      <c r="D15" s="60" t="s">
        <v>955</v>
      </c>
      <c r="E15" s="27" t="s">
        <v>47</v>
      </c>
      <c r="F15" s="28" t="s">
        <v>48</v>
      </c>
      <c r="G15" s="27" t="s">
        <v>869</v>
      </c>
      <c r="H15" s="27" t="s">
        <v>870</v>
      </c>
      <c r="I15" s="35">
        <f t="shared" si="0"/>
        <v>43939</v>
      </c>
      <c r="J15" s="31">
        <v>40</v>
      </c>
      <c r="K15" s="33">
        <f>StockInData[[#This Row],[Quantity]]*2.5</f>
        <v>100</v>
      </c>
    </row>
    <row r="16" spans="1:15" x14ac:dyDescent="0.25">
      <c r="A16" s="31">
        <v>15</v>
      </c>
      <c r="B16" s="32">
        <f t="shared" si="1"/>
        <v>43424</v>
      </c>
      <c r="C16" s="32" t="s">
        <v>958</v>
      </c>
      <c r="D16" s="60" t="s">
        <v>955</v>
      </c>
      <c r="E16" s="27" t="s">
        <v>49</v>
      </c>
      <c r="F16" s="28" t="s">
        <v>50</v>
      </c>
      <c r="G16" s="27" t="s">
        <v>869</v>
      </c>
      <c r="H16" s="27" t="s">
        <v>870</v>
      </c>
      <c r="I16" s="35">
        <f t="shared" si="0"/>
        <v>43941</v>
      </c>
      <c r="J16" s="31">
        <v>30</v>
      </c>
      <c r="K16" s="33">
        <f>StockInData[[#This Row],[Quantity]]*2.5</f>
        <v>75</v>
      </c>
    </row>
    <row r="17" spans="1:11" x14ac:dyDescent="0.25">
      <c r="A17" s="31">
        <v>16</v>
      </c>
      <c r="B17" s="32">
        <f t="shared" si="1"/>
        <v>43425</v>
      </c>
      <c r="C17" s="32" t="s">
        <v>958</v>
      </c>
      <c r="D17" s="60" t="s">
        <v>955</v>
      </c>
      <c r="E17" s="27" t="s">
        <v>51</v>
      </c>
      <c r="F17" s="28" t="s">
        <v>52</v>
      </c>
      <c r="G17" s="27" t="s">
        <v>869</v>
      </c>
      <c r="H17" s="27" t="s">
        <v>870</v>
      </c>
      <c r="I17" s="35">
        <f t="shared" si="0"/>
        <v>43943</v>
      </c>
      <c r="J17" s="31">
        <v>25</v>
      </c>
      <c r="K17" s="33">
        <f>StockInData[[#This Row],[Quantity]]*2.5</f>
        <v>62.5</v>
      </c>
    </row>
    <row r="18" spans="1:11" x14ac:dyDescent="0.25">
      <c r="A18" s="31">
        <v>17</v>
      </c>
      <c r="B18" s="32">
        <f t="shared" si="1"/>
        <v>43426</v>
      </c>
      <c r="C18" s="32" t="s">
        <v>958</v>
      </c>
      <c r="D18" s="60" t="s">
        <v>955</v>
      </c>
      <c r="E18" s="27" t="s">
        <v>53</v>
      </c>
      <c r="F18" s="28" t="s">
        <v>54</v>
      </c>
      <c r="G18" s="27" t="s">
        <v>869</v>
      </c>
      <c r="H18" s="27" t="s">
        <v>870</v>
      </c>
      <c r="I18" s="35">
        <f t="shared" si="0"/>
        <v>43945</v>
      </c>
      <c r="J18" s="31">
        <v>20</v>
      </c>
      <c r="K18" s="33">
        <f>StockInData[[#This Row],[Quantity]]*2.5</f>
        <v>50</v>
      </c>
    </row>
    <row r="19" spans="1:11" x14ac:dyDescent="0.25">
      <c r="A19" s="31">
        <v>18</v>
      </c>
      <c r="B19" s="32">
        <f t="shared" si="1"/>
        <v>43427</v>
      </c>
      <c r="C19" s="32" t="s">
        <v>958</v>
      </c>
      <c r="D19" s="60" t="s">
        <v>955</v>
      </c>
      <c r="E19" s="27" t="s">
        <v>55</v>
      </c>
      <c r="F19" s="28" t="s">
        <v>56</v>
      </c>
      <c r="G19" s="27" t="s">
        <v>869</v>
      </c>
      <c r="H19" s="27" t="s">
        <v>870</v>
      </c>
      <c r="I19" s="35">
        <f t="shared" si="0"/>
        <v>43947</v>
      </c>
      <c r="J19" s="31">
        <v>19</v>
      </c>
      <c r="K19" s="33">
        <f>StockInData[[#This Row],[Quantity]]*2.5</f>
        <v>47.5</v>
      </c>
    </row>
    <row r="20" spans="1:11" x14ac:dyDescent="0.25">
      <c r="A20" s="31">
        <v>19</v>
      </c>
      <c r="B20" s="32">
        <f t="shared" si="1"/>
        <v>43428</v>
      </c>
      <c r="C20" s="32" t="s">
        <v>958</v>
      </c>
      <c r="D20" s="60" t="s">
        <v>955</v>
      </c>
      <c r="E20" s="27" t="s">
        <v>57</v>
      </c>
      <c r="F20" s="28" t="s">
        <v>58</v>
      </c>
      <c r="G20" s="27" t="s">
        <v>869</v>
      </c>
      <c r="H20" s="27" t="s">
        <v>870</v>
      </c>
      <c r="I20" s="35">
        <f t="shared" si="0"/>
        <v>43949</v>
      </c>
      <c r="J20" s="31">
        <v>23</v>
      </c>
      <c r="K20" s="33">
        <f>StockInData[[#This Row],[Quantity]]*2.5</f>
        <v>57.5</v>
      </c>
    </row>
    <row r="21" spans="1:11" x14ac:dyDescent="0.25">
      <c r="A21" s="31">
        <v>20</v>
      </c>
      <c r="B21" s="32">
        <f t="shared" si="1"/>
        <v>43429</v>
      </c>
      <c r="C21" s="32" t="s">
        <v>958</v>
      </c>
      <c r="D21" s="60" t="s">
        <v>955</v>
      </c>
      <c r="E21" s="27" t="s">
        <v>59</v>
      </c>
      <c r="F21" s="28" t="s">
        <v>60</v>
      </c>
      <c r="G21" s="27" t="s">
        <v>869</v>
      </c>
      <c r="H21" s="27" t="s">
        <v>870</v>
      </c>
      <c r="I21" s="35">
        <f t="shared" si="0"/>
        <v>43951</v>
      </c>
      <c r="J21" s="31">
        <v>65</v>
      </c>
      <c r="K21" s="33">
        <f>StockInData[[#This Row],[Quantity]]*2.5</f>
        <v>162.5</v>
      </c>
    </row>
    <row r="22" spans="1:11" x14ac:dyDescent="0.25">
      <c r="A22" s="31">
        <v>21</v>
      </c>
      <c r="B22" s="32">
        <f t="shared" si="1"/>
        <v>43430</v>
      </c>
      <c r="C22" s="32" t="s">
        <v>958</v>
      </c>
      <c r="D22" s="60" t="s">
        <v>955</v>
      </c>
      <c r="E22" s="27" t="s">
        <v>61</v>
      </c>
      <c r="F22" s="28" t="s">
        <v>62</v>
      </c>
      <c r="G22" s="27" t="s">
        <v>869</v>
      </c>
      <c r="H22" s="27" t="s">
        <v>870</v>
      </c>
      <c r="I22" s="35">
        <f t="shared" si="0"/>
        <v>43953</v>
      </c>
      <c r="J22" s="31">
        <v>74</v>
      </c>
      <c r="K22" s="33">
        <f>StockInData[[#This Row],[Quantity]]*2.5</f>
        <v>185</v>
      </c>
    </row>
    <row r="23" spans="1:11" x14ac:dyDescent="0.25">
      <c r="A23" s="31">
        <v>22</v>
      </c>
      <c r="B23" s="32">
        <f t="shared" si="1"/>
        <v>43431</v>
      </c>
      <c r="C23" s="32" t="s">
        <v>958</v>
      </c>
      <c r="D23" s="60" t="s">
        <v>955</v>
      </c>
      <c r="E23" s="27" t="s">
        <v>63</v>
      </c>
      <c r="F23" s="28" t="s">
        <v>64</v>
      </c>
      <c r="G23" s="27" t="s">
        <v>869</v>
      </c>
      <c r="H23" s="27" t="s">
        <v>870</v>
      </c>
      <c r="I23" s="35">
        <f t="shared" si="0"/>
        <v>43955</v>
      </c>
      <c r="J23" s="31">
        <v>84</v>
      </c>
      <c r="K23" s="33">
        <f>StockInData[[#This Row],[Quantity]]*2.5</f>
        <v>210</v>
      </c>
    </row>
    <row r="24" spans="1:11" x14ac:dyDescent="0.25">
      <c r="A24" s="31">
        <v>23</v>
      </c>
      <c r="B24" s="32">
        <f t="shared" si="1"/>
        <v>43432</v>
      </c>
      <c r="C24" s="32" t="s">
        <v>958</v>
      </c>
      <c r="D24" s="60" t="s">
        <v>955</v>
      </c>
      <c r="E24" s="27" t="s">
        <v>65</v>
      </c>
      <c r="F24" s="28" t="s">
        <v>66</v>
      </c>
      <c r="G24" s="27" t="s">
        <v>869</v>
      </c>
      <c r="H24" s="27" t="s">
        <v>870</v>
      </c>
      <c r="I24" s="35">
        <f t="shared" si="0"/>
        <v>43957</v>
      </c>
      <c r="J24" s="31">
        <v>99</v>
      </c>
      <c r="K24" s="33">
        <f>StockInData[[#This Row],[Quantity]]*2.5</f>
        <v>247.5</v>
      </c>
    </row>
    <row r="25" spans="1:11" x14ac:dyDescent="0.25">
      <c r="A25" s="31">
        <v>24</v>
      </c>
      <c r="B25" s="32">
        <f t="shared" si="1"/>
        <v>43433</v>
      </c>
      <c r="C25" s="32" t="s">
        <v>958</v>
      </c>
      <c r="D25" s="60" t="s">
        <v>955</v>
      </c>
      <c r="E25" s="27" t="s">
        <v>67</v>
      </c>
      <c r="F25" s="28" t="s">
        <v>68</v>
      </c>
      <c r="G25" s="27" t="s">
        <v>869</v>
      </c>
      <c r="H25" s="27" t="s">
        <v>870</v>
      </c>
      <c r="I25" s="35">
        <f t="shared" si="0"/>
        <v>43959</v>
      </c>
      <c r="J25" s="31">
        <v>101</v>
      </c>
      <c r="K25" s="33">
        <f>StockInData[[#This Row],[Quantity]]*2.5</f>
        <v>252.5</v>
      </c>
    </row>
    <row r="26" spans="1:11" x14ac:dyDescent="0.25">
      <c r="A26" s="31">
        <v>25</v>
      </c>
      <c r="B26" s="32">
        <f t="shared" si="1"/>
        <v>43434</v>
      </c>
      <c r="C26" s="32" t="s">
        <v>958</v>
      </c>
      <c r="D26" s="60" t="s">
        <v>955</v>
      </c>
      <c r="E26" s="27" t="s">
        <v>69</v>
      </c>
      <c r="F26" s="28" t="s">
        <v>70</v>
      </c>
      <c r="G26" s="27" t="s">
        <v>869</v>
      </c>
      <c r="H26" s="27" t="s">
        <v>870</v>
      </c>
      <c r="I26" s="35">
        <f t="shared" si="0"/>
        <v>43961</v>
      </c>
      <c r="J26" s="31">
        <v>60</v>
      </c>
      <c r="K26" s="33">
        <f>StockInData[[#This Row],[Quantity]]*2.5</f>
        <v>150</v>
      </c>
    </row>
    <row r="27" spans="1:11" x14ac:dyDescent="0.25">
      <c r="A27" s="31">
        <v>26</v>
      </c>
      <c r="B27" s="32">
        <f t="shared" si="1"/>
        <v>43435</v>
      </c>
      <c r="C27" s="32" t="s">
        <v>958</v>
      </c>
      <c r="D27" s="60" t="s">
        <v>955</v>
      </c>
      <c r="E27" s="27" t="s">
        <v>71</v>
      </c>
      <c r="F27" s="28" t="s">
        <v>72</v>
      </c>
      <c r="G27" s="27" t="s">
        <v>869</v>
      </c>
      <c r="H27" s="27" t="s">
        <v>870</v>
      </c>
      <c r="I27" s="35">
        <f t="shared" si="0"/>
        <v>43963</v>
      </c>
      <c r="J27" s="31">
        <v>40</v>
      </c>
      <c r="K27" s="33">
        <f>StockInData[[#This Row],[Quantity]]*2.5</f>
        <v>100</v>
      </c>
    </row>
    <row r="28" spans="1:11" x14ac:dyDescent="0.25">
      <c r="A28" s="31">
        <v>27</v>
      </c>
      <c r="B28" s="32">
        <f t="shared" si="1"/>
        <v>43436</v>
      </c>
      <c r="C28" s="32" t="s">
        <v>958</v>
      </c>
      <c r="D28" s="60" t="s">
        <v>955</v>
      </c>
      <c r="E28" s="27" t="s">
        <v>73</v>
      </c>
      <c r="F28" s="28" t="s">
        <v>74</v>
      </c>
      <c r="G28" s="27" t="s">
        <v>869</v>
      </c>
      <c r="H28" s="27" t="s">
        <v>870</v>
      </c>
      <c r="I28" s="35">
        <f t="shared" si="0"/>
        <v>43965</v>
      </c>
      <c r="J28" s="31">
        <v>30</v>
      </c>
      <c r="K28" s="33">
        <f>StockInData[[#This Row],[Quantity]]*2.5</f>
        <v>75</v>
      </c>
    </row>
    <row r="29" spans="1:11" x14ac:dyDescent="0.25">
      <c r="A29" s="31">
        <v>28</v>
      </c>
      <c r="B29" s="32">
        <f t="shared" si="1"/>
        <v>43437</v>
      </c>
      <c r="C29" s="32" t="s">
        <v>958</v>
      </c>
      <c r="D29" s="60" t="s">
        <v>955</v>
      </c>
      <c r="E29" s="27" t="s">
        <v>75</v>
      </c>
      <c r="F29" s="28" t="s">
        <v>76</v>
      </c>
      <c r="G29" s="27" t="s">
        <v>869</v>
      </c>
      <c r="H29" s="27" t="s">
        <v>870</v>
      </c>
      <c r="I29" s="35">
        <f t="shared" si="0"/>
        <v>43967</v>
      </c>
      <c r="J29" s="31">
        <v>25</v>
      </c>
      <c r="K29" s="33">
        <f>StockInData[[#This Row],[Quantity]]*2.5</f>
        <v>62.5</v>
      </c>
    </row>
    <row r="30" spans="1:11" x14ac:dyDescent="0.25">
      <c r="A30" s="31">
        <v>29</v>
      </c>
      <c r="B30" s="32">
        <f t="shared" si="1"/>
        <v>43438</v>
      </c>
      <c r="C30" s="32" t="s">
        <v>958</v>
      </c>
      <c r="D30" s="60" t="s">
        <v>955</v>
      </c>
      <c r="E30" s="27" t="s">
        <v>77</v>
      </c>
      <c r="F30" s="28" t="s">
        <v>78</v>
      </c>
      <c r="G30" s="27" t="s">
        <v>869</v>
      </c>
      <c r="H30" s="27" t="s">
        <v>870</v>
      </c>
      <c r="I30" s="35">
        <f t="shared" si="0"/>
        <v>43969</v>
      </c>
      <c r="J30" s="31">
        <v>20</v>
      </c>
      <c r="K30" s="33">
        <f>StockInData[[#This Row],[Quantity]]*2.5</f>
        <v>50</v>
      </c>
    </row>
    <row r="31" spans="1:11" x14ac:dyDescent="0.25">
      <c r="A31" s="31">
        <v>30</v>
      </c>
      <c r="B31" s="32">
        <f t="shared" si="1"/>
        <v>43439</v>
      </c>
      <c r="C31" s="32" t="s">
        <v>958</v>
      </c>
      <c r="D31" s="60" t="s">
        <v>955</v>
      </c>
      <c r="E31" s="27" t="s">
        <v>79</v>
      </c>
      <c r="F31" s="28" t="s">
        <v>80</v>
      </c>
      <c r="G31" s="27" t="s">
        <v>869</v>
      </c>
      <c r="H31" s="27" t="s">
        <v>870</v>
      </c>
      <c r="I31" s="35">
        <f t="shared" si="0"/>
        <v>43971</v>
      </c>
      <c r="J31" s="31">
        <v>19</v>
      </c>
      <c r="K31" s="33">
        <f>StockInData[[#This Row],[Quantity]]*2.5</f>
        <v>47.5</v>
      </c>
    </row>
    <row r="32" spans="1:11" x14ac:dyDescent="0.25">
      <c r="A32" s="31">
        <v>31</v>
      </c>
      <c r="B32" s="32">
        <f t="shared" si="1"/>
        <v>43440</v>
      </c>
      <c r="C32" s="32" t="s">
        <v>958</v>
      </c>
      <c r="D32" s="60" t="s">
        <v>955</v>
      </c>
      <c r="E32" s="27" t="s">
        <v>81</v>
      </c>
      <c r="F32" s="28" t="s">
        <v>82</v>
      </c>
      <c r="G32" s="27" t="s">
        <v>869</v>
      </c>
      <c r="H32" s="27" t="s">
        <v>870</v>
      </c>
      <c r="I32" s="35">
        <f t="shared" si="0"/>
        <v>43973</v>
      </c>
      <c r="J32" s="31">
        <v>23</v>
      </c>
      <c r="K32" s="33">
        <f>StockInData[[#This Row],[Quantity]]*2.5</f>
        <v>57.5</v>
      </c>
    </row>
    <row r="33" spans="1:11" x14ac:dyDescent="0.25">
      <c r="A33" s="31">
        <v>32</v>
      </c>
      <c r="B33" s="32">
        <f t="shared" si="1"/>
        <v>43441</v>
      </c>
      <c r="C33" s="32" t="s">
        <v>958</v>
      </c>
      <c r="D33" s="60" t="s">
        <v>955</v>
      </c>
      <c r="E33" s="27" t="s">
        <v>83</v>
      </c>
      <c r="F33" s="28" t="s">
        <v>84</v>
      </c>
      <c r="G33" s="27" t="s">
        <v>869</v>
      </c>
      <c r="H33" s="27" t="s">
        <v>870</v>
      </c>
      <c r="I33" s="35">
        <f t="shared" si="0"/>
        <v>43975</v>
      </c>
      <c r="J33" s="31">
        <v>65</v>
      </c>
      <c r="K33" s="33">
        <f>StockInData[[#This Row],[Quantity]]*2.5</f>
        <v>162.5</v>
      </c>
    </row>
    <row r="34" spans="1:11" x14ac:dyDescent="0.25">
      <c r="A34" s="31">
        <v>33</v>
      </c>
      <c r="B34" s="32">
        <f t="shared" si="1"/>
        <v>43442</v>
      </c>
      <c r="C34" s="32" t="s">
        <v>958</v>
      </c>
      <c r="D34" s="60" t="s">
        <v>955</v>
      </c>
      <c r="E34" s="27" t="s">
        <v>85</v>
      </c>
      <c r="F34" s="28" t="s">
        <v>86</v>
      </c>
      <c r="G34" s="27" t="s">
        <v>869</v>
      </c>
      <c r="H34" s="27" t="s">
        <v>870</v>
      </c>
      <c r="I34" s="35">
        <f t="shared" si="0"/>
        <v>43977</v>
      </c>
      <c r="J34" s="31">
        <v>74</v>
      </c>
      <c r="K34" s="33">
        <f>StockInData[[#This Row],[Quantity]]*2.5</f>
        <v>185</v>
      </c>
    </row>
    <row r="35" spans="1:11" x14ac:dyDescent="0.25">
      <c r="A35" s="31">
        <v>34</v>
      </c>
      <c r="B35" s="32">
        <f t="shared" si="1"/>
        <v>43443</v>
      </c>
      <c r="C35" s="32" t="s">
        <v>958</v>
      </c>
      <c r="D35" s="60" t="s">
        <v>955</v>
      </c>
      <c r="E35" s="27" t="s">
        <v>87</v>
      </c>
      <c r="F35" s="28" t="s">
        <v>88</v>
      </c>
      <c r="G35" s="27" t="s">
        <v>869</v>
      </c>
      <c r="H35" s="27" t="s">
        <v>870</v>
      </c>
      <c r="I35" s="35">
        <f t="shared" si="0"/>
        <v>43979</v>
      </c>
      <c r="J35" s="31">
        <v>84</v>
      </c>
      <c r="K35" s="33">
        <f>StockInData[[#This Row],[Quantity]]*2.5</f>
        <v>210</v>
      </c>
    </row>
    <row r="36" spans="1:11" x14ac:dyDescent="0.25">
      <c r="A36" s="31">
        <v>35</v>
      </c>
      <c r="B36" s="32">
        <f t="shared" si="1"/>
        <v>43444</v>
      </c>
      <c r="C36" s="32" t="s">
        <v>958</v>
      </c>
      <c r="D36" s="60" t="s">
        <v>955</v>
      </c>
      <c r="E36" s="27" t="s">
        <v>89</v>
      </c>
      <c r="F36" s="28" t="s">
        <v>90</v>
      </c>
      <c r="G36" s="27" t="s">
        <v>869</v>
      </c>
      <c r="H36" s="27" t="s">
        <v>870</v>
      </c>
      <c r="I36" s="35">
        <f t="shared" si="0"/>
        <v>43981</v>
      </c>
      <c r="J36" s="31">
        <v>99</v>
      </c>
      <c r="K36" s="33">
        <f>StockInData[[#This Row],[Quantity]]*2.5</f>
        <v>247.5</v>
      </c>
    </row>
    <row r="37" spans="1:11" x14ac:dyDescent="0.25">
      <c r="A37" s="31">
        <v>36</v>
      </c>
      <c r="B37" s="32">
        <f t="shared" si="1"/>
        <v>43445</v>
      </c>
      <c r="C37" s="32" t="s">
        <v>958</v>
      </c>
      <c r="D37" s="60" t="s">
        <v>955</v>
      </c>
      <c r="E37" s="27" t="s">
        <v>91</v>
      </c>
      <c r="F37" s="28" t="s">
        <v>92</v>
      </c>
      <c r="G37" s="27" t="s">
        <v>869</v>
      </c>
      <c r="H37" s="27" t="s">
        <v>870</v>
      </c>
      <c r="I37" s="35">
        <f t="shared" si="0"/>
        <v>43983</v>
      </c>
      <c r="J37" s="31">
        <v>101</v>
      </c>
      <c r="K37" s="33">
        <f>StockInData[[#This Row],[Quantity]]*2.5</f>
        <v>252.5</v>
      </c>
    </row>
    <row r="38" spans="1:11" x14ac:dyDescent="0.25">
      <c r="A38" s="31">
        <v>37</v>
      </c>
      <c r="B38" s="32">
        <f t="shared" si="1"/>
        <v>43446</v>
      </c>
      <c r="C38" s="32" t="s">
        <v>958</v>
      </c>
      <c r="D38" s="60" t="s">
        <v>955</v>
      </c>
      <c r="E38" s="27" t="s">
        <v>93</v>
      </c>
      <c r="F38" s="28" t="s">
        <v>94</v>
      </c>
      <c r="G38" s="27" t="s">
        <v>869</v>
      </c>
      <c r="H38" s="27" t="s">
        <v>870</v>
      </c>
      <c r="I38" s="35">
        <f t="shared" si="0"/>
        <v>43985</v>
      </c>
      <c r="J38" s="31">
        <v>100</v>
      </c>
      <c r="K38" s="33">
        <f>StockInData[[#This Row],[Quantity]]*2.5</f>
        <v>250</v>
      </c>
    </row>
    <row r="39" spans="1:11" x14ac:dyDescent="0.25">
      <c r="A39" s="31">
        <v>38</v>
      </c>
      <c r="B39" s="32">
        <f t="shared" si="1"/>
        <v>43447</v>
      </c>
      <c r="C39" s="32" t="s">
        <v>958</v>
      </c>
      <c r="D39" s="60" t="s">
        <v>955</v>
      </c>
      <c r="E39" s="27" t="s">
        <v>95</v>
      </c>
      <c r="F39" s="28" t="s">
        <v>96</v>
      </c>
      <c r="G39" s="27" t="s">
        <v>869</v>
      </c>
      <c r="H39" s="27" t="s">
        <v>870</v>
      </c>
      <c r="I39" s="35">
        <f t="shared" si="0"/>
        <v>43987</v>
      </c>
      <c r="J39" s="31">
        <v>60</v>
      </c>
      <c r="K39" s="33">
        <f>StockInData[[#This Row],[Quantity]]*2.5</f>
        <v>150</v>
      </c>
    </row>
    <row r="40" spans="1:11" x14ac:dyDescent="0.25">
      <c r="A40" s="31">
        <v>39</v>
      </c>
      <c r="B40" s="32">
        <f t="shared" si="1"/>
        <v>43448</v>
      </c>
      <c r="C40" s="32" t="s">
        <v>958</v>
      </c>
      <c r="D40" s="60" t="s">
        <v>955</v>
      </c>
      <c r="E40" s="27" t="s">
        <v>97</v>
      </c>
      <c r="F40" s="28" t="s">
        <v>98</v>
      </c>
      <c r="G40" s="27" t="s">
        <v>869</v>
      </c>
      <c r="H40" s="27" t="s">
        <v>870</v>
      </c>
      <c r="I40" s="35">
        <f t="shared" si="0"/>
        <v>43989</v>
      </c>
      <c r="J40" s="31">
        <v>40</v>
      </c>
      <c r="K40" s="33">
        <f>StockInData[[#This Row],[Quantity]]*2.5</f>
        <v>100</v>
      </c>
    </row>
    <row r="41" spans="1:11" x14ac:dyDescent="0.25">
      <c r="A41" s="31">
        <v>40</v>
      </c>
      <c r="B41" s="32">
        <f t="shared" si="1"/>
        <v>43449</v>
      </c>
      <c r="C41" s="32" t="s">
        <v>958</v>
      </c>
      <c r="D41" s="60" t="s">
        <v>955</v>
      </c>
      <c r="E41" s="27" t="s">
        <v>99</v>
      </c>
      <c r="F41" s="28" t="s">
        <v>100</v>
      </c>
      <c r="G41" s="27" t="s">
        <v>869</v>
      </c>
      <c r="H41" s="27" t="s">
        <v>870</v>
      </c>
      <c r="I41" s="35">
        <f t="shared" si="0"/>
        <v>43991</v>
      </c>
      <c r="J41" s="31">
        <v>30</v>
      </c>
      <c r="K41" s="33">
        <f>StockInData[[#This Row],[Quantity]]*2.5</f>
        <v>75</v>
      </c>
    </row>
    <row r="42" spans="1:11" x14ac:dyDescent="0.25">
      <c r="A42" s="31">
        <v>41</v>
      </c>
      <c r="B42" s="32">
        <f t="shared" si="1"/>
        <v>43450</v>
      </c>
      <c r="C42" s="32" t="s">
        <v>958</v>
      </c>
      <c r="D42" s="60" t="s">
        <v>955</v>
      </c>
      <c r="E42" s="27" t="s">
        <v>101</v>
      </c>
      <c r="F42" s="28" t="s">
        <v>102</v>
      </c>
      <c r="G42" s="27" t="s">
        <v>869</v>
      </c>
      <c r="H42" s="27" t="s">
        <v>870</v>
      </c>
      <c r="I42" s="35">
        <f t="shared" si="0"/>
        <v>43993</v>
      </c>
      <c r="J42" s="31">
        <v>25</v>
      </c>
      <c r="K42" s="33">
        <f>StockInData[[#This Row],[Quantity]]*2.5</f>
        <v>62.5</v>
      </c>
    </row>
    <row r="43" spans="1:11" x14ac:dyDescent="0.25">
      <c r="A43" s="31">
        <v>42</v>
      </c>
      <c r="B43" s="32">
        <f t="shared" si="1"/>
        <v>43451</v>
      </c>
      <c r="C43" s="32" t="s">
        <v>958</v>
      </c>
      <c r="D43" s="60" t="s">
        <v>955</v>
      </c>
      <c r="E43" s="27" t="s">
        <v>103</v>
      </c>
      <c r="F43" s="28" t="s">
        <v>104</v>
      </c>
      <c r="G43" s="27" t="s">
        <v>869</v>
      </c>
      <c r="H43" s="27" t="s">
        <v>870</v>
      </c>
      <c r="I43" s="35">
        <f t="shared" si="0"/>
        <v>43995</v>
      </c>
      <c r="J43" s="31">
        <v>20</v>
      </c>
      <c r="K43" s="33">
        <f>StockInData[[#This Row],[Quantity]]*2.5</f>
        <v>50</v>
      </c>
    </row>
    <row r="44" spans="1:11" x14ac:dyDescent="0.25">
      <c r="A44" s="31">
        <v>43</v>
      </c>
      <c r="B44" s="32">
        <f t="shared" si="1"/>
        <v>43452</v>
      </c>
      <c r="C44" s="32" t="s">
        <v>958</v>
      </c>
      <c r="D44" s="60" t="s">
        <v>955</v>
      </c>
      <c r="E44" s="27" t="s">
        <v>105</v>
      </c>
      <c r="F44" s="28" t="s">
        <v>106</v>
      </c>
      <c r="G44" s="27" t="s">
        <v>869</v>
      </c>
      <c r="H44" s="27" t="s">
        <v>870</v>
      </c>
      <c r="I44" s="35">
        <f t="shared" si="0"/>
        <v>43997</v>
      </c>
      <c r="J44" s="31">
        <v>19</v>
      </c>
      <c r="K44" s="33">
        <f>StockInData[[#This Row],[Quantity]]*2.5</f>
        <v>47.5</v>
      </c>
    </row>
    <row r="45" spans="1:11" x14ac:dyDescent="0.25">
      <c r="A45" s="31">
        <v>44</v>
      </c>
      <c r="B45" s="32">
        <f t="shared" si="1"/>
        <v>43453</v>
      </c>
      <c r="C45" s="32" t="s">
        <v>958</v>
      </c>
      <c r="D45" s="60" t="s">
        <v>955</v>
      </c>
      <c r="E45" s="27" t="s">
        <v>107</v>
      </c>
      <c r="F45" s="28" t="s">
        <v>108</v>
      </c>
      <c r="G45" s="27" t="s">
        <v>869</v>
      </c>
      <c r="H45" s="27" t="s">
        <v>870</v>
      </c>
      <c r="I45" s="35">
        <f t="shared" si="0"/>
        <v>43999</v>
      </c>
      <c r="J45" s="31">
        <v>23</v>
      </c>
      <c r="K45" s="33">
        <f>StockInData[[#This Row],[Quantity]]*2.5</f>
        <v>57.5</v>
      </c>
    </row>
    <row r="46" spans="1:11" x14ac:dyDescent="0.25">
      <c r="A46" s="31">
        <v>45</v>
      </c>
      <c r="B46" s="32">
        <f t="shared" si="1"/>
        <v>43454</v>
      </c>
      <c r="C46" s="32" t="s">
        <v>958</v>
      </c>
      <c r="D46" s="60" t="s">
        <v>955</v>
      </c>
      <c r="E46" s="27" t="s">
        <v>109</v>
      </c>
      <c r="F46" s="28" t="s">
        <v>110</v>
      </c>
      <c r="G46" s="27" t="s">
        <v>869</v>
      </c>
      <c r="H46" s="27" t="s">
        <v>870</v>
      </c>
      <c r="I46" s="35">
        <f t="shared" si="0"/>
        <v>44001</v>
      </c>
      <c r="J46" s="31">
        <v>65</v>
      </c>
      <c r="K46" s="33">
        <f>StockInData[[#This Row],[Quantity]]*2.5</f>
        <v>162.5</v>
      </c>
    </row>
    <row r="47" spans="1:11" x14ac:dyDescent="0.25">
      <c r="A47" s="31">
        <v>46</v>
      </c>
      <c r="B47" s="32">
        <f t="shared" si="1"/>
        <v>43455</v>
      </c>
      <c r="C47" s="32" t="s">
        <v>958</v>
      </c>
      <c r="D47" s="60" t="s">
        <v>955</v>
      </c>
      <c r="E47" s="27" t="s">
        <v>111</v>
      </c>
      <c r="F47" s="28" t="s">
        <v>112</v>
      </c>
      <c r="G47" s="27" t="s">
        <v>869</v>
      </c>
      <c r="H47" s="27" t="s">
        <v>870</v>
      </c>
      <c r="I47" s="35">
        <f t="shared" si="0"/>
        <v>44003</v>
      </c>
      <c r="J47" s="31">
        <v>74</v>
      </c>
      <c r="K47" s="33">
        <f>StockInData[[#This Row],[Quantity]]*2.5</f>
        <v>185</v>
      </c>
    </row>
    <row r="48" spans="1:11" x14ac:dyDescent="0.25">
      <c r="A48" s="31">
        <v>47</v>
      </c>
      <c r="B48" s="32">
        <f t="shared" si="1"/>
        <v>43456</v>
      </c>
      <c r="C48" s="32" t="s">
        <v>958</v>
      </c>
      <c r="D48" s="60" t="s">
        <v>955</v>
      </c>
      <c r="E48" s="27" t="s">
        <v>113</v>
      </c>
      <c r="F48" s="28" t="s">
        <v>114</v>
      </c>
      <c r="G48" s="27" t="s">
        <v>869</v>
      </c>
      <c r="H48" s="27" t="s">
        <v>870</v>
      </c>
      <c r="I48" s="35">
        <f t="shared" si="0"/>
        <v>44005</v>
      </c>
      <c r="J48" s="31">
        <v>84</v>
      </c>
      <c r="K48" s="33">
        <f>StockInData[[#This Row],[Quantity]]*2.5</f>
        <v>210</v>
      </c>
    </row>
    <row r="49" spans="1:11" x14ac:dyDescent="0.25">
      <c r="A49" s="31">
        <v>48</v>
      </c>
      <c r="B49" s="32">
        <f t="shared" si="1"/>
        <v>43457</v>
      </c>
      <c r="C49" s="32" t="s">
        <v>958</v>
      </c>
      <c r="D49" s="60" t="s">
        <v>955</v>
      </c>
      <c r="E49" s="27" t="s">
        <v>115</v>
      </c>
      <c r="F49" s="28" t="s">
        <v>116</v>
      </c>
      <c r="G49" s="27" t="s">
        <v>869</v>
      </c>
      <c r="H49" s="27" t="s">
        <v>870</v>
      </c>
      <c r="I49" s="35">
        <f t="shared" si="0"/>
        <v>44007</v>
      </c>
      <c r="J49" s="31">
        <v>99</v>
      </c>
      <c r="K49" s="33">
        <f>StockInData[[#This Row],[Quantity]]*2.5</f>
        <v>247.5</v>
      </c>
    </row>
    <row r="50" spans="1:11" x14ac:dyDescent="0.25">
      <c r="A50" s="31">
        <v>49</v>
      </c>
      <c r="B50" s="32">
        <f t="shared" si="1"/>
        <v>43458</v>
      </c>
      <c r="C50" s="32" t="s">
        <v>958</v>
      </c>
      <c r="D50" s="60" t="s">
        <v>955</v>
      </c>
      <c r="E50" s="27" t="s">
        <v>117</v>
      </c>
      <c r="F50" s="28" t="s">
        <v>118</v>
      </c>
      <c r="G50" s="27" t="s">
        <v>869</v>
      </c>
      <c r="H50" s="27" t="s">
        <v>870</v>
      </c>
      <c r="I50" s="35">
        <f t="shared" si="0"/>
        <v>44009</v>
      </c>
      <c r="J50" s="31">
        <v>101</v>
      </c>
      <c r="K50" s="33">
        <f>StockInData[[#This Row],[Quantity]]*2.5</f>
        <v>252.5</v>
      </c>
    </row>
    <row r="51" spans="1:11" x14ac:dyDescent="0.25">
      <c r="A51" s="31">
        <v>50</v>
      </c>
      <c r="B51" s="32">
        <f t="shared" si="1"/>
        <v>43459</v>
      </c>
      <c r="C51" s="32" t="s">
        <v>958</v>
      </c>
      <c r="D51" s="60" t="s">
        <v>955</v>
      </c>
      <c r="E51" s="27" t="s">
        <v>119</v>
      </c>
      <c r="F51" s="28" t="s">
        <v>120</v>
      </c>
      <c r="G51" s="27" t="s">
        <v>869</v>
      </c>
      <c r="H51" s="27" t="s">
        <v>870</v>
      </c>
      <c r="I51" s="35">
        <f t="shared" si="0"/>
        <v>44011</v>
      </c>
      <c r="J51" s="31">
        <v>100</v>
      </c>
      <c r="K51" s="33">
        <f>StockInData[[#This Row],[Quantity]]*2.5</f>
        <v>250</v>
      </c>
    </row>
    <row r="52" spans="1:11" x14ac:dyDescent="0.25">
      <c r="A52" s="31">
        <v>51</v>
      </c>
      <c r="B52" s="32">
        <f t="shared" si="1"/>
        <v>43460</v>
      </c>
      <c r="C52" s="32" t="s">
        <v>958</v>
      </c>
      <c r="D52" s="60" t="s">
        <v>955</v>
      </c>
      <c r="E52" s="27" t="s">
        <v>121</v>
      </c>
      <c r="F52" s="28" t="s">
        <v>122</v>
      </c>
      <c r="G52" s="27" t="s">
        <v>869</v>
      </c>
      <c r="H52" s="27" t="s">
        <v>870</v>
      </c>
      <c r="I52" s="35">
        <f t="shared" si="0"/>
        <v>44013</v>
      </c>
      <c r="J52" s="31">
        <v>100</v>
      </c>
      <c r="K52" s="33">
        <f>StockInData[[#This Row],[Quantity]]*2.5</f>
        <v>250</v>
      </c>
    </row>
    <row r="53" spans="1:11" x14ac:dyDescent="0.25">
      <c r="A53" s="31">
        <v>52</v>
      </c>
      <c r="B53" s="32">
        <f t="shared" si="1"/>
        <v>43461</v>
      </c>
      <c r="C53" s="32" t="s">
        <v>958</v>
      </c>
      <c r="D53" s="60" t="s">
        <v>955</v>
      </c>
      <c r="E53" s="27" t="s">
        <v>123</v>
      </c>
      <c r="F53" s="28" t="s">
        <v>124</v>
      </c>
      <c r="G53" s="27" t="s">
        <v>869</v>
      </c>
      <c r="H53" s="27" t="s">
        <v>870</v>
      </c>
      <c r="I53" s="35">
        <f t="shared" si="0"/>
        <v>44015</v>
      </c>
      <c r="J53" s="31">
        <v>100</v>
      </c>
      <c r="K53" s="33">
        <f>StockInData[[#This Row],[Quantity]]*2.5</f>
        <v>250</v>
      </c>
    </row>
    <row r="54" spans="1:11" x14ac:dyDescent="0.25">
      <c r="A54" s="31">
        <v>53</v>
      </c>
      <c r="B54" s="32">
        <f t="shared" si="1"/>
        <v>43462</v>
      </c>
      <c r="C54" s="32" t="s">
        <v>958</v>
      </c>
      <c r="D54" s="60" t="s">
        <v>955</v>
      </c>
      <c r="E54" s="27" t="s">
        <v>125</v>
      </c>
      <c r="F54" s="28" t="s">
        <v>126</v>
      </c>
      <c r="G54" s="27" t="s">
        <v>869</v>
      </c>
      <c r="H54" s="27" t="s">
        <v>870</v>
      </c>
      <c r="I54" s="35">
        <f t="shared" si="0"/>
        <v>44017</v>
      </c>
      <c r="J54" s="31">
        <v>60</v>
      </c>
      <c r="K54" s="33">
        <f>StockInData[[#This Row],[Quantity]]*2.5</f>
        <v>150</v>
      </c>
    </row>
    <row r="55" spans="1:11" x14ac:dyDescent="0.25">
      <c r="A55" s="31">
        <v>54</v>
      </c>
      <c r="B55" s="32">
        <f t="shared" si="1"/>
        <v>43463</v>
      </c>
      <c r="C55" s="32" t="s">
        <v>958</v>
      </c>
      <c r="D55" s="60" t="s">
        <v>955</v>
      </c>
      <c r="E55" s="27" t="s">
        <v>127</v>
      </c>
      <c r="F55" s="28" t="s">
        <v>128</v>
      </c>
      <c r="G55" s="27" t="s">
        <v>869</v>
      </c>
      <c r="H55" s="27" t="s">
        <v>870</v>
      </c>
      <c r="I55" s="35">
        <f t="shared" si="0"/>
        <v>44019</v>
      </c>
      <c r="J55" s="31">
        <v>40</v>
      </c>
      <c r="K55" s="33">
        <f>StockInData[[#This Row],[Quantity]]*2.5</f>
        <v>100</v>
      </c>
    </row>
    <row r="56" spans="1:11" x14ac:dyDescent="0.25">
      <c r="A56" s="31">
        <v>55</v>
      </c>
      <c r="B56" s="32">
        <f t="shared" si="1"/>
        <v>43464</v>
      </c>
      <c r="C56" s="32" t="s">
        <v>958</v>
      </c>
      <c r="D56" s="60" t="s">
        <v>955</v>
      </c>
      <c r="E56" s="27" t="s">
        <v>129</v>
      </c>
      <c r="F56" s="28" t="s">
        <v>130</v>
      </c>
      <c r="G56" s="27" t="s">
        <v>869</v>
      </c>
      <c r="H56" s="27" t="s">
        <v>870</v>
      </c>
      <c r="I56" s="35">
        <f t="shared" si="0"/>
        <v>44021</v>
      </c>
      <c r="J56" s="31">
        <v>30</v>
      </c>
      <c r="K56" s="33">
        <f>StockInData[[#This Row],[Quantity]]*2.5</f>
        <v>75</v>
      </c>
    </row>
    <row r="57" spans="1:11" x14ac:dyDescent="0.25">
      <c r="A57" s="31">
        <v>56</v>
      </c>
      <c r="B57" s="32">
        <f t="shared" si="1"/>
        <v>43465</v>
      </c>
      <c r="C57" s="32" t="s">
        <v>958</v>
      </c>
      <c r="D57" s="60" t="s">
        <v>955</v>
      </c>
      <c r="E57" s="27" t="s">
        <v>131</v>
      </c>
      <c r="F57" s="28" t="s">
        <v>132</v>
      </c>
      <c r="G57" s="27" t="s">
        <v>869</v>
      </c>
      <c r="H57" s="27" t="s">
        <v>870</v>
      </c>
      <c r="I57" s="35">
        <f t="shared" si="0"/>
        <v>44023</v>
      </c>
      <c r="J57" s="31">
        <v>25</v>
      </c>
      <c r="K57" s="33">
        <f>StockInData[[#This Row],[Quantity]]*2.5</f>
        <v>62.5</v>
      </c>
    </row>
    <row r="58" spans="1:11" x14ac:dyDescent="0.25">
      <c r="A58" s="31">
        <v>57</v>
      </c>
      <c r="B58" s="32">
        <f t="shared" si="1"/>
        <v>43466</v>
      </c>
      <c r="C58" s="32" t="s">
        <v>958</v>
      </c>
      <c r="D58" s="60" t="s">
        <v>955</v>
      </c>
      <c r="E58" s="27" t="s">
        <v>133</v>
      </c>
      <c r="F58" s="28" t="s">
        <v>134</v>
      </c>
      <c r="G58" s="27" t="s">
        <v>869</v>
      </c>
      <c r="H58" s="27" t="s">
        <v>870</v>
      </c>
      <c r="I58" s="35">
        <f t="shared" si="0"/>
        <v>44025</v>
      </c>
      <c r="J58" s="31">
        <v>20</v>
      </c>
      <c r="K58" s="33">
        <f>StockInData[[#This Row],[Quantity]]*2.5</f>
        <v>50</v>
      </c>
    </row>
    <row r="59" spans="1:11" x14ac:dyDescent="0.25">
      <c r="A59" s="31">
        <v>58</v>
      </c>
      <c r="B59" s="32">
        <f t="shared" si="1"/>
        <v>43467</v>
      </c>
      <c r="C59" s="32" t="s">
        <v>958</v>
      </c>
      <c r="D59" s="60" t="s">
        <v>955</v>
      </c>
      <c r="E59" s="27" t="s">
        <v>135</v>
      </c>
      <c r="F59" s="28" t="s">
        <v>136</v>
      </c>
      <c r="G59" s="27" t="s">
        <v>869</v>
      </c>
      <c r="H59" s="27" t="s">
        <v>870</v>
      </c>
      <c r="I59" s="35">
        <f t="shared" si="0"/>
        <v>44027</v>
      </c>
      <c r="J59" s="31">
        <v>19</v>
      </c>
      <c r="K59" s="33">
        <f>StockInData[[#This Row],[Quantity]]*2.5</f>
        <v>47.5</v>
      </c>
    </row>
    <row r="60" spans="1:11" x14ac:dyDescent="0.25">
      <c r="A60" s="31">
        <v>59</v>
      </c>
      <c r="B60" s="32">
        <f t="shared" si="1"/>
        <v>43468</v>
      </c>
      <c r="C60" s="32" t="s">
        <v>958</v>
      </c>
      <c r="D60" s="60" t="s">
        <v>955</v>
      </c>
      <c r="E60" s="27" t="s">
        <v>137</v>
      </c>
      <c r="F60" s="28" t="s">
        <v>138</v>
      </c>
      <c r="G60" s="27" t="s">
        <v>869</v>
      </c>
      <c r="H60" s="27" t="s">
        <v>870</v>
      </c>
      <c r="I60" s="35">
        <f t="shared" si="0"/>
        <v>44029</v>
      </c>
      <c r="J60" s="31">
        <v>23</v>
      </c>
      <c r="K60" s="33">
        <f>StockInData[[#This Row],[Quantity]]*2.5</f>
        <v>57.5</v>
      </c>
    </row>
    <row r="61" spans="1:11" x14ac:dyDescent="0.25">
      <c r="A61" s="31">
        <v>60</v>
      </c>
      <c r="B61" s="32">
        <f t="shared" si="1"/>
        <v>43469</v>
      </c>
      <c r="C61" s="32" t="s">
        <v>958</v>
      </c>
      <c r="D61" s="60" t="s">
        <v>955</v>
      </c>
      <c r="E61" s="27" t="s">
        <v>139</v>
      </c>
      <c r="F61" s="28" t="s">
        <v>140</v>
      </c>
      <c r="G61" s="27" t="s">
        <v>869</v>
      </c>
      <c r="H61" s="27" t="s">
        <v>870</v>
      </c>
      <c r="I61" s="35">
        <f t="shared" si="0"/>
        <v>44031</v>
      </c>
      <c r="J61" s="31">
        <v>65</v>
      </c>
      <c r="K61" s="33">
        <f>StockInData[[#This Row],[Quantity]]*2.5</f>
        <v>162.5</v>
      </c>
    </row>
    <row r="62" spans="1:11" x14ac:dyDescent="0.25">
      <c r="A62" s="31">
        <v>61</v>
      </c>
      <c r="B62" s="32">
        <f t="shared" si="1"/>
        <v>43470</v>
      </c>
      <c r="C62" s="32" t="s">
        <v>958</v>
      </c>
      <c r="D62" s="60" t="s">
        <v>955</v>
      </c>
      <c r="E62" s="27" t="s">
        <v>141</v>
      </c>
      <c r="F62" s="28" t="s">
        <v>142</v>
      </c>
      <c r="G62" s="27" t="s">
        <v>869</v>
      </c>
      <c r="H62" s="27" t="s">
        <v>870</v>
      </c>
      <c r="I62" s="35">
        <f t="shared" si="0"/>
        <v>44033</v>
      </c>
      <c r="J62" s="31">
        <v>74</v>
      </c>
      <c r="K62" s="33">
        <f>StockInData[[#This Row],[Quantity]]*2.5</f>
        <v>185</v>
      </c>
    </row>
    <row r="63" spans="1:11" x14ac:dyDescent="0.25">
      <c r="A63" s="31">
        <v>62</v>
      </c>
      <c r="B63" s="32">
        <f t="shared" si="1"/>
        <v>43471</v>
      </c>
      <c r="C63" s="32" t="s">
        <v>958</v>
      </c>
      <c r="D63" s="60" t="s">
        <v>955</v>
      </c>
      <c r="E63" s="27" t="s">
        <v>143</v>
      </c>
      <c r="F63" s="28" t="s">
        <v>144</v>
      </c>
      <c r="G63" s="27" t="s">
        <v>869</v>
      </c>
      <c r="H63" s="27" t="s">
        <v>870</v>
      </c>
      <c r="I63" s="35">
        <f t="shared" si="0"/>
        <v>44035</v>
      </c>
      <c r="J63" s="31">
        <v>84</v>
      </c>
      <c r="K63" s="33">
        <f>StockInData[[#This Row],[Quantity]]*2.5</f>
        <v>210</v>
      </c>
    </row>
    <row r="64" spans="1:11" x14ac:dyDescent="0.25">
      <c r="A64" s="31">
        <v>63</v>
      </c>
      <c r="B64" s="32">
        <f t="shared" si="1"/>
        <v>43472</v>
      </c>
      <c r="C64" s="32" t="s">
        <v>958</v>
      </c>
      <c r="D64" s="60" t="s">
        <v>955</v>
      </c>
      <c r="E64" s="27" t="s">
        <v>145</v>
      </c>
      <c r="F64" s="28" t="s">
        <v>146</v>
      </c>
      <c r="G64" s="27" t="s">
        <v>869</v>
      </c>
      <c r="H64" s="27" t="s">
        <v>870</v>
      </c>
      <c r="I64" s="35">
        <f t="shared" si="0"/>
        <v>44037</v>
      </c>
      <c r="J64" s="31">
        <v>99</v>
      </c>
      <c r="K64" s="33">
        <f>StockInData[[#This Row],[Quantity]]*2.5</f>
        <v>247.5</v>
      </c>
    </row>
    <row r="65" spans="1:11" x14ac:dyDescent="0.25">
      <c r="A65" s="31">
        <v>64</v>
      </c>
      <c r="B65" s="32">
        <f t="shared" si="1"/>
        <v>43473</v>
      </c>
      <c r="C65" s="32" t="s">
        <v>958</v>
      </c>
      <c r="D65" s="60" t="s">
        <v>955</v>
      </c>
      <c r="E65" s="27" t="s">
        <v>147</v>
      </c>
      <c r="F65" s="28" t="s">
        <v>148</v>
      </c>
      <c r="G65" s="27" t="s">
        <v>869</v>
      </c>
      <c r="H65" s="27" t="s">
        <v>870</v>
      </c>
      <c r="I65" s="35">
        <f t="shared" si="0"/>
        <v>44039</v>
      </c>
      <c r="J65" s="31">
        <v>101</v>
      </c>
      <c r="K65" s="33">
        <f>StockInData[[#This Row],[Quantity]]*2.5</f>
        <v>252.5</v>
      </c>
    </row>
    <row r="66" spans="1:11" x14ac:dyDescent="0.25">
      <c r="A66" s="31">
        <v>65</v>
      </c>
      <c r="B66" s="32">
        <f t="shared" si="1"/>
        <v>43474</v>
      </c>
      <c r="C66" s="32" t="s">
        <v>958</v>
      </c>
      <c r="D66" s="60" t="s">
        <v>955</v>
      </c>
      <c r="E66" s="27" t="s">
        <v>149</v>
      </c>
      <c r="F66" s="28" t="s">
        <v>150</v>
      </c>
      <c r="G66" s="27" t="s">
        <v>869</v>
      </c>
      <c r="H66" s="27" t="s">
        <v>870</v>
      </c>
      <c r="I66" s="35">
        <f t="shared" si="0"/>
        <v>44041</v>
      </c>
      <c r="J66" s="31">
        <v>100</v>
      </c>
      <c r="K66" s="33">
        <f>StockInData[[#This Row],[Quantity]]*2.5</f>
        <v>250</v>
      </c>
    </row>
    <row r="67" spans="1:11" x14ac:dyDescent="0.25">
      <c r="A67" s="31">
        <v>66</v>
      </c>
      <c r="B67" s="32">
        <f t="shared" si="1"/>
        <v>43475</v>
      </c>
      <c r="C67" s="32" t="s">
        <v>958</v>
      </c>
      <c r="D67" s="60" t="s">
        <v>955</v>
      </c>
      <c r="E67" s="27" t="s">
        <v>151</v>
      </c>
      <c r="F67" s="28" t="s">
        <v>152</v>
      </c>
      <c r="G67" s="27" t="s">
        <v>869</v>
      </c>
      <c r="H67" s="27" t="s">
        <v>870</v>
      </c>
      <c r="I67" s="35">
        <f t="shared" si="0"/>
        <v>44043</v>
      </c>
      <c r="J67" s="31">
        <v>100</v>
      </c>
      <c r="K67" s="33">
        <f>StockInData[[#This Row],[Quantity]]*2.5</f>
        <v>250</v>
      </c>
    </row>
    <row r="68" spans="1:11" x14ac:dyDescent="0.25">
      <c r="A68" s="31">
        <v>67</v>
      </c>
      <c r="B68" s="32">
        <f t="shared" si="1"/>
        <v>43476</v>
      </c>
      <c r="C68" s="32" t="s">
        <v>958</v>
      </c>
      <c r="D68" s="60" t="s">
        <v>955</v>
      </c>
      <c r="E68" s="27" t="s">
        <v>153</v>
      </c>
      <c r="F68" s="28" t="s">
        <v>154</v>
      </c>
      <c r="G68" s="27" t="s">
        <v>869</v>
      </c>
      <c r="H68" s="27" t="s">
        <v>870</v>
      </c>
      <c r="I68" s="35">
        <f t="shared" ref="I68:I131" si="2">I67+2</f>
        <v>44045</v>
      </c>
      <c r="J68" s="31">
        <v>100</v>
      </c>
      <c r="K68" s="33">
        <f>StockInData[[#This Row],[Quantity]]*2.5</f>
        <v>250</v>
      </c>
    </row>
    <row r="69" spans="1:11" x14ac:dyDescent="0.25">
      <c r="A69" s="31">
        <v>68</v>
      </c>
      <c r="B69" s="32">
        <f t="shared" ref="B69:B132" si="3">B68+1</f>
        <v>43477</v>
      </c>
      <c r="C69" s="32" t="s">
        <v>958</v>
      </c>
      <c r="D69" s="60" t="s">
        <v>955</v>
      </c>
      <c r="E69" s="27" t="s">
        <v>155</v>
      </c>
      <c r="F69" s="28" t="s">
        <v>156</v>
      </c>
      <c r="G69" s="27" t="s">
        <v>869</v>
      </c>
      <c r="H69" s="27" t="s">
        <v>870</v>
      </c>
      <c r="I69" s="35">
        <f t="shared" si="2"/>
        <v>44047</v>
      </c>
      <c r="J69" s="31">
        <v>60</v>
      </c>
      <c r="K69" s="33">
        <f>StockInData[[#This Row],[Quantity]]*2.5</f>
        <v>150</v>
      </c>
    </row>
    <row r="70" spans="1:11" x14ac:dyDescent="0.25">
      <c r="A70" s="31">
        <v>69</v>
      </c>
      <c r="B70" s="32">
        <f t="shared" si="3"/>
        <v>43478</v>
      </c>
      <c r="C70" s="32" t="s">
        <v>958</v>
      </c>
      <c r="D70" s="60" t="s">
        <v>955</v>
      </c>
      <c r="E70" s="27" t="s">
        <v>157</v>
      </c>
      <c r="F70" s="28" t="s">
        <v>158</v>
      </c>
      <c r="G70" s="27" t="s">
        <v>869</v>
      </c>
      <c r="H70" s="27" t="s">
        <v>871</v>
      </c>
      <c r="I70" s="35">
        <f t="shared" si="2"/>
        <v>44049</v>
      </c>
      <c r="J70" s="31">
        <v>40</v>
      </c>
      <c r="K70" s="33">
        <f>StockInData[[#This Row],[Quantity]]*2.5</f>
        <v>100</v>
      </c>
    </row>
    <row r="71" spans="1:11" x14ac:dyDescent="0.25">
      <c r="A71" s="31">
        <v>70</v>
      </c>
      <c r="B71" s="32">
        <f t="shared" si="3"/>
        <v>43479</v>
      </c>
      <c r="C71" s="32" t="s">
        <v>958</v>
      </c>
      <c r="D71" s="60" t="s">
        <v>955</v>
      </c>
      <c r="E71" s="27" t="s">
        <v>159</v>
      </c>
      <c r="F71" s="28" t="s">
        <v>160</v>
      </c>
      <c r="G71" s="27" t="s">
        <v>869</v>
      </c>
      <c r="H71" s="27" t="s">
        <v>871</v>
      </c>
      <c r="I71" s="35">
        <f t="shared" si="2"/>
        <v>44051</v>
      </c>
      <c r="J71" s="31">
        <v>30</v>
      </c>
      <c r="K71" s="33">
        <f>StockInData[[#This Row],[Quantity]]*2.5</f>
        <v>75</v>
      </c>
    </row>
    <row r="72" spans="1:11" x14ac:dyDescent="0.25">
      <c r="A72" s="31">
        <v>71</v>
      </c>
      <c r="B72" s="32">
        <f t="shared" si="3"/>
        <v>43480</v>
      </c>
      <c r="C72" s="32" t="s">
        <v>958</v>
      </c>
      <c r="D72" s="60" t="s">
        <v>955</v>
      </c>
      <c r="E72" s="27" t="s">
        <v>161</v>
      </c>
      <c r="F72" s="28" t="s">
        <v>162</v>
      </c>
      <c r="G72" s="27" t="s">
        <v>869</v>
      </c>
      <c r="H72" s="27" t="s">
        <v>871</v>
      </c>
      <c r="I72" s="35">
        <f t="shared" si="2"/>
        <v>44053</v>
      </c>
      <c r="J72" s="31">
        <v>25</v>
      </c>
      <c r="K72" s="33">
        <f>StockInData[[#This Row],[Quantity]]*2.5</f>
        <v>62.5</v>
      </c>
    </row>
    <row r="73" spans="1:11" x14ac:dyDescent="0.25">
      <c r="A73" s="31">
        <v>72</v>
      </c>
      <c r="B73" s="32">
        <f t="shared" si="3"/>
        <v>43481</v>
      </c>
      <c r="C73" s="32" t="s">
        <v>958</v>
      </c>
      <c r="D73" s="60" t="s">
        <v>955</v>
      </c>
      <c r="E73" s="27" t="s">
        <v>163</v>
      </c>
      <c r="F73" s="28" t="s">
        <v>164</v>
      </c>
      <c r="G73" s="27" t="s">
        <v>869</v>
      </c>
      <c r="H73" s="27" t="s">
        <v>871</v>
      </c>
      <c r="I73" s="35">
        <f t="shared" si="2"/>
        <v>44055</v>
      </c>
      <c r="J73" s="31">
        <v>20</v>
      </c>
      <c r="K73" s="33">
        <f>StockInData[[#This Row],[Quantity]]*2.5</f>
        <v>50</v>
      </c>
    </row>
    <row r="74" spans="1:11" x14ac:dyDescent="0.25">
      <c r="A74" s="31">
        <v>73</v>
      </c>
      <c r="B74" s="32">
        <f t="shared" si="3"/>
        <v>43482</v>
      </c>
      <c r="C74" s="32" t="s">
        <v>958</v>
      </c>
      <c r="D74" s="60" t="s">
        <v>955</v>
      </c>
      <c r="E74" s="27" t="s">
        <v>165</v>
      </c>
      <c r="F74" s="28" t="s">
        <v>166</v>
      </c>
      <c r="G74" s="27" t="s">
        <v>869</v>
      </c>
      <c r="H74" s="27" t="s">
        <v>871</v>
      </c>
      <c r="I74" s="35">
        <f t="shared" si="2"/>
        <v>44057</v>
      </c>
      <c r="J74" s="31">
        <v>19</v>
      </c>
      <c r="K74" s="33">
        <f>StockInData[[#This Row],[Quantity]]*2.5</f>
        <v>47.5</v>
      </c>
    </row>
    <row r="75" spans="1:11" x14ac:dyDescent="0.25">
      <c r="A75" s="31">
        <v>74</v>
      </c>
      <c r="B75" s="32">
        <f t="shared" si="3"/>
        <v>43483</v>
      </c>
      <c r="C75" s="32" t="s">
        <v>958</v>
      </c>
      <c r="D75" s="60" t="s">
        <v>955</v>
      </c>
      <c r="E75" s="27" t="s">
        <v>167</v>
      </c>
      <c r="F75" s="28" t="s">
        <v>168</v>
      </c>
      <c r="G75" s="27" t="s">
        <v>869</v>
      </c>
      <c r="H75" s="27" t="s">
        <v>871</v>
      </c>
      <c r="I75" s="35">
        <f t="shared" si="2"/>
        <v>44059</v>
      </c>
      <c r="J75" s="31">
        <v>23</v>
      </c>
      <c r="K75" s="33">
        <f>StockInData[[#This Row],[Quantity]]*2.5</f>
        <v>57.5</v>
      </c>
    </row>
    <row r="76" spans="1:11" x14ac:dyDescent="0.25">
      <c r="A76" s="31">
        <v>75</v>
      </c>
      <c r="B76" s="32">
        <f t="shared" si="3"/>
        <v>43484</v>
      </c>
      <c r="C76" s="32" t="s">
        <v>958</v>
      </c>
      <c r="D76" s="60" t="s">
        <v>955</v>
      </c>
      <c r="E76" s="27" t="s">
        <v>169</v>
      </c>
      <c r="F76" s="28" t="s">
        <v>170</v>
      </c>
      <c r="G76" s="27" t="s">
        <v>869</v>
      </c>
      <c r="H76" s="27" t="s">
        <v>871</v>
      </c>
      <c r="I76" s="35">
        <f t="shared" si="2"/>
        <v>44061</v>
      </c>
      <c r="J76" s="31">
        <v>65</v>
      </c>
      <c r="K76" s="33">
        <f>StockInData[[#This Row],[Quantity]]*2.5</f>
        <v>162.5</v>
      </c>
    </row>
    <row r="77" spans="1:11" x14ac:dyDescent="0.25">
      <c r="A77" s="31">
        <v>76</v>
      </c>
      <c r="B77" s="32">
        <f t="shared" si="3"/>
        <v>43485</v>
      </c>
      <c r="C77" s="32" t="s">
        <v>958</v>
      </c>
      <c r="D77" s="60" t="s">
        <v>955</v>
      </c>
      <c r="E77" s="27" t="s">
        <v>171</v>
      </c>
      <c r="F77" s="28" t="s">
        <v>172</v>
      </c>
      <c r="G77" s="27" t="s">
        <v>869</v>
      </c>
      <c r="H77" s="27" t="s">
        <v>871</v>
      </c>
      <c r="I77" s="35">
        <f t="shared" si="2"/>
        <v>44063</v>
      </c>
      <c r="J77" s="31">
        <v>74</v>
      </c>
      <c r="K77" s="33">
        <f>StockInData[[#This Row],[Quantity]]*2.5</f>
        <v>185</v>
      </c>
    </row>
    <row r="78" spans="1:11" x14ac:dyDescent="0.25">
      <c r="A78" s="31">
        <v>77</v>
      </c>
      <c r="B78" s="32">
        <f t="shared" si="3"/>
        <v>43486</v>
      </c>
      <c r="C78" s="32" t="s">
        <v>958</v>
      </c>
      <c r="D78" s="60" t="s">
        <v>955</v>
      </c>
      <c r="E78" s="27" t="s">
        <v>173</v>
      </c>
      <c r="F78" s="28" t="s">
        <v>174</v>
      </c>
      <c r="G78" s="27" t="s">
        <v>869</v>
      </c>
      <c r="H78" s="27" t="s">
        <v>871</v>
      </c>
      <c r="I78" s="35">
        <f t="shared" si="2"/>
        <v>44065</v>
      </c>
      <c r="J78" s="31">
        <v>84</v>
      </c>
      <c r="K78" s="33">
        <f>StockInData[[#This Row],[Quantity]]*2.5</f>
        <v>210</v>
      </c>
    </row>
    <row r="79" spans="1:11" x14ac:dyDescent="0.25">
      <c r="A79" s="31">
        <v>78</v>
      </c>
      <c r="B79" s="32">
        <f t="shared" si="3"/>
        <v>43487</v>
      </c>
      <c r="C79" s="32" t="s">
        <v>958</v>
      </c>
      <c r="D79" s="60" t="s">
        <v>955</v>
      </c>
      <c r="E79" s="27" t="s">
        <v>175</v>
      </c>
      <c r="F79" s="28" t="s">
        <v>176</v>
      </c>
      <c r="G79" s="27" t="s">
        <v>869</v>
      </c>
      <c r="H79" s="27" t="s">
        <v>871</v>
      </c>
      <c r="I79" s="35">
        <f t="shared" si="2"/>
        <v>44067</v>
      </c>
      <c r="J79" s="31">
        <v>99</v>
      </c>
      <c r="K79" s="33">
        <f>StockInData[[#This Row],[Quantity]]*2.5</f>
        <v>247.5</v>
      </c>
    </row>
    <row r="80" spans="1:11" x14ac:dyDescent="0.25">
      <c r="A80" s="31">
        <v>79</v>
      </c>
      <c r="B80" s="32">
        <f t="shared" si="3"/>
        <v>43488</v>
      </c>
      <c r="C80" s="32" t="s">
        <v>958</v>
      </c>
      <c r="D80" s="60" t="s">
        <v>955</v>
      </c>
      <c r="E80" s="27" t="s">
        <v>177</v>
      </c>
      <c r="F80" s="28" t="s">
        <v>178</v>
      </c>
      <c r="G80" s="27" t="s">
        <v>869</v>
      </c>
      <c r="H80" s="27" t="s">
        <v>871</v>
      </c>
      <c r="I80" s="35">
        <f t="shared" si="2"/>
        <v>44069</v>
      </c>
      <c r="J80" s="31">
        <v>101</v>
      </c>
      <c r="K80" s="33">
        <f>StockInData[[#This Row],[Quantity]]*2.5</f>
        <v>252.5</v>
      </c>
    </row>
    <row r="81" spans="1:11" x14ac:dyDescent="0.25">
      <c r="A81" s="31">
        <v>80</v>
      </c>
      <c r="B81" s="32">
        <f t="shared" si="3"/>
        <v>43489</v>
      </c>
      <c r="C81" s="32" t="s">
        <v>958</v>
      </c>
      <c r="D81" s="60" t="s">
        <v>955</v>
      </c>
      <c r="E81" s="27" t="s">
        <v>179</v>
      </c>
      <c r="F81" s="28" t="s">
        <v>180</v>
      </c>
      <c r="G81" s="27" t="s">
        <v>869</v>
      </c>
      <c r="H81" s="27" t="s">
        <v>871</v>
      </c>
      <c r="I81" s="35">
        <f t="shared" si="2"/>
        <v>44071</v>
      </c>
      <c r="J81" s="31">
        <v>40</v>
      </c>
      <c r="K81" s="33">
        <f>StockInData[[#This Row],[Quantity]]*2.5</f>
        <v>100</v>
      </c>
    </row>
    <row r="82" spans="1:11" x14ac:dyDescent="0.25">
      <c r="A82" s="31">
        <v>81</v>
      </c>
      <c r="B82" s="32">
        <f t="shared" si="3"/>
        <v>43490</v>
      </c>
      <c r="C82" s="32" t="s">
        <v>958</v>
      </c>
      <c r="D82" s="60" t="s">
        <v>955</v>
      </c>
      <c r="E82" s="27" t="s">
        <v>181</v>
      </c>
      <c r="F82" s="28" t="s">
        <v>182</v>
      </c>
      <c r="G82" s="27" t="s">
        <v>869</v>
      </c>
      <c r="H82" s="27" t="s">
        <v>871</v>
      </c>
      <c r="I82" s="35">
        <f t="shared" si="2"/>
        <v>44073</v>
      </c>
      <c r="J82" s="31">
        <v>30</v>
      </c>
      <c r="K82" s="33">
        <f>StockInData[[#This Row],[Quantity]]*2.5</f>
        <v>75</v>
      </c>
    </row>
    <row r="83" spans="1:11" x14ac:dyDescent="0.25">
      <c r="A83" s="31">
        <v>82</v>
      </c>
      <c r="B83" s="32">
        <f t="shared" si="3"/>
        <v>43491</v>
      </c>
      <c r="C83" s="32" t="s">
        <v>958</v>
      </c>
      <c r="D83" s="60" t="s">
        <v>955</v>
      </c>
      <c r="E83" s="27" t="s">
        <v>183</v>
      </c>
      <c r="F83" s="28" t="s">
        <v>184</v>
      </c>
      <c r="G83" s="27" t="s">
        <v>869</v>
      </c>
      <c r="H83" s="27" t="s">
        <v>871</v>
      </c>
      <c r="I83" s="35">
        <f t="shared" si="2"/>
        <v>44075</v>
      </c>
      <c r="J83" s="31">
        <v>25</v>
      </c>
      <c r="K83" s="33">
        <f>StockInData[[#This Row],[Quantity]]*2.5</f>
        <v>62.5</v>
      </c>
    </row>
    <row r="84" spans="1:11" x14ac:dyDescent="0.25">
      <c r="A84" s="31">
        <v>83</v>
      </c>
      <c r="B84" s="32">
        <f t="shared" si="3"/>
        <v>43492</v>
      </c>
      <c r="C84" s="32" t="s">
        <v>958</v>
      </c>
      <c r="D84" s="60" t="s">
        <v>955</v>
      </c>
      <c r="E84" s="27" t="s">
        <v>185</v>
      </c>
      <c r="F84" s="28" t="s">
        <v>186</v>
      </c>
      <c r="G84" s="27" t="s">
        <v>869</v>
      </c>
      <c r="H84" s="27" t="s">
        <v>871</v>
      </c>
      <c r="I84" s="35">
        <f t="shared" si="2"/>
        <v>44077</v>
      </c>
      <c r="J84" s="31">
        <v>20</v>
      </c>
      <c r="K84" s="33">
        <f>StockInData[[#This Row],[Quantity]]*2.5</f>
        <v>50</v>
      </c>
    </row>
    <row r="85" spans="1:11" x14ac:dyDescent="0.25">
      <c r="A85" s="31">
        <v>84</v>
      </c>
      <c r="B85" s="32">
        <f t="shared" si="3"/>
        <v>43493</v>
      </c>
      <c r="C85" s="32" t="s">
        <v>958</v>
      </c>
      <c r="D85" s="60" t="s">
        <v>955</v>
      </c>
      <c r="E85" s="27" t="s">
        <v>187</v>
      </c>
      <c r="F85" s="28" t="s">
        <v>188</v>
      </c>
      <c r="G85" s="27" t="s">
        <v>869</v>
      </c>
      <c r="H85" s="27" t="s">
        <v>871</v>
      </c>
      <c r="I85" s="35">
        <f t="shared" si="2"/>
        <v>44079</v>
      </c>
      <c r="J85" s="31">
        <v>19</v>
      </c>
      <c r="K85" s="33">
        <f>StockInData[[#This Row],[Quantity]]*2.5</f>
        <v>47.5</v>
      </c>
    </row>
    <row r="86" spans="1:11" x14ac:dyDescent="0.25">
      <c r="A86" s="31">
        <v>85</v>
      </c>
      <c r="B86" s="32">
        <f t="shared" si="3"/>
        <v>43494</v>
      </c>
      <c r="C86" s="32" t="s">
        <v>958</v>
      </c>
      <c r="D86" s="60" t="s">
        <v>955</v>
      </c>
      <c r="E86" s="27" t="s">
        <v>189</v>
      </c>
      <c r="F86" s="28" t="s">
        <v>190</v>
      </c>
      <c r="G86" s="27" t="s">
        <v>869</v>
      </c>
      <c r="H86" s="27" t="s">
        <v>871</v>
      </c>
      <c r="I86" s="35">
        <f t="shared" si="2"/>
        <v>44081</v>
      </c>
      <c r="J86" s="31">
        <v>23</v>
      </c>
      <c r="K86" s="33">
        <f>StockInData[[#This Row],[Quantity]]*2.5</f>
        <v>57.5</v>
      </c>
    </row>
    <row r="87" spans="1:11" x14ac:dyDescent="0.25">
      <c r="A87" s="31">
        <v>86</v>
      </c>
      <c r="B87" s="32">
        <f t="shared" si="3"/>
        <v>43495</v>
      </c>
      <c r="C87" s="32" t="s">
        <v>958</v>
      </c>
      <c r="D87" s="60" t="s">
        <v>955</v>
      </c>
      <c r="E87" s="27" t="s">
        <v>191</v>
      </c>
      <c r="F87" s="28" t="s">
        <v>192</v>
      </c>
      <c r="G87" s="27" t="s">
        <v>869</v>
      </c>
      <c r="H87" s="27" t="s">
        <v>871</v>
      </c>
      <c r="I87" s="35">
        <f t="shared" si="2"/>
        <v>44083</v>
      </c>
      <c r="J87" s="31">
        <v>65</v>
      </c>
      <c r="K87" s="33">
        <f>StockInData[[#This Row],[Quantity]]*2.5</f>
        <v>162.5</v>
      </c>
    </row>
    <row r="88" spans="1:11" x14ac:dyDescent="0.25">
      <c r="A88" s="31">
        <v>87</v>
      </c>
      <c r="B88" s="32">
        <f t="shared" si="3"/>
        <v>43496</v>
      </c>
      <c r="C88" s="32" t="s">
        <v>958</v>
      </c>
      <c r="D88" s="60" t="s">
        <v>955</v>
      </c>
      <c r="E88" s="27" t="s">
        <v>193</v>
      </c>
      <c r="F88" s="28" t="s">
        <v>194</v>
      </c>
      <c r="G88" s="27" t="s">
        <v>869</v>
      </c>
      <c r="H88" s="27" t="s">
        <v>871</v>
      </c>
      <c r="I88" s="35">
        <f t="shared" si="2"/>
        <v>44085</v>
      </c>
      <c r="J88" s="31">
        <v>74</v>
      </c>
      <c r="K88" s="33">
        <f>StockInData[[#This Row],[Quantity]]*2.5</f>
        <v>185</v>
      </c>
    </row>
    <row r="89" spans="1:11" x14ac:dyDescent="0.25">
      <c r="A89" s="31">
        <v>88</v>
      </c>
      <c r="B89" s="32">
        <f t="shared" si="3"/>
        <v>43497</v>
      </c>
      <c r="C89" s="32" t="s">
        <v>958</v>
      </c>
      <c r="D89" s="60" t="s">
        <v>955</v>
      </c>
      <c r="E89" s="27" t="s">
        <v>195</v>
      </c>
      <c r="F89" s="28" t="s">
        <v>196</v>
      </c>
      <c r="G89" s="27" t="s">
        <v>869</v>
      </c>
      <c r="H89" s="27" t="s">
        <v>871</v>
      </c>
      <c r="I89" s="35">
        <f t="shared" si="2"/>
        <v>44087</v>
      </c>
      <c r="J89" s="31">
        <v>84</v>
      </c>
      <c r="K89" s="33">
        <f>StockInData[[#This Row],[Quantity]]*2.5</f>
        <v>210</v>
      </c>
    </row>
    <row r="90" spans="1:11" x14ac:dyDescent="0.25">
      <c r="A90" s="31">
        <v>89</v>
      </c>
      <c r="B90" s="32">
        <f t="shared" si="3"/>
        <v>43498</v>
      </c>
      <c r="C90" s="32" t="s">
        <v>958</v>
      </c>
      <c r="D90" s="60" t="s">
        <v>955</v>
      </c>
      <c r="E90" s="27" t="s">
        <v>197</v>
      </c>
      <c r="F90" s="28" t="s">
        <v>198</v>
      </c>
      <c r="G90" s="27" t="s">
        <v>869</v>
      </c>
      <c r="H90" s="27" t="s">
        <v>871</v>
      </c>
      <c r="I90" s="35">
        <f t="shared" si="2"/>
        <v>44089</v>
      </c>
      <c r="J90" s="31">
        <v>99</v>
      </c>
      <c r="K90" s="33">
        <f>StockInData[[#This Row],[Quantity]]*2.5</f>
        <v>247.5</v>
      </c>
    </row>
    <row r="91" spans="1:11" x14ac:dyDescent="0.25">
      <c r="A91" s="31">
        <v>90</v>
      </c>
      <c r="B91" s="32">
        <f t="shared" si="3"/>
        <v>43499</v>
      </c>
      <c r="C91" s="32" t="s">
        <v>958</v>
      </c>
      <c r="D91" s="60" t="s">
        <v>955</v>
      </c>
      <c r="E91" s="27" t="s">
        <v>199</v>
      </c>
      <c r="F91" s="28" t="s">
        <v>200</v>
      </c>
      <c r="G91" s="27" t="s">
        <v>869</v>
      </c>
      <c r="H91" s="27" t="s">
        <v>871</v>
      </c>
      <c r="I91" s="35">
        <f t="shared" si="2"/>
        <v>44091</v>
      </c>
      <c r="J91" s="31">
        <v>101</v>
      </c>
      <c r="K91" s="33">
        <f>StockInData[[#This Row],[Quantity]]*2.5</f>
        <v>252.5</v>
      </c>
    </row>
    <row r="92" spans="1:11" x14ac:dyDescent="0.25">
      <c r="A92" s="31">
        <v>91</v>
      </c>
      <c r="B92" s="32">
        <f t="shared" si="3"/>
        <v>43500</v>
      </c>
      <c r="C92" s="32" t="s">
        <v>958</v>
      </c>
      <c r="D92" s="60" t="s">
        <v>955</v>
      </c>
      <c r="E92" s="27" t="s">
        <v>201</v>
      </c>
      <c r="F92" s="28" t="s">
        <v>202</v>
      </c>
      <c r="G92" s="27" t="s">
        <v>869</v>
      </c>
      <c r="H92" s="27" t="s">
        <v>871</v>
      </c>
      <c r="I92" s="35">
        <f t="shared" si="2"/>
        <v>44093</v>
      </c>
      <c r="J92" s="31">
        <v>60</v>
      </c>
      <c r="K92" s="33">
        <f>StockInData[[#This Row],[Quantity]]*2.5</f>
        <v>150</v>
      </c>
    </row>
    <row r="93" spans="1:11" x14ac:dyDescent="0.25">
      <c r="A93" s="31">
        <v>92</v>
      </c>
      <c r="B93" s="32">
        <f t="shared" si="3"/>
        <v>43501</v>
      </c>
      <c r="C93" s="32" t="s">
        <v>958</v>
      </c>
      <c r="D93" s="60" t="s">
        <v>955</v>
      </c>
      <c r="E93" s="27" t="s">
        <v>203</v>
      </c>
      <c r="F93" s="28" t="s">
        <v>204</v>
      </c>
      <c r="G93" s="27" t="s">
        <v>869</v>
      </c>
      <c r="H93" s="27" t="s">
        <v>871</v>
      </c>
      <c r="I93" s="35">
        <f t="shared" si="2"/>
        <v>44095</v>
      </c>
      <c r="J93" s="31">
        <v>40</v>
      </c>
      <c r="K93" s="33">
        <f>StockInData[[#This Row],[Quantity]]*2.5</f>
        <v>100</v>
      </c>
    </row>
    <row r="94" spans="1:11" x14ac:dyDescent="0.25">
      <c r="A94" s="31">
        <v>93</v>
      </c>
      <c r="B94" s="32">
        <f t="shared" si="3"/>
        <v>43502</v>
      </c>
      <c r="C94" s="32" t="s">
        <v>958</v>
      </c>
      <c r="D94" s="60" t="s">
        <v>955</v>
      </c>
      <c r="E94" s="27" t="s">
        <v>205</v>
      </c>
      <c r="F94" s="28" t="s">
        <v>206</v>
      </c>
      <c r="G94" s="27" t="s">
        <v>869</v>
      </c>
      <c r="H94" s="27" t="s">
        <v>871</v>
      </c>
      <c r="I94" s="35">
        <f t="shared" si="2"/>
        <v>44097</v>
      </c>
      <c r="J94" s="31">
        <v>30</v>
      </c>
      <c r="K94" s="33">
        <f>StockInData[[#This Row],[Quantity]]*2.5</f>
        <v>75</v>
      </c>
    </row>
    <row r="95" spans="1:11" x14ac:dyDescent="0.25">
      <c r="A95" s="31">
        <v>94</v>
      </c>
      <c r="B95" s="32">
        <f t="shared" si="3"/>
        <v>43503</v>
      </c>
      <c r="C95" s="32" t="s">
        <v>958</v>
      </c>
      <c r="D95" s="60" t="s">
        <v>955</v>
      </c>
      <c r="E95" s="27" t="s">
        <v>207</v>
      </c>
      <c r="F95" s="28" t="s">
        <v>208</v>
      </c>
      <c r="G95" s="27" t="s">
        <v>869</v>
      </c>
      <c r="H95" s="27" t="s">
        <v>871</v>
      </c>
      <c r="I95" s="35">
        <f t="shared" si="2"/>
        <v>44099</v>
      </c>
      <c r="J95" s="31">
        <v>25</v>
      </c>
      <c r="K95" s="33">
        <f>StockInData[[#This Row],[Quantity]]*2.5</f>
        <v>62.5</v>
      </c>
    </row>
    <row r="96" spans="1:11" x14ac:dyDescent="0.25">
      <c r="A96" s="31">
        <v>95</v>
      </c>
      <c r="B96" s="32">
        <f t="shared" si="3"/>
        <v>43504</v>
      </c>
      <c r="C96" s="32" t="s">
        <v>958</v>
      </c>
      <c r="D96" s="60" t="s">
        <v>955</v>
      </c>
      <c r="E96" s="27" t="s">
        <v>209</v>
      </c>
      <c r="F96" s="28" t="s">
        <v>210</v>
      </c>
      <c r="G96" s="27" t="s">
        <v>869</v>
      </c>
      <c r="H96" s="27" t="s">
        <v>871</v>
      </c>
      <c r="I96" s="35">
        <f t="shared" si="2"/>
        <v>44101</v>
      </c>
      <c r="J96" s="31">
        <v>20</v>
      </c>
      <c r="K96" s="33">
        <f>StockInData[[#This Row],[Quantity]]*2.5</f>
        <v>50</v>
      </c>
    </row>
    <row r="97" spans="1:11" x14ac:dyDescent="0.25">
      <c r="A97" s="31">
        <v>96</v>
      </c>
      <c r="B97" s="32">
        <f t="shared" si="3"/>
        <v>43505</v>
      </c>
      <c r="C97" s="32" t="s">
        <v>958</v>
      </c>
      <c r="D97" s="60" t="s">
        <v>955</v>
      </c>
      <c r="E97" s="27" t="s">
        <v>211</v>
      </c>
      <c r="F97" s="28" t="s">
        <v>212</v>
      </c>
      <c r="G97" s="27" t="s">
        <v>869</v>
      </c>
      <c r="H97" s="27" t="s">
        <v>871</v>
      </c>
      <c r="I97" s="35">
        <f t="shared" si="2"/>
        <v>44103</v>
      </c>
      <c r="J97" s="31">
        <v>19</v>
      </c>
      <c r="K97" s="33">
        <f>StockInData[[#This Row],[Quantity]]*2.5</f>
        <v>47.5</v>
      </c>
    </row>
    <row r="98" spans="1:11" x14ac:dyDescent="0.25">
      <c r="A98" s="31">
        <v>97</v>
      </c>
      <c r="B98" s="32">
        <f t="shared" si="3"/>
        <v>43506</v>
      </c>
      <c r="C98" s="32" t="s">
        <v>958</v>
      </c>
      <c r="D98" s="60" t="s">
        <v>955</v>
      </c>
      <c r="E98" s="27" t="s">
        <v>213</v>
      </c>
      <c r="F98" s="28" t="s">
        <v>214</v>
      </c>
      <c r="G98" s="27" t="s">
        <v>869</v>
      </c>
      <c r="H98" s="27" t="s">
        <v>871</v>
      </c>
      <c r="I98" s="35">
        <f t="shared" si="2"/>
        <v>44105</v>
      </c>
      <c r="J98" s="31">
        <v>100</v>
      </c>
      <c r="K98" s="33">
        <f>StockInData[[#This Row],[Quantity]]*2.5</f>
        <v>250</v>
      </c>
    </row>
    <row r="99" spans="1:11" x14ac:dyDescent="0.25">
      <c r="A99" s="31">
        <v>98</v>
      </c>
      <c r="B99" s="32">
        <f t="shared" si="3"/>
        <v>43507</v>
      </c>
      <c r="C99" s="32" t="s">
        <v>958</v>
      </c>
      <c r="D99" s="60" t="s">
        <v>955</v>
      </c>
      <c r="E99" s="27" t="s">
        <v>215</v>
      </c>
      <c r="F99" s="28" t="s">
        <v>216</v>
      </c>
      <c r="G99" s="27" t="s">
        <v>869</v>
      </c>
      <c r="H99" s="27" t="s">
        <v>871</v>
      </c>
      <c r="I99" s="35">
        <f t="shared" si="2"/>
        <v>44107</v>
      </c>
      <c r="J99" s="31">
        <v>100</v>
      </c>
      <c r="K99" s="33">
        <f>StockInData[[#This Row],[Quantity]]*2.5</f>
        <v>250</v>
      </c>
    </row>
    <row r="100" spans="1:11" x14ac:dyDescent="0.25">
      <c r="A100" s="31">
        <v>99</v>
      </c>
      <c r="B100" s="32">
        <f t="shared" si="3"/>
        <v>43508</v>
      </c>
      <c r="C100" s="32" t="s">
        <v>958</v>
      </c>
      <c r="D100" s="60" t="s">
        <v>955</v>
      </c>
      <c r="E100" s="27" t="s">
        <v>217</v>
      </c>
      <c r="F100" s="28" t="s">
        <v>218</v>
      </c>
      <c r="G100" s="27" t="s">
        <v>869</v>
      </c>
      <c r="H100" s="27" t="s">
        <v>871</v>
      </c>
      <c r="I100" s="35">
        <f t="shared" si="2"/>
        <v>44109</v>
      </c>
      <c r="J100" s="31">
        <v>100</v>
      </c>
      <c r="K100" s="33">
        <f>StockInData[[#This Row],[Quantity]]*2.5</f>
        <v>250</v>
      </c>
    </row>
    <row r="101" spans="1:11" x14ac:dyDescent="0.25">
      <c r="A101" s="31">
        <v>100</v>
      </c>
      <c r="B101" s="32">
        <f t="shared" si="3"/>
        <v>43509</v>
      </c>
      <c r="C101" s="32" t="s">
        <v>958</v>
      </c>
      <c r="D101" s="60" t="s">
        <v>955</v>
      </c>
      <c r="E101" s="27" t="s">
        <v>219</v>
      </c>
      <c r="F101" s="28" t="s">
        <v>220</v>
      </c>
      <c r="G101" s="27" t="s">
        <v>869</v>
      </c>
      <c r="H101" s="27" t="s">
        <v>871</v>
      </c>
      <c r="I101" s="35">
        <f t="shared" si="2"/>
        <v>44111</v>
      </c>
      <c r="J101" s="31">
        <v>100</v>
      </c>
      <c r="K101" s="33">
        <f>StockInData[[#This Row],[Quantity]]*2.5</f>
        <v>250</v>
      </c>
    </row>
    <row r="102" spans="1:11" x14ac:dyDescent="0.25">
      <c r="A102" s="31">
        <v>101</v>
      </c>
      <c r="B102" s="32">
        <f t="shared" si="3"/>
        <v>43510</v>
      </c>
      <c r="C102" s="32" t="s">
        <v>958</v>
      </c>
      <c r="D102" s="60" t="s">
        <v>955</v>
      </c>
      <c r="E102" s="27" t="s">
        <v>221</v>
      </c>
      <c r="F102" s="28" t="s">
        <v>222</v>
      </c>
      <c r="G102" s="27" t="s">
        <v>869</v>
      </c>
      <c r="H102" s="27" t="s">
        <v>871</v>
      </c>
      <c r="I102" s="35">
        <f t="shared" si="2"/>
        <v>44113</v>
      </c>
      <c r="J102" s="31">
        <v>40</v>
      </c>
      <c r="K102" s="33">
        <f>StockInData[[#This Row],[Quantity]]*2.5</f>
        <v>100</v>
      </c>
    </row>
    <row r="103" spans="1:11" x14ac:dyDescent="0.25">
      <c r="A103" s="31">
        <v>102</v>
      </c>
      <c r="B103" s="32">
        <f t="shared" si="3"/>
        <v>43511</v>
      </c>
      <c r="C103" s="32" t="s">
        <v>958</v>
      </c>
      <c r="D103" s="60" t="s">
        <v>955</v>
      </c>
      <c r="E103" s="27" t="s">
        <v>223</v>
      </c>
      <c r="F103" s="28" t="s">
        <v>224</v>
      </c>
      <c r="G103" s="27" t="s">
        <v>869</v>
      </c>
      <c r="H103" s="27" t="s">
        <v>871</v>
      </c>
      <c r="I103" s="35">
        <f t="shared" si="2"/>
        <v>44115</v>
      </c>
      <c r="J103" s="31">
        <v>30</v>
      </c>
      <c r="K103" s="33">
        <f>StockInData[[#This Row],[Quantity]]*2.5</f>
        <v>75</v>
      </c>
    </row>
    <row r="104" spans="1:11" x14ac:dyDescent="0.25">
      <c r="A104" s="31">
        <v>103</v>
      </c>
      <c r="B104" s="32">
        <f t="shared" si="3"/>
        <v>43512</v>
      </c>
      <c r="C104" s="32" t="s">
        <v>958</v>
      </c>
      <c r="D104" s="60" t="s">
        <v>955</v>
      </c>
      <c r="E104" s="27" t="s">
        <v>225</v>
      </c>
      <c r="F104" s="28" t="s">
        <v>226</v>
      </c>
      <c r="G104" s="27" t="s">
        <v>869</v>
      </c>
      <c r="H104" s="27" t="s">
        <v>871</v>
      </c>
      <c r="I104" s="35">
        <f t="shared" si="2"/>
        <v>44117</v>
      </c>
      <c r="J104" s="31">
        <v>25</v>
      </c>
      <c r="K104" s="33">
        <f>StockInData[[#This Row],[Quantity]]*2.5</f>
        <v>62.5</v>
      </c>
    </row>
    <row r="105" spans="1:11" x14ac:dyDescent="0.25">
      <c r="A105" s="31">
        <v>104</v>
      </c>
      <c r="B105" s="32">
        <f t="shared" si="3"/>
        <v>43513</v>
      </c>
      <c r="C105" s="32" t="s">
        <v>958</v>
      </c>
      <c r="D105" s="60" t="s">
        <v>955</v>
      </c>
      <c r="E105" s="27" t="s">
        <v>227</v>
      </c>
      <c r="F105" s="28" t="s">
        <v>228</v>
      </c>
      <c r="G105" s="27" t="s">
        <v>869</v>
      </c>
      <c r="H105" s="27" t="s">
        <v>871</v>
      </c>
      <c r="I105" s="35">
        <f t="shared" si="2"/>
        <v>44119</v>
      </c>
      <c r="J105" s="31">
        <v>20</v>
      </c>
      <c r="K105" s="33">
        <f>StockInData[[#This Row],[Quantity]]*2.5</f>
        <v>50</v>
      </c>
    </row>
    <row r="106" spans="1:11" x14ac:dyDescent="0.25">
      <c r="A106" s="31">
        <v>105</v>
      </c>
      <c r="B106" s="32">
        <f t="shared" si="3"/>
        <v>43514</v>
      </c>
      <c r="C106" s="32" t="s">
        <v>958</v>
      </c>
      <c r="D106" s="60" t="s">
        <v>955</v>
      </c>
      <c r="E106" s="27" t="s">
        <v>229</v>
      </c>
      <c r="F106" s="28" t="s">
        <v>230</v>
      </c>
      <c r="G106" s="27" t="s">
        <v>869</v>
      </c>
      <c r="H106" s="27" t="s">
        <v>871</v>
      </c>
      <c r="I106" s="35">
        <f t="shared" si="2"/>
        <v>44121</v>
      </c>
      <c r="J106" s="31">
        <v>19</v>
      </c>
      <c r="K106" s="33">
        <f>StockInData[[#This Row],[Quantity]]*2.5</f>
        <v>47.5</v>
      </c>
    </row>
    <row r="107" spans="1:11" x14ac:dyDescent="0.25">
      <c r="A107" s="31">
        <v>106</v>
      </c>
      <c r="B107" s="32">
        <f t="shared" si="3"/>
        <v>43515</v>
      </c>
      <c r="C107" s="32" t="s">
        <v>958</v>
      </c>
      <c r="D107" s="60" t="s">
        <v>955</v>
      </c>
      <c r="E107" s="27" t="s">
        <v>231</v>
      </c>
      <c r="F107" s="28" t="s">
        <v>232</v>
      </c>
      <c r="G107" s="27" t="s">
        <v>869</v>
      </c>
      <c r="H107" s="27" t="s">
        <v>871</v>
      </c>
      <c r="I107" s="35">
        <f t="shared" si="2"/>
        <v>44123</v>
      </c>
      <c r="J107" s="31">
        <v>23</v>
      </c>
      <c r="K107" s="33">
        <f>StockInData[[#This Row],[Quantity]]*2.5</f>
        <v>57.5</v>
      </c>
    </row>
    <row r="108" spans="1:11" x14ac:dyDescent="0.25">
      <c r="A108" s="31">
        <v>107</v>
      </c>
      <c r="B108" s="32">
        <f t="shared" si="3"/>
        <v>43516</v>
      </c>
      <c r="C108" s="32" t="s">
        <v>958</v>
      </c>
      <c r="D108" s="60" t="s">
        <v>955</v>
      </c>
      <c r="E108" s="27" t="s">
        <v>233</v>
      </c>
      <c r="F108" s="28" t="s">
        <v>234</v>
      </c>
      <c r="G108" s="27" t="s">
        <v>869</v>
      </c>
      <c r="H108" s="27" t="s">
        <v>871</v>
      </c>
      <c r="I108" s="35">
        <f t="shared" si="2"/>
        <v>44125</v>
      </c>
      <c r="J108" s="31">
        <v>65</v>
      </c>
      <c r="K108" s="33">
        <f>StockInData[[#This Row],[Quantity]]*2.5</f>
        <v>162.5</v>
      </c>
    </row>
    <row r="109" spans="1:11" x14ac:dyDescent="0.25">
      <c r="A109" s="31">
        <v>108</v>
      </c>
      <c r="B109" s="32">
        <f t="shared" si="3"/>
        <v>43517</v>
      </c>
      <c r="C109" s="32" t="s">
        <v>958</v>
      </c>
      <c r="D109" s="60" t="s">
        <v>955</v>
      </c>
      <c r="E109" s="27" t="s">
        <v>235</v>
      </c>
      <c r="F109" s="28" t="s">
        <v>236</v>
      </c>
      <c r="G109" s="27" t="s">
        <v>869</v>
      </c>
      <c r="H109" s="27" t="s">
        <v>871</v>
      </c>
      <c r="I109" s="35">
        <f t="shared" si="2"/>
        <v>44127</v>
      </c>
      <c r="J109" s="31">
        <v>74</v>
      </c>
      <c r="K109" s="33">
        <f>StockInData[[#This Row],[Quantity]]*2.5</f>
        <v>185</v>
      </c>
    </row>
    <row r="110" spans="1:11" x14ac:dyDescent="0.25">
      <c r="A110" s="31">
        <v>109</v>
      </c>
      <c r="B110" s="32">
        <f t="shared" si="3"/>
        <v>43518</v>
      </c>
      <c r="C110" s="32" t="s">
        <v>958</v>
      </c>
      <c r="D110" s="60" t="s">
        <v>955</v>
      </c>
      <c r="E110" s="27" t="s">
        <v>237</v>
      </c>
      <c r="F110" s="28" t="s">
        <v>238</v>
      </c>
      <c r="G110" s="27" t="s">
        <v>869</v>
      </c>
      <c r="H110" s="27" t="s">
        <v>871</v>
      </c>
      <c r="I110" s="35">
        <f t="shared" si="2"/>
        <v>44129</v>
      </c>
      <c r="J110" s="31">
        <v>84</v>
      </c>
      <c r="K110" s="33">
        <f>StockInData[[#This Row],[Quantity]]*2.5</f>
        <v>210</v>
      </c>
    </row>
    <row r="111" spans="1:11" x14ac:dyDescent="0.25">
      <c r="A111" s="31">
        <v>110</v>
      </c>
      <c r="B111" s="32">
        <f t="shared" si="3"/>
        <v>43519</v>
      </c>
      <c r="C111" s="32" t="s">
        <v>958</v>
      </c>
      <c r="D111" s="60" t="s">
        <v>955</v>
      </c>
      <c r="E111" s="27" t="s">
        <v>239</v>
      </c>
      <c r="F111" s="28" t="s">
        <v>240</v>
      </c>
      <c r="G111" s="27" t="s">
        <v>869</v>
      </c>
      <c r="H111" s="27" t="s">
        <v>871</v>
      </c>
      <c r="I111" s="35">
        <f t="shared" si="2"/>
        <v>44131</v>
      </c>
      <c r="J111" s="31">
        <v>99</v>
      </c>
      <c r="K111" s="33">
        <f>StockInData[[#This Row],[Quantity]]*2.5</f>
        <v>247.5</v>
      </c>
    </row>
    <row r="112" spans="1:11" x14ac:dyDescent="0.25">
      <c r="A112" s="31">
        <v>111</v>
      </c>
      <c r="B112" s="32">
        <f t="shared" si="3"/>
        <v>43520</v>
      </c>
      <c r="C112" s="32" t="s">
        <v>958</v>
      </c>
      <c r="D112" s="60" t="s">
        <v>955</v>
      </c>
      <c r="E112" s="27" t="s">
        <v>241</v>
      </c>
      <c r="F112" s="28" t="s">
        <v>242</v>
      </c>
      <c r="G112" s="27" t="s">
        <v>869</v>
      </c>
      <c r="H112" s="27" t="s">
        <v>871</v>
      </c>
      <c r="I112" s="35">
        <f t="shared" si="2"/>
        <v>44133</v>
      </c>
      <c r="J112" s="31">
        <v>101</v>
      </c>
      <c r="K112" s="33">
        <f>StockInData[[#This Row],[Quantity]]*2.5</f>
        <v>252.5</v>
      </c>
    </row>
    <row r="113" spans="1:11" x14ac:dyDescent="0.25">
      <c r="A113" s="31">
        <v>112</v>
      </c>
      <c r="B113" s="32">
        <f t="shared" si="3"/>
        <v>43521</v>
      </c>
      <c r="C113" s="32" t="s">
        <v>958</v>
      </c>
      <c r="D113" s="60" t="s">
        <v>955</v>
      </c>
      <c r="E113" s="27" t="s">
        <v>243</v>
      </c>
      <c r="F113" s="28" t="s">
        <v>244</v>
      </c>
      <c r="G113" s="27" t="s">
        <v>869</v>
      </c>
      <c r="H113" s="27" t="s">
        <v>871</v>
      </c>
      <c r="I113" s="35">
        <f t="shared" si="2"/>
        <v>44135</v>
      </c>
      <c r="J113" s="31">
        <v>60</v>
      </c>
      <c r="K113" s="33">
        <f>StockInData[[#This Row],[Quantity]]*2.5</f>
        <v>150</v>
      </c>
    </row>
    <row r="114" spans="1:11" x14ac:dyDescent="0.25">
      <c r="A114" s="31">
        <v>113</v>
      </c>
      <c r="B114" s="32">
        <f t="shared" si="3"/>
        <v>43522</v>
      </c>
      <c r="C114" s="32" t="s">
        <v>958</v>
      </c>
      <c r="D114" s="60" t="s">
        <v>955</v>
      </c>
      <c r="E114" s="27" t="s">
        <v>245</v>
      </c>
      <c r="F114" s="28" t="s">
        <v>246</v>
      </c>
      <c r="G114" s="27" t="s">
        <v>869</v>
      </c>
      <c r="H114" s="27" t="s">
        <v>871</v>
      </c>
      <c r="I114" s="35">
        <f t="shared" si="2"/>
        <v>44137</v>
      </c>
      <c r="J114" s="31">
        <v>40</v>
      </c>
      <c r="K114" s="33">
        <f>StockInData[[#This Row],[Quantity]]*2.5</f>
        <v>100</v>
      </c>
    </row>
    <row r="115" spans="1:11" x14ac:dyDescent="0.25">
      <c r="A115" s="31">
        <v>114</v>
      </c>
      <c r="B115" s="32">
        <f t="shared" si="3"/>
        <v>43523</v>
      </c>
      <c r="C115" s="32" t="s">
        <v>958</v>
      </c>
      <c r="D115" s="60" t="s">
        <v>955</v>
      </c>
      <c r="E115" s="27" t="s">
        <v>247</v>
      </c>
      <c r="F115" s="28" t="s">
        <v>248</v>
      </c>
      <c r="G115" s="27" t="s">
        <v>869</v>
      </c>
      <c r="H115" s="27" t="s">
        <v>871</v>
      </c>
      <c r="I115" s="35">
        <f t="shared" si="2"/>
        <v>44139</v>
      </c>
      <c r="J115" s="31">
        <v>30</v>
      </c>
      <c r="K115" s="33">
        <f>StockInData[[#This Row],[Quantity]]*2.5</f>
        <v>75</v>
      </c>
    </row>
    <row r="116" spans="1:11" x14ac:dyDescent="0.25">
      <c r="A116" s="31">
        <v>115</v>
      </c>
      <c r="B116" s="32">
        <f t="shared" si="3"/>
        <v>43524</v>
      </c>
      <c r="C116" s="32" t="s">
        <v>958</v>
      </c>
      <c r="D116" s="60" t="s">
        <v>955</v>
      </c>
      <c r="E116" s="27" t="s">
        <v>249</v>
      </c>
      <c r="F116" s="28" t="s">
        <v>250</v>
      </c>
      <c r="G116" s="27" t="s">
        <v>869</v>
      </c>
      <c r="H116" s="27" t="s">
        <v>871</v>
      </c>
      <c r="I116" s="35">
        <f t="shared" si="2"/>
        <v>44141</v>
      </c>
      <c r="J116" s="31">
        <v>25</v>
      </c>
      <c r="K116" s="33">
        <f>StockInData[[#This Row],[Quantity]]*2.5</f>
        <v>62.5</v>
      </c>
    </row>
    <row r="117" spans="1:11" x14ac:dyDescent="0.25">
      <c r="A117" s="31">
        <v>116</v>
      </c>
      <c r="B117" s="32">
        <f t="shared" si="3"/>
        <v>43525</v>
      </c>
      <c r="C117" s="32" t="s">
        <v>958</v>
      </c>
      <c r="D117" s="60" t="s">
        <v>955</v>
      </c>
      <c r="E117" s="27" t="s">
        <v>251</v>
      </c>
      <c r="F117" s="28" t="s">
        <v>252</v>
      </c>
      <c r="G117" s="27" t="s">
        <v>869</v>
      </c>
      <c r="H117" s="27" t="s">
        <v>871</v>
      </c>
      <c r="I117" s="35">
        <f t="shared" si="2"/>
        <v>44143</v>
      </c>
      <c r="J117" s="31">
        <v>20</v>
      </c>
      <c r="K117" s="33">
        <f>StockInData[[#This Row],[Quantity]]*2.5</f>
        <v>50</v>
      </c>
    </row>
    <row r="118" spans="1:11" x14ac:dyDescent="0.25">
      <c r="A118" s="31">
        <v>117</v>
      </c>
      <c r="B118" s="32">
        <f t="shared" si="3"/>
        <v>43526</v>
      </c>
      <c r="C118" s="32" t="s">
        <v>958</v>
      </c>
      <c r="D118" s="60" t="s">
        <v>955</v>
      </c>
      <c r="E118" s="27" t="s">
        <v>253</v>
      </c>
      <c r="F118" s="28" t="s">
        <v>254</v>
      </c>
      <c r="G118" s="27" t="s">
        <v>869</v>
      </c>
      <c r="H118" s="27" t="s">
        <v>871</v>
      </c>
      <c r="I118" s="35">
        <f t="shared" si="2"/>
        <v>44145</v>
      </c>
      <c r="J118" s="31">
        <v>19</v>
      </c>
      <c r="K118" s="33">
        <f>StockInData[[#This Row],[Quantity]]*2.5</f>
        <v>47.5</v>
      </c>
    </row>
    <row r="119" spans="1:11" x14ac:dyDescent="0.25">
      <c r="A119" s="31">
        <v>118</v>
      </c>
      <c r="B119" s="32">
        <f t="shared" si="3"/>
        <v>43527</v>
      </c>
      <c r="C119" s="32" t="s">
        <v>958</v>
      </c>
      <c r="D119" s="60" t="s">
        <v>955</v>
      </c>
      <c r="E119" s="27" t="s">
        <v>255</v>
      </c>
      <c r="F119" s="28" t="s">
        <v>256</v>
      </c>
      <c r="G119" s="27" t="s">
        <v>869</v>
      </c>
      <c r="H119" s="27" t="s">
        <v>871</v>
      </c>
      <c r="I119" s="35">
        <f t="shared" si="2"/>
        <v>44147</v>
      </c>
      <c r="J119" s="31">
        <v>23</v>
      </c>
      <c r="K119" s="33">
        <f>StockInData[[#This Row],[Quantity]]*2.5</f>
        <v>57.5</v>
      </c>
    </row>
    <row r="120" spans="1:11" x14ac:dyDescent="0.25">
      <c r="A120" s="31">
        <v>119</v>
      </c>
      <c r="B120" s="32">
        <f t="shared" si="3"/>
        <v>43528</v>
      </c>
      <c r="C120" s="32" t="s">
        <v>958</v>
      </c>
      <c r="D120" s="60" t="s">
        <v>955</v>
      </c>
      <c r="E120" s="27" t="s">
        <v>257</v>
      </c>
      <c r="F120" s="28" t="s">
        <v>258</v>
      </c>
      <c r="G120" s="27" t="s">
        <v>869</v>
      </c>
      <c r="H120" s="27" t="s">
        <v>871</v>
      </c>
      <c r="I120" s="35">
        <f t="shared" si="2"/>
        <v>44149</v>
      </c>
      <c r="J120" s="31">
        <v>65</v>
      </c>
      <c r="K120" s="33">
        <f>StockInData[[#This Row],[Quantity]]*2.5</f>
        <v>162.5</v>
      </c>
    </row>
    <row r="121" spans="1:11" x14ac:dyDescent="0.25">
      <c r="A121" s="31">
        <v>120</v>
      </c>
      <c r="B121" s="32">
        <f t="shared" si="3"/>
        <v>43529</v>
      </c>
      <c r="C121" s="32" t="s">
        <v>958</v>
      </c>
      <c r="D121" s="60" t="s">
        <v>955</v>
      </c>
      <c r="E121" s="27" t="s">
        <v>259</v>
      </c>
      <c r="F121" s="28" t="s">
        <v>260</v>
      </c>
      <c r="G121" s="27" t="s">
        <v>869</v>
      </c>
      <c r="H121" s="27" t="s">
        <v>871</v>
      </c>
      <c r="I121" s="35">
        <f t="shared" si="2"/>
        <v>44151</v>
      </c>
      <c r="J121" s="31">
        <v>74</v>
      </c>
      <c r="K121" s="33">
        <f>StockInData[[#This Row],[Quantity]]*2.5</f>
        <v>185</v>
      </c>
    </row>
    <row r="122" spans="1:11" x14ac:dyDescent="0.25">
      <c r="A122" s="31">
        <v>121</v>
      </c>
      <c r="B122" s="32">
        <f t="shared" si="3"/>
        <v>43530</v>
      </c>
      <c r="C122" s="32" t="s">
        <v>958</v>
      </c>
      <c r="D122" s="60" t="s">
        <v>955</v>
      </c>
      <c r="E122" s="27" t="s">
        <v>261</v>
      </c>
      <c r="F122" s="28" t="s">
        <v>262</v>
      </c>
      <c r="G122" s="27" t="s">
        <v>869</v>
      </c>
      <c r="H122" s="27" t="s">
        <v>871</v>
      </c>
      <c r="I122" s="35">
        <f t="shared" si="2"/>
        <v>44153</v>
      </c>
      <c r="J122" s="31">
        <v>84</v>
      </c>
      <c r="K122" s="33">
        <f>StockInData[[#This Row],[Quantity]]*2.5</f>
        <v>210</v>
      </c>
    </row>
    <row r="123" spans="1:11" x14ac:dyDescent="0.25">
      <c r="A123" s="31">
        <v>122</v>
      </c>
      <c r="B123" s="32">
        <f t="shared" si="3"/>
        <v>43531</v>
      </c>
      <c r="C123" s="32" t="s">
        <v>958</v>
      </c>
      <c r="D123" s="60" t="s">
        <v>955</v>
      </c>
      <c r="E123" s="27" t="s">
        <v>263</v>
      </c>
      <c r="F123" s="28" t="s">
        <v>264</v>
      </c>
      <c r="G123" s="27" t="s">
        <v>869</v>
      </c>
      <c r="H123" s="27" t="s">
        <v>871</v>
      </c>
      <c r="I123" s="35">
        <f t="shared" si="2"/>
        <v>44155</v>
      </c>
      <c r="J123" s="31">
        <v>99</v>
      </c>
      <c r="K123" s="33">
        <f>StockInData[[#This Row],[Quantity]]*2.5</f>
        <v>247.5</v>
      </c>
    </row>
    <row r="124" spans="1:11" x14ac:dyDescent="0.25">
      <c r="A124" s="31">
        <v>123</v>
      </c>
      <c r="B124" s="32">
        <f t="shared" si="3"/>
        <v>43532</v>
      </c>
      <c r="C124" s="32" t="s">
        <v>959</v>
      </c>
      <c r="D124" s="60" t="s">
        <v>956</v>
      </c>
      <c r="E124" s="27" t="s">
        <v>265</v>
      </c>
      <c r="F124" s="28" t="s">
        <v>266</v>
      </c>
      <c r="G124" s="27" t="s">
        <v>869</v>
      </c>
      <c r="H124" s="27" t="s">
        <v>871</v>
      </c>
      <c r="I124" s="35">
        <f t="shared" si="2"/>
        <v>44157</v>
      </c>
      <c r="J124" s="31">
        <v>101</v>
      </c>
      <c r="K124" s="33">
        <f>StockInData[[#This Row],[Quantity]]*2.5</f>
        <v>252.5</v>
      </c>
    </row>
    <row r="125" spans="1:11" x14ac:dyDescent="0.25">
      <c r="A125" s="31">
        <v>124</v>
      </c>
      <c r="B125" s="32">
        <f t="shared" si="3"/>
        <v>43533</v>
      </c>
      <c r="C125" s="32" t="s">
        <v>959</v>
      </c>
      <c r="D125" s="60" t="s">
        <v>956</v>
      </c>
      <c r="E125" s="27" t="s">
        <v>267</v>
      </c>
      <c r="F125" s="28" t="s">
        <v>268</v>
      </c>
      <c r="G125" s="27" t="s">
        <v>869</v>
      </c>
      <c r="H125" s="27" t="s">
        <v>871</v>
      </c>
      <c r="I125" s="35">
        <f t="shared" si="2"/>
        <v>44159</v>
      </c>
      <c r="J125" s="31">
        <v>60</v>
      </c>
      <c r="K125" s="33">
        <f>StockInData[[#This Row],[Quantity]]*2.5</f>
        <v>150</v>
      </c>
    </row>
    <row r="126" spans="1:11" x14ac:dyDescent="0.25">
      <c r="A126" s="31">
        <v>125</v>
      </c>
      <c r="B126" s="32">
        <f t="shared" si="3"/>
        <v>43534</v>
      </c>
      <c r="C126" s="32" t="s">
        <v>959</v>
      </c>
      <c r="D126" s="60" t="s">
        <v>956</v>
      </c>
      <c r="E126" s="27" t="s">
        <v>269</v>
      </c>
      <c r="F126" s="28" t="s">
        <v>270</v>
      </c>
      <c r="G126" s="27" t="s">
        <v>869</v>
      </c>
      <c r="H126" s="27" t="s">
        <v>871</v>
      </c>
      <c r="I126" s="35">
        <f t="shared" si="2"/>
        <v>44161</v>
      </c>
      <c r="J126" s="31">
        <v>40</v>
      </c>
      <c r="K126" s="33">
        <f>StockInData[[#This Row],[Quantity]]*2.5</f>
        <v>100</v>
      </c>
    </row>
    <row r="127" spans="1:11" x14ac:dyDescent="0.25">
      <c r="A127" s="31">
        <v>126</v>
      </c>
      <c r="B127" s="32">
        <f t="shared" si="3"/>
        <v>43535</v>
      </c>
      <c r="C127" s="32" t="s">
        <v>959</v>
      </c>
      <c r="D127" s="60" t="s">
        <v>956</v>
      </c>
      <c r="E127" s="27" t="s">
        <v>271</v>
      </c>
      <c r="F127" s="28" t="s">
        <v>272</v>
      </c>
      <c r="G127" s="27" t="s">
        <v>869</v>
      </c>
      <c r="H127" s="27" t="s">
        <v>871</v>
      </c>
      <c r="I127" s="35">
        <f t="shared" si="2"/>
        <v>44163</v>
      </c>
      <c r="J127" s="31">
        <v>30</v>
      </c>
      <c r="K127" s="33">
        <f>StockInData[[#This Row],[Quantity]]*2.5</f>
        <v>75</v>
      </c>
    </row>
    <row r="128" spans="1:11" x14ac:dyDescent="0.25">
      <c r="A128" s="31">
        <v>127</v>
      </c>
      <c r="B128" s="32">
        <f t="shared" si="3"/>
        <v>43536</v>
      </c>
      <c r="C128" s="32" t="s">
        <v>959</v>
      </c>
      <c r="D128" s="60" t="s">
        <v>956</v>
      </c>
      <c r="E128" s="27" t="s">
        <v>273</v>
      </c>
      <c r="F128" s="28" t="s">
        <v>274</v>
      </c>
      <c r="G128" s="27" t="s">
        <v>869</v>
      </c>
      <c r="H128" s="27" t="s">
        <v>871</v>
      </c>
      <c r="I128" s="35">
        <f t="shared" si="2"/>
        <v>44165</v>
      </c>
      <c r="J128" s="31">
        <v>25</v>
      </c>
      <c r="K128" s="33">
        <f>StockInData[[#This Row],[Quantity]]*2.5</f>
        <v>62.5</v>
      </c>
    </row>
    <row r="129" spans="1:11" x14ac:dyDescent="0.25">
      <c r="A129" s="31">
        <v>128</v>
      </c>
      <c r="B129" s="32">
        <f t="shared" si="3"/>
        <v>43537</v>
      </c>
      <c r="C129" s="32" t="s">
        <v>959</v>
      </c>
      <c r="D129" s="60" t="s">
        <v>956</v>
      </c>
      <c r="E129" s="27" t="s">
        <v>275</v>
      </c>
      <c r="F129" s="28" t="s">
        <v>276</v>
      </c>
      <c r="G129" s="27" t="s">
        <v>869</v>
      </c>
      <c r="H129" s="27" t="s">
        <v>871</v>
      </c>
      <c r="I129" s="35">
        <f t="shared" si="2"/>
        <v>44167</v>
      </c>
      <c r="J129" s="31">
        <v>20</v>
      </c>
      <c r="K129" s="33">
        <f>StockInData[[#This Row],[Quantity]]*2.5</f>
        <v>50</v>
      </c>
    </row>
    <row r="130" spans="1:11" x14ac:dyDescent="0.25">
      <c r="A130" s="31">
        <v>129</v>
      </c>
      <c r="B130" s="32">
        <f t="shared" si="3"/>
        <v>43538</v>
      </c>
      <c r="C130" s="32" t="s">
        <v>959</v>
      </c>
      <c r="D130" s="60" t="s">
        <v>956</v>
      </c>
      <c r="E130" s="27" t="s">
        <v>277</v>
      </c>
      <c r="F130" s="28" t="s">
        <v>278</v>
      </c>
      <c r="G130" s="27" t="s">
        <v>869</v>
      </c>
      <c r="H130" s="27" t="s">
        <v>871</v>
      </c>
      <c r="I130" s="35">
        <f t="shared" si="2"/>
        <v>44169</v>
      </c>
      <c r="J130" s="31">
        <v>19</v>
      </c>
      <c r="K130" s="33">
        <f>StockInData[[#This Row],[Quantity]]*2.5</f>
        <v>47.5</v>
      </c>
    </row>
    <row r="131" spans="1:11" x14ac:dyDescent="0.25">
      <c r="A131" s="31">
        <v>130</v>
      </c>
      <c r="B131" s="32">
        <f t="shared" si="3"/>
        <v>43539</v>
      </c>
      <c r="C131" s="32" t="s">
        <v>959</v>
      </c>
      <c r="D131" s="60" t="s">
        <v>956</v>
      </c>
      <c r="E131" s="27" t="s">
        <v>279</v>
      </c>
      <c r="F131" s="28" t="s">
        <v>280</v>
      </c>
      <c r="G131" s="27" t="s">
        <v>869</v>
      </c>
      <c r="H131" s="27" t="s">
        <v>871</v>
      </c>
      <c r="I131" s="35">
        <f t="shared" si="2"/>
        <v>44171</v>
      </c>
      <c r="J131" s="31">
        <v>23</v>
      </c>
      <c r="K131" s="33">
        <f>StockInData[[#This Row],[Quantity]]*2.5</f>
        <v>57.5</v>
      </c>
    </row>
    <row r="132" spans="1:11" x14ac:dyDescent="0.25">
      <c r="A132" s="31">
        <v>131</v>
      </c>
      <c r="B132" s="32">
        <f t="shared" si="3"/>
        <v>43540</v>
      </c>
      <c r="C132" s="32" t="s">
        <v>959</v>
      </c>
      <c r="D132" s="60" t="s">
        <v>956</v>
      </c>
      <c r="E132" s="27" t="s">
        <v>281</v>
      </c>
      <c r="F132" s="28" t="s">
        <v>282</v>
      </c>
      <c r="G132" s="27" t="s">
        <v>869</v>
      </c>
      <c r="H132" s="27" t="s">
        <v>871</v>
      </c>
      <c r="I132" s="35">
        <f t="shared" ref="I132:I195" si="4">I131+2</f>
        <v>44173</v>
      </c>
      <c r="J132" s="31">
        <v>65</v>
      </c>
      <c r="K132" s="33">
        <f>StockInData[[#This Row],[Quantity]]*2.5</f>
        <v>162.5</v>
      </c>
    </row>
    <row r="133" spans="1:11" x14ac:dyDescent="0.25">
      <c r="A133" s="31">
        <v>132</v>
      </c>
      <c r="B133" s="32">
        <f t="shared" ref="B133:B196" si="5">B132+1</f>
        <v>43541</v>
      </c>
      <c r="C133" s="32" t="s">
        <v>959</v>
      </c>
      <c r="D133" s="60" t="s">
        <v>956</v>
      </c>
      <c r="E133" s="27" t="s">
        <v>283</v>
      </c>
      <c r="F133" s="28" t="s">
        <v>284</v>
      </c>
      <c r="G133" s="27" t="s">
        <v>869</v>
      </c>
      <c r="H133" s="27" t="s">
        <v>871</v>
      </c>
      <c r="I133" s="35">
        <f t="shared" si="4"/>
        <v>44175</v>
      </c>
      <c r="J133" s="31">
        <v>74</v>
      </c>
      <c r="K133" s="33">
        <f>StockInData[[#This Row],[Quantity]]*2.5</f>
        <v>185</v>
      </c>
    </row>
    <row r="134" spans="1:11" x14ac:dyDescent="0.25">
      <c r="A134" s="31">
        <v>133</v>
      </c>
      <c r="B134" s="32">
        <f t="shared" si="5"/>
        <v>43542</v>
      </c>
      <c r="C134" s="32" t="s">
        <v>959</v>
      </c>
      <c r="D134" s="60" t="s">
        <v>956</v>
      </c>
      <c r="E134" s="27" t="s">
        <v>285</v>
      </c>
      <c r="F134" s="28" t="s">
        <v>286</v>
      </c>
      <c r="G134" s="27" t="s">
        <v>869</v>
      </c>
      <c r="H134" s="27" t="s">
        <v>871</v>
      </c>
      <c r="I134" s="35">
        <f t="shared" si="4"/>
        <v>44177</v>
      </c>
      <c r="J134" s="31">
        <v>84</v>
      </c>
      <c r="K134" s="33">
        <f>StockInData[[#This Row],[Quantity]]*2.5</f>
        <v>210</v>
      </c>
    </row>
    <row r="135" spans="1:11" x14ac:dyDescent="0.25">
      <c r="A135" s="31">
        <v>134</v>
      </c>
      <c r="B135" s="32">
        <f t="shared" si="5"/>
        <v>43543</v>
      </c>
      <c r="C135" s="32" t="s">
        <v>959</v>
      </c>
      <c r="D135" s="60" t="s">
        <v>956</v>
      </c>
      <c r="E135" s="27" t="s">
        <v>287</v>
      </c>
      <c r="F135" s="28" t="s">
        <v>288</v>
      </c>
      <c r="G135" s="27" t="s">
        <v>869</v>
      </c>
      <c r="H135" s="27" t="s">
        <v>871</v>
      </c>
      <c r="I135" s="35">
        <f t="shared" si="4"/>
        <v>44179</v>
      </c>
      <c r="J135" s="31">
        <v>99</v>
      </c>
      <c r="K135" s="33">
        <f>StockInData[[#This Row],[Quantity]]*2.5</f>
        <v>247.5</v>
      </c>
    </row>
    <row r="136" spans="1:11" x14ac:dyDescent="0.25">
      <c r="A136" s="31">
        <v>135</v>
      </c>
      <c r="B136" s="32">
        <f t="shared" si="5"/>
        <v>43544</v>
      </c>
      <c r="C136" s="32" t="s">
        <v>959</v>
      </c>
      <c r="D136" s="60" t="s">
        <v>956</v>
      </c>
      <c r="E136" s="27" t="s">
        <v>289</v>
      </c>
      <c r="F136" s="28" t="s">
        <v>290</v>
      </c>
      <c r="G136" s="27" t="s">
        <v>869</v>
      </c>
      <c r="H136" s="27" t="s">
        <v>871</v>
      </c>
      <c r="I136" s="35">
        <f t="shared" si="4"/>
        <v>44181</v>
      </c>
      <c r="J136" s="31">
        <v>101</v>
      </c>
      <c r="K136" s="33">
        <f>StockInData[[#This Row],[Quantity]]*2.5</f>
        <v>252.5</v>
      </c>
    </row>
    <row r="137" spans="1:11" x14ac:dyDescent="0.25">
      <c r="A137" s="31">
        <v>136</v>
      </c>
      <c r="B137" s="32">
        <f t="shared" si="5"/>
        <v>43545</v>
      </c>
      <c r="C137" s="32" t="s">
        <v>959</v>
      </c>
      <c r="D137" s="60" t="s">
        <v>956</v>
      </c>
      <c r="E137" s="27" t="s">
        <v>291</v>
      </c>
      <c r="F137" s="28" t="s">
        <v>292</v>
      </c>
      <c r="G137" s="27" t="s">
        <v>869</v>
      </c>
      <c r="H137" s="27" t="s">
        <v>871</v>
      </c>
      <c r="I137" s="35">
        <f t="shared" si="4"/>
        <v>44183</v>
      </c>
      <c r="J137" s="31">
        <v>100</v>
      </c>
      <c r="K137" s="33">
        <f>StockInData[[#This Row],[Quantity]]*2.5</f>
        <v>250</v>
      </c>
    </row>
    <row r="138" spans="1:11" x14ac:dyDescent="0.25">
      <c r="A138" s="31">
        <v>137</v>
      </c>
      <c r="B138" s="32">
        <f t="shared" si="5"/>
        <v>43546</v>
      </c>
      <c r="C138" s="32" t="s">
        <v>959</v>
      </c>
      <c r="D138" s="60" t="s">
        <v>956</v>
      </c>
      <c r="E138" s="27" t="s">
        <v>293</v>
      </c>
      <c r="F138" s="28" t="s">
        <v>294</v>
      </c>
      <c r="G138" s="27" t="s">
        <v>869</v>
      </c>
      <c r="H138" s="27" t="s">
        <v>871</v>
      </c>
      <c r="I138" s="35">
        <f t="shared" si="4"/>
        <v>44185</v>
      </c>
      <c r="J138" s="31">
        <v>60</v>
      </c>
      <c r="K138" s="33">
        <f>StockInData[[#This Row],[Quantity]]*2.5</f>
        <v>150</v>
      </c>
    </row>
    <row r="139" spans="1:11" x14ac:dyDescent="0.25">
      <c r="A139" s="31">
        <v>138</v>
      </c>
      <c r="B139" s="32">
        <f t="shared" si="5"/>
        <v>43547</v>
      </c>
      <c r="C139" s="32" t="s">
        <v>959</v>
      </c>
      <c r="D139" s="60" t="s">
        <v>956</v>
      </c>
      <c r="E139" s="27" t="s">
        <v>295</v>
      </c>
      <c r="F139" s="28" t="s">
        <v>296</v>
      </c>
      <c r="G139" s="27" t="s">
        <v>869</v>
      </c>
      <c r="H139" s="27" t="s">
        <v>871</v>
      </c>
      <c r="I139" s="35">
        <f t="shared" si="4"/>
        <v>44187</v>
      </c>
      <c r="J139" s="31">
        <v>40</v>
      </c>
      <c r="K139" s="33">
        <f>StockInData[[#This Row],[Quantity]]*2.5</f>
        <v>100</v>
      </c>
    </row>
    <row r="140" spans="1:11" x14ac:dyDescent="0.25">
      <c r="A140" s="31">
        <v>139</v>
      </c>
      <c r="B140" s="32">
        <f t="shared" si="5"/>
        <v>43548</v>
      </c>
      <c r="C140" s="32" t="s">
        <v>959</v>
      </c>
      <c r="D140" s="60" t="s">
        <v>956</v>
      </c>
      <c r="E140" s="27" t="s">
        <v>297</v>
      </c>
      <c r="F140" s="28" t="s">
        <v>298</v>
      </c>
      <c r="G140" s="27" t="s">
        <v>869</v>
      </c>
      <c r="H140" s="27" t="s">
        <v>871</v>
      </c>
      <c r="I140" s="35">
        <f t="shared" si="4"/>
        <v>44189</v>
      </c>
      <c r="J140" s="31">
        <v>30</v>
      </c>
      <c r="K140" s="33">
        <f>StockInData[[#This Row],[Quantity]]*2.5</f>
        <v>75</v>
      </c>
    </row>
    <row r="141" spans="1:11" x14ac:dyDescent="0.25">
      <c r="A141" s="31">
        <v>140</v>
      </c>
      <c r="B141" s="32">
        <f t="shared" si="5"/>
        <v>43549</v>
      </c>
      <c r="C141" s="32" t="s">
        <v>959</v>
      </c>
      <c r="D141" s="60" t="s">
        <v>956</v>
      </c>
      <c r="E141" s="27" t="s">
        <v>299</v>
      </c>
      <c r="F141" s="28" t="s">
        <v>300</v>
      </c>
      <c r="G141" s="27" t="s">
        <v>869</v>
      </c>
      <c r="H141" s="27" t="s">
        <v>871</v>
      </c>
      <c r="I141" s="35">
        <f t="shared" si="4"/>
        <v>44191</v>
      </c>
      <c r="J141" s="31">
        <v>25</v>
      </c>
      <c r="K141" s="33">
        <f>StockInData[[#This Row],[Quantity]]*2.5</f>
        <v>62.5</v>
      </c>
    </row>
    <row r="142" spans="1:11" x14ac:dyDescent="0.25">
      <c r="A142" s="31">
        <v>141</v>
      </c>
      <c r="B142" s="32">
        <f t="shared" si="5"/>
        <v>43550</v>
      </c>
      <c r="C142" s="32" t="s">
        <v>959</v>
      </c>
      <c r="D142" s="60" t="s">
        <v>956</v>
      </c>
      <c r="E142" s="27" t="s">
        <v>301</v>
      </c>
      <c r="F142" s="28" t="s">
        <v>302</v>
      </c>
      <c r="G142" s="27" t="s">
        <v>869</v>
      </c>
      <c r="H142" s="27" t="s">
        <v>871</v>
      </c>
      <c r="I142" s="35">
        <f t="shared" si="4"/>
        <v>44193</v>
      </c>
      <c r="J142" s="31">
        <v>20</v>
      </c>
      <c r="K142" s="33">
        <f>StockInData[[#This Row],[Quantity]]*2.5</f>
        <v>50</v>
      </c>
    </row>
    <row r="143" spans="1:11" x14ac:dyDescent="0.25">
      <c r="A143" s="31">
        <v>142</v>
      </c>
      <c r="B143" s="32">
        <f t="shared" si="5"/>
        <v>43551</v>
      </c>
      <c r="C143" s="32" t="s">
        <v>959</v>
      </c>
      <c r="D143" s="60" t="s">
        <v>956</v>
      </c>
      <c r="E143" s="27" t="s">
        <v>303</v>
      </c>
      <c r="F143" s="28" t="s">
        <v>304</v>
      </c>
      <c r="G143" s="27" t="s">
        <v>869</v>
      </c>
      <c r="H143" s="27" t="s">
        <v>871</v>
      </c>
      <c r="I143" s="35">
        <f t="shared" si="4"/>
        <v>44195</v>
      </c>
      <c r="J143" s="31">
        <v>19</v>
      </c>
      <c r="K143" s="33">
        <f>StockInData[[#This Row],[Quantity]]*2.5</f>
        <v>47.5</v>
      </c>
    </row>
    <row r="144" spans="1:11" x14ac:dyDescent="0.25">
      <c r="A144" s="31">
        <v>143</v>
      </c>
      <c r="B144" s="32">
        <f t="shared" si="5"/>
        <v>43552</v>
      </c>
      <c r="C144" s="32" t="s">
        <v>959</v>
      </c>
      <c r="D144" s="60" t="s">
        <v>956</v>
      </c>
      <c r="E144" s="27" t="s">
        <v>305</v>
      </c>
      <c r="F144" s="28" t="s">
        <v>306</v>
      </c>
      <c r="G144" s="27" t="s">
        <v>869</v>
      </c>
      <c r="H144" s="27" t="s">
        <v>871</v>
      </c>
      <c r="I144" s="35">
        <f t="shared" si="4"/>
        <v>44197</v>
      </c>
      <c r="J144" s="31">
        <v>23</v>
      </c>
      <c r="K144" s="33">
        <f>StockInData[[#This Row],[Quantity]]*2.5</f>
        <v>57.5</v>
      </c>
    </row>
    <row r="145" spans="1:11" x14ac:dyDescent="0.25">
      <c r="A145" s="31">
        <v>144</v>
      </c>
      <c r="B145" s="32">
        <f t="shared" si="5"/>
        <v>43553</v>
      </c>
      <c r="C145" s="32" t="s">
        <v>959</v>
      </c>
      <c r="D145" s="60" t="s">
        <v>956</v>
      </c>
      <c r="E145" s="27" t="s">
        <v>307</v>
      </c>
      <c r="F145" s="28" t="s">
        <v>308</v>
      </c>
      <c r="G145" s="27" t="s">
        <v>869</v>
      </c>
      <c r="H145" s="27" t="s">
        <v>871</v>
      </c>
      <c r="I145" s="35">
        <f t="shared" si="4"/>
        <v>44199</v>
      </c>
      <c r="J145" s="31">
        <v>65</v>
      </c>
      <c r="K145" s="33">
        <f>StockInData[[#This Row],[Quantity]]*2.5</f>
        <v>162.5</v>
      </c>
    </row>
    <row r="146" spans="1:11" x14ac:dyDescent="0.25">
      <c r="A146" s="31">
        <v>145</v>
      </c>
      <c r="B146" s="32">
        <f t="shared" si="5"/>
        <v>43554</v>
      </c>
      <c r="C146" s="32" t="s">
        <v>959</v>
      </c>
      <c r="D146" s="60" t="s">
        <v>956</v>
      </c>
      <c r="E146" s="27" t="s">
        <v>309</v>
      </c>
      <c r="F146" s="28" t="s">
        <v>310</v>
      </c>
      <c r="G146" s="27" t="s">
        <v>869</v>
      </c>
      <c r="H146" s="27" t="s">
        <v>871</v>
      </c>
      <c r="I146" s="35">
        <f t="shared" si="4"/>
        <v>44201</v>
      </c>
      <c r="J146" s="31">
        <v>74</v>
      </c>
      <c r="K146" s="33">
        <f>StockInData[[#This Row],[Quantity]]*2.5</f>
        <v>185</v>
      </c>
    </row>
    <row r="147" spans="1:11" x14ac:dyDescent="0.25">
      <c r="A147" s="31">
        <v>146</v>
      </c>
      <c r="B147" s="32">
        <f t="shared" si="5"/>
        <v>43555</v>
      </c>
      <c r="C147" s="32" t="s">
        <v>959</v>
      </c>
      <c r="D147" s="60" t="s">
        <v>956</v>
      </c>
      <c r="E147" s="27" t="s">
        <v>311</v>
      </c>
      <c r="F147" s="28" t="s">
        <v>312</v>
      </c>
      <c r="G147" s="27" t="s">
        <v>869</v>
      </c>
      <c r="H147" s="27" t="s">
        <v>871</v>
      </c>
      <c r="I147" s="35">
        <f t="shared" si="4"/>
        <v>44203</v>
      </c>
      <c r="J147" s="31">
        <v>84</v>
      </c>
      <c r="K147" s="33">
        <f>StockInData[[#This Row],[Quantity]]*2.5</f>
        <v>210</v>
      </c>
    </row>
    <row r="148" spans="1:11" x14ac:dyDescent="0.25">
      <c r="A148" s="31">
        <v>147</v>
      </c>
      <c r="B148" s="32">
        <f t="shared" si="5"/>
        <v>43556</v>
      </c>
      <c r="C148" s="32" t="s">
        <v>959</v>
      </c>
      <c r="D148" s="60" t="s">
        <v>956</v>
      </c>
      <c r="E148" s="27" t="s">
        <v>313</v>
      </c>
      <c r="F148" s="28" t="s">
        <v>314</v>
      </c>
      <c r="G148" s="27" t="s">
        <v>869</v>
      </c>
      <c r="H148" s="27" t="s">
        <v>871</v>
      </c>
      <c r="I148" s="35">
        <f t="shared" si="4"/>
        <v>44205</v>
      </c>
      <c r="J148" s="31">
        <v>99</v>
      </c>
      <c r="K148" s="33">
        <f>StockInData[[#This Row],[Quantity]]*2.5</f>
        <v>247.5</v>
      </c>
    </row>
    <row r="149" spans="1:11" x14ac:dyDescent="0.25">
      <c r="A149" s="31">
        <v>148</v>
      </c>
      <c r="B149" s="32">
        <f t="shared" si="5"/>
        <v>43557</v>
      </c>
      <c r="C149" s="32" t="s">
        <v>959</v>
      </c>
      <c r="D149" s="60" t="s">
        <v>956</v>
      </c>
      <c r="E149" s="27" t="s">
        <v>315</v>
      </c>
      <c r="F149" s="28" t="s">
        <v>316</v>
      </c>
      <c r="G149" s="27" t="s">
        <v>869</v>
      </c>
      <c r="H149" s="27" t="s">
        <v>871</v>
      </c>
      <c r="I149" s="35">
        <f t="shared" si="4"/>
        <v>44207</v>
      </c>
      <c r="J149" s="31">
        <v>101</v>
      </c>
      <c r="K149" s="33">
        <f>StockInData[[#This Row],[Quantity]]*2.5</f>
        <v>252.5</v>
      </c>
    </row>
    <row r="150" spans="1:11" x14ac:dyDescent="0.25">
      <c r="A150" s="31">
        <v>149</v>
      </c>
      <c r="B150" s="32">
        <f t="shared" si="5"/>
        <v>43558</v>
      </c>
      <c r="C150" s="32" t="s">
        <v>959</v>
      </c>
      <c r="D150" s="60" t="s">
        <v>956</v>
      </c>
      <c r="E150" s="27" t="s">
        <v>317</v>
      </c>
      <c r="F150" s="28" t="s">
        <v>318</v>
      </c>
      <c r="G150" s="27" t="s">
        <v>869</v>
      </c>
      <c r="H150" s="27" t="s">
        <v>871</v>
      </c>
      <c r="I150" s="35">
        <f t="shared" si="4"/>
        <v>44209</v>
      </c>
      <c r="J150" s="31">
        <v>100</v>
      </c>
      <c r="K150" s="33">
        <f>StockInData[[#This Row],[Quantity]]*2.5</f>
        <v>250</v>
      </c>
    </row>
    <row r="151" spans="1:11" x14ac:dyDescent="0.25">
      <c r="A151" s="31">
        <v>150</v>
      </c>
      <c r="B151" s="32">
        <f t="shared" si="5"/>
        <v>43559</v>
      </c>
      <c r="C151" s="32" t="s">
        <v>959</v>
      </c>
      <c r="D151" s="60" t="s">
        <v>956</v>
      </c>
      <c r="E151" s="27" t="s">
        <v>319</v>
      </c>
      <c r="F151" s="28" t="s">
        <v>320</v>
      </c>
      <c r="G151" s="27" t="s">
        <v>869</v>
      </c>
      <c r="H151" s="27" t="s">
        <v>871</v>
      </c>
      <c r="I151" s="35">
        <f t="shared" si="4"/>
        <v>44211</v>
      </c>
      <c r="J151" s="31">
        <v>100</v>
      </c>
      <c r="K151" s="33">
        <f>StockInData[[#This Row],[Quantity]]*2.5</f>
        <v>250</v>
      </c>
    </row>
    <row r="152" spans="1:11" x14ac:dyDescent="0.25">
      <c r="A152" s="31">
        <v>151</v>
      </c>
      <c r="B152" s="32">
        <f t="shared" si="5"/>
        <v>43560</v>
      </c>
      <c r="C152" s="32" t="s">
        <v>959</v>
      </c>
      <c r="D152" s="60" t="s">
        <v>956</v>
      </c>
      <c r="E152" s="27" t="s">
        <v>321</v>
      </c>
      <c r="F152" s="28" t="s">
        <v>322</v>
      </c>
      <c r="G152" s="27" t="s">
        <v>869</v>
      </c>
      <c r="H152" s="27" t="s">
        <v>871</v>
      </c>
      <c r="I152" s="35">
        <f t="shared" si="4"/>
        <v>44213</v>
      </c>
      <c r="J152" s="31">
        <v>100</v>
      </c>
      <c r="K152" s="33">
        <f>StockInData[[#This Row],[Quantity]]*2.5</f>
        <v>250</v>
      </c>
    </row>
    <row r="153" spans="1:11" x14ac:dyDescent="0.25">
      <c r="A153" s="31">
        <v>152</v>
      </c>
      <c r="B153" s="32">
        <f t="shared" si="5"/>
        <v>43561</v>
      </c>
      <c r="C153" s="32" t="s">
        <v>959</v>
      </c>
      <c r="D153" s="60" t="s">
        <v>956</v>
      </c>
      <c r="E153" s="27" t="s">
        <v>323</v>
      </c>
      <c r="F153" s="28" t="s">
        <v>324</v>
      </c>
      <c r="G153" s="27" t="s">
        <v>869</v>
      </c>
      <c r="H153" s="27" t="s">
        <v>871</v>
      </c>
      <c r="I153" s="35">
        <f t="shared" si="4"/>
        <v>44215</v>
      </c>
      <c r="J153" s="31">
        <v>40</v>
      </c>
      <c r="K153" s="33">
        <f>StockInData[[#This Row],[Quantity]]*2.5</f>
        <v>100</v>
      </c>
    </row>
    <row r="154" spans="1:11" x14ac:dyDescent="0.25">
      <c r="A154" s="31">
        <v>153</v>
      </c>
      <c r="B154" s="32">
        <f t="shared" si="5"/>
        <v>43562</v>
      </c>
      <c r="C154" s="32" t="s">
        <v>959</v>
      </c>
      <c r="D154" s="60" t="s">
        <v>956</v>
      </c>
      <c r="E154" s="27" t="s">
        <v>325</v>
      </c>
      <c r="F154" s="28" t="s">
        <v>326</v>
      </c>
      <c r="G154" s="27" t="s">
        <v>869</v>
      </c>
      <c r="H154" s="27" t="s">
        <v>871</v>
      </c>
      <c r="I154" s="35">
        <f t="shared" si="4"/>
        <v>44217</v>
      </c>
      <c r="J154" s="31">
        <v>30</v>
      </c>
      <c r="K154" s="33">
        <f>StockInData[[#This Row],[Quantity]]*2.5</f>
        <v>75</v>
      </c>
    </row>
    <row r="155" spans="1:11" x14ac:dyDescent="0.25">
      <c r="A155" s="31">
        <v>154</v>
      </c>
      <c r="B155" s="32">
        <f t="shared" si="5"/>
        <v>43563</v>
      </c>
      <c r="C155" s="32" t="s">
        <v>959</v>
      </c>
      <c r="D155" s="60" t="s">
        <v>956</v>
      </c>
      <c r="E155" s="27" t="s">
        <v>327</v>
      </c>
      <c r="F155" s="28" t="s">
        <v>328</v>
      </c>
      <c r="G155" s="27" t="s">
        <v>869</v>
      </c>
      <c r="H155" s="27" t="s">
        <v>871</v>
      </c>
      <c r="I155" s="35">
        <f t="shared" si="4"/>
        <v>44219</v>
      </c>
      <c r="J155" s="31">
        <v>25</v>
      </c>
      <c r="K155" s="33">
        <f>StockInData[[#This Row],[Quantity]]*2.5</f>
        <v>62.5</v>
      </c>
    </row>
    <row r="156" spans="1:11" x14ac:dyDescent="0.25">
      <c r="A156" s="31">
        <v>155</v>
      </c>
      <c r="B156" s="32">
        <f t="shared" si="5"/>
        <v>43564</v>
      </c>
      <c r="C156" s="32" t="s">
        <v>959</v>
      </c>
      <c r="D156" s="60" t="s">
        <v>956</v>
      </c>
      <c r="E156" s="27" t="s">
        <v>329</v>
      </c>
      <c r="F156" s="28" t="s">
        <v>330</v>
      </c>
      <c r="G156" s="27" t="s">
        <v>869</v>
      </c>
      <c r="H156" s="27" t="s">
        <v>871</v>
      </c>
      <c r="I156" s="35">
        <f t="shared" si="4"/>
        <v>44221</v>
      </c>
      <c r="J156" s="31">
        <v>20</v>
      </c>
      <c r="K156" s="33">
        <f>StockInData[[#This Row],[Quantity]]*2.5</f>
        <v>50</v>
      </c>
    </row>
    <row r="157" spans="1:11" x14ac:dyDescent="0.25">
      <c r="A157" s="31">
        <v>156</v>
      </c>
      <c r="B157" s="32">
        <f t="shared" si="5"/>
        <v>43565</v>
      </c>
      <c r="C157" s="32" t="s">
        <v>959</v>
      </c>
      <c r="D157" s="60" t="s">
        <v>956</v>
      </c>
      <c r="E157" s="27" t="s">
        <v>331</v>
      </c>
      <c r="F157" s="28" t="s">
        <v>332</v>
      </c>
      <c r="G157" s="27" t="s">
        <v>869</v>
      </c>
      <c r="H157" s="27" t="s">
        <v>871</v>
      </c>
      <c r="I157" s="35">
        <f t="shared" si="4"/>
        <v>44223</v>
      </c>
      <c r="J157" s="31">
        <v>19</v>
      </c>
      <c r="K157" s="33">
        <f>StockInData[[#This Row],[Quantity]]*2.5</f>
        <v>47.5</v>
      </c>
    </row>
    <row r="158" spans="1:11" x14ac:dyDescent="0.25">
      <c r="A158" s="31">
        <v>157</v>
      </c>
      <c r="B158" s="32">
        <f t="shared" si="5"/>
        <v>43566</v>
      </c>
      <c r="C158" s="32" t="s">
        <v>959</v>
      </c>
      <c r="D158" s="60" t="s">
        <v>956</v>
      </c>
      <c r="E158" s="27" t="s">
        <v>333</v>
      </c>
      <c r="F158" s="28" t="s">
        <v>334</v>
      </c>
      <c r="G158" s="27" t="s">
        <v>869</v>
      </c>
      <c r="H158" s="27" t="s">
        <v>871</v>
      </c>
      <c r="I158" s="35">
        <f t="shared" si="4"/>
        <v>44225</v>
      </c>
      <c r="J158" s="31">
        <v>23</v>
      </c>
      <c r="K158" s="33">
        <f>StockInData[[#This Row],[Quantity]]*2.5</f>
        <v>57.5</v>
      </c>
    </row>
    <row r="159" spans="1:11" x14ac:dyDescent="0.25">
      <c r="A159" s="31">
        <v>158</v>
      </c>
      <c r="B159" s="32">
        <f t="shared" si="5"/>
        <v>43567</v>
      </c>
      <c r="C159" s="32" t="s">
        <v>959</v>
      </c>
      <c r="D159" s="60" t="s">
        <v>956</v>
      </c>
      <c r="E159" s="27" t="s">
        <v>335</v>
      </c>
      <c r="F159" s="28" t="s">
        <v>336</v>
      </c>
      <c r="G159" s="27" t="s">
        <v>869</v>
      </c>
      <c r="H159" s="27" t="s">
        <v>871</v>
      </c>
      <c r="I159" s="35">
        <f t="shared" si="4"/>
        <v>44227</v>
      </c>
      <c r="J159" s="31">
        <v>65</v>
      </c>
      <c r="K159" s="33">
        <f>StockInData[[#This Row],[Quantity]]*2.5</f>
        <v>162.5</v>
      </c>
    </row>
    <row r="160" spans="1:11" x14ac:dyDescent="0.25">
      <c r="A160" s="31">
        <v>159</v>
      </c>
      <c r="B160" s="32">
        <f t="shared" si="5"/>
        <v>43568</v>
      </c>
      <c r="C160" s="32" t="s">
        <v>959</v>
      </c>
      <c r="D160" s="60" t="s">
        <v>956</v>
      </c>
      <c r="E160" s="27" t="s">
        <v>337</v>
      </c>
      <c r="F160" s="28" t="s">
        <v>338</v>
      </c>
      <c r="G160" s="27" t="s">
        <v>869</v>
      </c>
      <c r="H160" s="27" t="s">
        <v>871</v>
      </c>
      <c r="I160" s="35">
        <f t="shared" si="4"/>
        <v>44229</v>
      </c>
      <c r="J160" s="31">
        <v>74</v>
      </c>
      <c r="K160" s="33">
        <f>StockInData[[#This Row],[Quantity]]*2.5</f>
        <v>185</v>
      </c>
    </row>
    <row r="161" spans="1:11" x14ac:dyDescent="0.25">
      <c r="A161" s="31">
        <v>160</v>
      </c>
      <c r="B161" s="32">
        <f t="shared" si="5"/>
        <v>43569</v>
      </c>
      <c r="C161" s="32" t="s">
        <v>959</v>
      </c>
      <c r="D161" s="60" t="s">
        <v>956</v>
      </c>
      <c r="E161" s="27" t="s">
        <v>339</v>
      </c>
      <c r="F161" s="28" t="s">
        <v>340</v>
      </c>
      <c r="G161" s="27" t="s">
        <v>869</v>
      </c>
      <c r="H161" s="27" t="s">
        <v>871</v>
      </c>
      <c r="I161" s="35">
        <f t="shared" si="4"/>
        <v>44231</v>
      </c>
      <c r="J161" s="31">
        <v>84</v>
      </c>
      <c r="K161" s="33">
        <f>StockInData[[#This Row],[Quantity]]*2.5</f>
        <v>210</v>
      </c>
    </row>
    <row r="162" spans="1:11" x14ac:dyDescent="0.25">
      <c r="A162" s="31">
        <v>161</v>
      </c>
      <c r="B162" s="32">
        <f t="shared" si="5"/>
        <v>43570</v>
      </c>
      <c r="C162" s="32" t="s">
        <v>959</v>
      </c>
      <c r="D162" s="60" t="s">
        <v>956</v>
      </c>
      <c r="E162" s="27" t="s">
        <v>341</v>
      </c>
      <c r="F162" s="28" t="s">
        <v>342</v>
      </c>
      <c r="G162" s="27" t="s">
        <v>869</v>
      </c>
      <c r="H162" s="27" t="s">
        <v>871</v>
      </c>
      <c r="I162" s="35">
        <f t="shared" si="4"/>
        <v>44233</v>
      </c>
      <c r="J162" s="31">
        <v>99</v>
      </c>
      <c r="K162" s="33">
        <f>StockInData[[#This Row],[Quantity]]*2.5</f>
        <v>247.5</v>
      </c>
    </row>
    <row r="163" spans="1:11" x14ac:dyDescent="0.25">
      <c r="A163" s="31">
        <v>162</v>
      </c>
      <c r="B163" s="32">
        <f t="shared" si="5"/>
        <v>43571</v>
      </c>
      <c r="C163" s="32" t="s">
        <v>959</v>
      </c>
      <c r="D163" s="60" t="s">
        <v>956</v>
      </c>
      <c r="E163" s="27" t="s">
        <v>343</v>
      </c>
      <c r="F163" s="28" t="s">
        <v>344</v>
      </c>
      <c r="G163" s="27" t="s">
        <v>869</v>
      </c>
      <c r="H163" s="27" t="s">
        <v>871</v>
      </c>
      <c r="I163" s="35">
        <f t="shared" si="4"/>
        <v>44235</v>
      </c>
      <c r="J163" s="31">
        <v>101</v>
      </c>
      <c r="K163" s="33">
        <f>StockInData[[#This Row],[Quantity]]*2.5</f>
        <v>252.5</v>
      </c>
    </row>
    <row r="164" spans="1:11" x14ac:dyDescent="0.25">
      <c r="A164" s="31">
        <v>163</v>
      </c>
      <c r="B164" s="32">
        <f t="shared" si="5"/>
        <v>43572</v>
      </c>
      <c r="C164" s="32" t="s">
        <v>959</v>
      </c>
      <c r="D164" s="60" t="s">
        <v>956</v>
      </c>
      <c r="E164" s="27" t="s">
        <v>345</v>
      </c>
      <c r="F164" s="28" t="s">
        <v>346</v>
      </c>
      <c r="G164" s="27" t="s">
        <v>869</v>
      </c>
      <c r="H164" s="27" t="s">
        <v>871</v>
      </c>
      <c r="I164" s="35">
        <f t="shared" si="4"/>
        <v>44237</v>
      </c>
      <c r="J164" s="31">
        <v>60</v>
      </c>
      <c r="K164" s="33">
        <f>StockInData[[#This Row],[Quantity]]*2.5</f>
        <v>150</v>
      </c>
    </row>
    <row r="165" spans="1:11" x14ac:dyDescent="0.25">
      <c r="A165" s="31">
        <v>164</v>
      </c>
      <c r="B165" s="32">
        <f t="shared" si="5"/>
        <v>43573</v>
      </c>
      <c r="C165" s="32" t="s">
        <v>959</v>
      </c>
      <c r="D165" s="60" t="s">
        <v>956</v>
      </c>
      <c r="E165" s="27" t="s">
        <v>347</v>
      </c>
      <c r="F165" s="28" t="s">
        <v>348</v>
      </c>
      <c r="G165" s="27" t="s">
        <v>869</v>
      </c>
      <c r="H165" s="27" t="s">
        <v>871</v>
      </c>
      <c r="I165" s="35">
        <f t="shared" si="4"/>
        <v>44239</v>
      </c>
      <c r="J165" s="31">
        <v>40</v>
      </c>
      <c r="K165" s="33">
        <f>StockInData[[#This Row],[Quantity]]*2.5</f>
        <v>100</v>
      </c>
    </row>
    <row r="166" spans="1:11" x14ac:dyDescent="0.25">
      <c r="A166" s="31">
        <v>165</v>
      </c>
      <c r="B166" s="32">
        <f t="shared" si="5"/>
        <v>43574</v>
      </c>
      <c r="C166" s="32" t="s">
        <v>959</v>
      </c>
      <c r="D166" s="60" t="s">
        <v>956</v>
      </c>
      <c r="E166" s="27" t="s">
        <v>349</v>
      </c>
      <c r="F166" s="28" t="s">
        <v>350</v>
      </c>
      <c r="G166" s="27" t="s">
        <v>869</v>
      </c>
      <c r="H166" s="27" t="s">
        <v>871</v>
      </c>
      <c r="I166" s="35">
        <f t="shared" si="4"/>
        <v>44241</v>
      </c>
      <c r="J166" s="31">
        <v>30</v>
      </c>
      <c r="K166" s="33">
        <f>StockInData[[#This Row],[Quantity]]*2.5</f>
        <v>75</v>
      </c>
    </row>
    <row r="167" spans="1:11" x14ac:dyDescent="0.25">
      <c r="A167" s="31">
        <v>166</v>
      </c>
      <c r="B167" s="32">
        <f t="shared" si="5"/>
        <v>43575</v>
      </c>
      <c r="C167" s="32" t="s">
        <v>959</v>
      </c>
      <c r="D167" s="60" t="s">
        <v>956</v>
      </c>
      <c r="E167" s="27" t="s">
        <v>351</v>
      </c>
      <c r="F167" s="28" t="s">
        <v>352</v>
      </c>
      <c r="G167" s="27" t="s">
        <v>869</v>
      </c>
      <c r="H167" s="27" t="s">
        <v>871</v>
      </c>
      <c r="I167" s="35">
        <f t="shared" si="4"/>
        <v>44243</v>
      </c>
      <c r="J167" s="31">
        <v>25</v>
      </c>
      <c r="K167" s="33">
        <f>StockInData[[#This Row],[Quantity]]*2.5</f>
        <v>62.5</v>
      </c>
    </row>
    <row r="168" spans="1:11" x14ac:dyDescent="0.25">
      <c r="A168" s="31">
        <v>167</v>
      </c>
      <c r="B168" s="32">
        <f t="shared" si="5"/>
        <v>43576</v>
      </c>
      <c r="C168" s="32" t="s">
        <v>959</v>
      </c>
      <c r="D168" s="60" t="s">
        <v>956</v>
      </c>
      <c r="E168" s="27" t="s">
        <v>353</v>
      </c>
      <c r="F168" s="28" t="s">
        <v>354</v>
      </c>
      <c r="G168" s="27" t="s">
        <v>869</v>
      </c>
      <c r="H168" s="27" t="s">
        <v>871</v>
      </c>
      <c r="I168" s="35">
        <f t="shared" si="4"/>
        <v>44245</v>
      </c>
      <c r="J168" s="31">
        <v>20</v>
      </c>
      <c r="K168" s="33">
        <f>StockInData[[#This Row],[Quantity]]*2.5</f>
        <v>50</v>
      </c>
    </row>
    <row r="169" spans="1:11" x14ac:dyDescent="0.25">
      <c r="A169" s="31">
        <v>168</v>
      </c>
      <c r="B169" s="32">
        <f t="shared" si="5"/>
        <v>43577</v>
      </c>
      <c r="C169" s="32" t="s">
        <v>959</v>
      </c>
      <c r="D169" s="60" t="s">
        <v>956</v>
      </c>
      <c r="E169" s="27" t="s">
        <v>355</v>
      </c>
      <c r="F169" s="28" t="s">
        <v>356</v>
      </c>
      <c r="G169" s="27" t="s">
        <v>869</v>
      </c>
      <c r="H169" s="27" t="s">
        <v>871</v>
      </c>
      <c r="I169" s="35">
        <f t="shared" si="4"/>
        <v>44247</v>
      </c>
      <c r="J169" s="31">
        <v>19</v>
      </c>
      <c r="K169" s="33">
        <f>StockInData[[#This Row],[Quantity]]*2.5</f>
        <v>47.5</v>
      </c>
    </row>
    <row r="170" spans="1:11" x14ac:dyDescent="0.25">
      <c r="A170" s="31">
        <v>169</v>
      </c>
      <c r="B170" s="32">
        <f t="shared" si="5"/>
        <v>43578</v>
      </c>
      <c r="C170" s="32" t="s">
        <v>959</v>
      </c>
      <c r="D170" s="60" t="s">
        <v>956</v>
      </c>
      <c r="E170" s="27" t="s">
        <v>357</v>
      </c>
      <c r="F170" s="28" t="s">
        <v>358</v>
      </c>
      <c r="G170" s="27" t="s">
        <v>869</v>
      </c>
      <c r="H170" s="27" t="s">
        <v>871</v>
      </c>
      <c r="I170" s="35">
        <f t="shared" si="4"/>
        <v>44249</v>
      </c>
      <c r="J170" s="31">
        <v>23</v>
      </c>
      <c r="K170" s="33">
        <f>StockInData[[#This Row],[Quantity]]*2.5</f>
        <v>57.5</v>
      </c>
    </row>
    <row r="171" spans="1:11" x14ac:dyDescent="0.25">
      <c r="A171" s="31">
        <v>170</v>
      </c>
      <c r="B171" s="32">
        <f t="shared" si="5"/>
        <v>43579</v>
      </c>
      <c r="C171" s="32" t="s">
        <v>959</v>
      </c>
      <c r="D171" s="60" t="s">
        <v>956</v>
      </c>
      <c r="E171" s="27" t="s">
        <v>359</v>
      </c>
      <c r="F171" s="28" t="s">
        <v>360</v>
      </c>
      <c r="G171" s="27" t="s">
        <v>869</v>
      </c>
      <c r="H171" s="27" t="s">
        <v>871</v>
      </c>
      <c r="I171" s="35">
        <f t="shared" si="4"/>
        <v>44251</v>
      </c>
      <c r="J171" s="31">
        <v>65</v>
      </c>
      <c r="K171" s="33">
        <f>StockInData[[#This Row],[Quantity]]*2.5</f>
        <v>162.5</v>
      </c>
    </row>
    <row r="172" spans="1:11" x14ac:dyDescent="0.25">
      <c r="A172" s="31">
        <v>171</v>
      </c>
      <c r="B172" s="32">
        <f t="shared" si="5"/>
        <v>43580</v>
      </c>
      <c r="C172" s="32" t="s">
        <v>959</v>
      </c>
      <c r="D172" s="60" t="s">
        <v>956</v>
      </c>
      <c r="E172" s="27" t="s">
        <v>361</v>
      </c>
      <c r="F172" s="28" t="s">
        <v>362</v>
      </c>
      <c r="G172" s="27" t="s">
        <v>869</v>
      </c>
      <c r="H172" s="27" t="s">
        <v>871</v>
      </c>
      <c r="I172" s="35">
        <f t="shared" si="4"/>
        <v>44253</v>
      </c>
      <c r="J172" s="31">
        <v>74</v>
      </c>
      <c r="K172" s="33">
        <f>StockInData[[#This Row],[Quantity]]*2.5</f>
        <v>185</v>
      </c>
    </row>
    <row r="173" spans="1:11" x14ac:dyDescent="0.25">
      <c r="A173" s="31">
        <v>172</v>
      </c>
      <c r="B173" s="32">
        <f t="shared" si="5"/>
        <v>43581</v>
      </c>
      <c r="C173" s="32" t="s">
        <v>959</v>
      </c>
      <c r="D173" s="60" t="s">
        <v>956</v>
      </c>
      <c r="E173" s="27" t="s">
        <v>363</v>
      </c>
      <c r="F173" s="28" t="s">
        <v>364</v>
      </c>
      <c r="G173" s="27" t="s">
        <v>869</v>
      </c>
      <c r="H173" s="27" t="s">
        <v>871</v>
      </c>
      <c r="I173" s="35">
        <f t="shared" si="4"/>
        <v>44255</v>
      </c>
      <c r="J173" s="31">
        <v>84</v>
      </c>
      <c r="K173" s="33">
        <f>StockInData[[#This Row],[Quantity]]*2.5</f>
        <v>210</v>
      </c>
    </row>
    <row r="174" spans="1:11" x14ac:dyDescent="0.25">
      <c r="A174" s="31">
        <v>173</v>
      </c>
      <c r="B174" s="32">
        <f t="shared" si="5"/>
        <v>43582</v>
      </c>
      <c r="C174" s="32" t="s">
        <v>959</v>
      </c>
      <c r="D174" s="60" t="s">
        <v>956</v>
      </c>
      <c r="E174" s="27" t="s">
        <v>365</v>
      </c>
      <c r="F174" s="28" t="s">
        <v>366</v>
      </c>
      <c r="G174" s="27" t="s">
        <v>869</v>
      </c>
      <c r="H174" s="27" t="s">
        <v>871</v>
      </c>
      <c r="I174" s="35">
        <f t="shared" si="4"/>
        <v>44257</v>
      </c>
      <c r="J174" s="31">
        <v>99</v>
      </c>
      <c r="K174" s="33">
        <f>StockInData[[#This Row],[Quantity]]*2.5</f>
        <v>247.5</v>
      </c>
    </row>
    <row r="175" spans="1:11" x14ac:dyDescent="0.25">
      <c r="A175" s="31">
        <v>174</v>
      </c>
      <c r="B175" s="32">
        <f t="shared" si="5"/>
        <v>43583</v>
      </c>
      <c r="C175" s="32" t="s">
        <v>959</v>
      </c>
      <c r="D175" s="60" t="s">
        <v>956</v>
      </c>
      <c r="E175" s="27" t="s">
        <v>367</v>
      </c>
      <c r="F175" s="28" t="s">
        <v>368</v>
      </c>
      <c r="G175" s="27" t="s">
        <v>869</v>
      </c>
      <c r="H175" s="27" t="s">
        <v>871</v>
      </c>
      <c r="I175" s="35">
        <f t="shared" si="4"/>
        <v>44259</v>
      </c>
      <c r="J175" s="31">
        <v>101</v>
      </c>
      <c r="K175" s="33">
        <f>StockInData[[#This Row],[Quantity]]*2.5</f>
        <v>252.5</v>
      </c>
    </row>
    <row r="176" spans="1:11" x14ac:dyDescent="0.25">
      <c r="A176" s="31">
        <v>175</v>
      </c>
      <c r="B176" s="32">
        <f t="shared" si="5"/>
        <v>43584</v>
      </c>
      <c r="C176" s="32" t="s">
        <v>959</v>
      </c>
      <c r="D176" s="60" t="s">
        <v>956</v>
      </c>
      <c r="E176" s="27" t="s">
        <v>369</v>
      </c>
      <c r="F176" s="28" t="s">
        <v>370</v>
      </c>
      <c r="G176" s="27" t="s">
        <v>869</v>
      </c>
      <c r="H176" s="27" t="s">
        <v>871</v>
      </c>
      <c r="I176" s="35">
        <f t="shared" si="4"/>
        <v>44261</v>
      </c>
      <c r="J176" s="31">
        <v>60</v>
      </c>
      <c r="K176" s="33">
        <f>StockInData[[#This Row],[Quantity]]*2.5</f>
        <v>150</v>
      </c>
    </row>
    <row r="177" spans="1:11" x14ac:dyDescent="0.25">
      <c r="A177" s="31">
        <v>176</v>
      </c>
      <c r="B177" s="32">
        <f t="shared" si="5"/>
        <v>43585</v>
      </c>
      <c r="C177" s="32" t="s">
        <v>959</v>
      </c>
      <c r="D177" s="60" t="s">
        <v>956</v>
      </c>
      <c r="E177" s="27" t="s">
        <v>371</v>
      </c>
      <c r="F177" s="28" t="s">
        <v>372</v>
      </c>
      <c r="G177" s="27" t="s">
        <v>869</v>
      </c>
      <c r="H177" s="27" t="s">
        <v>871</v>
      </c>
      <c r="I177" s="35">
        <f t="shared" si="4"/>
        <v>44263</v>
      </c>
      <c r="J177" s="31">
        <v>40</v>
      </c>
      <c r="K177" s="33">
        <f>StockInData[[#This Row],[Quantity]]*2.5</f>
        <v>100</v>
      </c>
    </row>
    <row r="178" spans="1:11" x14ac:dyDescent="0.25">
      <c r="A178" s="31">
        <v>177</v>
      </c>
      <c r="B178" s="32">
        <f t="shared" si="5"/>
        <v>43586</v>
      </c>
      <c r="C178" s="32" t="s">
        <v>959</v>
      </c>
      <c r="D178" s="60" t="s">
        <v>956</v>
      </c>
      <c r="E178" s="27" t="s">
        <v>373</v>
      </c>
      <c r="F178" s="28" t="s">
        <v>374</v>
      </c>
      <c r="G178" s="27" t="s">
        <v>869</v>
      </c>
      <c r="H178" s="27" t="s">
        <v>871</v>
      </c>
      <c r="I178" s="35">
        <f t="shared" si="4"/>
        <v>44265</v>
      </c>
      <c r="J178" s="31">
        <v>30</v>
      </c>
      <c r="K178" s="33">
        <f>StockInData[[#This Row],[Quantity]]*2.5</f>
        <v>75</v>
      </c>
    </row>
    <row r="179" spans="1:11" x14ac:dyDescent="0.25">
      <c r="A179" s="31">
        <v>178</v>
      </c>
      <c r="B179" s="32">
        <f t="shared" si="5"/>
        <v>43587</v>
      </c>
      <c r="C179" s="32" t="s">
        <v>959</v>
      </c>
      <c r="D179" s="60" t="s">
        <v>956</v>
      </c>
      <c r="E179" s="27" t="s">
        <v>375</v>
      </c>
      <c r="F179" s="28" t="s">
        <v>376</v>
      </c>
      <c r="G179" s="27" t="s">
        <v>869</v>
      </c>
      <c r="H179" s="27" t="s">
        <v>871</v>
      </c>
      <c r="I179" s="35">
        <f t="shared" si="4"/>
        <v>44267</v>
      </c>
      <c r="J179" s="31">
        <v>25</v>
      </c>
      <c r="K179" s="33">
        <f>StockInData[[#This Row],[Quantity]]*2.5</f>
        <v>62.5</v>
      </c>
    </row>
    <row r="180" spans="1:11" x14ac:dyDescent="0.25">
      <c r="A180" s="31">
        <v>179</v>
      </c>
      <c r="B180" s="32">
        <f t="shared" si="5"/>
        <v>43588</v>
      </c>
      <c r="C180" s="32" t="s">
        <v>959</v>
      </c>
      <c r="D180" s="60" t="s">
        <v>956</v>
      </c>
      <c r="E180" s="27" t="s">
        <v>377</v>
      </c>
      <c r="F180" s="28" t="s">
        <v>378</v>
      </c>
      <c r="G180" s="27" t="s">
        <v>869</v>
      </c>
      <c r="H180" s="27" t="s">
        <v>871</v>
      </c>
      <c r="I180" s="35">
        <f t="shared" si="4"/>
        <v>44269</v>
      </c>
      <c r="J180" s="31">
        <v>20</v>
      </c>
      <c r="K180" s="33">
        <f>StockInData[[#This Row],[Quantity]]*2.5</f>
        <v>50</v>
      </c>
    </row>
    <row r="181" spans="1:11" x14ac:dyDescent="0.25">
      <c r="A181" s="31">
        <v>180</v>
      </c>
      <c r="B181" s="32">
        <f t="shared" si="5"/>
        <v>43589</v>
      </c>
      <c r="C181" s="32" t="s">
        <v>959</v>
      </c>
      <c r="D181" s="60" t="s">
        <v>956</v>
      </c>
      <c r="E181" s="27" t="s">
        <v>379</v>
      </c>
      <c r="F181" s="28" t="s">
        <v>380</v>
      </c>
      <c r="G181" s="27" t="s">
        <v>869</v>
      </c>
      <c r="H181" s="27" t="s">
        <v>871</v>
      </c>
      <c r="I181" s="35">
        <f t="shared" si="4"/>
        <v>44271</v>
      </c>
      <c r="J181" s="31">
        <v>19</v>
      </c>
      <c r="K181" s="33">
        <f>StockInData[[#This Row],[Quantity]]*2.5</f>
        <v>47.5</v>
      </c>
    </row>
    <row r="182" spans="1:11" x14ac:dyDescent="0.25">
      <c r="A182" s="31">
        <v>181</v>
      </c>
      <c r="B182" s="32">
        <f t="shared" si="5"/>
        <v>43590</v>
      </c>
      <c r="C182" s="32" t="s">
        <v>959</v>
      </c>
      <c r="D182" s="60" t="s">
        <v>956</v>
      </c>
      <c r="E182" s="27" t="s">
        <v>381</v>
      </c>
      <c r="F182" s="28" t="s">
        <v>382</v>
      </c>
      <c r="G182" s="27" t="s">
        <v>869</v>
      </c>
      <c r="H182" s="27" t="s">
        <v>871</v>
      </c>
      <c r="I182" s="35">
        <f t="shared" si="4"/>
        <v>44273</v>
      </c>
      <c r="J182" s="31">
        <v>23</v>
      </c>
      <c r="K182" s="33">
        <f>StockInData[[#This Row],[Quantity]]*2.5</f>
        <v>57.5</v>
      </c>
    </row>
    <row r="183" spans="1:11" x14ac:dyDescent="0.25">
      <c r="A183" s="31">
        <v>182</v>
      </c>
      <c r="B183" s="32">
        <f t="shared" si="5"/>
        <v>43591</v>
      </c>
      <c r="C183" s="32" t="s">
        <v>959</v>
      </c>
      <c r="D183" s="60" t="s">
        <v>956</v>
      </c>
      <c r="E183" s="27" t="s">
        <v>383</v>
      </c>
      <c r="F183" s="28" t="s">
        <v>384</v>
      </c>
      <c r="G183" s="27" t="s">
        <v>869</v>
      </c>
      <c r="H183" s="27" t="s">
        <v>871</v>
      </c>
      <c r="I183" s="35">
        <f t="shared" si="4"/>
        <v>44275</v>
      </c>
      <c r="J183" s="31">
        <v>65</v>
      </c>
      <c r="K183" s="33">
        <f>StockInData[[#This Row],[Quantity]]*2.5</f>
        <v>162.5</v>
      </c>
    </row>
    <row r="184" spans="1:11" x14ac:dyDescent="0.25">
      <c r="A184" s="31">
        <v>183</v>
      </c>
      <c r="B184" s="32">
        <f t="shared" si="5"/>
        <v>43592</v>
      </c>
      <c r="C184" s="32" t="s">
        <v>959</v>
      </c>
      <c r="D184" s="60" t="s">
        <v>956</v>
      </c>
      <c r="E184" s="27" t="s">
        <v>385</v>
      </c>
      <c r="F184" s="28" t="s">
        <v>386</v>
      </c>
      <c r="G184" s="27" t="s">
        <v>869</v>
      </c>
      <c r="H184" s="27" t="s">
        <v>871</v>
      </c>
      <c r="I184" s="35">
        <f t="shared" si="4"/>
        <v>44277</v>
      </c>
      <c r="J184" s="31">
        <v>74</v>
      </c>
      <c r="K184" s="33">
        <f>StockInData[[#This Row],[Quantity]]*2.5</f>
        <v>185</v>
      </c>
    </row>
    <row r="185" spans="1:11" x14ac:dyDescent="0.25">
      <c r="A185" s="31">
        <v>184</v>
      </c>
      <c r="B185" s="32">
        <f t="shared" si="5"/>
        <v>43593</v>
      </c>
      <c r="C185" s="32" t="s">
        <v>959</v>
      </c>
      <c r="D185" s="60" t="s">
        <v>956</v>
      </c>
      <c r="E185" s="27" t="s">
        <v>387</v>
      </c>
      <c r="F185" s="28" t="s">
        <v>388</v>
      </c>
      <c r="G185" s="27" t="s">
        <v>869</v>
      </c>
      <c r="H185" s="27" t="s">
        <v>871</v>
      </c>
      <c r="I185" s="35">
        <f t="shared" si="4"/>
        <v>44279</v>
      </c>
      <c r="J185" s="31">
        <v>84</v>
      </c>
      <c r="K185" s="33">
        <f>StockInData[[#This Row],[Quantity]]*2.5</f>
        <v>210</v>
      </c>
    </row>
    <row r="186" spans="1:11" x14ac:dyDescent="0.25">
      <c r="A186" s="31">
        <v>185</v>
      </c>
      <c r="B186" s="32">
        <f t="shared" si="5"/>
        <v>43594</v>
      </c>
      <c r="C186" s="32" t="s">
        <v>959</v>
      </c>
      <c r="D186" s="60" t="s">
        <v>956</v>
      </c>
      <c r="E186" s="27" t="s">
        <v>389</v>
      </c>
      <c r="F186" s="28" t="s">
        <v>390</v>
      </c>
      <c r="G186" s="27" t="s">
        <v>869</v>
      </c>
      <c r="H186" s="27" t="s">
        <v>871</v>
      </c>
      <c r="I186" s="35">
        <f t="shared" si="4"/>
        <v>44281</v>
      </c>
      <c r="J186" s="31">
        <v>99</v>
      </c>
      <c r="K186" s="33">
        <f>StockInData[[#This Row],[Quantity]]*2.5</f>
        <v>247.5</v>
      </c>
    </row>
    <row r="187" spans="1:11" x14ac:dyDescent="0.25">
      <c r="A187" s="31">
        <v>186</v>
      </c>
      <c r="B187" s="32">
        <f t="shared" si="5"/>
        <v>43595</v>
      </c>
      <c r="C187" s="32" t="s">
        <v>959</v>
      </c>
      <c r="D187" s="60" t="s">
        <v>956</v>
      </c>
      <c r="E187" s="27" t="s">
        <v>391</v>
      </c>
      <c r="F187" s="28" t="s">
        <v>392</v>
      </c>
      <c r="G187" s="27" t="s">
        <v>869</v>
      </c>
      <c r="H187" s="27" t="s">
        <v>871</v>
      </c>
      <c r="I187" s="35">
        <f t="shared" si="4"/>
        <v>44283</v>
      </c>
      <c r="J187" s="31">
        <v>101</v>
      </c>
      <c r="K187" s="33">
        <f>StockInData[[#This Row],[Quantity]]*2.5</f>
        <v>252.5</v>
      </c>
    </row>
    <row r="188" spans="1:11" x14ac:dyDescent="0.25">
      <c r="A188" s="31">
        <v>187</v>
      </c>
      <c r="B188" s="32">
        <f t="shared" si="5"/>
        <v>43596</v>
      </c>
      <c r="C188" s="32" t="s">
        <v>959</v>
      </c>
      <c r="D188" s="60" t="s">
        <v>956</v>
      </c>
      <c r="E188" s="27" t="s">
        <v>393</v>
      </c>
      <c r="F188" s="28" t="s">
        <v>394</v>
      </c>
      <c r="G188" s="27" t="s">
        <v>869</v>
      </c>
      <c r="H188" s="27" t="s">
        <v>871</v>
      </c>
      <c r="I188" s="35">
        <f t="shared" si="4"/>
        <v>44285</v>
      </c>
      <c r="J188" s="31">
        <v>100</v>
      </c>
      <c r="K188" s="33">
        <f>StockInData[[#This Row],[Quantity]]*2.5</f>
        <v>250</v>
      </c>
    </row>
    <row r="189" spans="1:11" x14ac:dyDescent="0.25">
      <c r="A189" s="31">
        <v>188</v>
      </c>
      <c r="B189" s="32">
        <f t="shared" si="5"/>
        <v>43597</v>
      </c>
      <c r="C189" s="32" t="s">
        <v>959</v>
      </c>
      <c r="D189" s="60" t="s">
        <v>956</v>
      </c>
      <c r="E189" s="27" t="s">
        <v>395</v>
      </c>
      <c r="F189" s="28" t="s">
        <v>396</v>
      </c>
      <c r="G189" s="27" t="s">
        <v>869</v>
      </c>
      <c r="H189" s="27" t="s">
        <v>871</v>
      </c>
      <c r="I189" s="35">
        <f t="shared" si="4"/>
        <v>44287</v>
      </c>
      <c r="J189" s="31">
        <v>60</v>
      </c>
      <c r="K189" s="33">
        <f>StockInData[[#This Row],[Quantity]]*2.5</f>
        <v>150</v>
      </c>
    </row>
    <row r="190" spans="1:11" x14ac:dyDescent="0.25">
      <c r="A190" s="31">
        <v>189</v>
      </c>
      <c r="B190" s="32">
        <f t="shared" si="5"/>
        <v>43598</v>
      </c>
      <c r="C190" s="32" t="s">
        <v>959</v>
      </c>
      <c r="D190" s="60" t="s">
        <v>956</v>
      </c>
      <c r="E190" s="27" t="s">
        <v>397</v>
      </c>
      <c r="F190" s="28" t="s">
        <v>398</v>
      </c>
      <c r="G190" s="27" t="s">
        <v>869</v>
      </c>
      <c r="H190" s="27" t="s">
        <v>871</v>
      </c>
      <c r="I190" s="35">
        <f t="shared" si="4"/>
        <v>44289</v>
      </c>
      <c r="J190" s="31">
        <v>40</v>
      </c>
      <c r="K190" s="33">
        <f>StockInData[[#This Row],[Quantity]]*2.5</f>
        <v>100</v>
      </c>
    </row>
    <row r="191" spans="1:11" x14ac:dyDescent="0.25">
      <c r="A191" s="31">
        <v>190</v>
      </c>
      <c r="B191" s="32">
        <f t="shared" si="5"/>
        <v>43599</v>
      </c>
      <c r="C191" s="32" t="s">
        <v>959</v>
      </c>
      <c r="D191" s="60" t="s">
        <v>956</v>
      </c>
      <c r="E191" s="27" t="s">
        <v>399</v>
      </c>
      <c r="F191" s="28" t="s">
        <v>400</v>
      </c>
      <c r="G191" s="27" t="s">
        <v>869</v>
      </c>
      <c r="H191" s="27" t="s">
        <v>871</v>
      </c>
      <c r="I191" s="35">
        <f t="shared" si="4"/>
        <v>44291</v>
      </c>
      <c r="J191" s="31">
        <v>30</v>
      </c>
      <c r="K191" s="33">
        <f>StockInData[[#This Row],[Quantity]]*2.5</f>
        <v>75</v>
      </c>
    </row>
    <row r="192" spans="1:11" x14ac:dyDescent="0.25">
      <c r="A192" s="31">
        <v>191</v>
      </c>
      <c r="B192" s="32">
        <f t="shared" si="5"/>
        <v>43600</v>
      </c>
      <c r="C192" s="32" t="s">
        <v>959</v>
      </c>
      <c r="D192" s="60" t="s">
        <v>956</v>
      </c>
      <c r="E192" s="27" t="s">
        <v>401</v>
      </c>
      <c r="F192" s="28" t="s">
        <v>402</v>
      </c>
      <c r="G192" s="27" t="s">
        <v>869</v>
      </c>
      <c r="H192" s="27" t="s">
        <v>871</v>
      </c>
      <c r="I192" s="35">
        <f t="shared" si="4"/>
        <v>44293</v>
      </c>
      <c r="J192" s="31">
        <v>25</v>
      </c>
      <c r="K192" s="33">
        <f>StockInData[[#This Row],[Quantity]]*2.5</f>
        <v>62.5</v>
      </c>
    </row>
    <row r="193" spans="1:11" x14ac:dyDescent="0.25">
      <c r="A193" s="31">
        <v>192</v>
      </c>
      <c r="B193" s="32">
        <f t="shared" si="5"/>
        <v>43601</v>
      </c>
      <c r="C193" s="32" t="s">
        <v>959</v>
      </c>
      <c r="D193" s="60" t="s">
        <v>956</v>
      </c>
      <c r="E193" s="27" t="s">
        <v>403</v>
      </c>
      <c r="F193" s="28" t="s">
        <v>404</v>
      </c>
      <c r="G193" s="27" t="s">
        <v>869</v>
      </c>
      <c r="H193" s="27" t="s">
        <v>871</v>
      </c>
      <c r="I193" s="35">
        <f t="shared" si="4"/>
        <v>44295</v>
      </c>
      <c r="J193" s="31">
        <v>20</v>
      </c>
      <c r="K193" s="33">
        <f>StockInData[[#This Row],[Quantity]]*2.5</f>
        <v>50</v>
      </c>
    </row>
    <row r="194" spans="1:11" x14ac:dyDescent="0.25">
      <c r="A194" s="31">
        <v>193</v>
      </c>
      <c r="B194" s="32">
        <f t="shared" si="5"/>
        <v>43602</v>
      </c>
      <c r="C194" s="32" t="s">
        <v>959</v>
      </c>
      <c r="D194" s="60" t="s">
        <v>956</v>
      </c>
      <c r="E194" s="27" t="s">
        <v>405</v>
      </c>
      <c r="F194" s="28" t="s">
        <v>406</v>
      </c>
      <c r="G194" s="27" t="s">
        <v>869</v>
      </c>
      <c r="H194" s="27" t="s">
        <v>871</v>
      </c>
      <c r="I194" s="35">
        <f t="shared" si="4"/>
        <v>44297</v>
      </c>
      <c r="J194" s="31">
        <v>19</v>
      </c>
      <c r="K194" s="33">
        <f>StockInData[[#This Row],[Quantity]]*2.5</f>
        <v>47.5</v>
      </c>
    </row>
    <row r="195" spans="1:11" x14ac:dyDescent="0.25">
      <c r="A195" s="31">
        <v>194</v>
      </c>
      <c r="B195" s="32">
        <f t="shared" si="5"/>
        <v>43603</v>
      </c>
      <c r="C195" s="32" t="s">
        <v>959</v>
      </c>
      <c r="D195" s="60" t="s">
        <v>956</v>
      </c>
      <c r="E195" s="27" t="s">
        <v>407</v>
      </c>
      <c r="F195" s="28" t="s">
        <v>408</v>
      </c>
      <c r="G195" s="27" t="s">
        <v>869</v>
      </c>
      <c r="H195" s="27" t="s">
        <v>871</v>
      </c>
      <c r="I195" s="35">
        <f t="shared" si="4"/>
        <v>44299</v>
      </c>
      <c r="J195" s="31">
        <v>23</v>
      </c>
      <c r="K195" s="33">
        <f>StockInData[[#This Row],[Quantity]]*2.5</f>
        <v>57.5</v>
      </c>
    </row>
    <row r="196" spans="1:11" x14ac:dyDescent="0.25">
      <c r="A196" s="31">
        <v>195</v>
      </c>
      <c r="B196" s="32">
        <f t="shared" si="5"/>
        <v>43604</v>
      </c>
      <c r="C196" s="32" t="s">
        <v>959</v>
      </c>
      <c r="D196" s="60" t="s">
        <v>956</v>
      </c>
      <c r="E196" s="27" t="s">
        <v>409</v>
      </c>
      <c r="F196" s="28" t="s">
        <v>410</v>
      </c>
      <c r="G196" s="27" t="s">
        <v>869</v>
      </c>
      <c r="H196" s="27" t="s">
        <v>871</v>
      </c>
      <c r="I196" s="35">
        <f t="shared" ref="I196:I259" si="6">I195+2</f>
        <v>44301</v>
      </c>
      <c r="J196" s="31">
        <v>65</v>
      </c>
      <c r="K196" s="33">
        <f>StockInData[[#This Row],[Quantity]]*2.5</f>
        <v>162.5</v>
      </c>
    </row>
    <row r="197" spans="1:11" x14ac:dyDescent="0.25">
      <c r="A197" s="31">
        <v>196</v>
      </c>
      <c r="B197" s="32">
        <f t="shared" ref="B197:B260" si="7">B196+1</f>
        <v>43605</v>
      </c>
      <c r="C197" s="32" t="s">
        <v>959</v>
      </c>
      <c r="D197" s="60" t="s">
        <v>956</v>
      </c>
      <c r="E197" s="27" t="s">
        <v>411</v>
      </c>
      <c r="F197" s="28" t="s">
        <v>412</v>
      </c>
      <c r="G197" s="27" t="s">
        <v>869</v>
      </c>
      <c r="H197" s="27" t="s">
        <v>871</v>
      </c>
      <c r="I197" s="35">
        <f t="shared" si="6"/>
        <v>44303</v>
      </c>
      <c r="J197" s="31">
        <v>74</v>
      </c>
      <c r="K197" s="33">
        <f>StockInData[[#This Row],[Quantity]]*2.5</f>
        <v>185</v>
      </c>
    </row>
    <row r="198" spans="1:11" x14ac:dyDescent="0.25">
      <c r="A198" s="31">
        <v>197</v>
      </c>
      <c r="B198" s="32">
        <f t="shared" si="7"/>
        <v>43606</v>
      </c>
      <c r="C198" s="32" t="s">
        <v>959</v>
      </c>
      <c r="D198" s="60" t="s">
        <v>956</v>
      </c>
      <c r="E198" s="27" t="s">
        <v>413</v>
      </c>
      <c r="F198" s="28" t="s">
        <v>414</v>
      </c>
      <c r="G198" s="27" t="s">
        <v>869</v>
      </c>
      <c r="H198" s="27" t="s">
        <v>871</v>
      </c>
      <c r="I198" s="35">
        <f t="shared" si="6"/>
        <v>44305</v>
      </c>
      <c r="J198" s="31">
        <v>84</v>
      </c>
      <c r="K198" s="33">
        <f>StockInData[[#This Row],[Quantity]]*2.5</f>
        <v>210</v>
      </c>
    </row>
    <row r="199" spans="1:11" x14ac:dyDescent="0.25">
      <c r="A199" s="31">
        <v>198</v>
      </c>
      <c r="B199" s="32">
        <f t="shared" si="7"/>
        <v>43607</v>
      </c>
      <c r="C199" s="32" t="s">
        <v>959</v>
      </c>
      <c r="D199" s="60" t="s">
        <v>956</v>
      </c>
      <c r="E199" s="27" t="s">
        <v>415</v>
      </c>
      <c r="F199" s="28" t="s">
        <v>416</v>
      </c>
      <c r="G199" s="27" t="s">
        <v>869</v>
      </c>
      <c r="H199" s="27" t="s">
        <v>871</v>
      </c>
      <c r="I199" s="35">
        <f t="shared" si="6"/>
        <v>44307</v>
      </c>
      <c r="J199" s="31">
        <v>99</v>
      </c>
      <c r="K199" s="33">
        <f>StockInData[[#This Row],[Quantity]]*2.5</f>
        <v>247.5</v>
      </c>
    </row>
    <row r="200" spans="1:11" x14ac:dyDescent="0.25">
      <c r="A200" s="31">
        <v>199</v>
      </c>
      <c r="B200" s="32">
        <f t="shared" si="7"/>
        <v>43608</v>
      </c>
      <c r="C200" s="32" t="s">
        <v>959</v>
      </c>
      <c r="D200" s="60" t="s">
        <v>956</v>
      </c>
      <c r="E200" s="27" t="s">
        <v>417</v>
      </c>
      <c r="F200" s="28" t="s">
        <v>418</v>
      </c>
      <c r="G200" s="27" t="s">
        <v>869</v>
      </c>
      <c r="H200" s="27" t="s">
        <v>871</v>
      </c>
      <c r="I200" s="35">
        <f t="shared" si="6"/>
        <v>44309</v>
      </c>
      <c r="J200" s="31">
        <v>101</v>
      </c>
      <c r="K200" s="33">
        <f>StockInData[[#This Row],[Quantity]]*2.5</f>
        <v>252.5</v>
      </c>
    </row>
    <row r="201" spans="1:11" x14ac:dyDescent="0.25">
      <c r="A201" s="31">
        <v>200</v>
      </c>
      <c r="B201" s="32">
        <f t="shared" si="7"/>
        <v>43609</v>
      </c>
      <c r="C201" s="32" t="s">
        <v>959</v>
      </c>
      <c r="D201" s="60" t="s">
        <v>956</v>
      </c>
      <c r="E201" s="27" t="s">
        <v>419</v>
      </c>
      <c r="F201" s="28" t="s">
        <v>420</v>
      </c>
      <c r="G201" s="27" t="s">
        <v>869</v>
      </c>
      <c r="H201" s="27" t="s">
        <v>871</v>
      </c>
      <c r="I201" s="35">
        <f t="shared" si="6"/>
        <v>44311</v>
      </c>
      <c r="J201" s="31">
        <v>100</v>
      </c>
      <c r="K201" s="33">
        <f>StockInData[[#This Row],[Quantity]]*2.5</f>
        <v>250</v>
      </c>
    </row>
    <row r="202" spans="1:11" x14ac:dyDescent="0.25">
      <c r="A202" s="31">
        <v>201</v>
      </c>
      <c r="B202" s="32">
        <f t="shared" si="7"/>
        <v>43610</v>
      </c>
      <c r="C202" s="32" t="s">
        <v>959</v>
      </c>
      <c r="D202" s="60" t="s">
        <v>956</v>
      </c>
      <c r="E202" s="27" t="s">
        <v>421</v>
      </c>
      <c r="F202" s="28" t="s">
        <v>422</v>
      </c>
      <c r="G202" s="27" t="s">
        <v>869</v>
      </c>
      <c r="H202" s="27" t="s">
        <v>871</v>
      </c>
      <c r="I202" s="35">
        <f t="shared" si="6"/>
        <v>44313</v>
      </c>
      <c r="J202" s="31">
        <v>100</v>
      </c>
      <c r="K202" s="33">
        <f>StockInData[[#This Row],[Quantity]]*2.5</f>
        <v>250</v>
      </c>
    </row>
    <row r="203" spans="1:11" x14ac:dyDescent="0.25">
      <c r="A203" s="31">
        <v>202</v>
      </c>
      <c r="B203" s="32">
        <f t="shared" si="7"/>
        <v>43611</v>
      </c>
      <c r="C203" s="32" t="s">
        <v>959</v>
      </c>
      <c r="D203" s="60" t="s">
        <v>956</v>
      </c>
      <c r="E203" s="27" t="s">
        <v>423</v>
      </c>
      <c r="F203" s="28" t="s">
        <v>424</v>
      </c>
      <c r="G203" s="27" t="s">
        <v>869</v>
      </c>
      <c r="H203" s="27" t="s">
        <v>871</v>
      </c>
      <c r="I203" s="35">
        <f t="shared" si="6"/>
        <v>44315</v>
      </c>
      <c r="J203" s="31">
        <v>100</v>
      </c>
      <c r="K203" s="33">
        <f>StockInData[[#This Row],[Quantity]]*2.5</f>
        <v>250</v>
      </c>
    </row>
    <row r="204" spans="1:11" x14ac:dyDescent="0.25">
      <c r="A204" s="31">
        <v>203</v>
      </c>
      <c r="B204" s="32">
        <f t="shared" si="7"/>
        <v>43612</v>
      </c>
      <c r="C204" s="32" t="s">
        <v>959</v>
      </c>
      <c r="D204" s="60" t="s">
        <v>956</v>
      </c>
      <c r="E204" s="27" t="s">
        <v>425</v>
      </c>
      <c r="F204" s="28" t="s">
        <v>426</v>
      </c>
      <c r="G204" s="27" t="s">
        <v>869</v>
      </c>
      <c r="H204" s="27" t="s">
        <v>871</v>
      </c>
      <c r="I204" s="35">
        <f t="shared" si="6"/>
        <v>44317</v>
      </c>
      <c r="J204" s="31">
        <v>100</v>
      </c>
      <c r="K204" s="33">
        <f>StockInData[[#This Row],[Quantity]]*2.5</f>
        <v>250</v>
      </c>
    </row>
    <row r="205" spans="1:11" x14ac:dyDescent="0.25">
      <c r="A205" s="31">
        <v>204</v>
      </c>
      <c r="B205" s="32">
        <f t="shared" si="7"/>
        <v>43613</v>
      </c>
      <c r="C205" s="32" t="s">
        <v>959</v>
      </c>
      <c r="D205" s="60" t="s">
        <v>956</v>
      </c>
      <c r="E205" s="27" t="s">
        <v>427</v>
      </c>
      <c r="F205" s="28" t="s">
        <v>428</v>
      </c>
      <c r="G205" s="27" t="s">
        <v>869</v>
      </c>
      <c r="H205" s="27" t="s">
        <v>871</v>
      </c>
      <c r="I205" s="35">
        <f t="shared" si="6"/>
        <v>44319</v>
      </c>
      <c r="J205" s="31">
        <v>40</v>
      </c>
      <c r="K205" s="33">
        <f>StockInData[[#This Row],[Quantity]]*2.5</f>
        <v>100</v>
      </c>
    </row>
    <row r="206" spans="1:11" x14ac:dyDescent="0.25">
      <c r="A206" s="31">
        <v>205</v>
      </c>
      <c r="B206" s="32">
        <f t="shared" si="7"/>
        <v>43614</v>
      </c>
      <c r="C206" s="32" t="s">
        <v>960</v>
      </c>
      <c r="D206" s="60" t="s">
        <v>957</v>
      </c>
      <c r="E206" s="27" t="s">
        <v>429</v>
      </c>
      <c r="F206" s="28" t="s">
        <v>430</v>
      </c>
      <c r="G206" s="27" t="s">
        <v>869</v>
      </c>
      <c r="H206" s="27" t="s">
        <v>871</v>
      </c>
      <c r="I206" s="35">
        <f t="shared" si="6"/>
        <v>44321</v>
      </c>
      <c r="J206" s="31">
        <v>30</v>
      </c>
      <c r="K206" s="33">
        <f>StockInData[[#This Row],[Quantity]]*2.5</f>
        <v>75</v>
      </c>
    </row>
    <row r="207" spans="1:11" x14ac:dyDescent="0.25">
      <c r="A207" s="31">
        <v>206</v>
      </c>
      <c r="B207" s="32">
        <f t="shared" si="7"/>
        <v>43615</v>
      </c>
      <c r="C207" s="32" t="s">
        <v>960</v>
      </c>
      <c r="D207" s="60" t="s">
        <v>957</v>
      </c>
      <c r="E207" s="27" t="s">
        <v>431</v>
      </c>
      <c r="F207" s="28" t="s">
        <v>432</v>
      </c>
      <c r="G207" s="27" t="s">
        <v>869</v>
      </c>
      <c r="H207" s="27" t="s">
        <v>871</v>
      </c>
      <c r="I207" s="35">
        <f t="shared" si="6"/>
        <v>44323</v>
      </c>
      <c r="J207" s="31">
        <v>25</v>
      </c>
      <c r="K207" s="33">
        <f>StockInData[[#This Row],[Quantity]]*2.5</f>
        <v>62.5</v>
      </c>
    </row>
    <row r="208" spans="1:11" x14ac:dyDescent="0.25">
      <c r="A208" s="31">
        <v>207</v>
      </c>
      <c r="B208" s="32">
        <f t="shared" si="7"/>
        <v>43616</v>
      </c>
      <c r="C208" s="32" t="s">
        <v>960</v>
      </c>
      <c r="D208" s="60" t="s">
        <v>957</v>
      </c>
      <c r="E208" s="27" t="s">
        <v>433</v>
      </c>
      <c r="F208" s="28" t="s">
        <v>434</v>
      </c>
      <c r="G208" s="27" t="s">
        <v>869</v>
      </c>
      <c r="H208" s="27" t="s">
        <v>871</v>
      </c>
      <c r="I208" s="35">
        <f t="shared" si="6"/>
        <v>44325</v>
      </c>
      <c r="J208" s="31">
        <v>20</v>
      </c>
      <c r="K208" s="33">
        <f>StockInData[[#This Row],[Quantity]]*2.5</f>
        <v>50</v>
      </c>
    </row>
    <row r="209" spans="1:11" x14ac:dyDescent="0.25">
      <c r="A209" s="31">
        <v>208</v>
      </c>
      <c r="B209" s="32">
        <f t="shared" si="7"/>
        <v>43617</v>
      </c>
      <c r="C209" s="32" t="s">
        <v>960</v>
      </c>
      <c r="D209" s="60" t="s">
        <v>957</v>
      </c>
      <c r="E209" s="27" t="s">
        <v>435</v>
      </c>
      <c r="F209" s="28" t="s">
        <v>436</v>
      </c>
      <c r="G209" s="27" t="s">
        <v>869</v>
      </c>
      <c r="H209" s="27" t="s">
        <v>871</v>
      </c>
      <c r="I209" s="35">
        <f t="shared" si="6"/>
        <v>44327</v>
      </c>
      <c r="J209" s="31">
        <v>19</v>
      </c>
      <c r="K209" s="33">
        <f>StockInData[[#This Row],[Quantity]]*2.5</f>
        <v>47.5</v>
      </c>
    </row>
    <row r="210" spans="1:11" x14ac:dyDescent="0.25">
      <c r="A210" s="31">
        <v>209</v>
      </c>
      <c r="B210" s="32">
        <f t="shared" si="7"/>
        <v>43618</v>
      </c>
      <c r="C210" s="32" t="s">
        <v>960</v>
      </c>
      <c r="D210" s="60" t="s">
        <v>957</v>
      </c>
      <c r="E210" s="27" t="s">
        <v>437</v>
      </c>
      <c r="F210" s="28" t="s">
        <v>438</v>
      </c>
      <c r="G210" s="27" t="s">
        <v>869</v>
      </c>
      <c r="H210" s="27" t="s">
        <v>871</v>
      </c>
      <c r="I210" s="35">
        <f t="shared" si="6"/>
        <v>44329</v>
      </c>
      <c r="J210" s="31">
        <v>23</v>
      </c>
      <c r="K210" s="33">
        <f>StockInData[[#This Row],[Quantity]]*2.5</f>
        <v>57.5</v>
      </c>
    </row>
    <row r="211" spans="1:11" x14ac:dyDescent="0.25">
      <c r="A211" s="31">
        <v>210</v>
      </c>
      <c r="B211" s="32">
        <f t="shared" si="7"/>
        <v>43619</v>
      </c>
      <c r="C211" s="32" t="s">
        <v>960</v>
      </c>
      <c r="D211" s="60" t="s">
        <v>957</v>
      </c>
      <c r="E211" s="27" t="s">
        <v>439</v>
      </c>
      <c r="F211" s="28" t="s">
        <v>440</v>
      </c>
      <c r="G211" s="27" t="s">
        <v>869</v>
      </c>
      <c r="H211" s="27" t="s">
        <v>875</v>
      </c>
      <c r="I211" s="35">
        <f t="shared" si="6"/>
        <v>44331</v>
      </c>
      <c r="J211" s="31">
        <v>65</v>
      </c>
      <c r="K211" s="33">
        <f>StockInData[[#This Row],[Quantity]]*2.5</f>
        <v>162.5</v>
      </c>
    </row>
    <row r="212" spans="1:11" x14ac:dyDescent="0.25">
      <c r="A212" s="31">
        <v>211</v>
      </c>
      <c r="B212" s="32">
        <f t="shared" si="7"/>
        <v>43620</v>
      </c>
      <c r="C212" s="32" t="s">
        <v>960</v>
      </c>
      <c r="D212" s="60" t="s">
        <v>957</v>
      </c>
      <c r="E212" s="27" t="s">
        <v>441</v>
      </c>
      <c r="F212" s="28" t="s">
        <v>442</v>
      </c>
      <c r="G212" s="27" t="s">
        <v>869</v>
      </c>
      <c r="H212" s="27" t="s">
        <v>875</v>
      </c>
      <c r="I212" s="35">
        <f t="shared" si="6"/>
        <v>44333</v>
      </c>
      <c r="J212" s="31">
        <v>74</v>
      </c>
      <c r="K212" s="33">
        <f>StockInData[[#This Row],[Quantity]]*2.5</f>
        <v>185</v>
      </c>
    </row>
    <row r="213" spans="1:11" x14ac:dyDescent="0.25">
      <c r="A213" s="31">
        <v>212</v>
      </c>
      <c r="B213" s="32">
        <f t="shared" si="7"/>
        <v>43621</v>
      </c>
      <c r="C213" s="32" t="s">
        <v>960</v>
      </c>
      <c r="D213" s="60" t="s">
        <v>957</v>
      </c>
      <c r="E213" s="27" t="s">
        <v>443</v>
      </c>
      <c r="F213" s="28" t="s">
        <v>444</v>
      </c>
      <c r="G213" s="27" t="s">
        <v>869</v>
      </c>
      <c r="H213" s="27" t="s">
        <v>875</v>
      </c>
      <c r="I213" s="35">
        <f t="shared" si="6"/>
        <v>44335</v>
      </c>
      <c r="J213" s="31">
        <v>84</v>
      </c>
      <c r="K213" s="33">
        <f>StockInData[[#This Row],[Quantity]]*2.5</f>
        <v>210</v>
      </c>
    </row>
    <row r="214" spans="1:11" x14ac:dyDescent="0.25">
      <c r="A214" s="31">
        <v>213</v>
      </c>
      <c r="B214" s="32">
        <f t="shared" si="7"/>
        <v>43622</v>
      </c>
      <c r="C214" s="32" t="s">
        <v>960</v>
      </c>
      <c r="D214" s="60" t="s">
        <v>957</v>
      </c>
      <c r="E214" s="27" t="s">
        <v>445</v>
      </c>
      <c r="F214" s="28" t="s">
        <v>446</v>
      </c>
      <c r="G214" s="27" t="s">
        <v>869</v>
      </c>
      <c r="H214" s="27" t="s">
        <v>875</v>
      </c>
      <c r="I214" s="35">
        <f t="shared" si="6"/>
        <v>44337</v>
      </c>
      <c r="J214" s="31">
        <v>99</v>
      </c>
      <c r="K214" s="33">
        <f>StockInData[[#This Row],[Quantity]]*2.5</f>
        <v>247.5</v>
      </c>
    </row>
    <row r="215" spans="1:11" x14ac:dyDescent="0.25">
      <c r="A215" s="31">
        <v>214</v>
      </c>
      <c r="B215" s="32">
        <f t="shared" si="7"/>
        <v>43623</v>
      </c>
      <c r="C215" s="32" t="s">
        <v>960</v>
      </c>
      <c r="D215" s="60" t="s">
        <v>957</v>
      </c>
      <c r="E215" s="27" t="s">
        <v>447</v>
      </c>
      <c r="F215" s="28" t="s">
        <v>448</v>
      </c>
      <c r="G215" s="27" t="s">
        <v>869</v>
      </c>
      <c r="H215" s="27" t="s">
        <v>875</v>
      </c>
      <c r="I215" s="35">
        <f t="shared" si="6"/>
        <v>44339</v>
      </c>
      <c r="J215" s="31">
        <v>101</v>
      </c>
      <c r="K215" s="33">
        <f>StockInData[[#This Row],[Quantity]]*2.5</f>
        <v>252.5</v>
      </c>
    </row>
    <row r="216" spans="1:11" x14ac:dyDescent="0.25">
      <c r="A216" s="31">
        <v>215</v>
      </c>
      <c r="B216" s="32">
        <f t="shared" si="7"/>
        <v>43624</v>
      </c>
      <c r="C216" s="32" t="s">
        <v>960</v>
      </c>
      <c r="D216" s="60" t="s">
        <v>957</v>
      </c>
      <c r="E216" s="27" t="s">
        <v>449</v>
      </c>
      <c r="F216" s="28" t="s">
        <v>450</v>
      </c>
      <c r="G216" s="27" t="s">
        <v>869</v>
      </c>
      <c r="H216" s="27" t="s">
        <v>875</v>
      </c>
      <c r="I216" s="35">
        <f t="shared" si="6"/>
        <v>44341</v>
      </c>
      <c r="J216" s="31">
        <v>60</v>
      </c>
      <c r="K216" s="33">
        <f>StockInData[[#This Row],[Quantity]]*2.5</f>
        <v>150</v>
      </c>
    </row>
    <row r="217" spans="1:11" x14ac:dyDescent="0.25">
      <c r="A217" s="31">
        <v>216</v>
      </c>
      <c r="B217" s="32">
        <f t="shared" si="7"/>
        <v>43625</v>
      </c>
      <c r="C217" s="32" t="s">
        <v>960</v>
      </c>
      <c r="D217" s="60" t="s">
        <v>957</v>
      </c>
      <c r="E217" s="27" t="s">
        <v>451</v>
      </c>
      <c r="F217" s="28" t="s">
        <v>452</v>
      </c>
      <c r="G217" s="27" t="s">
        <v>869</v>
      </c>
      <c r="H217" s="27" t="s">
        <v>875</v>
      </c>
      <c r="I217" s="35">
        <f t="shared" si="6"/>
        <v>44343</v>
      </c>
      <c r="J217" s="31">
        <v>40</v>
      </c>
      <c r="K217" s="33">
        <f>StockInData[[#This Row],[Quantity]]*2.5</f>
        <v>100</v>
      </c>
    </row>
    <row r="218" spans="1:11" x14ac:dyDescent="0.25">
      <c r="A218" s="31">
        <v>217</v>
      </c>
      <c r="B218" s="32">
        <f t="shared" si="7"/>
        <v>43626</v>
      </c>
      <c r="C218" s="32" t="s">
        <v>960</v>
      </c>
      <c r="D218" s="60" t="s">
        <v>957</v>
      </c>
      <c r="E218" s="27" t="s">
        <v>453</v>
      </c>
      <c r="F218" s="28" t="s">
        <v>454</v>
      </c>
      <c r="G218" s="27" t="s">
        <v>869</v>
      </c>
      <c r="H218" s="27" t="s">
        <v>875</v>
      </c>
      <c r="I218" s="35">
        <f t="shared" si="6"/>
        <v>44345</v>
      </c>
      <c r="J218" s="31">
        <v>30</v>
      </c>
      <c r="K218" s="33">
        <f>StockInData[[#This Row],[Quantity]]*2.5</f>
        <v>75</v>
      </c>
    </row>
    <row r="219" spans="1:11" x14ac:dyDescent="0.25">
      <c r="A219" s="31">
        <v>218</v>
      </c>
      <c r="B219" s="32">
        <f t="shared" si="7"/>
        <v>43627</v>
      </c>
      <c r="C219" s="32" t="s">
        <v>960</v>
      </c>
      <c r="D219" s="60" t="s">
        <v>957</v>
      </c>
      <c r="E219" s="27" t="s">
        <v>455</v>
      </c>
      <c r="F219" s="28" t="s">
        <v>456</v>
      </c>
      <c r="G219" s="27" t="s">
        <v>869</v>
      </c>
      <c r="H219" s="27" t="s">
        <v>875</v>
      </c>
      <c r="I219" s="35">
        <f t="shared" si="6"/>
        <v>44347</v>
      </c>
      <c r="J219" s="31">
        <v>25</v>
      </c>
      <c r="K219" s="33">
        <f>StockInData[[#This Row],[Quantity]]*2.5</f>
        <v>62.5</v>
      </c>
    </row>
    <row r="220" spans="1:11" x14ac:dyDescent="0.25">
      <c r="A220" s="31">
        <v>219</v>
      </c>
      <c r="B220" s="32">
        <f t="shared" si="7"/>
        <v>43628</v>
      </c>
      <c r="C220" s="32" t="s">
        <v>960</v>
      </c>
      <c r="D220" s="60" t="s">
        <v>957</v>
      </c>
      <c r="E220" s="27" t="s">
        <v>457</v>
      </c>
      <c r="F220" s="28" t="s">
        <v>458</v>
      </c>
      <c r="G220" s="27" t="s">
        <v>869</v>
      </c>
      <c r="H220" s="27" t="s">
        <v>875</v>
      </c>
      <c r="I220" s="35">
        <f t="shared" si="6"/>
        <v>44349</v>
      </c>
      <c r="J220" s="31">
        <v>20</v>
      </c>
      <c r="K220" s="33">
        <f>StockInData[[#This Row],[Quantity]]*2.5</f>
        <v>50</v>
      </c>
    </row>
    <row r="221" spans="1:11" x14ac:dyDescent="0.25">
      <c r="A221" s="31">
        <v>220</v>
      </c>
      <c r="B221" s="32">
        <f t="shared" si="7"/>
        <v>43629</v>
      </c>
      <c r="C221" s="32" t="s">
        <v>960</v>
      </c>
      <c r="D221" s="60" t="s">
        <v>957</v>
      </c>
      <c r="E221" s="27" t="s">
        <v>459</v>
      </c>
      <c r="F221" s="28" t="s">
        <v>460</v>
      </c>
      <c r="G221" s="27" t="s">
        <v>869</v>
      </c>
      <c r="H221" s="27" t="s">
        <v>875</v>
      </c>
      <c r="I221" s="35">
        <f t="shared" si="6"/>
        <v>44351</v>
      </c>
      <c r="J221" s="31">
        <v>19</v>
      </c>
      <c r="K221" s="33">
        <f>StockInData[[#This Row],[Quantity]]*2.5</f>
        <v>47.5</v>
      </c>
    </row>
    <row r="222" spans="1:11" x14ac:dyDescent="0.25">
      <c r="A222" s="31">
        <v>221</v>
      </c>
      <c r="B222" s="32">
        <f t="shared" si="7"/>
        <v>43630</v>
      </c>
      <c r="C222" s="32" t="s">
        <v>960</v>
      </c>
      <c r="D222" s="60" t="s">
        <v>957</v>
      </c>
      <c r="E222" s="27" t="s">
        <v>461</v>
      </c>
      <c r="F222" s="28" t="s">
        <v>462</v>
      </c>
      <c r="G222" s="27" t="s">
        <v>869</v>
      </c>
      <c r="H222" s="27" t="s">
        <v>875</v>
      </c>
      <c r="I222" s="35">
        <f t="shared" si="6"/>
        <v>44353</v>
      </c>
      <c r="J222" s="31">
        <v>23</v>
      </c>
      <c r="K222" s="33">
        <f>StockInData[[#This Row],[Quantity]]*2.5</f>
        <v>57.5</v>
      </c>
    </row>
    <row r="223" spans="1:11" x14ac:dyDescent="0.25">
      <c r="A223" s="31">
        <v>222</v>
      </c>
      <c r="B223" s="32">
        <f t="shared" si="7"/>
        <v>43631</v>
      </c>
      <c r="C223" s="32" t="s">
        <v>960</v>
      </c>
      <c r="D223" s="60" t="s">
        <v>957</v>
      </c>
      <c r="E223" s="27" t="s">
        <v>463</v>
      </c>
      <c r="F223" s="28" t="s">
        <v>464</v>
      </c>
      <c r="G223" s="27" t="s">
        <v>869</v>
      </c>
      <c r="H223" s="27" t="s">
        <v>875</v>
      </c>
      <c r="I223" s="35">
        <f t="shared" si="6"/>
        <v>44355</v>
      </c>
      <c r="J223" s="31">
        <v>65</v>
      </c>
      <c r="K223" s="33">
        <f>StockInData[[#This Row],[Quantity]]*2.5</f>
        <v>162.5</v>
      </c>
    </row>
    <row r="224" spans="1:11" x14ac:dyDescent="0.25">
      <c r="A224" s="31">
        <v>223</v>
      </c>
      <c r="B224" s="32">
        <f t="shared" si="7"/>
        <v>43632</v>
      </c>
      <c r="C224" s="32" t="s">
        <v>960</v>
      </c>
      <c r="D224" s="60" t="s">
        <v>957</v>
      </c>
      <c r="E224" s="27" t="s">
        <v>465</v>
      </c>
      <c r="F224" s="28" t="s">
        <v>466</v>
      </c>
      <c r="G224" s="27" t="s">
        <v>869</v>
      </c>
      <c r="H224" s="27" t="s">
        <v>875</v>
      </c>
      <c r="I224" s="35">
        <f t="shared" si="6"/>
        <v>44357</v>
      </c>
      <c r="J224" s="31">
        <v>74</v>
      </c>
      <c r="K224" s="33">
        <f>StockInData[[#This Row],[Quantity]]*2.5</f>
        <v>185</v>
      </c>
    </row>
    <row r="225" spans="1:11" x14ac:dyDescent="0.25">
      <c r="A225" s="31">
        <v>224</v>
      </c>
      <c r="B225" s="32">
        <f t="shared" si="7"/>
        <v>43633</v>
      </c>
      <c r="C225" s="32" t="s">
        <v>960</v>
      </c>
      <c r="D225" s="60" t="s">
        <v>957</v>
      </c>
      <c r="E225" s="27" t="s">
        <v>467</v>
      </c>
      <c r="F225" s="28" t="s">
        <v>468</v>
      </c>
      <c r="G225" s="27" t="s">
        <v>869</v>
      </c>
      <c r="H225" s="27" t="s">
        <v>875</v>
      </c>
      <c r="I225" s="35">
        <f t="shared" si="6"/>
        <v>44359</v>
      </c>
      <c r="J225" s="31">
        <v>84</v>
      </c>
      <c r="K225" s="33">
        <f>StockInData[[#This Row],[Quantity]]*2.5</f>
        <v>210</v>
      </c>
    </row>
    <row r="226" spans="1:11" x14ac:dyDescent="0.25">
      <c r="A226" s="31">
        <v>225</v>
      </c>
      <c r="B226" s="32">
        <f t="shared" si="7"/>
        <v>43634</v>
      </c>
      <c r="C226" s="32" t="s">
        <v>960</v>
      </c>
      <c r="D226" s="60" t="s">
        <v>957</v>
      </c>
      <c r="E226" s="27" t="s">
        <v>469</v>
      </c>
      <c r="F226" s="28" t="s">
        <v>470</v>
      </c>
      <c r="G226" s="27" t="s">
        <v>869</v>
      </c>
      <c r="H226" s="27" t="s">
        <v>875</v>
      </c>
      <c r="I226" s="35">
        <f t="shared" si="6"/>
        <v>44361</v>
      </c>
      <c r="J226" s="31">
        <v>99</v>
      </c>
      <c r="K226" s="33">
        <f>StockInData[[#This Row],[Quantity]]*2.5</f>
        <v>247.5</v>
      </c>
    </row>
    <row r="227" spans="1:11" x14ac:dyDescent="0.25">
      <c r="A227" s="31">
        <v>226</v>
      </c>
      <c r="B227" s="32">
        <f t="shared" si="7"/>
        <v>43635</v>
      </c>
      <c r="C227" s="32" t="s">
        <v>960</v>
      </c>
      <c r="D227" s="60" t="s">
        <v>957</v>
      </c>
      <c r="E227" s="27" t="s">
        <v>471</v>
      </c>
      <c r="F227" s="28" t="s">
        <v>472</v>
      </c>
      <c r="G227" s="27" t="s">
        <v>869</v>
      </c>
      <c r="H227" s="27" t="s">
        <v>875</v>
      </c>
      <c r="I227" s="35">
        <f t="shared" si="6"/>
        <v>44363</v>
      </c>
      <c r="J227" s="31">
        <v>101</v>
      </c>
      <c r="K227" s="33">
        <f>StockInData[[#This Row],[Quantity]]*2.5</f>
        <v>252.5</v>
      </c>
    </row>
    <row r="228" spans="1:11" x14ac:dyDescent="0.25">
      <c r="A228" s="31">
        <v>227</v>
      </c>
      <c r="B228" s="32">
        <f t="shared" si="7"/>
        <v>43636</v>
      </c>
      <c r="C228" s="32" t="s">
        <v>960</v>
      </c>
      <c r="D228" s="60" t="s">
        <v>957</v>
      </c>
      <c r="E228" s="27" t="s">
        <v>473</v>
      </c>
      <c r="F228" s="28" t="s">
        <v>474</v>
      </c>
      <c r="G228" s="27" t="s">
        <v>869</v>
      </c>
      <c r="H228" s="27" t="s">
        <v>875</v>
      </c>
      <c r="I228" s="35">
        <f t="shared" si="6"/>
        <v>44365</v>
      </c>
      <c r="J228" s="31">
        <v>60</v>
      </c>
      <c r="K228" s="33">
        <f>StockInData[[#This Row],[Quantity]]*2.5</f>
        <v>150</v>
      </c>
    </row>
    <row r="229" spans="1:11" x14ac:dyDescent="0.25">
      <c r="A229" s="31">
        <v>228</v>
      </c>
      <c r="B229" s="32">
        <f t="shared" si="7"/>
        <v>43637</v>
      </c>
      <c r="C229" s="32" t="s">
        <v>960</v>
      </c>
      <c r="D229" s="60" t="s">
        <v>957</v>
      </c>
      <c r="E229" s="27" t="s">
        <v>475</v>
      </c>
      <c r="F229" s="28" t="s">
        <v>476</v>
      </c>
      <c r="G229" s="27" t="s">
        <v>869</v>
      </c>
      <c r="H229" s="27" t="s">
        <v>875</v>
      </c>
      <c r="I229" s="35">
        <f t="shared" si="6"/>
        <v>44367</v>
      </c>
      <c r="J229" s="31">
        <v>40</v>
      </c>
      <c r="K229" s="33">
        <f>StockInData[[#This Row],[Quantity]]*2.5</f>
        <v>100</v>
      </c>
    </row>
    <row r="230" spans="1:11" x14ac:dyDescent="0.25">
      <c r="A230" s="31">
        <v>229</v>
      </c>
      <c r="B230" s="32">
        <f t="shared" si="7"/>
        <v>43638</v>
      </c>
      <c r="C230" s="32" t="s">
        <v>960</v>
      </c>
      <c r="D230" s="60" t="s">
        <v>957</v>
      </c>
      <c r="E230" s="27" t="s">
        <v>477</v>
      </c>
      <c r="F230" s="28" t="s">
        <v>478</v>
      </c>
      <c r="G230" s="27" t="s">
        <v>869</v>
      </c>
      <c r="H230" s="27" t="s">
        <v>875</v>
      </c>
      <c r="I230" s="35">
        <f t="shared" si="6"/>
        <v>44369</v>
      </c>
      <c r="J230" s="31">
        <v>30</v>
      </c>
      <c r="K230" s="33">
        <f>StockInData[[#This Row],[Quantity]]*2.5</f>
        <v>75</v>
      </c>
    </row>
    <row r="231" spans="1:11" x14ac:dyDescent="0.25">
      <c r="A231" s="31">
        <v>230</v>
      </c>
      <c r="B231" s="32">
        <f t="shared" si="7"/>
        <v>43639</v>
      </c>
      <c r="C231" s="32" t="s">
        <v>960</v>
      </c>
      <c r="D231" s="60" t="s">
        <v>957</v>
      </c>
      <c r="E231" s="27" t="s">
        <v>479</v>
      </c>
      <c r="F231" s="28" t="s">
        <v>480</v>
      </c>
      <c r="G231" s="27" t="s">
        <v>869</v>
      </c>
      <c r="H231" s="27" t="s">
        <v>875</v>
      </c>
      <c r="I231" s="35">
        <f t="shared" si="6"/>
        <v>44371</v>
      </c>
      <c r="J231" s="31">
        <v>25</v>
      </c>
      <c r="K231" s="33">
        <f>StockInData[[#This Row],[Quantity]]*2.5</f>
        <v>62.5</v>
      </c>
    </row>
    <row r="232" spans="1:11" x14ac:dyDescent="0.25">
      <c r="A232" s="31">
        <v>231</v>
      </c>
      <c r="B232" s="32">
        <f t="shared" si="7"/>
        <v>43640</v>
      </c>
      <c r="C232" s="32" t="s">
        <v>960</v>
      </c>
      <c r="D232" s="60" t="s">
        <v>957</v>
      </c>
      <c r="E232" s="27" t="s">
        <v>481</v>
      </c>
      <c r="F232" s="28" t="s">
        <v>482</v>
      </c>
      <c r="G232" s="27" t="s">
        <v>869</v>
      </c>
      <c r="H232" s="27" t="s">
        <v>875</v>
      </c>
      <c r="I232" s="35">
        <f t="shared" si="6"/>
        <v>44373</v>
      </c>
      <c r="J232" s="31">
        <v>20</v>
      </c>
      <c r="K232" s="33">
        <f>StockInData[[#This Row],[Quantity]]*2.5</f>
        <v>50</v>
      </c>
    </row>
    <row r="233" spans="1:11" x14ac:dyDescent="0.25">
      <c r="A233" s="31">
        <v>232</v>
      </c>
      <c r="B233" s="32">
        <f t="shared" si="7"/>
        <v>43641</v>
      </c>
      <c r="C233" s="32" t="s">
        <v>960</v>
      </c>
      <c r="D233" s="60" t="s">
        <v>957</v>
      </c>
      <c r="E233" s="27" t="s">
        <v>483</v>
      </c>
      <c r="F233" s="28" t="s">
        <v>484</v>
      </c>
      <c r="G233" s="27" t="s">
        <v>869</v>
      </c>
      <c r="H233" s="27" t="s">
        <v>875</v>
      </c>
      <c r="I233" s="35">
        <f t="shared" si="6"/>
        <v>44375</v>
      </c>
      <c r="J233" s="31">
        <v>19</v>
      </c>
      <c r="K233" s="33">
        <f>StockInData[[#This Row],[Quantity]]*2.5</f>
        <v>47.5</v>
      </c>
    </row>
    <row r="234" spans="1:11" x14ac:dyDescent="0.25">
      <c r="A234" s="31">
        <v>233</v>
      </c>
      <c r="B234" s="32">
        <f t="shared" si="7"/>
        <v>43642</v>
      </c>
      <c r="C234" s="32" t="s">
        <v>960</v>
      </c>
      <c r="D234" s="60" t="s">
        <v>957</v>
      </c>
      <c r="E234" s="27" t="s">
        <v>485</v>
      </c>
      <c r="F234" s="28" t="s">
        <v>486</v>
      </c>
      <c r="G234" s="27" t="s">
        <v>869</v>
      </c>
      <c r="H234" s="27" t="s">
        <v>875</v>
      </c>
      <c r="I234" s="35">
        <f t="shared" si="6"/>
        <v>44377</v>
      </c>
      <c r="J234" s="31">
        <v>23</v>
      </c>
      <c r="K234" s="33">
        <f>StockInData[[#This Row],[Quantity]]*2.5</f>
        <v>57.5</v>
      </c>
    </row>
    <row r="235" spans="1:11" x14ac:dyDescent="0.25">
      <c r="A235" s="31">
        <v>234</v>
      </c>
      <c r="B235" s="32">
        <f t="shared" si="7"/>
        <v>43643</v>
      </c>
      <c r="C235" s="32" t="s">
        <v>960</v>
      </c>
      <c r="D235" s="60" t="s">
        <v>957</v>
      </c>
      <c r="E235" s="27" t="s">
        <v>487</v>
      </c>
      <c r="F235" s="28" t="s">
        <v>488</v>
      </c>
      <c r="G235" s="27" t="s">
        <v>869</v>
      </c>
      <c r="H235" s="27" t="s">
        <v>875</v>
      </c>
      <c r="I235" s="35">
        <f t="shared" si="6"/>
        <v>44379</v>
      </c>
      <c r="J235" s="31">
        <v>65</v>
      </c>
      <c r="K235" s="33">
        <f>StockInData[[#This Row],[Quantity]]*2.5</f>
        <v>162.5</v>
      </c>
    </row>
    <row r="236" spans="1:11" x14ac:dyDescent="0.25">
      <c r="A236" s="31">
        <v>235</v>
      </c>
      <c r="B236" s="32">
        <f t="shared" si="7"/>
        <v>43644</v>
      </c>
      <c r="C236" s="32" t="s">
        <v>960</v>
      </c>
      <c r="D236" s="60" t="s">
        <v>957</v>
      </c>
      <c r="E236" s="27" t="s">
        <v>489</v>
      </c>
      <c r="F236" s="28" t="s">
        <v>490</v>
      </c>
      <c r="G236" s="27" t="s">
        <v>869</v>
      </c>
      <c r="H236" s="27" t="s">
        <v>875</v>
      </c>
      <c r="I236" s="35">
        <f t="shared" si="6"/>
        <v>44381</v>
      </c>
      <c r="J236" s="31">
        <v>74</v>
      </c>
      <c r="K236" s="33">
        <f>StockInData[[#This Row],[Quantity]]*2.5</f>
        <v>185</v>
      </c>
    </row>
    <row r="237" spans="1:11" x14ac:dyDescent="0.25">
      <c r="A237" s="31">
        <v>236</v>
      </c>
      <c r="B237" s="32">
        <f t="shared" si="7"/>
        <v>43645</v>
      </c>
      <c r="C237" s="32" t="s">
        <v>960</v>
      </c>
      <c r="D237" s="60" t="s">
        <v>957</v>
      </c>
      <c r="E237" s="27" t="s">
        <v>491</v>
      </c>
      <c r="F237" s="28" t="s">
        <v>492</v>
      </c>
      <c r="G237" s="27" t="s">
        <v>869</v>
      </c>
      <c r="H237" s="27" t="s">
        <v>875</v>
      </c>
      <c r="I237" s="35">
        <f t="shared" si="6"/>
        <v>44383</v>
      </c>
      <c r="J237" s="31">
        <v>84</v>
      </c>
      <c r="K237" s="33">
        <f>StockInData[[#This Row],[Quantity]]*2.5</f>
        <v>210</v>
      </c>
    </row>
    <row r="238" spans="1:11" x14ac:dyDescent="0.25">
      <c r="A238" s="31">
        <v>237</v>
      </c>
      <c r="B238" s="32">
        <f t="shared" si="7"/>
        <v>43646</v>
      </c>
      <c r="C238" s="32" t="s">
        <v>960</v>
      </c>
      <c r="D238" s="60" t="s">
        <v>957</v>
      </c>
      <c r="E238" s="27" t="s">
        <v>493</v>
      </c>
      <c r="F238" s="28" t="s">
        <v>494</v>
      </c>
      <c r="G238" s="27" t="s">
        <v>869</v>
      </c>
      <c r="H238" s="27" t="s">
        <v>875</v>
      </c>
      <c r="I238" s="35">
        <f t="shared" si="6"/>
        <v>44385</v>
      </c>
      <c r="J238" s="31">
        <v>99</v>
      </c>
      <c r="K238" s="33">
        <f>StockInData[[#This Row],[Quantity]]*2.5</f>
        <v>247.5</v>
      </c>
    </row>
    <row r="239" spans="1:11" x14ac:dyDescent="0.25">
      <c r="A239" s="31">
        <v>238</v>
      </c>
      <c r="B239" s="32">
        <f t="shared" si="7"/>
        <v>43647</v>
      </c>
      <c r="C239" s="32" t="s">
        <v>960</v>
      </c>
      <c r="D239" s="60" t="s">
        <v>957</v>
      </c>
      <c r="E239" s="27" t="s">
        <v>495</v>
      </c>
      <c r="F239" s="28" t="s">
        <v>496</v>
      </c>
      <c r="G239" s="27" t="s">
        <v>869</v>
      </c>
      <c r="H239" s="27" t="s">
        <v>875</v>
      </c>
      <c r="I239" s="35">
        <f t="shared" si="6"/>
        <v>44387</v>
      </c>
      <c r="J239" s="31">
        <v>101</v>
      </c>
      <c r="K239" s="33">
        <f>StockInData[[#This Row],[Quantity]]*2.5</f>
        <v>252.5</v>
      </c>
    </row>
    <row r="240" spans="1:11" x14ac:dyDescent="0.25">
      <c r="A240" s="31">
        <v>239</v>
      </c>
      <c r="B240" s="32">
        <f t="shared" si="7"/>
        <v>43648</v>
      </c>
      <c r="C240" s="32" t="s">
        <v>960</v>
      </c>
      <c r="D240" s="60" t="s">
        <v>957</v>
      </c>
      <c r="E240" s="27" t="s">
        <v>497</v>
      </c>
      <c r="F240" s="28" t="s">
        <v>498</v>
      </c>
      <c r="G240" s="27" t="s">
        <v>869</v>
      </c>
      <c r="H240" s="27" t="s">
        <v>875</v>
      </c>
      <c r="I240" s="35">
        <f t="shared" si="6"/>
        <v>44389</v>
      </c>
      <c r="J240" s="31">
        <v>100</v>
      </c>
      <c r="K240" s="33">
        <f>StockInData[[#This Row],[Quantity]]*2.5</f>
        <v>250</v>
      </c>
    </row>
    <row r="241" spans="1:11" x14ac:dyDescent="0.25">
      <c r="A241" s="31">
        <v>240</v>
      </c>
      <c r="B241" s="32">
        <f t="shared" si="7"/>
        <v>43649</v>
      </c>
      <c r="C241" s="32" t="s">
        <v>960</v>
      </c>
      <c r="D241" s="60" t="s">
        <v>957</v>
      </c>
      <c r="E241" s="27" t="s">
        <v>499</v>
      </c>
      <c r="F241" s="28" t="s">
        <v>500</v>
      </c>
      <c r="G241" s="27" t="s">
        <v>869</v>
      </c>
      <c r="H241" s="27" t="s">
        <v>875</v>
      </c>
      <c r="I241" s="35">
        <f t="shared" si="6"/>
        <v>44391</v>
      </c>
      <c r="J241" s="31">
        <v>60</v>
      </c>
      <c r="K241" s="33">
        <f>StockInData[[#This Row],[Quantity]]*2.5</f>
        <v>150</v>
      </c>
    </row>
    <row r="242" spans="1:11" x14ac:dyDescent="0.25">
      <c r="A242" s="31">
        <v>241</v>
      </c>
      <c r="B242" s="32">
        <f t="shared" si="7"/>
        <v>43650</v>
      </c>
      <c r="C242" s="32" t="s">
        <v>960</v>
      </c>
      <c r="D242" s="60" t="s">
        <v>957</v>
      </c>
      <c r="E242" s="27" t="s">
        <v>501</v>
      </c>
      <c r="F242" s="28" t="s">
        <v>502</v>
      </c>
      <c r="G242" s="27" t="s">
        <v>869</v>
      </c>
      <c r="H242" s="27" t="s">
        <v>875</v>
      </c>
      <c r="I242" s="35">
        <f t="shared" si="6"/>
        <v>44393</v>
      </c>
      <c r="J242" s="31">
        <v>40</v>
      </c>
      <c r="K242" s="33">
        <f>StockInData[[#This Row],[Quantity]]*2.5</f>
        <v>100</v>
      </c>
    </row>
    <row r="243" spans="1:11" x14ac:dyDescent="0.25">
      <c r="A243" s="31">
        <v>242</v>
      </c>
      <c r="B243" s="32">
        <f t="shared" si="7"/>
        <v>43651</v>
      </c>
      <c r="C243" s="32" t="s">
        <v>960</v>
      </c>
      <c r="D243" s="60" t="s">
        <v>957</v>
      </c>
      <c r="E243" s="27" t="s">
        <v>503</v>
      </c>
      <c r="F243" s="28" t="s">
        <v>504</v>
      </c>
      <c r="G243" s="27" t="s">
        <v>869</v>
      </c>
      <c r="H243" s="27" t="s">
        <v>875</v>
      </c>
      <c r="I243" s="35">
        <f t="shared" si="6"/>
        <v>44395</v>
      </c>
      <c r="J243" s="31">
        <v>30</v>
      </c>
      <c r="K243" s="33">
        <f>StockInData[[#This Row],[Quantity]]*2.5</f>
        <v>75</v>
      </c>
    </row>
    <row r="244" spans="1:11" x14ac:dyDescent="0.25">
      <c r="A244" s="31">
        <v>243</v>
      </c>
      <c r="B244" s="32">
        <f t="shared" si="7"/>
        <v>43652</v>
      </c>
      <c r="C244" s="32" t="s">
        <v>960</v>
      </c>
      <c r="D244" s="60" t="s">
        <v>957</v>
      </c>
      <c r="E244" s="27" t="s">
        <v>505</v>
      </c>
      <c r="F244" s="28" t="s">
        <v>506</v>
      </c>
      <c r="G244" s="27" t="s">
        <v>869</v>
      </c>
      <c r="H244" s="27" t="s">
        <v>875</v>
      </c>
      <c r="I244" s="35">
        <f t="shared" si="6"/>
        <v>44397</v>
      </c>
      <c r="J244" s="31">
        <v>25</v>
      </c>
      <c r="K244" s="33">
        <f>StockInData[[#This Row],[Quantity]]*2.5</f>
        <v>62.5</v>
      </c>
    </row>
    <row r="245" spans="1:11" x14ac:dyDescent="0.25">
      <c r="A245" s="31">
        <v>244</v>
      </c>
      <c r="B245" s="32">
        <f t="shared" si="7"/>
        <v>43653</v>
      </c>
      <c r="C245" s="32" t="s">
        <v>960</v>
      </c>
      <c r="D245" s="60" t="s">
        <v>957</v>
      </c>
      <c r="E245" s="27" t="s">
        <v>507</v>
      </c>
      <c r="F245" s="28" t="s">
        <v>508</v>
      </c>
      <c r="G245" s="27" t="s">
        <v>869</v>
      </c>
      <c r="H245" s="27" t="s">
        <v>875</v>
      </c>
      <c r="I245" s="35">
        <f t="shared" si="6"/>
        <v>44399</v>
      </c>
      <c r="J245" s="31">
        <v>20</v>
      </c>
      <c r="K245" s="33">
        <f>StockInData[[#This Row],[Quantity]]*2.5</f>
        <v>50</v>
      </c>
    </row>
    <row r="246" spans="1:11" x14ac:dyDescent="0.25">
      <c r="A246" s="31">
        <v>245</v>
      </c>
      <c r="B246" s="32">
        <f t="shared" si="7"/>
        <v>43654</v>
      </c>
      <c r="C246" s="32" t="s">
        <v>960</v>
      </c>
      <c r="D246" s="60" t="s">
        <v>957</v>
      </c>
      <c r="E246" s="27" t="s">
        <v>509</v>
      </c>
      <c r="F246" s="28" t="s">
        <v>510</v>
      </c>
      <c r="G246" s="27" t="s">
        <v>869</v>
      </c>
      <c r="H246" s="27" t="s">
        <v>875</v>
      </c>
      <c r="I246" s="35">
        <f t="shared" si="6"/>
        <v>44401</v>
      </c>
      <c r="J246" s="31">
        <v>19</v>
      </c>
      <c r="K246" s="33">
        <f>StockInData[[#This Row],[Quantity]]*2.5</f>
        <v>47.5</v>
      </c>
    </row>
    <row r="247" spans="1:11" x14ac:dyDescent="0.25">
      <c r="A247" s="31">
        <v>246</v>
      </c>
      <c r="B247" s="32">
        <f t="shared" si="7"/>
        <v>43655</v>
      </c>
      <c r="C247" s="32" t="s">
        <v>960</v>
      </c>
      <c r="D247" s="60" t="s">
        <v>957</v>
      </c>
      <c r="E247" s="27" t="s">
        <v>511</v>
      </c>
      <c r="F247" s="28" t="s">
        <v>512</v>
      </c>
      <c r="G247" s="27" t="s">
        <v>869</v>
      </c>
      <c r="H247" s="27" t="s">
        <v>875</v>
      </c>
      <c r="I247" s="35">
        <f t="shared" si="6"/>
        <v>44403</v>
      </c>
      <c r="J247" s="31">
        <v>23</v>
      </c>
      <c r="K247" s="33">
        <f>StockInData[[#This Row],[Quantity]]*2.5</f>
        <v>57.5</v>
      </c>
    </row>
    <row r="248" spans="1:11" x14ac:dyDescent="0.25">
      <c r="A248" s="31">
        <v>247</v>
      </c>
      <c r="B248" s="32">
        <f t="shared" si="7"/>
        <v>43656</v>
      </c>
      <c r="C248" s="32" t="s">
        <v>960</v>
      </c>
      <c r="D248" s="60" t="s">
        <v>957</v>
      </c>
      <c r="E248" s="27" t="s">
        <v>513</v>
      </c>
      <c r="F248" s="28" t="s">
        <v>514</v>
      </c>
      <c r="G248" s="27" t="s">
        <v>869</v>
      </c>
      <c r="H248" s="27" t="s">
        <v>875</v>
      </c>
      <c r="I248" s="35">
        <f t="shared" si="6"/>
        <v>44405</v>
      </c>
      <c r="J248" s="31">
        <v>65</v>
      </c>
      <c r="K248" s="33">
        <f>StockInData[[#This Row],[Quantity]]*2.5</f>
        <v>162.5</v>
      </c>
    </row>
    <row r="249" spans="1:11" x14ac:dyDescent="0.25">
      <c r="A249" s="31">
        <v>248</v>
      </c>
      <c r="B249" s="32">
        <f t="shared" si="7"/>
        <v>43657</v>
      </c>
      <c r="C249" s="32" t="s">
        <v>960</v>
      </c>
      <c r="D249" s="60" t="s">
        <v>957</v>
      </c>
      <c r="E249" s="27" t="s">
        <v>515</v>
      </c>
      <c r="F249" s="28" t="s">
        <v>516</v>
      </c>
      <c r="G249" s="27" t="s">
        <v>869</v>
      </c>
      <c r="H249" s="27" t="s">
        <v>875</v>
      </c>
      <c r="I249" s="35">
        <f t="shared" si="6"/>
        <v>44407</v>
      </c>
      <c r="J249" s="31">
        <v>74</v>
      </c>
      <c r="K249" s="33">
        <f>StockInData[[#This Row],[Quantity]]*2.5</f>
        <v>185</v>
      </c>
    </row>
    <row r="250" spans="1:11" x14ac:dyDescent="0.25">
      <c r="A250" s="31">
        <v>249</v>
      </c>
      <c r="B250" s="32">
        <f t="shared" si="7"/>
        <v>43658</v>
      </c>
      <c r="C250" s="32" t="s">
        <v>960</v>
      </c>
      <c r="D250" s="60" t="s">
        <v>957</v>
      </c>
      <c r="E250" s="27" t="s">
        <v>517</v>
      </c>
      <c r="F250" s="28" t="s">
        <v>518</v>
      </c>
      <c r="G250" s="27" t="s">
        <v>869</v>
      </c>
      <c r="H250" s="27" t="s">
        <v>875</v>
      </c>
      <c r="I250" s="35">
        <f t="shared" si="6"/>
        <v>44409</v>
      </c>
      <c r="J250" s="31">
        <v>84</v>
      </c>
      <c r="K250" s="33">
        <f>StockInData[[#This Row],[Quantity]]*2.5</f>
        <v>210</v>
      </c>
    </row>
    <row r="251" spans="1:11" x14ac:dyDescent="0.25">
      <c r="A251" s="31">
        <v>250</v>
      </c>
      <c r="B251" s="32">
        <f t="shared" si="7"/>
        <v>43659</v>
      </c>
      <c r="C251" s="32" t="s">
        <v>960</v>
      </c>
      <c r="D251" s="60" t="s">
        <v>957</v>
      </c>
      <c r="E251" s="27" t="s">
        <v>519</v>
      </c>
      <c r="F251" s="28" t="s">
        <v>520</v>
      </c>
      <c r="G251" s="27" t="s">
        <v>869</v>
      </c>
      <c r="H251" s="27" t="s">
        <v>875</v>
      </c>
      <c r="I251" s="35">
        <f t="shared" si="6"/>
        <v>44411</v>
      </c>
      <c r="J251" s="31">
        <v>99</v>
      </c>
      <c r="K251" s="33">
        <f>StockInData[[#This Row],[Quantity]]*2.5</f>
        <v>247.5</v>
      </c>
    </row>
    <row r="252" spans="1:11" x14ac:dyDescent="0.25">
      <c r="A252" s="31">
        <v>251</v>
      </c>
      <c r="B252" s="32">
        <f t="shared" si="7"/>
        <v>43660</v>
      </c>
      <c r="C252" s="32" t="s">
        <v>960</v>
      </c>
      <c r="D252" s="60" t="s">
        <v>957</v>
      </c>
      <c r="E252" s="27" t="s">
        <v>521</v>
      </c>
      <c r="F252" s="28" t="s">
        <v>522</v>
      </c>
      <c r="G252" s="27" t="s">
        <v>869</v>
      </c>
      <c r="H252" s="27" t="s">
        <v>875</v>
      </c>
      <c r="I252" s="35">
        <f t="shared" si="6"/>
        <v>44413</v>
      </c>
      <c r="J252" s="31">
        <v>101</v>
      </c>
      <c r="K252" s="33">
        <f>StockInData[[#This Row],[Quantity]]*2.5</f>
        <v>252.5</v>
      </c>
    </row>
    <row r="253" spans="1:11" x14ac:dyDescent="0.25">
      <c r="A253" s="31">
        <v>252</v>
      </c>
      <c r="B253" s="32">
        <f t="shared" si="7"/>
        <v>43661</v>
      </c>
      <c r="C253" s="32" t="s">
        <v>960</v>
      </c>
      <c r="D253" s="60" t="s">
        <v>957</v>
      </c>
      <c r="E253" s="27" t="s">
        <v>523</v>
      </c>
      <c r="F253" s="28" t="s">
        <v>524</v>
      </c>
      <c r="G253" s="27" t="s">
        <v>869</v>
      </c>
      <c r="H253" s="27" t="s">
        <v>875</v>
      </c>
      <c r="I253" s="35">
        <f t="shared" si="6"/>
        <v>44415</v>
      </c>
      <c r="J253" s="31">
        <v>100</v>
      </c>
      <c r="K253" s="33">
        <f>StockInData[[#This Row],[Quantity]]*2.5</f>
        <v>250</v>
      </c>
    </row>
    <row r="254" spans="1:11" x14ac:dyDescent="0.25">
      <c r="A254" s="31">
        <v>253</v>
      </c>
      <c r="B254" s="32">
        <f t="shared" si="7"/>
        <v>43662</v>
      </c>
      <c r="C254" s="32" t="s">
        <v>960</v>
      </c>
      <c r="D254" s="60" t="s">
        <v>957</v>
      </c>
      <c r="E254" s="27" t="s">
        <v>525</v>
      </c>
      <c r="F254" s="28" t="s">
        <v>526</v>
      </c>
      <c r="G254" s="27" t="s">
        <v>869</v>
      </c>
      <c r="H254" s="27" t="s">
        <v>875</v>
      </c>
      <c r="I254" s="35">
        <f t="shared" si="6"/>
        <v>44417</v>
      </c>
      <c r="J254" s="31">
        <v>100</v>
      </c>
      <c r="K254" s="33">
        <f>StockInData[[#This Row],[Quantity]]*2.5</f>
        <v>250</v>
      </c>
    </row>
    <row r="255" spans="1:11" x14ac:dyDescent="0.25">
      <c r="A255" s="31">
        <v>254</v>
      </c>
      <c r="B255" s="32">
        <f t="shared" si="7"/>
        <v>43663</v>
      </c>
      <c r="C255" s="32" t="s">
        <v>960</v>
      </c>
      <c r="D255" s="60" t="s">
        <v>957</v>
      </c>
      <c r="E255" s="27" t="s">
        <v>527</v>
      </c>
      <c r="F255" s="28" t="s">
        <v>528</v>
      </c>
      <c r="G255" s="27" t="s">
        <v>869</v>
      </c>
      <c r="H255" s="27" t="s">
        <v>875</v>
      </c>
      <c r="I255" s="35">
        <f t="shared" si="6"/>
        <v>44419</v>
      </c>
      <c r="J255" s="31">
        <v>100</v>
      </c>
      <c r="K255" s="33">
        <f>StockInData[[#This Row],[Quantity]]*2.5</f>
        <v>250</v>
      </c>
    </row>
    <row r="256" spans="1:11" x14ac:dyDescent="0.25">
      <c r="A256" s="31">
        <v>255</v>
      </c>
      <c r="B256" s="32">
        <f t="shared" si="7"/>
        <v>43664</v>
      </c>
      <c r="C256" s="32" t="s">
        <v>960</v>
      </c>
      <c r="D256" s="60" t="s">
        <v>957</v>
      </c>
      <c r="E256" s="27" t="s">
        <v>529</v>
      </c>
      <c r="F256" s="28" t="s">
        <v>530</v>
      </c>
      <c r="G256" s="27" t="s">
        <v>869</v>
      </c>
      <c r="H256" s="27" t="s">
        <v>875</v>
      </c>
      <c r="I256" s="35">
        <f t="shared" si="6"/>
        <v>44421</v>
      </c>
      <c r="J256" s="31">
        <v>100</v>
      </c>
      <c r="K256" s="33">
        <f>StockInData[[#This Row],[Quantity]]*2.5</f>
        <v>250</v>
      </c>
    </row>
    <row r="257" spans="1:11" x14ac:dyDescent="0.25">
      <c r="A257" s="31">
        <v>256</v>
      </c>
      <c r="B257" s="32">
        <f t="shared" si="7"/>
        <v>43665</v>
      </c>
      <c r="C257" s="32" t="s">
        <v>960</v>
      </c>
      <c r="D257" s="60" t="s">
        <v>957</v>
      </c>
      <c r="E257" s="27" t="s">
        <v>531</v>
      </c>
      <c r="F257" s="28" t="s">
        <v>532</v>
      </c>
      <c r="G257" s="27" t="s">
        <v>869</v>
      </c>
      <c r="H257" s="27" t="s">
        <v>875</v>
      </c>
      <c r="I257" s="35">
        <f t="shared" si="6"/>
        <v>44423</v>
      </c>
      <c r="J257" s="31">
        <v>100</v>
      </c>
      <c r="K257" s="33">
        <f>StockInData[[#This Row],[Quantity]]*2.5</f>
        <v>250</v>
      </c>
    </row>
    <row r="258" spans="1:11" x14ac:dyDescent="0.25">
      <c r="A258" s="31">
        <v>257</v>
      </c>
      <c r="B258" s="32">
        <f t="shared" si="7"/>
        <v>43666</v>
      </c>
      <c r="C258" s="32" t="s">
        <v>960</v>
      </c>
      <c r="D258" s="60" t="s">
        <v>957</v>
      </c>
      <c r="E258" s="27" t="s">
        <v>533</v>
      </c>
      <c r="F258" s="28" t="s">
        <v>534</v>
      </c>
      <c r="G258" s="27" t="s">
        <v>869</v>
      </c>
      <c r="H258" s="27" t="s">
        <v>875</v>
      </c>
      <c r="I258" s="35">
        <f t="shared" si="6"/>
        <v>44425</v>
      </c>
      <c r="J258" s="31">
        <v>100</v>
      </c>
      <c r="K258" s="33">
        <f>StockInData[[#This Row],[Quantity]]*2.5</f>
        <v>250</v>
      </c>
    </row>
    <row r="259" spans="1:11" x14ac:dyDescent="0.25">
      <c r="A259" s="31">
        <v>258</v>
      </c>
      <c r="B259" s="32">
        <f t="shared" si="7"/>
        <v>43667</v>
      </c>
      <c r="C259" s="32" t="s">
        <v>960</v>
      </c>
      <c r="D259" s="60" t="s">
        <v>957</v>
      </c>
      <c r="E259" s="27" t="s">
        <v>535</v>
      </c>
      <c r="F259" s="28" t="s">
        <v>536</v>
      </c>
      <c r="G259" s="27" t="s">
        <v>869</v>
      </c>
      <c r="H259" s="27" t="s">
        <v>875</v>
      </c>
      <c r="I259" s="35">
        <f t="shared" si="6"/>
        <v>44427</v>
      </c>
      <c r="J259" s="31">
        <v>40</v>
      </c>
      <c r="K259" s="33">
        <f>StockInData[[#This Row],[Quantity]]*2.5</f>
        <v>100</v>
      </c>
    </row>
    <row r="260" spans="1:11" x14ac:dyDescent="0.25">
      <c r="A260" s="31">
        <v>259</v>
      </c>
      <c r="B260" s="32">
        <f t="shared" si="7"/>
        <v>43668</v>
      </c>
      <c r="C260" s="32" t="s">
        <v>960</v>
      </c>
      <c r="D260" s="60" t="s">
        <v>957</v>
      </c>
      <c r="E260" s="27" t="s">
        <v>537</v>
      </c>
      <c r="F260" s="28" t="s">
        <v>538</v>
      </c>
      <c r="G260" s="27" t="s">
        <v>869</v>
      </c>
      <c r="H260" s="27" t="s">
        <v>875</v>
      </c>
      <c r="I260" s="35">
        <f t="shared" ref="I260:I323" si="8">I259+2</f>
        <v>44429</v>
      </c>
      <c r="J260" s="31">
        <v>30</v>
      </c>
      <c r="K260" s="33">
        <f>StockInData[[#This Row],[Quantity]]*2.5</f>
        <v>75</v>
      </c>
    </row>
    <row r="261" spans="1:11" x14ac:dyDescent="0.25">
      <c r="A261" s="31">
        <v>260</v>
      </c>
      <c r="B261" s="32">
        <f t="shared" ref="B261:B324" si="9">B260+1</f>
        <v>43669</v>
      </c>
      <c r="C261" s="32" t="s">
        <v>960</v>
      </c>
      <c r="D261" s="60" t="s">
        <v>957</v>
      </c>
      <c r="E261" s="27" t="s">
        <v>539</v>
      </c>
      <c r="F261" s="28" t="s">
        <v>540</v>
      </c>
      <c r="G261" s="27" t="s">
        <v>869</v>
      </c>
      <c r="H261" s="27" t="s">
        <v>875</v>
      </c>
      <c r="I261" s="35">
        <f t="shared" si="8"/>
        <v>44431</v>
      </c>
      <c r="J261" s="31">
        <v>25</v>
      </c>
      <c r="K261" s="33">
        <f>StockInData[[#This Row],[Quantity]]*2.5</f>
        <v>62.5</v>
      </c>
    </row>
    <row r="262" spans="1:11" x14ac:dyDescent="0.25">
      <c r="A262" s="31">
        <v>261</v>
      </c>
      <c r="B262" s="32">
        <f t="shared" si="9"/>
        <v>43670</v>
      </c>
      <c r="C262" s="32" t="s">
        <v>960</v>
      </c>
      <c r="D262" s="60" t="s">
        <v>957</v>
      </c>
      <c r="E262" s="27" t="s">
        <v>541</v>
      </c>
      <c r="F262" s="28" t="s">
        <v>542</v>
      </c>
      <c r="G262" s="27" t="s">
        <v>869</v>
      </c>
      <c r="H262" s="27" t="s">
        <v>875</v>
      </c>
      <c r="I262" s="35">
        <f t="shared" si="8"/>
        <v>44433</v>
      </c>
      <c r="J262" s="31">
        <v>20</v>
      </c>
      <c r="K262" s="33">
        <f>StockInData[[#This Row],[Quantity]]*2.5</f>
        <v>50</v>
      </c>
    </row>
    <row r="263" spans="1:11" x14ac:dyDescent="0.25">
      <c r="A263" s="31">
        <v>262</v>
      </c>
      <c r="B263" s="32">
        <f t="shared" si="9"/>
        <v>43671</v>
      </c>
      <c r="C263" s="32" t="s">
        <v>960</v>
      </c>
      <c r="D263" s="60" t="s">
        <v>957</v>
      </c>
      <c r="E263" s="27" t="s">
        <v>543</v>
      </c>
      <c r="F263" s="28" t="s">
        <v>544</v>
      </c>
      <c r="G263" s="27" t="s">
        <v>869</v>
      </c>
      <c r="H263" s="27" t="s">
        <v>875</v>
      </c>
      <c r="I263" s="35">
        <f t="shared" si="8"/>
        <v>44435</v>
      </c>
      <c r="J263" s="31">
        <v>19</v>
      </c>
      <c r="K263" s="33">
        <f>StockInData[[#This Row],[Quantity]]*2.5</f>
        <v>47.5</v>
      </c>
    </row>
    <row r="264" spans="1:11" x14ac:dyDescent="0.25">
      <c r="A264" s="31">
        <v>263</v>
      </c>
      <c r="B264" s="32">
        <f t="shared" si="9"/>
        <v>43672</v>
      </c>
      <c r="C264" s="32" t="s">
        <v>960</v>
      </c>
      <c r="D264" s="60" t="s">
        <v>957</v>
      </c>
      <c r="E264" s="27" t="s">
        <v>545</v>
      </c>
      <c r="F264" s="28" t="s">
        <v>546</v>
      </c>
      <c r="G264" s="27" t="s">
        <v>869</v>
      </c>
      <c r="H264" s="27" t="s">
        <v>875</v>
      </c>
      <c r="I264" s="35">
        <f t="shared" si="8"/>
        <v>44437</v>
      </c>
      <c r="J264" s="31">
        <v>23</v>
      </c>
      <c r="K264" s="33">
        <f>StockInData[[#This Row],[Quantity]]*2.5</f>
        <v>57.5</v>
      </c>
    </row>
    <row r="265" spans="1:11" x14ac:dyDescent="0.25">
      <c r="A265" s="31">
        <v>264</v>
      </c>
      <c r="B265" s="32">
        <f t="shared" si="9"/>
        <v>43673</v>
      </c>
      <c r="C265" s="32" t="s">
        <v>960</v>
      </c>
      <c r="D265" s="60" t="s">
        <v>957</v>
      </c>
      <c r="E265" s="27" t="s">
        <v>547</v>
      </c>
      <c r="F265" s="28" t="s">
        <v>548</v>
      </c>
      <c r="G265" s="27" t="s">
        <v>869</v>
      </c>
      <c r="H265" s="27" t="s">
        <v>875</v>
      </c>
      <c r="I265" s="35">
        <f t="shared" si="8"/>
        <v>44439</v>
      </c>
      <c r="J265" s="31">
        <v>65</v>
      </c>
      <c r="K265" s="33">
        <f>StockInData[[#This Row],[Quantity]]*2.5</f>
        <v>162.5</v>
      </c>
    </row>
    <row r="266" spans="1:11" x14ac:dyDescent="0.25">
      <c r="A266" s="31">
        <v>265</v>
      </c>
      <c r="B266" s="32">
        <f t="shared" si="9"/>
        <v>43674</v>
      </c>
      <c r="C266" s="32" t="s">
        <v>960</v>
      </c>
      <c r="D266" s="60" t="s">
        <v>957</v>
      </c>
      <c r="E266" s="27" t="s">
        <v>549</v>
      </c>
      <c r="F266" s="28" t="s">
        <v>550</v>
      </c>
      <c r="G266" s="27" t="s">
        <v>869</v>
      </c>
      <c r="H266" s="27" t="s">
        <v>875</v>
      </c>
      <c r="I266" s="35">
        <f t="shared" si="8"/>
        <v>44441</v>
      </c>
      <c r="J266" s="31">
        <v>74</v>
      </c>
      <c r="K266" s="33">
        <f>StockInData[[#This Row],[Quantity]]*2.5</f>
        <v>185</v>
      </c>
    </row>
    <row r="267" spans="1:11" x14ac:dyDescent="0.25">
      <c r="A267" s="31">
        <v>266</v>
      </c>
      <c r="B267" s="32">
        <f t="shared" si="9"/>
        <v>43675</v>
      </c>
      <c r="C267" s="32" t="s">
        <v>960</v>
      </c>
      <c r="D267" s="60" t="s">
        <v>957</v>
      </c>
      <c r="E267" s="27" t="s">
        <v>551</v>
      </c>
      <c r="F267" s="28" t="s">
        <v>552</v>
      </c>
      <c r="G267" s="27" t="s">
        <v>869</v>
      </c>
      <c r="H267" s="27" t="s">
        <v>875</v>
      </c>
      <c r="I267" s="35">
        <f t="shared" si="8"/>
        <v>44443</v>
      </c>
      <c r="J267" s="31">
        <v>84</v>
      </c>
      <c r="K267" s="33">
        <f>StockInData[[#This Row],[Quantity]]*2.5</f>
        <v>210</v>
      </c>
    </row>
    <row r="268" spans="1:11" x14ac:dyDescent="0.25">
      <c r="A268" s="31">
        <v>267</v>
      </c>
      <c r="B268" s="32">
        <f t="shared" si="9"/>
        <v>43676</v>
      </c>
      <c r="C268" s="32" t="s">
        <v>960</v>
      </c>
      <c r="D268" s="60" t="s">
        <v>957</v>
      </c>
      <c r="E268" s="27" t="s">
        <v>553</v>
      </c>
      <c r="F268" s="28" t="s">
        <v>554</v>
      </c>
      <c r="G268" s="27" t="s">
        <v>869</v>
      </c>
      <c r="H268" s="27" t="s">
        <v>875</v>
      </c>
      <c r="I268" s="35">
        <f t="shared" si="8"/>
        <v>44445</v>
      </c>
      <c r="J268" s="31">
        <v>99</v>
      </c>
      <c r="K268" s="33">
        <f>StockInData[[#This Row],[Quantity]]*2.5</f>
        <v>247.5</v>
      </c>
    </row>
    <row r="269" spans="1:11" x14ac:dyDescent="0.25">
      <c r="A269" s="31">
        <v>268</v>
      </c>
      <c r="B269" s="32">
        <f t="shared" si="9"/>
        <v>43677</v>
      </c>
      <c r="C269" s="32" t="s">
        <v>960</v>
      </c>
      <c r="D269" s="60" t="s">
        <v>957</v>
      </c>
      <c r="E269" s="27" t="s">
        <v>555</v>
      </c>
      <c r="F269" s="28" t="s">
        <v>556</v>
      </c>
      <c r="G269" s="27" t="s">
        <v>869</v>
      </c>
      <c r="H269" s="27" t="s">
        <v>875</v>
      </c>
      <c r="I269" s="35">
        <f t="shared" si="8"/>
        <v>44447</v>
      </c>
      <c r="J269" s="31">
        <v>101</v>
      </c>
      <c r="K269" s="33">
        <f>StockInData[[#This Row],[Quantity]]*2.5</f>
        <v>252.5</v>
      </c>
    </row>
    <row r="270" spans="1:11" x14ac:dyDescent="0.25">
      <c r="A270" s="31">
        <v>269</v>
      </c>
      <c r="B270" s="32">
        <f t="shared" si="9"/>
        <v>43678</v>
      </c>
      <c r="C270" s="32" t="s">
        <v>960</v>
      </c>
      <c r="D270" s="60" t="s">
        <v>957</v>
      </c>
      <c r="E270" s="27" t="s">
        <v>557</v>
      </c>
      <c r="F270" s="28" t="s">
        <v>558</v>
      </c>
      <c r="G270" s="27" t="s">
        <v>869</v>
      </c>
      <c r="H270" s="27" t="s">
        <v>875</v>
      </c>
      <c r="I270" s="35">
        <f t="shared" si="8"/>
        <v>44449</v>
      </c>
      <c r="J270" s="31">
        <v>60</v>
      </c>
      <c r="K270" s="33">
        <f>StockInData[[#This Row],[Quantity]]*2.5</f>
        <v>150</v>
      </c>
    </row>
    <row r="271" spans="1:11" x14ac:dyDescent="0.25">
      <c r="A271" s="31">
        <v>270</v>
      </c>
      <c r="B271" s="32">
        <f t="shared" si="9"/>
        <v>43679</v>
      </c>
      <c r="C271" s="32" t="s">
        <v>960</v>
      </c>
      <c r="D271" s="60" t="s">
        <v>957</v>
      </c>
      <c r="E271" s="27" t="s">
        <v>559</v>
      </c>
      <c r="F271" s="28" t="s">
        <v>560</v>
      </c>
      <c r="G271" s="27" t="s">
        <v>869</v>
      </c>
      <c r="H271" s="27" t="s">
        <v>875</v>
      </c>
      <c r="I271" s="35">
        <f t="shared" si="8"/>
        <v>44451</v>
      </c>
      <c r="J271" s="31">
        <v>40</v>
      </c>
      <c r="K271" s="33">
        <f>StockInData[[#This Row],[Quantity]]*2.5</f>
        <v>100</v>
      </c>
    </row>
    <row r="272" spans="1:11" x14ac:dyDescent="0.25">
      <c r="A272" s="31">
        <v>271</v>
      </c>
      <c r="B272" s="32">
        <f t="shared" si="9"/>
        <v>43680</v>
      </c>
      <c r="C272" s="32" t="s">
        <v>960</v>
      </c>
      <c r="D272" s="60" t="s">
        <v>957</v>
      </c>
      <c r="E272" s="27" t="s">
        <v>561</v>
      </c>
      <c r="F272" s="28" t="s">
        <v>562</v>
      </c>
      <c r="G272" s="27" t="s">
        <v>869</v>
      </c>
      <c r="H272" s="27" t="s">
        <v>875</v>
      </c>
      <c r="I272" s="35">
        <f t="shared" si="8"/>
        <v>44453</v>
      </c>
      <c r="J272" s="31">
        <v>30</v>
      </c>
      <c r="K272" s="33">
        <f>StockInData[[#This Row],[Quantity]]*2.5</f>
        <v>75</v>
      </c>
    </row>
    <row r="273" spans="1:11" x14ac:dyDescent="0.25">
      <c r="A273" s="31">
        <v>272</v>
      </c>
      <c r="B273" s="32">
        <f t="shared" si="9"/>
        <v>43681</v>
      </c>
      <c r="C273" s="32" t="s">
        <v>960</v>
      </c>
      <c r="D273" s="60" t="s">
        <v>957</v>
      </c>
      <c r="E273" s="27" t="s">
        <v>563</v>
      </c>
      <c r="F273" s="28" t="s">
        <v>564</v>
      </c>
      <c r="G273" s="27" t="s">
        <v>869</v>
      </c>
      <c r="H273" s="27" t="s">
        <v>875</v>
      </c>
      <c r="I273" s="35">
        <f t="shared" si="8"/>
        <v>44455</v>
      </c>
      <c r="J273" s="31">
        <v>25</v>
      </c>
      <c r="K273" s="33">
        <f>StockInData[[#This Row],[Quantity]]*2.5</f>
        <v>62.5</v>
      </c>
    </row>
    <row r="274" spans="1:11" x14ac:dyDescent="0.25">
      <c r="A274" s="31">
        <v>273</v>
      </c>
      <c r="B274" s="32">
        <f t="shared" si="9"/>
        <v>43682</v>
      </c>
      <c r="C274" s="32" t="s">
        <v>960</v>
      </c>
      <c r="D274" s="60" t="s">
        <v>957</v>
      </c>
      <c r="E274" s="27" t="s">
        <v>565</v>
      </c>
      <c r="F274" s="28" t="s">
        <v>566</v>
      </c>
      <c r="G274" s="27" t="s">
        <v>869</v>
      </c>
      <c r="H274" s="27" t="s">
        <v>875</v>
      </c>
      <c r="I274" s="35">
        <f t="shared" si="8"/>
        <v>44457</v>
      </c>
      <c r="J274" s="31">
        <v>20</v>
      </c>
      <c r="K274" s="33">
        <f>StockInData[[#This Row],[Quantity]]*2.5</f>
        <v>50</v>
      </c>
    </row>
    <row r="275" spans="1:11" x14ac:dyDescent="0.25">
      <c r="A275" s="31">
        <v>274</v>
      </c>
      <c r="B275" s="32">
        <f t="shared" si="9"/>
        <v>43683</v>
      </c>
      <c r="C275" s="32" t="s">
        <v>960</v>
      </c>
      <c r="D275" s="60" t="s">
        <v>957</v>
      </c>
      <c r="E275" s="27" t="s">
        <v>567</v>
      </c>
      <c r="F275" s="28" t="s">
        <v>568</v>
      </c>
      <c r="G275" s="27" t="s">
        <v>869</v>
      </c>
      <c r="H275" s="27" t="s">
        <v>875</v>
      </c>
      <c r="I275" s="35">
        <f t="shared" si="8"/>
        <v>44459</v>
      </c>
      <c r="J275" s="31">
        <v>19</v>
      </c>
      <c r="K275" s="33">
        <f>StockInData[[#This Row],[Quantity]]*2.5</f>
        <v>47.5</v>
      </c>
    </row>
    <row r="276" spans="1:11" x14ac:dyDescent="0.25">
      <c r="A276" s="31">
        <v>275</v>
      </c>
      <c r="B276" s="32">
        <f t="shared" si="9"/>
        <v>43684</v>
      </c>
      <c r="C276" s="32" t="s">
        <v>960</v>
      </c>
      <c r="D276" s="60" t="s">
        <v>957</v>
      </c>
      <c r="E276" s="27" t="s">
        <v>569</v>
      </c>
      <c r="F276" s="28" t="s">
        <v>570</v>
      </c>
      <c r="G276" s="27" t="s">
        <v>869</v>
      </c>
      <c r="H276" s="27" t="s">
        <v>875</v>
      </c>
      <c r="I276" s="35">
        <f t="shared" si="8"/>
        <v>44461</v>
      </c>
      <c r="J276" s="31">
        <v>23</v>
      </c>
      <c r="K276" s="33">
        <f>StockInData[[#This Row],[Quantity]]*2.5</f>
        <v>57.5</v>
      </c>
    </row>
    <row r="277" spans="1:11" x14ac:dyDescent="0.25">
      <c r="A277" s="31">
        <v>276</v>
      </c>
      <c r="B277" s="32">
        <f t="shared" si="9"/>
        <v>43685</v>
      </c>
      <c r="C277" s="32" t="s">
        <v>960</v>
      </c>
      <c r="D277" s="60" t="s">
        <v>957</v>
      </c>
      <c r="E277" s="27" t="s">
        <v>571</v>
      </c>
      <c r="F277" s="28" t="s">
        <v>572</v>
      </c>
      <c r="G277" s="27" t="s">
        <v>869</v>
      </c>
      <c r="H277" s="27" t="s">
        <v>875</v>
      </c>
      <c r="I277" s="35">
        <f t="shared" si="8"/>
        <v>44463</v>
      </c>
      <c r="J277" s="31">
        <v>65</v>
      </c>
      <c r="K277" s="33">
        <f>StockInData[[#This Row],[Quantity]]*2.5</f>
        <v>162.5</v>
      </c>
    </row>
    <row r="278" spans="1:11" x14ac:dyDescent="0.25">
      <c r="A278" s="31">
        <v>277</v>
      </c>
      <c r="B278" s="32">
        <f t="shared" si="9"/>
        <v>43686</v>
      </c>
      <c r="C278" s="32" t="s">
        <v>960</v>
      </c>
      <c r="D278" s="60" t="s">
        <v>957</v>
      </c>
      <c r="E278" s="27" t="s">
        <v>573</v>
      </c>
      <c r="F278" s="28" t="s">
        <v>574</v>
      </c>
      <c r="G278" s="27" t="s">
        <v>869</v>
      </c>
      <c r="H278" s="27" t="s">
        <v>875</v>
      </c>
      <c r="I278" s="35">
        <f t="shared" si="8"/>
        <v>44465</v>
      </c>
      <c r="J278" s="31">
        <v>74</v>
      </c>
      <c r="K278" s="33">
        <f>StockInData[[#This Row],[Quantity]]*2.5</f>
        <v>185</v>
      </c>
    </row>
    <row r="279" spans="1:11" x14ac:dyDescent="0.25">
      <c r="A279" s="31">
        <v>278</v>
      </c>
      <c r="B279" s="32">
        <f t="shared" si="9"/>
        <v>43687</v>
      </c>
      <c r="C279" s="32" t="s">
        <v>960</v>
      </c>
      <c r="D279" s="60" t="s">
        <v>957</v>
      </c>
      <c r="E279" s="27" t="s">
        <v>575</v>
      </c>
      <c r="F279" s="28" t="s">
        <v>576</v>
      </c>
      <c r="G279" s="27" t="s">
        <v>869</v>
      </c>
      <c r="H279" s="27" t="s">
        <v>875</v>
      </c>
      <c r="I279" s="35">
        <f t="shared" si="8"/>
        <v>44467</v>
      </c>
      <c r="J279" s="31">
        <v>84</v>
      </c>
      <c r="K279" s="33">
        <f>StockInData[[#This Row],[Quantity]]*2.5</f>
        <v>210</v>
      </c>
    </row>
    <row r="280" spans="1:11" x14ac:dyDescent="0.25">
      <c r="A280" s="31">
        <v>279</v>
      </c>
      <c r="B280" s="32">
        <f t="shared" si="9"/>
        <v>43688</v>
      </c>
      <c r="C280" s="32" t="s">
        <v>960</v>
      </c>
      <c r="D280" s="60" t="s">
        <v>957</v>
      </c>
      <c r="E280" s="27" t="s">
        <v>577</v>
      </c>
      <c r="F280" s="28" t="s">
        <v>578</v>
      </c>
      <c r="G280" s="27" t="s">
        <v>869</v>
      </c>
      <c r="H280" s="27" t="s">
        <v>875</v>
      </c>
      <c r="I280" s="35">
        <f t="shared" si="8"/>
        <v>44469</v>
      </c>
      <c r="J280" s="31">
        <v>99</v>
      </c>
      <c r="K280" s="33">
        <f>StockInData[[#This Row],[Quantity]]*2.5</f>
        <v>247.5</v>
      </c>
    </row>
    <row r="281" spans="1:11" x14ac:dyDescent="0.25">
      <c r="A281" s="31">
        <v>280</v>
      </c>
      <c r="B281" s="32">
        <f t="shared" si="9"/>
        <v>43689</v>
      </c>
      <c r="C281" s="32" t="s">
        <v>960</v>
      </c>
      <c r="D281" s="60" t="s">
        <v>957</v>
      </c>
      <c r="E281" s="27" t="s">
        <v>579</v>
      </c>
      <c r="F281" s="28" t="s">
        <v>580</v>
      </c>
      <c r="G281" s="27" t="s">
        <v>869</v>
      </c>
      <c r="H281" s="27" t="s">
        <v>875</v>
      </c>
      <c r="I281" s="35">
        <f t="shared" si="8"/>
        <v>44471</v>
      </c>
      <c r="J281" s="31">
        <v>101</v>
      </c>
      <c r="K281" s="33">
        <f>StockInData[[#This Row],[Quantity]]*2.5</f>
        <v>252.5</v>
      </c>
    </row>
    <row r="282" spans="1:11" x14ac:dyDescent="0.25">
      <c r="A282" s="31">
        <v>281</v>
      </c>
      <c r="B282" s="32">
        <f t="shared" si="9"/>
        <v>43690</v>
      </c>
      <c r="C282" s="32" t="s">
        <v>960</v>
      </c>
      <c r="D282" s="60" t="s">
        <v>957</v>
      </c>
      <c r="E282" s="27" t="s">
        <v>581</v>
      </c>
      <c r="F282" s="28" t="s">
        <v>582</v>
      </c>
      <c r="G282" s="27" t="s">
        <v>869</v>
      </c>
      <c r="H282" s="27" t="s">
        <v>875</v>
      </c>
      <c r="I282" s="35">
        <f t="shared" si="8"/>
        <v>44473</v>
      </c>
      <c r="J282" s="31">
        <v>60</v>
      </c>
      <c r="K282" s="33">
        <f>StockInData[[#This Row],[Quantity]]*2.5</f>
        <v>150</v>
      </c>
    </row>
    <row r="283" spans="1:11" x14ac:dyDescent="0.25">
      <c r="A283" s="31">
        <v>282</v>
      </c>
      <c r="B283" s="32">
        <f t="shared" si="9"/>
        <v>43691</v>
      </c>
      <c r="C283" s="32" t="s">
        <v>960</v>
      </c>
      <c r="D283" s="60" t="s">
        <v>957</v>
      </c>
      <c r="E283" s="27" t="s">
        <v>583</v>
      </c>
      <c r="F283" s="28" t="s">
        <v>584</v>
      </c>
      <c r="G283" s="27" t="s">
        <v>869</v>
      </c>
      <c r="H283" s="27" t="s">
        <v>875</v>
      </c>
      <c r="I283" s="35">
        <f t="shared" si="8"/>
        <v>44475</v>
      </c>
      <c r="J283" s="31">
        <v>40</v>
      </c>
      <c r="K283" s="33">
        <f>StockInData[[#This Row],[Quantity]]*2.5</f>
        <v>100</v>
      </c>
    </row>
    <row r="284" spans="1:11" x14ac:dyDescent="0.25">
      <c r="A284" s="31">
        <v>283</v>
      </c>
      <c r="B284" s="32">
        <f t="shared" si="9"/>
        <v>43692</v>
      </c>
      <c r="C284" s="32" t="s">
        <v>960</v>
      </c>
      <c r="D284" s="60" t="s">
        <v>957</v>
      </c>
      <c r="E284" s="27" t="s">
        <v>585</v>
      </c>
      <c r="F284" s="28" t="s">
        <v>586</v>
      </c>
      <c r="G284" s="27" t="s">
        <v>869</v>
      </c>
      <c r="H284" s="27" t="s">
        <v>875</v>
      </c>
      <c r="I284" s="35">
        <f t="shared" si="8"/>
        <v>44477</v>
      </c>
      <c r="J284" s="31">
        <v>30</v>
      </c>
      <c r="K284" s="33">
        <f>StockInData[[#This Row],[Quantity]]*2.5</f>
        <v>75</v>
      </c>
    </row>
    <row r="285" spans="1:11" x14ac:dyDescent="0.25">
      <c r="A285" s="31">
        <v>284</v>
      </c>
      <c r="B285" s="32">
        <f t="shared" si="9"/>
        <v>43693</v>
      </c>
      <c r="C285" s="32" t="s">
        <v>960</v>
      </c>
      <c r="D285" s="60" t="s">
        <v>957</v>
      </c>
      <c r="E285" s="27" t="s">
        <v>587</v>
      </c>
      <c r="F285" s="28" t="s">
        <v>588</v>
      </c>
      <c r="G285" s="27" t="s">
        <v>869</v>
      </c>
      <c r="H285" s="27" t="s">
        <v>875</v>
      </c>
      <c r="I285" s="35">
        <f t="shared" si="8"/>
        <v>44479</v>
      </c>
      <c r="J285" s="31">
        <v>25</v>
      </c>
      <c r="K285" s="33">
        <f>StockInData[[#This Row],[Quantity]]*2.5</f>
        <v>62.5</v>
      </c>
    </row>
    <row r="286" spans="1:11" x14ac:dyDescent="0.25">
      <c r="A286" s="31">
        <v>285</v>
      </c>
      <c r="B286" s="32">
        <f t="shared" si="9"/>
        <v>43694</v>
      </c>
      <c r="C286" s="32" t="s">
        <v>960</v>
      </c>
      <c r="D286" s="60" t="s">
        <v>957</v>
      </c>
      <c r="E286" s="27" t="s">
        <v>589</v>
      </c>
      <c r="F286" s="28" t="s">
        <v>590</v>
      </c>
      <c r="G286" s="27" t="s">
        <v>869</v>
      </c>
      <c r="H286" s="27" t="s">
        <v>875</v>
      </c>
      <c r="I286" s="35">
        <f t="shared" si="8"/>
        <v>44481</v>
      </c>
      <c r="J286" s="31">
        <v>20</v>
      </c>
      <c r="K286" s="33">
        <f>StockInData[[#This Row],[Quantity]]*2.5</f>
        <v>50</v>
      </c>
    </row>
    <row r="287" spans="1:11" x14ac:dyDescent="0.25">
      <c r="A287" s="31">
        <v>286</v>
      </c>
      <c r="B287" s="32">
        <f t="shared" si="9"/>
        <v>43695</v>
      </c>
      <c r="C287" s="32" t="s">
        <v>960</v>
      </c>
      <c r="D287" s="60" t="s">
        <v>957</v>
      </c>
      <c r="E287" s="27" t="s">
        <v>591</v>
      </c>
      <c r="F287" s="28" t="s">
        <v>592</v>
      </c>
      <c r="G287" s="27" t="s">
        <v>869</v>
      </c>
      <c r="H287" s="27" t="s">
        <v>875</v>
      </c>
      <c r="I287" s="35">
        <f t="shared" si="8"/>
        <v>44483</v>
      </c>
      <c r="J287" s="31">
        <v>19</v>
      </c>
      <c r="K287" s="33">
        <f>StockInData[[#This Row],[Quantity]]*2.5</f>
        <v>47.5</v>
      </c>
    </row>
    <row r="288" spans="1:11" x14ac:dyDescent="0.25">
      <c r="A288" s="31">
        <v>287</v>
      </c>
      <c r="B288" s="32">
        <f t="shared" si="9"/>
        <v>43696</v>
      </c>
      <c r="C288" s="32" t="s">
        <v>960</v>
      </c>
      <c r="D288" s="60" t="s">
        <v>957</v>
      </c>
      <c r="E288" s="27" t="s">
        <v>593</v>
      </c>
      <c r="F288" s="28" t="s">
        <v>594</v>
      </c>
      <c r="G288" s="27" t="s">
        <v>869</v>
      </c>
      <c r="H288" s="27" t="s">
        <v>875</v>
      </c>
      <c r="I288" s="35">
        <f t="shared" si="8"/>
        <v>44485</v>
      </c>
      <c r="J288" s="31">
        <v>23</v>
      </c>
      <c r="K288" s="33">
        <f>StockInData[[#This Row],[Quantity]]*2.5</f>
        <v>57.5</v>
      </c>
    </row>
    <row r="289" spans="1:11" x14ac:dyDescent="0.25">
      <c r="A289" s="31">
        <v>288</v>
      </c>
      <c r="B289" s="32">
        <f t="shared" si="9"/>
        <v>43697</v>
      </c>
      <c r="C289" s="32" t="s">
        <v>960</v>
      </c>
      <c r="D289" s="60" t="s">
        <v>957</v>
      </c>
      <c r="E289" s="27" t="s">
        <v>595</v>
      </c>
      <c r="F289" s="28" t="s">
        <v>596</v>
      </c>
      <c r="G289" s="27" t="s">
        <v>869</v>
      </c>
      <c r="H289" s="27" t="s">
        <v>875</v>
      </c>
      <c r="I289" s="35">
        <f t="shared" si="8"/>
        <v>44487</v>
      </c>
      <c r="J289" s="31">
        <v>65</v>
      </c>
      <c r="K289" s="33">
        <f>StockInData[[#This Row],[Quantity]]*2.5</f>
        <v>162.5</v>
      </c>
    </row>
    <row r="290" spans="1:11" x14ac:dyDescent="0.25">
      <c r="A290" s="31">
        <v>289</v>
      </c>
      <c r="B290" s="32">
        <f t="shared" si="9"/>
        <v>43698</v>
      </c>
      <c r="C290" s="32" t="s">
        <v>960</v>
      </c>
      <c r="D290" s="60" t="s">
        <v>957</v>
      </c>
      <c r="E290" s="27" t="s">
        <v>597</v>
      </c>
      <c r="F290" s="28" t="s">
        <v>598</v>
      </c>
      <c r="G290" s="27" t="s">
        <v>869</v>
      </c>
      <c r="H290" s="27" t="s">
        <v>875</v>
      </c>
      <c r="I290" s="35">
        <f t="shared" si="8"/>
        <v>44489</v>
      </c>
      <c r="J290" s="31">
        <v>74</v>
      </c>
      <c r="K290" s="33">
        <f>StockInData[[#This Row],[Quantity]]*2.5</f>
        <v>185</v>
      </c>
    </row>
    <row r="291" spans="1:11" x14ac:dyDescent="0.25">
      <c r="A291" s="31">
        <v>290</v>
      </c>
      <c r="B291" s="32">
        <f t="shared" si="9"/>
        <v>43699</v>
      </c>
      <c r="C291" s="32" t="s">
        <v>960</v>
      </c>
      <c r="D291" s="60" t="s">
        <v>957</v>
      </c>
      <c r="E291" s="27" t="s">
        <v>599</v>
      </c>
      <c r="F291" s="28" t="s">
        <v>600</v>
      </c>
      <c r="G291" s="27" t="s">
        <v>869</v>
      </c>
      <c r="H291" s="27" t="s">
        <v>875</v>
      </c>
      <c r="I291" s="35">
        <f t="shared" si="8"/>
        <v>44491</v>
      </c>
      <c r="J291" s="31">
        <v>84</v>
      </c>
      <c r="K291" s="33">
        <f>StockInData[[#This Row],[Quantity]]*2.5</f>
        <v>210</v>
      </c>
    </row>
    <row r="292" spans="1:11" x14ac:dyDescent="0.25">
      <c r="A292" s="31">
        <v>291</v>
      </c>
      <c r="B292" s="32">
        <f t="shared" si="9"/>
        <v>43700</v>
      </c>
      <c r="C292" s="32" t="s">
        <v>960</v>
      </c>
      <c r="D292" s="60" t="s">
        <v>957</v>
      </c>
      <c r="E292" s="27" t="s">
        <v>601</v>
      </c>
      <c r="F292" s="28" t="s">
        <v>602</v>
      </c>
      <c r="G292" s="27" t="s">
        <v>869</v>
      </c>
      <c r="H292" s="27" t="s">
        <v>875</v>
      </c>
      <c r="I292" s="35">
        <f t="shared" si="8"/>
        <v>44493</v>
      </c>
      <c r="J292" s="31">
        <v>99</v>
      </c>
      <c r="K292" s="33">
        <f>StockInData[[#This Row],[Quantity]]*2.5</f>
        <v>247.5</v>
      </c>
    </row>
    <row r="293" spans="1:11" x14ac:dyDescent="0.25">
      <c r="A293" s="31">
        <v>292</v>
      </c>
      <c r="B293" s="32">
        <f t="shared" si="9"/>
        <v>43701</v>
      </c>
      <c r="C293" s="32" t="s">
        <v>960</v>
      </c>
      <c r="D293" s="60" t="s">
        <v>957</v>
      </c>
      <c r="E293" s="29" t="s">
        <v>603</v>
      </c>
      <c r="F293" s="30" t="s">
        <v>604</v>
      </c>
      <c r="G293" s="27" t="s">
        <v>869</v>
      </c>
      <c r="H293" s="27" t="s">
        <v>875</v>
      </c>
      <c r="I293" s="35">
        <f t="shared" si="8"/>
        <v>44495</v>
      </c>
      <c r="J293" s="31">
        <v>101</v>
      </c>
      <c r="K293" s="33">
        <f>StockInData[[#This Row],[Quantity]]*2.5</f>
        <v>252.5</v>
      </c>
    </row>
    <row r="294" spans="1:11" x14ac:dyDescent="0.25">
      <c r="A294" s="31">
        <v>293</v>
      </c>
      <c r="B294" s="32">
        <f t="shared" si="9"/>
        <v>43702</v>
      </c>
      <c r="C294" s="32" t="s">
        <v>960</v>
      </c>
      <c r="D294" s="60" t="s">
        <v>957</v>
      </c>
      <c r="E294" s="29" t="s">
        <v>605</v>
      </c>
      <c r="F294" s="30" t="s">
        <v>606</v>
      </c>
      <c r="G294" s="27" t="s">
        <v>869</v>
      </c>
      <c r="H294" s="27" t="s">
        <v>875</v>
      </c>
      <c r="I294" s="35">
        <f t="shared" si="8"/>
        <v>44497</v>
      </c>
      <c r="J294" s="31">
        <v>100</v>
      </c>
      <c r="K294" s="33">
        <f>StockInData[[#This Row],[Quantity]]*2.5</f>
        <v>250</v>
      </c>
    </row>
    <row r="295" spans="1:11" x14ac:dyDescent="0.25">
      <c r="A295" s="31">
        <v>294</v>
      </c>
      <c r="B295" s="32">
        <f t="shared" si="9"/>
        <v>43703</v>
      </c>
      <c r="C295" s="32" t="s">
        <v>960</v>
      </c>
      <c r="D295" s="60" t="s">
        <v>957</v>
      </c>
      <c r="E295" s="29" t="s">
        <v>607</v>
      </c>
      <c r="F295" s="30" t="s">
        <v>608</v>
      </c>
      <c r="G295" s="27" t="s">
        <v>869</v>
      </c>
      <c r="H295" s="27" t="s">
        <v>875</v>
      </c>
      <c r="I295" s="35">
        <f t="shared" si="8"/>
        <v>44499</v>
      </c>
      <c r="J295" s="31">
        <v>60</v>
      </c>
      <c r="K295" s="33">
        <f>StockInData[[#This Row],[Quantity]]*2.5</f>
        <v>150</v>
      </c>
    </row>
    <row r="296" spans="1:11" x14ac:dyDescent="0.25">
      <c r="A296" s="31">
        <v>295</v>
      </c>
      <c r="B296" s="32">
        <f t="shared" si="9"/>
        <v>43704</v>
      </c>
      <c r="C296" s="32" t="s">
        <v>960</v>
      </c>
      <c r="D296" s="60" t="s">
        <v>957</v>
      </c>
      <c r="E296" s="29" t="s">
        <v>609</v>
      </c>
      <c r="F296" s="30" t="s">
        <v>610</v>
      </c>
      <c r="G296" s="27" t="s">
        <v>869</v>
      </c>
      <c r="H296" s="27" t="s">
        <v>875</v>
      </c>
      <c r="I296" s="35">
        <f t="shared" si="8"/>
        <v>44501</v>
      </c>
      <c r="J296" s="31">
        <v>40</v>
      </c>
      <c r="K296" s="33">
        <f>StockInData[[#This Row],[Quantity]]*2.5</f>
        <v>100</v>
      </c>
    </row>
    <row r="297" spans="1:11" x14ac:dyDescent="0.25">
      <c r="A297" s="31">
        <v>296</v>
      </c>
      <c r="B297" s="32">
        <f t="shared" si="9"/>
        <v>43705</v>
      </c>
      <c r="C297" s="32" t="s">
        <v>960</v>
      </c>
      <c r="D297" s="60" t="s">
        <v>957</v>
      </c>
      <c r="E297" s="29" t="s">
        <v>611</v>
      </c>
      <c r="F297" s="30" t="s">
        <v>612</v>
      </c>
      <c r="G297" s="27" t="s">
        <v>869</v>
      </c>
      <c r="H297" s="27" t="s">
        <v>875</v>
      </c>
      <c r="I297" s="35">
        <f t="shared" si="8"/>
        <v>44503</v>
      </c>
      <c r="J297" s="31">
        <v>30</v>
      </c>
      <c r="K297" s="33">
        <f>StockInData[[#This Row],[Quantity]]*2.5</f>
        <v>75</v>
      </c>
    </row>
    <row r="298" spans="1:11" x14ac:dyDescent="0.25">
      <c r="A298" s="31">
        <v>297</v>
      </c>
      <c r="B298" s="32">
        <f t="shared" si="9"/>
        <v>43706</v>
      </c>
      <c r="C298" s="32" t="s">
        <v>960</v>
      </c>
      <c r="D298" s="60" t="s">
        <v>957</v>
      </c>
      <c r="E298" s="29" t="s">
        <v>613</v>
      </c>
      <c r="F298" s="30" t="s">
        <v>614</v>
      </c>
      <c r="G298" s="27" t="s">
        <v>869</v>
      </c>
      <c r="H298" s="27" t="s">
        <v>875</v>
      </c>
      <c r="I298" s="35">
        <f t="shared" si="8"/>
        <v>44505</v>
      </c>
      <c r="J298" s="31">
        <v>25</v>
      </c>
      <c r="K298" s="33">
        <f>StockInData[[#This Row],[Quantity]]*2.5</f>
        <v>62.5</v>
      </c>
    </row>
    <row r="299" spans="1:11" x14ac:dyDescent="0.25">
      <c r="A299" s="31">
        <v>298</v>
      </c>
      <c r="B299" s="32">
        <f t="shared" si="9"/>
        <v>43707</v>
      </c>
      <c r="C299" s="32" t="s">
        <v>960</v>
      </c>
      <c r="D299" s="60" t="s">
        <v>957</v>
      </c>
      <c r="E299" s="29" t="s">
        <v>615</v>
      </c>
      <c r="F299" s="30" t="s">
        <v>616</v>
      </c>
      <c r="G299" s="27" t="s">
        <v>869</v>
      </c>
      <c r="H299" s="27" t="s">
        <v>875</v>
      </c>
      <c r="I299" s="35">
        <f t="shared" si="8"/>
        <v>44507</v>
      </c>
      <c r="J299" s="31">
        <v>20</v>
      </c>
      <c r="K299" s="33">
        <f>StockInData[[#This Row],[Quantity]]*2.5</f>
        <v>50</v>
      </c>
    </row>
    <row r="300" spans="1:11" x14ac:dyDescent="0.25">
      <c r="A300" s="31">
        <v>299</v>
      </c>
      <c r="B300" s="32">
        <f t="shared" si="9"/>
        <v>43708</v>
      </c>
      <c r="C300" s="32" t="s">
        <v>960</v>
      </c>
      <c r="D300" s="60" t="s">
        <v>957</v>
      </c>
      <c r="E300" s="29" t="s">
        <v>617</v>
      </c>
      <c r="F300" s="30" t="s">
        <v>618</v>
      </c>
      <c r="G300" s="27" t="s">
        <v>869</v>
      </c>
      <c r="H300" s="27" t="s">
        <v>875</v>
      </c>
      <c r="I300" s="35">
        <f t="shared" si="8"/>
        <v>44509</v>
      </c>
      <c r="J300" s="31">
        <v>19</v>
      </c>
      <c r="K300" s="33">
        <f>StockInData[[#This Row],[Quantity]]*2.5</f>
        <v>47.5</v>
      </c>
    </row>
    <row r="301" spans="1:11" x14ac:dyDescent="0.25">
      <c r="A301" s="31">
        <v>300</v>
      </c>
      <c r="B301" s="32">
        <f t="shared" si="9"/>
        <v>43709</v>
      </c>
      <c r="C301" s="32" t="s">
        <v>960</v>
      </c>
      <c r="D301" s="60" t="s">
        <v>957</v>
      </c>
      <c r="E301" s="29" t="s">
        <v>619</v>
      </c>
      <c r="F301" s="30" t="s">
        <v>620</v>
      </c>
      <c r="G301" s="27" t="s">
        <v>869</v>
      </c>
      <c r="H301" s="27" t="s">
        <v>875</v>
      </c>
      <c r="I301" s="35">
        <f t="shared" si="8"/>
        <v>44511</v>
      </c>
      <c r="J301" s="31">
        <v>23</v>
      </c>
      <c r="K301" s="33">
        <f>StockInData[[#This Row],[Quantity]]*2.5</f>
        <v>57.5</v>
      </c>
    </row>
    <row r="302" spans="1:11" x14ac:dyDescent="0.25">
      <c r="A302" s="31">
        <v>301</v>
      </c>
      <c r="B302" s="32">
        <f t="shared" si="9"/>
        <v>43710</v>
      </c>
      <c r="C302" s="32" t="s">
        <v>960</v>
      </c>
      <c r="D302" s="60" t="s">
        <v>957</v>
      </c>
      <c r="E302" s="29" t="s">
        <v>621</v>
      </c>
      <c r="F302" s="30" t="s">
        <v>622</v>
      </c>
      <c r="G302" s="27" t="s">
        <v>869</v>
      </c>
      <c r="H302" s="27" t="s">
        <v>875</v>
      </c>
      <c r="I302" s="35">
        <f t="shared" si="8"/>
        <v>44513</v>
      </c>
      <c r="J302" s="31">
        <v>65</v>
      </c>
      <c r="K302" s="33">
        <f>StockInData[[#This Row],[Quantity]]*2.5</f>
        <v>162.5</v>
      </c>
    </row>
    <row r="303" spans="1:11" x14ac:dyDescent="0.25">
      <c r="A303" s="31">
        <v>302</v>
      </c>
      <c r="B303" s="32">
        <f t="shared" si="9"/>
        <v>43711</v>
      </c>
      <c r="C303" s="32" t="s">
        <v>960</v>
      </c>
      <c r="D303" s="60" t="s">
        <v>957</v>
      </c>
      <c r="E303" s="29" t="s">
        <v>623</v>
      </c>
      <c r="F303" s="30" t="s">
        <v>624</v>
      </c>
      <c r="G303" s="27" t="s">
        <v>869</v>
      </c>
      <c r="H303" s="27" t="s">
        <v>875</v>
      </c>
      <c r="I303" s="35">
        <f t="shared" si="8"/>
        <v>44515</v>
      </c>
      <c r="J303" s="31">
        <v>74</v>
      </c>
      <c r="K303" s="33">
        <f>StockInData[[#This Row],[Quantity]]*2.5</f>
        <v>185</v>
      </c>
    </row>
    <row r="304" spans="1:11" x14ac:dyDescent="0.25">
      <c r="A304" s="31">
        <v>303</v>
      </c>
      <c r="B304" s="32">
        <f t="shared" si="9"/>
        <v>43712</v>
      </c>
      <c r="C304" s="32" t="s">
        <v>960</v>
      </c>
      <c r="D304" s="60" t="s">
        <v>957</v>
      </c>
      <c r="E304" s="29" t="s">
        <v>625</v>
      </c>
      <c r="F304" s="30" t="s">
        <v>626</v>
      </c>
      <c r="G304" s="27" t="s">
        <v>869</v>
      </c>
      <c r="H304" s="27" t="s">
        <v>875</v>
      </c>
      <c r="I304" s="35">
        <f t="shared" si="8"/>
        <v>44517</v>
      </c>
      <c r="J304" s="31">
        <v>84</v>
      </c>
      <c r="K304" s="33">
        <f>StockInData[[#This Row],[Quantity]]*2.5</f>
        <v>210</v>
      </c>
    </row>
    <row r="305" spans="1:11" x14ac:dyDescent="0.25">
      <c r="A305" s="31">
        <v>304</v>
      </c>
      <c r="B305" s="32">
        <f t="shared" si="9"/>
        <v>43713</v>
      </c>
      <c r="C305" s="32" t="s">
        <v>960</v>
      </c>
      <c r="D305" s="60" t="s">
        <v>957</v>
      </c>
      <c r="E305" s="29" t="s">
        <v>627</v>
      </c>
      <c r="F305" s="30" t="s">
        <v>628</v>
      </c>
      <c r="G305" s="27" t="s">
        <v>869</v>
      </c>
      <c r="H305" s="27" t="s">
        <v>875</v>
      </c>
      <c r="I305" s="35">
        <f t="shared" si="8"/>
        <v>44519</v>
      </c>
      <c r="J305" s="31">
        <v>99</v>
      </c>
      <c r="K305" s="33">
        <f>StockInData[[#This Row],[Quantity]]*2.5</f>
        <v>247.5</v>
      </c>
    </row>
    <row r="306" spans="1:11" x14ac:dyDescent="0.25">
      <c r="A306" s="31">
        <v>305</v>
      </c>
      <c r="B306" s="32">
        <f t="shared" si="9"/>
        <v>43714</v>
      </c>
      <c r="C306" s="32" t="s">
        <v>960</v>
      </c>
      <c r="D306" s="60" t="s">
        <v>957</v>
      </c>
      <c r="E306" s="29" t="s">
        <v>629</v>
      </c>
      <c r="F306" s="30" t="s">
        <v>630</v>
      </c>
      <c r="G306" s="27" t="s">
        <v>869</v>
      </c>
      <c r="H306" s="27" t="s">
        <v>875</v>
      </c>
      <c r="I306" s="35">
        <f t="shared" si="8"/>
        <v>44521</v>
      </c>
      <c r="J306" s="31">
        <v>101</v>
      </c>
      <c r="K306" s="33">
        <f>StockInData[[#This Row],[Quantity]]*2.5</f>
        <v>252.5</v>
      </c>
    </row>
    <row r="307" spans="1:11" x14ac:dyDescent="0.25">
      <c r="A307" s="31">
        <v>306</v>
      </c>
      <c r="B307" s="32">
        <f t="shared" si="9"/>
        <v>43715</v>
      </c>
      <c r="C307" s="32" t="s">
        <v>960</v>
      </c>
      <c r="D307" s="60" t="s">
        <v>957</v>
      </c>
      <c r="E307" s="29" t="s">
        <v>631</v>
      </c>
      <c r="F307" s="30" t="s">
        <v>632</v>
      </c>
      <c r="G307" s="27" t="s">
        <v>869</v>
      </c>
      <c r="H307" s="27" t="s">
        <v>875</v>
      </c>
      <c r="I307" s="35">
        <f t="shared" si="8"/>
        <v>44523</v>
      </c>
      <c r="J307" s="31">
        <v>100</v>
      </c>
      <c r="K307" s="33">
        <f>StockInData[[#This Row],[Quantity]]*2.5</f>
        <v>250</v>
      </c>
    </row>
    <row r="308" spans="1:11" x14ac:dyDescent="0.25">
      <c r="A308" s="31">
        <v>307</v>
      </c>
      <c r="B308" s="32">
        <f t="shared" si="9"/>
        <v>43716</v>
      </c>
      <c r="C308" s="32" t="s">
        <v>960</v>
      </c>
      <c r="D308" s="60" t="s">
        <v>957</v>
      </c>
      <c r="E308" s="29" t="s">
        <v>633</v>
      </c>
      <c r="F308" s="30" t="s">
        <v>634</v>
      </c>
      <c r="G308" s="27" t="s">
        <v>869</v>
      </c>
      <c r="H308" s="27" t="s">
        <v>875</v>
      </c>
      <c r="I308" s="35">
        <f t="shared" si="8"/>
        <v>44525</v>
      </c>
      <c r="J308" s="31">
        <v>100</v>
      </c>
      <c r="K308" s="33">
        <f>StockInData[[#This Row],[Quantity]]*2.5</f>
        <v>250</v>
      </c>
    </row>
    <row r="309" spans="1:11" x14ac:dyDescent="0.25">
      <c r="A309" s="31">
        <v>308</v>
      </c>
      <c r="B309" s="32">
        <f t="shared" si="9"/>
        <v>43717</v>
      </c>
      <c r="C309" s="32" t="s">
        <v>960</v>
      </c>
      <c r="D309" s="60" t="s">
        <v>957</v>
      </c>
      <c r="E309" s="29" t="s">
        <v>635</v>
      </c>
      <c r="F309" s="30" t="s">
        <v>636</v>
      </c>
      <c r="G309" s="27" t="s">
        <v>869</v>
      </c>
      <c r="H309" s="27" t="s">
        <v>875</v>
      </c>
      <c r="I309" s="35">
        <f t="shared" si="8"/>
        <v>44527</v>
      </c>
      <c r="J309" s="31">
        <v>100</v>
      </c>
      <c r="K309" s="33">
        <f>StockInData[[#This Row],[Quantity]]*2.5</f>
        <v>250</v>
      </c>
    </row>
    <row r="310" spans="1:11" x14ac:dyDescent="0.25">
      <c r="A310" s="31">
        <v>309</v>
      </c>
      <c r="B310" s="32">
        <f t="shared" si="9"/>
        <v>43718</v>
      </c>
      <c r="C310" s="32" t="s">
        <v>960</v>
      </c>
      <c r="D310" s="60" t="s">
        <v>957</v>
      </c>
      <c r="E310" s="29" t="s">
        <v>637</v>
      </c>
      <c r="F310" s="30" t="s">
        <v>638</v>
      </c>
      <c r="G310" s="27" t="s">
        <v>869</v>
      </c>
      <c r="H310" s="27" t="s">
        <v>875</v>
      </c>
      <c r="I310" s="35">
        <f t="shared" si="8"/>
        <v>44529</v>
      </c>
      <c r="J310" s="31">
        <v>100</v>
      </c>
      <c r="K310" s="33">
        <f>StockInData[[#This Row],[Quantity]]*2.5</f>
        <v>250</v>
      </c>
    </row>
    <row r="311" spans="1:11" x14ac:dyDescent="0.25">
      <c r="A311" s="31">
        <v>310</v>
      </c>
      <c r="B311" s="32">
        <f t="shared" si="9"/>
        <v>43719</v>
      </c>
      <c r="C311" s="32" t="s">
        <v>960</v>
      </c>
      <c r="D311" s="60" t="s">
        <v>957</v>
      </c>
      <c r="E311" s="29" t="s">
        <v>639</v>
      </c>
      <c r="F311" s="30" t="s">
        <v>640</v>
      </c>
      <c r="G311" s="27" t="s">
        <v>869</v>
      </c>
      <c r="H311" s="27" t="s">
        <v>875</v>
      </c>
      <c r="I311" s="35">
        <f t="shared" si="8"/>
        <v>44531</v>
      </c>
      <c r="J311" s="31">
        <v>40</v>
      </c>
      <c r="K311" s="33">
        <f>StockInData[[#This Row],[Quantity]]*2.5</f>
        <v>100</v>
      </c>
    </row>
    <row r="312" spans="1:11" x14ac:dyDescent="0.25">
      <c r="A312" s="31">
        <v>311</v>
      </c>
      <c r="B312" s="32">
        <f t="shared" si="9"/>
        <v>43720</v>
      </c>
      <c r="C312" s="32" t="s">
        <v>960</v>
      </c>
      <c r="D312" s="60" t="s">
        <v>957</v>
      </c>
      <c r="E312" s="29" t="s">
        <v>641</v>
      </c>
      <c r="F312" s="30" t="s">
        <v>642</v>
      </c>
      <c r="G312" s="27" t="s">
        <v>869</v>
      </c>
      <c r="H312" s="27" t="s">
        <v>875</v>
      </c>
      <c r="I312" s="35">
        <f t="shared" si="8"/>
        <v>44533</v>
      </c>
      <c r="J312" s="31">
        <v>30</v>
      </c>
      <c r="K312" s="33">
        <f>StockInData[[#This Row],[Quantity]]*2.5</f>
        <v>75</v>
      </c>
    </row>
    <row r="313" spans="1:11" x14ac:dyDescent="0.25">
      <c r="A313" s="31">
        <v>312</v>
      </c>
      <c r="B313" s="32">
        <f t="shared" si="9"/>
        <v>43721</v>
      </c>
      <c r="C313" s="32" t="s">
        <v>960</v>
      </c>
      <c r="D313" s="60" t="s">
        <v>957</v>
      </c>
      <c r="E313" s="29" t="s">
        <v>643</v>
      </c>
      <c r="F313" s="30" t="s">
        <v>644</v>
      </c>
      <c r="G313" s="27" t="s">
        <v>869</v>
      </c>
      <c r="H313" s="27" t="s">
        <v>875</v>
      </c>
      <c r="I313" s="35">
        <f t="shared" si="8"/>
        <v>44535</v>
      </c>
      <c r="J313" s="31">
        <v>25</v>
      </c>
      <c r="K313" s="33">
        <f>StockInData[[#This Row],[Quantity]]*2.5</f>
        <v>62.5</v>
      </c>
    </row>
    <row r="314" spans="1:11" x14ac:dyDescent="0.25">
      <c r="A314" s="31">
        <v>313</v>
      </c>
      <c r="B314" s="32">
        <f t="shared" si="9"/>
        <v>43722</v>
      </c>
      <c r="C314" s="32" t="s">
        <v>960</v>
      </c>
      <c r="D314" s="60" t="s">
        <v>957</v>
      </c>
      <c r="E314" s="29" t="s">
        <v>645</v>
      </c>
      <c r="F314" s="30" t="s">
        <v>646</v>
      </c>
      <c r="G314" s="27" t="s">
        <v>869</v>
      </c>
      <c r="H314" s="27" t="s">
        <v>875</v>
      </c>
      <c r="I314" s="35">
        <f t="shared" si="8"/>
        <v>44537</v>
      </c>
      <c r="J314" s="31">
        <v>20</v>
      </c>
      <c r="K314" s="33">
        <f>StockInData[[#This Row],[Quantity]]*2.5</f>
        <v>50</v>
      </c>
    </row>
    <row r="315" spans="1:11" x14ac:dyDescent="0.25">
      <c r="A315" s="31">
        <v>314</v>
      </c>
      <c r="B315" s="32">
        <f t="shared" si="9"/>
        <v>43723</v>
      </c>
      <c r="C315" s="32" t="s">
        <v>960</v>
      </c>
      <c r="D315" s="60" t="s">
        <v>957</v>
      </c>
      <c r="E315" s="29" t="s">
        <v>647</v>
      </c>
      <c r="F315" s="30" t="s">
        <v>648</v>
      </c>
      <c r="G315" s="27" t="s">
        <v>869</v>
      </c>
      <c r="H315" s="27" t="s">
        <v>875</v>
      </c>
      <c r="I315" s="35">
        <f t="shared" si="8"/>
        <v>44539</v>
      </c>
      <c r="J315" s="31">
        <v>19</v>
      </c>
      <c r="K315" s="33">
        <f>StockInData[[#This Row],[Quantity]]*2.5</f>
        <v>47.5</v>
      </c>
    </row>
    <row r="316" spans="1:11" x14ac:dyDescent="0.25">
      <c r="A316" s="31">
        <v>315</v>
      </c>
      <c r="B316" s="32">
        <f t="shared" si="9"/>
        <v>43724</v>
      </c>
      <c r="C316" s="32" t="s">
        <v>960</v>
      </c>
      <c r="D316" s="60" t="s">
        <v>957</v>
      </c>
      <c r="E316" s="29" t="s">
        <v>649</v>
      </c>
      <c r="F316" s="30" t="s">
        <v>650</v>
      </c>
      <c r="G316" s="27" t="s">
        <v>869</v>
      </c>
      <c r="H316" s="27" t="s">
        <v>875</v>
      </c>
      <c r="I316" s="35">
        <f t="shared" si="8"/>
        <v>44541</v>
      </c>
      <c r="J316" s="31">
        <v>23</v>
      </c>
      <c r="K316" s="33">
        <f>StockInData[[#This Row],[Quantity]]*2.5</f>
        <v>57.5</v>
      </c>
    </row>
    <row r="317" spans="1:11" x14ac:dyDescent="0.25">
      <c r="A317" s="31">
        <v>316</v>
      </c>
      <c r="B317" s="32">
        <f t="shared" si="9"/>
        <v>43725</v>
      </c>
      <c r="C317" s="32" t="s">
        <v>960</v>
      </c>
      <c r="D317" s="60" t="s">
        <v>957</v>
      </c>
      <c r="E317" s="29" t="s">
        <v>651</v>
      </c>
      <c r="F317" s="30" t="s">
        <v>652</v>
      </c>
      <c r="G317" s="27" t="s">
        <v>869</v>
      </c>
      <c r="H317" s="27" t="s">
        <v>875</v>
      </c>
      <c r="I317" s="35">
        <f t="shared" si="8"/>
        <v>44543</v>
      </c>
      <c r="J317" s="31">
        <v>65</v>
      </c>
      <c r="K317" s="33">
        <f>StockInData[[#This Row],[Quantity]]*2.5</f>
        <v>162.5</v>
      </c>
    </row>
    <row r="318" spans="1:11" x14ac:dyDescent="0.25">
      <c r="A318" s="31">
        <v>317</v>
      </c>
      <c r="B318" s="32">
        <f t="shared" si="9"/>
        <v>43726</v>
      </c>
      <c r="C318" s="32" t="s">
        <v>960</v>
      </c>
      <c r="D318" s="60" t="s">
        <v>957</v>
      </c>
      <c r="E318" s="29" t="s">
        <v>653</v>
      </c>
      <c r="F318" s="30" t="s">
        <v>654</v>
      </c>
      <c r="G318" s="27" t="s">
        <v>869</v>
      </c>
      <c r="H318" s="27" t="s">
        <v>875</v>
      </c>
      <c r="I318" s="35">
        <f t="shared" si="8"/>
        <v>44545</v>
      </c>
      <c r="J318" s="31">
        <v>74</v>
      </c>
      <c r="K318" s="33">
        <f>StockInData[[#This Row],[Quantity]]*2.5</f>
        <v>185</v>
      </c>
    </row>
    <row r="319" spans="1:11" x14ac:dyDescent="0.25">
      <c r="A319" s="31">
        <v>318</v>
      </c>
      <c r="B319" s="32">
        <f t="shared" si="9"/>
        <v>43727</v>
      </c>
      <c r="C319" s="32" t="s">
        <v>960</v>
      </c>
      <c r="D319" s="60" t="s">
        <v>957</v>
      </c>
      <c r="E319" s="29" t="s">
        <v>655</v>
      </c>
      <c r="F319" s="30" t="s">
        <v>656</v>
      </c>
      <c r="G319" s="27" t="s">
        <v>869</v>
      </c>
      <c r="H319" s="27" t="s">
        <v>875</v>
      </c>
      <c r="I319" s="35">
        <f t="shared" si="8"/>
        <v>44547</v>
      </c>
      <c r="J319" s="31">
        <v>84</v>
      </c>
      <c r="K319" s="33">
        <f>StockInData[[#This Row],[Quantity]]*2.5</f>
        <v>210</v>
      </c>
    </row>
    <row r="320" spans="1:11" x14ac:dyDescent="0.25">
      <c r="A320" s="31">
        <v>319</v>
      </c>
      <c r="B320" s="32">
        <f t="shared" si="9"/>
        <v>43728</v>
      </c>
      <c r="C320" s="32" t="s">
        <v>960</v>
      </c>
      <c r="D320" s="60" t="s">
        <v>957</v>
      </c>
      <c r="E320" s="29" t="s">
        <v>657</v>
      </c>
      <c r="F320" s="30" t="s">
        <v>658</v>
      </c>
      <c r="G320" s="27" t="s">
        <v>869</v>
      </c>
      <c r="H320" s="27" t="s">
        <v>875</v>
      </c>
      <c r="I320" s="35">
        <f t="shared" si="8"/>
        <v>44549</v>
      </c>
      <c r="J320" s="31">
        <v>99</v>
      </c>
      <c r="K320" s="33">
        <f>StockInData[[#This Row],[Quantity]]*2.5</f>
        <v>247.5</v>
      </c>
    </row>
    <row r="321" spans="1:11" x14ac:dyDescent="0.25">
      <c r="A321" s="31">
        <v>320</v>
      </c>
      <c r="B321" s="32">
        <f t="shared" si="9"/>
        <v>43729</v>
      </c>
      <c r="C321" s="32" t="s">
        <v>960</v>
      </c>
      <c r="D321" s="60" t="s">
        <v>957</v>
      </c>
      <c r="E321" s="29" t="s">
        <v>659</v>
      </c>
      <c r="F321" s="30" t="s">
        <v>660</v>
      </c>
      <c r="G321" s="27" t="s">
        <v>869</v>
      </c>
      <c r="H321" s="27" t="s">
        <v>875</v>
      </c>
      <c r="I321" s="35">
        <f t="shared" si="8"/>
        <v>44551</v>
      </c>
      <c r="J321" s="31">
        <v>101</v>
      </c>
      <c r="K321" s="33">
        <f>StockInData[[#This Row],[Quantity]]*2.5</f>
        <v>252.5</v>
      </c>
    </row>
    <row r="322" spans="1:11" x14ac:dyDescent="0.25">
      <c r="A322" s="31">
        <v>321</v>
      </c>
      <c r="B322" s="32">
        <f t="shared" si="9"/>
        <v>43730</v>
      </c>
      <c r="C322" s="32" t="s">
        <v>960</v>
      </c>
      <c r="D322" s="60" t="s">
        <v>957</v>
      </c>
      <c r="E322" s="29" t="s">
        <v>661</v>
      </c>
      <c r="F322" s="30" t="s">
        <v>662</v>
      </c>
      <c r="G322" s="27" t="s">
        <v>869</v>
      </c>
      <c r="H322" s="27" t="s">
        <v>875</v>
      </c>
      <c r="I322" s="35">
        <f t="shared" si="8"/>
        <v>44553</v>
      </c>
      <c r="J322" s="31">
        <v>60</v>
      </c>
      <c r="K322" s="33">
        <f>StockInData[[#This Row],[Quantity]]*2.5</f>
        <v>150</v>
      </c>
    </row>
    <row r="323" spans="1:11" x14ac:dyDescent="0.25">
      <c r="A323" s="31">
        <v>322</v>
      </c>
      <c r="B323" s="32">
        <f t="shared" si="9"/>
        <v>43731</v>
      </c>
      <c r="C323" s="32" t="s">
        <v>960</v>
      </c>
      <c r="D323" s="60" t="s">
        <v>957</v>
      </c>
      <c r="E323" s="29" t="s">
        <v>663</v>
      </c>
      <c r="F323" s="30" t="s">
        <v>664</v>
      </c>
      <c r="G323" s="27" t="s">
        <v>869</v>
      </c>
      <c r="H323" s="27" t="s">
        <v>876</v>
      </c>
      <c r="I323" s="35">
        <f t="shared" si="8"/>
        <v>44555</v>
      </c>
      <c r="J323" s="31">
        <v>40</v>
      </c>
      <c r="K323" s="33">
        <f>StockInData[[#This Row],[Quantity]]*2.5</f>
        <v>100</v>
      </c>
    </row>
    <row r="324" spans="1:11" x14ac:dyDescent="0.25">
      <c r="A324" s="31">
        <v>323</v>
      </c>
      <c r="B324" s="32">
        <f t="shared" si="9"/>
        <v>43732</v>
      </c>
      <c r="C324" s="32" t="s">
        <v>960</v>
      </c>
      <c r="D324" s="60" t="s">
        <v>957</v>
      </c>
      <c r="E324" s="29" t="s">
        <v>665</v>
      </c>
      <c r="F324" s="30" t="s">
        <v>666</v>
      </c>
      <c r="G324" s="27" t="s">
        <v>869</v>
      </c>
      <c r="H324" s="27" t="s">
        <v>876</v>
      </c>
      <c r="I324" s="35">
        <f t="shared" ref="I324:I387" si="10">I323+2</f>
        <v>44557</v>
      </c>
      <c r="J324" s="31">
        <v>30</v>
      </c>
      <c r="K324" s="33">
        <f>StockInData[[#This Row],[Quantity]]*2.5</f>
        <v>75</v>
      </c>
    </row>
    <row r="325" spans="1:11" x14ac:dyDescent="0.25">
      <c r="A325" s="31">
        <v>324</v>
      </c>
      <c r="B325" s="32">
        <f t="shared" ref="B325:B388" si="11">B324+1</f>
        <v>43733</v>
      </c>
      <c r="C325" s="32" t="s">
        <v>960</v>
      </c>
      <c r="D325" s="60" t="s">
        <v>957</v>
      </c>
      <c r="E325" s="29" t="s">
        <v>667</v>
      </c>
      <c r="F325" s="30" t="s">
        <v>668</v>
      </c>
      <c r="G325" s="27" t="s">
        <v>869</v>
      </c>
      <c r="H325" s="27" t="s">
        <v>876</v>
      </c>
      <c r="I325" s="35">
        <f t="shared" si="10"/>
        <v>44559</v>
      </c>
      <c r="J325" s="31">
        <v>25</v>
      </c>
      <c r="K325" s="33">
        <f>StockInData[[#This Row],[Quantity]]*2.5</f>
        <v>62.5</v>
      </c>
    </row>
    <row r="326" spans="1:11" x14ac:dyDescent="0.25">
      <c r="A326" s="31">
        <v>325</v>
      </c>
      <c r="B326" s="32">
        <f t="shared" si="11"/>
        <v>43734</v>
      </c>
      <c r="C326" s="32" t="s">
        <v>960</v>
      </c>
      <c r="D326" s="60" t="s">
        <v>957</v>
      </c>
      <c r="E326" s="29" t="s">
        <v>669</v>
      </c>
      <c r="F326" s="30" t="s">
        <v>670</v>
      </c>
      <c r="G326" s="27" t="s">
        <v>869</v>
      </c>
      <c r="H326" s="27" t="s">
        <v>876</v>
      </c>
      <c r="I326" s="35">
        <f t="shared" si="10"/>
        <v>44561</v>
      </c>
      <c r="J326" s="31">
        <v>20</v>
      </c>
      <c r="K326" s="33">
        <f>StockInData[[#This Row],[Quantity]]*2.5</f>
        <v>50</v>
      </c>
    </row>
    <row r="327" spans="1:11" x14ac:dyDescent="0.25">
      <c r="A327" s="31">
        <v>326</v>
      </c>
      <c r="B327" s="32">
        <f t="shared" si="11"/>
        <v>43735</v>
      </c>
      <c r="C327" s="32" t="s">
        <v>960</v>
      </c>
      <c r="D327" s="60" t="s">
        <v>957</v>
      </c>
      <c r="E327" s="29" t="s">
        <v>671</v>
      </c>
      <c r="F327" s="30" t="s">
        <v>672</v>
      </c>
      <c r="G327" s="27" t="s">
        <v>869</v>
      </c>
      <c r="H327" s="27" t="s">
        <v>876</v>
      </c>
      <c r="I327" s="35">
        <f t="shared" si="10"/>
        <v>44563</v>
      </c>
      <c r="J327" s="31">
        <v>19</v>
      </c>
      <c r="K327" s="33">
        <f>StockInData[[#This Row],[Quantity]]*2.5</f>
        <v>47.5</v>
      </c>
    </row>
    <row r="328" spans="1:11" x14ac:dyDescent="0.25">
      <c r="A328" s="31">
        <v>327</v>
      </c>
      <c r="B328" s="32">
        <f t="shared" si="11"/>
        <v>43736</v>
      </c>
      <c r="C328" s="32" t="s">
        <v>960</v>
      </c>
      <c r="D328" s="60" t="s">
        <v>957</v>
      </c>
      <c r="E328" s="29" t="s">
        <v>673</v>
      </c>
      <c r="F328" s="30" t="s">
        <v>674</v>
      </c>
      <c r="G328" s="27" t="s">
        <v>877</v>
      </c>
      <c r="H328" s="27" t="s">
        <v>876</v>
      </c>
      <c r="I328" s="35">
        <f t="shared" si="10"/>
        <v>44565</v>
      </c>
      <c r="J328" s="31">
        <v>23</v>
      </c>
      <c r="K328" s="33">
        <f>StockInData[[#This Row],[Quantity]]*2.5</f>
        <v>57.5</v>
      </c>
    </row>
    <row r="329" spans="1:11" x14ac:dyDescent="0.25">
      <c r="A329" s="31">
        <v>328</v>
      </c>
      <c r="B329" s="32">
        <f t="shared" si="11"/>
        <v>43737</v>
      </c>
      <c r="C329" s="32" t="s">
        <v>960</v>
      </c>
      <c r="D329" s="60" t="s">
        <v>957</v>
      </c>
      <c r="E329" s="29" t="s">
        <v>675</v>
      </c>
      <c r="F329" s="30" t="s">
        <v>676</v>
      </c>
      <c r="G329" s="27" t="s">
        <v>877</v>
      </c>
      <c r="H329" s="27" t="s">
        <v>876</v>
      </c>
      <c r="I329" s="35">
        <f t="shared" si="10"/>
        <v>44567</v>
      </c>
      <c r="J329" s="31">
        <v>65</v>
      </c>
      <c r="K329" s="33">
        <f>StockInData[[#This Row],[Quantity]]*2.5</f>
        <v>162.5</v>
      </c>
    </row>
    <row r="330" spans="1:11" x14ac:dyDescent="0.25">
      <c r="A330" s="31">
        <v>329</v>
      </c>
      <c r="B330" s="32">
        <f t="shared" si="11"/>
        <v>43738</v>
      </c>
      <c r="C330" s="32" t="s">
        <v>960</v>
      </c>
      <c r="D330" s="60" t="s">
        <v>957</v>
      </c>
      <c r="E330" s="29" t="s">
        <v>677</v>
      </c>
      <c r="F330" s="30" t="s">
        <v>678</v>
      </c>
      <c r="G330" s="27" t="s">
        <v>877</v>
      </c>
      <c r="H330" s="27" t="s">
        <v>876</v>
      </c>
      <c r="I330" s="35">
        <f t="shared" si="10"/>
        <v>44569</v>
      </c>
      <c r="J330" s="31">
        <v>74</v>
      </c>
      <c r="K330" s="33">
        <f>StockInData[[#This Row],[Quantity]]*2.5</f>
        <v>185</v>
      </c>
    </row>
    <row r="331" spans="1:11" x14ac:dyDescent="0.25">
      <c r="A331" s="31">
        <v>330</v>
      </c>
      <c r="B331" s="32">
        <f t="shared" si="11"/>
        <v>43739</v>
      </c>
      <c r="C331" s="32" t="s">
        <v>960</v>
      </c>
      <c r="D331" s="60" t="s">
        <v>957</v>
      </c>
      <c r="E331" s="29" t="s">
        <v>679</v>
      </c>
      <c r="F331" s="30" t="s">
        <v>680</v>
      </c>
      <c r="G331" s="27" t="s">
        <v>877</v>
      </c>
      <c r="H331" s="27" t="s">
        <v>876</v>
      </c>
      <c r="I331" s="35">
        <f t="shared" si="10"/>
        <v>44571</v>
      </c>
      <c r="J331" s="31">
        <v>84</v>
      </c>
      <c r="K331" s="33">
        <f>StockInData[[#This Row],[Quantity]]*2.5</f>
        <v>210</v>
      </c>
    </row>
    <row r="332" spans="1:11" x14ac:dyDescent="0.25">
      <c r="A332" s="31">
        <v>331</v>
      </c>
      <c r="B332" s="32">
        <f t="shared" si="11"/>
        <v>43740</v>
      </c>
      <c r="C332" s="32" t="s">
        <v>960</v>
      </c>
      <c r="D332" s="60" t="s">
        <v>957</v>
      </c>
      <c r="E332" s="29" t="s">
        <v>681</v>
      </c>
      <c r="F332" s="30" t="s">
        <v>682</v>
      </c>
      <c r="G332" s="27" t="s">
        <v>877</v>
      </c>
      <c r="H332" s="27" t="s">
        <v>876</v>
      </c>
      <c r="I332" s="35">
        <f t="shared" si="10"/>
        <v>44573</v>
      </c>
      <c r="J332" s="31">
        <v>99</v>
      </c>
      <c r="K332" s="33">
        <f>StockInData[[#This Row],[Quantity]]*2.5</f>
        <v>247.5</v>
      </c>
    </row>
    <row r="333" spans="1:11" x14ac:dyDescent="0.25">
      <c r="A333" s="31">
        <v>332</v>
      </c>
      <c r="B333" s="32">
        <f t="shared" si="11"/>
        <v>43741</v>
      </c>
      <c r="C333" s="32" t="s">
        <v>960</v>
      </c>
      <c r="D333" s="60" t="s">
        <v>957</v>
      </c>
      <c r="E333" s="29" t="s">
        <v>683</v>
      </c>
      <c r="F333" s="30" t="s">
        <v>684</v>
      </c>
      <c r="G333" s="27" t="s">
        <v>877</v>
      </c>
      <c r="H333" s="27" t="s">
        <v>876</v>
      </c>
      <c r="I333" s="35">
        <f t="shared" si="10"/>
        <v>44575</v>
      </c>
      <c r="J333" s="31">
        <v>101</v>
      </c>
      <c r="K333" s="33">
        <f>StockInData[[#This Row],[Quantity]]*2.5</f>
        <v>252.5</v>
      </c>
    </row>
    <row r="334" spans="1:11" x14ac:dyDescent="0.25">
      <c r="A334" s="31">
        <v>333</v>
      </c>
      <c r="B334" s="32">
        <f t="shared" si="11"/>
        <v>43742</v>
      </c>
      <c r="C334" s="32" t="s">
        <v>960</v>
      </c>
      <c r="D334" s="60" t="s">
        <v>957</v>
      </c>
      <c r="E334" s="29" t="s">
        <v>685</v>
      </c>
      <c r="F334" s="30" t="s">
        <v>686</v>
      </c>
      <c r="G334" s="27" t="s">
        <v>877</v>
      </c>
      <c r="H334" s="27" t="s">
        <v>876</v>
      </c>
      <c r="I334" s="35">
        <f t="shared" si="10"/>
        <v>44577</v>
      </c>
      <c r="J334" s="31">
        <v>60</v>
      </c>
      <c r="K334" s="33">
        <f>StockInData[[#This Row],[Quantity]]*2.5</f>
        <v>150</v>
      </c>
    </row>
    <row r="335" spans="1:11" x14ac:dyDescent="0.25">
      <c r="A335" s="31">
        <v>334</v>
      </c>
      <c r="B335" s="32">
        <f t="shared" si="11"/>
        <v>43743</v>
      </c>
      <c r="C335" s="32" t="s">
        <v>960</v>
      </c>
      <c r="D335" s="60" t="s">
        <v>957</v>
      </c>
      <c r="E335" s="29" t="s">
        <v>687</v>
      </c>
      <c r="F335" s="30" t="s">
        <v>688</v>
      </c>
      <c r="G335" s="27" t="s">
        <v>877</v>
      </c>
      <c r="H335" s="27" t="s">
        <v>876</v>
      </c>
      <c r="I335" s="35">
        <f t="shared" si="10"/>
        <v>44579</v>
      </c>
      <c r="J335" s="31">
        <v>40</v>
      </c>
      <c r="K335" s="33">
        <f>StockInData[[#This Row],[Quantity]]*2.5</f>
        <v>100</v>
      </c>
    </row>
    <row r="336" spans="1:11" x14ac:dyDescent="0.25">
      <c r="A336" s="31">
        <v>335</v>
      </c>
      <c r="B336" s="32">
        <f t="shared" si="11"/>
        <v>43744</v>
      </c>
      <c r="C336" s="32" t="s">
        <v>960</v>
      </c>
      <c r="D336" s="60" t="s">
        <v>957</v>
      </c>
      <c r="E336" s="29" t="s">
        <v>689</v>
      </c>
      <c r="F336" s="30" t="s">
        <v>690</v>
      </c>
      <c r="G336" s="27" t="s">
        <v>877</v>
      </c>
      <c r="H336" s="27" t="s">
        <v>876</v>
      </c>
      <c r="I336" s="35">
        <f t="shared" si="10"/>
        <v>44581</v>
      </c>
      <c r="J336" s="31">
        <v>30</v>
      </c>
      <c r="K336" s="33">
        <f>StockInData[[#This Row],[Quantity]]*2.5</f>
        <v>75</v>
      </c>
    </row>
    <row r="337" spans="1:11" x14ac:dyDescent="0.25">
      <c r="A337" s="31">
        <v>336</v>
      </c>
      <c r="B337" s="32">
        <f t="shared" si="11"/>
        <v>43745</v>
      </c>
      <c r="C337" s="32" t="s">
        <v>960</v>
      </c>
      <c r="D337" s="60" t="s">
        <v>957</v>
      </c>
      <c r="E337" s="29" t="s">
        <v>691</v>
      </c>
      <c r="F337" s="30" t="s">
        <v>692</v>
      </c>
      <c r="G337" s="27" t="s">
        <v>877</v>
      </c>
      <c r="H337" s="27" t="s">
        <v>876</v>
      </c>
      <c r="I337" s="35">
        <f t="shared" si="10"/>
        <v>44583</v>
      </c>
      <c r="J337" s="31">
        <v>25</v>
      </c>
      <c r="K337" s="33">
        <f>StockInData[[#This Row],[Quantity]]*2.5</f>
        <v>62.5</v>
      </c>
    </row>
    <row r="338" spans="1:11" x14ac:dyDescent="0.25">
      <c r="A338" s="31">
        <v>337</v>
      </c>
      <c r="B338" s="32">
        <f t="shared" si="11"/>
        <v>43746</v>
      </c>
      <c r="C338" s="32" t="s">
        <v>960</v>
      </c>
      <c r="D338" s="60" t="s">
        <v>957</v>
      </c>
      <c r="E338" s="29" t="s">
        <v>693</v>
      </c>
      <c r="F338" s="30" t="s">
        <v>694</v>
      </c>
      <c r="G338" s="27" t="s">
        <v>877</v>
      </c>
      <c r="H338" s="27" t="s">
        <v>876</v>
      </c>
      <c r="I338" s="35">
        <f t="shared" si="10"/>
        <v>44585</v>
      </c>
      <c r="J338" s="31">
        <v>20</v>
      </c>
      <c r="K338" s="33">
        <f>StockInData[[#This Row],[Quantity]]*2.5</f>
        <v>50</v>
      </c>
    </row>
    <row r="339" spans="1:11" x14ac:dyDescent="0.25">
      <c r="A339" s="31">
        <v>338</v>
      </c>
      <c r="B339" s="32">
        <f t="shared" si="11"/>
        <v>43747</v>
      </c>
      <c r="C339" s="32" t="s">
        <v>960</v>
      </c>
      <c r="D339" s="60" t="s">
        <v>957</v>
      </c>
      <c r="E339" s="29" t="s">
        <v>695</v>
      </c>
      <c r="F339" s="30" t="s">
        <v>696</v>
      </c>
      <c r="G339" s="27" t="s">
        <v>877</v>
      </c>
      <c r="H339" s="27" t="s">
        <v>876</v>
      </c>
      <c r="I339" s="35">
        <f t="shared" si="10"/>
        <v>44587</v>
      </c>
      <c r="J339" s="31">
        <v>19</v>
      </c>
      <c r="K339" s="33">
        <f>StockInData[[#This Row],[Quantity]]*2.5</f>
        <v>47.5</v>
      </c>
    </row>
    <row r="340" spans="1:11" x14ac:dyDescent="0.25">
      <c r="A340" s="31">
        <v>339</v>
      </c>
      <c r="B340" s="32">
        <f t="shared" si="11"/>
        <v>43748</v>
      </c>
      <c r="C340" s="32" t="s">
        <v>960</v>
      </c>
      <c r="D340" s="60" t="s">
        <v>957</v>
      </c>
      <c r="E340" s="29" t="s">
        <v>697</v>
      </c>
      <c r="F340" s="30" t="s">
        <v>698</v>
      </c>
      <c r="G340" s="27" t="s">
        <v>877</v>
      </c>
      <c r="H340" s="27" t="s">
        <v>876</v>
      </c>
      <c r="I340" s="35">
        <f t="shared" si="10"/>
        <v>44589</v>
      </c>
      <c r="J340" s="31">
        <v>23</v>
      </c>
      <c r="K340" s="33">
        <f>StockInData[[#This Row],[Quantity]]*2.5</f>
        <v>57.5</v>
      </c>
    </row>
    <row r="341" spans="1:11" x14ac:dyDescent="0.25">
      <c r="A341" s="31">
        <v>340</v>
      </c>
      <c r="B341" s="32">
        <f t="shared" si="11"/>
        <v>43749</v>
      </c>
      <c r="C341" s="32" t="s">
        <v>960</v>
      </c>
      <c r="D341" s="60" t="s">
        <v>957</v>
      </c>
      <c r="E341" s="29" t="s">
        <v>699</v>
      </c>
      <c r="F341" s="30" t="s">
        <v>700</v>
      </c>
      <c r="G341" s="27" t="s">
        <v>877</v>
      </c>
      <c r="H341" s="27" t="s">
        <v>876</v>
      </c>
      <c r="I341" s="35">
        <f t="shared" si="10"/>
        <v>44591</v>
      </c>
      <c r="J341" s="31">
        <v>65</v>
      </c>
      <c r="K341" s="33">
        <f>StockInData[[#This Row],[Quantity]]*2.5</f>
        <v>162.5</v>
      </c>
    </row>
    <row r="342" spans="1:11" x14ac:dyDescent="0.25">
      <c r="A342" s="31">
        <v>341</v>
      </c>
      <c r="B342" s="32">
        <f t="shared" si="11"/>
        <v>43750</v>
      </c>
      <c r="C342" s="32" t="s">
        <v>960</v>
      </c>
      <c r="D342" s="60" t="s">
        <v>957</v>
      </c>
      <c r="E342" s="29" t="s">
        <v>701</v>
      </c>
      <c r="F342" s="30" t="s">
        <v>702</v>
      </c>
      <c r="G342" s="27" t="s">
        <v>877</v>
      </c>
      <c r="H342" s="27" t="s">
        <v>876</v>
      </c>
      <c r="I342" s="35">
        <f t="shared" si="10"/>
        <v>44593</v>
      </c>
      <c r="J342" s="31">
        <v>74</v>
      </c>
      <c r="K342" s="33">
        <f>StockInData[[#This Row],[Quantity]]*2.5</f>
        <v>185</v>
      </c>
    </row>
    <row r="343" spans="1:11" x14ac:dyDescent="0.25">
      <c r="A343" s="31">
        <v>342</v>
      </c>
      <c r="B343" s="32">
        <f t="shared" si="11"/>
        <v>43751</v>
      </c>
      <c r="C343" s="32" t="s">
        <v>960</v>
      </c>
      <c r="D343" s="60" t="s">
        <v>957</v>
      </c>
      <c r="E343" s="29" t="s">
        <v>703</v>
      </c>
      <c r="F343" s="30" t="s">
        <v>704</v>
      </c>
      <c r="G343" s="27" t="s">
        <v>877</v>
      </c>
      <c r="H343" s="27" t="s">
        <v>876</v>
      </c>
      <c r="I343" s="35">
        <f t="shared" si="10"/>
        <v>44595</v>
      </c>
      <c r="J343" s="31">
        <v>84</v>
      </c>
      <c r="K343" s="33">
        <f>StockInData[[#This Row],[Quantity]]*2.5</f>
        <v>210</v>
      </c>
    </row>
    <row r="344" spans="1:11" x14ac:dyDescent="0.25">
      <c r="A344" s="31">
        <v>343</v>
      </c>
      <c r="B344" s="32">
        <f t="shared" si="11"/>
        <v>43752</v>
      </c>
      <c r="C344" s="32" t="s">
        <v>960</v>
      </c>
      <c r="D344" s="60" t="s">
        <v>957</v>
      </c>
      <c r="E344" s="29" t="s">
        <v>705</v>
      </c>
      <c r="F344" s="30" t="s">
        <v>706</v>
      </c>
      <c r="G344" s="27" t="s">
        <v>877</v>
      </c>
      <c r="H344" s="27" t="s">
        <v>876</v>
      </c>
      <c r="I344" s="35">
        <f t="shared" si="10"/>
        <v>44597</v>
      </c>
      <c r="J344" s="31">
        <v>99</v>
      </c>
      <c r="K344" s="33">
        <f>StockInData[[#This Row],[Quantity]]*2.5</f>
        <v>247.5</v>
      </c>
    </row>
    <row r="345" spans="1:11" x14ac:dyDescent="0.25">
      <c r="A345" s="31">
        <v>344</v>
      </c>
      <c r="B345" s="32">
        <f t="shared" si="11"/>
        <v>43753</v>
      </c>
      <c r="C345" s="32" t="s">
        <v>960</v>
      </c>
      <c r="D345" s="60" t="s">
        <v>957</v>
      </c>
      <c r="E345" s="29" t="s">
        <v>707</v>
      </c>
      <c r="F345" s="30" t="s">
        <v>708</v>
      </c>
      <c r="G345" s="27" t="s">
        <v>877</v>
      </c>
      <c r="H345" s="27" t="s">
        <v>876</v>
      </c>
      <c r="I345" s="35">
        <f t="shared" si="10"/>
        <v>44599</v>
      </c>
      <c r="J345" s="31">
        <v>101</v>
      </c>
      <c r="K345" s="33">
        <f>StockInData[[#This Row],[Quantity]]*2.5</f>
        <v>252.5</v>
      </c>
    </row>
    <row r="346" spans="1:11" x14ac:dyDescent="0.25">
      <c r="A346" s="31">
        <v>345</v>
      </c>
      <c r="B346" s="32">
        <f t="shared" si="11"/>
        <v>43754</v>
      </c>
      <c r="C346" s="32" t="s">
        <v>960</v>
      </c>
      <c r="D346" s="60" t="s">
        <v>957</v>
      </c>
      <c r="E346" s="29" t="s">
        <v>709</v>
      </c>
      <c r="F346" s="30" t="s">
        <v>710</v>
      </c>
      <c r="G346" s="27" t="s">
        <v>869</v>
      </c>
      <c r="H346" s="27" t="s">
        <v>876</v>
      </c>
      <c r="I346" s="35">
        <f t="shared" si="10"/>
        <v>44601</v>
      </c>
      <c r="J346" s="31">
        <v>100</v>
      </c>
      <c r="K346" s="33">
        <f>StockInData[[#This Row],[Quantity]]*2.5</f>
        <v>250</v>
      </c>
    </row>
    <row r="347" spans="1:11" x14ac:dyDescent="0.25">
      <c r="A347" s="31">
        <v>346</v>
      </c>
      <c r="B347" s="32">
        <f t="shared" si="11"/>
        <v>43755</v>
      </c>
      <c r="C347" s="32" t="s">
        <v>960</v>
      </c>
      <c r="D347" s="60" t="s">
        <v>957</v>
      </c>
      <c r="E347" s="29" t="s">
        <v>711</v>
      </c>
      <c r="F347" s="30" t="s">
        <v>712</v>
      </c>
      <c r="G347" s="27" t="s">
        <v>869</v>
      </c>
      <c r="H347" s="27" t="s">
        <v>876</v>
      </c>
      <c r="I347" s="35">
        <f t="shared" si="10"/>
        <v>44603</v>
      </c>
      <c r="J347" s="31">
        <v>60</v>
      </c>
      <c r="K347" s="33">
        <f>StockInData[[#This Row],[Quantity]]*2.5</f>
        <v>150</v>
      </c>
    </row>
    <row r="348" spans="1:11" x14ac:dyDescent="0.25">
      <c r="A348" s="31">
        <v>347</v>
      </c>
      <c r="B348" s="32">
        <f t="shared" si="11"/>
        <v>43756</v>
      </c>
      <c r="C348" s="32" t="s">
        <v>960</v>
      </c>
      <c r="D348" s="60" t="s">
        <v>957</v>
      </c>
      <c r="E348" s="29" t="s">
        <v>713</v>
      </c>
      <c r="F348" s="30" t="s">
        <v>714</v>
      </c>
      <c r="G348" s="27" t="s">
        <v>869</v>
      </c>
      <c r="H348" s="27" t="s">
        <v>876</v>
      </c>
      <c r="I348" s="35">
        <f t="shared" si="10"/>
        <v>44605</v>
      </c>
      <c r="J348" s="31">
        <v>40</v>
      </c>
      <c r="K348" s="33">
        <f>StockInData[[#This Row],[Quantity]]*2.5</f>
        <v>100</v>
      </c>
    </row>
    <row r="349" spans="1:11" x14ac:dyDescent="0.25">
      <c r="A349" s="31">
        <v>348</v>
      </c>
      <c r="B349" s="32">
        <f t="shared" si="11"/>
        <v>43757</v>
      </c>
      <c r="C349" s="32" t="s">
        <v>960</v>
      </c>
      <c r="D349" s="60" t="s">
        <v>957</v>
      </c>
      <c r="E349" s="29" t="s">
        <v>715</v>
      </c>
      <c r="F349" s="30" t="s">
        <v>716</v>
      </c>
      <c r="G349" s="27" t="s">
        <v>869</v>
      </c>
      <c r="H349" s="27" t="s">
        <v>876</v>
      </c>
      <c r="I349" s="35">
        <f t="shared" si="10"/>
        <v>44607</v>
      </c>
      <c r="J349" s="31">
        <v>30</v>
      </c>
      <c r="K349" s="33">
        <f>StockInData[[#This Row],[Quantity]]*2.5</f>
        <v>75</v>
      </c>
    </row>
    <row r="350" spans="1:11" x14ac:dyDescent="0.25">
      <c r="A350" s="31">
        <v>349</v>
      </c>
      <c r="B350" s="32">
        <f t="shared" si="11"/>
        <v>43758</v>
      </c>
      <c r="C350" s="32" t="s">
        <v>960</v>
      </c>
      <c r="D350" s="60" t="s">
        <v>957</v>
      </c>
      <c r="E350" s="29" t="s">
        <v>717</v>
      </c>
      <c r="F350" s="30" t="s">
        <v>718</v>
      </c>
      <c r="G350" s="27" t="s">
        <v>869</v>
      </c>
      <c r="H350" s="27" t="s">
        <v>876</v>
      </c>
      <c r="I350" s="35">
        <f t="shared" si="10"/>
        <v>44609</v>
      </c>
      <c r="J350" s="31">
        <v>25</v>
      </c>
      <c r="K350" s="33">
        <f>StockInData[[#This Row],[Quantity]]*2.5</f>
        <v>62.5</v>
      </c>
    </row>
    <row r="351" spans="1:11" x14ac:dyDescent="0.25">
      <c r="A351" s="31">
        <v>350</v>
      </c>
      <c r="B351" s="32">
        <f t="shared" si="11"/>
        <v>43759</v>
      </c>
      <c r="C351" s="32" t="s">
        <v>960</v>
      </c>
      <c r="D351" s="60" t="s">
        <v>957</v>
      </c>
      <c r="E351" s="29" t="s">
        <v>719</v>
      </c>
      <c r="F351" s="30" t="s">
        <v>720</v>
      </c>
      <c r="G351" s="27" t="s">
        <v>869</v>
      </c>
      <c r="H351" s="27" t="s">
        <v>876</v>
      </c>
      <c r="I351" s="35">
        <f t="shared" si="10"/>
        <v>44611</v>
      </c>
      <c r="J351" s="31">
        <v>20</v>
      </c>
      <c r="K351" s="33">
        <f>StockInData[[#This Row],[Quantity]]*2.5</f>
        <v>50</v>
      </c>
    </row>
    <row r="352" spans="1:11" x14ac:dyDescent="0.25">
      <c r="A352" s="31">
        <v>351</v>
      </c>
      <c r="B352" s="32">
        <f t="shared" si="11"/>
        <v>43760</v>
      </c>
      <c r="C352" s="32" t="s">
        <v>960</v>
      </c>
      <c r="D352" s="60" t="s">
        <v>957</v>
      </c>
      <c r="E352" s="29" t="s">
        <v>721</v>
      </c>
      <c r="F352" s="30" t="s">
        <v>722</v>
      </c>
      <c r="G352" s="27" t="s">
        <v>869</v>
      </c>
      <c r="H352" s="27" t="s">
        <v>876</v>
      </c>
      <c r="I352" s="35">
        <f t="shared" si="10"/>
        <v>44613</v>
      </c>
      <c r="J352" s="31">
        <v>19</v>
      </c>
      <c r="K352" s="33">
        <f>StockInData[[#This Row],[Quantity]]*2.5</f>
        <v>47.5</v>
      </c>
    </row>
    <row r="353" spans="1:11" x14ac:dyDescent="0.25">
      <c r="A353" s="31">
        <v>352</v>
      </c>
      <c r="B353" s="32">
        <f t="shared" si="11"/>
        <v>43761</v>
      </c>
      <c r="C353" s="32" t="s">
        <v>960</v>
      </c>
      <c r="D353" s="60" t="s">
        <v>957</v>
      </c>
      <c r="E353" s="29" t="s">
        <v>723</v>
      </c>
      <c r="F353" s="30" t="s">
        <v>724</v>
      </c>
      <c r="G353" s="27" t="s">
        <v>869</v>
      </c>
      <c r="H353" s="27" t="s">
        <v>876</v>
      </c>
      <c r="I353" s="35">
        <f t="shared" si="10"/>
        <v>44615</v>
      </c>
      <c r="J353" s="31">
        <v>23</v>
      </c>
      <c r="K353" s="33">
        <f>StockInData[[#This Row],[Quantity]]*2.5</f>
        <v>57.5</v>
      </c>
    </row>
    <row r="354" spans="1:11" x14ac:dyDescent="0.25">
      <c r="A354" s="31">
        <v>353</v>
      </c>
      <c r="B354" s="32">
        <f t="shared" si="11"/>
        <v>43762</v>
      </c>
      <c r="C354" s="32" t="s">
        <v>960</v>
      </c>
      <c r="D354" s="60" t="s">
        <v>957</v>
      </c>
      <c r="E354" s="29" t="s">
        <v>725</v>
      </c>
      <c r="F354" s="30" t="s">
        <v>726</v>
      </c>
      <c r="G354" s="27" t="s">
        <v>869</v>
      </c>
      <c r="H354" s="27" t="s">
        <v>876</v>
      </c>
      <c r="I354" s="35">
        <f t="shared" si="10"/>
        <v>44617</v>
      </c>
      <c r="J354" s="31">
        <v>65</v>
      </c>
      <c r="K354" s="33">
        <f>StockInData[[#This Row],[Quantity]]*2.5</f>
        <v>162.5</v>
      </c>
    </row>
    <row r="355" spans="1:11" x14ac:dyDescent="0.25">
      <c r="A355" s="31">
        <v>354</v>
      </c>
      <c r="B355" s="32">
        <f t="shared" si="11"/>
        <v>43763</v>
      </c>
      <c r="C355" s="32" t="s">
        <v>960</v>
      </c>
      <c r="D355" s="60" t="s">
        <v>957</v>
      </c>
      <c r="E355" s="29" t="s">
        <v>727</v>
      </c>
      <c r="F355" s="30" t="s">
        <v>728</v>
      </c>
      <c r="G355" s="27" t="s">
        <v>869</v>
      </c>
      <c r="H355" s="27" t="s">
        <v>876</v>
      </c>
      <c r="I355" s="35">
        <f t="shared" si="10"/>
        <v>44619</v>
      </c>
      <c r="J355" s="31">
        <v>74</v>
      </c>
      <c r="K355" s="33">
        <f>StockInData[[#This Row],[Quantity]]*2.5</f>
        <v>185</v>
      </c>
    </row>
    <row r="356" spans="1:11" x14ac:dyDescent="0.25">
      <c r="A356" s="31">
        <v>355</v>
      </c>
      <c r="B356" s="32">
        <f t="shared" si="11"/>
        <v>43764</v>
      </c>
      <c r="C356" s="32" t="s">
        <v>960</v>
      </c>
      <c r="D356" s="60" t="s">
        <v>957</v>
      </c>
      <c r="E356" s="29" t="s">
        <v>729</v>
      </c>
      <c r="F356" s="30" t="s">
        <v>730</v>
      </c>
      <c r="G356" s="27" t="s">
        <v>869</v>
      </c>
      <c r="H356" s="27" t="s">
        <v>876</v>
      </c>
      <c r="I356" s="35">
        <f t="shared" si="10"/>
        <v>44621</v>
      </c>
      <c r="J356" s="31">
        <v>84</v>
      </c>
      <c r="K356" s="33">
        <f>StockInData[[#This Row],[Quantity]]*2.5</f>
        <v>210</v>
      </c>
    </row>
    <row r="357" spans="1:11" x14ac:dyDescent="0.25">
      <c r="A357" s="31">
        <v>356</v>
      </c>
      <c r="B357" s="32">
        <f t="shared" si="11"/>
        <v>43765</v>
      </c>
      <c r="C357" s="32" t="s">
        <v>960</v>
      </c>
      <c r="D357" s="60" t="s">
        <v>957</v>
      </c>
      <c r="E357" s="29" t="s">
        <v>731</v>
      </c>
      <c r="F357" s="30" t="s">
        <v>732</v>
      </c>
      <c r="G357" s="27" t="s">
        <v>869</v>
      </c>
      <c r="H357" s="27" t="s">
        <v>876</v>
      </c>
      <c r="I357" s="35">
        <f t="shared" si="10"/>
        <v>44623</v>
      </c>
      <c r="J357" s="31">
        <v>99</v>
      </c>
      <c r="K357" s="33">
        <f>StockInData[[#This Row],[Quantity]]*2.5</f>
        <v>247.5</v>
      </c>
    </row>
    <row r="358" spans="1:11" x14ac:dyDescent="0.25">
      <c r="A358" s="31">
        <v>357</v>
      </c>
      <c r="B358" s="32">
        <f t="shared" si="11"/>
        <v>43766</v>
      </c>
      <c r="C358" s="32" t="s">
        <v>960</v>
      </c>
      <c r="D358" s="60" t="s">
        <v>957</v>
      </c>
      <c r="E358" s="29" t="s">
        <v>733</v>
      </c>
      <c r="F358" s="30" t="s">
        <v>734</v>
      </c>
      <c r="G358" s="27" t="s">
        <v>869</v>
      </c>
      <c r="H358" s="27" t="s">
        <v>876</v>
      </c>
      <c r="I358" s="35">
        <f t="shared" si="10"/>
        <v>44625</v>
      </c>
      <c r="J358" s="31">
        <v>101</v>
      </c>
      <c r="K358" s="33">
        <f>StockInData[[#This Row],[Quantity]]*2.5</f>
        <v>252.5</v>
      </c>
    </row>
    <row r="359" spans="1:11" x14ac:dyDescent="0.25">
      <c r="A359" s="31">
        <v>358</v>
      </c>
      <c r="B359" s="32">
        <f t="shared" si="11"/>
        <v>43767</v>
      </c>
      <c r="C359" s="32" t="s">
        <v>960</v>
      </c>
      <c r="D359" s="60" t="s">
        <v>957</v>
      </c>
      <c r="E359" s="29" t="s">
        <v>735</v>
      </c>
      <c r="F359" s="30" t="s">
        <v>736</v>
      </c>
      <c r="G359" s="27" t="s">
        <v>869</v>
      </c>
      <c r="H359" s="27" t="s">
        <v>876</v>
      </c>
      <c r="I359" s="35">
        <f t="shared" si="10"/>
        <v>44627</v>
      </c>
      <c r="J359" s="31">
        <v>100</v>
      </c>
      <c r="K359" s="33">
        <f>StockInData[[#This Row],[Quantity]]*2.5</f>
        <v>250</v>
      </c>
    </row>
    <row r="360" spans="1:11" x14ac:dyDescent="0.25">
      <c r="A360" s="31">
        <v>359</v>
      </c>
      <c r="B360" s="32">
        <f t="shared" si="11"/>
        <v>43768</v>
      </c>
      <c r="C360" s="32" t="s">
        <v>960</v>
      </c>
      <c r="D360" s="60" t="s">
        <v>957</v>
      </c>
      <c r="E360" s="29" t="s">
        <v>737</v>
      </c>
      <c r="F360" s="30" t="s">
        <v>738</v>
      </c>
      <c r="G360" s="27" t="s">
        <v>869</v>
      </c>
      <c r="H360" s="27" t="s">
        <v>876</v>
      </c>
      <c r="I360" s="35">
        <f t="shared" si="10"/>
        <v>44629</v>
      </c>
      <c r="J360" s="31">
        <v>100</v>
      </c>
      <c r="K360" s="33">
        <f>StockInData[[#This Row],[Quantity]]*2.5</f>
        <v>250</v>
      </c>
    </row>
    <row r="361" spans="1:11" x14ac:dyDescent="0.25">
      <c r="A361" s="31">
        <v>360</v>
      </c>
      <c r="B361" s="32">
        <f t="shared" si="11"/>
        <v>43769</v>
      </c>
      <c r="C361" s="32" t="s">
        <v>960</v>
      </c>
      <c r="D361" s="60" t="s">
        <v>957</v>
      </c>
      <c r="E361" s="29" t="s">
        <v>739</v>
      </c>
      <c r="F361" s="30" t="s">
        <v>740</v>
      </c>
      <c r="G361" s="27" t="s">
        <v>869</v>
      </c>
      <c r="H361" s="27" t="s">
        <v>876</v>
      </c>
      <c r="I361" s="35">
        <f t="shared" si="10"/>
        <v>44631</v>
      </c>
      <c r="J361" s="31">
        <v>100</v>
      </c>
      <c r="K361" s="33">
        <f>StockInData[[#This Row],[Quantity]]*2.5</f>
        <v>250</v>
      </c>
    </row>
    <row r="362" spans="1:11" x14ac:dyDescent="0.25">
      <c r="A362" s="31">
        <v>361</v>
      </c>
      <c r="B362" s="32">
        <f t="shared" si="11"/>
        <v>43770</v>
      </c>
      <c r="C362" s="32" t="s">
        <v>960</v>
      </c>
      <c r="D362" s="60" t="s">
        <v>957</v>
      </c>
      <c r="E362" s="29" t="s">
        <v>741</v>
      </c>
      <c r="F362" s="30" t="s">
        <v>742</v>
      </c>
      <c r="G362" s="27" t="s">
        <v>869</v>
      </c>
      <c r="H362" s="27" t="s">
        <v>876</v>
      </c>
      <c r="I362" s="35">
        <f t="shared" si="10"/>
        <v>44633</v>
      </c>
      <c r="J362" s="31">
        <v>40</v>
      </c>
      <c r="K362" s="33">
        <f>StockInData[[#This Row],[Quantity]]*2.5</f>
        <v>100</v>
      </c>
    </row>
    <row r="363" spans="1:11" x14ac:dyDescent="0.25">
      <c r="A363" s="31">
        <v>362</v>
      </c>
      <c r="B363" s="32">
        <f t="shared" si="11"/>
        <v>43771</v>
      </c>
      <c r="C363" s="32" t="s">
        <v>960</v>
      </c>
      <c r="D363" s="60" t="s">
        <v>957</v>
      </c>
      <c r="E363" s="29" t="s">
        <v>743</v>
      </c>
      <c r="F363" s="30" t="s">
        <v>744</v>
      </c>
      <c r="G363" s="27" t="s">
        <v>869</v>
      </c>
      <c r="H363" s="27" t="s">
        <v>876</v>
      </c>
      <c r="I363" s="35">
        <f t="shared" si="10"/>
        <v>44635</v>
      </c>
      <c r="J363" s="31">
        <v>30</v>
      </c>
      <c r="K363" s="33">
        <f>StockInData[[#This Row],[Quantity]]*2.5</f>
        <v>75</v>
      </c>
    </row>
    <row r="364" spans="1:11" x14ac:dyDescent="0.25">
      <c r="A364" s="31">
        <v>363</v>
      </c>
      <c r="B364" s="32">
        <f t="shared" si="11"/>
        <v>43772</v>
      </c>
      <c r="C364" s="32" t="s">
        <v>960</v>
      </c>
      <c r="D364" s="60" t="s">
        <v>957</v>
      </c>
      <c r="E364" s="29" t="s">
        <v>745</v>
      </c>
      <c r="F364" s="30" t="s">
        <v>746</v>
      </c>
      <c r="G364" s="27" t="s">
        <v>869</v>
      </c>
      <c r="H364" s="27" t="s">
        <v>876</v>
      </c>
      <c r="I364" s="35">
        <f t="shared" si="10"/>
        <v>44637</v>
      </c>
      <c r="J364" s="31">
        <v>25</v>
      </c>
      <c r="K364" s="33">
        <f>StockInData[[#This Row],[Quantity]]*2.5</f>
        <v>62.5</v>
      </c>
    </row>
    <row r="365" spans="1:11" x14ac:dyDescent="0.25">
      <c r="A365" s="31">
        <v>364</v>
      </c>
      <c r="B365" s="32">
        <f t="shared" si="11"/>
        <v>43773</v>
      </c>
      <c r="C365" s="32" t="s">
        <v>960</v>
      </c>
      <c r="D365" s="60" t="s">
        <v>957</v>
      </c>
      <c r="E365" s="29" t="s">
        <v>747</v>
      </c>
      <c r="F365" s="30" t="s">
        <v>748</v>
      </c>
      <c r="G365" s="27" t="s">
        <v>869</v>
      </c>
      <c r="H365" s="27" t="s">
        <v>876</v>
      </c>
      <c r="I365" s="35">
        <f t="shared" si="10"/>
        <v>44639</v>
      </c>
      <c r="J365" s="31">
        <v>20</v>
      </c>
      <c r="K365" s="33">
        <f>StockInData[[#This Row],[Quantity]]*2.5</f>
        <v>50</v>
      </c>
    </row>
    <row r="366" spans="1:11" x14ac:dyDescent="0.25">
      <c r="A366" s="31">
        <v>365</v>
      </c>
      <c r="B366" s="32">
        <f t="shared" si="11"/>
        <v>43774</v>
      </c>
      <c r="C366" s="32" t="s">
        <v>960</v>
      </c>
      <c r="D366" s="60" t="s">
        <v>957</v>
      </c>
      <c r="E366" s="29" t="s">
        <v>749</v>
      </c>
      <c r="F366" s="30" t="s">
        <v>750</v>
      </c>
      <c r="G366" s="27" t="s">
        <v>869</v>
      </c>
      <c r="H366" s="27" t="s">
        <v>876</v>
      </c>
      <c r="I366" s="35">
        <f t="shared" si="10"/>
        <v>44641</v>
      </c>
      <c r="J366" s="31">
        <v>19</v>
      </c>
      <c r="K366" s="33">
        <f>StockInData[[#This Row],[Quantity]]*2.5</f>
        <v>47.5</v>
      </c>
    </row>
    <row r="367" spans="1:11" x14ac:dyDescent="0.25">
      <c r="A367" s="31">
        <v>366</v>
      </c>
      <c r="B367" s="32">
        <f t="shared" si="11"/>
        <v>43775</v>
      </c>
      <c r="C367" s="32" t="s">
        <v>960</v>
      </c>
      <c r="D367" s="60" t="s">
        <v>957</v>
      </c>
      <c r="E367" s="29" t="s">
        <v>751</v>
      </c>
      <c r="F367" s="30" t="s">
        <v>752</v>
      </c>
      <c r="G367" s="27" t="s">
        <v>869</v>
      </c>
      <c r="H367" s="27" t="s">
        <v>876</v>
      </c>
      <c r="I367" s="35">
        <f t="shared" si="10"/>
        <v>44643</v>
      </c>
      <c r="J367" s="31">
        <v>23</v>
      </c>
      <c r="K367" s="33">
        <f>StockInData[[#This Row],[Quantity]]*2.5</f>
        <v>57.5</v>
      </c>
    </row>
    <row r="368" spans="1:11" x14ac:dyDescent="0.25">
      <c r="A368" s="31">
        <v>367</v>
      </c>
      <c r="B368" s="32">
        <f t="shared" si="11"/>
        <v>43776</v>
      </c>
      <c r="C368" s="32" t="s">
        <v>960</v>
      </c>
      <c r="D368" s="60" t="s">
        <v>957</v>
      </c>
      <c r="E368" s="29" t="s">
        <v>753</v>
      </c>
      <c r="F368" s="30" t="s">
        <v>754</v>
      </c>
      <c r="G368" s="27" t="s">
        <v>869</v>
      </c>
      <c r="H368" s="27" t="s">
        <v>876</v>
      </c>
      <c r="I368" s="35">
        <f t="shared" si="10"/>
        <v>44645</v>
      </c>
      <c r="J368" s="31">
        <v>65</v>
      </c>
      <c r="K368" s="33">
        <f>StockInData[[#This Row],[Quantity]]*2.5</f>
        <v>162.5</v>
      </c>
    </row>
    <row r="369" spans="1:11" x14ac:dyDescent="0.25">
      <c r="A369" s="31">
        <v>368</v>
      </c>
      <c r="B369" s="32">
        <f t="shared" si="11"/>
        <v>43777</v>
      </c>
      <c r="C369" s="32" t="s">
        <v>960</v>
      </c>
      <c r="D369" s="60" t="s">
        <v>957</v>
      </c>
      <c r="E369" s="29" t="s">
        <v>755</v>
      </c>
      <c r="F369" s="30" t="s">
        <v>756</v>
      </c>
      <c r="G369" s="27" t="s">
        <v>869</v>
      </c>
      <c r="H369" s="27" t="s">
        <v>876</v>
      </c>
      <c r="I369" s="35">
        <f t="shared" si="10"/>
        <v>44647</v>
      </c>
      <c r="J369" s="31">
        <v>74</v>
      </c>
      <c r="K369" s="33">
        <f>StockInData[[#This Row],[Quantity]]*2.5</f>
        <v>185</v>
      </c>
    </row>
    <row r="370" spans="1:11" x14ac:dyDescent="0.25">
      <c r="A370" s="31">
        <v>369</v>
      </c>
      <c r="B370" s="32">
        <f t="shared" si="11"/>
        <v>43778</v>
      </c>
      <c r="C370" s="32" t="s">
        <v>960</v>
      </c>
      <c r="D370" s="60" t="s">
        <v>957</v>
      </c>
      <c r="E370" s="29" t="s">
        <v>757</v>
      </c>
      <c r="F370" s="30" t="s">
        <v>758</v>
      </c>
      <c r="G370" s="27" t="s">
        <v>869</v>
      </c>
      <c r="H370" s="27" t="s">
        <v>876</v>
      </c>
      <c r="I370" s="35">
        <f t="shared" si="10"/>
        <v>44649</v>
      </c>
      <c r="J370" s="31">
        <v>84</v>
      </c>
      <c r="K370" s="33">
        <f>StockInData[[#This Row],[Quantity]]*2.5</f>
        <v>210</v>
      </c>
    </row>
    <row r="371" spans="1:11" x14ac:dyDescent="0.25">
      <c r="A371" s="31">
        <v>370</v>
      </c>
      <c r="B371" s="32">
        <f t="shared" si="11"/>
        <v>43779</v>
      </c>
      <c r="C371" s="32" t="s">
        <v>960</v>
      </c>
      <c r="D371" s="60" t="s">
        <v>957</v>
      </c>
      <c r="E371" s="29" t="s">
        <v>759</v>
      </c>
      <c r="F371" s="30" t="s">
        <v>760</v>
      </c>
      <c r="G371" s="27" t="s">
        <v>869</v>
      </c>
      <c r="H371" s="27" t="s">
        <v>876</v>
      </c>
      <c r="I371" s="35">
        <f t="shared" si="10"/>
        <v>44651</v>
      </c>
      <c r="J371" s="31">
        <v>99</v>
      </c>
      <c r="K371" s="33">
        <f>StockInData[[#This Row],[Quantity]]*2.5</f>
        <v>247.5</v>
      </c>
    </row>
    <row r="372" spans="1:11" x14ac:dyDescent="0.25">
      <c r="A372" s="31">
        <v>371</v>
      </c>
      <c r="B372" s="32">
        <f t="shared" si="11"/>
        <v>43780</v>
      </c>
      <c r="C372" s="32" t="s">
        <v>960</v>
      </c>
      <c r="D372" s="60" t="s">
        <v>957</v>
      </c>
      <c r="E372" s="29" t="s">
        <v>761</v>
      </c>
      <c r="F372" s="30" t="s">
        <v>762</v>
      </c>
      <c r="G372" s="27" t="s">
        <v>869</v>
      </c>
      <c r="H372" s="27" t="s">
        <v>876</v>
      </c>
      <c r="I372" s="35">
        <f t="shared" si="10"/>
        <v>44653</v>
      </c>
      <c r="J372" s="31">
        <v>101</v>
      </c>
      <c r="K372" s="33">
        <f>StockInData[[#This Row],[Quantity]]*2.5</f>
        <v>252.5</v>
      </c>
    </row>
    <row r="373" spans="1:11" x14ac:dyDescent="0.25">
      <c r="A373" s="31">
        <v>372</v>
      </c>
      <c r="B373" s="32">
        <f t="shared" si="11"/>
        <v>43781</v>
      </c>
      <c r="C373" s="32" t="s">
        <v>960</v>
      </c>
      <c r="D373" s="60" t="s">
        <v>957</v>
      </c>
      <c r="E373" s="29" t="s">
        <v>763</v>
      </c>
      <c r="F373" s="30" t="s">
        <v>764</v>
      </c>
      <c r="G373" s="27" t="s">
        <v>869</v>
      </c>
      <c r="H373" s="27" t="s">
        <v>876</v>
      </c>
      <c r="I373" s="35">
        <f t="shared" si="10"/>
        <v>44655</v>
      </c>
      <c r="J373" s="31">
        <v>60</v>
      </c>
      <c r="K373" s="33">
        <f>StockInData[[#This Row],[Quantity]]*2.5</f>
        <v>150</v>
      </c>
    </row>
    <row r="374" spans="1:11" x14ac:dyDescent="0.25">
      <c r="A374" s="31">
        <v>373</v>
      </c>
      <c r="B374" s="32">
        <f t="shared" si="11"/>
        <v>43782</v>
      </c>
      <c r="C374" s="32" t="s">
        <v>960</v>
      </c>
      <c r="D374" s="60" t="s">
        <v>957</v>
      </c>
      <c r="E374" s="29" t="s">
        <v>765</v>
      </c>
      <c r="F374" s="30" t="s">
        <v>766</v>
      </c>
      <c r="G374" s="27" t="s">
        <v>869</v>
      </c>
      <c r="H374" s="27" t="s">
        <v>876</v>
      </c>
      <c r="I374" s="35">
        <f t="shared" si="10"/>
        <v>44657</v>
      </c>
      <c r="J374" s="31">
        <v>40</v>
      </c>
      <c r="K374" s="33">
        <f>StockInData[[#This Row],[Quantity]]*2.5</f>
        <v>100</v>
      </c>
    </row>
    <row r="375" spans="1:11" x14ac:dyDescent="0.25">
      <c r="A375" s="31">
        <v>374</v>
      </c>
      <c r="B375" s="32">
        <f t="shared" si="11"/>
        <v>43783</v>
      </c>
      <c r="C375" s="32" t="s">
        <v>960</v>
      </c>
      <c r="D375" s="60" t="s">
        <v>957</v>
      </c>
      <c r="E375" s="29" t="s">
        <v>767</v>
      </c>
      <c r="F375" s="30" t="s">
        <v>768</v>
      </c>
      <c r="G375" s="27" t="s">
        <v>869</v>
      </c>
      <c r="H375" s="27" t="s">
        <v>876</v>
      </c>
      <c r="I375" s="35">
        <f t="shared" si="10"/>
        <v>44659</v>
      </c>
      <c r="J375" s="31">
        <v>30</v>
      </c>
      <c r="K375" s="33">
        <f>StockInData[[#This Row],[Quantity]]*2.5</f>
        <v>75</v>
      </c>
    </row>
    <row r="376" spans="1:11" x14ac:dyDescent="0.25">
      <c r="A376" s="31">
        <v>375</v>
      </c>
      <c r="B376" s="32">
        <f t="shared" si="11"/>
        <v>43784</v>
      </c>
      <c r="C376" s="32" t="s">
        <v>960</v>
      </c>
      <c r="D376" s="60" t="s">
        <v>957</v>
      </c>
      <c r="E376" s="29" t="s">
        <v>769</v>
      </c>
      <c r="F376" s="30" t="s">
        <v>770</v>
      </c>
      <c r="G376" s="27" t="s">
        <v>869</v>
      </c>
      <c r="H376" s="27" t="s">
        <v>876</v>
      </c>
      <c r="I376" s="35">
        <f t="shared" si="10"/>
        <v>44661</v>
      </c>
      <c r="J376" s="31">
        <v>25</v>
      </c>
      <c r="K376" s="33">
        <f>StockInData[[#This Row],[Quantity]]*2.5</f>
        <v>62.5</v>
      </c>
    </row>
    <row r="377" spans="1:11" x14ac:dyDescent="0.25">
      <c r="A377" s="31">
        <v>376</v>
      </c>
      <c r="B377" s="32">
        <f t="shared" si="11"/>
        <v>43785</v>
      </c>
      <c r="C377" s="32" t="s">
        <v>960</v>
      </c>
      <c r="D377" s="60" t="s">
        <v>957</v>
      </c>
      <c r="E377" s="29" t="s">
        <v>771</v>
      </c>
      <c r="F377" s="30" t="s">
        <v>772</v>
      </c>
      <c r="G377" s="27" t="s">
        <v>869</v>
      </c>
      <c r="H377" s="27" t="s">
        <v>876</v>
      </c>
      <c r="I377" s="35">
        <f t="shared" si="10"/>
        <v>44663</v>
      </c>
      <c r="J377" s="31">
        <v>20</v>
      </c>
      <c r="K377" s="33">
        <f>StockInData[[#This Row],[Quantity]]*2.5</f>
        <v>50</v>
      </c>
    </row>
    <row r="378" spans="1:11" x14ac:dyDescent="0.25">
      <c r="A378" s="31">
        <v>377</v>
      </c>
      <c r="B378" s="32">
        <f t="shared" si="11"/>
        <v>43786</v>
      </c>
      <c r="C378" s="32" t="s">
        <v>960</v>
      </c>
      <c r="D378" s="60" t="s">
        <v>957</v>
      </c>
      <c r="E378" s="29" t="s">
        <v>773</v>
      </c>
      <c r="F378" s="30" t="s">
        <v>774</v>
      </c>
      <c r="G378" s="27" t="s">
        <v>869</v>
      </c>
      <c r="H378" s="27" t="s">
        <v>876</v>
      </c>
      <c r="I378" s="35">
        <f t="shared" si="10"/>
        <v>44665</v>
      </c>
      <c r="J378" s="31">
        <v>19</v>
      </c>
      <c r="K378" s="33">
        <f>StockInData[[#This Row],[Quantity]]*2.5</f>
        <v>47.5</v>
      </c>
    </row>
    <row r="379" spans="1:11" x14ac:dyDescent="0.25">
      <c r="A379" s="31">
        <v>378</v>
      </c>
      <c r="B379" s="32">
        <f t="shared" si="11"/>
        <v>43787</v>
      </c>
      <c r="C379" s="32" t="s">
        <v>960</v>
      </c>
      <c r="D379" s="60" t="s">
        <v>957</v>
      </c>
      <c r="E379" s="29" t="s">
        <v>775</v>
      </c>
      <c r="F379" s="30" t="s">
        <v>776</v>
      </c>
      <c r="G379" s="27" t="s">
        <v>869</v>
      </c>
      <c r="H379" s="27" t="s">
        <v>876</v>
      </c>
      <c r="I379" s="35">
        <f t="shared" si="10"/>
        <v>44667</v>
      </c>
      <c r="J379" s="31">
        <v>23</v>
      </c>
      <c r="K379" s="33">
        <f>StockInData[[#This Row],[Quantity]]*2.5</f>
        <v>57.5</v>
      </c>
    </row>
    <row r="380" spans="1:11" x14ac:dyDescent="0.25">
      <c r="A380" s="31">
        <v>379</v>
      </c>
      <c r="B380" s="32">
        <f t="shared" si="11"/>
        <v>43788</v>
      </c>
      <c r="C380" s="32" t="s">
        <v>960</v>
      </c>
      <c r="D380" s="60" t="s">
        <v>957</v>
      </c>
      <c r="E380" s="29" t="s">
        <v>777</v>
      </c>
      <c r="F380" s="30" t="s">
        <v>778</v>
      </c>
      <c r="G380" s="27" t="s">
        <v>869</v>
      </c>
      <c r="H380" s="27" t="s">
        <v>876</v>
      </c>
      <c r="I380" s="35">
        <f t="shared" si="10"/>
        <v>44669</v>
      </c>
      <c r="J380" s="31">
        <v>65</v>
      </c>
      <c r="K380" s="33">
        <f>StockInData[[#This Row],[Quantity]]*2.5</f>
        <v>162.5</v>
      </c>
    </row>
    <row r="381" spans="1:11" x14ac:dyDescent="0.25">
      <c r="A381" s="31">
        <v>380</v>
      </c>
      <c r="B381" s="32">
        <f t="shared" si="11"/>
        <v>43789</v>
      </c>
      <c r="C381" s="32" t="s">
        <v>960</v>
      </c>
      <c r="D381" s="60" t="s">
        <v>957</v>
      </c>
      <c r="E381" s="29" t="s">
        <v>779</v>
      </c>
      <c r="F381" s="30" t="s">
        <v>780</v>
      </c>
      <c r="G381" s="27" t="s">
        <v>869</v>
      </c>
      <c r="H381" s="27" t="s">
        <v>876</v>
      </c>
      <c r="I381" s="35">
        <f t="shared" si="10"/>
        <v>44671</v>
      </c>
      <c r="J381" s="31">
        <v>74</v>
      </c>
      <c r="K381" s="33">
        <f>StockInData[[#This Row],[Quantity]]*2.5</f>
        <v>185</v>
      </c>
    </row>
    <row r="382" spans="1:11" x14ac:dyDescent="0.25">
      <c r="A382" s="31">
        <v>381</v>
      </c>
      <c r="B382" s="32">
        <f t="shared" si="11"/>
        <v>43790</v>
      </c>
      <c r="C382" s="32" t="s">
        <v>960</v>
      </c>
      <c r="D382" s="60" t="s">
        <v>957</v>
      </c>
      <c r="E382" s="29" t="s">
        <v>781</v>
      </c>
      <c r="F382" s="30" t="s">
        <v>782</v>
      </c>
      <c r="G382" s="27" t="s">
        <v>869</v>
      </c>
      <c r="H382" s="27" t="s">
        <v>876</v>
      </c>
      <c r="I382" s="35">
        <f t="shared" si="10"/>
        <v>44673</v>
      </c>
      <c r="J382" s="31">
        <v>84</v>
      </c>
      <c r="K382" s="33">
        <f>StockInData[[#This Row],[Quantity]]*2.5</f>
        <v>210</v>
      </c>
    </row>
    <row r="383" spans="1:11" x14ac:dyDescent="0.25">
      <c r="A383" s="31">
        <v>382</v>
      </c>
      <c r="B383" s="32">
        <f t="shared" si="11"/>
        <v>43791</v>
      </c>
      <c r="C383" s="32" t="s">
        <v>960</v>
      </c>
      <c r="D383" s="60" t="s">
        <v>957</v>
      </c>
      <c r="E383" s="29" t="s">
        <v>783</v>
      </c>
      <c r="F383" s="30" t="s">
        <v>784</v>
      </c>
      <c r="G383" s="27" t="s">
        <v>869</v>
      </c>
      <c r="H383" s="27" t="s">
        <v>876</v>
      </c>
      <c r="I383" s="35">
        <f t="shared" si="10"/>
        <v>44675</v>
      </c>
      <c r="J383" s="31">
        <v>99</v>
      </c>
      <c r="K383" s="33">
        <f>StockInData[[#This Row],[Quantity]]*2.5</f>
        <v>247.5</v>
      </c>
    </row>
    <row r="384" spans="1:11" x14ac:dyDescent="0.25">
      <c r="A384" s="31">
        <v>383</v>
      </c>
      <c r="B384" s="32">
        <f t="shared" si="11"/>
        <v>43792</v>
      </c>
      <c r="C384" s="32" t="s">
        <v>960</v>
      </c>
      <c r="D384" s="60" t="s">
        <v>957</v>
      </c>
      <c r="E384" s="29" t="s">
        <v>785</v>
      </c>
      <c r="F384" s="30" t="s">
        <v>786</v>
      </c>
      <c r="G384" s="27" t="s">
        <v>869</v>
      </c>
      <c r="H384" s="27" t="s">
        <v>876</v>
      </c>
      <c r="I384" s="35">
        <f t="shared" si="10"/>
        <v>44677</v>
      </c>
      <c r="J384" s="31">
        <v>101</v>
      </c>
      <c r="K384" s="33">
        <f>StockInData[[#This Row],[Quantity]]*2.5</f>
        <v>252.5</v>
      </c>
    </row>
    <row r="385" spans="1:11" x14ac:dyDescent="0.25">
      <c r="A385" s="31">
        <v>384</v>
      </c>
      <c r="B385" s="32">
        <f t="shared" si="11"/>
        <v>43793</v>
      </c>
      <c r="C385" s="32" t="s">
        <v>960</v>
      </c>
      <c r="D385" s="60" t="s">
        <v>957</v>
      </c>
      <c r="E385" s="29" t="s">
        <v>787</v>
      </c>
      <c r="F385" s="30" t="s">
        <v>788</v>
      </c>
      <c r="G385" s="27" t="s">
        <v>869</v>
      </c>
      <c r="H385" s="27" t="s">
        <v>876</v>
      </c>
      <c r="I385" s="35">
        <f t="shared" si="10"/>
        <v>44679</v>
      </c>
      <c r="J385" s="31">
        <v>60</v>
      </c>
      <c r="K385" s="33">
        <f>StockInData[[#This Row],[Quantity]]*2.5</f>
        <v>150</v>
      </c>
    </row>
    <row r="386" spans="1:11" x14ac:dyDescent="0.25">
      <c r="A386" s="31">
        <v>385</v>
      </c>
      <c r="B386" s="32">
        <f t="shared" si="11"/>
        <v>43794</v>
      </c>
      <c r="C386" s="32" t="s">
        <v>960</v>
      </c>
      <c r="D386" s="60" t="s">
        <v>957</v>
      </c>
      <c r="E386" s="29" t="s">
        <v>789</v>
      </c>
      <c r="F386" s="30" t="s">
        <v>790</v>
      </c>
      <c r="G386" s="27" t="s">
        <v>869</v>
      </c>
      <c r="H386" s="27" t="s">
        <v>876</v>
      </c>
      <c r="I386" s="35">
        <f t="shared" si="10"/>
        <v>44681</v>
      </c>
      <c r="J386" s="31">
        <v>40</v>
      </c>
      <c r="K386" s="33">
        <f>StockInData[[#This Row],[Quantity]]*2.5</f>
        <v>100</v>
      </c>
    </row>
    <row r="387" spans="1:11" x14ac:dyDescent="0.25">
      <c r="A387" s="31">
        <v>386</v>
      </c>
      <c r="B387" s="32">
        <f t="shared" si="11"/>
        <v>43795</v>
      </c>
      <c r="C387" s="32" t="s">
        <v>960</v>
      </c>
      <c r="D387" s="60" t="s">
        <v>957</v>
      </c>
      <c r="E387" s="29" t="s">
        <v>791</v>
      </c>
      <c r="F387" s="30" t="s">
        <v>792</v>
      </c>
      <c r="G387" s="27" t="s">
        <v>869</v>
      </c>
      <c r="H387" s="27" t="s">
        <v>876</v>
      </c>
      <c r="I387" s="35">
        <f t="shared" si="10"/>
        <v>44683</v>
      </c>
      <c r="J387" s="31">
        <v>30</v>
      </c>
      <c r="K387" s="33">
        <f>StockInData[[#This Row],[Quantity]]*2.5</f>
        <v>75</v>
      </c>
    </row>
    <row r="388" spans="1:11" x14ac:dyDescent="0.25">
      <c r="A388" s="31">
        <v>387</v>
      </c>
      <c r="B388" s="32">
        <f t="shared" si="11"/>
        <v>43796</v>
      </c>
      <c r="C388" s="32" t="s">
        <v>960</v>
      </c>
      <c r="D388" s="60" t="s">
        <v>957</v>
      </c>
      <c r="E388" s="29" t="s">
        <v>793</v>
      </c>
      <c r="F388" s="30" t="s">
        <v>794</v>
      </c>
      <c r="G388" s="27" t="s">
        <v>869</v>
      </c>
      <c r="H388" s="27" t="s">
        <v>876</v>
      </c>
      <c r="I388" s="35">
        <f t="shared" ref="I388:I427" si="12">I387+2</f>
        <v>44685</v>
      </c>
      <c r="J388" s="31">
        <v>25</v>
      </c>
      <c r="K388" s="33">
        <f>StockInData[[#This Row],[Quantity]]*2.5</f>
        <v>62.5</v>
      </c>
    </row>
    <row r="389" spans="1:11" x14ac:dyDescent="0.25">
      <c r="A389" s="31">
        <v>388</v>
      </c>
      <c r="B389" s="32">
        <f t="shared" ref="B389:B425" si="13">B388+1</f>
        <v>43797</v>
      </c>
      <c r="C389" s="32" t="s">
        <v>960</v>
      </c>
      <c r="D389" s="60" t="s">
        <v>957</v>
      </c>
      <c r="E389" s="29" t="s">
        <v>795</v>
      </c>
      <c r="F389" s="30" t="s">
        <v>796</v>
      </c>
      <c r="G389" s="27" t="s">
        <v>869</v>
      </c>
      <c r="H389" s="27" t="s">
        <v>876</v>
      </c>
      <c r="I389" s="35">
        <f t="shared" si="12"/>
        <v>44687</v>
      </c>
      <c r="J389" s="31">
        <v>20</v>
      </c>
      <c r="K389" s="33">
        <f>StockInData[[#This Row],[Quantity]]*2.5</f>
        <v>50</v>
      </c>
    </row>
    <row r="390" spans="1:11" x14ac:dyDescent="0.25">
      <c r="A390" s="31">
        <v>389</v>
      </c>
      <c r="B390" s="32">
        <f t="shared" si="13"/>
        <v>43798</v>
      </c>
      <c r="C390" s="32" t="s">
        <v>960</v>
      </c>
      <c r="D390" s="60" t="s">
        <v>957</v>
      </c>
      <c r="E390" s="29" t="s">
        <v>797</v>
      </c>
      <c r="F390" s="30" t="s">
        <v>798</v>
      </c>
      <c r="G390" s="27" t="s">
        <v>869</v>
      </c>
      <c r="H390" s="27" t="s">
        <v>876</v>
      </c>
      <c r="I390" s="35">
        <f t="shared" si="12"/>
        <v>44689</v>
      </c>
      <c r="J390" s="31">
        <v>19</v>
      </c>
      <c r="K390" s="33">
        <f>StockInData[[#This Row],[Quantity]]*2.5</f>
        <v>47.5</v>
      </c>
    </row>
    <row r="391" spans="1:11" x14ac:dyDescent="0.25">
      <c r="A391" s="31">
        <v>390</v>
      </c>
      <c r="B391" s="32">
        <f t="shared" si="13"/>
        <v>43799</v>
      </c>
      <c r="C391" s="32" t="s">
        <v>960</v>
      </c>
      <c r="D391" s="60" t="s">
        <v>957</v>
      </c>
      <c r="E391" s="29" t="s">
        <v>799</v>
      </c>
      <c r="F391" s="30" t="s">
        <v>800</v>
      </c>
      <c r="G391" s="27" t="s">
        <v>869</v>
      </c>
      <c r="H391" s="27" t="s">
        <v>871</v>
      </c>
      <c r="I391" s="35">
        <f t="shared" si="12"/>
        <v>44691</v>
      </c>
      <c r="J391" s="31">
        <v>23</v>
      </c>
      <c r="K391" s="33">
        <f>StockInData[[#This Row],[Quantity]]*2.5</f>
        <v>57.5</v>
      </c>
    </row>
    <row r="392" spans="1:11" x14ac:dyDescent="0.25">
      <c r="A392" s="31">
        <v>391</v>
      </c>
      <c r="B392" s="32">
        <f t="shared" si="13"/>
        <v>43800</v>
      </c>
      <c r="C392" s="32" t="s">
        <v>960</v>
      </c>
      <c r="D392" s="60" t="s">
        <v>957</v>
      </c>
      <c r="E392" s="29" t="s">
        <v>801</v>
      </c>
      <c r="F392" s="30" t="s">
        <v>802</v>
      </c>
      <c r="G392" s="27" t="s">
        <v>869</v>
      </c>
      <c r="H392" s="27" t="s">
        <v>871</v>
      </c>
      <c r="I392" s="35">
        <f t="shared" si="12"/>
        <v>44693</v>
      </c>
      <c r="J392" s="31">
        <v>65</v>
      </c>
      <c r="K392" s="33">
        <f>StockInData[[#This Row],[Quantity]]*2.5</f>
        <v>162.5</v>
      </c>
    </row>
    <row r="393" spans="1:11" x14ac:dyDescent="0.25">
      <c r="A393" s="31">
        <v>392</v>
      </c>
      <c r="B393" s="32">
        <f t="shared" si="13"/>
        <v>43801</v>
      </c>
      <c r="C393" s="32" t="s">
        <v>960</v>
      </c>
      <c r="D393" s="60" t="s">
        <v>957</v>
      </c>
      <c r="E393" s="29" t="s">
        <v>803</v>
      </c>
      <c r="F393" s="30" t="s">
        <v>804</v>
      </c>
      <c r="G393" s="27" t="s">
        <v>869</v>
      </c>
      <c r="H393" s="27" t="s">
        <v>871</v>
      </c>
      <c r="I393" s="35">
        <f t="shared" si="12"/>
        <v>44695</v>
      </c>
      <c r="J393" s="31">
        <v>74</v>
      </c>
      <c r="K393" s="33">
        <f>StockInData[[#This Row],[Quantity]]*2.5</f>
        <v>185</v>
      </c>
    </row>
    <row r="394" spans="1:11" x14ac:dyDescent="0.25">
      <c r="A394" s="31">
        <v>393</v>
      </c>
      <c r="B394" s="32">
        <f t="shared" si="13"/>
        <v>43802</v>
      </c>
      <c r="C394" s="32" t="s">
        <v>960</v>
      </c>
      <c r="D394" s="60" t="s">
        <v>957</v>
      </c>
      <c r="E394" s="29" t="s">
        <v>805</v>
      </c>
      <c r="F394" s="30" t="s">
        <v>806</v>
      </c>
      <c r="G394" s="27" t="s">
        <v>869</v>
      </c>
      <c r="H394" s="27" t="s">
        <v>871</v>
      </c>
      <c r="I394" s="35">
        <f t="shared" si="12"/>
        <v>44697</v>
      </c>
      <c r="J394" s="31">
        <v>84</v>
      </c>
      <c r="K394" s="33">
        <f>StockInData[[#This Row],[Quantity]]*2.5</f>
        <v>210</v>
      </c>
    </row>
    <row r="395" spans="1:11" x14ac:dyDescent="0.25">
      <c r="A395" s="31">
        <v>394</v>
      </c>
      <c r="B395" s="32">
        <f t="shared" si="13"/>
        <v>43803</v>
      </c>
      <c r="C395" s="32" t="s">
        <v>960</v>
      </c>
      <c r="D395" s="60" t="s">
        <v>957</v>
      </c>
      <c r="E395" s="29" t="s">
        <v>807</v>
      </c>
      <c r="F395" s="30" t="s">
        <v>808</v>
      </c>
      <c r="G395" s="27" t="s">
        <v>869</v>
      </c>
      <c r="H395" s="27" t="s">
        <v>871</v>
      </c>
      <c r="I395" s="35">
        <f t="shared" si="12"/>
        <v>44699</v>
      </c>
      <c r="J395" s="31">
        <v>99</v>
      </c>
      <c r="K395" s="33">
        <f>StockInData[[#This Row],[Quantity]]*2.5</f>
        <v>247.5</v>
      </c>
    </row>
    <row r="396" spans="1:11" x14ac:dyDescent="0.25">
      <c r="A396" s="31">
        <v>395</v>
      </c>
      <c r="B396" s="32">
        <f t="shared" si="13"/>
        <v>43804</v>
      </c>
      <c r="C396" s="32" t="s">
        <v>960</v>
      </c>
      <c r="D396" s="60" t="s">
        <v>957</v>
      </c>
      <c r="E396" s="29" t="s">
        <v>809</v>
      </c>
      <c r="F396" s="30" t="s">
        <v>810</v>
      </c>
      <c r="G396" s="27" t="s">
        <v>869</v>
      </c>
      <c r="H396" s="27" t="s">
        <v>871</v>
      </c>
      <c r="I396" s="35">
        <f t="shared" si="12"/>
        <v>44701</v>
      </c>
      <c r="J396" s="31">
        <v>101</v>
      </c>
      <c r="K396" s="33">
        <f>StockInData[[#This Row],[Quantity]]*2.5</f>
        <v>252.5</v>
      </c>
    </row>
    <row r="397" spans="1:11" x14ac:dyDescent="0.25">
      <c r="A397" s="31">
        <v>396</v>
      </c>
      <c r="B397" s="32">
        <f t="shared" si="13"/>
        <v>43805</v>
      </c>
      <c r="C397" s="32" t="s">
        <v>960</v>
      </c>
      <c r="D397" s="60" t="s">
        <v>957</v>
      </c>
      <c r="E397" s="29" t="s">
        <v>811</v>
      </c>
      <c r="F397" s="30" t="s">
        <v>812</v>
      </c>
      <c r="G397" s="27" t="s">
        <v>869</v>
      </c>
      <c r="H397" s="27" t="s">
        <v>871</v>
      </c>
      <c r="I397" s="35">
        <f t="shared" si="12"/>
        <v>44703</v>
      </c>
      <c r="J397" s="31">
        <v>100</v>
      </c>
      <c r="K397" s="33">
        <f>StockInData[[#This Row],[Quantity]]*2.5</f>
        <v>250</v>
      </c>
    </row>
    <row r="398" spans="1:11" x14ac:dyDescent="0.25">
      <c r="A398" s="31">
        <v>397</v>
      </c>
      <c r="B398" s="32">
        <f t="shared" si="13"/>
        <v>43806</v>
      </c>
      <c r="C398" s="32" t="s">
        <v>960</v>
      </c>
      <c r="D398" s="60" t="s">
        <v>957</v>
      </c>
      <c r="E398" s="29" t="s">
        <v>813</v>
      </c>
      <c r="F398" s="30" t="s">
        <v>814</v>
      </c>
      <c r="G398" s="27" t="s">
        <v>869</v>
      </c>
      <c r="H398" s="27" t="s">
        <v>871</v>
      </c>
      <c r="I398" s="35">
        <f t="shared" si="12"/>
        <v>44705</v>
      </c>
      <c r="J398" s="31">
        <v>60</v>
      </c>
      <c r="K398" s="33">
        <f>StockInData[[#This Row],[Quantity]]*2.5</f>
        <v>150</v>
      </c>
    </row>
    <row r="399" spans="1:11" x14ac:dyDescent="0.25">
      <c r="A399" s="31">
        <v>398</v>
      </c>
      <c r="B399" s="32">
        <f t="shared" si="13"/>
        <v>43807</v>
      </c>
      <c r="C399" s="32" t="s">
        <v>960</v>
      </c>
      <c r="D399" s="60" t="s">
        <v>957</v>
      </c>
      <c r="E399" s="29" t="s">
        <v>815</v>
      </c>
      <c r="F399" s="30" t="s">
        <v>816</v>
      </c>
      <c r="G399" s="27" t="s">
        <v>869</v>
      </c>
      <c r="H399" s="27" t="s">
        <v>871</v>
      </c>
      <c r="I399" s="35">
        <f t="shared" si="12"/>
        <v>44707</v>
      </c>
      <c r="J399" s="31">
        <v>40</v>
      </c>
      <c r="K399" s="33">
        <f>StockInData[[#This Row],[Quantity]]*2.5</f>
        <v>100</v>
      </c>
    </row>
    <row r="400" spans="1:11" x14ac:dyDescent="0.25">
      <c r="A400" s="31">
        <v>399</v>
      </c>
      <c r="B400" s="32">
        <f t="shared" si="13"/>
        <v>43808</v>
      </c>
      <c r="C400" s="32" t="s">
        <v>960</v>
      </c>
      <c r="D400" s="60" t="s">
        <v>957</v>
      </c>
      <c r="E400" s="29" t="s">
        <v>817</v>
      </c>
      <c r="F400" s="30" t="s">
        <v>818</v>
      </c>
      <c r="G400" s="27" t="s">
        <v>869</v>
      </c>
      <c r="H400" s="27" t="s">
        <v>871</v>
      </c>
      <c r="I400" s="35">
        <f t="shared" si="12"/>
        <v>44709</v>
      </c>
      <c r="J400" s="31">
        <v>30</v>
      </c>
      <c r="K400" s="33">
        <f>StockInData[[#This Row],[Quantity]]*2.5</f>
        <v>75</v>
      </c>
    </row>
    <row r="401" spans="1:11" x14ac:dyDescent="0.25">
      <c r="A401" s="31">
        <v>400</v>
      </c>
      <c r="B401" s="32">
        <f t="shared" si="13"/>
        <v>43809</v>
      </c>
      <c r="C401" s="32" t="s">
        <v>960</v>
      </c>
      <c r="D401" s="60" t="s">
        <v>957</v>
      </c>
      <c r="E401" s="29" t="s">
        <v>819</v>
      </c>
      <c r="F401" s="30" t="s">
        <v>820</v>
      </c>
      <c r="G401" s="27" t="s">
        <v>869</v>
      </c>
      <c r="H401" s="27" t="s">
        <v>871</v>
      </c>
      <c r="I401" s="35">
        <f t="shared" si="12"/>
        <v>44711</v>
      </c>
      <c r="J401" s="31">
        <v>25</v>
      </c>
      <c r="K401" s="33">
        <f>StockInData[[#This Row],[Quantity]]*2.5</f>
        <v>62.5</v>
      </c>
    </row>
    <row r="402" spans="1:11" x14ac:dyDescent="0.25">
      <c r="A402" s="31">
        <v>401</v>
      </c>
      <c r="B402" s="32">
        <f t="shared" si="13"/>
        <v>43810</v>
      </c>
      <c r="C402" s="32" t="s">
        <v>960</v>
      </c>
      <c r="D402" s="60" t="s">
        <v>957</v>
      </c>
      <c r="E402" s="29" t="s">
        <v>821</v>
      </c>
      <c r="F402" s="30" t="s">
        <v>822</v>
      </c>
      <c r="G402" s="27" t="s">
        <v>869</v>
      </c>
      <c r="H402" s="27" t="s">
        <v>871</v>
      </c>
      <c r="I402" s="35">
        <f t="shared" si="12"/>
        <v>44713</v>
      </c>
      <c r="J402" s="31">
        <v>20</v>
      </c>
      <c r="K402" s="33">
        <f>StockInData[[#This Row],[Quantity]]*2.5</f>
        <v>50</v>
      </c>
    </row>
    <row r="403" spans="1:11" x14ac:dyDescent="0.25">
      <c r="A403" s="31">
        <v>402</v>
      </c>
      <c r="B403" s="32">
        <f t="shared" si="13"/>
        <v>43811</v>
      </c>
      <c r="C403" s="32" t="s">
        <v>960</v>
      </c>
      <c r="D403" s="60" t="s">
        <v>957</v>
      </c>
      <c r="E403" s="29" t="s">
        <v>823</v>
      </c>
      <c r="F403" s="30" t="s">
        <v>824</v>
      </c>
      <c r="G403" s="27" t="s">
        <v>869</v>
      </c>
      <c r="H403" s="27" t="s">
        <v>871</v>
      </c>
      <c r="I403" s="35">
        <f t="shared" si="12"/>
        <v>44715</v>
      </c>
      <c r="J403" s="31">
        <v>19</v>
      </c>
      <c r="K403" s="33">
        <f>StockInData[[#This Row],[Quantity]]*2.5</f>
        <v>47.5</v>
      </c>
    </row>
    <row r="404" spans="1:11" x14ac:dyDescent="0.25">
      <c r="A404" s="31">
        <v>403</v>
      </c>
      <c r="B404" s="32">
        <f t="shared" si="13"/>
        <v>43812</v>
      </c>
      <c r="C404" s="32" t="s">
        <v>960</v>
      </c>
      <c r="D404" s="60" t="s">
        <v>957</v>
      </c>
      <c r="E404" s="29" t="s">
        <v>825</v>
      </c>
      <c r="F404" s="30" t="s">
        <v>826</v>
      </c>
      <c r="G404" s="27" t="s">
        <v>869</v>
      </c>
      <c r="H404" s="27" t="s">
        <v>871</v>
      </c>
      <c r="I404" s="35">
        <f t="shared" si="12"/>
        <v>44717</v>
      </c>
      <c r="J404" s="31">
        <v>23</v>
      </c>
      <c r="K404" s="33">
        <f>StockInData[[#This Row],[Quantity]]*2.5</f>
        <v>57.5</v>
      </c>
    </row>
    <row r="405" spans="1:11" x14ac:dyDescent="0.25">
      <c r="A405" s="31">
        <v>404</v>
      </c>
      <c r="B405" s="32">
        <f t="shared" si="13"/>
        <v>43813</v>
      </c>
      <c r="C405" s="32" t="s">
        <v>960</v>
      </c>
      <c r="D405" s="60" t="s">
        <v>957</v>
      </c>
      <c r="E405" s="29" t="s">
        <v>827</v>
      </c>
      <c r="F405" s="30" t="s">
        <v>828</v>
      </c>
      <c r="G405" s="27" t="s">
        <v>869</v>
      </c>
      <c r="H405" s="27" t="s">
        <v>871</v>
      </c>
      <c r="I405" s="35">
        <f t="shared" si="12"/>
        <v>44719</v>
      </c>
      <c r="J405" s="31">
        <v>65</v>
      </c>
      <c r="K405" s="33">
        <f>StockInData[[#This Row],[Quantity]]*2.5</f>
        <v>162.5</v>
      </c>
    </row>
    <row r="406" spans="1:11" x14ac:dyDescent="0.25">
      <c r="A406" s="31">
        <v>405</v>
      </c>
      <c r="B406" s="32">
        <f t="shared" si="13"/>
        <v>43814</v>
      </c>
      <c r="C406" s="32" t="s">
        <v>960</v>
      </c>
      <c r="D406" s="60" t="s">
        <v>957</v>
      </c>
      <c r="E406" s="29" t="s">
        <v>829</v>
      </c>
      <c r="F406" s="30" t="s">
        <v>830</v>
      </c>
      <c r="G406" s="27" t="s">
        <v>869</v>
      </c>
      <c r="H406" s="27" t="s">
        <v>871</v>
      </c>
      <c r="I406" s="35">
        <f t="shared" si="12"/>
        <v>44721</v>
      </c>
      <c r="J406" s="31">
        <v>74</v>
      </c>
      <c r="K406" s="33">
        <f>StockInData[[#This Row],[Quantity]]*2.5</f>
        <v>185</v>
      </c>
    </row>
    <row r="407" spans="1:11" x14ac:dyDescent="0.25">
      <c r="A407" s="31">
        <v>406</v>
      </c>
      <c r="B407" s="32">
        <f t="shared" si="13"/>
        <v>43815</v>
      </c>
      <c r="C407" s="32" t="s">
        <v>960</v>
      </c>
      <c r="D407" s="60" t="s">
        <v>957</v>
      </c>
      <c r="E407" s="29" t="s">
        <v>831</v>
      </c>
      <c r="F407" s="30" t="s">
        <v>832</v>
      </c>
      <c r="G407" s="27" t="s">
        <v>869</v>
      </c>
      <c r="H407" s="27" t="s">
        <v>871</v>
      </c>
      <c r="I407" s="35">
        <f t="shared" si="12"/>
        <v>44723</v>
      </c>
      <c r="J407" s="31">
        <v>84</v>
      </c>
      <c r="K407" s="33">
        <f>StockInData[[#This Row],[Quantity]]*2.5</f>
        <v>210</v>
      </c>
    </row>
    <row r="408" spans="1:11" x14ac:dyDescent="0.25">
      <c r="A408" s="31">
        <v>407</v>
      </c>
      <c r="B408" s="32">
        <f t="shared" si="13"/>
        <v>43816</v>
      </c>
      <c r="C408" s="32" t="s">
        <v>960</v>
      </c>
      <c r="D408" s="60" t="s">
        <v>957</v>
      </c>
      <c r="E408" s="29" t="s">
        <v>833</v>
      </c>
      <c r="F408" s="30" t="s">
        <v>834</v>
      </c>
      <c r="G408" s="27" t="s">
        <v>869</v>
      </c>
      <c r="H408" s="27" t="s">
        <v>871</v>
      </c>
      <c r="I408" s="35">
        <f t="shared" si="12"/>
        <v>44725</v>
      </c>
      <c r="J408" s="31">
        <v>99</v>
      </c>
      <c r="K408" s="33">
        <f>StockInData[[#This Row],[Quantity]]*2.5</f>
        <v>247.5</v>
      </c>
    </row>
    <row r="409" spans="1:11" x14ac:dyDescent="0.25">
      <c r="A409" s="31">
        <v>408</v>
      </c>
      <c r="B409" s="32">
        <f t="shared" si="13"/>
        <v>43817</v>
      </c>
      <c r="C409" s="32" t="s">
        <v>960</v>
      </c>
      <c r="D409" s="60" t="s">
        <v>957</v>
      </c>
      <c r="E409" s="29" t="s">
        <v>835</v>
      </c>
      <c r="F409" s="30" t="s">
        <v>836</v>
      </c>
      <c r="G409" s="27" t="s">
        <v>869</v>
      </c>
      <c r="H409" s="27" t="s">
        <v>871</v>
      </c>
      <c r="I409" s="35">
        <f t="shared" si="12"/>
        <v>44727</v>
      </c>
      <c r="J409" s="31">
        <v>40</v>
      </c>
      <c r="K409" s="33">
        <f>StockInData[[#This Row],[Quantity]]*2.5</f>
        <v>100</v>
      </c>
    </row>
    <row r="410" spans="1:11" x14ac:dyDescent="0.25">
      <c r="A410" s="31">
        <v>409</v>
      </c>
      <c r="B410" s="32">
        <f t="shared" si="13"/>
        <v>43818</v>
      </c>
      <c r="C410" s="32" t="s">
        <v>960</v>
      </c>
      <c r="D410" s="60" t="s">
        <v>957</v>
      </c>
      <c r="E410" s="29" t="s">
        <v>837</v>
      </c>
      <c r="F410" s="30" t="s">
        <v>838</v>
      </c>
      <c r="G410" s="27" t="s">
        <v>869</v>
      </c>
      <c r="H410" s="27" t="s">
        <v>870</v>
      </c>
      <c r="I410" s="35">
        <f t="shared" si="12"/>
        <v>44729</v>
      </c>
      <c r="J410" s="31">
        <v>30</v>
      </c>
      <c r="K410" s="33">
        <f>StockInData[[#This Row],[Quantity]]*2.5</f>
        <v>75</v>
      </c>
    </row>
    <row r="411" spans="1:11" x14ac:dyDescent="0.25">
      <c r="A411" s="31">
        <v>410</v>
      </c>
      <c r="B411" s="32">
        <f t="shared" si="13"/>
        <v>43819</v>
      </c>
      <c r="C411" s="32" t="s">
        <v>960</v>
      </c>
      <c r="D411" s="60" t="s">
        <v>957</v>
      </c>
      <c r="E411" s="29" t="s">
        <v>839</v>
      </c>
      <c r="F411" s="30" t="s">
        <v>840</v>
      </c>
      <c r="G411" s="27" t="s">
        <v>869</v>
      </c>
      <c r="H411" s="27" t="s">
        <v>870</v>
      </c>
      <c r="I411" s="35">
        <f t="shared" si="12"/>
        <v>44731</v>
      </c>
      <c r="J411" s="31">
        <v>25</v>
      </c>
      <c r="K411" s="33">
        <f>StockInData[[#This Row],[Quantity]]*2.5</f>
        <v>62.5</v>
      </c>
    </row>
    <row r="412" spans="1:11" x14ac:dyDescent="0.25">
      <c r="A412" s="31">
        <v>411</v>
      </c>
      <c r="B412" s="32">
        <f t="shared" si="13"/>
        <v>43820</v>
      </c>
      <c r="C412" s="32" t="s">
        <v>960</v>
      </c>
      <c r="D412" s="60" t="s">
        <v>957</v>
      </c>
      <c r="E412" s="29" t="s">
        <v>841</v>
      </c>
      <c r="F412" s="30" t="s">
        <v>842</v>
      </c>
      <c r="G412" s="27" t="s">
        <v>869</v>
      </c>
      <c r="H412" s="27" t="s">
        <v>870</v>
      </c>
      <c r="I412" s="35">
        <f t="shared" si="12"/>
        <v>44733</v>
      </c>
      <c r="J412" s="31">
        <v>20</v>
      </c>
      <c r="K412" s="33">
        <f>StockInData[[#This Row],[Quantity]]*2.5</f>
        <v>50</v>
      </c>
    </row>
    <row r="413" spans="1:11" x14ac:dyDescent="0.25">
      <c r="A413" s="31">
        <v>412</v>
      </c>
      <c r="B413" s="32">
        <f t="shared" si="13"/>
        <v>43821</v>
      </c>
      <c r="C413" s="32" t="s">
        <v>960</v>
      </c>
      <c r="D413" s="60" t="s">
        <v>957</v>
      </c>
      <c r="E413" s="29" t="s">
        <v>843</v>
      </c>
      <c r="F413" s="30" t="s">
        <v>844</v>
      </c>
      <c r="G413" s="27" t="s">
        <v>869</v>
      </c>
      <c r="H413" s="27" t="s">
        <v>870</v>
      </c>
      <c r="I413" s="35">
        <f t="shared" si="12"/>
        <v>44735</v>
      </c>
      <c r="J413" s="31">
        <v>19</v>
      </c>
      <c r="K413" s="33">
        <f>StockInData[[#This Row],[Quantity]]*2.5</f>
        <v>47.5</v>
      </c>
    </row>
    <row r="414" spans="1:11" x14ac:dyDescent="0.25">
      <c r="A414" s="31">
        <v>413</v>
      </c>
      <c r="B414" s="32">
        <f t="shared" si="13"/>
        <v>43822</v>
      </c>
      <c r="C414" s="32" t="s">
        <v>960</v>
      </c>
      <c r="D414" s="60" t="s">
        <v>957</v>
      </c>
      <c r="E414" s="29" t="s">
        <v>845</v>
      </c>
      <c r="F414" s="30" t="s">
        <v>846</v>
      </c>
      <c r="G414" s="27" t="s">
        <v>869</v>
      </c>
      <c r="H414" s="27" t="s">
        <v>870</v>
      </c>
      <c r="I414" s="35">
        <f t="shared" si="12"/>
        <v>44737</v>
      </c>
      <c r="J414" s="31">
        <v>23</v>
      </c>
      <c r="K414" s="33">
        <f>StockInData[[#This Row],[Quantity]]*2.5</f>
        <v>57.5</v>
      </c>
    </row>
    <row r="415" spans="1:11" x14ac:dyDescent="0.25">
      <c r="A415" s="31">
        <v>414</v>
      </c>
      <c r="B415" s="32">
        <f t="shared" si="13"/>
        <v>43823</v>
      </c>
      <c r="C415" s="32" t="s">
        <v>960</v>
      </c>
      <c r="D415" s="60" t="s">
        <v>957</v>
      </c>
      <c r="E415" s="29" t="s">
        <v>847</v>
      </c>
      <c r="F415" s="30" t="s">
        <v>848</v>
      </c>
      <c r="G415" s="27" t="s">
        <v>869</v>
      </c>
      <c r="H415" s="27" t="s">
        <v>870</v>
      </c>
      <c r="I415" s="35">
        <f t="shared" si="12"/>
        <v>44739</v>
      </c>
      <c r="J415" s="31">
        <v>65</v>
      </c>
      <c r="K415" s="33">
        <f>StockInData[[#This Row],[Quantity]]*2.5</f>
        <v>162.5</v>
      </c>
    </row>
    <row r="416" spans="1:11" x14ac:dyDescent="0.25">
      <c r="A416" s="31">
        <v>415</v>
      </c>
      <c r="B416" s="32">
        <f t="shared" si="13"/>
        <v>43824</v>
      </c>
      <c r="C416" s="32" t="s">
        <v>960</v>
      </c>
      <c r="D416" s="60" t="s">
        <v>957</v>
      </c>
      <c r="E416" s="29" t="s">
        <v>849</v>
      </c>
      <c r="F416" s="30" t="s">
        <v>850</v>
      </c>
      <c r="G416" s="27" t="s">
        <v>869</v>
      </c>
      <c r="H416" s="27" t="s">
        <v>870</v>
      </c>
      <c r="I416" s="35">
        <f t="shared" si="12"/>
        <v>44741</v>
      </c>
      <c r="J416" s="31">
        <v>74</v>
      </c>
      <c r="K416" s="33">
        <f>StockInData[[#This Row],[Quantity]]*2.5</f>
        <v>185</v>
      </c>
    </row>
    <row r="417" spans="1:11" x14ac:dyDescent="0.25">
      <c r="A417" s="31">
        <v>416</v>
      </c>
      <c r="B417" s="32">
        <f t="shared" si="13"/>
        <v>43825</v>
      </c>
      <c r="C417" s="32" t="s">
        <v>960</v>
      </c>
      <c r="D417" s="60" t="s">
        <v>957</v>
      </c>
      <c r="E417" s="29" t="s">
        <v>851</v>
      </c>
      <c r="F417" s="30" t="s">
        <v>852</v>
      </c>
      <c r="G417" s="27" t="s">
        <v>869</v>
      </c>
      <c r="H417" s="27" t="s">
        <v>870</v>
      </c>
      <c r="I417" s="35">
        <f t="shared" si="12"/>
        <v>44743</v>
      </c>
      <c r="J417" s="31">
        <v>84</v>
      </c>
      <c r="K417" s="33">
        <f>StockInData[[#This Row],[Quantity]]*2.5</f>
        <v>210</v>
      </c>
    </row>
    <row r="418" spans="1:11" x14ac:dyDescent="0.25">
      <c r="A418" s="31">
        <v>417</v>
      </c>
      <c r="B418" s="32">
        <f t="shared" si="13"/>
        <v>43826</v>
      </c>
      <c r="C418" s="32" t="s">
        <v>960</v>
      </c>
      <c r="D418" s="60" t="s">
        <v>957</v>
      </c>
      <c r="E418" s="29" t="s">
        <v>853</v>
      </c>
      <c r="F418" s="30" t="s">
        <v>854</v>
      </c>
      <c r="G418" s="27" t="s">
        <v>869</v>
      </c>
      <c r="H418" s="27" t="s">
        <v>870</v>
      </c>
      <c r="I418" s="35">
        <f t="shared" si="12"/>
        <v>44745</v>
      </c>
      <c r="J418" s="31">
        <v>99</v>
      </c>
      <c r="K418" s="33">
        <f>StockInData[[#This Row],[Quantity]]*2.5</f>
        <v>247.5</v>
      </c>
    </row>
    <row r="419" spans="1:11" x14ac:dyDescent="0.25">
      <c r="A419" s="31">
        <v>418</v>
      </c>
      <c r="B419" s="32">
        <f t="shared" si="13"/>
        <v>43827</v>
      </c>
      <c r="C419" s="32" t="s">
        <v>960</v>
      </c>
      <c r="D419" s="60" t="s">
        <v>957</v>
      </c>
      <c r="E419" s="29" t="s">
        <v>855</v>
      </c>
      <c r="F419" s="30" t="s">
        <v>856</v>
      </c>
      <c r="G419" s="27" t="s">
        <v>869</v>
      </c>
      <c r="H419" s="27" t="s">
        <v>870</v>
      </c>
      <c r="I419" s="35">
        <f t="shared" si="12"/>
        <v>44747</v>
      </c>
      <c r="J419" s="31">
        <v>101</v>
      </c>
      <c r="K419" s="33">
        <f>StockInData[[#This Row],[Quantity]]*2.5</f>
        <v>252.5</v>
      </c>
    </row>
    <row r="420" spans="1:11" x14ac:dyDescent="0.25">
      <c r="A420" s="31">
        <v>419</v>
      </c>
      <c r="B420" s="32">
        <f t="shared" si="13"/>
        <v>43828</v>
      </c>
      <c r="C420" s="32" t="s">
        <v>960</v>
      </c>
      <c r="D420" s="60" t="s">
        <v>957</v>
      </c>
      <c r="E420" s="29" t="s">
        <v>857</v>
      </c>
      <c r="F420" s="30" t="s">
        <v>858</v>
      </c>
      <c r="G420" s="27" t="s">
        <v>869</v>
      </c>
      <c r="H420" s="27" t="s">
        <v>870</v>
      </c>
      <c r="I420" s="35">
        <f t="shared" si="12"/>
        <v>44749</v>
      </c>
      <c r="J420" s="31">
        <v>60</v>
      </c>
      <c r="K420" s="33">
        <f>StockInData[[#This Row],[Quantity]]*2.5</f>
        <v>150</v>
      </c>
    </row>
    <row r="421" spans="1:11" x14ac:dyDescent="0.25">
      <c r="A421" s="31">
        <v>420</v>
      </c>
      <c r="B421" s="32">
        <f t="shared" si="13"/>
        <v>43829</v>
      </c>
      <c r="C421" s="32" t="s">
        <v>960</v>
      </c>
      <c r="D421" s="60" t="s">
        <v>957</v>
      </c>
      <c r="E421" s="29" t="s">
        <v>859</v>
      </c>
      <c r="F421" s="30" t="s">
        <v>860</v>
      </c>
      <c r="G421" s="27" t="s">
        <v>869</v>
      </c>
      <c r="H421" s="27" t="s">
        <v>870</v>
      </c>
      <c r="I421" s="35">
        <f t="shared" si="12"/>
        <v>44751</v>
      </c>
      <c r="J421" s="31">
        <v>40</v>
      </c>
      <c r="K421" s="33">
        <f>StockInData[[#This Row],[Quantity]]*2.5</f>
        <v>100</v>
      </c>
    </row>
    <row r="422" spans="1:11" x14ac:dyDescent="0.25">
      <c r="A422" s="31">
        <v>421</v>
      </c>
      <c r="B422" s="32">
        <f t="shared" si="13"/>
        <v>43830</v>
      </c>
      <c r="C422" s="32" t="s">
        <v>960</v>
      </c>
      <c r="D422" s="60" t="s">
        <v>957</v>
      </c>
      <c r="E422" s="29" t="s">
        <v>861</v>
      </c>
      <c r="F422" s="30" t="s">
        <v>862</v>
      </c>
      <c r="G422" s="27" t="s">
        <v>869</v>
      </c>
      <c r="H422" s="27" t="s">
        <v>870</v>
      </c>
      <c r="I422" s="35">
        <f t="shared" si="12"/>
        <v>44753</v>
      </c>
      <c r="J422" s="31">
        <v>30</v>
      </c>
      <c r="K422" s="33">
        <f>StockInData[[#This Row],[Quantity]]*2.5</f>
        <v>75</v>
      </c>
    </row>
    <row r="423" spans="1:11" x14ac:dyDescent="0.25">
      <c r="A423" s="31">
        <v>422</v>
      </c>
      <c r="B423" s="32">
        <f t="shared" si="13"/>
        <v>43831</v>
      </c>
      <c r="C423" s="32" t="s">
        <v>960</v>
      </c>
      <c r="D423" s="60" t="s">
        <v>957</v>
      </c>
      <c r="E423" s="29" t="s">
        <v>863</v>
      </c>
      <c r="F423" s="30" t="s">
        <v>864</v>
      </c>
      <c r="G423" s="27" t="s">
        <v>869</v>
      </c>
      <c r="H423" s="27" t="s">
        <v>870</v>
      </c>
      <c r="I423" s="35">
        <f t="shared" si="12"/>
        <v>44755</v>
      </c>
      <c r="J423" s="31">
        <v>25</v>
      </c>
      <c r="K423" s="33">
        <f>StockInData[[#This Row],[Quantity]]*2.5</f>
        <v>62.5</v>
      </c>
    </row>
    <row r="424" spans="1:11" x14ac:dyDescent="0.25">
      <c r="A424" s="31">
        <v>423</v>
      </c>
      <c r="B424" s="32">
        <f t="shared" si="13"/>
        <v>43832</v>
      </c>
      <c r="C424" s="32" t="s">
        <v>960</v>
      </c>
      <c r="D424" s="60" t="s">
        <v>957</v>
      </c>
      <c r="E424" s="29" t="s">
        <v>865</v>
      </c>
      <c r="F424" s="30" t="s">
        <v>866</v>
      </c>
      <c r="G424" s="27" t="s">
        <v>869</v>
      </c>
      <c r="H424" s="27" t="s">
        <v>870</v>
      </c>
      <c r="I424" s="35">
        <f t="shared" si="12"/>
        <v>44757</v>
      </c>
      <c r="J424" s="31">
        <v>20</v>
      </c>
      <c r="K424" s="33">
        <f>StockInData[[#This Row],[Quantity]]*2.5</f>
        <v>50</v>
      </c>
    </row>
    <row r="425" spans="1:11" x14ac:dyDescent="0.25">
      <c r="A425" s="31">
        <v>424</v>
      </c>
      <c r="B425" s="32">
        <f t="shared" si="13"/>
        <v>43833</v>
      </c>
      <c r="C425" s="32" t="s">
        <v>960</v>
      </c>
      <c r="D425" s="60" t="s">
        <v>957</v>
      </c>
      <c r="E425" s="29" t="s">
        <v>867</v>
      </c>
      <c r="F425" s="30" t="s">
        <v>868</v>
      </c>
      <c r="G425" s="27" t="s">
        <v>869</v>
      </c>
      <c r="H425" s="27" t="s">
        <v>870</v>
      </c>
      <c r="I425" s="35">
        <f t="shared" si="12"/>
        <v>44759</v>
      </c>
      <c r="J425" s="31">
        <v>19</v>
      </c>
      <c r="K425" s="33">
        <f>StockInData[[#This Row],[Quantity]]*2.5</f>
        <v>47.5</v>
      </c>
    </row>
    <row r="426" spans="1:11" x14ac:dyDescent="0.25">
      <c r="A426" s="56">
        <v>425</v>
      </c>
      <c r="B426" s="57">
        <v>43797</v>
      </c>
      <c r="C426" s="32" t="s">
        <v>960</v>
      </c>
      <c r="D426" s="60" t="s">
        <v>957</v>
      </c>
      <c r="E426" s="58" t="s">
        <v>859</v>
      </c>
      <c r="F426" s="59" t="s">
        <v>860</v>
      </c>
      <c r="G426" s="58" t="s">
        <v>869</v>
      </c>
      <c r="H426" s="58" t="s">
        <v>870</v>
      </c>
      <c r="I426" s="35">
        <f t="shared" si="12"/>
        <v>44761</v>
      </c>
      <c r="J426" s="56">
        <v>20</v>
      </c>
      <c r="K426" s="33">
        <f>StockInData[[#This Row],[Quantity]]*2.5</f>
        <v>50</v>
      </c>
    </row>
    <row r="427" spans="1:11" x14ac:dyDescent="0.25">
      <c r="A427" s="56">
        <v>426</v>
      </c>
      <c r="B427" s="57">
        <v>43797</v>
      </c>
      <c r="C427" s="32" t="s">
        <v>960</v>
      </c>
      <c r="D427" s="60" t="s">
        <v>957</v>
      </c>
      <c r="E427" s="58" t="s">
        <v>943</v>
      </c>
      <c r="F427" s="59" t="s">
        <v>945</v>
      </c>
      <c r="G427" s="58" t="s">
        <v>869</v>
      </c>
      <c r="H427" s="58" t="s">
        <v>946</v>
      </c>
      <c r="I427" s="35">
        <f t="shared" si="12"/>
        <v>44763</v>
      </c>
      <c r="J427" s="56">
        <v>55</v>
      </c>
      <c r="K427" s="33">
        <f>StockInData[[#This Row],[Quantity]]*2.5</f>
        <v>137.5</v>
      </c>
    </row>
    <row r="428" spans="1:11" x14ac:dyDescent="0.25">
      <c r="A428" s="81">
        <v>427</v>
      </c>
      <c r="B428" s="82">
        <v>43805</v>
      </c>
      <c r="C428" s="82" t="s">
        <v>959</v>
      </c>
      <c r="D428" s="83" t="s">
        <v>956</v>
      </c>
      <c r="E428" s="84" t="s">
        <v>25</v>
      </c>
      <c r="F428" s="85" t="s">
        <v>26</v>
      </c>
      <c r="G428" s="84" t="s">
        <v>869</v>
      </c>
      <c r="H428" s="84" t="s">
        <v>870</v>
      </c>
      <c r="I428" s="86">
        <v>43917</v>
      </c>
      <c r="J428" s="81">
        <v>20</v>
      </c>
      <c r="K428" s="33">
        <f>StockInData[[#This Row],[Quantity]]*2.5</f>
        <v>50</v>
      </c>
    </row>
    <row r="429" spans="1:11" x14ac:dyDescent="0.25">
      <c r="A429" s="81">
        <v>428</v>
      </c>
      <c r="B429" s="82">
        <v>43805</v>
      </c>
      <c r="C429" s="82" t="s">
        <v>959</v>
      </c>
      <c r="D429" s="83" t="s">
        <v>956</v>
      </c>
      <c r="E429" s="84" t="s">
        <v>27</v>
      </c>
      <c r="F429" s="85" t="s">
        <v>28</v>
      </c>
      <c r="G429" s="84" t="s">
        <v>869</v>
      </c>
      <c r="H429" s="84" t="s">
        <v>870</v>
      </c>
      <c r="I429" s="86">
        <v>43919</v>
      </c>
      <c r="J429" s="81">
        <v>20</v>
      </c>
      <c r="K429" s="33">
        <f>StockInData[[#This Row],[Quantity]]*2.5</f>
        <v>50</v>
      </c>
    </row>
  </sheetData>
  <pageMargins left="0.7" right="0.7" top="0.75" bottom="0.75" header="0.3" footer="0.3"/>
  <pageSetup orientation="portrait" r:id="rId1"/>
  <ignoredErrors>
    <ignoredError sqref="I2" calculatedColumn="1"/>
  </ignoredErrors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J475"/>
  <sheetViews>
    <sheetView showGridLines="0" tabSelected="1" workbookViewId="0">
      <pane xSplit="10" ySplit="3" topLeftCell="K4" activePane="bottomRight" state="frozen"/>
      <selection pane="topRight" activeCell="I1" sqref="I1"/>
      <selection pane="bottomLeft" activeCell="A4" sqref="A4"/>
      <selection pane="bottomRight" activeCell="G7" sqref="G7"/>
    </sheetView>
  </sheetViews>
  <sheetFormatPr defaultRowHeight="15" x14ac:dyDescent="0.25"/>
  <cols>
    <col min="1" max="1" width="6.125" style="1" bestFit="1" customWidth="1"/>
    <col min="2" max="2" width="11.625" style="7" bestFit="1" customWidth="1"/>
    <col min="3" max="4" width="11.625" style="7" customWidth="1"/>
    <col min="5" max="5" width="9.75" style="1" bestFit="1" customWidth="1"/>
    <col min="6" max="6" width="46.625" style="1" customWidth="1"/>
    <col min="7" max="7" width="17.125" style="1" bestFit="1" customWidth="1"/>
    <col min="8" max="8" width="17.125" bestFit="1" customWidth="1"/>
    <col min="9" max="9" width="7.125" bestFit="1" customWidth="1"/>
    <col min="10" max="10" width="11" bestFit="1" customWidth="1"/>
  </cols>
  <sheetData>
    <row r="1" spans="1:10" s="3" customFormat="1" ht="12" x14ac:dyDescent="0.25">
      <c r="A1" s="2" t="s">
        <v>0</v>
      </c>
      <c r="B1" s="6" t="s">
        <v>1</v>
      </c>
      <c r="C1" s="6" t="s">
        <v>944</v>
      </c>
      <c r="D1" s="6" t="s">
        <v>966</v>
      </c>
      <c r="E1" s="2" t="s">
        <v>2</v>
      </c>
      <c r="F1" s="2" t="s">
        <v>3</v>
      </c>
      <c r="G1" s="2" t="s">
        <v>4</v>
      </c>
      <c r="H1" s="2" t="s">
        <v>5</v>
      </c>
      <c r="I1" s="2" t="s">
        <v>6</v>
      </c>
      <c r="J1" s="2" t="s">
        <v>7</v>
      </c>
    </row>
    <row r="2" spans="1:10" x14ac:dyDescent="0.25">
      <c r="A2" s="31">
        <v>1</v>
      </c>
      <c r="B2" s="32">
        <v>43358</v>
      </c>
      <c r="C2" s="32"/>
      <c r="D2" s="32"/>
      <c r="E2" s="27" t="s">
        <v>21</v>
      </c>
      <c r="F2" s="28" t="s">
        <v>22</v>
      </c>
      <c r="G2" s="27" t="s">
        <v>869</v>
      </c>
      <c r="H2" s="27" t="s">
        <v>870</v>
      </c>
      <c r="I2" s="31">
        <v>5</v>
      </c>
      <c r="J2" s="33">
        <f>StockOutData[[#This Row],[Quantity]]*2.5</f>
        <v>12.5</v>
      </c>
    </row>
    <row r="3" spans="1:10" x14ac:dyDescent="0.25">
      <c r="A3" s="31">
        <v>2</v>
      </c>
      <c r="B3" s="32">
        <f>B2+1</f>
        <v>43359</v>
      </c>
      <c r="C3" s="32"/>
      <c r="D3" s="32"/>
      <c r="E3" s="27" t="s">
        <v>23</v>
      </c>
      <c r="F3" s="28" t="s">
        <v>24</v>
      </c>
      <c r="G3" s="27" t="s">
        <v>869</v>
      </c>
      <c r="H3" s="27" t="s">
        <v>870</v>
      </c>
      <c r="I3" s="31">
        <v>7</v>
      </c>
      <c r="J3" s="33">
        <f>StockOutData[[#This Row],[Quantity]]*2.5</f>
        <v>17.5</v>
      </c>
    </row>
    <row r="4" spans="1:10" x14ac:dyDescent="0.25">
      <c r="A4" s="31">
        <v>3</v>
      </c>
      <c r="B4" s="32">
        <f t="shared" ref="B4:B67" si="0">B3+1</f>
        <v>43360</v>
      </c>
      <c r="C4" s="32"/>
      <c r="D4" s="32"/>
      <c r="E4" s="27" t="s">
        <v>25</v>
      </c>
      <c r="F4" s="28" t="s">
        <v>26</v>
      </c>
      <c r="G4" s="27" t="s">
        <v>869</v>
      </c>
      <c r="H4" s="27" t="s">
        <v>870</v>
      </c>
      <c r="I4" s="31">
        <v>15</v>
      </c>
      <c r="J4" s="33">
        <f>StockOutData[[#This Row],[Quantity]]*2.5</f>
        <v>37.5</v>
      </c>
    </row>
    <row r="5" spans="1:10" x14ac:dyDescent="0.25">
      <c r="A5" s="31">
        <v>4</v>
      </c>
      <c r="B5" s="32">
        <f t="shared" si="0"/>
        <v>43361</v>
      </c>
      <c r="C5" s="32"/>
      <c r="D5" s="32"/>
      <c r="E5" s="27" t="s">
        <v>27</v>
      </c>
      <c r="F5" s="28" t="s">
        <v>28</v>
      </c>
      <c r="G5" s="27" t="s">
        <v>869</v>
      </c>
      <c r="H5" s="27" t="s">
        <v>870</v>
      </c>
      <c r="I5" s="31">
        <v>18</v>
      </c>
      <c r="J5" s="33">
        <f>StockOutData[[#This Row],[Quantity]]*2.5</f>
        <v>45</v>
      </c>
    </row>
    <row r="6" spans="1:10" x14ac:dyDescent="0.25">
      <c r="A6" s="31">
        <v>5</v>
      </c>
      <c r="B6" s="32">
        <f t="shared" si="0"/>
        <v>43362</v>
      </c>
      <c r="C6" s="32"/>
      <c r="D6" s="32"/>
      <c r="E6" s="27" t="s">
        <v>29</v>
      </c>
      <c r="F6" s="28" t="s">
        <v>30</v>
      </c>
      <c r="G6" s="27" t="s">
        <v>869</v>
      </c>
      <c r="H6" s="27" t="s">
        <v>870</v>
      </c>
      <c r="I6" s="31">
        <v>12</v>
      </c>
      <c r="J6" s="33">
        <f>StockOutData[[#This Row],[Quantity]]*2.5</f>
        <v>30</v>
      </c>
    </row>
    <row r="7" spans="1:10" x14ac:dyDescent="0.25">
      <c r="A7" s="31">
        <v>6</v>
      </c>
      <c r="B7" s="32">
        <f t="shared" si="0"/>
        <v>43363</v>
      </c>
      <c r="C7" s="32"/>
      <c r="D7" s="32"/>
      <c r="E7" s="27" t="s">
        <v>31</v>
      </c>
      <c r="F7" s="28" t="s">
        <v>32</v>
      </c>
      <c r="G7" s="27" t="s">
        <v>869</v>
      </c>
      <c r="H7" s="27" t="s">
        <v>870</v>
      </c>
      <c r="I7" s="31">
        <v>14</v>
      </c>
      <c r="J7" s="33">
        <f>StockOutData[[#This Row],[Quantity]]*2.5</f>
        <v>35</v>
      </c>
    </row>
    <row r="8" spans="1:10" x14ac:dyDescent="0.25">
      <c r="A8" s="31">
        <v>7</v>
      </c>
      <c r="B8" s="32">
        <f t="shared" si="0"/>
        <v>43364</v>
      </c>
      <c r="C8" s="32"/>
      <c r="D8" s="32"/>
      <c r="E8" s="27" t="s">
        <v>33</v>
      </c>
      <c r="F8" s="28" t="s">
        <v>34</v>
      </c>
      <c r="G8" s="27" t="s">
        <v>869</v>
      </c>
      <c r="H8" s="27" t="s">
        <v>870</v>
      </c>
      <c r="I8" s="31">
        <v>13</v>
      </c>
      <c r="J8" s="33">
        <f>StockOutData[[#This Row],[Quantity]]*2.5</f>
        <v>32.5</v>
      </c>
    </row>
    <row r="9" spans="1:10" x14ac:dyDescent="0.25">
      <c r="A9" s="31">
        <v>8</v>
      </c>
      <c r="B9" s="32">
        <f t="shared" si="0"/>
        <v>43365</v>
      </c>
      <c r="C9" s="32"/>
      <c r="D9" s="32"/>
      <c r="E9" s="27" t="s">
        <v>35</v>
      </c>
      <c r="F9" s="28" t="s">
        <v>36</v>
      </c>
      <c r="G9" s="27" t="s">
        <v>869</v>
      </c>
      <c r="H9" s="27" t="s">
        <v>870</v>
      </c>
      <c r="I9" s="31">
        <v>5</v>
      </c>
      <c r="J9" s="33">
        <f>StockOutData[[#This Row],[Quantity]]*2.5</f>
        <v>12.5</v>
      </c>
    </row>
    <row r="10" spans="1:10" x14ac:dyDescent="0.25">
      <c r="A10" s="31">
        <v>9</v>
      </c>
      <c r="B10" s="32">
        <f t="shared" si="0"/>
        <v>43366</v>
      </c>
      <c r="C10" s="32"/>
      <c r="D10" s="32"/>
      <c r="E10" s="27" t="s">
        <v>37</v>
      </c>
      <c r="F10" s="28" t="s">
        <v>38</v>
      </c>
      <c r="G10" s="27" t="s">
        <v>869</v>
      </c>
      <c r="H10" s="27" t="s">
        <v>870</v>
      </c>
      <c r="I10" s="31">
        <v>7</v>
      </c>
      <c r="J10" s="33">
        <f>StockOutData[[#This Row],[Quantity]]*2.5</f>
        <v>17.5</v>
      </c>
    </row>
    <row r="11" spans="1:10" x14ac:dyDescent="0.25">
      <c r="A11" s="31">
        <v>10</v>
      </c>
      <c r="B11" s="32">
        <f t="shared" si="0"/>
        <v>43367</v>
      </c>
      <c r="C11" s="32"/>
      <c r="D11" s="32"/>
      <c r="E11" s="27" t="s">
        <v>39</v>
      </c>
      <c r="F11" s="28" t="s">
        <v>40</v>
      </c>
      <c r="G11" s="27" t="s">
        <v>869</v>
      </c>
      <c r="H11" s="27" t="s">
        <v>870</v>
      </c>
      <c r="I11" s="31">
        <v>15</v>
      </c>
      <c r="J11" s="33">
        <f>StockOutData[[#This Row],[Quantity]]*2.5</f>
        <v>37.5</v>
      </c>
    </row>
    <row r="12" spans="1:10" x14ac:dyDescent="0.25">
      <c r="A12" s="31">
        <v>11</v>
      </c>
      <c r="B12" s="32">
        <f t="shared" si="0"/>
        <v>43368</v>
      </c>
      <c r="C12" s="32"/>
      <c r="D12" s="32"/>
      <c r="E12" s="27" t="s">
        <v>41</v>
      </c>
      <c r="F12" s="28" t="s">
        <v>42</v>
      </c>
      <c r="G12" s="27" t="s">
        <v>869</v>
      </c>
      <c r="H12" s="27" t="s">
        <v>870</v>
      </c>
      <c r="I12" s="31">
        <v>18</v>
      </c>
      <c r="J12" s="33">
        <f>StockOutData[[#This Row],[Quantity]]*2.5</f>
        <v>45</v>
      </c>
    </row>
    <row r="13" spans="1:10" x14ac:dyDescent="0.25">
      <c r="A13" s="31">
        <v>12</v>
      </c>
      <c r="B13" s="32">
        <f t="shared" si="0"/>
        <v>43369</v>
      </c>
      <c r="C13" s="32"/>
      <c r="D13" s="32"/>
      <c r="E13" s="27" t="s">
        <v>43</v>
      </c>
      <c r="F13" s="28" t="s">
        <v>44</v>
      </c>
      <c r="G13" s="27" t="s">
        <v>869</v>
      </c>
      <c r="H13" s="27" t="s">
        <v>870</v>
      </c>
      <c r="I13" s="31">
        <v>12</v>
      </c>
      <c r="J13" s="33">
        <f>StockOutData[[#This Row],[Quantity]]*2.5</f>
        <v>30</v>
      </c>
    </row>
    <row r="14" spans="1:10" x14ac:dyDescent="0.25">
      <c r="A14" s="31">
        <v>13</v>
      </c>
      <c r="B14" s="32">
        <f t="shared" si="0"/>
        <v>43370</v>
      </c>
      <c r="C14" s="32"/>
      <c r="D14" s="32"/>
      <c r="E14" s="27" t="s">
        <v>45</v>
      </c>
      <c r="F14" s="28" t="s">
        <v>46</v>
      </c>
      <c r="G14" s="27" t="s">
        <v>869</v>
      </c>
      <c r="H14" s="27" t="s">
        <v>870</v>
      </c>
      <c r="I14" s="31">
        <v>14</v>
      </c>
      <c r="J14" s="33">
        <f>StockOutData[[#This Row],[Quantity]]*2.5</f>
        <v>35</v>
      </c>
    </row>
    <row r="15" spans="1:10" x14ac:dyDescent="0.25">
      <c r="A15" s="31">
        <v>14</v>
      </c>
      <c r="B15" s="32">
        <f t="shared" si="0"/>
        <v>43371</v>
      </c>
      <c r="C15" s="32"/>
      <c r="D15" s="32"/>
      <c r="E15" s="27" t="s">
        <v>47</v>
      </c>
      <c r="F15" s="28" t="s">
        <v>48</v>
      </c>
      <c r="G15" s="27" t="s">
        <v>869</v>
      </c>
      <c r="H15" s="27" t="s">
        <v>870</v>
      </c>
      <c r="I15" s="31">
        <v>13</v>
      </c>
      <c r="J15" s="33">
        <f>StockOutData[[#This Row],[Quantity]]*2.5</f>
        <v>32.5</v>
      </c>
    </row>
    <row r="16" spans="1:10" x14ac:dyDescent="0.25">
      <c r="A16" s="31">
        <v>15</v>
      </c>
      <c r="B16" s="32">
        <f t="shared" si="0"/>
        <v>43372</v>
      </c>
      <c r="C16" s="32"/>
      <c r="D16" s="32"/>
      <c r="E16" s="27" t="s">
        <v>49</v>
      </c>
      <c r="F16" s="28" t="s">
        <v>50</v>
      </c>
      <c r="G16" s="27" t="s">
        <v>869</v>
      </c>
      <c r="H16" s="27" t="s">
        <v>870</v>
      </c>
      <c r="I16" s="31">
        <v>5</v>
      </c>
      <c r="J16" s="33">
        <f>StockOutData[[#This Row],[Quantity]]*2.5</f>
        <v>12.5</v>
      </c>
    </row>
    <row r="17" spans="1:10" x14ac:dyDescent="0.25">
      <c r="A17" s="31">
        <v>16</v>
      </c>
      <c r="B17" s="32">
        <f t="shared" si="0"/>
        <v>43373</v>
      </c>
      <c r="C17" s="32"/>
      <c r="D17" s="32"/>
      <c r="E17" s="27" t="s">
        <v>51</v>
      </c>
      <c r="F17" s="28" t="s">
        <v>52</v>
      </c>
      <c r="G17" s="27" t="s">
        <v>869</v>
      </c>
      <c r="H17" s="27" t="s">
        <v>870</v>
      </c>
      <c r="I17" s="31">
        <v>7</v>
      </c>
      <c r="J17" s="33">
        <f>StockOutData[[#This Row],[Quantity]]*2.5</f>
        <v>17.5</v>
      </c>
    </row>
    <row r="18" spans="1:10" x14ac:dyDescent="0.25">
      <c r="A18" s="31">
        <v>17</v>
      </c>
      <c r="B18" s="32">
        <f t="shared" si="0"/>
        <v>43374</v>
      </c>
      <c r="C18" s="32"/>
      <c r="D18" s="32"/>
      <c r="E18" s="27" t="s">
        <v>53</v>
      </c>
      <c r="F18" s="28" t="s">
        <v>54</v>
      </c>
      <c r="G18" s="27" t="s">
        <v>869</v>
      </c>
      <c r="H18" s="27" t="s">
        <v>870</v>
      </c>
      <c r="I18" s="31">
        <v>15</v>
      </c>
      <c r="J18" s="33">
        <f>StockOutData[[#This Row],[Quantity]]*2.5</f>
        <v>37.5</v>
      </c>
    </row>
    <row r="19" spans="1:10" x14ac:dyDescent="0.25">
      <c r="A19" s="31">
        <v>18</v>
      </c>
      <c r="B19" s="32">
        <f t="shared" si="0"/>
        <v>43375</v>
      </c>
      <c r="C19" s="32"/>
      <c r="D19" s="32"/>
      <c r="E19" s="27" t="s">
        <v>55</v>
      </c>
      <c r="F19" s="28" t="s">
        <v>56</v>
      </c>
      <c r="G19" s="27" t="s">
        <v>869</v>
      </c>
      <c r="H19" s="27" t="s">
        <v>870</v>
      </c>
      <c r="I19" s="31">
        <v>18</v>
      </c>
      <c r="J19" s="33">
        <f>StockOutData[[#This Row],[Quantity]]*2.5</f>
        <v>45</v>
      </c>
    </row>
    <row r="20" spans="1:10" x14ac:dyDescent="0.25">
      <c r="A20" s="31">
        <v>19</v>
      </c>
      <c r="B20" s="32">
        <f t="shared" si="0"/>
        <v>43376</v>
      </c>
      <c r="C20" s="32"/>
      <c r="D20" s="32"/>
      <c r="E20" s="27" t="s">
        <v>57</v>
      </c>
      <c r="F20" s="28" t="s">
        <v>58</v>
      </c>
      <c r="G20" s="27" t="s">
        <v>869</v>
      </c>
      <c r="H20" s="27" t="s">
        <v>870</v>
      </c>
      <c r="I20" s="31">
        <v>12</v>
      </c>
      <c r="J20" s="33">
        <f>StockOutData[[#This Row],[Quantity]]*2.5</f>
        <v>30</v>
      </c>
    </row>
    <row r="21" spans="1:10" x14ac:dyDescent="0.25">
      <c r="A21" s="31">
        <v>20</v>
      </c>
      <c r="B21" s="32">
        <f t="shared" si="0"/>
        <v>43377</v>
      </c>
      <c r="C21" s="32"/>
      <c r="D21" s="32"/>
      <c r="E21" s="27" t="s">
        <v>59</v>
      </c>
      <c r="F21" s="28" t="s">
        <v>60</v>
      </c>
      <c r="G21" s="27" t="s">
        <v>869</v>
      </c>
      <c r="H21" s="27" t="s">
        <v>870</v>
      </c>
      <c r="I21" s="31">
        <v>14</v>
      </c>
      <c r="J21" s="33">
        <f>StockOutData[[#This Row],[Quantity]]*2.5</f>
        <v>35</v>
      </c>
    </row>
    <row r="22" spans="1:10" x14ac:dyDescent="0.25">
      <c r="A22" s="31">
        <v>21</v>
      </c>
      <c r="B22" s="32">
        <f t="shared" si="0"/>
        <v>43378</v>
      </c>
      <c r="C22" s="32"/>
      <c r="D22" s="32"/>
      <c r="E22" s="27" t="s">
        <v>61</v>
      </c>
      <c r="F22" s="28" t="s">
        <v>62</v>
      </c>
      <c r="G22" s="27" t="s">
        <v>869</v>
      </c>
      <c r="H22" s="27" t="s">
        <v>870</v>
      </c>
      <c r="I22" s="31">
        <v>13</v>
      </c>
      <c r="J22" s="33">
        <f>StockOutData[[#This Row],[Quantity]]*2.5</f>
        <v>32.5</v>
      </c>
    </row>
    <row r="23" spans="1:10" x14ac:dyDescent="0.25">
      <c r="A23" s="31">
        <v>22</v>
      </c>
      <c r="B23" s="32">
        <f t="shared" si="0"/>
        <v>43379</v>
      </c>
      <c r="C23" s="32"/>
      <c r="D23" s="32"/>
      <c r="E23" s="27" t="s">
        <v>63</v>
      </c>
      <c r="F23" s="28" t="s">
        <v>64</v>
      </c>
      <c r="G23" s="27" t="s">
        <v>869</v>
      </c>
      <c r="H23" s="27" t="s">
        <v>870</v>
      </c>
      <c r="I23" s="31">
        <v>10</v>
      </c>
      <c r="J23" s="33">
        <f>StockOutData[[#This Row],[Quantity]]*2.5</f>
        <v>25</v>
      </c>
    </row>
    <row r="24" spans="1:10" x14ac:dyDescent="0.25">
      <c r="A24" s="31">
        <v>23</v>
      </c>
      <c r="B24" s="32">
        <f t="shared" si="0"/>
        <v>43380</v>
      </c>
      <c r="C24" s="32"/>
      <c r="D24" s="32"/>
      <c r="E24" s="27" t="s">
        <v>65</v>
      </c>
      <c r="F24" s="28" t="s">
        <v>66</v>
      </c>
      <c r="G24" s="27" t="s">
        <v>869</v>
      </c>
      <c r="H24" s="27" t="s">
        <v>870</v>
      </c>
      <c r="I24" s="31">
        <v>10</v>
      </c>
      <c r="J24" s="33">
        <f>StockOutData[[#This Row],[Quantity]]*2.5</f>
        <v>25</v>
      </c>
    </row>
    <row r="25" spans="1:10" x14ac:dyDescent="0.25">
      <c r="A25" s="31">
        <v>24</v>
      </c>
      <c r="B25" s="32">
        <f t="shared" si="0"/>
        <v>43381</v>
      </c>
      <c r="C25" s="32"/>
      <c r="D25" s="32"/>
      <c r="E25" s="27" t="s">
        <v>67</v>
      </c>
      <c r="F25" s="28" t="s">
        <v>68</v>
      </c>
      <c r="G25" s="27" t="s">
        <v>869</v>
      </c>
      <c r="H25" s="27" t="s">
        <v>870</v>
      </c>
      <c r="I25" s="31">
        <v>7</v>
      </c>
      <c r="J25" s="33">
        <f>StockOutData[[#This Row],[Quantity]]*2.5</f>
        <v>17.5</v>
      </c>
    </row>
    <row r="26" spans="1:10" x14ac:dyDescent="0.25">
      <c r="A26" s="31">
        <v>25</v>
      </c>
      <c r="B26" s="32">
        <f t="shared" si="0"/>
        <v>43382</v>
      </c>
      <c r="C26" s="32"/>
      <c r="D26" s="32"/>
      <c r="E26" s="27" t="s">
        <v>69</v>
      </c>
      <c r="F26" s="28" t="s">
        <v>70</v>
      </c>
      <c r="G26" s="27" t="s">
        <v>869</v>
      </c>
      <c r="H26" s="27" t="s">
        <v>870</v>
      </c>
      <c r="I26" s="31">
        <v>15</v>
      </c>
      <c r="J26" s="33">
        <f>StockOutData[[#This Row],[Quantity]]*2.5</f>
        <v>37.5</v>
      </c>
    </row>
    <row r="27" spans="1:10" x14ac:dyDescent="0.25">
      <c r="A27" s="31">
        <v>26</v>
      </c>
      <c r="B27" s="32">
        <f t="shared" si="0"/>
        <v>43383</v>
      </c>
      <c r="C27" s="32"/>
      <c r="D27" s="32"/>
      <c r="E27" s="27" t="s">
        <v>71</v>
      </c>
      <c r="F27" s="28" t="s">
        <v>72</v>
      </c>
      <c r="G27" s="27" t="s">
        <v>869</v>
      </c>
      <c r="H27" s="27" t="s">
        <v>870</v>
      </c>
      <c r="I27" s="31">
        <v>18</v>
      </c>
      <c r="J27" s="33">
        <f>StockOutData[[#This Row],[Quantity]]*2.5</f>
        <v>45</v>
      </c>
    </row>
    <row r="28" spans="1:10" x14ac:dyDescent="0.25">
      <c r="A28" s="31">
        <v>27</v>
      </c>
      <c r="B28" s="32">
        <f t="shared" si="0"/>
        <v>43384</v>
      </c>
      <c r="C28" s="32"/>
      <c r="D28" s="32"/>
      <c r="E28" s="27" t="s">
        <v>73</v>
      </c>
      <c r="F28" s="28" t="s">
        <v>74</v>
      </c>
      <c r="G28" s="27" t="s">
        <v>869</v>
      </c>
      <c r="H28" s="27" t="s">
        <v>870</v>
      </c>
      <c r="I28" s="31">
        <v>12</v>
      </c>
      <c r="J28" s="33">
        <f>StockOutData[[#This Row],[Quantity]]*2.5</f>
        <v>30</v>
      </c>
    </row>
    <row r="29" spans="1:10" x14ac:dyDescent="0.25">
      <c r="A29" s="31">
        <v>28</v>
      </c>
      <c r="B29" s="32">
        <f t="shared" si="0"/>
        <v>43385</v>
      </c>
      <c r="C29" s="32"/>
      <c r="D29" s="32"/>
      <c r="E29" s="27" t="s">
        <v>75</v>
      </c>
      <c r="F29" s="28" t="s">
        <v>76</v>
      </c>
      <c r="G29" s="27" t="s">
        <v>869</v>
      </c>
      <c r="H29" s="27" t="s">
        <v>870</v>
      </c>
      <c r="I29" s="31">
        <v>14</v>
      </c>
      <c r="J29" s="33">
        <f>StockOutData[[#This Row],[Quantity]]*2.5</f>
        <v>35</v>
      </c>
    </row>
    <row r="30" spans="1:10" x14ac:dyDescent="0.25">
      <c r="A30" s="31">
        <v>29</v>
      </c>
      <c r="B30" s="32">
        <f t="shared" si="0"/>
        <v>43386</v>
      </c>
      <c r="C30" s="32"/>
      <c r="D30" s="32"/>
      <c r="E30" s="27" t="s">
        <v>77</v>
      </c>
      <c r="F30" s="28" t="s">
        <v>78</v>
      </c>
      <c r="G30" s="27" t="s">
        <v>869</v>
      </c>
      <c r="H30" s="27" t="s">
        <v>870</v>
      </c>
      <c r="I30" s="31">
        <v>13</v>
      </c>
      <c r="J30" s="33">
        <f>StockOutData[[#This Row],[Quantity]]*2.5</f>
        <v>32.5</v>
      </c>
    </row>
    <row r="31" spans="1:10" x14ac:dyDescent="0.25">
      <c r="A31" s="31">
        <v>30</v>
      </c>
      <c r="B31" s="32">
        <f t="shared" si="0"/>
        <v>43387</v>
      </c>
      <c r="C31" s="32"/>
      <c r="D31" s="32"/>
      <c r="E31" s="27" t="s">
        <v>79</v>
      </c>
      <c r="F31" s="28" t="s">
        <v>80</v>
      </c>
      <c r="G31" s="27" t="s">
        <v>869</v>
      </c>
      <c r="H31" s="27" t="s">
        <v>870</v>
      </c>
      <c r="I31" s="31">
        <v>5</v>
      </c>
      <c r="J31" s="33">
        <f>StockOutData[[#This Row],[Quantity]]*2.5</f>
        <v>12.5</v>
      </c>
    </row>
    <row r="32" spans="1:10" x14ac:dyDescent="0.25">
      <c r="A32" s="31">
        <v>31</v>
      </c>
      <c r="B32" s="32">
        <f t="shared" si="0"/>
        <v>43388</v>
      </c>
      <c r="C32" s="32"/>
      <c r="D32" s="32"/>
      <c r="E32" s="27" t="s">
        <v>81</v>
      </c>
      <c r="F32" s="28" t="s">
        <v>82</v>
      </c>
      <c r="G32" s="27" t="s">
        <v>869</v>
      </c>
      <c r="H32" s="27" t="s">
        <v>870</v>
      </c>
      <c r="I32" s="31">
        <v>7</v>
      </c>
      <c r="J32" s="33">
        <f>StockOutData[[#This Row],[Quantity]]*2.5</f>
        <v>17.5</v>
      </c>
    </row>
    <row r="33" spans="1:10" x14ac:dyDescent="0.25">
      <c r="A33" s="31">
        <v>32</v>
      </c>
      <c r="B33" s="32">
        <f t="shared" si="0"/>
        <v>43389</v>
      </c>
      <c r="C33" s="32"/>
      <c r="D33" s="32"/>
      <c r="E33" s="27" t="s">
        <v>83</v>
      </c>
      <c r="F33" s="28" t="s">
        <v>84</v>
      </c>
      <c r="G33" s="27" t="s">
        <v>869</v>
      </c>
      <c r="H33" s="27" t="s">
        <v>870</v>
      </c>
      <c r="I33" s="31">
        <v>15</v>
      </c>
      <c r="J33" s="33">
        <f>StockOutData[[#This Row],[Quantity]]*2.5</f>
        <v>37.5</v>
      </c>
    </row>
    <row r="34" spans="1:10" x14ac:dyDescent="0.25">
      <c r="A34" s="31">
        <v>33</v>
      </c>
      <c r="B34" s="32">
        <f t="shared" si="0"/>
        <v>43390</v>
      </c>
      <c r="C34" s="32"/>
      <c r="D34" s="32"/>
      <c r="E34" s="27" t="s">
        <v>85</v>
      </c>
      <c r="F34" s="28" t="s">
        <v>86</v>
      </c>
      <c r="G34" s="27" t="s">
        <v>869</v>
      </c>
      <c r="H34" s="27" t="s">
        <v>870</v>
      </c>
      <c r="I34" s="31">
        <v>18</v>
      </c>
      <c r="J34" s="33">
        <f>StockOutData[[#This Row],[Quantity]]*2.5</f>
        <v>45</v>
      </c>
    </row>
    <row r="35" spans="1:10" x14ac:dyDescent="0.25">
      <c r="A35" s="31">
        <v>34</v>
      </c>
      <c r="B35" s="32">
        <f t="shared" si="0"/>
        <v>43391</v>
      </c>
      <c r="C35" s="32"/>
      <c r="D35" s="32"/>
      <c r="E35" s="27" t="s">
        <v>87</v>
      </c>
      <c r="F35" s="28" t="s">
        <v>88</v>
      </c>
      <c r="G35" s="27" t="s">
        <v>869</v>
      </c>
      <c r="H35" s="27" t="s">
        <v>870</v>
      </c>
      <c r="I35" s="31">
        <v>12</v>
      </c>
      <c r="J35" s="33">
        <f>StockOutData[[#This Row],[Quantity]]*2.5</f>
        <v>30</v>
      </c>
    </row>
    <row r="36" spans="1:10" x14ac:dyDescent="0.25">
      <c r="A36" s="31">
        <v>35</v>
      </c>
      <c r="B36" s="32">
        <f t="shared" si="0"/>
        <v>43392</v>
      </c>
      <c r="C36" s="32"/>
      <c r="D36" s="32"/>
      <c r="E36" s="27" t="s">
        <v>89</v>
      </c>
      <c r="F36" s="28" t="s">
        <v>90</v>
      </c>
      <c r="G36" s="27" t="s">
        <v>869</v>
      </c>
      <c r="H36" s="27" t="s">
        <v>870</v>
      </c>
      <c r="I36" s="31">
        <v>14</v>
      </c>
      <c r="J36" s="33">
        <f>StockOutData[[#This Row],[Quantity]]*2.5</f>
        <v>35</v>
      </c>
    </row>
    <row r="37" spans="1:10" x14ac:dyDescent="0.25">
      <c r="A37" s="31">
        <v>36</v>
      </c>
      <c r="B37" s="32">
        <f t="shared" si="0"/>
        <v>43393</v>
      </c>
      <c r="C37" s="32"/>
      <c r="D37" s="32"/>
      <c r="E37" s="27" t="s">
        <v>91</v>
      </c>
      <c r="F37" s="28" t="s">
        <v>92</v>
      </c>
      <c r="G37" s="27" t="s">
        <v>869</v>
      </c>
      <c r="H37" s="27" t="s">
        <v>870</v>
      </c>
      <c r="I37" s="31">
        <v>13</v>
      </c>
      <c r="J37" s="33">
        <f>StockOutData[[#This Row],[Quantity]]*2.5</f>
        <v>32.5</v>
      </c>
    </row>
    <row r="38" spans="1:10" x14ac:dyDescent="0.25">
      <c r="A38" s="31">
        <v>37</v>
      </c>
      <c r="B38" s="32">
        <f t="shared" si="0"/>
        <v>43394</v>
      </c>
      <c r="C38" s="32"/>
      <c r="D38" s="32"/>
      <c r="E38" s="27" t="s">
        <v>93</v>
      </c>
      <c r="F38" s="28" t="s">
        <v>94</v>
      </c>
      <c r="G38" s="27" t="s">
        <v>869</v>
      </c>
      <c r="H38" s="27" t="s">
        <v>870</v>
      </c>
      <c r="I38" s="31">
        <v>5</v>
      </c>
      <c r="J38" s="33">
        <f>StockOutData[[#This Row],[Quantity]]*2.5</f>
        <v>12.5</v>
      </c>
    </row>
    <row r="39" spans="1:10" x14ac:dyDescent="0.25">
      <c r="A39" s="31">
        <v>38</v>
      </c>
      <c r="B39" s="32">
        <f t="shared" si="0"/>
        <v>43395</v>
      </c>
      <c r="C39" s="32"/>
      <c r="D39" s="32"/>
      <c r="E39" s="27" t="s">
        <v>95</v>
      </c>
      <c r="F39" s="28" t="s">
        <v>96</v>
      </c>
      <c r="G39" s="27" t="s">
        <v>869</v>
      </c>
      <c r="H39" s="27" t="s">
        <v>870</v>
      </c>
      <c r="I39" s="31">
        <v>7</v>
      </c>
      <c r="J39" s="33">
        <f>StockOutData[[#This Row],[Quantity]]*2.5</f>
        <v>17.5</v>
      </c>
    </row>
    <row r="40" spans="1:10" x14ac:dyDescent="0.25">
      <c r="A40" s="31">
        <v>39</v>
      </c>
      <c r="B40" s="32">
        <f t="shared" si="0"/>
        <v>43396</v>
      </c>
      <c r="C40" s="32"/>
      <c r="D40" s="32"/>
      <c r="E40" s="27" t="s">
        <v>97</v>
      </c>
      <c r="F40" s="28" t="s">
        <v>98</v>
      </c>
      <c r="G40" s="27" t="s">
        <v>869</v>
      </c>
      <c r="H40" s="27" t="s">
        <v>870</v>
      </c>
      <c r="I40" s="31">
        <v>15</v>
      </c>
      <c r="J40" s="33">
        <f>StockOutData[[#This Row],[Quantity]]*2.5</f>
        <v>37.5</v>
      </c>
    </row>
    <row r="41" spans="1:10" x14ac:dyDescent="0.25">
      <c r="A41" s="31">
        <v>40</v>
      </c>
      <c r="B41" s="32">
        <f t="shared" si="0"/>
        <v>43397</v>
      </c>
      <c r="C41" s="32"/>
      <c r="D41" s="32"/>
      <c r="E41" s="27" t="s">
        <v>99</v>
      </c>
      <c r="F41" s="28" t="s">
        <v>100</v>
      </c>
      <c r="G41" s="27" t="s">
        <v>869</v>
      </c>
      <c r="H41" s="27" t="s">
        <v>870</v>
      </c>
      <c r="I41" s="31">
        <v>18</v>
      </c>
      <c r="J41" s="33">
        <f>StockOutData[[#This Row],[Quantity]]*2.5</f>
        <v>45</v>
      </c>
    </row>
    <row r="42" spans="1:10" x14ac:dyDescent="0.25">
      <c r="A42" s="31">
        <v>41</v>
      </c>
      <c r="B42" s="32">
        <f t="shared" si="0"/>
        <v>43398</v>
      </c>
      <c r="C42" s="32"/>
      <c r="D42" s="32"/>
      <c r="E42" s="27" t="s">
        <v>101</v>
      </c>
      <c r="F42" s="28" t="s">
        <v>102</v>
      </c>
      <c r="G42" s="27" t="s">
        <v>869</v>
      </c>
      <c r="H42" s="27" t="s">
        <v>870</v>
      </c>
      <c r="I42" s="31">
        <v>12</v>
      </c>
      <c r="J42" s="33">
        <f>StockOutData[[#This Row],[Quantity]]*2.5</f>
        <v>30</v>
      </c>
    </row>
    <row r="43" spans="1:10" x14ac:dyDescent="0.25">
      <c r="A43" s="31">
        <v>42</v>
      </c>
      <c r="B43" s="32">
        <f t="shared" si="0"/>
        <v>43399</v>
      </c>
      <c r="C43" s="32"/>
      <c r="D43" s="32"/>
      <c r="E43" s="27" t="s">
        <v>103</v>
      </c>
      <c r="F43" s="28" t="s">
        <v>104</v>
      </c>
      <c r="G43" s="27" t="s">
        <v>869</v>
      </c>
      <c r="H43" s="27" t="s">
        <v>870</v>
      </c>
      <c r="I43" s="31">
        <v>10</v>
      </c>
      <c r="J43" s="33">
        <f>StockOutData[[#This Row],[Quantity]]*2.5</f>
        <v>25</v>
      </c>
    </row>
    <row r="44" spans="1:10" x14ac:dyDescent="0.25">
      <c r="A44" s="31">
        <v>43</v>
      </c>
      <c r="B44" s="32">
        <f t="shared" si="0"/>
        <v>43400</v>
      </c>
      <c r="C44" s="32"/>
      <c r="D44" s="32"/>
      <c r="E44" s="27" t="s">
        <v>105</v>
      </c>
      <c r="F44" s="28" t="s">
        <v>106</v>
      </c>
      <c r="G44" s="27" t="s">
        <v>869</v>
      </c>
      <c r="H44" s="27" t="s">
        <v>870</v>
      </c>
      <c r="I44" s="31">
        <v>10</v>
      </c>
      <c r="J44" s="33">
        <f>StockOutData[[#This Row],[Quantity]]*2.5</f>
        <v>25</v>
      </c>
    </row>
    <row r="45" spans="1:10" x14ac:dyDescent="0.25">
      <c r="A45" s="31">
        <v>44</v>
      </c>
      <c r="B45" s="32">
        <f t="shared" si="0"/>
        <v>43401</v>
      </c>
      <c r="C45" s="32"/>
      <c r="D45" s="32"/>
      <c r="E45" s="27" t="s">
        <v>107</v>
      </c>
      <c r="F45" s="28" t="s">
        <v>108</v>
      </c>
      <c r="G45" s="27" t="s">
        <v>869</v>
      </c>
      <c r="H45" s="27" t="s">
        <v>870</v>
      </c>
      <c r="I45" s="31">
        <v>10</v>
      </c>
      <c r="J45" s="33">
        <f>StockOutData[[#This Row],[Quantity]]*2.5</f>
        <v>25</v>
      </c>
    </row>
    <row r="46" spans="1:10" x14ac:dyDescent="0.25">
      <c r="A46" s="31">
        <v>45</v>
      </c>
      <c r="B46" s="32">
        <f t="shared" si="0"/>
        <v>43402</v>
      </c>
      <c r="C46" s="32"/>
      <c r="D46" s="32"/>
      <c r="E46" s="27" t="s">
        <v>109</v>
      </c>
      <c r="F46" s="28" t="s">
        <v>110</v>
      </c>
      <c r="G46" s="27" t="s">
        <v>869</v>
      </c>
      <c r="H46" s="27" t="s">
        <v>870</v>
      </c>
      <c r="I46" s="31">
        <v>10</v>
      </c>
      <c r="J46" s="33">
        <f>StockOutData[[#This Row],[Quantity]]*2.5</f>
        <v>25</v>
      </c>
    </row>
    <row r="47" spans="1:10" x14ac:dyDescent="0.25">
      <c r="A47" s="31">
        <v>46</v>
      </c>
      <c r="B47" s="32">
        <f t="shared" si="0"/>
        <v>43403</v>
      </c>
      <c r="C47" s="32"/>
      <c r="D47" s="32"/>
      <c r="E47" s="27" t="s">
        <v>111</v>
      </c>
      <c r="F47" s="28" t="s">
        <v>112</v>
      </c>
      <c r="G47" s="27" t="s">
        <v>869</v>
      </c>
      <c r="H47" s="27" t="s">
        <v>870</v>
      </c>
      <c r="I47" s="31">
        <v>7</v>
      </c>
      <c r="J47" s="33">
        <f>StockOutData[[#This Row],[Quantity]]*2.5</f>
        <v>17.5</v>
      </c>
    </row>
    <row r="48" spans="1:10" x14ac:dyDescent="0.25">
      <c r="A48" s="31">
        <v>47</v>
      </c>
      <c r="B48" s="32">
        <f t="shared" si="0"/>
        <v>43404</v>
      </c>
      <c r="C48" s="32"/>
      <c r="D48" s="32"/>
      <c r="E48" s="27" t="s">
        <v>113</v>
      </c>
      <c r="F48" s="28" t="s">
        <v>114</v>
      </c>
      <c r="G48" s="27" t="s">
        <v>869</v>
      </c>
      <c r="H48" s="27" t="s">
        <v>870</v>
      </c>
      <c r="I48" s="31">
        <v>15</v>
      </c>
      <c r="J48" s="33">
        <f>StockOutData[[#This Row],[Quantity]]*2.5</f>
        <v>37.5</v>
      </c>
    </row>
    <row r="49" spans="1:10" x14ac:dyDescent="0.25">
      <c r="A49" s="31">
        <v>48</v>
      </c>
      <c r="B49" s="32">
        <f t="shared" si="0"/>
        <v>43405</v>
      </c>
      <c r="C49" s="32"/>
      <c r="D49" s="32"/>
      <c r="E49" s="27" t="s">
        <v>115</v>
      </c>
      <c r="F49" s="28" t="s">
        <v>116</v>
      </c>
      <c r="G49" s="27" t="s">
        <v>869</v>
      </c>
      <c r="H49" s="27" t="s">
        <v>870</v>
      </c>
      <c r="I49" s="31">
        <v>18</v>
      </c>
      <c r="J49" s="33">
        <f>StockOutData[[#This Row],[Quantity]]*2.5</f>
        <v>45</v>
      </c>
    </row>
    <row r="50" spans="1:10" x14ac:dyDescent="0.25">
      <c r="A50" s="31">
        <v>49</v>
      </c>
      <c r="B50" s="32">
        <f t="shared" si="0"/>
        <v>43406</v>
      </c>
      <c r="C50" s="32"/>
      <c r="D50" s="32"/>
      <c r="E50" s="27" t="s">
        <v>117</v>
      </c>
      <c r="F50" s="28" t="s">
        <v>118</v>
      </c>
      <c r="G50" s="27" t="s">
        <v>869</v>
      </c>
      <c r="H50" s="27" t="s">
        <v>870</v>
      </c>
      <c r="I50" s="31">
        <v>12</v>
      </c>
      <c r="J50" s="33">
        <f>StockOutData[[#This Row],[Quantity]]*2.5</f>
        <v>30</v>
      </c>
    </row>
    <row r="51" spans="1:10" x14ac:dyDescent="0.25">
      <c r="A51" s="31">
        <v>50</v>
      </c>
      <c r="B51" s="32">
        <f t="shared" si="0"/>
        <v>43407</v>
      </c>
      <c r="C51" s="32"/>
      <c r="D51" s="32"/>
      <c r="E51" s="27" t="s">
        <v>119</v>
      </c>
      <c r="F51" s="28" t="s">
        <v>120</v>
      </c>
      <c r="G51" s="27" t="s">
        <v>869</v>
      </c>
      <c r="H51" s="27" t="s">
        <v>870</v>
      </c>
      <c r="I51" s="31">
        <v>14</v>
      </c>
      <c r="J51" s="33">
        <f>StockOutData[[#This Row],[Quantity]]*2.5</f>
        <v>35</v>
      </c>
    </row>
    <row r="52" spans="1:10" x14ac:dyDescent="0.25">
      <c r="A52" s="31">
        <v>51</v>
      </c>
      <c r="B52" s="32">
        <f t="shared" si="0"/>
        <v>43408</v>
      </c>
      <c r="C52" s="32"/>
      <c r="D52" s="32"/>
      <c r="E52" s="27" t="s">
        <v>121</v>
      </c>
      <c r="F52" s="28" t="s">
        <v>122</v>
      </c>
      <c r="G52" s="27" t="s">
        <v>869</v>
      </c>
      <c r="H52" s="27" t="s">
        <v>870</v>
      </c>
      <c r="I52" s="31">
        <v>13</v>
      </c>
      <c r="J52" s="33">
        <f>StockOutData[[#This Row],[Quantity]]*2.5</f>
        <v>32.5</v>
      </c>
    </row>
    <row r="53" spans="1:10" x14ac:dyDescent="0.25">
      <c r="A53" s="31">
        <v>52</v>
      </c>
      <c r="B53" s="32">
        <f t="shared" si="0"/>
        <v>43409</v>
      </c>
      <c r="C53" s="32"/>
      <c r="D53" s="32"/>
      <c r="E53" s="27" t="s">
        <v>123</v>
      </c>
      <c r="F53" s="28" t="s">
        <v>124</v>
      </c>
      <c r="G53" s="27" t="s">
        <v>869</v>
      </c>
      <c r="H53" s="27" t="s">
        <v>870</v>
      </c>
      <c r="I53" s="31">
        <v>5</v>
      </c>
      <c r="J53" s="33">
        <f>StockOutData[[#This Row],[Quantity]]*2.5</f>
        <v>12.5</v>
      </c>
    </row>
    <row r="54" spans="1:10" x14ac:dyDescent="0.25">
      <c r="A54" s="31">
        <v>53</v>
      </c>
      <c r="B54" s="32">
        <f t="shared" si="0"/>
        <v>43410</v>
      </c>
      <c r="C54" s="32"/>
      <c r="D54" s="32"/>
      <c r="E54" s="27" t="s">
        <v>125</v>
      </c>
      <c r="F54" s="28" t="s">
        <v>126</v>
      </c>
      <c r="G54" s="27" t="s">
        <v>869</v>
      </c>
      <c r="H54" s="27" t="s">
        <v>870</v>
      </c>
      <c r="I54" s="31">
        <v>7</v>
      </c>
      <c r="J54" s="33">
        <f>StockOutData[[#This Row],[Quantity]]*2.5</f>
        <v>17.5</v>
      </c>
    </row>
    <row r="55" spans="1:10" x14ac:dyDescent="0.25">
      <c r="A55" s="31">
        <v>54</v>
      </c>
      <c r="B55" s="32">
        <f t="shared" si="0"/>
        <v>43411</v>
      </c>
      <c r="C55" s="32"/>
      <c r="D55" s="32"/>
      <c r="E55" s="27" t="s">
        <v>127</v>
      </c>
      <c r="F55" s="28" t="s">
        <v>128</v>
      </c>
      <c r="G55" s="27" t="s">
        <v>869</v>
      </c>
      <c r="H55" s="27" t="s">
        <v>870</v>
      </c>
      <c r="I55" s="31">
        <v>15</v>
      </c>
      <c r="J55" s="33">
        <f>StockOutData[[#This Row],[Quantity]]*2.5</f>
        <v>37.5</v>
      </c>
    </row>
    <row r="56" spans="1:10" x14ac:dyDescent="0.25">
      <c r="A56" s="31">
        <v>55</v>
      </c>
      <c r="B56" s="32">
        <f t="shared" si="0"/>
        <v>43412</v>
      </c>
      <c r="C56" s="32"/>
      <c r="D56" s="32"/>
      <c r="E56" s="27" t="s">
        <v>129</v>
      </c>
      <c r="F56" s="28" t="s">
        <v>130</v>
      </c>
      <c r="G56" s="27" t="s">
        <v>869</v>
      </c>
      <c r="H56" s="27" t="s">
        <v>870</v>
      </c>
      <c r="I56" s="31">
        <v>18</v>
      </c>
      <c r="J56" s="33">
        <f>StockOutData[[#This Row],[Quantity]]*2.5</f>
        <v>45</v>
      </c>
    </row>
    <row r="57" spans="1:10" x14ac:dyDescent="0.25">
      <c r="A57" s="31">
        <v>56</v>
      </c>
      <c r="B57" s="32">
        <f t="shared" si="0"/>
        <v>43413</v>
      </c>
      <c r="C57" s="32"/>
      <c r="D57" s="32"/>
      <c r="E57" s="27" t="s">
        <v>131</v>
      </c>
      <c r="F57" s="28" t="s">
        <v>132</v>
      </c>
      <c r="G57" s="27" t="s">
        <v>869</v>
      </c>
      <c r="H57" s="27" t="s">
        <v>870</v>
      </c>
      <c r="I57" s="31">
        <v>12</v>
      </c>
      <c r="J57" s="33">
        <f>StockOutData[[#This Row],[Quantity]]*2.5</f>
        <v>30</v>
      </c>
    </row>
    <row r="58" spans="1:10" x14ac:dyDescent="0.25">
      <c r="A58" s="31">
        <v>57</v>
      </c>
      <c r="B58" s="32">
        <f t="shared" si="0"/>
        <v>43414</v>
      </c>
      <c r="C58" s="32"/>
      <c r="D58" s="32"/>
      <c r="E58" s="27" t="s">
        <v>133</v>
      </c>
      <c r="F58" s="28" t="s">
        <v>134</v>
      </c>
      <c r="G58" s="27" t="s">
        <v>869</v>
      </c>
      <c r="H58" s="27" t="s">
        <v>870</v>
      </c>
      <c r="I58" s="31">
        <v>14</v>
      </c>
      <c r="J58" s="33">
        <f>StockOutData[[#This Row],[Quantity]]*2.5</f>
        <v>35</v>
      </c>
    </row>
    <row r="59" spans="1:10" x14ac:dyDescent="0.25">
      <c r="A59" s="31">
        <v>58</v>
      </c>
      <c r="B59" s="32">
        <f t="shared" si="0"/>
        <v>43415</v>
      </c>
      <c r="C59" s="32"/>
      <c r="D59" s="32"/>
      <c r="E59" s="27" t="s">
        <v>135</v>
      </c>
      <c r="F59" s="28" t="s">
        <v>136</v>
      </c>
      <c r="G59" s="27" t="s">
        <v>869</v>
      </c>
      <c r="H59" s="27" t="s">
        <v>870</v>
      </c>
      <c r="I59" s="31">
        <v>13</v>
      </c>
      <c r="J59" s="33">
        <f>StockOutData[[#This Row],[Quantity]]*2.5</f>
        <v>32.5</v>
      </c>
    </row>
    <row r="60" spans="1:10" x14ac:dyDescent="0.25">
      <c r="A60" s="31">
        <v>59</v>
      </c>
      <c r="B60" s="32">
        <f t="shared" si="0"/>
        <v>43416</v>
      </c>
      <c r="C60" s="32"/>
      <c r="D60" s="32"/>
      <c r="E60" s="27" t="s">
        <v>137</v>
      </c>
      <c r="F60" s="28" t="s">
        <v>138</v>
      </c>
      <c r="G60" s="27" t="s">
        <v>869</v>
      </c>
      <c r="H60" s="27" t="s">
        <v>870</v>
      </c>
      <c r="I60" s="31">
        <v>5</v>
      </c>
      <c r="J60" s="33">
        <f>StockOutData[[#This Row],[Quantity]]*2.5</f>
        <v>12.5</v>
      </c>
    </row>
    <row r="61" spans="1:10" x14ac:dyDescent="0.25">
      <c r="A61" s="31">
        <v>60</v>
      </c>
      <c r="B61" s="32">
        <f t="shared" si="0"/>
        <v>43417</v>
      </c>
      <c r="C61" s="32"/>
      <c r="D61" s="32"/>
      <c r="E61" s="27" t="s">
        <v>139</v>
      </c>
      <c r="F61" s="28" t="s">
        <v>140</v>
      </c>
      <c r="G61" s="27" t="s">
        <v>869</v>
      </c>
      <c r="H61" s="27" t="s">
        <v>870</v>
      </c>
      <c r="I61" s="31">
        <v>7</v>
      </c>
      <c r="J61" s="33">
        <f>StockOutData[[#This Row],[Quantity]]*2.5</f>
        <v>17.5</v>
      </c>
    </row>
    <row r="62" spans="1:10" x14ac:dyDescent="0.25">
      <c r="A62" s="31">
        <v>61</v>
      </c>
      <c r="B62" s="32">
        <f t="shared" si="0"/>
        <v>43418</v>
      </c>
      <c r="C62" s="32"/>
      <c r="D62" s="32"/>
      <c r="E62" s="27" t="s">
        <v>141</v>
      </c>
      <c r="F62" s="28" t="s">
        <v>142</v>
      </c>
      <c r="G62" s="27" t="s">
        <v>869</v>
      </c>
      <c r="H62" s="27" t="s">
        <v>870</v>
      </c>
      <c r="I62" s="31">
        <v>15</v>
      </c>
      <c r="J62" s="33">
        <f>StockOutData[[#This Row],[Quantity]]*2.5</f>
        <v>37.5</v>
      </c>
    </row>
    <row r="63" spans="1:10" x14ac:dyDescent="0.25">
      <c r="A63" s="31">
        <v>62</v>
      </c>
      <c r="B63" s="32">
        <f t="shared" si="0"/>
        <v>43419</v>
      </c>
      <c r="C63" s="32"/>
      <c r="D63" s="32"/>
      <c r="E63" s="27" t="s">
        <v>143</v>
      </c>
      <c r="F63" s="28" t="s">
        <v>144</v>
      </c>
      <c r="G63" s="27" t="s">
        <v>869</v>
      </c>
      <c r="H63" s="27" t="s">
        <v>870</v>
      </c>
      <c r="I63" s="31">
        <v>18</v>
      </c>
      <c r="J63" s="33">
        <f>StockOutData[[#This Row],[Quantity]]*2.5</f>
        <v>45</v>
      </c>
    </row>
    <row r="64" spans="1:10" x14ac:dyDescent="0.25">
      <c r="A64" s="31">
        <v>63</v>
      </c>
      <c r="B64" s="32">
        <f t="shared" si="0"/>
        <v>43420</v>
      </c>
      <c r="C64" s="32"/>
      <c r="D64" s="32"/>
      <c r="E64" s="27" t="s">
        <v>145</v>
      </c>
      <c r="F64" s="28" t="s">
        <v>146</v>
      </c>
      <c r="G64" s="27" t="s">
        <v>869</v>
      </c>
      <c r="H64" s="27" t="s">
        <v>870</v>
      </c>
      <c r="I64" s="31">
        <v>12</v>
      </c>
      <c r="J64" s="33">
        <f>StockOutData[[#This Row],[Quantity]]*2.5</f>
        <v>30</v>
      </c>
    </row>
    <row r="65" spans="1:10" x14ac:dyDescent="0.25">
      <c r="A65" s="31">
        <v>64</v>
      </c>
      <c r="B65" s="32">
        <f t="shared" si="0"/>
        <v>43421</v>
      </c>
      <c r="C65" s="32"/>
      <c r="D65" s="32"/>
      <c r="E65" s="27" t="s">
        <v>147</v>
      </c>
      <c r="F65" s="28" t="s">
        <v>148</v>
      </c>
      <c r="G65" s="27" t="s">
        <v>869</v>
      </c>
      <c r="H65" s="27" t="s">
        <v>870</v>
      </c>
      <c r="I65" s="31">
        <v>10</v>
      </c>
      <c r="J65" s="33">
        <f>StockOutData[[#This Row],[Quantity]]*2.5</f>
        <v>25</v>
      </c>
    </row>
    <row r="66" spans="1:10" x14ac:dyDescent="0.25">
      <c r="A66" s="31">
        <v>65</v>
      </c>
      <c r="B66" s="32">
        <f t="shared" si="0"/>
        <v>43422</v>
      </c>
      <c r="C66" s="32"/>
      <c r="D66" s="32"/>
      <c r="E66" s="27" t="s">
        <v>149</v>
      </c>
      <c r="F66" s="28" t="s">
        <v>150</v>
      </c>
      <c r="G66" s="27" t="s">
        <v>869</v>
      </c>
      <c r="H66" s="27" t="s">
        <v>870</v>
      </c>
      <c r="I66" s="31">
        <v>10</v>
      </c>
      <c r="J66" s="33">
        <f>StockOutData[[#This Row],[Quantity]]*2.5</f>
        <v>25</v>
      </c>
    </row>
    <row r="67" spans="1:10" x14ac:dyDescent="0.25">
      <c r="A67" s="31">
        <v>66</v>
      </c>
      <c r="B67" s="32">
        <f t="shared" si="0"/>
        <v>43423</v>
      </c>
      <c r="C67" s="32"/>
      <c r="D67" s="32"/>
      <c r="E67" s="27" t="s">
        <v>151</v>
      </c>
      <c r="F67" s="28" t="s">
        <v>152</v>
      </c>
      <c r="G67" s="27" t="s">
        <v>869</v>
      </c>
      <c r="H67" s="27" t="s">
        <v>870</v>
      </c>
      <c r="I67" s="31">
        <v>10</v>
      </c>
      <c r="J67" s="33">
        <f>StockOutData[[#This Row],[Quantity]]*2.5</f>
        <v>25</v>
      </c>
    </row>
    <row r="68" spans="1:10" x14ac:dyDescent="0.25">
      <c r="A68" s="31">
        <v>67</v>
      </c>
      <c r="B68" s="32">
        <f t="shared" ref="B68:B131" si="1">B67+1</f>
        <v>43424</v>
      </c>
      <c r="C68" s="32"/>
      <c r="D68" s="32"/>
      <c r="E68" s="27" t="s">
        <v>153</v>
      </c>
      <c r="F68" s="28" t="s">
        <v>154</v>
      </c>
      <c r="G68" s="27" t="s">
        <v>869</v>
      </c>
      <c r="H68" s="27" t="s">
        <v>870</v>
      </c>
      <c r="I68" s="31">
        <v>7</v>
      </c>
      <c r="J68" s="33">
        <f>StockOutData[[#This Row],[Quantity]]*2.5</f>
        <v>17.5</v>
      </c>
    </row>
    <row r="69" spans="1:10" x14ac:dyDescent="0.25">
      <c r="A69" s="31">
        <v>68</v>
      </c>
      <c r="B69" s="32">
        <f t="shared" si="1"/>
        <v>43425</v>
      </c>
      <c r="C69" s="32"/>
      <c r="D69" s="32"/>
      <c r="E69" s="27" t="s">
        <v>155</v>
      </c>
      <c r="F69" s="28" t="s">
        <v>156</v>
      </c>
      <c r="G69" s="27" t="s">
        <v>869</v>
      </c>
      <c r="H69" s="27" t="s">
        <v>870</v>
      </c>
      <c r="I69" s="31">
        <v>15</v>
      </c>
      <c r="J69" s="33">
        <f>StockOutData[[#This Row],[Quantity]]*2.5</f>
        <v>37.5</v>
      </c>
    </row>
    <row r="70" spans="1:10" x14ac:dyDescent="0.25">
      <c r="A70" s="31">
        <v>69</v>
      </c>
      <c r="B70" s="32">
        <f t="shared" si="1"/>
        <v>43426</v>
      </c>
      <c r="C70" s="32"/>
      <c r="D70" s="32"/>
      <c r="E70" s="27" t="s">
        <v>157</v>
      </c>
      <c r="F70" s="28" t="s">
        <v>158</v>
      </c>
      <c r="G70" s="27" t="s">
        <v>869</v>
      </c>
      <c r="H70" s="27" t="s">
        <v>871</v>
      </c>
      <c r="I70" s="31">
        <v>18</v>
      </c>
      <c r="J70" s="33">
        <f>StockOutData[[#This Row],[Quantity]]*2.5</f>
        <v>45</v>
      </c>
    </row>
    <row r="71" spans="1:10" x14ac:dyDescent="0.25">
      <c r="A71" s="31">
        <v>70</v>
      </c>
      <c r="B71" s="32">
        <f t="shared" si="1"/>
        <v>43427</v>
      </c>
      <c r="C71" s="32"/>
      <c r="D71" s="32"/>
      <c r="E71" s="27" t="s">
        <v>159</v>
      </c>
      <c r="F71" s="28" t="s">
        <v>160</v>
      </c>
      <c r="G71" s="27" t="s">
        <v>869</v>
      </c>
      <c r="H71" s="27" t="s">
        <v>871</v>
      </c>
      <c r="I71" s="31">
        <v>12</v>
      </c>
      <c r="J71" s="33">
        <f>StockOutData[[#This Row],[Quantity]]*2.5</f>
        <v>30</v>
      </c>
    </row>
    <row r="72" spans="1:10" x14ac:dyDescent="0.25">
      <c r="A72" s="31">
        <v>71</v>
      </c>
      <c r="B72" s="32">
        <f t="shared" si="1"/>
        <v>43428</v>
      </c>
      <c r="C72" s="32"/>
      <c r="D72" s="32"/>
      <c r="E72" s="27" t="s">
        <v>161</v>
      </c>
      <c r="F72" s="28" t="s">
        <v>162</v>
      </c>
      <c r="G72" s="27" t="s">
        <v>869</v>
      </c>
      <c r="H72" s="27" t="s">
        <v>871</v>
      </c>
      <c r="I72" s="31">
        <v>14</v>
      </c>
      <c r="J72" s="33">
        <f>StockOutData[[#This Row],[Quantity]]*2.5</f>
        <v>35</v>
      </c>
    </row>
    <row r="73" spans="1:10" x14ac:dyDescent="0.25">
      <c r="A73" s="31">
        <v>72</v>
      </c>
      <c r="B73" s="32">
        <f t="shared" si="1"/>
        <v>43429</v>
      </c>
      <c r="C73" s="32"/>
      <c r="D73" s="32"/>
      <c r="E73" s="27" t="s">
        <v>163</v>
      </c>
      <c r="F73" s="28" t="s">
        <v>164</v>
      </c>
      <c r="G73" s="27" t="s">
        <v>869</v>
      </c>
      <c r="H73" s="27" t="s">
        <v>871</v>
      </c>
      <c r="I73" s="31">
        <v>13</v>
      </c>
      <c r="J73" s="33">
        <f>StockOutData[[#This Row],[Quantity]]*2.5</f>
        <v>32.5</v>
      </c>
    </row>
    <row r="74" spans="1:10" x14ac:dyDescent="0.25">
      <c r="A74" s="31">
        <v>73</v>
      </c>
      <c r="B74" s="32">
        <f t="shared" si="1"/>
        <v>43430</v>
      </c>
      <c r="C74" s="32"/>
      <c r="D74" s="32"/>
      <c r="E74" s="27" t="s">
        <v>165</v>
      </c>
      <c r="F74" s="28" t="s">
        <v>166</v>
      </c>
      <c r="G74" s="27" t="s">
        <v>869</v>
      </c>
      <c r="H74" s="27" t="s">
        <v>871</v>
      </c>
      <c r="I74" s="31">
        <v>5</v>
      </c>
      <c r="J74" s="33">
        <f>StockOutData[[#This Row],[Quantity]]*2.5</f>
        <v>12.5</v>
      </c>
    </row>
    <row r="75" spans="1:10" x14ac:dyDescent="0.25">
      <c r="A75" s="31">
        <v>74</v>
      </c>
      <c r="B75" s="32">
        <f t="shared" si="1"/>
        <v>43431</v>
      </c>
      <c r="C75" s="32"/>
      <c r="D75" s="32"/>
      <c r="E75" s="27" t="s">
        <v>167</v>
      </c>
      <c r="F75" s="28" t="s">
        <v>168</v>
      </c>
      <c r="G75" s="27" t="s">
        <v>869</v>
      </c>
      <c r="H75" s="27" t="s">
        <v>871</v>
      </c>
      <c r="I75" s="31">
        <v>7</v>
      </c>
      <c r="J75" s="33">
        <f>StockOutData[[#This Row],[Quantity]]*2.5</f>
        <v>17.5</v>
      </c>
    </row>
    <row r="76" spans="1:10" x14ac:dyDescent="0.25">
      <c r="A76" s="31">
        <v>75</v>
      </c>
      <c r="B76" s="32">
        <f t="shared" si="1"/>
        <v>43432</v>
      </c>
      <c r="C76" s="32"/>
      <c r="D76" s="32"/>
      <c r="E76" s="27" t="s">
        <v>169</v>
      </c>
      <c r="F76" s="28" t="s">
        <v>170</v>
      </c>
      <c r="G76" s="27" t="s">
        <v>869</v>
      </c>
      <c r="H76" s="27" t="s">
        <v>871</v>
      </c>
      <c r="I76" s="31">
        <v>15</v>
      </c>
      <c r="J76" s="33">
        <f>StockOutData[[#This Row],[Quantity]]*2.5</f>
        <v>37.5</v>
      </c>
    </row>
    <row r="77" spans="1:10" x14ac:dyDescent="0.25">
      <c r="A77" s="31">
        <v>76</v>
      </c>
      <c r="B77" s="32">
        <f t="shared" si="1"/>
        <v>43433</v>
      </c>
      <c r="C77" s="32"/>
      <c r="D77" s="32"/>
      <c r="E77" s="27" t="s">
        <v>171</v>
      </c>
      <c r="F77" s="28" t="s">
        <v>172</v>
      </c>
      <c r="G77" s="27" t="s">
        <v>869</v>
      </c>
      <c r="H77" s="27" t="s">
        <v>871</v>
      </c>
      <c r="I77" s="31">
        <v>18</v>
      </c>
      <c r="J77" s="33">
        <f>StockOutData[[#This Row],[Quantity]]*2.5</f>
        <v>45</v>
      </c>
    </row>
    <row r="78" spans="1:10" x14ac:dyDescent="0.25">
      <c r="A78" s="31">
        <v>77</v>
      </c>
      <c r="B78" s="32">
        <f t="shared" si="1"/>
        <v>43434</v>
      </c>
      <c r="C78" s="32"/>
      <c r="D78" s="32"/>
      <c r="E78" s="27" t="s">
        <v>173</v>
      </c>
      <c r="F78" s="28" t="s">
        <v>174</v>
      </c>
      <c r="G78" s="27" t="s">
        <v>869</v>
      </c>
      <c r="H78" s="27" t="s">
        <v>871</v>
      </c>
      <c r="I78" s="31">
        <v>12</v>
      </c>
      <c r="J78" s="33">
        <f>StockOutData[[#This Row],[Quantity]]*2.5</f>
        <v>30</v>
      </c>
    </row>
    <row r="79" spans="1:10" x14ac:dyDescent="0.25">
      <c r="A79" s="31">
        <v>78</v>
      </c>
      <c r="B79" s="32">
        <f t="shared" si="1"/>
        <v>43435</v>
      </c>
      <c r="C79" s="32"/>
      <c r="D79" s="32"/>
      <c r="E79" s="27" t="s">
        <v>175</v>
      </c>
      <c r="F79" s="28" t="s">
        <v>176</v>
      </c>
      <c r="G79" s="27" t="s">
        <v>869</v>
      </c>
      <c r="H79" s="27" t="s">
        <v>871</v>
      </c>
      <c r="I79" s="31">
        <v>14</v>
      </c>
      <c r="J79" s="33">
        <f>StockOutData[[#This Row],[Quantity]]*2.5</f>
        <v>35</v>
      </c>
    </row>
    <row r="80" spans="1:10" x14ac:dyDescent="0.25">
      <c r="A80" s="31">
        <v>79</v>
      </c>
      <c r="B80" s="32">
        <f t="shared" si="1"/>
        <v>43436</v>
      </c>
      <c r="C80" s="32"/>
      <c r="D80" s="32"/>
      <c r="E80" s="27" t="s">
        <v>177</v>
      </c>
      <c r="F80" s="28" t="s">
        <v>178</v>
      </c>
      <c r="G80" s="27" t="s">
        <v>869</v>
      </c>
      <c r="H80" s="27" t="s">
        <v>871</v>
      </c>
      <c r="I80" s="31">
        <v>13</v>
      </c>
      <c r="J80" s="33">
        <f>StockOutData[[#This Row],[Quantity]]*2.5</f>
        <v>32.5</v>
      </c>
    </row>
    <row r="81" spans="1:10" x14ac:dyDescent="0.25">
      <c r="A81" s="31">
        <v>80</v>
      </c>
      <c r="B81" s="32">
        <f t="shared" si="1"/>
        <v>43437</v>
      </c>
      <c r="C81" s="32"/>
      <c r="D81" s="32"/>
      <c r="E81" s="27" t="s">
        <v>179</v>
      </c>
      <c r="F81" s="28" t="s">
        <v>180</v>
      </c>
      <c r="G81" s="27" t="s">
        <v>869</v>
      </c>
      <c r="H81" s="27" t="s">
        <v>871</v>
      </c>
      <c r="I81" s="31">
        <v>5</v>
      </c>
      <c r="J81" s="33">
        <f>StockOutData[[#This Row],[Quantity]]*2.5</f>
        <v>12.5</v>
      </c>
    </row>
    <row r="82" spans="1:10" x14ac:dyDescent="0.25">
      <c r="A82" s="31">
        <v>81</v>
      </c>
      <c r="B82" s="32">
        <f t="shared" si="1"/>
        <v>43438</v>
      </c>
      <c r="C82" s="32"/>
      <c r="D82" s="32"/>
      <c r="E82" s="27" t="s">
        <v>181</v>
      </c>
      <c r="F82" s="28" t="s">
        <v>182</v>
      </c>
      <c r="G82" s="27" t="s">
        <v>869</v>
      </c>
      <c r="H82" s="27" t="s">
        <v>871</v>
      </c>
      <c r="I82" s="31">
        <v>7</v>
      </c>
      <c r="J82" s="33">
        <f>StockOutData[[#This Row],[Quantity]]*2.5</f>
        <v>17.5</v>
      </c>
    </row>
    <row r="83" spans="1:10" x14ac:dyDescent="0.25">
      <c r="A83" s="31">
        <v>82</v>
      </c>
      <c r="B83" s="32">
        <f t="shared" si="1"/>
        <v>43439</v>
      </c>
      <c r="C83" s="32"/>
      <c r="D83" s="32"/>
      <c r="E83" s="27" t="s">
        <v>183</v>
      </c>
      <c r="F83" s="28" t="s">
        <v>184</v>
      </c>
      <c r="G83" s="27" t="s">
        <v>869</v>
      </c>
      <c r="H83" s="27" t="s">
        <v>871</v>
      </c>
      <c r="I83" s="31">
        <v>15</v>
      </c>
      <c r="J83" s="33">
        <f>StockOutData[[#This Row],[Quantity]]*2.5</f>
        <v>37.5</v>
      </c>
    </row>
    <row r="84" spans="1:10" x14ac:dyDescent="0.25">
      <c r="A84" s="31">
        <v>83</v>
      </c>
      <c r="B84" s="32">
        <f t="shared" si="1"/>
        <v>43440</v>
      </c>
      <c r="C84" s="32"/>
      <c r="D84" s="32"/>
      <c r="E84" s="27" t="s">
        <v>185</v>
      </c>
      <c r="F84" s="28" t="s">
        <v>186</v>
      </c>
      <c r="G84" s="27" t="s">
        <v>869</v>
      </c>
      <c r="H84" s="27" t="s">
        <v>871</v>
      </c>
      <c r="I84" s="31">
        <v>18</v>
      </c>
      <c r="J84" s="33">
        <f>StockOutData[[#This Row],[Quantity]]*2.5</f>
        <v>45</v>
      </c>
    </row>
    <row r="85" spans="1:10" x14ac:dyDescent="0.25">
      <c r="A85" s="31">
        <v>84</v>
      </c>
      <c r="B85" s="32">
        <f t="shared" si="1"/>
        <v>43441</v>
      </c>
      <c r="C85" s="32"/>
      <c r="D85" s="32"/>
      <c r="E85" s="27" t="s">
        <v>187</v>
      </c>
      <c r="F85" s="28" t="s">
        <v>188</v>
      </c>
      <c r="G85" s="27" t="s">
        <v>869</v>
      </c>
      <c r="H85" s="27" t="s">
        <v>871</v>
      </c>
      <c r="I85" s="31">
        <v>12</v>
      </c>
      <c r="J85" s="33">
        <f>StockOutData[[#This Row],[Quantity]]*2.5</f>
        <v>30</v>
      </c>
    </row>
    <row r="86" spans="1:10" x14ac:dyDescent="0.25">
      <c r="A86" s="31">
        <v>85</v>
      </c>
      <c r="B86" s="32">
        <f t="shared" si="1"/>
        <v>43442</v>
      </c>
      <c r="C86" s="32"/>
      <c r="D86" s="32"/>
      <c r="E86" s="27" t="s">
        <v>189</v>
      </c>
      <c r="F86" s="28" t="s">
        <v>190</v>
      </c>
      <c r="G86" s="27" t="s">
        <v>869</v>
      </c>
      <c r="H86" s="27" t="s">
        <v>871</v>
      </c>
      <c r="I86" s="31">
        <v>10</v>
      </c>
      <c r="J86" s="33">
        <f>StockOutData[[#This Row],[Quantity]]*2.5</f>
        <v>25</v>
      </c>
    </row>
    <row r="87" spans="1:10" x14ac:dyDescent="0.25">
      <c r="A87" s="31">
        <v>86</v>
      </c>
      <c r="B87" s="32">
        <f t="shared" si="1"/>
        <v>43443</v>
      </c>
      <c r="C87" s="32"/>
      <c r="D87" s="32"/>
      <c r="E87" s="27" t="s">
        <v>191</v>
      </c>
      <c r="F87" s="28" t="s">
        <v>192</v>
      </c>
      <c r="G87" s="27" t="s">
        <v>869</v>
      </c>
      <c r="H87" s="27" t="s">
        <v>871</v>
      </c>
      <c r="I87" s="31">
        <v>10</v>
      </c>
      <c r="J87" s="33">
        <f>StockOutData[[#This Row],[Quantity]]*2.5</f>
        <v>25</v>
      </c>
    </row>
    <row r="88" spans="1:10" x14ac:dyDescent="0.25">
      <c r="A88" s="31">
        <v>87</v>
      </c>
      <c r="B88" s="32">
        <f t="shared" si="1"/>
        <v>43444</v>
      </c>
      <c r="C88" s="32"/>
      <c r="D88" s="32"/>
      <c r="E88" s="27" t="s">
        <v>193</v>
      </c>
      <c r="F88" s="28" t="s">
        <v>194</v>
      </c>
      <c r="G88" s="27" t="s">
        <v>869</v>
      </c>
      <c r="H88" s="27" t="s">
        <v>871</v>
      </c>
      <c r="I88" s="31">
        <v>7</v>
      </c>
      <c r="J88" s="33">
        <f>StockOutData[[#This Row],[Quantity]]*2.5</f>
        <v>17.5</v>
      </c>
    </row>
    <row r="89" spans="1:10" x14ac:dyDescent="0.25">
      <c r="A89" s="31">
        <v>88</v>
      </c>
      <c r="B89" s="32">
        <f t="shared" si="1"/>
        <v>43445</v>
      </c>
      <c r="C89" s="32"/>
      <c r="D89" s="32"/>
      <c r="E89" s="27" t="s">
        <v>195</v>
      </c>
      <c r="F89" s="28" t="s">
        <v>196</v>
      </c>
      <c r="G89" s="27" t="s">
        <v>869</v>
      </c>
      <c r="H89" s="27" t="s">
        <v>871</v>
      </c>
      <c r="I89" s="31">
        <v>15</v>
      </c>
      <c r="J89" s="33">
        <f>StockOutData[[#This Row],[Quantity]]*2.5</f>
        <v>37.5</v>
      </c>
    </row>
    <row r="90" spans="1:10" x14ac:dyDescent="0.25">
      <c r="A90" s="31">
        <v>89</v>
      </c>
      <c r="B90" s="32">
        <f t="shared" si="1"/>
        <v>43446</v>
      </c>
      <c r="C90" s="32"/>
      <c r="D90" s="32"/>
      <c r="E90" s="27" t="s">
        <v>197</v>
      </c>
      <c r="F90" s="28" t="s">
        <v>198</v>
      </c>
      <c r="G90" s="27" t="s">
        <v>869</v>
      </c>
      <c r="H90" s="27" t="s">
        <v>871</v>
      </c>
      <c r="I90" s="31">
        <v>18</v>
      </c>
      <c r="J90" s="33">
        <f>StockOutData[[#This Row],[Quantity]]*2.5</f>
        <v>45</v>
      </c>
    </row>
    <row r="91" spans="1:10" x14ac:dyDescent="0.25">
      <c r="A91" s="31">
        <v>90</v>
      </c>
      <c r="B91" s="32">
        <f t="shared" si="1"/>
        <v>43447</v>
      </c>
      <c r="C91" s="32"/>
      <c r="D91" s="32"/>
      <c r="E91" s="27" t="s">
        <v>199</v>
      </c>
      <c r="F91" s="28" t="s">
        <v>200</v>
      </c>
      <c r="G91" s="27" t="s">
        <v>869</v>
      </c>
      <c r="H91" s="27" t="s">
        <v>871</v>
      </c>
      <c r="I91" s="31">
        <v>12</v>
      </c>
      <c r="J91" s="33">
        <f>StockOutData[[#This Row],[Quantity]]*2.5</f>
        <v>30</v>
      </c>
    </row>
    <row r="92" spans="1:10" x14ac:dyDescent="0.25">
      <c r="A92" s="31">
        <v>91</v>
      </c>
      <c r="B92" s="32">
        <f t="shared" si="1"/>
        <v>43448</v>
      </c>
      <c r="C92" s="32"/>
      <c r="D92" s="32"/>
      <c r="E92" s="27" t="s">
        <v>201</v>
      </c>
      <c r="F92" s="28" t="s">
        <v>202</v>
      </c>
      <c r="G92" s="27" t="s">
        <v>869</v>
      </c>
      <c r="H92" s="27" t="s">
        <v>871</v>
      </c>
      <c r="I92" s="31">
        <v>14</v>
      </c>
      <c r="J92" s="33">
        <f>StockOutData[[#This Row],[Quantity]]*2.5</f>
        <v>35</v>
      </c>
    </row>
    <row r="93" spans="1:10" x14ac:dyDescent="0.25">
      <c r="A93" s="31">
        <v>92</v>
      </c>
      <c r="B93" s="32">
        <f t="shared" si="1"/>
        <v>43449</v>
      </c>
      <c r="C93" s="32"/>
      <c r="D93" s="32"/>
      <c r="E93" s="27" t="s">
        <v>203</v>
      </c>
      <c r="F93" s="28" t="s">
        <v>204</v>
      </c>
      <c r="G93" s="27" t="s">
        <v>869</v>
      </c>
      <c r="H93" s="27" t="s">
        <v>871</v>
      </c>
      <c r="I93" s="31">
        <v>13</v>
      </c>
      <c r="J93" s="33">
        <f>StockOutData[[#This Row],[Quantity]]*2.5</f>
        <v>32.5</v>
      </c>
    </row>
    <row r="94" spans="1:10" x14ac:dyDescent="0.25">
      <c r="A94" s="31">
        <v>93</v>
      </c>
      <c r="B94" s="32">
        <f t="shared" si="1"/>
        <v>43450</v>
      </c>
      <c r="C94" s="32"/>
      <c r="D94" s="32"/>
      <c r="E94" s="27" t="s">
        <v>205</v>
      </c>
      <c r="F94" s="28" t="s">
        <v>206</v>
      </c>
      <c r="G94" s="27" t="s">
        <v>869</v>
      </c>
      <c r="H94" s="27" t="s">
        <v>871</v>
      </c>
      <c r="I94" s="31">
        <v>5</v>
      </c>
      <c r="J94" s="33">
        <f>StockOutData[[#This Row],[Quantity]]*2.5</f>
        <v>12.5</v>
      </c>
    </row>
    <row r="95" spans="1:10" x14ac:dyDescent="0.25">
      <c r="A95" s="31">
        <v>94</v>
      </c>
      <c r="B95" s="32">
        <f t="shared" si="1"/>
        <v>43451</v>
      </c>
      <c r="C95" s="32"/>
      <c r="D95" s="32"/>
      <c r="E95" s="27" t="s">
        <v>207</v>
      </c>
      <c r="F95" s="28" t="s">
        <v>208</v>
      </c>
      <c r="G95" s="27" t="s">
        <v>869</v>
      </c>
      <c r="H95" s="27" t="s">
        <v>871</v>
      </c>
      <c r="I95" s="31">
        <v>7</v>
      </c>
      <c r="J95" s="33">
        <f>StockOutData[[#This Row],[Quantity]]*2.5</f>
        <v>17.5</v>
      </c>
    </row>
    <row r="96" spans="1:10" x14ac:dyDescent="0.25">
      <c r="A96" s="31">
        <v>95</v>
      </c>
      <c r="B96" s="32">
        <f t="shared" si="1"/>
        <v>43452</v>
      </c>
      <c r="C96" s="32"/>
      <c r="D96" s="32"/>
      <c r="E96" s="27" t="s">
        <v>209</v>
      </c>
      <c r="F96" s="28" t="s">
        <v>210</v>
      </c>
      <c r="G96" s="27" t="s">
        <v>869</v>
      </c>
      <c r="H96" s="27" t="s">
        <v>871</v>
      </c>
      <c r="I96" s="31">
        <v>15</v>
      </c>
      <c r="J96" s="33">
        <f>StockOutData[[#This Row],[Quantity]]*2.5</f>
        <v>37.5</v>
      </c>
    </row>
    <row r="97" spans="1:10" x14ac:dyDescent="0.25">
      <c r="A97" s="31">
        <v>96</v>
      </c>
      <c r="B97" s="32">
        <f t="shared" si="1"/>
        <v>43453</v>
      </c>
      <c r="C97" s="32"/>
      <c r="D97" s="32"/>
      <c r="E97" s="27" t="s">
        <v>211</v>
      </c>
      <c r="F97" s="28" t="s">
        <v>212</v>
      </c>
      <c r="G97" s="27" t="s">
        <v>869</v>
      </c>
      <c r="H97" s="27" t="s">
        <v>871</v>
      </c>
      <c r="I97" s="31">
        <v>18</v>
      </c>
      <c r="J97" s="33">
        <f>StockOutData[[#This Row],[Quantity]]*2.5</f>
        <v>45</v>
      </c>
    </row>
    <row r="98" spans="1:10" x14ac:dyDescent="0.25">
      <c r="A98" s="31">
        <v>97</v>
      </c>
      <c r="B98" s="32">
        <f t="shared" si="1"/>
        <v>43454</v>
      </c>
      <c r="C98" s="32"/>
      <c r="D98" s="32"/>
      <c r="E98" s="27" t="s">
        <v>213</v>
      </c>
      <c r="F98" s="28" t="s">
        <v>214</v>
      </c>
      <c r="G98" s="27" t="s">
        <v>869</v>
      </c>
      <c r="H98" s="27" t="s">
        <v>871</v>
      </c>
      <c r="I98" s="31">
        <v>12</v>
      </c>
      <c r="J98" s="33">
        <f>StockOutData[[#This Row],[Quantity]]*2.5</f>
        <v>30</v>
      </c>
    </row>
    <row r="99" spans="1:10" x14ac:dyDescent="0.25">
      <c r="A99" s="31">
        <v>98</v>
      </c>
      <c r="B99" s="32">
        <f t="shared" si="1"/>
        <v>43455</v>
      </c>
      <c r="C99" s="32"/>
      <c r="D99" s="32"/>
      <c r="E99" s="27" t="s">
        <v>215</v>
      </c>
      <c r="F99" s="28" t="s">
        <v>216</v>
      </c>
      <c r="G99" s="27" t="s">
        <v>869</v>
      </c>
      <c r="H99" s="27" t="s">
        <v>871</v>
      </c>
      <c r="I99" s="31">
        <v>14</v>
      </c>
      <c r="J99" s="33">
        <f>StockOutData[[#This Row],[Quantity]]*2.5</f>
        <v>35</v>
      </c>
    </row>
    <row r="100" spans="1:10" x14ac:dyDescent="0.25">
      <c r="A100" s="31">
        <v>99</v>
      </c>
      <c r="B100" s="32">
        <f t="shared" si="1"/>
        <v>43456</v>
      </c>
      <c r="C100" s="32"/>
      <c r="D100" s="32"/>
      <c r="E100" s="27" t="s">
        <v>217</v>
      </c>
      <c r="F100" s="28" t="s">
        <v>218</v>
      </c>
      <c r="G100" s="27" t="s">
        <v>869</v>
      </c>
      <c r="H100" s="27" t="s">
        <v>871</v>
      </c>
      <c r="I100" s="31">
        <v>13</v>
      </c>
      <c r="J100" s="33">
        <f>StockOutData[[#This Row],[Quantity]]*2.5</f>
        <v>32.5</v>
      </c>
    </row>
    <row r="101" spans="1:10" x14ac:dyDescent="0.25">
      <c r="A101" s="31">
        <v>100</v>
      </c>
      <c r="B101" s="32">
        <f t="shared" si="1"/>
        <v>43457</v>
      </c>
      <c r="C101" s="32"/>
      <c r="D101" s="32"/>
      <c r="E101" s="27" t="s">
        <v>219</v>
      </c>
      <c r="F101" s="28" t="s">
        <v>220</v>
      </c>
      <c r="G101" s="27" t="s">
        <v>869</v>
      </c>
      <c r="H101" s="27" t="s">
        <v>871</v>
      </c>
      <c r="I101" s="31">
        <v>5</v>
      </c>
      <c r="J101" s="33">
        <f>StockOutData[[#This Row],[Quantity]]*2.5</f>
        <v>12.5</v>
      </c>
    </row>
    <row r="102" spans="1:10" x14ac:dyDescent="0.25">
      <c r="A102" s="31">
        <v>101</v>
      </c>
      <c r="B102" s="32">
        <f t="shared" si="1"/>
        <v>43458</v>
      </c>
      <c r="C102" s="32"/>
      <c r="D102" s="32"/>
      <c r="E102" s="27" t="s">
        <v>221</v>
      </c>
      <c r="F102" s="28" t="s">
        <v>222</v>
      </c>
      <c r="G102" s="27" t="s">
        <v>869</v>
      </c>
      <c r="H102" s="27" t="s">
        <v>871</v>
      </c>
      <c r="I102" s="31">
        <v>7</v>
      </c>
      <c r="J102" s="33">
        <f>StockOutData[[#This Row],[Quantity]]*2.5</f>
        <v>17.5</v>
      </c>
    </row>
    <row r="103" spans="1:10" x14ac:dyDescent="0.25">
      <c r="A103" s="31">
        <v>102</v>
      </c>
      <c r="B103" s="32">
        <f t="shared" si="1"/>
        <v>43459</v>
      </c>
      <c r="C103" s="32"/>
      <c r="D103" s="32"/>
      <c r="E103" s="27" t="s">
        <v>223</v>
      </c>
      <c r="F103" s="28" t="s">
        <v>224</v>
      </c>
      <c r="G103" s="27" t="s">
        <v>869</v>
      </c>
      <c r="H103" s="27" t="s">
        <v>871</v>
      </c>
      <c r="I103" s="31">
        <v>15</v>
      </c>
      <c r="J103" s="33">
        <f>StockOutData[[#This Row],[Quantity]]*2.5</f>
        <v>37.5</v>
      </c>
    </row>
    <row r="104" spans="1:10" x14ac:dyDescent="0.25">
      <c r="A104" s="31">
        <v>103</v>
      </c>
      <c r="B104" s="32">
        <f t="shared" si="1"/>
        <v>43460</v>
      </c>
      <c r="C104" s="32"/>
      <c r="D104" s="32"/>
      <c r="E104" s="27" t="s">
        <v>225</v>
      </c>
      <c r="F104" s="28" t="s">
        <v>226</v>
      </c>
      <c r="G104" s="27" t="s">
        <v>869</v>
      </c>
      <c r="H104" s="27" t="s">
        <v>871</v>
      </c>
      <c r="I104" s="31">
        <v>18</v>
      </c>
      <c r="J104" s="33">
        <f>StockOutData[[#This Row],[Quantity]]*2.5</f>
        <v>45</v>
      </c>
    </row>
    <row r="105" spans="1:10" x14ac:dyDescent="0.25">
      <c r="A105" s="31">
        <v>104</v>
      </c>
      <c r="B105" s="32">
        <f t="shared" si="1"/>
        <v>43461</v>
      </c>
      <c r="C105" s="32"/>
      <c r="D105" s="32"/>
      <c r="E105" s="27" t="s">
        <v>227</v>
      </c>
      <c r="F105" s="28" t="s">
        <v>228</v>
      </c>
      <c r="G105" s="27" t="s">
        <v>869</v>
      </c>
      <c r="H105" s="27" t="s">
        <v>871</v>
      </c>
      <c r="I105" s="31">
        <v>12</v>
      </c>
      <c r="J105" s="33">
        <f>StockOutData[[#This Row],[Quantity]]*2.5</f>
        <v>30</v>
      </c>
    </row>
    <row r="106" spans="1:10" x14ac:dyDescent="0.25">
      <c r="A106" s="31">
        <v>105</v>
      </c>
      <c r="B106" s="32">
        <f t="shared" si="1"/>
        <v>43462</v>
      </c>
      <c r="C106" s="32"/>
      <c r="D106" s="32"/>
      <c r="E106" s="27" t="s">
        <v>229</v>
      </c>
      <c r="F106" s="28" t="s">
        <v>230</v>
      </c>
      <c r="G106" s="27" t="s">
        <v>869</v>
      </c>
      <c r="H106" s="27" t="s">
        <v>871</v>
      </c>
      <c r="I106" s="31">
        <v>10</v>
      </c>
      <c r="J106" s="33">
        <f>StockOutData[[#This Row],[Quantity]]*2.5</f>
        <v>25</v>
      </c>
    </row>
    <row r="107" spans="1:10" x14ac:dyDescent="0.25">
      <c r="A107" s="31">
        <v>106</v>
      </c>
      <c r="B107" s="32">
        <f t="shared" si="1"/>
        <v>43463</v>
      </c>
      <c r="C107" s="32"/>
      <c r="D107" s="32"/>
      <c r="E107" s="27" t="s">
        <v>231</v>
      </c>
      <c r="F107" s="28" t="s">
        <v>232</v>
      </c>
      <c r="G107" s="27" t="s">
        <v>869</v>
      </c>
      <c r="H107" s="27" t="s">
        <v>871</v>
      </c>
      <c r="I107" s="31">
        <v>10</v>
      </c>
      <c r="J107" s="33">
        <f>StockOutData[[#This Row],[Quantity]]*2.5</f>
        <v>25</v>
      </c>
    </row>
    <row r="108" spans="1:10" x14ac:dyDescent="0.25">
      <c r="A108" s="31">
        <v>107</v>
      </c>
      <c r="B108" s="32">
        <f t="shared" si="1"/>
        <v>43464</v>
      </c>
      <c r="C108" s="32"/>
      <c r="D108" s="32"/>
      <c r="E108" s="27" t="s">
        <v>233</v>
      </c>
      <c r="F108" s="28" t="s">
        <v>234</v>
      </c>
      <c r="G108" s="27" t="s">
        <v>869</v>
      </c>
      <c r="H108" s="27" t="s">
        <v>871</v>
      </c>
      <c r="I108" s="31">
        <v>7</v>
      </c>
      <c r="J108" s="33">
        <f>StockOutData[[#This Row],[Quantity]]*2.5</f>
        <v>17.5</v>
      </c>
    </row>
    <row r="109" spans="1:10" x14ac:dyDescent="0.25">
      <c r="A109" s="31">
        <v>108</v>
      </c>
      <c r="B109" s="32">
        <f t="shared" si="1"/>
        <v>43465</v>
      </c>
      <c r="C109" s="32"/>
      <c r="D109" s="32"/>
      <c r="E109" s="27" t="s">
        <v>235</v>
      </c>
      <c r="F109" s="28" t="s">
        <v>236</v>
      </c>
      <c r="G109" s="27" t="s">
        <v>869</v>
      </c>
      <c r="H109" s="27" t="s">
        <v>871</v>
      </c>
      <c r="I109" s="31">
        <v>15</v>
      </c>
      <c r="J109" s="33">
        <f>StockOutData[[#This Row],[Quantity]]*2.5</f>
        <v>37.5</v>
      </c>
    </row>
    <row r="110" spans="1:10" x14ac:dyDescent="0.25">
      <c r="A110" s="31">
        <v>109</v>
      </c>
      <c r="B110" s="32">
        <f t="shared" si="1"/>
        <v>43466</v>
      </c>
      <c r="C110" s="32"/>
      <c r="D110" s="32"/>
      <c r="E110" s="27" t="s">
        <v>237</v>
      </c>
      <c r="F110" s="28" t="s">
        <v>238</v>
      </c>
      <c r="G110" s="27" t="s">
        <v>869</v>
      </c>
      <c r="H110" s="27" t="s">
        <v>871</v>
      </c>
      <c r="I110" s="31">
        <v>18</v>
      </c>
      <c r="J110" s="33">
        <f>StockOutData[[#This Row],[Quantity]]*2.5</f>
        <v>45</v>
      </c>
    </row>
    <row r="111" spans="1:10" x14ac:dyDescent="0.25">
      <c r="A111" s="31">
        <v>110</v>
      </c>
      <c r="B111" s="32">
        <f t="shared" si="1"/>
        <v>43467</v>
      </c>
      <c r="C111" s="32"/>
      <c r="D111" s="32"/>
      <c r="E111" s="27" t="s">
        <v>239</v>
      </c>
      <c r="F111" s="28" t="s">
        <v>240</v>
      </c>
      <c r="G111" s="27" t="s">
        <v>869</v>
      </c>
      <c r="H111" s="27" t="s">
        <v>871</v>
      </c>
      <c r="I111" s="31">
        <v>12</v>
      </c>
      <c r="J111" s="33">
        <f>StockOutData[[#This Row],[Quantity]]*2.5</f>
        <v>30</v>
      </c>
    </row>
    <row r="112" spans="1:10" x14ac:dyDescent="0.25">
      <c r="A112" s="31">
        <v>111</v>
      </c>
      <c r="B112" s="32">
        <f t="shared" si="1"/>
        <v>43468</v>
      </c>
      <c r="C112" s="32"/>
      <c r="D112" s="32"/>
      <c r="E112" s="27" t="s">
        <v>241</v>
      </c>
      <c r="F112" s="28" t="s">
        <v>242</v>
      </c>
      <c r="G112" s="27" t="s">
        <v>869</v>
      </c>
      <c r="H112" s="27" t="s">
        <v>871</v>
      </c>
      <c r="I112" s="31">
        <v>14</v>
      </c>
      <c r="J112" s="33">
        <f>StockOutData[[#This Row],[Quantity]]*2.5</f>
        <v>35</v>
      </c>
    </row>
    <row r="113" spans="1:10" x14ac:dyDescent="0.25">
      <c r="A113" s="31">
        <v>112</v>
      </c>
      <c r="B113" s="32">
        <f t="shared" si="1"/>
        <v>43469</v>
      </c>
      <c r="C113" s="32"/>
      <c r="D113" s="32"/>
      <c r="E113" s="27" t="s">
        <v>243</v>
      </c>
      <c r="F113" s="28" t="s">
        <v>244</v>
      </c>
      <c r="G113" s="27" t="s">
        <v>869</v>
      </c>
      <c r="H113" s="27" t="s">
        <v>871</v>
      </c>
      <c r="I113" s="31">
        <v>13</v>
      </c>
      <c r="J113" s="33">
        <f>StockOutData[[#This Row],[Quantity]]*2.5</f>
        <v>32.5</v>
      </c>
    </row>
    <row r="114" spans="1:10" x14ac:dyDescent="0.25">
      <c r="A114" s="31">
        <v>113</v>
      </c>
      <c r="B114" s="32">
        <f t="shared" si="1"/>
        <v>43470</v>
      </c>
      <c r="C114" s="32"/>
      <c r="D114" s="32"/>
      <c r="E114" s="27" t="s">
        <v>245</v>
      </c>
      <c r="F114" s="28" t="s">
        <v>246</v>
      </c>
      <c r="G114" s="27" t="s">
        <v>869</v>
      </c>
      <c r="H114" s="27" t="s">
        <v>871</v>
      </c>
      <c r="I114" s="31">
        <v>5</v>
      </c>
      <c r="J114" s="33">
        <f>StockOutData[[#This Row],[Quantity]]*2.5</f>
        <v>12.5</v>
      </c>
    </row>
    <row r="115" spans="1:10" x14ac:dyDescent="0.25">
      <c r="A115" s="31">
        <v>114</v>
      </c>
      <c r="B115" s="32">
        <f t="shared" si="1"/>
        <v>43471</v>
      </c>
      <c r="C115" s="32"/>
      <c r="D115" s="32"/>
      <c r="E115" s="27" t="s">
        <v>247</v>
      </c>
      <c r="F115" s="28" t="s">
        <v>248</v>
      </c>
      <c r="G115" s="27" t="s">
        <v>869</v>
      </c>
      <c r="H115" s="27" t="s">
        <v>871</v>
      </c>
      <c r="I115" s="31">
        <v>7</v>
      </c>
      <c r="J115" s="33">
        <f>StockOutData[[#This Row],[Quantity]]*2.5</f>
        <v>17.5</v>
      </c>
    </row>
    <row r="116" spans="1:10" x14ac:dyDescent="0.25">
      <c r="A116" s="31">
        <v>115</v>
      </c>
      <c r="B116" s="32">
        <f t="shared" si="1"/>
        <v>43472</v>
      </c>
      <c r="C116" s="32"/>
      <c r="D116" s="32"/>
      <c r="E116" s="27" t="s">
        <v>249</v>
      </c>
      <c r="F116" s="28" t="s">
        <v>250</v>
      </c>
      <c r="G116" s="27" t="s">
        <v>869</v>
      </c>
      <c r="H116" s="27" t="s">
        <v>871</v>
      </c>
      <c r="I116" s="31">
        <v>15</v>
      </c>
      <c r="J116" s="33">
        <f>StockOutData[[#This Row],[Quantity]]*2.5</f>
        <v>37.5</v>
      </c>
    </row>
    <row r="117" spans="1:10" x14ac:dyDescent="0.25">
      <c r="A117" s="31">
        <v>116</v>
      </c>
      <c r="B117" s="32">
        <f t="shared" si="1"/>
        <v>43473</v>
      </c>
      <c r="C117" s="32"/>
      <c r="D117" s="32"/>
      <c r="E117" s="27" t="s">
        <v>251</v>
      </c>
      <c r="F117" s="28" t="s">
        <v>252</v>
      </c>
      <c r="G117" s="27" t="s">
        <v>869</v>
      </c>
      <c r="H117" s="27" t="s">
        <v>871</v>
      </c>
      <c r="I117" s="31">
        <v>18</v>
      </c>
      <c r="J117" s="33">
        <f>StockOutData[[#This Row],[Quantity]]*2.5</f>
        <v>45</v>
      </c>
    </row>
    <row r="118" spans="1:10" x14ac:dyDescent="0.25">
      <c r="A118" s="31">
        <v>117</v>
      </c>
      <c r="B118" s="32">
        <f t="shared" si="1"/>
        <v>43474</v>
      </c>
      <c r="C118" s="32"/>
      <c r="D118" s="32"/>
      <c r="E118" s="27" t="s">
        <v>253</v>
      </c>
      <c r="F118" s="28" t="s">
        <v>254</v>
      </c>
      <c r="G118" s="27" t="s">
        <v>869</v>
      </c>
      <c r="H118" s="27" t="s">
        <v>871</v>
      </c>
      <c r="I118" s="31">
        <v>12</v>
      </c>
      <c r="J118" s="33">
        <f>StockOutData[[#This Row],[Quantity]]*2.5</f>
        <v>30</v>
      </c>
    </row>
    <row r="119" spans="1:10" x14ac:dyDescent="0.25">
      <c r="A119" s="31">
        <v>118</v>
      </c>
      <c r="B119" s="32">
        <f t="shared" si="1"/>
        <v>43475</v>
      </c>
      <c r="C119" s="32"/>
      <c r="D119" s="32"/>
      <c r="E119" s="27" t="s">
        <v>255</v>
      </c>
      <c r="F119" s="28" t="s">
        <v>256</v>
      </c>
      <c r="G119" s="27" t="s">
        <v>869</v>
      </c>
      <c r="H119" s="27" t="s">
        <v>871</v>
      </c>
      <c r="I119" s="31">
        <v>14</v>
      </c>
      <c r="J119" s="33">
        <f>StockOutData[[#This Row],[Quantity]]*2.5</f>
        <v>35</v>
      </c>
    </row>
    <row r="120" spans="1:10" x14ac:dyDescent="0.25">
      <c r="A120" s="31">
        <v>119</v>
      </c>
      <c r="B120" s="32">
        <f t="shared" si="1"/>
        <v>43476</v>
      </c>
      <c r="C120" s="32"/>
      <c r="D120" s="32"/>
      <c r="E120" s="27" t="s">
        <v>257</v>
      </c>
      <c r="F120" s="28" t="s">
        <v>258</v>
      </c>
      <c r="G120" s="27" t="s">
        <v>869</v>
      </c>
      <c r="H120" s="27" t="s">
        <v>871</v>
      </c>
      <c r="I120" s="31">
        <v>13</v>
      </c>
      <c r="J120" s="33">
        <f>StockOutData[[#This Row],[Quantity]]*2.5</f>
        <v>32.5</v>
      </c>
    </row>
    <row r="121" spans="1:10" x14ac:dyDescent="0.25">
      <c r="A121" s="31">
        <v>120</v>
      </c>
      <c r="B121" s="32">
        <f t="shared" si="1"/>
        <v>43477</v>
      </c>
      <c r="C121" s="32"/>
      <c r="D121" s="32"/>
      <c r="E121" s="27" t="s">
        <v>259</v>
      </c>
      <c r="F121" s="28" t="s">
        <v>260</v>
      </c>
      <c r="G121" s="27" t="s">
        <v>869</v>
      </c>
      <c r="H121" s="27" t="s">
        <v>871</v>
      </c>
      <c r="I121" s="31">
        <v>5</v>
      </c>
      <c r="J121" s="33">
        <f>StockOutData[[#This Row],[Quantity]]*2.5</f>
        <v>12.5</v>
      </c>
    </row>
    <row r="122" spans="1:10" x14ac:dyDescent="0.25">
      <c r="A122" s="31">
        <v>121</v>
      </c>
      <c r="B122" s="32">
        <f t="shared" si="1"/>
        <v>43478</v>
      </c>
      <c r="C122" s="32"/>
      <c r="D122" s="32"/>
      <c r="E122" s="27" t="s">
        <v>261</v>
      </c>
      <c r="F122" s="28" t="s">
        <v>262</v>
      </c>
      <c r="G122" s="27" t="s">
        <v>869</v>
      </c>
      <c r="H122" s="27" t="s">
        <v>871</v>
      </c>
      <c r="I122" s="31">
        <v>7</v>
      </c>
      <c r="J122" s="33">
        <f>StockOutData[[#This Row],[Quantity]]*2.5</f>
        <v>17.5</v>
      </c>
    </row>
    <row r="123" spans="1:10" x14ac:dyDescent="0.25">
      <c r="A123" s="31">
        <v>122</v>
      </c>
      <c r="B123" s="32">
        <f t="shared" si="1"/>
        <v>43479</v>
      </c>
      <c r="C123" s="32"/>
      <c r="D123" s="32"/>
      <c r="E123" s="27" t="s">
        <v>263</v>
      </c>
      <c r="F123" s="28" t="s">
        <v>264</v>
      </c>
      <c r="G123" s="27" t="s">
        <v>869</v>
      </c>
      <c r="H123" s="27" t="s">
        <v>871</v>
      </c>
      <c r="I123" s="31">
        <v>15</v>
      </c>
      <c r="J123" s="33">
        <f>StockOutData[[#This Row],[Quantity]]*2.5</f>
        <v>37.5</v>
      </c>
    </row>
    <row r="124" spans="1:10" x14ac:dyDescent="0.25">
      <c r="A124" s="31">
        <v>123</v>
      </c>
      <c r="B124" s="32">
        <f t="shared" si="1"/>
        <v>43480</v>
      </c>
      <c r="C124" s="32"/>
      <c r="D124" s="32"/>
      <c r="E124" s="27" t="s">
        <v>265</v>
      </c>
      <c r="F124" s="28" t="s">
        <v>266</v>
      </c>
      <c r="G124" s="27" t="s">
        <v>869</v>
      </c>
      <c r="H124" s="27" t="s">
        <v>871</v>
      </c>
      <c r="I124" s="31">
        <v>18</v>
      </c>
      <c r="J124" s="33">
        <f>StockOutData[[#This Row],[Quantity]]*2.5</f>
        <v>45</v>
      </c>
    </row>
    <row r="125" spans="1:10" x14ac:dyDescent="0.25">
      <c r="A125" s="31">
        <v>124</v>
      </c>
      <c r="B125" s="32">
        <f t="shared" si="1"/>
        <v>43481</v>
      </c>
      <c r="C125" s="32"/>
      <c r="D125" s="32"/>
      <c r="E125" s="27" t="s">
        <v>267</v>
      </c>
      <c r="F125" s="28" t="s">
        <v>268</v>
      </c>
      <c r="G125" s="27" t="s">
        <v>869</v>
      </c>
      <c r="H125" s="27" t="s">
        <v>871</v>
      </c>
      <c r="I125" s="31">
        <v>12</v>
      </c>
      <c r="J125" s="33">
        <f>StockOutData[[#This Row],[Quantity]]*2.5</f>
        <v>30</v>
      </c>
    </row>
    <row r="126" spans="1:10" x14ac:dyDescent="0.25">
      <c r="A126" s="31">
        <v>125</v>
      </c>
      <c r="B126" s="32">
        <f t="shared" si="1"/>
        <v>43482</v>
      </c>
      <c r="C126" s="32"/>
      <c r="D126" s="32"/>
      <c r="E126" s="27" t="s">
        <v>269</v>
      </c>
      <c r="F126" s="28" t="s">
        <v>270</v>
      </c>
      <c r="G126" s="27" t="s">
        <v>869</v>
      </c>
      <c r="H126" s="27" t="s">
        <v>871</v>
      </c>
      <c r="I126" s="31">
        <v>10</v>
      </c>
      <c r="J126" s="33">
        <f>StockOutData[[#This Row],[Quantity]]*2.5</f>
        <v>25</v>
      </c>
    </row>
    <row r="127" spans="1:10" x14ac:dyDescent="0.25">
      <c r="A127" s="31">
        <v>126</v>
      </c>
      <c r="B127" s="32">
        <f t="shared" si="1"/>
        <v>43483</v>
      </c>
      <c r="C127" s="32"/>
      <c r="D127" s="32"/>
      <c r="E127" s="27" t="s">
        <v>271</v>
      </c>
      <c r="F127" s="28" t="s">
        <v>272</v>
      </c>
      <c r="G127" s="27" t="s">
        <v>869</v>
      </c>
      <c r="H127" s="27" t="s">
        <v>871</v>
      </c>
      <c r="I127" s="31">
        <v>10</v>
      </c>
      <c r="J127" s="33">
        <f>StockOutData[[#This Row],[Quantity]]*2.5</f>
        <v>25</v>
      </c>
    </row>
    <row r="128" spans="1:10" x14ac:dyDescent="0.25">
      <c r="A128" s="31">
        <v>127</v>
      </c>
      <c r="B128" s="32">
        <f t="shared" si="1"/>
        <v>43484</v>
      </c>
      <c r="C128" s="32"/>
      <c r="D128" s="32"/>
      <c r="E128" s="27" t="s">
        <v>273</v>
      </c>
      <c r="F128" s="28" t="s">
        <v>274</v>
      </c>
      <c r="G128" s="27" t="s">
        <v>869</v>
      </c>
      <c r="H128" s="27" t="s">
        <v>871</v>
      </c>
      <c r="I128" s="31">
        <v>10</v>
      </c>
      <c r="J128" s="33">
        <f>StockOutData[[#This Row],[Quantity]]*2.5</f>
        <v>25</v>
      </c>
    </row>
    <row r="129" spans="1:10" x14ac:dyDescent="0.25">
      <c r="A129" s="31">
        <v>128</v>
      </c>
      <c r="B129" s="32">
        <f t="shared" si="1"/>
        <v>43485</v>
      </c>
      <c r="C129" s="32"/>
      <c r="D129" s="32"/>
      <c r="E129" s="27" t="s">
        <v>275</v>
      </c>
      <c r="F129" s="28" t="s">
        <v>276</v>
      </c>
      <c r="G129" s="27" t="s">
        <v>869</v>
      </c>
      <c r="H129" s="27" t="s">
        <v>871</v>
      </c>
      <c r="I129" s="31">
        <v>10</v>
      </c>
      <c r="J129" s="33">
        <f>StockOutData[[#This Row],[Quantity]]*2.5</f>
        <v>25</v>
      </c>
    </row>
    <row r="130" spans="1:10" x14ac:dyDescent="0.25">
      <c r="A130" s="31">
        <v>129</v>
      </c>
      <c r="B130" s="32">
        <f t="shared" si="1"/>
        <v>43486</v>
      </c>
      <c r="C130" s="32"/>
      <c r="D130" s="32"/>
      <c r="E130" s="27" t="s">
        <v>277</v>
      </c>
      <c r="F130" s="28" t="s">
        <v>278</v>
      </c>
      <c r="G130" s="27" t="s">
        <v>869</v>
      </c>
      <c r="H130" s="27" t="s">
        <v>871</v>
      </c>
      <c r="I130" s="31">
        <v>10</v>
      </c>
      <c r="J130" s="33">
        <f>StockOutData[[#This Row],[Quantity]]*2.5</f>
        <v>25</v>
      </c>
    </row>
    <row r="131" spans="1:10" x14ac:dyDescent="0.25">
      <c r="A131" s="31">
        <v>130</v>
      </c>
      <c r="B131" s="32">
        <f t="shared" si="1"/>
        <v>43487</v>
      </c>
      <c r="C131" s="32"/>
      <c r="D131" s="32"/>
      <c r="E131" s="27" t="s">
        <v>279</v>
      </c>
      <c r="F131" s="28" t="s">
        <v>280</v>
      </c>
      <c r="G131" s="27" t="s">
        <v>869</v>
      </c>
      <c r="H131" s="27" t="s">
        <v>871</v>
      </c>
      <c r="I131" s="31">
        <v>10</v>
      </c>
      <c r="J131" s="33">
        <f>StockOutData[[#This Row],[Quantity]]*2.5</f>
        <v>25</v>
      </c>
    </row>
    <row r="132" spans="1:10" x14ac:dyDescent="0.25">
      <c r="A132" s="31">
        <v>131</v>
      </c>
      <c r="B132" s="32">
        <f t="shared" ref="B132:B195" si="2">B131+1</f>
        <v>43488</v>
      </c>
      <c r="C132" s="32"/>
      <c r="D132" s="32"/>
      <c r="E132" s="27" t="s">
        <v>281</v>
      </c>
      <c r="F132" s="28" t="s">
        <v>282</v>
      </c>
      <c r="G132" s="27" t="s">
        <v>869</v>
      </c>
      <c r="H132" s="27" t="s">
        <v>871</v>
      </c>
      <c r="I132" s="31">
        <v>10</v>
      </c>
      <c r="J132" s="33">
        <f>StockOutData[[#This Row],[Quantity]]*2.5</f>
        <v>25</v>
      </c>
    </row>
    <row r="133" spans="1:10" x14ac:dyDescent="0.25">
      <c r="A133" s="31">
        <v>132</v>
      </c>
      <c r="B133" s="32">
        <f t="shared" si="2"/>
        <v>43489</v>
      </c>
      <c r="C133" s="32"/>
      <c r="D133" s="32"/>
      <c r="E133" s="27" t="s">
        <v>283</v>
      </c>
      <c r="F133" s="28" t="s">
        <v>284</v>
      </c>
      <c r="G133" s="27" t="s">
        <v>869</v>
      </c>
      <c r="H133" s="27" t="s">
        <v>871</v>
      </c>
      <c r="I133" s="31">
        <v>10</v>
      </c>
      <c r="J133" s="33">
        <f>StockOutData[[#This Row],[Quantity]]*2.5</f>
        <v>25</v>
      </c>
    </row>
    <row r="134" spans="1:10" x14ac:dyDescent="0.25">
      <c r="A134" s="31">
        <v>133</v>
      </c>
      <c r="B134" s="32">
        <f t="shared" si="2"/>
        <v>43490</v>
      </c>
      <c r="C134" s="32"/>
      <c r="D134" s="32"/>
      <c r="E134" s="27" t="s">
        <v>285</v>
      </c>
      <c r="F134" s="28" t="s">
        <v>286</v>
      </c>
      <c r="G134" s="27" t="s">
        <v>869</v>
      </c>
      <c r="H134" s="27" t="s">
        <v>871</v>
      </c>
      <c r="I134" s="31">
        <v>10</v>
      </c>
      <c r="J134" s="33">
        <f>StockOutData[[#This Row],[Quantity]]*2.5</f>
        <v>25</v>
      </c>
    </row>
    <row r="135" spans="1:10" x14ac:dyDescent="0.25">
      <c r="A135" s="31">
        <v>134</v>
      </c>
      <c r="B135" s="32">
        <f t="shared" si="2"/>
        <v>43491</v>
      </c>
      <c r="C135" s="32"/>
      <c r="D135" s="32"/>
      <c r="E135" s="27" t="s">
        <v>287</v>
      </c>
      <c r="F135" s="28" t="s">
        <v>288</v>
      </c>
      <c r="G135" s="27" t="s">
        <v>869</v>
      </c>
      <c r="H135" s="27" t="s">
        <v>871</v>
      </c>
      <c r="I135" s="31">
        <v>10</v>
      </c>
      <c r="J135" s="33">
        <f>StockOutData[[#This Row],[Quantity]]*2.5</f>
        <v>25</v>
      </c>
    </row>
    <row r="136" spans="1:10" x14ac:dyDescent="0.25">
      <c r="A136" s="31">
        <v>135</v>
      </c>
      <c r="B136" s="32">
        <f t="shared" si="2"/>
        <v>43492</v>
      </c>
      <c r="C136" s="32"/>
      <c r="D136" s="32"/>
      <c r="E136" s="27" t="s">
        <v>289</v>
      </c>
      <c r="F136" s="28" t="s">
        <v>290</v>
      </c>
      <c r="G136" s="27" t="s">
        <v>869</v>
      </c>
      <c r="H136" s="27" t="s">
        <v>871</v>
      </c>
      <c r="I136" s="31">
        <v>10</v>
      </c>
      <c r="J136" s="33">
        <f>StockOutData[[#This Row],[Quantity]]*2.5</f>
        <v>25</v>
      </c>
    </row>
    <row r="137" spans="1:10" x14ac:dyDescent="0.25">
      <c r="A137" s="31">
        <v>136</v>
      </c>
      <c r="B137" s="32">
        <f t="shared" si="2"/>
        <v>43493</v>
      </c>
      <c r="C137" s="32"/>
      <c r="D137" s="32"/>
      <c r="E137" s="27" t="s">
        <v>291</v>
      </c>
      <c r="F137" s="28" t="s">
        <v>292</v>
      </c>
      <c r="G137" s="27" t="s">
        <v>869</v>
      </c>
      <c r="H137" s="27" t="s">
        <v>871</v>
      </c>
      <c r="I137" s="31">
        <v>10</v>
      </c>
      <c r="J137" s="33">
        <f>StockOutData[[#This Row],[Quantity]]*2.5</f>
        <v>25</v>
      </c>
    </row>
    <row r="138" spans="1:10" x14ac:dyDescent="0.25">
      <c r="A138" s="31">
        <v>137</v>
      </c>
      <c r="B138" s="32">
        <f t="shared" si="2"/>
        <v>43494</v>
      </c>
      <c r="C138" s="32"/>
      <c r="D138" s="32"/>
      <c r="E138" s="27" t="s">
        <v>293</v>
      </c>
      <c r="F138" s="28" t="s">
        <v>294</v>
      </c>
      <c r="G138" s="27" t="s">
        <v>869</v>
      </c>
      <c r="H138" s="27" t="s">
        <v>871</v>
      </c>
      <c r="I138" s="31">
        <v>10</v>
      </c>
      <c r="J138" s="33">
        <f>StockOutData[[#This Row],[Quantity]]*2.5</f>
        <v>25</v>
      </c>
    </row>
    <row r="139" spans="1:10" x14ac:dyDescent="0.25">
      <c r="A139" s="31">
        <v>138</v>
      </c>
      <c r="B139" s="32">
        <f t="shared" si="2"/>
        <v>43495</v>
      </c>
      <c r="C139" s="32"/>
      <c r="D139" s="32"/>
      <c r="E139" s="27" t="s">
        <v>295</v>
      </c>
      <c r="F139" s="28" t="s">
        <v>296</v>
      </c>
      <c r="G139" s="27" t="s">
        <v>869</v>
      </c>
      <c r="H139" s="27" t="s">
        <v>871</v>
      </c>
      <c r="I139" s="31">
        <v>10</v>
      </c>
      <c r="J139" s="33">
        <f>StockOutData[[#This Row],[Quantity]]*2.5</f>
        <v>25</v>
      </c>
    </row>
    <row r="140" spans="1:10" x14ac:dyDescent="0.25">
      <c r="A140" s="31">
        <v>139</v>
      </c>
      <c r="B140" s="32">
        <f t="shared" si="2"/>
        <v>43496</v>
      </c>
      <c r="C140" s="32"/>
      <c r="D140" s="32"/>
      <c r="E140" s="27" t="s">
        <v>297</v>
      </c>
      <c r="F140" s="28" t="s">
        <v>298</v>
      </c>
      <c r="G140" s="27" t="s">
        <v>869</v>
      </c>
      <c r="H140" s="27" t="s">
        <v>871</v>
      </c>
      <c r="I140" s="31">
        <v>7</v>
      </c>
      <c r="J140" s="33">
        <f>StockOutData[[#This Row],[Quantity]]*2.5</f>
        <v>17.5</v>
      </c>
    </row>
    <row r="141" spans="1:10" x14ac:dyDescent="0.25">
      <c r="A141" s="31">
        <v>140</v>
      </c>
      <c r="B141" s="32">
        <f t="shared" si="2"/>
        <v>43497</v>
      </c>
      <c r="C141" s="32"/>
      <c r="D141" s="32"/>
      <c r="E141" s="27" t="s">
        <v>299</v>
      </c>
      <c r="F141" s="28" t="s">
        <v>300</v>
      </c>
      <c r="G141" s="27" t="s">
        <v>869</v>
      </c>
      <c r="H141" s="27" t="s">
        <v>871</v>
      </c>
      <c r="I141" s="31">
        <v>15</v>
      </c>
      <c r="J141" s="33">
        <f>StockOutData[[#This Row],[Quantity]]*2.5</f>
        <v>37.5</v>
      </c>
    </row>
    <row r="142" spans="1:10" x14ac:dyDescent="0.25">
      <c r="A142" s="31">
        <v>141</v>
      </c>
      <c r="B142" s="32">
        <f t="shared" si="2"/>
        <v>43498</v>
      </c>
      <c r="C142" s="32"/>
      <c r="D142" s="32"/>
      <c r="E142" s="27" t="s">
        <v>301</v>
      </c>
      <c r="F142" s="28" t="s">
        <v>302</v>
      </c>
      <c r="G142" s="27" t="s">
        <v>869</v>
      </c>
      <c r="H142" s="27" t="s">
        <v>871</v>
      </c>
      <c r="I142" s="31">
        <v>18</v>
      </c>
      <c r="J142" s="33">
        <f>StockOutData[[#This Row],[Quantity]]*2.5</f>
        <v>45</v>
      </c>
    </row>
    <row r="143" spans="1:10" x14ac:dyDescent="0.25">
      <c r="A143" s="31">
        <v>142</v>
      </c>
      <c r="B143" s="32">
        <f t="shared" si="2"/>
        <v>43499</v>
      </c>
      <c r="C143" s="32"/>
      <c r="D143" s="32"/>
      <c r="E143" s="27" t="s">
        <v>303</v>
      </c>
      <c r="F143" s="28" t="s">
        <v>304</v>
      </c>
      <c r="G143" s="27" t="s">
        <v>869</v>
      </c>
      <c r="H143" s="27" t="s">
        <v>871</v>
      </c>
      <c r="I143" s="31">
        <v>12</v>
      </c>
      <c r="J143" s="33">
        <f>StockOutData[[#This Row],[Quantity]]*2.5</f>
        <v>30</v>
      </c>
    </row>
    <row r="144" spans="1:10" x14ac:dyDescent="0.25">
      <c r="A144" s="31">
        <v>143</v>
      </c>
      <c r="B144" s="32">
        <f t="shared" si="2"/>
        <v>43500</v>
      </c>
      <c r="C144" s="32"/>
      <c r="D144" s="32"/>
      <c r="E144" s="27" t="s">
        <v>305</v>
      </c>
      <c r="F144" s="28" t="s">
        <v>306</v>
      </c>
      <c r="G144" s="27" t="s">
        <v>869</v>
      </c>
      <c r="H144" s="27" t="s">
        <v>871</v>
      </c>
      <c r="I144" s="31">
        <v>14</v>
      </c>
      <c r="J144" s="33">
        <f>StockOutData[[#This Row],[Quantity]]*2.5</f>
        <v>35</v>
      </c>
    </row>
    <row r="145" spans="1:10" x14ac:dyDescent="0.25">
      <c r="A145" s="31">
        <v>144</v>
      </c>
      <c r="B145" s="32">
        <f t="shared" si="2"/>
        <v>43501</v>
      </c>
      <c r="C145" s="32"/>
      <c r="D145" s="32"/>
      <c r="E145" s="27" t="s">
        <v>307</v>
      </c>
      <c r="F145" s="28" t="s">
        <v>308</v>
      </c>
      <c r="G145" s="27" t="s">
        <v>869</v>
      </c>
      <c r="H145" s="27" t="s">
        <v>871</v>
      </c>
      <c r="I145" s="31">
        <v>13</v>
      </c>
      <c r="J145" s="33">
        <f>StockOutData[[#This Row],[Quantity]]*2.5</f>
        <v>32.5</v>
      </c>
    </row>
    <row r="146" spans="1:10" x14ac:dyDescent="0.25">
      <c r="A146" s="31">
        <v>145</v>
      </c>
      <c r="B146" s="32">
        <f t="shared" si="2"/>
        <v>43502</v>
      </c>
      <c r="C146" s="32"/>
      <c r="D146" s="32"/>
      <c r="E146" s="27" t="s">
        <v>309</v>
      </c>
      <c r="F146" s="28" t="s">
        <v>310</v>
      </c>
      <c r="G146" s="27" t="s">
        <v>869</v>
      </c>
      <c r="H146" s="27" t="s">
        <v>871</v>
      </c>
      <c r="I146" s="31">
        <v>5</v>
      </c>
      <c r="J146" s="33">
        <f>StockOutData[[#This Row],[Quantity]]*2.5</f>
        <v>12.5</v>
      </c>
    </row>
    <row r="147" spans="1:10" x14ac:dyDescent="0.25">
      <c r="A147" s="31">
        <v>146</v>
      </c>
      <c r="B147" s="32">
        <f t="shared" si="2"/>
        <v>43503</v>
      </c>
      <c r="C147" s="32"/>
      <c r="D147" s="32"/>
      <c r="E147" s="27" t="s">
        <v>311</v>
      </c>
      <c r="F147" s="28" t="s">
        <v>312</v>
      </c>
      <c r="G147" s="27" t="s">
        <v>869</v>
      </c>
      <c r="H147" s="27" t="s">
        <v>871</v>
      </c>
      <c r="I147" s="31">
        <v>7</v>
      </c>
      <c r="J147" s="33">
        <f>StockOutData[[#This Row],[Quantity]]*2.5</f>
        <v>17.5</v>
      </c>
    </row>
    <row r="148" spans="1:10" x14ac:dyDescent="0.25">
      <c r="A148" s="31">
        <v>147</v>
      </c>
      <c r="B148" s="32">
        <f t="shared" si="2"/>
        <v>43504</v>
      </c>
      <c r="C148" s="32"/>
      <c r="D148" s="32"/>
      <c r="E148" s="27" t="s">
        <v>313</v>
      </c>
      <c r="F148" s="28" t="s">
        <v>314</v>
      </c>
      <c r="G148" s="27" t="s">
        <v>869</v>
      </c>
      <c r="H148" s="27" t="s">
        <v>871</v>
      </c>
      <c r="I148" s="31">
        <v>15</v>
      </c>
      <c r="J148" s="33">
        <f>StockOutData[[#This Row],[Quantity]]*2.5</f>
        <v>37.5</v>
      </c>
    </row>
    <row r="149" spans="1:10" x14ac:dyDescent="0.25">
      <c r="A149" s="31">
        <v>148</v>
      </c>
      <c r="B149" s="32">
        <f t="shared" si="2"/>
        <v>43505</v>
      </c>
      <c r="C149" s="32"/>
      <c r="D149" s="32"/>
      <c r="E149" s="27" t="s">
        <v>315</v>
      </c>
      <c r="F149" s="28" t="s">
        <v>316</v>
      </c>
      <c r="G149" s="27" t="s">
        <v>869</v>
      </c>
      <c r="H149" s="27" t="s">
        <v>871</v>
      </c>
      <c r="I149" s="31">
        <v>18</v>
      </c>
      <c r="J149" s="33">
        <f>StockOutData[[#This Row],[Quantity]]*2.5</f>
        <v>45</v>
      </c>
    </row>
    <row r="150" spans="1:10" x14ac:dyDescent="0.25">
      <c r="A150" s="31">
        <v>149</v>
      </c>
      <c r="B150" s="32">
        <f t="shared" si="2"/>
        <v>43506</v>
      </c>
      <c r="C150" s="32"/>
      <c r="D150" s="32"/>
      <c r="E150" s="27" t="s">
        <v>317</v>
      </c>
      <c r="F150" s="28" t="s">
        <v>318</v>
      </c>
      <c r="G150" s="27" t="s">
        <v>869</v>
      </c>
      <c r="H150" s="27" t="s">
        <v>871</v>
      </c>
      <c r="I150" s="31">
        <v>12</v>
      </c>
      <c r="J150" s="33">
        <f>StockOutData[[#This Row],[Quantity]]*2.5</f>
        <v>30</v>
      </c>
    </row>
    <row r="151" spans="1:10" x14ac:dyDescent="0.25">
      <c r="A151" s="31">
        <v>150</v>
      </c>
      <c r="B151" s="32">
        <f t="shared" si="2"/>
        <v>43507</v>
      </c>
      <c r="C151" s="32"/>
      <c r="D151" s="32"/>
      <c r="E151" s="27" t="s">
        <v>319</v>
      </c>
      <c r="F151" s="28" t="s">
        <v>320</v>
      </c>
      <c r="G151" s="27" t="s">
        <v>869</v>
      </c>
      <c r="H151" s="27" t="s">
        <v>871</v>
      </c>
      <c r="I151" s="31">
        <v>14</v>
      </c>
      <c r="J151" s="33">
        <f>StockOutData[[#This Row],[Quantity]]*2.5</f>
        <v>35</v>
      </c>
    </row>
    <row r="152" spans="1:10" x14ac:dyDescent="0.25">
      <c r="A152" s="31">
        <v>151</v>
      </c>
      <c r="B152" s="32">
        <f t="shared" si="2"/>
        <v>43508</v>
      </c>
      <c r="C152" s="32"/>
      <c r="D152" s="32"/>
      <c r="E152" s="27" t="s">
        <v>321</v>
      </c>
      <c r="F152" s="28" t="s">
        <v>322</v>
      </c>
      <c r="G152" s="27" t="s">
        <v>869</v>
      </c>
      <c r="H152" s="27" t="s">
        <v>871</v>
      </c>
      <c r="I152" s="31">
        <v>13</v>
      </c>
      <c r="J152" s="33">
        <f>StockOutData[[#This Row],[Quantity]]*2.5</f>
        <v>32.5</v>
      </c>
    </row>
    <row r="153" spans="1:10" x14ac:dyDescent="0.25">
      <c r="A153" s="31">
        <v>152</v>
      </c>
      <c r="B153" s="32">
        <f t="shared" si="2"/>
        <v>43509</v>
      </c>
      <c r="C153" s="32"/>
      <c r="D153" s="32"/>
      <c r="E153" s="27" t="s">
        <v>323</v>
      </c>
      <c r="F153" s="28" t="s">
        <v>324</v>
      </c>
      <c r="G153" s="27" t="s">
        <v>869</v>
      </c>
      <c r="H153" s="27" t="s">
        <v>871</v>
      </c>
      <c r="I153" s="31">
        <v>5</v>
      </c>
      <c r="J153" s="33">
        <f>StockOutData[[#This Row],[Quantity]]*2.5</f>
        <v>12.5</v>
      </c>
    </row>
    <row r="154" spans="1:10" x14ac:dyDescent="0.25">
      <c r="A154" s="31">
        <v>153</v>
      </c>
      <c r="B154" s="32">
        <f t="shared" si="2"/>
        <v>43510</v>
      </c>
      <c r="C154" s="32"/>
      <c r="D154" s="32"/>
      <c r="E154" s="27" t="s">
        <v>325</v>
      </c>
      <c r="F154" s="28" t="s">
        <v>326</v>
      </c>
      <c r="G154" s="27" t="s">
        <v>869</v>
      </c>
      <c r="H154" s="27" t="s">
        <v>871</v>
      </c>
      <c r="I154" s="31">
        <v>7</v>
      </c>
      <c r="J154" s="33">
        <f>StockOutData[[#This Row],[Quantity]]*2.5</f>
        <v>17.5</v>
      </c>
    </row>
    <row r="155" spans="1:10" x14ac:dyDescent="0.25">
      <c r="A155" s="31">
        <v>154</v>
      </c>
      <c r="B155" s="32">
        <f t="shared" si="2"/>
        <v>43511</v>
      </c>
      <c r="C155" s="32"/>
      <c r="D155" s="32"/>
      <c r="E155" s="27" t="s">
        <v>327</v>
      </c>
      <c r="F155" s="28" t="s">
        <v>328</v>
      </c>
      <c r="G155" s="27" t="s">
        <v>869</v>
      </c>
      <c r="H155" s="27" t="s">
        <v>871</v>
      </c>
      <c r="I155" s="31">
        <v>15</v>
      </c>
      <c r="J155" s="33">
        <f>StockOutData[[#This Row],[Quantity]]*2.5</f>
        <v>37.5</v>
      </c>
    </row>
    <row r="156" spans="1:10" x14ac:dyDescent="0.25">
      <c r="A156" s="31">
        <v>155</v>
      </c>
      <c r="B156" s="32">
        <f t="shared" si="2"/>
        <v>43512</v>
      </c>
      <c r="C156" s="32"/>
      <c r="D156" s="32"/>
      <c r="E156" s="27" t="s">
        <v>329</v>
      </c>
      <c r="F156" s="28" t="s">
        <v>330</v>
      </c>
      <c r="G156" s="27" t="s">
        <v>869</v>
      </c>
      <c r="H156" s="27" t="s">
        <v>871</v>
      </c>
      <c r="I156" s="31">
        <v>18</v>
      </c>
      <c r="J156" s="33">
        <f>StockOutData[[#This Row],[Quantity]]*2.5</f>
        <v>45</v>
      </c>
    </row>
    <row r="157" spans="1:10" x14ac:dyDescent="0.25">
      <c r="A157" s="31">
        <v>156</v>
      </c>
      <c r="B157" s="32">
        <f t="shared" si="2"/>
        <v>43513</v>
      </c>
      <c r="C157" s="32"/>
      <c r="D157" s="32"/>
      <c r="E157" s="27" t="s">
        <v>331</v>
      </c>
      <c r="F157" s="28" t="s">
        <v>332</v>
      </c>
      <c r="G157" s="27" t="s">
        <v>869</v>
      </c>
      <c r="H157" s="27" t="s">
        <v>871</v>
      </c>
      <c r="I157" s="31">
        <v>12</v>
      </c>
      <c r="J157" s="33">
        <f>StockOutData[[#This Row],[Quantity]]*2.5</f>
        <v>30</v>
      </c>
    </row>
    <row r="158" spans="1:10" x14ac:dyDescent="0.25">
      <c r="A158" s="31">
        <v>157</v>
      </c>
      <c r="B158" s="32">
        <f t="shared" si="2"/>
        <v>43514</v>
      </c>
      <c r="C158" s="32"/>
      <c r="D158" s="32"/>
      <c r="E158" s="27" t="s">
        <v>333</v>
      </c>
      <c r="F158" s="28" t="s">
        <v>334</v>
      </c>
      <c r="G158" s="27" t="s">
        <v>869</v>
      </c>
      <c r="H158" s="27" t="s">
        <v>871</v>
      </c>
      <c r="I158" s="31">
        <v>10</v>
      </c>
      <c r="J158" s="33">
        <f>StockOutData[[#This Row],[Quantity]]*2.5</f>
        <v>25</v>
      </c>
    </row>
    <row r="159" spans="1:10" x14ac:dyDescent="0.25">
      <c r="A159" s="31">
        <v>158</v>
      </c>
      <c r="B159" s="32">
        <f t="shared" si="2"/>
        <v>43515</v>
      </c>
      <c r="C159" s="32"/>
      <c r="D159" s="32"/>
      <c r="E159" s="27" t="s">
        <v>335</v>
      </c>
      <c r="F159" s="28" t="s">
        <v>336</v>
      </c>
      <c r="G159" s="27" t="s">
        <v>869</v>
      </c>
      <c r="H159" s="27" t="s">
        <v>871</v>
      </c>
      <c r="I159" s="31">
        <v>10</v>
      </c>
      <c r="J159" s="33">
        <f>StockOutData[[#This Row],[Quantity]]*2.5</f>
        <v>25</v>
      </c>
    </row>
    <row r="160" spans="1:10" x14ac:dyDescent="0.25">
      <c r="A160" s="31">
        <v>159</v>
      </c>
      <c r="B160" s="32">
        <f t="shared" si="2"/>
        <v>43516</v>
      </c>
      <c r="C160" s="32"/>
      <c r="D160" s="32"/>
      <c r="E160" s="27" t="s">
        <v>337</v>
      </c>
      <c r="F160" s="28" t="s">
        <v>338</v>
      </c>
      <c r="G160" s="27" t="s">
        <v>869</v>
      </c>
      <c r="H160" s="27" t="s">
        <v>871</v>
      </c>
      <c r="I160" s="31">
        <v>10</v>
      </c>
      <c r="J160" s="33">
        <f>StockOutData[[#This Row],[Quantity]]*2.5</f>
        <v>25</v>
      </c>
    </row>
    <row r="161" spans="1:10" x14ac:dyDescent="0.25">
      <c r="A161" s="31">
        <v>160</v>
      </c>
      <c r="B161" s="32">
        <f t="shared" si="2"/>
        <v>43517</v>
      </c>
      <c r="C161" s="32"/>
      <c r="D161" s="32"/>
      <c r="E161" s="27" t="s">
        <v>339</v>
      </c>
      <c r="F161" s="28" t="s">
        <v>340</v>
      </c>
      <c r="G161" s="27" t="s">
        <v>869</v>
      </c>
      <c r="H161" s="27" t="s">
        <v>871</v>
      </c>
      <c r="I161" s="31">
        <v>10</v>
      </c>
      <c r="J161" s="33">
        <f>StockOutData[[#This Row],[Quantity]]*2.5</f>
        <v>25</v>
      </c>
    </row>
    <row r="162" spans="1:10" x14ac:dyDescent="0.25">
      <c r="A162" s="31">
        <v>161</v>
      </c>
      <c r="B162" s="32">
        <f t="shared" si="2"/>
        <v>43518</v>
      </c>
      <c r="C162" s="32"/>
      <c r="D162" s="32"/>
      <c r="E162" s="27" t="s">
        <v>341</v>
      </c>
      <c r="F162" s="28" t="s">
        <v>342</v>
      </c>
      <c r="G162" s="27" t="s">
        <v>869</v>
      </c>
      <c r="H162" s="27" t="s">
        <v>871</v>
      </c>
      <c r="I162" s="31">
        <v>10</v>
      </c>
      <c r="J162" s="33">
        <f>StockOutData[[#This Row],[Quantity]]*2.5</f>
        <v>25</v>
      </c>
    </row>
    <row r="163" spans="1:10" x14ac:dyDescent="0.25">
      <c r="A163" s="31">
        <v>162</v>
      </c>
      <c r="B163" s="32">
        <f t="shared" si="2"/>
        <v>43519</v>
      </c>
      <c r="C163" s="32"/>
      <c r="D163" s="32"/>
      <c r="E163" s="27" t="s">
        <v>343</v>
      </c>
      <c r="F163" s="28" t="s">
        <v>344</v>
      </c>
      <c r="G163" s="27" t="s">
        <v>869</v>
      </c>
      <c r="H163" s="27" t="s">
        <v>871</v>
      </c>
      <c r="I163" s="31">
        <v>10</v>
      </c>
      <c r="J163" s="33">
        <f>StockOutData[[#This Row],[Quantity]]*2.5</f>
        <v>25</v>
      </c>
    </row>
    <row r="164" spans="1:10" x14ac:dyDescent="0.25">
      <c r="A164" s="31">
        <v>163</v>
      </c>
      <c r="B164" s="32">
        <f t="shared" si="2"/>
        <v>43520</v>
      </c>
      <c r="C164" s="32"/>
      <c r="D164" s="32"/>
      <c r="E164" s="27" t="s">
        <v>345</v>
      </c>
      <c r="F164" s="28" t="s">
        <v>346</v>
      </c>
      <c r="G164" s="27" t="s">
        <v>869</v>
      </c>
      <c r="H164" s="27" t="s">
        <v>871</v>
      </c>
      <c r="I164" s="31">
        <v>7</v>
      </c>
      <c r="J164" s="33">
        <f>StockOutData[[#This Row],[Quantity]]*2.5</f>
        <v>17.5</v>
      </c>
    </row>
    <row r="165" spans="1:10" x14ac:dyDescent="0.25">
      <c r="A165" s="31">
        <v>164</v>
      </c>
      <c r="B165" s="32">
        <f t="shared" si="2"/>
        <v>43521</v>
      </c>
      <c r="C165" s="32"/>
      <c r="D165" s="32"/>
      <c r="E165" s="27" t="s">
        <v>347</v>
      </c>
      <c r="F165" s="28" t="s">
        <v>348</v>
      </c>
      <c r="G165" s="27" t="s">
        <v>869</v>
      </c>
      <c r="H165" s="27" t="s">
        <v>871</v>
      </c>
      <c r="I165" s="31">
        <v>15</v>
      </c>
      <c r="J165" s="33">
        <f>StockOutData[[#This Row],[Quantity]]*2.5</f>
        <v>37.5</v>
      </c>
    </row>
    <row r="166" spans="1:10" x14ac:dyDescent="0.25">
      <c r="A166" s="31">
        <v>165</v>
      </c>
      <c r="B166" s="32">
        <f t="shared" si="2"/>
        <v>43522</v>
      </c>
      <c r="C166" s="32"/>
      <c r="D166" s="32"/>
      <c r="E166" s="27" t="s">
        <v>349</v>
      </c>
      <c r="F166" s="28" t="s">
        <v>350</v>
      </c>
      <c r="G166" s="27" t="s">
        <v>869</v>
      </c>
      <c r="H166" s="27" t="s">
        <v>871</v>
      </c>
      <c r="I166" s="31">
        <v>18</v>
      </c>
      <c r="J166" s="33">
        <f>StockOutData[[#This Row],[Quantity]]*2.5</f>
        <v>45</v>
      </c>
    </row>
    <row r="167" spans="1:10" x14ac:dyDescent="0.25">
      <c r="A167" s="31">
        <v>166</v>
      </c>
      <c r="B167" s="32">
        <f t="shared" si="2"/>
        <v>43523</v>
      </c>
      <c r="C167" s="32"/>
      <c r="D167" s="32"/>
      <c r="E167" s="27" t="s">
        <v>351</v>
      </c>
      <c r="F167" s="28" t="s">
        <v>352</v>
      </c>
      <c r="G167" s="27" t="s">
        <v>869</v>
      </c>
      <c r="H167" s="27" t="s">
        <v>871</v>
      </c>
      <c r="I167" s="31">
        <v>12</v>
      </c>
      <c r="J167" s="33">
        <f>StockOutData[[#This Row],[Quantity]]*2.5</f>
        <v>30</v>
      </c>
    </row>
    <row r="168" spans="1:10" x14ac:dyDescent="0.25">
      <c r="A168" s="31">
        <v>167</v>
      </c>
      <c r="B168" s="32">
        <f t="shared" si="2"/>
        <v>43524</v>
      </c>
      <c r="C168" s="32"/>
      <c r="D168" s="32"/>
      <c r="E168" s="27" t="s">
        <v>353</v>
      </c>
      <c r="F168" s="28" t="s">
        <v>354</v>
      </c>
      <c r="G168" s="27" t="s">
        <v>869</v>
      </c>
      <c r="H168" s="27" t="s">
        <v>871</v>
      </c>
      <c r="I168" s="31">
        <v>14</v>
      </c>
      <c r="J168" s="33">
        <f>StockOutData[[#This Row],[Quantity]]*2.5</f>
        <v>35</v>
      </c>
    </row>
    <row r="169" spans="1:10" x14ac:dyDescent="0.25">
      <c r="A169" s="31">
        <v>168</v>
      </c>
      <c r="B169" s="32">
        <f t="shared" si="2"/>
        <v>43525</v>
      </c>
      <c r="C169" s="32"/>
      <c r="D169" s="32"/>
      <c r="E169" s="27" t="s">
        <v>355</v>
      </c>
      <c r="F169" s="28" t="s">
        <v>356</v>
      </c>
      <c r="G169" s="27" t="s">
        <v>869</v>
      </c>
      <c r="H169" s="27" t="s">
        <v>871</v>
      </c>
      <c r="I169" s="31">
        <v>13</v>
      </c>
      <c r="J169" s="33">
        <f>StockOutData[[#This Row],[Quantity]]*2.5</f>
        <v>32.5</v>
      </c>
    </row>
    <row r="170" spans="1:10" x14ac:dyDescent="0.25">
      <c r="A170" s="31">
        <v>169</v>
      </c>
      <c r="B170" s="32">
        <f t="shared" si="2"/>
        <v>43526</v>
      </c>
      <c r="C170" s="32"/>
      <c r="D170" s="32"/>
      <c r="E170" s="27" t="s">
        <v>357</v>
      </c>
      <c r="F170" s="28" t="s">
        <v>358</v>
      </c>
      <c r="G170" s="27" t="s">
        <v>869</v>
      </c>
      <c r="H170" s="27" t="s">
        <v>871</v>
      </c>
      <c r="I170" s="31">
        <v>5</v>
      </c>
      <c r="J170" s="33">
        <f>StockOutData[[#This Row],[Quantity]]*2.5</f>
        <v>12.5</v>
      </c>
    </row>
    <row r="171" spans="1:10" x14ac:dyDescent="0.25">
      <c r="A171" s="31">
        <v>170</v>
      </c>
      <c r="B171" s="32">
        <f t="shared" si="2"/>
        <v>43527</v>
      </c>
      <c r="C171" s="32"/>
      <c r="D171" s="32"/>
      <c r="E171" s="27" t="s">
        <v>359</v>
      </c>
      <c r="F171" s="28" t="s">
        <v>360</v>
      </c>
      <c r="G171" s="27" t="s">
        <v>869</v>
      </c>
      <c r="H171" s="27" t="s">
        <v>871</v>
      </c>
      <c r="I171" s="31">
        <v>7</v>
      </c>
      <c r="J171" s="33">
        <f>StockOutData[[#This Row],[Quantity]]*2.5</f>
        <v>17.5</v>
      </c>
    </row>
    <row r="172" spans="1:10" x14ac:dyDescent="0.25">
      <c r="A172" s="31">
        <v>171</v>
      </c>
      <c r="B172" s="32">
        <f t="shared" si="2"/>
        <v>43528</v>
      </c>
      <c r="C172" s="32"/>
      <c r="D172" s="32"/>
      <c r="E172" s="27" t="s">
        <v>361</v>
      </c>
      <c r="F172" s="28" t="s">
        <v>362</v>
      </c>
      <c r="G172" s="27" t="s">
        <v>869</v>
      </c>
      <c r="H172" s="27" t="s">
        <v>871</v>
      </c>
      <c r="I172" s="31">
        <v>15</v>
      </c>
      <c r="J172" s="33">
        <f>StockOutData[[#This Row],[Quantity]]*2.5</f>
        <v>37.5</v>
      </c>
    </row>
    <row r="173" spans="1:10" x14ac:dyDescent="0.25">
      <c r="A173" s="31">
        <v>172</v>
      </c>
      <c r="B173" s="32">
        <f t="shared" si="2"/>
        <v>43529</v>
      </c>
      <c r="C173" s="32"/>
      <c r="D173" s="32"/>
      <c r="E173" s="27" t="s">
        <v>363</v>
      </c>
      <c r="F173" s="28" t="s">
        <v>364</v>
      </c>
      <c r="G173" s="27" t="s">
        <v>869</v>
      </c>
      <c r="H173" s="27" t="s">
        <v>871</v>
      </c>
      <c r="I173" s="31">
        <v>18</v>
      </c>
      <c r="J173" s="33">
        <f>StockOutData[[#This Row],[Quantity]]*2.5</f>
        <v>45</v>
      </c>
    </row>
    <row r="174" spans="1:10" x14ac:dyDescent="0.25">
      <c r="A174" s="31">
        <v>173</v>
      </c>
      <c r="B174" s="32">
        <f t="shared" si="2"/>
        <v>43530</v>
      </c>
      <c r="C174" s="32"/>
      <c r="D174" s="32"/>
      <c r="E174" s="27" t="s">
        <v>365</v>
      </c>
      <c r="F174" s="28" t="s">
        <v>366</v>
      </c>
      <c r="G174" s="27" t="s">
        <v>869</v>
      </c>
      <c r="H174" s="27" t="s">
        <v>871</v>
      </c>
      <c r="I174" s="31">
        <v>12</v>
      </c>
      <c r="J174" s="33">
        <f>StockOutData[[#This Row],[Quantity]]*2.5</f>
        <v>30</v>
      </c>
    </row>
    <row r="175" spans="1:10" x14ac:dyDescent="0.25">
      <c r="A175" s="31">
        <v>174</v>
      </c>
      <c r="B175" s="32">
        <f t="shared" si="2"/>
        <v>43531</v>
      </c>
      <c r="C175" s="32"/>
      <c r="D175" s="32"/>
      <c r="E175" s="27" t="s">
        <v>367</v>
      </c>
      <c r="F175" s="28" t="s">
        <v>368</v>
      </c>
      <c r="G175" s="27" t="s">
        <v>869</v>
      </c>
      <c r="H175" s="27" t="s">
        <v>871</v>
      </c>
      <c r="I175" s="31">
        <v>14</v>
      </c>
      <c r="J175" s="33">
        <f>StockOutData[[#This Row],[Quantity]]*2.5</f>
        <v>35</v>
      </c>
    </row>
    <row r="176" spans="1:10" x14ac:dyDescent="0.25">
      <c r="A176" s="31">
        <v>175</v>
      </c>
      <c r="B176" s="32">
        <f t="shared" si="2"/>
        <v>43532</v>
      </c>
      <c r="C176" s="32"/>
      <c r="D176" s="32"/>
      <c r="E176" s="27" t="s">
        <v>369</v>
      </c>
      <c r="F176" s="28" t="s">
        <v>370</v>
      </c>
      <c r="G176" s="27" t="s">
        <v>869</v>
      </c>
      <c r="H176" s="27" t="s">
        <v>871</v>
      </c>
      <c r="I176" s="31">
        <v>13</v>
      </c>
      <c r="J176" s="33">
        <f>StockOutData[[#This Row],[Quantity]]*2.5</f>
        <v>32.5</v>
      </c>
    </row>
    <row r="177" spans="1:10" x14ac:dyDescent="0.25">
      <c r="A177" s="31">
        <v>176</v>
      </c>
      <c r="B177" s="32">
        <f t="shared" si="2"/>
        <v>43533</v>
      </c>
      <c r="C177" s="32"/>
      <c r="D177" s="32"/>
      <c r="E177" s="27" t="s">
        <v>371</v>
      </c>
      <c r="F177" s="28" t="s">
        <v>372</v>
      </c>
      <c r="G177" s="27" t="s">
        <v>869</v>
      </c>
      <c r="H177" s="27" t="s">
        <v>871</v>
      </c>
      <c r="I177" s="31">
        <v>5</v>
      </c>
      <c r="J177" s="33">
        <f>StockOutData[[#This Row],[Quantity]]*2.5</f>
        <v>12.5</v>
      </c>
    </row>
    <row r="178" spans="1:10" x14ac:dyDescent="0.25">
      <c r="A178" s="31">
        <v>177</v>
      </c>
      <c r="B178" s="32">
        <f t="shared" si="2"/>
        <v>43534</v>
      </c>
      <c r="C178" s="32"/>
      <c r="D178" s="32"/>
      <c r="E178" s="27" t="s">
        <v>373</v>
      </c>
      <c r="F178" s="28" t="s">
        <v>374</v>
      </c>
      <c r="G178" s="27" t="s">
        <v>869</v>
      </c>
      <c r="H178" s="27" t="s">
        <v>871</v>
      </c>
      <c r="I178" s="31">
        <v>7</v>
      </c>
      <c r="J178" s="33">
        <f>StockOutData[[#This Row],[Quantity]]*2.5</f>
        <v>17.5</v>
      </c>
    </row>
    <row r="179" spans="1:10" x14ac:dyDescent="0.25">
      <c r="A179" s="31">
        <v>178</v>
      </c>
      <c r="B179" s="32">
        <f t="shared" si="2"/>
        <v>43535</v>
      </c>
      <c r="C179" s="32"/>
      <c r="D179" s="32"/>
      <c r="E179" s="27" t="s">
        <v>375</v>
      </c>
      <c r="F179" s="28" t="s">
        <v>376</v>
      </c>
      <c r="G179" s="27" t="s">
        <v>869</v>
      </c>
      <c r="H179" s="27" t="s">
        <v>871</v>
      </c>
      <c r="I179" s="31">
        <v>15</v>
      </c>
      <c r="J179" s="33">
        <f>StockOutData[[#This Row],[Quantity]]*2.5</f>
        <v>37.5</v>
      </c>
    </row>
    <row r="180" spans="1:10" x14ac:dyDescent="0.25">
      <c r="A180" s="31">
        <v>179</v>
      </c>
      <c r="B180" s="32">
        <f t="shared" si="2"/>
        <v>43536</v>
      </c>
      <c r="C180" s="32"/>
      <c r="D180" s="32"/>
      <c r="E180" s="27" t="s">
        <v>377</v>
      </c>
      <c r="F180" s="28" t="s">
        <v>378</v>
      </c>
      <c r="G180" s="27" t="s">
        <v>869</v>
      </c>
      <c r="H180" s="27" t="s">
        <v>871</v>
      </c>
      <c r="I180" s="31">
        <v>18</v>
      </c>
      <c r="J180" s="33">
        <f>StockOutData[[#This Row],[Quantity]]*2.5</f>
        <v>45</v>
      </c>
    </row>
    <row r="181" spans="1:10" x14ac:dyDescent="0.25">
      <c r="A181" s="31">
        <v>180</v>
      </c>
      <c r="B181" s="32">
        <f t="shared" si="2"/>
        <v>43537</v>
      </c>
      <c r="C181" s="32"/>
      <c r="D181" s="32"/>
      <c r="E181" s="27" t="s">
        <v>379</v>
      </c>
      <c r="F181" s="28" t="s">
        <v>380</v>
      </c>
      <c r="G181" s="27" t="s">
        <v>869</v>
      </c>
      <c r="H181" s="27" t="s">
        <v>871</v>
      </c>
      <c r="I181" s="31">
        <v>12</v>
      </c>
      <c r="J181" s="33">
        <f>StockOutData[[#This Row],[Quantity]]*2.5</f>
        <v>30</v>
      </c>
    </row>
    <row r="182" spans="1:10" x14ac:dyDescent="0.25">
      <c r="A182" s="31">
        <v>181</v>
      </c>
      <c r="B182" s="32">
        <f t="shared" si="2"/>
        <v>43538</v>
      </c>
      <c r="C182" s="32"/>
      <c r="D182" s="32"/>
      <c r="E182" s="27" t="s">
        <v>381</v>
      </c>
      <c r="F182" s="28" t="s">
        <v>382</v>
      </c>
      <c r="G182" s="27" t="s">
        <v>869</v>
      </c>
      <c r="H182" s="27" t="s">
        <v>871</v>
      </c>
      <c r="I182" s="31">
        <v>10</v>
      </c>
      <c r="J182" s="33">
        <f>StockOutData[[#This Row],[Quantity]]*2.5</f>
        <v>25</v>
      </c>
    </row>
    <row r="183" spans="1:10" x14ac:dyDescent="0.25">
      <c r="A183" s="31">
        <v>182</v>
      </c>
      <c r="B183" s="32">
        <f t="shared" si="2"/>
        <v>43539</v>
      </c>
      <c r="C183" s="32"/>
      <c r="D183" s="32"/>
      <c r="E183" s="27" t="s">
        <v>383</v>
      </c>
      <c r="F183" s="28" t="s">
        <v>384</v>
      </c>
      <c r="G183" s="27" t="s">
        <v>869</v>
      </c>
      <c r="H183" s="27" t="s">
        <v>871</v>
      </c>
      <c r="I183" s="31">
        <v>10</v>
      </c>
      <c r="J183" s="33">
        <f>StockOutData[[#This Row],[Quantity]]*2.5</f>
        <v>25</v>
      </c>
    </row>
    <row r="184" spans="1:10" x14ac:dyDescent="0.25">
      <c r="A184" s="31">
        <v>183</v>
      </c>
      <c r="B184" s="32">
        <f t="shared" si="2"/>
        <v>43540</v>
      </c>
      <c r="C184" s="32"/>
      <c r="D184" s="32"/>
      <c r="E184" s="27" t="s">
        <v>385</v>
      </c>
      <c r="F184" s="28" t="s">
        <v>386</v>
      </c>
      <c r="G184" s="27" t="s">
        <v>869</v>
      </c>
      <c r="H184" s="27" t="s">
        <v>871</v>
      </c>
      <c r="I184" s="31">
        <v>10</v>
      </c>
      <c r="J184" s="33">
        <f>StockOutData[[#This Row],[Quantity]]*2.5</f>
        <v>25</v>
      </c>
    </row>
    <row r="185" spans="1:10" x14ac:dyDescent="0.25">
      <c r="A185" s="31">
        <v>184</v>
      </c>
      <c r="B185" s="32">
        <f t="shared" si="2"/>
        <v>43541</v>
      </c>
      <c r="C185" s="32"/>
      <c r="D185" s="32"/>
      <c r="E185" s="27" t="s">
        <v>387</v>
      </c>
      <c r="F185" s="28" t="s">
        <v>388</v>
      </c>
      <c r="G185" s="27" t="s">
        <v>869</v>
      </c>
      <c r="H185" s="27" t="s">
        <v>871</v>
      </c>
      <c r="I185" s="31">
        <v>10</v>
      </c>
      <c r="J185" s="33">
        <f>StockOutData[[#This Row],[Quantity]]*2.5</f>
        <v>25</v>
      </c>
    </row>
    <row r="186" spans="1:10" x14ac:dyDescent="0.25">
      <c r="A186" s="31">
        <v>185</v>
      </c>
      <c r="B186" s="32">
        <f t="shared" si="2"/>
        <v>43542</v>
      </c>
      <c r="C186" s="32"/>
      <c r="D186" s="32"/>
      <c r="E186" s="27" t="s">
        <v>389</v>
      </c>
      <c r="F186" s="28" t="s">
        <v>390</v>
      </c>
      <c r="G186" s="27" t="s">
        <v>869</v>
      </c>
      <c r="H186" s="27" t="s">
        <v>871</v>
      </c>
      <c r="I186" s="31">
        <v>10</v>
      </c>
      <c r="J186" s="33">
        <f>StockOutData[[#This Row],[Quantity]]*2.5</f>
        <v>25</v>
      </c>
    </row>
    <row r="187" spans="1:10" x14ac:dyDescent="0.25">
      <c r="A187" s="31">
        <v>186</v>
      </c>
      <c r="B187" s="32">
        <f t="shared" si="2"/>
        <v>43543</v>
      </c>
      <c r="C187" s="32"/>
      <c r="D187" s="32"/>
      <c r="E187" s="27" t="s">
        <v>391</v>
      </c>
      <c r="F187" s="28" t="s">
        <v>392</v>
      </c>
      <c r="G187" s="27" t="s">
        <v>869</v>
      </c>
      <c r="H187" s="27" t="s">
        <v>871</v>
      </c>
      <c r="I187" s="31">
        <v>7</v>
      </c>
      <c r="J187" s="33">
        <f>StockOutData[[#This Row],[Quantity]]*2.5</f>
        <v>17.5</v>
      </c>
    </row>
    <row r="188" spans="1:10" x14ac:dyDescent="0.25">
      <c r="A188" s="31">
        <v>187</v>
      </c>
      <c r="B188" s="32">
        <f t="shared" si="2"/>
        <v>43544</v>
      </c>
      <c r="C188" s="32"/>
      <c r="D188" s="32"/>
      <c r="E188" s="27" t="s">
        <v>393</v>
      </c>
      <c r="F188" s="28" t="s">
        <v>394</v>
      </c>
      <c r="G188" s="27" t="s">
        <v>869</v>
      </c>
      <c r="H188" s="27" t="s">
        <v>871</v>
      </c>
      <c r="I188" s="31">
        <v>15</v>
      </c>
      <c r="J188" s="33">
        <f>StockOutData[[#This Row],[Quantity]]*2.5</f>
        <v>37.5</v>
      </c>
    </row>
    <row r="189" spans="1:10" x14ac:dyDescent="0.25">
      <c r="A189" s="31">
        <v>188</v>
      </c>
      <c r="B189" s="32">
        <f t="shared" si="2"/>
        <v>43545</v>
      </c>
      <c r="C189" s="32"/>
      <c r="D189" s="32"/>
      <c r="E189" s="27" t="s">
        <v>395</v>
      </c>
      <c r="F189" s="28" t="s">
        <v>396</v>
      </c>
      <c r="G189" s="27" t="s">
        <v>869</v>
      </c>
      <c r="H189" s="27" t="s">
        <v>871</v>
      </c>
      <c r="I189" s="31">
        <v>18</v>
      </c>
      <c r="J189" s="33">
        <f>StockOutData[[#This Row],[Quantity]]*2.5</f>
        <v>45</v>
      </c>
    </row>
    <row r="190" spans="1:10" x14ac:dyDescent="0.25">
      <c r="A190" s="31">
        <v>189</v>
      </c>
      <c r="B190" s="32">
        <f t="shared" si="2"/>
        <v>43546</v>
      </c>
      <c r="C190" s="32"/>
      <c r="D190" s="32"/>
      <c r="E190" s="27" t="s">
        <v>397</v>
      </c>
      <c r="F190" s="28" t="s">
        <v>398</v>
      </c>
      <c r="G190" s="27" t="s">
        <v>869</v>
      </c>
      <c r="H190" s="27" t="s">
        <v>871</v>
      </c>
      <c r="I190" s="31">
        <v>12</v>
      </c>
      <c r="J190" s="33">
        <f>StockOutData[[#This Row],[Quantity]]*2.5</f>
        <v>30</v>
      </c>
    </row>
    <row r="191" spans="1:10" x14ac:dyDescent="0.25">
      <c r="A191" s="31">
        <v>190</v>
      </c>
      <c r="B191" s="32">
        <f t="shared" si="2"/>
        <v>43547</v>
      </c>
      <c r="C191" s="32"/>
      <c r="D191" s="32"/>
      <c r="E191" s="27" t="s">
        <v>399</v>
      </c>
      <c r="F191" s="28" t="s">
        <v>400</v>
      </c>
      <c r="G191" s="27" t="s">
        <v>869</v>
      </c>
      <c r="H191" s="27" t="s">
        <v>871</v>
      </c>
      <c r="I191" s="31">
        <v>14</v>
      </c>
      <c r="J191" s="33">
        <f>StockOutData[[#This Row],[Quantity]]*2.5</f>
        <v>35</v>
      </c>
    </row>
    <row r="192" spans="1:10" x14ac:dyDescent="0.25">
      <c r="A192" s="31">
        <v>191</v>
      </c>
      <c r="B192" s="32">
        <f t="shared" si="2"/>
        <v>43548</v>
      </c>
      <c r="C192" s="32"/>
      <c r="D192" s="32"/>
      <c r="E192" s="27" t="s">
        <v>401</v>
      </c>
      <c r="F192" s="28" t="s">
        <v>402</v>
      </c>
      <c r="G192" s="27" t="s">
        <v>869</v>
      </c>
      <c r="H192" s="27" t="s">
        <v>871</v>
      </c>
      <c r="I192" s="31">
        <v>13</v>
      </c>
      <c r="J192" s="33">
        <f>StockOutData[[#This Row],[Quantity]]*2.5</f>
        <v>32.5</v>
      </c>
    </row>
    <row r="193" spans="1:10" x14ac:dyDescent="0.25">
      <c r="A193" s="31">
        <v>192</v>
      </c>
      <c r="B193" s="32">
        <f t="shared" si="2"/>
        <v>43549</v>
      </c>
      <c r="C193" s="32"/>
      <c r="D193" s="32"/>
      <c r="E193" s="27" t="s">
        <v>403</v>
      </c>
      <c r="F193" s="28" t="s">
        <v>404</v>
      </c>
      <c r="G193" s="27" t="s">
        <v>869</v>
      </c>
      <c r="H193" s="27" t="s">
        <v>871</v>
      </c>
      <c r="I193" s="31">
        <v>5</v>
      </c>
      <c r="J193" s="33">
        <f>StockOutData[[#This Row],[Quantity]]*2.5</f>
        <v>12.5</v>
      </c>
    </row>
    <row r="194" spans="1:10" x14ac:dyDescent="0.25">
      <c r="A194" s="31">
        <v>193</v>
      </c>
      <c r="B194" s="32">
        <f t="shared" si="2"/>
        <v>43550</v>
      </c>
      <c r="C194" s="32"/>
      <c r="D194" s="32"/>
      <c r="E194" s="27" t="s">
        <v>405</v>
      </c>
      <c r="F194" s="28" t="s">
        <v>406</v>
      </c>
      <c r="G194" s="27" t="s">
        <v>869</v>
      </c>
      <c r="H194" s="27" t="s">
        <v>871</v>
      </c>
      <c r="I194" s="31">
        <v>7</v>
      </c>
      <c r="J194" s="33">
        <f>StockOutData[[#This Row],[Quantity]]*2.5</f>
        <v>17.5</v>
      </c>
    </row>
    <row r="195" spans="1:10" x14ac:dyDescent="0.25">
      <c r="A195" s="31">
        <v>194</v>
      </c>
      <c r="B195" s="32">
        <f t="shared" si="2"/>
        <v>43551</v>
      </c>
      <c r="C195" s="32"/>
      <c r="D195" s="32"/>
      <c r="E195" s="27" t="s">
        <v>407</v>
      </c>
      <c r="F195" s="28" t="s">
        <v>408</v>
      </c>
      <c r="G195" s="27" t="s">
        <v>869</v>
      </c>
      <c r="H195" s="27" t="s">
        <v>871</v>
      </c>
      <c r="I195" s="31">
        <v>15</v>
      </c>
      <c r="J195" s="33">
        <f>StockOutData[[#This Row],[Quantity]]*2.5</f>
        <v>37.5</v>
      </c>
    </row>
    <row r="196" spans="1:10" x14ac:dyDescent="0.25">
      <c r="A196" s="31">
        <v>195</v>
      </c>
      <c r="B196" s="32">
        <f t="shared" ref="B196:B259" si="3">B195+1</f>
        <v>43552</v>
      </c>
      <c r="C196" s="32"/>
      <c r="D196" s="32"/>
      <c r="E196" s="27" t="s">
        <v>409</v>
      </c>
      <c r="F196" s="28" t="s">
        <v>410</v>
      </c>
      <c r="G196" s="27" t="s">
        <v>869</v>
      </c>
      <c r="H196" s="27" t="s">
        <v>871</v>
      </c>
      <c r="I196" s="31">
        <v>18</v>
      </c>
      <c r="J196" s="33">
        <f>StockOutData[[#This Row],[Quantity]]*2.5</f>
        <v>45</v>
      </c>
    </row>
    <row r="197" spans="1:10" x14ac:dyDescent="0.25">
      <c r="A197" s="31">
        <v>196</v>
      </c>
      <c r="B197" s="32">
        <f t="shared" si="3"/>
        <v>43553</v>
      </c>
      <c r="C197" s="32"/>
      <c r="D197" s="32"/>
      <c r="E197" s="27" t="s">
        <v>411</v>
      </c>
      <c r="F197" s="28" t="s">
        <v>412</v>
      </c>
      <c r="G197" s="27" t="s">
        <v>869</v>
      </c>
      <c r="H197" s="27" t="s">
        <v>871</v>
      </c>
      <c r="I197" s="31">
        <v>12</v>
      </c>
      <c r="J197" s="33">
        <f>StockOutData[[#This Row],[Quantity]]*2.5</f>
        <v>30</v>
      </c>
    </row>
    <row r="198" spans="1:10" x14ac:dyDescent="0.25">
      <c r="A198" s="31">
        <v>197</v>
      </c>
      <c r="B198" s="32">
        <f t="shared" si="3"/>
        <v>43554</v>
      </c>
      <c r="C198" s="32"/>
      <c r="D198" s="32"/>
      <c r="E198" s="27" t="s">
        <v>413</v>
      </c>
      <c r="F198" s="28" t="s">
        <v>414</v>
      </c>
      <c r="G198" s="27" t="s">
        <v>869</v>
      </c>
      <c r="H198" s="27" t="s">
        <v>871</v>
      </c>
      <c r="I198" s="31">
        <v>14</v>
      </c>
      <c r="J198" s="33">
        <f>StockOutData[[#This Row],[Quantity]]*2.5</f>
        <v>35</v>
      </c>
    </row>
    <row r="199" spans="1:10" x14ac:dyDescent="0.25">
      <c r="A199" s="31">
        <v>198</v>
      </c>
      <c r="B199" s="32">
        <f t="shared" si="3"/>
        <v>43555</v>
      </c>
      <c r="C199" s="32"/>
      <c r="D199" s="32"/>
      <c r="E199" s="27" t="s">
        <v>415</v>
      </c>
      <c r="F199" s="28" t="s">
        <v>416</v>
      </c>
      <c r="G199" s="27" t="s">
        <v>869</v>
      </c>
      <c r="H199" s="27" t="s">
        <v>871</v>
      </c>
      <c r="I199" s="31">
        <v>13</v>
      </c>
      <c r="J199" s="33">
        <f>StockOutData[[#This Row],[Quantity]]*2.5</f>
        <v>32.5</v>
      </c>
    </row>
    <row r="200" spans="1:10" x14ac:dyDescent="0.25">
      <c r="A200" s="31">
        <v>199</v>
      </c>
      <c r="B200" s="32">
        <f t="shared" si="3"/>
        <v>43556</v>
      </c>
      <c r="C200" s="32"/>
      <c r="D200" s="32"/>
      <c r="E200" s="27" t="s">
        <v>417</v>
      </c>
      <c r="F200" s="28" t="s">
        <v>418</v>
      </c>
      <c r="G200" s="27" t="s">
        <v>869</v>
      </c>
      <c r="H200" s="27" t="s">
        <v>871</v>
      </c>
      <c r="I200" s="31">
        <v>5</v>
      </c>
      <c r="J200" s="33">
        <f>StockOutData[[#This Row],[Quantity]]*2.5</f>
        <v>12.5</v>
      </c>
    </row>
    <row r="201" spans="1:10" x14ac:dyDescent="0.25">
      <c r="A201" s="31">
        <v>200</v>
      </c>
      <c r="B201" s="32">
        <f t="shared" si="3"/>
        <v>43557</v>
      </c>
      <c r="C201" s="32"/>
      <c r="D201" s="32"/>
      <c r="E201" s="27" t="s">
        <v>419</v>
      </c>
      <c r="F201" s="28" t="s">
        <v>420</v>
      </c>
      <c r="G201" s="27" t="s">
        <v>869</v>
      </c>
      <c r="H201" s="27" t="s">
        <v>871</v>
      </c>
      <c r="I201" s="31">
        <v>7</v>
      </c>
      <c r="J201" s="33">
        <f>StockOutData[[#This Row],[Quantity]]*2.5</f>
        <v>17.5</v>
      </c>
    </row>
    <row r="202" spans="1:10" x14ac:dyDescent="0.25">
      <c r="A202" s="31">
        <v>201</v>
      </c>
      <c r="B202" s="32">
        <f t="shared" si="3"/>
        <v>43558</v>
      </c>
      <c r="C202" s="32"/>
      <c r="D202" s="32"/>
      <c r="E202" s="27" t="s">
        <v>421</v>
      </c>
      <c r="F202" s="28" t="s">
        <v>422</v>
      </c>
      <c r="G202" s="27" t="s">
        <v>869</v>
      </c>
      <c r="H202" s="27" t="s">
        <v>871</v>
      </c>
      <c r="I202" s="31">
        <v>15</v>
      </c>
      <c r="J202" s="33">
        <f>StockOutData[[#This Row],[Quantity]]*2.5</f>
        <v>37.5</v>
      </c>
    </row>
    <row r="203" spans="1:10" x14ac:dyDescent="0.25">
      <c r="A203" s="31">
        <v>202</v>
      </c>
      <c r="B203" s="32">
        <f t="shared" si="3"/>
        <v>43559</v>
      </c>
      <c r="C203" s="32"/>
      <c r="D203" s="32"/>
      <c r="E203" s="27" t="s">
        <v>423</v>
      </c>
      <c r="F203" s="28" t="s">
        <v>424</v>
      </c>
      <c r="G203" s="27" t="s">
        <v>869</v>
      </c>
      <c r="H203" s="27" t="s">
        <v>871</v>
      </c>
      <c r="I203" s="31">
        <v>18</v>
      </c>
      <c r="J203" s="33">
        <f>StockOutData[[#This Row],[Quantity]]*2.5</f>
        <v>45</v>
      </c>
    </row>
    <row r="204" spans="1:10" x14ac:dyDescent="0.25">
      <c r="A204" s="31">
        <v>203</v>
      </c>
      <c r="B204" s="32">
        <f t="shared" si="3"/>
        <v>43560</v>
      </c>
      <c r="C204" s="32"/>
      <c r="D204" s="32"/>
      <c r="E204" s="27" t="s">
        <v>425</v>
      </c>
      <c r="F204" s="28" t="s">
        <v>426</v>
      </c>
      <c r="G204" s="27" t="s">
        <v>869</v>
      </c>
      <c r="H204" s="27" t="s">
        <v>871</v>
      </c>
      <c r="I204" s="31">
        <v>12</v>
      </c>
      <c r="J204" s="33">
        <f>StockOutData[[#This Row],[Quantity]]*2.5</f>
        <v>30</v>
      </c>
    </row>
    <row r="205" spans="1:10" x14ac:dyDescent="0.25">
      <c r="A205" s="31">
        <v>204</v>
      </c>
      <c r="B205" s="32">
        <f t="shared" si="3"/>
        <v>43561</v>
      </c>
      <c r="C205" s="32"/>
      <c r="D205" s="32"/>
      <c r="E205" s="27" t="s">
        <v>427</v>
      </c>
      <c r="F205" s="28" t="s">
        <v>428</v>
      </c>
      <c r="G205" s="27" t="s">
        <v>869</v>
      </c>
      <c r="H205" s="27" t="s">
        <v>871</v>
      </c>
      <c r="I205" s="31">
        <v>10</v>
      </c>
      <c r="J205" s="33">
        <f>StockOutData[[#This Row],[Quantity]]*2.5</f>
        <v>25</v>
      </c>
    </row>
    <row r="206" spans="1:10" x14ac:dyDescent="0.25">
      <c r="A206" s="31">
        <v>205</v>
      </c>
      <c r="B206" s="32">
        <f t="shared" si="3"/>
        <v>43562</v>
      </c>
      <c r="C206" s="32"/>
      <c r="D206" s="32"/>
      <c r="E206" s="27" t="s">
        <v>429</v>
      </c>
      <c r="F206" s="28" t="s">
        <v>430</v>
      </c>
      <c r="G206" s="27" t="s">
        <v>869</v>
      </c>
      <c r="H206" s="27" t="s">
        <v>871</v>
      </c>
      <c r="I206" s="31">
        <v>10</v>
      </c>
      <c r="J206" s="33">
        <f>StockOutData[[#This Row],[Quantity]]*2.5</f>
        <v>25</v>
      </c>
    </row>
    <row r="207" spans="1:10" x14ac:dyDescent="0.25">
      <c r="A207" s="31">
        <v>206</v>
      </c>
      <c r="B207" s="32">
        <f t="shared" si="3"/>
        <v>43563</v>
      </c>
      <c r="C207" s="32"/>
      <c r="D207" s="32"/>
      <c r="E207" s="27" t="s">
        <v>431</v>
      </c>
      <c r="F207" s="28" t="s">
        <v>432</v>
      </c>
      <c r="G207" s="27" t="s">
        <v>869</v>
      </c>
      <c r="H207" s="27" t="s">
        <v>871</v>
      </c>
      <c r="I207" s="31">
        <v>10</v>
      </c>
      <c r="J207" s="33">
        <f>StockOutData[[#This Row],[Quantity]]*2.5</f>
        <v>25</v>
      </c>
    </row>
    <row r="208" spans="1:10" x14ac:dyDescent="0.25">
      <c r="A208" s="31">
        <v>207</v>
      </c>
      <c r="B208" s="32">
        <f t="shared" si="3"/>
        <v>43564</v>
      </c>
      <c r="C208" s="32"/>
      <c r="D208" s="32"/>
      <c r="E208" s="27" t="s">
        <v>433</v>
      </c>
      <c r="F208" s="28" t="s">
        <v>434</v>
      </c>
      <c r="G208" s="27" t="s">
        <v>869</v>
      </c>
      <c r="H208" s="27" t="s">
        <v>871</v>
      </c>
      <c r="I208" s="31">
        <v>10</v>
      </c>
      <c r="J208" s="33">
        <f>StockOutData[[#This Row],[Quantity]]*2.5</f>
        <v>25</v>
      </c>
    </row>
    <row r="209" spans="1:10" x14ac:dyDescent="0.25">
      <c r="A209" s="31">
        <v>208</v>
      </c>
      <c r="B209" s="32">
        <f t="shared" si="3"/>
        <v>43565</v>
      </c>
      <c r="C209" s="32"/>
      <c r="D209" s="32"/>
      <c r="E209" s="27" t="s">
        <v>435</v>
      </c>
      <c r="F209" s="28" t="s">
        <v>436</v>
      </c>
      <c r="G209" s="27" t="s">
        <v>869</v>
      </c>
      <c r="H209" s="27" t="s">
        <v>871</v>
      </c>
      <c r="I209" s="31">
        <v>10</v>
      </c>
      <c r="J209" s="33">
        <f>StockOutData[[#This Row],[Quantity]]*2.5</f>
        <v>25</v>
      </c>
    </row>
    <row r="210" spans="1:10" x14ac:dyDescent="0.25">
      <c r="A210" s="31">
        <v>209</v>
      </c>
      <c r="B210" s="32">
        <f t="shared" si="3"/>
        <v>43566</v>
      </c>
      <c r="C210" s="32"/>
      <c r="D210" s="32"/>
      <c r="E210" s="27" t="s">
        <v>437</v>
      </c>
      <c r="F210" s="28" t="s">
        <v>438</v>
      </c>
      <c r="G210" s="27" t="s">
        <v>869</v>
      </c>
      <c r="H210" s="27" t="s">
        <v>871</v>
      </c>
      <c r="I210" s="31">
        <v>7</v>
      </c>
      <c r="J210" s="33">
        <f>StockOutData[[#This Row],[Quantity]]*2.5</f>
        <v>17.5</v>
      </c>
    </row>
    <row r="211" spans="1:10" x14ac:dyDescent="0.25">
      <c r="A211" s="31">
        <v>210</v>
      </c>
      <c r="B211" s="32">
        <f t="shared" si="3"/>
        <v>43567</v>
      </c>
      <c r="C211" s="32"/>
      <c r="D211" s="32"/>
      <c r="E211" s="27" t="s">
        <v>439</v>
      </c>
      <c r="F211" s="28" t="s">
        <v>440</v>
      </c>
      <c r="G211" s="27" t="s">
        <v>869</v>
      </c>
      <c r="H211" s="27" t="s">
        <v>875</v>
      </c>
      <c r="I211" s="31">
        <v>15</v>
      </c>
      <c r="J211" s="33">
        <f>StockOutData[[#This Row],[Quantity]]*2.5</f>
        <v>37.5</v>
      </c>
    </row>
    <row r="212" spans="1:10" x14ac:dyDescent="0.25">
      <c r="A212" s="31">
        <v>211</v>
      </c>
      <c r="B212" s="32">
        <f t="shared" si="3"/>
        <v>43568</v>
      </c>
      <c r="C212" s="32"/>
      <c r="D212" s="32"/>
      <c r="E212" s="27" t="s">
        <v>441</v>
      </c>
      <c r="F212" s="28" t="s">
        <v>442</v>
      </c>
      <c r="G212" s="27" t="s">
        <v>869</v>
      </c>
      <c r="H212" s="27" t="s">
        <v>875</v>
      </c>
      <c r="I212" s="31">
        <v>18</v>
      </c>
      <c r="J212" s="33">
        <f>StockOutData[[#This Row],[Quantity]]*2.5</f>
        <v>45</v>
      </c>
    </row>
    <row r="213" spans="1:10" x14ac:dyDescent="0.25">
      <c r="A213" s="31">
        <v>212</v>
      </c>
      <c r="B213" s="32">
        <f t="shared" si="3"/>
        <v>43569</v>
      </c>
      <c r="C213" s="32"/>
      <c r="D213" s="32"/>
      <c r="E213" s="27" t="s">
        <v>443</v>
      </c>
      <c r="F213" s="28" t="s">
        <v>444</v>
      </c>
      <c r="G213" s="27" t="s">
        <v>869</v>
      </c>
      <c r="H213" s="27" t="s">
        <v>875</v>
      </c>
      <c r="I213" s="31">
        <v>12</v>
      </c>
      <c r="J213" s="33">
        <f>StockOutData[[#This Row],[Quantity]]*2.5</f>
        <v>30</v>
      </c>
    </row>
    <row r="214" spans="1:10" x14ac:dyDescent="0.25">
      <c r="A214" s="31">
        <v>213</v>
      </c>
      <c r="B214" s="32">
        <f t="shared" si="3"/>
        <v>43570</v>
      </c>
      <c r="C214" s="32"/>
      <c r="D214" s="32"/>
      <c r="E214" s="27" t="s">
        <v>445</v>
      </c>
      <c r="F214" s="28" t="s">
        <v>446</v>
      </c>
      <c r="G214" s="27" t="s">
        <v>869</v>
      </c>
      <c r="H214" s="27" t="s">
        <v>875</v>
      </c>
      <c r="I214" s="31">
        <v>14</v>
      </c>
      <c r="J214" s="33">
        <f>StockOutData[[#This Row],[Quantity]]*2.5</f>
        <v>35</v>
      </c>
    </row>
    <row r="215" spans="1:10" x14ac:dyDescent="0.25">
      <c r="A215" s="31">
        <v>214</v>
      </c>
      <c r="B215" s="32">
        <f t="shared" si="3"/>
        <v>43571</v>
      </c>
      <c r="C215" s="32"/>
      <c r="D215" s="32"/>
      <c r="E215" s="27" t="s">
        <v>447</v>
      </c>
      <c r="F215" s="28" t="s">
        <v>448</v>
      </c>
      <c r="G215" s="27" t="s">
        <v>869</v>
      </c>
      <c r="H215" s="27" t="s">
        <v>875</v>
      </c>
      <c r="I215" s="31">
        <v>13</v>
      </c>
      <c r="J215" s="33">
        <f>StockOutData[[#This Row],[Quantity]]*2.5</f>
        <v>32.5</v>
      </c>
    </row>
    <row r="216" spans="1:10" x14ac:dyDescent="0.25">
      <c r="A216" s="31">
        <v>215</v>
      </c>
      <c r="B216" s="32">
        <f t="shared" si="3"/>
        <v>43572</v>
      </c>
      <c r="C216" s="32"/>
      <c r="D216" s="32"/>
      <c r="E216" s="27" t="s">
        <v>449</v>
      </c>
      <c r="F216" s="28" t="s">
        <v>450</v>
      </c>
      <c r="G216" s="27" t="s">
        <v>869</v>
      </c>
      <c r="H216" s="27" t="s">
        <v>875</v>
      </c>
      <c r="I216" s="31">
        <v>5</v>
      </c>
      <c r="J216" s="33">
        <f>StockOutData[[#This Row],[Quantity]]*2.5</f>
        <v>12.5</v>
      </c>
    </row>
    <row r="217" spans="1:10" x14ac:dyDescent="0.25">
      <c r="A217" s="31">
        <v>216</v>
      </c>
      <c r="B217" s="32">
        <f t="shared" si="3"/>
        <v>43573</v>
      </c>
      <c r="C217" s="32"/>
      <c r="D217" s="32"/>
      <c r="E217" s="27" t="s">
        <v>451</v>
      </c>
      <c r="F217" s="28" t="s">
        <v>452</v>
      </c>
      <c r="G217" s="27" t="s">
        <v>869</v>
      </c>
      <c r="H217" s="27" t="s">
        <v>875</v>
      </c>
      <c r="I217" s="31">
        <v>7</v>
      </c>
      <c r="J217" s="33">
        <f>StockOutData[[#This Row],[Quantity]]*2.5</f>
        <v>17.5</v>
      </c>
    </row>
    <row r="218" spans="1:10" x14ac:dyDescent="0.25">
      <c r="A218" s="31">
        <v>217</v>
      </c>
      <c r="B218" s="32">
        <f t="shared" si="3"/>
        <v>43574</v>
      </c>
      <c r="C218" s="32"/>
      <c r="D218" s="32"/>
      <c r="E218" s="27" t="s">
        <v>453</v>
      </c>
      <c r="F218" s="28" t="s">
        <v>454</v>
      </c>
      <c r="G218" s="27" t="s">
        <v>869</v>
      </c>
      <c r="H218" s="27" t="s">
        <v>875</v>
      </c>
      <c r="I218" s="31">
        <v>15</v>
      </c>
      <c r="J218" s="33">
        <f>StockOutData[[#This Row],[Quantity]]*2.5</f>
        <v>37.5</v>
      </c>
    </row>
    <row r="219" spans="1:10" x14ac:dyDescent="0.25">
      <c r="A219" s="31">
        <v>218</v>
      </c>
      <c r="B219" s="32">
        <f t="shared" si="3"/>
        <v>43575</v>
      </c>
      <c r="C219" s="32"/>
      <c r="D219" s="32"/>
      <c r="E219" s="27" t="s">
        <v>455</v>
      </c>
      <c r="F219" s="28" t="s">
        <v>456</v>
      </c>
      <c r="G219" s="27" t="s">
        <v>869</v>
      </c>
      <c r="H219" s="27" t="s">
        <v>875</v>
      </c>
      <c r="I219" s="31">
        <v>18</v>
      </c>
      <c r="J219" s="33">
        <f>StockOutData[[#This Row],[Quantity]]*2.5</f>
        <v>45</v>
      </c>
    </row>
    <row r="220" spans="1:10" x14ac:dyDescent="0.25">
      <c r="A220" s="31">
        <v>219</v>
      </c>
      <c r="B220" s="32">
        <f t="shared" si="3"/>
        <v>43576</v>
      </c>
      <c r="C220" s="32"/>
      <c r="D220" s="32"/>
      <c r="E220" s="27" t="s">
        <v>457</v>
      </c>
      <c r="F220" s="28" t="s">
        <v>458</v>
      </c>
      <c r="G220" s="27" t="s">
        <v>869</v>
      </c>
      <c r="H220" s="27" t="s">
        <v>875</v>
      </c>
      <c r="I220" s="31">
        <v>12</v>
      </c>
      <c r="J220" s="33">
        <f>StockOutData[[#This Row],[Quantity]]*2.5</f>
        <v>30</v>
      </c>
    </row>
    <row r="221" spans="1:10" x14ac:dyDescent="0.25">
      <c r="A221" s="31">
        <v>220</v>
      </c>
      <c r="B221" s="32">
        <f t="shared" si="3"/>
        <v>43577</v>
      </c>
      <c r="C221" s="32"/>
      <c r="D221" s="32"/>
      <c r="E221" s="27" t="s">
        <v>459</v>
      </c>
      <c r="F221" s="28" t="s">
        <v>460</v>
      </c>
      <c r="G221" s="27" t="s">
        <v>869</v>
      </c>
      <c r="H221" s="27" t="s">
        <v>875</v>
      </c>
      <c r="I221" s="31">
        <v>14</v>
      </c>
      <c r="J221" s="33">
        <f>StockOutData[[#This Row],[Quantity]]*2.5</f>
        <v>35</v>
      </c>
    </row>
    <row r="222" spans="1:10" x14ac:dyDescent="0.25">
      <c r="A222" s="31">
        <v>221</v>
      </c>
      <c r="B222" s="32">
        <f t="shared" si="3"/>
        <v>43578</v>
      </c>
      <c r="C222" s="32"/>
      <c r="D222" s="32"/>
      <c r="E222" s="27" t="s">
        <v>461</v>
      </c>
      <c r="F222" s="28" t="s">
        <v>462</v>
      </c>
      <c r="G222" s="27" t="s">
        <v>869</v>
      </c>
      <c r="H222" s="27" t="s">
        <v>875</v>
      </c>
      <c r="I222" s="31">
        <v>13</v>
      </c>
      <c r="J222" s="33">
        <f>StockOutData[[#This Row],[Quantity]]*2.5</f>
        <v>32.5</v>
      </c>
    </row>
    <row r="223" spans="1:10" x14ac:dyDescent="0.25">
      <c r="A223" s="31">
        <v>222</v>
      </c>
      <c r="B223" s="32">
        <f t="shared" si="3"/>
        <v>43579</v>
      </c>
      <c r="C223" s="32"/>
      <c r="D223" s="32"/>
      <c r="E223" s="27" t="s">
        <v>463</v>
      </c>
      <c r="F223" s="28" t="s">
        <v>464</v>
      </c>
      <c r="G223" s="27" t="s">
        <v>869</v>
      </c>
      <c r="H223" s="27" t="s">
        <v>875</v>
      </c>
      <c r="I223" s="31">
        <v>5</v>
      </c>
      <c r="J223" s="33">
        <f>StockOutData[[#This Row],[Quantity]]*2.5</f>
        <v>12.5</v>
      </c>
    </row>
    <row r="224" spans="1:10" x14ac:dyDescent="0.25">
      <c r="A224" s="31">
        <v>223</v>
      </c>
      <c r="B224" s="32">
        <f t="shared" si="3"/>
        <v>43580</v>
      </c>
      <c r="C224" s="32"/>
      <c r="D224" s="32"/>
      <c r="E224" s="27" t="s">
        <v>465</v>
      </c>
      <c r="F224" s="28" t="s">
        <v>466</v>
      </c>
      <c r="G224" s="27" t="s">
        <v>869</v>
      </c>
      <c r="H224" s="27" t="s">
        <v>875</v>
      </c>
      <c r="I224" s="31">
        <v>7</v>
      </c>
      <c r="J224" s="33">
        <f>StockOutData[[#This Row],[Quantity]]*2.5</f>
        <v>17.5</v>
      </c>
    </row>
    <row r="225" spans="1:10" x14ac:dyDescent="0.25">
      <c r="A225" s="31">
        <v>224</v>
      </c>
      <c r="B225" s="32">
        <f t="shared" si="3"/>
        <v>43581</v>
      </c>
      <c r="C225" s="32"/>
      <c r="D225" s="32"/>
      <c r="E225" s="27" t="s">
        <v>467</v>
      </c>
      <c r="F225" s="28" t="s">
        <v>468</v>
      </c>
      <c r="G225" s="27" t="s">
        <v>869</v>
      </c>
      <c r="H225" s="27" t="s">
        <v>875</v>
      </c>
      <c r="I225" s="31">
        <v>15</v>
      </c>
      <c r="J225" s="33">
        <f>StockOutData[[#This Row],[Quantity]]*2.5</f>
        <v>37.5</v>
      </c>
    </row>
    <row r="226" spans="1:10" x14ac:dyDescent="0.25">
      <c r="A226" s="31">
        <v>225</v>
      </c>
      <c r="B226" s="32">
        <f t="shared" si="3"/>
        <v>43582</v>
      </c>
      <c r="C226" s="32"/>
      <c r="D226" s="32"/>
      <c r="E226" s="27" t="s">
        <v>469</v>
      </c>
      <c r="F226" s="28" t="s">
        <v>470</v>
      </c>
      <c r="G226" s="27" t="s">
        <v>869</v>
      </c>
      <c r="H226" s="27" t="s">
        <v>875</v>
      </c>
      <c r="I226" s="31">
        <v>18</v>
      </c>
      <c r="J226" s="33">
        <f>StockOutData[[#This Row],[Quantity]]*2.5</f>
        <v>45</v>
      </c>
    </row>
    <row r="227" spans="1:10" x14ac:dyDescent="0.25">
      <c r="A227" s="31">
        <v>226</v>
      </c>
      <c r="B227" s="32">
        <f t="shared" si="3"/>
        <v>43583</v>
      </c>
      <c r="C227" s="32"/>
      <c r="D227" s="32"/>
      <c r="E227" s="27" t="s">
        <v>471</v>
      </c>
      <c r="F227" s="28" t="s">
        <v>472</v>
      </c>
      <c r="G227" s="27" t="s">
        <v>869</v>
      </c>
      <c r="H227" s="27" t="s">
        <v>875</v>
      </c>
      <c r="I227" s="31">
        <v>12</v>
      </c>
      <c r="J227" s="33">
        <f>StockOutData[[#This Row],[Quantity]]*2.5</f>
        <v>30</v>
      </c>
    </row>
    <row r="228" spans="1:10" x14ac:dyDescent="0.25">
      <c r="A228" s="31">
        <v>227</v>
      </c>
      <c r="B228" s="32">
        <f t="shared" si="3"/>
        <v>43584</v>
      </c>
      <c r="C228" s="32"/>
      <c r="D228" s="32"/>
      <c r="E228" s="27" t="s">
        <v>473</v>
      </c>
      <c r="F228" s="28" t="s">
        <v>474</v>
      </c>
      <c r="G228" s="27" t="s">
        <v>869</v>
      </c>
      <c r="H228" s="27" t="s">
        <v>875</v>
      </c>
      <c r="I228" s="31">
        <v>10</v>
      </c>
      <c r="J228" s="33">
        <f>StockOutData[[#This Row],[Quantity]]*2.5</f>
        <v>25</v>
      </c>
    </row>
    <row r="229" spans="1:10" x14ac:dyDescent="0.25">
      <c r="A229" s="31">
        <v>228</v>
      </c>
      <c r="B229" s="32">
        <f t="shared" si="3"/>
        <v>43585</v>
      </c>
      <c r="C229" s="32"/>
      <c r="D229" s="32"/>
      <c r="E229" s="27" t="s">
        <v>475</v>
      </c>
      <c r="F229" s="28" t="s">
        <v>476</v>
      </c>
      <c r="G229" s="27" t="s">
        <v>869</v>
      </c>
      <c r="H229" s="27" t="s">
        <v>875</v>
      </c>
      <c r="I229" s="31">
        <v>10</v>
      </c>
      <c r="J229" s="33">
        <f>StockOutData[[#This Row],[Quantity]]*2.5</f>
        <v>25</v>
      </c>
    </row>
    <row r="230" spans="1:10" x14ac:dyDescent="0.25">
      <c r="A230" s="31">
        <v>229</v>
      </c>
      <c r="B230" s="32">
        <f t="shared" si="3"/>
        <v>43586</v>
      </c>
      <c r="C230" s="32"/>
      <c r="D230" s="32"/>
      <c r="E230" s="27" t="s">
        <v>477</v>
      </c>
      <c r="F230" s="28" t="s">
        <v>478</v>
      </c>
      <c r="G230" s="27" t="s">
        <v>869</v>
      </c>
      <c r="H230" s="27" t="s">
        <v>875</v>
      </c>
      <c r="I230" s="31">
        <v>10</v>
      </c>
      <c r="J230" s="33">
        <f>StockOutData[[#This Row],[Quantity]]*2.5</f>
        <v>25</v>
      </c>
    </row>
    <row r="231" spans="1:10" x14ac:dyDescent="0.25">
      <c r="A231" s="31">
        <v>230</v>
      </c>
      <c r="B231" s="32">
        <f t="shared" si="3"/>
        <v>43587</v>
      </c>
      <c r="C231" s="32"/>
      <c r="D231" s="32"/>
      <c r="E231" s="27" t="s">
        <v>479</v>
      </c>
      <c r="F231" s="28" t="s">
        <v>480</v>
      </c>
      <c r="G231" s="27" t="s">
        <v>869</v>
      </c>
      <c r="H231" s="27" t="s">
        <v>875</v>
      </c>
      <c r="I231" s="31">
        <v>10</v>
      </c>
      <c r="J231" s="33">
        <f>StockOutData[[#This Row],[Quantity]]*2.5</f>
        <v>25</v>
      </c>
    </row>
    <row r="232" spans="1:10" x14ac:dyDescent="0.25">
      <c r="A232" s="31">
        <v>231</v>
      </c>
      <c r="B232" s="32">
        <f t="shared" si="3"/>
        <v>43588</v>
      </c>
      <c r="C232" s="32"/>
      <c r="D232" s="32"/>
      <c r="E232" s="27" t="s">
        <v>481</v>
      </c>
      <c r="F232" s="28" t="s">
        <v>482</v>
      </c>
      <c r="G232" s="27" t="s">
        <v>869</v>
      </c>
      <c r="H232" s="27" t="s">
        <v>875</v>
      </c>
      <c r="I232" s="31">
        <v>10</v>
      </c>
      <c r="J232" s="33">
        <f>StockOutData[[#This Row],[Quantity]]*2.5</f>
        <v>25</v>
      </c>
    </row>
    <row r="233" spans="1:10" x14ac:dyDescent="0.25">
      <c r="A233" s="31">
        <v>232</v>
      </c>
      <c r="B233" s="32">
        <f t="shared" si="3"/>
        <v>43589</v>
      </c>
      <c r="C233" s="32"/>
      <c r="D233" s="32"/>
      <c r="E233" s="27" t="s">
        <v>483</v>
      </c>
      <c r="F233" s="28" t="s">
        <v>484</v>
      </c>
      <c r="G233" s="27" t="s">
        <v>869</v>
      </c>
      <c r="H233" s="27" t="s">
        <v>875</v>
      </c>
      <c r="I233" s="31">
        <v>7</v>
      </c>
      <c r="J233" s="33">
        <f>StockOutData[[#This Row],[Quantity]]*2.5</f>
        <v>17.5</v>
      </c>
    </row>
    <row r="234" spans="1:10" x14ac:dyDescent="0.25">
      <c r="A234" s="31">
        <v>233</v>
      </c>
      <c r="B234" s="32">
        <f t="shared" si="3"/>
        <v>43590</v>
      </c>
      <c r="C234" s="32"/>
      <c r="D234" s="32"/>
      <c r="E234" s="27" t="s">
        <v>485</v>
      </c>
      <c r="F234" s="28" t="s">
        <v>486</v>
      </c>
      <c r="G234" s="27" t="s">
        <v>869</v>
      </c>
      <c r="H234" s="27" t="s">
        <v>875</v>
      </c>
      <c r="I234" s="31">
        <v>15</v>
      </c>
      <c r="J234" s="33">
        <f>StockOutData[[#This Row],[Quantity]]*2.5</f>
        <v>37.5</v>
      </c>
    </row>
    <row r="235" spans="1:10" x14ac:dyDescent="0.25">
      <c r="A235" s="31">
        <v>234</v>
      </c>
      <c r="B235" s="32">
        <f t="shared" si="3"/>
        <v>43591</v>
      </c>
      <c r="C235" s="32"/>
      <c r="D235" s="32"/>
      <c r="E235" s="27" t="s">
        <v>487</v>
      </c>
      <c r="F235" s="28" t="s">
        <v>488</v>
      </c>
      <c r="G235" s="27" t="s">
        <v>869</v>
      </c>
      <c r="H235" s="27" t="s">
        <v>875</v>
      </c>
      <c r="I235" s="31">
        <v>18</v>
      </c>
      <c r="J235" s="33">
        <f>StockOutData[[#This Row],[Quantity]]*2.5</f>
        <v>45</v>
      </c>
    </row>
    <row r="236" spans="1:10" x14ac:dyDescent="0.25">
      <c r="A236" s="31">
        <v>235</v>
      </c>
      <c r="B236" s="32">
        <f t="shared" si="3"/>
        <v>43592</v>
      </c>
      <c r="C236" s="32"/>
      <c r="D236" s="32"/>
      <c r="E236" s="27" t="s">
        <v>489</v>
      </c>
      <c r="F236" s="28" t="s">
        <v>490</v>
      </c>
      <c r="G236" s="27" t="s">
        <v>869</v>
      </c>
      <c r="H236" s="27" t="s">
        <v>875</v>
      </c>
      <c r="I236" s="31">
        <v>12</v>
      </c>
      <c r="J236" s="33">
        <f>StockOutData[[#This Row],[Quantity]]*2.5</f>
        <v>30</v>
      </c>
    </row>
    <row r="237" spans="1:10" x14ac:dyDescent="0.25">
      <c r="A237" s="31">
        <v>236</v>
      </c>
      <c r="B237" s="32">
        <f t="shared" si="3"/>
        <v>43593</v>
      </c>
      <c r="C237" s="32"/>
      <c r="D237" s="32"/>
      <c r="E237" s="27" t="s">
        <v>491</v>
      </c>
      <c r="F237" s="28" t="s">
        <v>492</v>
      </c>
      <c r="G237" s="27" t="s">
        <v>869</v>
      </c>
      <c r="H237" s="27" t="s">
        <v>875</v>
      </c>
      <c r="I237" s="31">
        <v>14</v>
      </c>
      <c r="J237" s="33">
        <f>StockOutData[[#This Row],[Quantity]]*2.5</f>
        <v>35</v>
      </c>
    </row>
    <row r="238" spans="1:10" x14ac:dyDescent="0.25">
      <c r="A238" s="31">
        <v>237</v>
      </c>
      <c r="B238" s="32">
        <f t="shared" si="3"/>
        <v>43594</v>
      </c>
      <c r="C238" s="32"/>
      <c r="D238" s="32"/>
      <c r="E238" s="27" t="s">
        <v>493</v>
      </c>
      <c r="F238" s="28" t="s">
        <v>494</v>
      </c>
      <c r="G238" s="27" t="s">
        <v>869</v>
      </c>
      <c r="H238" s="27" t="s">
        <v>875</v>
      </c>
      <c r="I238" s="31">
        <v>13</v>
      </c>
      <c r="J238" s="33">
        <f>StockOutData[[#This Row],[Quantity]]*2.5</f>
        <v>32.5</v>
      </c>
    </row>
    <row r="239" spans="1:10" x14ac:dyDescent="0.25">
      <c r="A239" s="31">
        <v>238</v>
      </c>
      <c r="B239" s="32">
        <f t="shared" si="3"/>
        <v>43595</v>
      </c>
      <c r="C239" s="32"/>
      <c r="D239" s="32"/>
      <c r="E239" s="27" t="s">
        <v>495</v>
      </c>
      <c r="F239" s="28" t="s">
        <v>496</v>
      </c>
      <c r="G239" s="27" t="s">
        <v>869</v>
      </c>
      <c r="H239" s="27" t="s">
        <v>875</v>
      </c>
      <c r="I239" s="31">
        <v>5</v>
      </c>
      <c r="J239" s="33">
        <f>StockOutData[[#This Row],[Quantity]]*2.5</f>
        <v>12.5</v>
      </c>
    </row>
    <row r="240" spans="1:10" x14ac:dyDescent="0.25">
      <c r="A240" s="31">
        <v>239</v>
      </c>
      <c r="B240" s="32">
        <f t="shared" si="3"/>
        <v>43596</v>
      </c>
      <c r="C240" s="32"/>
      <c r="D240" s="32"/>
      <c r="E240" s="27" t="s">
        <v>497</v>
      </c>
      <c r="F240" s="28" t="s">
        <v>498</v>
      </c>
      <c r="G240" s="27" t="s">
        <v>869</v>
      </c>
      <c r="H240" s="27" t="s">
        <v>875</v>
      </c>
      <c r="I240" s="31">
        <v>7</v>
      </c>
      <c r="J240" s="33">
        <f>StockOutData[[#This Row],[Quantity]]*2.5</f>
        <v>17.5</v>
      </c>
    </row>
    <row r="241" spans="1:10" x14ac:dyDescent="0.25">
      <c r="A241" s="31">
        <v>240</v>
      </c>
      <c r="B241" s="32">
        <f t="shared" si="3"/>
        <v>43597</v>
      </c>
      <c r="C241" s="32"/>
      <c r="D241" s="32"/>
      <c r="E241" s="27" t="s">
        <v>499</v>
      </c>
      <c r="F241" s="28" t="s">
        <v>500</v>
      </c>
      <c r="G241" s="27" t="s">
        <v>869</v>
      </c>
      <c r="H241" s="27" t="s">
        <v>875</v>
      </c>
      <c r="I241" s="31">
        <v>15</v>
      </c>
      <c r="J241" s="33">
        <f>StockOutData[[#This Row],[Quantity]]*2.5</f>
        <v>37.5</v>
      </c>
    </row>
    <row r="242" spans="1:10" x14ac:dyDescent="0.25">
      <c r="A242" s="31">
        <v>241</v>
      </c>
      <c r="B242" s="32">
        <f t="shared" si="3"/>
        <v>43598</v>
      </c>
      <c r="C242" s="32"/>
      <c r="D242" s="32"/>
      <c r="E242" s="27" t="s">
        <v>501</v>
      </c>
      <c r="F242" s="28" t="s">
        <v>502</v>
      </c>
      <c r="G242" s="27" t="s">
        <v>869</v>
      </c>
      <c r="H242" s="27" t="s">
        <v>875</v>
      </c>
      <c r="I242" s="31">
        <v>18</v>
      </c>
      <c r="J242" s="33">
        <f>StockOutData[[#This Row],[Quantity]]*2.5</f>
        <v>45</v>
      </c>
    </row>
    <row r="243" spans="1:10" x14ac:dyDescent="0.25">
      <c r="A243" s="31">
        <v>242</v>
      </c>
      <c r="B243" s="32">
        <f t="shared" si="3"/>
        <v>43599</v>
      </c>
      <c r="C243" s="32"/>
      <c r="D243" s="32"/>
      <c r="E243" s="27" t="s">
        <v>503</v>
      </c>
      <c r="F243" s="28" t="s">
        <v>504</v>
      </c>
      <c r="G243" s="27" t="s">
        <v>869</v>
      </c>
      <c r="H243" s="27" t="s">
        <v>875</v>
      </c>
      <c r="I243" s="31">
        <v>12</v>
      </c>
      <c r="J243" s="33">
        <f>StockOutData[[#This Row],[Quantity]]*2.5</f>
        <v>30</v>
      </c>
    </row>
    <row r="244" spans="1:10" x14ac:dyDescent="0.25">
      <c r="A244" s="31">
        <v>243</v>
      </c>
      <c r="B244" s="32">
        <f t="shared" si="3"/>
        <v>43600</v>
      </c>
      <c r="C244" s="32"/>
      <c r="D244" s="32"/>
      <c r="E244" s="27" t="s">
        <v>505</v>
      </c>
      <c r="F244" s="28" t="s">
        <v>506</v>
      </c>
      <c r="G244" s="27" t="s">
        <v>869</v>
      </c>
      <c r="H244" s="27" t="s">
        <v>875</v>
      </c>
      <c r="I244" s="31">
        <v>14</v>
      </c>
      <c r="J244" s="33">
        <f>StockOutData[[#This Row],[Quantity]]*2.5</f>
        <v>35</v>
      </c>
    </row>
    <row r="245" spans="1:10" x14ac:dyDescent="0.25">
      <c r="A245" s="31">
        <v>244</v>
      </c>
      <c r="B245" s="32">
        <f t="shared" si="3"/>
        <v>43601</v>
      </c>
      <c r="C245" s="32"/>
      <c r="D245" s="32"/>
      <c r="E245" s="27" t="s">
        <v>507</v>
      </c>
      <c r="F245" s="28" t="s">
        <v>508</v>
      </c>
      <c r="G245" s="27" t="s">
        <v>869</v>
      </c>
      <c r="H245" s="27" t="s">
        <v>875</v>
      </c>
      <c r="I245" s="31">
        <v>13</v>
      </c>
      <c r="J245" s="33">
        <f>StockOutData[[#This Row],[Quantity]]*2.5</f>
        <v>32.5</v>
      </c>
    </row>
    <row r="246" spans="1:10" x14ac:dyDescent="0.25">
      <c r="A246" s="31">
        <v>245</v>
      </c>
      <c r="B246" s="32">
        <f t="shared" si="3"/>
        <v>43602</v>
      </c>
      <c r="C246" s="32"/>
      <c r="D246" s="32"/>
      <c r="E246" s="27" t="s">
        <v>509</v>
      </c>
      <c r="F246" s="28" t="s">
        <v>510</v>
      </c>
      <c r="G246" s="27" t="s">
        <v>869</v>
      </c>
      <c r="H246" s="27" t="s">
        <v>875</v>
      </c>
      <c r="I246" s="31">
        <v>5</v>
      </c>
      <c r="J246" s="33">
        <f>StockOutData[[#This Row],[Quantity]]*2.5</f>
        <v>12.5</v>
      </c>
    </row>
    <row r="247" spans="1:10" x14ac:dyDescent="0.25">
      <c r="A247" s="31">
        <v>246</v>
      </c>
      <c r="B247" s="32">
        <f t="shared" si="3"/>
        <v>43603</v>
      </c>
      <c r="C247" s="32"/>
      <c r="D247" s="32"/>
      <c r="E247" s="27" t="s">
        <v>511</v>
      </c>
      <c r="F247" s="28" t="s">
        <v>512</v>
      </c>
      <c r="G247" s="27" t="s">
        <v>869</v>
      </c>
      <c r="H247" s="27" t="s">
        <v>875</v>
      </c>
      <c r="I247" s="31">
        <v>7</v>
      </c>
      <c r="J247" s="33">
        <f>StockOutData[[#This Row],[Quantity]]*2.5</f>
        <v>17.5</v>
      </c>
    </row>
    <row r="248" spans="1:10" x14ac:dyDescent="0.25">
      <c r="A248" s="31">
        <v>247</v>
      </c>
      <c r="B248" s="32">
        <f t="shared" si="3"/>
        <v>43604</v>
      </c>
      <c r="C248" s="32"/>
      <c r="D248" s="32"/>
      <c r="E248" s="27" t="s">
        <v>513</v>
      </c>
      <c r="F248" s="28" t="s">
        <v>514</v>
      </c>
      <c r="G248" s="27" t="s">
        <v>869</v>
      </c>
      <c r="H248" s="27" t="s">
        <v>875</v>
      </c>
      <c r="I248" s="31">
        <v>15</v>
      </c>
      <c r="J248" s="33">
        <f>StockOutData[[#This Row],[Quantity]]*2.5</f>
        <v>37.5</v>
      </c>
    </row>
    <row r="249" spans="1:10" x14ac:dyDescent="0.25">
      <c r="A249" s="31">
        <v>248</v>
      </c>
      <c r="B249" s="32">
        <f t="shared" si="3"/>
        <v>43605</v>
      </c>
      <c r="C249" s="32"/>
      <c r="D249" s="32"/>
      <c r="E249" s="27" t="s">
        <v>515</v>
      </c>
      <c r="F249" s="28" t="s">
        <v>516</v>
      </c>
      <c r="G249" s="27" t="s">
        <v>869</v>
      </c>
      <c r="H249" s="27" t="s">
        <v>875</v>
      </c>
      <c r="I249" s="31">
        <v>18</v>
      </c>
      <c r="J249" s="33">
        <f>StockOutData[[#This Row],[Quantity]]*2.5</f>
        <v>45</v>
      </c>
    </row>
    <row r="250" spans="1:10" x14ac:dyDescent="0.25">
      <c r="A250" s="31">
        <v>249</v>
      </c>
      <c r="B250" s="32">
        <f t="shared" si="3"/>
        <v>43606</v>
      </c>
      <c r="C250" s="32"/>
      <c r="D250" s="32"/>
      <c r="E250" s="27" t="s">
        <v>517</v>
      </c>
      <c r="F250" s="28" t="s">
        <v>518</v>
      </c>
      <c r="G250" s="27" t="s">
        <v>869</v>
      </c>
      <c r="H250" s="27" t="s">
        <v>875</v>
      </c>
      <c r="I250" s="31">
        <v>12</v>
      </c>
      <c r="J250" s="33">
        <f>StockOutData[[#This Row],[Quantity]]*2.5</f>
        <v>30</v>
      </c>
    </row>
    <row r="251" spans="1:10" x14ac:dyDescent="0.25">
      <c r="A251" s="31">
        <v>250</v>
      </c>
      <c r="B251" s="32">
        <f t="shared" si="3"/>
        <v>43607</v>
      </c>
      <c r="C251" s="32"/>
      <c r="D251" s="32"/>
      <c r="E251" s="27" t="s">
        <v>519</v>
      </c>
      <c r="F251" s="28" t="s">
        <v>520</v>
      </c>
      <c r="G251" s="27" t="s">
        <v>869</v>
      </c>
      <c r="H251" s="27" t="s">
        <v>875</v>
      </c>
      <c r="I251" s="31">
        <v>10</v>
      </c>
      <c r="J251" s="33">
        <f>StockOutData[[#This Row],[Quantity]]*2.5</f>
        <v>25</v>
      </c>
    </row>
    <row r="252" spans="1:10" x14ac:dyDescent="0.25">
      <c r="A252" s="31">
        <v>251</v>
      </c>
      <c r="B252" s="32">
        <f t="shared" si="3"/>
        <v>43608</v>
      </c>
      <c r="C252" s="32"/>
      <c r="D252" s="32"/>
      <c r="E252" s="27" t="s">
        <v>521</v>
      </c>
      <c r="F252" s="28" t="s">
        <v>522</v>
      </c>
      <c r="G252" s="27" t="s">
        <v>869</v>
      </c>
      <c r="H252" s="27" t="s">
        <v>875</v>
      </c>
      <c r="I252" s="31">
        <v>10</v>
      </c>
      <c r="J252" s="33">
        <f>StockOutData[[#This Row],[Quantity]]*2.5</f>
        <v>25</v>
      </c>
    </row>
    <row r="253" spans="1:10" x14ac:dyDescent="0.25">
      <c r="A253" s="31">
        <v>252</v>
      </c>
      <c r="B253" s="32">
        <f t="shared" si="3"/>
        <v>43609</v>
      </c>
      <c r="C253" s="32"/>
      <c r="D253" s="32"/>
      <c r="E253" s="27" t="s">
        <v>523</v>
      </c>
      <c r="F253" s="28" t="s">
        <v>524</v>
      </c>
      <c r="G253" s="27" t="s">
        <v>869</v>
      </c>
      <c r="H253" s="27" t="s">
        <v>875</v>
      </c>
      <c r="I253" s="31">
        <v>10</v>
      </c>
      <c r="J253" s="33">
        <f>StockOutData[[#This Row],[Quantity]]*2.5</f>
        <v>25</v>
      </c>
    </row>
    <row r="254" spans="1:10" x14ac:dyDescent="0.25">
      <c r="A254" s="31">
        <v>253</v>
      </c>
      <c r="B254" s="32">
        <f t="shared" si="3"/>
        <v>43610</v>
      </c>
      <c r="C254" s="32"/>
      <c r="D254" s="32"/>
      <c r="E254" s="27" t="s">
        <v>525</v>
      </c>
      <c r="F254" s="28" t="s">
        <v>526</v>
      </c>
      <c r="G254" s="27" t="s">
        <v>869</v>
      </c>
      <c r="H254" s="27" t="s">
        <v>875</v>
      </c>
      <c r="I254" s="31">
        <v>10</v>
      </c>
      <c r="J254" s="33">
        <f>StockOutData[[#This Row],[Quantity]]*2.5</f>
        <v>25</v>
      </c>
    </row>
    <row r="255" spans="1:10" x14ac:dyDescent="0.25">
      <c r="A255" s="31">
        <v>254</v>
      </c>
      <c r="B255" s="32">
        <f t="shared" si="3"/>
        <v>43611</v>
      </c>
      <c r="C255" s="32"/>
      <c r="D255" s="32"/>
      <c r="E255" s="27" t="s">
        <v>527</v>
      </c>
      <c r="F255" s="28" t="s">
        <v>528</v>
      </c>
      <c r="G255" s="27" t="s">
        <v>869</v>
      </c>
      <c r="H255" s="27" t="s">
        <v>875</v>
      </c>
      <c r="I255" s="31">
        <v>7</v>
      </c>
      <c r="J255" s="33">
        <f>StockOutData[[#This Row],[Quantity]]*2.5</f>
        <v>17.5</v>
      </c>
    </row>
    <row r="256" spans="1:10" x14ac:dyDescent="0.25">
      <c r="A256" s="31">
        <v>255</v>
      </c>
      <c r="B256" s="32">
        <f t="shared" si="3"/>
        <v>43612</v>
      </c>
      <c r="C256" s="32"/>
      <c r="D256" s="32"/>
      <c r="E256" s="27" t="s">
        <v>529</v>
      </c>
      <c r="F256" s="28" t="s">
        <v>530</v>
      </c>
      <c r="G256" s="27" t="s">
        <v>869</v>
      </c>
      <c r="H256" s="27" t="s">
        <v>875</v>
      </c>
      <c r="I256" s="31">
        <v>15</v>
      </c>
      <c r="J256" s="33">
        <f>StockOutData[[#This Row],[Quantity]]*2.5</f>
        <v>37.5</v>
      </c>
    </row>
    <row r="257" spans="1:10" x14ac:dyDescent="0.25">
      <c r="A257" s="31">
        <v>256</v>
      </c>
      <c r="B257" s="32">
        <f t="shared" si="3"/>
        <v>43613</v>
      </c>
      <c r="C257" s="32"/>
      <c r="D257" s="32"/>
      <c r="E257" s="27" t="s">
        <v>531</v>
      </c>
      <c r="F257" s="28" t="s">
        <v>532</v>
      </c>
      <c r="G257" s="27" t="s">
        <v>869</v>
      </c>
      <c r="H257" s="27" t="s">
        <v>875</v>
      </c>
      <c r="I257" s="31">
        <v>18</v>
      </c>
      <c r="J257" s="33">
        <f>StockOutData[[#This Row],[Quantity]]*2.5</f>
        <v>45</v>
      </c>
    </row>
    <row r="258" spans="1:10" x14ac:dyDescent="0.25">
      <c r="A258" s="31">
        <v>257</v>
      </c>
      <c r="B258" s="32">
        <f t="shared" si="3"/>
        <v>43614</v>
      </c>
      <c r="C258" s="32"/>
      <c r="D258" s="32"/>
      <c r="E258" s="27" t="s">
        <v>533</v>
      </c>
      <c r="F258" s="28" t="s">
        <v>534</v>
      </c>
      <c r="G258" s="27" t="s">
        <v>869</v>
      </c>
      <c r="H258" s="27" t="s">
        <v>875</v>
      </c>
      <c r="I258" s="31">
        <v>12</v>
      </c>
      <c r="J258" s="33">
        <f>StockOutData[[#This Row],[Quantity]]*2.5</f>
        <v>30</v>
      </c>
    </row>
    <row r="259" spans="1:10" x14ac:dyDescent="0.25">
      <c r="A259" s="31">
        <v>258</v>
      </c>
      <c r="B259" s="32">
        <f t="shared" si="3"/>
        <v>43615</v>
      </c>
      <c r="C259" s="32"/>
      <c r="D259" s="32"/>
      <c r="E259" s="27" t="s">
        <v>535</v>
      </c>
      <c r="F259" s="28" t="s">
        <v>536</v>
      </c>
      <c r="G259" s="27" t="s">
        <v>869</v>
      </c>
      <c r="H259" s="27" t="s">
        <v>875</v>
      </c>
      <c r="I259" s="31">
        <v>14</v>
      </c>
      <c r="J259" s="33">
        <f>StockOutData[[#This Row],[Quantity]]*2.5</f>
        <v>35</v>
      </c>
    </row>
    <row r="260" spans="1:10" x14ac:dyDescent="0.25">
      <c r="A260" s="31">
        <v>259</v>
      </c>
      <c r="B260" s="32">
        <f t="shared" ref="B260:B323" si="4">B259+1</f>
        <v>43616</v>
      </c>
      <c r="C260" s="32"/>
      <c r="D260" s="32"/>
      <c r="E260" s="27" t="s">
        <v>537</v>
      </c>
      <c r="F260" s="28" t="s">
        <v>538</v>
      </c>
      <c r="G260" s="27" t="s">
        <v>869</v>
      </c>
      <c r="H260" s="27" t="s">
        <v>875</v>
      </c>
      <c r="I260" s="31">
        <v>13</v>
      </c>
      <c r="J260" s="33">
        <f>StockOutData[[#This Row],[Quantity]]*2.5</f>
        <v>32.5</v>
      </c>
    </row>
    <row r="261" spans="1:10" x14ac:dyDescent="0.25">
      <c r="A261" s="31">
        <v>260</v>
      </c>
      <c r="B261" s="32">
        <f t="shared" si="4"/>
        <v>43617</v>
      </c>
      <c r="C261" s="32"/>
      <c r="D261" s="32"/>
      <c r="E261" s="27" t="s">
        <v>539</v>
      </c>
      <c r="F261" s="28" t="s">
        <v>540</v>
      </c>
      <c r="G261" s="27" t="s">
        <v>869</v>
      </c>
      <c r="H261" s="27" t="s">
        <v>875</v>
      </c>
      <c r="I261" s="31">
        <v>5</v>
      </c>
      <c r="J261" s="33">
        <f>StockOutData[[#This Row],[Quantity]]*2.5</f>
        <v>12.5</v>
      </c>
    </row>
    <row r="262" spans="1:10" x14ac:dyDescent="0.25">
      <c r="A262" s="31">
        <v>261</v>
      </c>
      <c r="B262" s="32">
        <f t="shared" si="4"/>
        <v>43618</v>
      </c>
      <c r="C262" s="32"/>
      <c r="D262" s="32"/>
      <c r="E262" s="27" t="s">
        <v>541</v>
      </c>
      <c r="F262" s="28" t="s">
        <v>542</v>
      </c>
      <c r="G262" s="27" t="s">
        <v>869</v>
      </c>
      <c r="H262" s="27" t="s">
        <v>875</v>
      </c>
      <c r="I262" s="31">
        <v>7</v>
      </c>
      <c r="J262" s="33">
        <f>StockOutData[[#This Row],[Quantity]]*2.5</f>
        <v>17.5</v>
      </c>
    </row>
    <row r="263" spans="1:10" x14ac:dyDescent="0.25">
      <c r="A263" s="31">
        <v>262</v>
      </c>
      <c r="B263" s="32">
        <f t="shared" si="4"/>
        <v>43619</v>
      </c>
      <c r="C263" s="32"/>
      <c r="D263" s="32"/>
      <c r="E263" s="27" t="s">
        <v>543</v>
      </c>
      <c r="F263" s="28" t="s">
        <v>544</v>
      </c>
      <c r="G263" s="27" t="s">
        <v>869</v>
      </c>
      <c r="H263" s="27" t="s">
        <v>875</v>
      </c>
      <c r="I263" s="31">
        <v>15</v>
      </c>
      <c r="J263" s="33">
        <f>StockOutData[[#This Row],[Quantity]]*2.5</f>
        <v>37.5</v>
      </c>
    </row>
    <row r="264" spans="1:10" x14ac:dyDescent="0.25">
      <c r="A264" s="31">
        <v>263</v>
      </c>
      <c r="B264" s="32">
        <f t="shared" si="4"/>
        <v>43620</v>
      </c>
      <c r="C264" s="32"/>
      <c r="D264" s="32"/>
      <c r="E264" s="27" t="s">
        <v>545</v>
      </c>
      <c r="F264" s="28" t="s">
        <v>546</v>
      </c>
      <c r="G264" s="27" t="s">
        <v>869</v>
      </c>
      <c r="H264" s="27" t="s">
        <v>875</v>
      </c>
      <c r="I264" s="31">
        <v>18</v>
      </c>
      <c r="J264" s="33">
        <f>StockOutData[[#This Row],[Quantity]]*2.5</f>
        <v>45</v>
      </c>
    </row>
    <row r="265" spans="1:10" x14ac:dyDescent="0.25">
      <c r="A265" s="31">
        <v>264</v>
      </c>
      <c r="B265" s="32">
        <f t="shared" si="4"/>
        <v>43621</v>
      </c>
      <c r="C265" s="32"/>
      <c r="D265" s="32"/>
      <c r="E265" s="27" t="s">
        <v>547</v>
      </c>
      <c r="F265" s="28" t="s">
        <v>548</v>
      </c>
      <c r="G265" s="27" t="s">
        <v>869</v>
      </c>
      <c r="H265" s="27" t="s">
        <v>875</v>
      </c>
      <c r="I265" s="31">
        <v>12</v>
      </c>
      <c r="J265" s="33">
        <f>StockOutData[[#This Row],[Quantity]]*2.5</f>
        <v>30</v>
      </c>
    </row>
    <row r="266" spans="1:10" x14ac:dyDescent="0.25">
      <c r="A266" s="31">
        <v>265</v>
      </c>
      <c r="B266" s="32">
        <f t="shared" si="4"/>
        <v>43622</v>
      </c>
      <c r="C266" s="32"/>
      <c r="D266" s="32"/>
      <c r="E266" s="27" t="s">
        <v>549</v>
      </c>
      <c r="F266" s="28" t="s">
        <v>550</v>
      </c>
      <c r="G266" s="27" t="s">
        <v>869</v>
      </c>
      <c r="H266" s="27" t="s">
        <v>875</v>
      </c>
      <c r="I266" s="31">
        <v>14</v>
      </c>
      <c r="J266" s="33">
        <f>StockOutData[[#This Row],[Quantity]]*2.5</f>
        <v>35</v>
      </c>
    </row>
    <row r="267" spans="1:10" x14ac:dyDescent="0.25">
      <c r="A267" s="31">
        <v>266</v>
      </c>
      <c r="B267" s="32">
        <f t="shared" si="4"/>
        <v>43623</v>
      </c>
      <c r="C267" s="32"/>
      <c r="D267" s="32"/>
      <c r="E267" s="27" t="s">
        <v>551</v>
      </c>
      <c r="F267" s="28" t="s">
        <v>552</v>
      </c>
      <c r="G267" s="27" t="s">
        <v>869</v>
      </c>
      <c r="H267" s="27" t="s">
        <v>875</v>
      </c>
      <c r="I267" s="31">
        <v>13</v>
      </c>
      <c r="J267" s="33">
        <f>StockOutData[[#This Row],[Quantity]]*2.5</f>
        <v>32.5</v>
      </c>
    </row>
    <row r="268" spans="1:10" x14ac:dyDescent="0.25">
      <c r="A268" s="31">
        <v>267</v>
      </c>
      <c r="B268" s="32">
        <f t="shared" si="4"/>
        <v>43624</v>
      </c>
      <c r="C268" s="32"/>
      <c r="D268" s="32"/>
      <c r="E268" s="27" t="s">
        <v>553</v>
      </c>
      <c r="F268" s="28" t="s">
        <v>554</v>
      </c>
      <c r="G268" s="27" t="s">
        <v>869</v>
      </c>
      <c r="H268" s="27" t="s">
        <v>875</v>
      </c>
      <c r="I268" s="31">
        <v>5</v>
      </c>
      <c r="J268" s="33">
        <f>StockOutData[[#This Row],[Quantity]]*2.5</f>
        <v>12.5</v>
      </c>
    </row>
    <row r="269" spans="1:10" x14ac:dyDescent="0.25">
      <c r="A269" s="31">
        <v>268</v>
      </c>
      <c r="B269" s="32">
        <f t="shared" si="4"/>
        <v>43625</v>
      </c>
      <c r="C269" s="32"/>
      <c r="D269" s="32"/>
      <c r="E269" s="27" t="s">
        <v>555</v>
      </c>
      <c r="F269" s="28" t="s">
        <v>556</v>
      </c>
      <c r="G269" s="27" t="s">
        <v>869</v>
      </c>
      <c r="H269" s="27" t="s">
        <v>875</v>
      </c>
      <c r="I269" s="31">
        <v>7</v>
      </c>
      <c r="J269" s="33">
        <f>StockOutData[[#This Row],[Quantity]]*2.5</f>
        <v>17.5</v>
      </c>
    </row>
    <row r="270" spans="1:10" x14ac:dyDescent="0.25">
      <c r="A270" s="31">
        <v>269</v>
      </c>
      <c r="B270" s="32">
        <f t="shared" si="4"/>
        <v>43626</v>
      </c>
      <c r="C270" s="32"/>
      <c r="D270" s="32"/>
      <c r="E270" s="27" t="s">
        <v>557</v>
      </c>
      <c r="F270" s="28" t="s">
        <v>558</v>
      </c>
      <c r="G270" s="27" t="s">
        <v>869</v>
      </c>
      <c r="H270" s="27" t="s">
        <v>875</v>
      </c>
      <c r="I270" s="31">
        <v>15</v>
      </c>
      <c r="J270" s="33">
        <f>StockOutData[[#This Row],[Quantity]]*2.5</f>
        <v>37.5</v>
      </c>
    </row>
    <row r="271" spans="1:10" x14ac:dyDescent="0.25">
      <c r="A271" s="31">
        <v>270</v>
      </c>
      <c r="B271" s="32">
        <f t="shared" si="4"/>
        <v>43627</v>
      </c>
      <c r="C271" s="32"/>
      <c r="D271" s="32"/>
      <c r="E271" s="27" t="s">
        <v>559</v>
      </c>
      <c r="F271" s="28" t="s">
        <v>560</v>
      </c>
      <c r="G271" s="27" t="s">
        <v>869</v>
      </c>
      <c r="H271" s="27" t="s">
        <v>875</v>
      </c>
      <c r="I271" s="31">
        <v>18</v>
      </c>
      <c r="J271" s="33">
        <f>StockOutData[[#This Row],[Quantity]]*2.5</f>
        <v>45</v>
      </c>
    </row>
    <row r="272" spans="1:10" x14ac:dyDescent="0.25">
      <c r="A272" s="31">
        <v>271</v>
      </c>
      <c r="B272" s="32">
        <f t="shared" si="4"/>
        <v>43628</v>
      </c>
      <c r="C272" s="32"/>
      <c r="D272" s="32"/>
      <c r="E272" s="27" t="s">
        <v>561</v>
      </c>
      <c r="F272" s="28" t="s">
        <v>562</v>
      </c>
      <c r="G272" s="27" t="s">
        <v>869</v>
      </c>
      <c r="H272" s="27" t="s">
        <v>875</v>
      </c>
      <c r="I272" s="31">
        <v>12</v>
      </c>
      <c r="J272" s="33">
        <f>StockOutData[[#This Row],[Quantity]]*2.5</f>
        <v>30</v>
      </c>
    </row>
    <row r="273" spans="1:10" x14ac:dyDescent="0.25">
      <c r="A273" s="31">
        <v>272</v>
      </c>
      <c r="B273" s="32">
        <f t="shared" si="4"/>
        <v>43629</v>
      </c>
      <c r="C273" s="32"/>
      <c r="D273" s="32"/>
      <c r="E273" s="27" t="s">
        <v>563</v>
      </c>
      <c r="F273" s="28" t="s">
        <v>564</v>
      </c>
      <c r="G273" s="27" t="s">
        <v>869</v>
      </c>
      <c r="H273" s="27" t="s">
        <v>875</v>
      </c>
      <c r="I273" s="31">
        <v>10</v>
      </c>
      <c r="J273" s="33">
        <f>StockOutData[[#This Row],[Quantity]]*2.5</f>
        <v>25</v>
      </c>
    </row>
    <row r="274" spans="1:10" x14ac:dyDescent="0.25">
      <c r="A274" s="31">
        <v>273</v>
      </c>
      <c r="B274" s="32">
        <f t="shared" si="4"/>
        <v>43630</v>
      </c>
      <c r="C274" s="32"/>
      <c r="D274" s="32"/>
      <c r="E274" s="27" t="s">
        <v>565</v>
      </c>
      <c r="F274" s="28" t="s">
        <v>566</v>
      </c>
      <c r="G274" s="27" t="s">
        <v>869</v>
      </c>
      <c r="H274" s="27" t="s">
        <v>875</v>
      </c>
      <c r="I274" s="31">
        <v>10</v>
      </c>
      <c r="J274" s="33">
        <f>StockOutData[[#This Row],[Quantity]]*2.5</f>
        <v>25</v>
      </c>
    </row>
    <row r="275" spans="1:10" x14ac:dyDescent="0.25">
      <c r="A275" s="31">
        <v>274</v>
      </c>
      <c r="B275" s="32">
        <f t="shared" si="4"/>
        <v>43631</v>
      </c>
      <c r="C275" s="32"/>
      <c r="D275" s="32"/>
      <c r="E275" s="27" t="s">
        <v>567</v>
      </c>
      <c r="F275" s="28" t="s">
        <v>568</v>
      </c>
      <c r="G275" s="27" t="s">
        <v>869</v>
      </c>
      <c r="H275" s="27" t="s">
        <v>875</v>
      </c>
      <c r="I275" s="31">
        <v>10</v>
      </c>
      <c r="J275" s="33">
        <f>StockOutData[[#This Row],[Quantity]]*2.5</f>
        <v>25</v>
      </c>
    </row>
    <row r="276" spans="1:10" x14ac:dyDescent="0.25">
      <c r="A276" s="31">
        <v>275</v>
      </c>
      <c r="B276" s="32">
        <f t="shared" si="4"/>
        <v>43632</v>
      </c>
      <c r="C276" s="32"/>
      <c r="D276" s="32"/>
      <c r="E276" s="27" t="s">
        <v>569</v>
      </c>
      <c r="F276" s="28" t="s">
        <v>570</v>
      </c>
      <c r="G276" s="27" t="s">
        <v>869</v>
      </c>
      <c r="H276" s="27" t="s">
        <v>875</v>
      </c>
      <c r="I276" s="31">
        <v>10</v>
      </c>
      <c r="J276" s="33">
        <f>StockOutData[[#This Row],[Quantity]]*2.5</f>
        <v>25</v>
      </c>
    </row>
    <row r="277" spans="1:10" x14ac:dyDescent="0.25">
      <c r="A277" s="31">
        <v>276</v>
      </c>
      <c r="B277" s="32">
        <f t="shared" si="4"/>
        <v>43633</v>
      </c>
      <c r="C277" s="32"/>
      <c r="D277" s="32"/>
      <c r="E277" s="27" t="s">
        <v>571</v>
      </c>
      <c r="F277" s="28" t="s">
        <v>572</v>
      </c>
      <c r="G277" s="27" t="s">
        <v>869</v>
      </c>
      <c r="H277" s="27" t="s">
        <v>875</v>
      </c>
      <c r="I277" s="31">
        <v>7</v>
      </c>
      <c r="J277" s="33">
        <f>StockOutData[[#This Row],[Quantity]]*2.5</f>
        <v>17.5</v>
      </c>
    </row>
    <row r="278" spans="1:10" x14ac:dyDescent="0.25">
      <c r="A278" s="31">
        <v>277</v>
      </c>
      <c r="B278" s="32">
        <f t="shared" si="4"/>
        <v>43634</v>
      </c>
      <c r="C278" s="32"/>
      <c r="D278" s="32"/>
      <c r="E278" s="27" t="s">
        <v>573</v>
      </c>
      <c r="F278" s="28" t="s">
        <v>574</v>
      </c>
      <c r="G278" s="27" t="s">
        <v>869</v>
      </c>
      <c r="H278" s="27" t="s">
        <v>875</v>
      </c>
      <c r="I278" s="31">
        <v>15</v>
      </c>
      <c r="J278" s="33">
        <f>StockOutData[[#This Row],[Quantity]]*2.5</f>
        <v>37.5</v>
      </c>
    </row>
    <row r="279" spans="1:10" x14ac:dyDescent="0.25">
      <c r="A279" s="31">
        <v>278</v>
      </c>
      <c r="B279" s="32">
        <f t="shared" si="4"/>
        <v>43635</v>
      </c>
      <c r="C279" s="32"/>
      <c r="D279" s="32"/>
      <c r="E279" s="27" t="s">
        <v>575</v>
      </c>
      <c r="F279" s="28" t="s">
        <v>576</v>
      </c>
      <c r="G279" s="27" t="s">
        <v>869</v>
      </c>
      <c r="H279" s="27" t="s">
        <v>875</v>
      </c>
      <c r="I279" s="31">
        <v>18</v>
      </c>
      <c r="J279" s="33">
        <f>StockOutData[[#This Row],[Quantity]]*2.5</f>
        <v>45</v>
      </c>
    </row>
    <row r="280" spans="1:10" x14ac:dyDescent="0.25">
      <c r="A280" s="31">
        <v>279</v>
      </c>
      <c r="B280" s="32">
        <f t="shared" si="4"/>
        <v>43636</v>
      </c>
      <c r="C280" s="32"/>
      <c r="D280" s="32"/>
      <c r="E280" s="27" t="s">
        <v>577</v>
      </c>
      <c r="F280" s="28" t="s">
        <v>578</v>
      </c>
      <c r="G280" s="27" t="s">
        <v>869</v>
      </c>
      <c r="H280" s="27" t="s">
        <v>875</v>
      </c>
      <c r="I280" s="31">
        <v>12</v>
      </c>
      <c r="J280" s="33">
        <f>StockOutData[[#This Row],[Quantity]]*2.5</f>
        <v>30</v>
      </c>
    </row>
    <row r="281" spans="1:10" x14ac:dyDescent="0.25">
      <c r="A281" s="31">
        <v>280</v>
      </c>
      <c r="B281" s="32">
        <f t="shared" si="4"/>
        <v>43637</v>
      </c>
      <c r="C281" s="32"/>
      <c r="D281" s="32"/>
      <c r="E281" s="27" t="s">
        <v>579</v>
      </c>
      <c r="F281" s="28" t="s">
        <v>580</v>
      </c>
      <c r="G281" s="27" t="s">
        <v>869</v>
      </c>
      <c r="H281" s="27" t="s">
        <v>875</v>
      </c>
      <c r="I281" s="31">
        <v>14</v>
      </c>
      <c r="J281" s="33">
        <f>StockOutData[[#This Row],[Quantity]]*2.5</f>
        <v>35</v>
      </c>
    </row>
    <row r="282" spans="1:10" x14ac:dyDescent="0.25">
      <c r="A282" s="31">
        <v>281</v>
      </c>
      <c r="B282" s="32">
        <f t="shared" si="4"/>
        <v>43638</v>
      </c>
      <c r="C282" s="32"/>
      <c r="D282" s="32"/>
      <c r="E282" s="27" t="s">
        <v>581</v>
      </c>
      <c r="F282" s="28" t="s">
        <v>582</v>
      </c>
      <c r="G282" s="27" t="s">
        <v>869</v>
      </c>
      <c r="H282" s="27" t="s">
        <v>875</v>
      </c>
      <c r="I282" s="31">
        <v>13</v>
      </c>
      <c r="J282" s="33">
        <f>StockOutData[[#This Row],[Quantity]]*2.5</f>
        <v>32.5</v>
      </c>
    </row>
    <row r="283" spans="1:10" x14ac:dyDescent="0.25">
      <c r="A283" s="31">
        <v>282</v>
      </c>
      <c r="B283" s="32">
        <f t="shared" si="4"/>
        <v>43639</v>
      </c>
      <c r="C283" s="32"/>
      <c r="D283" s="32"/>
      <c r="E283" s="27" t="s">
        <v>583</v>
      </c>
      <c r="F283" s="28" t="s">
        <v>584</v>
      </c>
      <c r="G283" s="27" t="s">
        <v>869</v>
      </c>
      <c r="H283" s="27" t="s">
        <v>875</v>
      </c>
      <c r="I283" s="31">
        <v>5</v>
      </c>
      <c r="J283" s="33">
        <f>StockOutData[[#This Row],[Quantity]]*2.5</f>
        <v>12.5</v>
      </c>
    </row>
    <row r="284" spans="1:10" x14ac:dyDescent="0.25">
      <c r="A284" s="31">
        <v>283</v>
      </c>
      <c r="B284" s="32">
        <f t="shared" si="4"/>
        <v>43640</v>
      </c>
      <c r="C284" s="32"/>
      <c r="D284" s="32"/>
      <c r="E284" s="27" t="s">
        <v>585</v>
      </c>
      <c r="F284" s="28" t="s">
        <v>586</v>
      </c>
      <c r="G284" s="27" t="s">
        <v>869</v>
      </c>
      <c r="H284" s="27" t="s">
        <v>875</v>
      </c>
      <c r="I284" s="31">
        <v>7</v>
      </c>
      <c r="J284" s="33">
        <f>StockOutData[[#This Row],[Quantity]]*2.5</f>
        <v>17.5</v>
      </c>
    </row>
    <row r="285" spans="1:10" x14ac:dyDescent="0.25">
      <c r="A285" s="31">
        <v>284</v>
      </c>
      <c r="B285" s="32">
        <f t="shared" si="4"/>
        <v>43641</v>
      </c>
      <c r="C285" s="32"/>
      <c r="D285" s="32"/>
      <c r="E285" s="27" t="s">
        <v>587</v>
      </c>
      <c r="F285" s="28" t="s">
        <v>588</v>
      </c>
      <c r="G285" s="27" t="s">
        <v>869</v>
      </c>
      <c r="H285" s="27" t="s">
        <v>875</v>
      </c>
      <c r="I285" s="31">
        <v>15</v>
      </c>
      <c r="J285" s="33">
        <f>StockOutData[[#This Row],[Quantity]]*2.5</f>
        <v>37.5</v>
      </c>
    </row>
    <row r="286" spans="1:10" x14ac:dyDescent="0.25">
      <c r="A286" s="31">
        <v>285</v>
      </c>
      <c r="B286" s="32">
        <f t="shared" si="4"/>
        <v>43642</v>
      </c>
      <c r="C286" s="32"/>
      <c r="D286" s="32"/>
      <c r="E286" s="27" t="s">
        <v>589</v>
      </c>
      <c r="F286" s="28" t="s">
        <v>590</v>
      </c>
      <c r="G286" s="27" t="s">
        <v>869</v>
      </c>
      <c r="H286" s="27" t="s">
        <v>875</v>
      </c>
      <c r="I286" s="31">
        <v>18</v>
      </c>
      <c r="J286" s="33">
        <f>StockOutData[[#This Row],[Quantity]]*2.5</f>
        <v>45</v>
      </c>
    </row>
    <row r="287" spans="1:10" x14ac:dyDescent="0.25">
      <c r="A287" s="31">
        <v>286</v>
      </c>
      <c r="B287" s="32">
        <f t="shared" si="4"/>
        <v>43643</v>
      </c>
      <c r="C287" s="32"/>
      <c r="D287" s="32"/>
      <c r="E287" s="27" t="s">
        <v>591</v>
      </c>
      <c r="F287" s="28" t="s">
        <v>592</v>
      </c>
      <c r="G287" s="27" t="s">
        <v>869</v>
      </c>
      <c r="H287" s="27" t="s">
        <v>875</v>
      </c>
      <c r="I287" s="31">
        <v>12</v>
      </c>
      <c r="J287" s="33">
        <f>StockOutData[[#This Row],[Quantity]]*2.5</f>
        <v>30</v>
      </c>
    </row>
    <row r="288" spans="1:10" x14ac:dyDescent="0.25">
      <c r="A288" s="31">
        <v>287</v>
      </c>
      <c r="B288" s="32">
        <f t="shared" si="4"/>
        <v>43644</v>
      </c>
      <c r="C288" s="32"/>
      <c r="D288" s="32"/>
      <c r="E288" s="27" t="s">
        <v>593</v>
      </c>
      <c r="F288" s="28" t="s">
        <v>594</v>
      </c>
      <c r="G288" s="27" t="s">
        <v>869</v>
      </c>
      <c r="H288" s="27" t="s">
        <v>875</v>
      </c>
      <c r="I288" s="31">
        <v>14</v>
      </c>
      <c r="J288" s="33">
        <f>StockOutData[[#This Row],[Quantity]]*2.5</f>
        <v>35</v>
      </c>
    </row>
    <row r="289" spans="1:10" x14ac:dyDescent="0.25">
      <c r="A289" s="31">
        <v>288</v>
      </c>
      <c r="B289" s="32">
        <f t="shared" si="4"/>
        <v>43645</v>
      </c>
      <c r="C289" s="32"/>
      <c r="D289" s="32"/>
      <c r="E289" s="27" t="s">
        <v>595</v>
      </c>
      <c r="F289" s="28" t="s">
        <v>596</v>
      </c>
      <c r="G289" s="27" t="s">
        <v>869</v>
      </c>
      <c r="H289" s="27" t="s">
        <v>875</v>
      </c>
      <c r="I289" s="31">
        <v>13</v>
      </c>
      <c r="J289" s="33">
        <f>StockOutData[[#This Row],[Quantity]]*2.5</f>
        <v>32.5</v>
      </c>
    </row>
    <row r="290" spans="1:10" x14ac:dyDescent="0.25">
      <c r="A290" s="31">
        <v>289</v>
      </c>
      <c r="B290" s="32">
        <f t="shared" si="4"/>
        <v>43646</v>
      </c>
      <c r="C290" s="32"/>
      <c r="D290" s="32"/>
      <c r="E290" s="27" t="s">
        <v>597</v>
      </c>
      <c r="F290" s="28" t="s">
        <v>598</v>
      </c>
      <c r="G290" s="27" t="s">
        <v>869</v>
      </c>
      <c r="H290" s="27" t="s">
        <v>875</v>
      </c>
      <c r="I290" s="31">
        <v>5</v>
      </c>
      <c r="J290" s="33">
        <f>StockOutData[[#This Row],[Quantity]]*2.5</f>
        <v>12.5</v>
      </c>
    </row>
    <row r="291" spans="1:10" x14ac:dyDescent="0.25">
      <c r="A291" s="31">
        <v>290</v>
      </c>
      <c r="B291" s="32">
        <f t="shared" si="4"/>
        <v>43647</v>
      </c>
      <c r="C291" s="32"/>
      <c r="D291" s="32"/>
      <c r="E291" s="27" t="s">
        <v>599</v>
      </c>
      <c r="F291" s="28" t="s">
        <v>600</v>
      </c>
      <c r="G291" s="27" t="s">
        <v>869</v>
      </c>
      <c r="H291" s="27" t="s">
        <v>875</v>
      </c>
      <c r="I291" s="31">
        <v>7</v>
      </c>
      <c r="J291" s="33">
        <f>StockOutData[[#This Row],[Quantity]]*2.5</f>
        <v>17.5</v>
      </c>
    </row>
    <row r="292" spans="1:10" x14ac:dyDescent="0.25">
      <c r="A292" s="31">
        <v>291</v>
      </c>
      <c r="B292" s="32">
        <f t="shared" si="4"/>
        <v>43648</v>
      </c>
      <c r="C292" s="32"/>
      <c r="D292" s="32"/>
      <c r="E292" s="27" t="s">
        <v>601</v>
      </c>
      <c r="F292" s="28" t="s">
        <v>602</v>
      </c>
      <c r="G292" s="27" t="s">
        <v>869</v>
      </c>
      <c r="H292" s="27" t="s">
        <v>875</v>
      </c>
      <c r="I292" s="31">
        <v>15</v>
      </c>
      <c r="J292" s="33">
        <f>StockOutData[[#This Row],[Quantity]]*2.5</f>
        <v>37.5</v>
      </c>
    </row>
    <row r="293" spans="1:10" x14ac:dyDescent="0.25">
      <c r="A293" s="31">
        <v>292</v>
      </c>
      <c r="B293" s="32">
        <f t="shared" si="4"/>
        <v>43649</v>
      </c>
      <c r="C293" s="32"/>
      <c r="D293" s="32"/>
      <c r="E293" s="29" t="s">
        <v>603</v>
      </c>
      <c r="F293" s="30" t="s">
        <v>604</v>
      </c>
      <c r="G293" s="27" t="s">
        <v>869</v>
      </c>
      <c r="H293" s="27" t="s">
        <v>875</v>
      </c>
      <c r="I293" s="31">
        <v>18</v>
      </c>
      <c r="J293" s="33">
        <f>StockOutData[[#This Row],[Quantity]]*2.5</f>
        <v>45</v>
      </c>
    </row>
    <row r="294" spans="1:10" x14ac:dyDescent="0.25">
      <c r="A294" s="31">
        <v>293</v>
      </c>
      <c r="B294" s="32">
        <f t="shared" si="4"/>
        <v>43650</v>
      </c>
      <c r="C294" s="32"/>
      <c r="D294" s="32"/>
      <c r="E294" s="29" t="s">
        <v>605</v>
      </c>
      <c r="F294" s="30" t="s">
        <v>606</v>
      </c>
      <c r="G294" s="27" t="s">
        <v>869</v>
      </c>
      <c r="H294" s="27" t="s">
        <v>875</v>
      </c>
      <c r="I294" s="31">
        <v>12</v>
      </c>
      <c r="J294" s="33">
        <f>StockOutData[[#This Row],[Quantity]]*2.5</f>
        <v>30</v>
      </c>
    </row>
    <row r="295" spans="1:10" x14ac:dyDescent="0.25">
      <c r="A295" s="31">
        <v>294</v>
      </c>
      <c r="B295" s="32">
        <f t="shared" si="4"/>
        <v>43651</v>
      </c>
      <c r="C295" s="32"/>
      <c r="D295" s="32"/>
      <c r="E295" s="29" t="s">
        <v>607</v>
      </c>
      <c r="F295" s="30" t="s">
        <v>608</v>
      </c>
      <c r="G295" s="27" t="s">
        <v>869</v>
      </c>
      <c r="H295" s="27" t="s">
        <v>875</v>
      </c>
      <c r="I295" s="31">
        <v>10</v>
      </c>
      <c r="J295" s="33">
        <f>StockOutData[[#This Row],[Quantity]]*2.5</f>
        <v>25</v>
      </c>
    </row>
    <row r="296" spans="1:10" x14ac:dyDescent="0.25">
      <c r="A296" s="31">
        <v>295</v>
      </c>
      <c r="B296" s="32">
        <f t="shared" si="4"/>
        <v>43652</v>
      </c>
      <c r="C296" s="32"/>
      <c r="D296" s="32"/>
      <c r="E296" s="29" t="s">
        <v>609</v>
      </c>
      <c r="F296" s="30" t="s">
        <v>610</v>
      </c>
      <c r="G296" s="27" t="s">
        <v>869</v>
      </c>
      <c r="H296" s="27" t="s">
        <v>875</v>
      </c>
      <c r="I296" s="31">
        <v>10</v>
      </c>
      <c r="J296" s="33">
        <f>StockOutData[[#This Row],[Quantity]]*2.5</f>
        <v>25</v>
      </c>
    </row>
    <row r="297" spans="1:10" x14ac:dyDescent="0.25">
      <c r="A297" s="31">
        <v>296</v>
      </c>
      <c r="B297" s="32">
        <f t="shared" si="4"/>
        <v>43653</v>
      </c>
      <c r="C297" s="32"/>
      <c r="D297" s="32"/>
      <c r="E297" s="29" t="s">
        <v>611</v>
      </c>
      <c r="F297" s="30" t="s">
        <v>612</v>
      </c>
      <c r="G297" s="27" t="s">
        <v>869</v>
      </c>
      <c r="H297" s="27" t="s">
        <v>875</v>
      </c>
      <c r="I297" s="31">
        <v>10</v>
      </c>
      <c r="J297" s="33">
        <f>StockOutData[[#This Row],[Quantity]]*2.5</f>
        <v>25</v>
      </c>
    </row>
    <row r="298" spans="1:10" x14ac:dyDescent="0.25">
      <c r="A298" s="31">
        <v>297</v>
      </c>
      <c r="B298" s="32">
        <f t="shared" si="4"/>
        <v>43654</v>
      </c>
      <c r="C298" s="32"/>
      <c r="D298" s="32"/>
      <c r="E298" s="29" t="s">
        <v>613</v>
      </c>
      <c r="F298" s="30" t="s">
        <v>614</v>
      </c>
      <c r="G298" s="27" t="s">
        <v>869</v>
      </c>
      <c r="H298" s="27" t="s">
        <v>875</v>
      </c>
      <c r="I298" s="31">
        <v>10</v>
      </c>
      <c r="J298" s="33">
        <f>StockOutData[[#This Row],[Quantity]]*2.5</f>
        <v>25</v>
      </c>
    </row>
    <row r="299" spans="1:10" x14ac:dyDescent="0.25">
      <c r="A299" s="31">
        <v>298</v>
      </c>
      <c r="B299" s="32">
        <f t="shared" si="4"/>
        <v>43655</v>
      </c>
      <c r="C299" s="32"/>
      <c r="D299" s="32"/>
      <c r="E299" s="29" t="s">
        <v>615</v>
      </c>
      <c r="F299" s="30" t="s">
        <v>616</v>
      </c>
      <c r="G299" s="27" t="s">
        <v>869</v>
      </c>
      <c r="H299" s="27" t="s">
        <v>875</v>
      </c>
      <c r="I299" s="31">
        <v>7</v>
      </c>
      <c r="J299" s="33">
        <f>StockOutData[[#This Row],[Quantity]]*2.5</f>
        <v>17.5</v>
      </c>
    </row>
    <row r="300" spans="1:10" x14ac:dyDescent="0.25">
      <c r="A300" s="31">
        <v>299</v>
      </c>
      <c r="B300" s="32">
        <f t="shared" si="4"/>
        <v>43656</v>
      </c>
      <c r="C300" s="32"/>
      <c r="D300" s="32"/>
      <c r="E300" s="29" t="s">
        <v>617</v>
      </c>
      <c r="F300" s="30" t="s">
        <v>618</v>
      </c>
      <c r="G300" s="27" t="s">
        <v>869</v>
      </c>
      <c r="H300" s="27" t="s">
        <v>875</v>
      </c>
      <c r="I300" s="31">
        <v>15</v>
      </c>
      <c r="J300" s="33">
        <f>StockOutData[[#This Row],[Quantity]]*2.5</f>
        <v>37.5</v>
      </c>
    </row>
    <row r="301" spans="1:10" x14ac:dyDescent="0.25">
      <c r="A301" s="31">
        <v>300</v>
      </c>
      <c r="B301" s="32">
        <f t="shared" si="4"/>
        <v>43657</v>
      </c>
      <c r="C301" s="32"/>
      <c r="D301" s="32"/>
      <c r="E301" s="29" t="s">
        <v>619</v>
      </c>
      <c r="F301" s="30" t="s">
        <v>620</v>
      </c>
      <c r="G301" s="27" t="s">
        <v>869</v>
      </c>
      <c r="H301" s="27" t="s">
        <v>875</v>
      </c>
      <c r="I301" s="31">
        <v>18</v>
      </c>
      <c r="J301" s="33">
        <f>StockOutData[[#This Row],[Quantity]]*2.5</f>
        <v>45</v>
      </c>
    </row>
    <row r="302" spans="1:10" x14ac:dyDescent="0.25">
      <c r="A302" s="31">
        <v>301</v>
      </c>
      <c r="B302" s="32">
        <f t="shared" si="4"/>
        <v>43658</v>
      </c>
      <c r="C302" s="32"/>
      <c r="D302" s="32"/>
      <c r="E302" s="29" t="s">
        <v>621</v>
      </c>
      <c r="F302" s="30" t="s">
        <v>622</v>
      </c>
      <c r="G302" s="27" t="s">
        <v>869</v>
      </c>
      <c r="H302" s="27" t="s">
        <v>875</v>
      </c>
      <c r="I302" s="31">
        <v>12</v>
      </c>
      <c r="J302" s="33">
        <f>StockOutData[[#This Row],[Quantity]]*2.5</f>
        <v>30</v>
      </c>
    </row>
    <row r="303" spans="1:10" x14ac:dyDescent="0.25">
      <c r="A303" s="31">
        <v>302</v>
      </c>
      <c r="B303" s="32">
        <f t="shared" si="4"/>
        <v>43659</v>
      </c>
      <c r="C303" s="32"/>
      <c r="D303" s="32"/>
      <c r="E303" s="29" t="s">
        <v>623</v>
      </c>
      <c r="F303" s="30" t="s">
        <v>624</v>
      </c>
      <c r="G303" s="27" t="s">
        <v>869</v>
      </c>
      <c r="H303" s="27" t="s">
        <v>875</v>
      </c>
      <c r="I303" s="31">
        <v>14</v>
      </c>
      <c r="J303" s="33">
        <f>StockOutData[[#This Row],[Quantity]]*2.5</f>
        <v>35</v>
      </c>
    </row>
    <row r="304" spans="1:10" x14ac:dyDescent="0.25">
      <c r="A304" s="31">
        <v>303</v>
      </c>
      <c r="B304" s="32">
        <f t="shared" si="4"/>
        <v>43660</v>
      </c>
      <c r="C304" s="32"/>
      <c r="D304" s="32"/>
      <c r="E304" s="29" t="s">
        <v>625</v>
      </c>
      <c r="F304" s="30" t="s">
        <v>626</v>
      </c>
      <c r="G304" s="27" t="s">
        <v>869</v>
      </c>
      <c r="H304" s="27" t="s">
        <v>875</v>
      </c>
      <c r="I304" s="31">
        <v>13</v>
      </c>
      <c r="J304" s="33">
        <f>StockOutData[[#This Row],[Quantity]]*2.5</f>
        <v>32.5</v>
      </c>
    </row>
    <row r="305" spans="1:10" x14ac:dyDescent="0.25">
      <c r="A305" s="31">
        <v>304</v>
      </c>
      <c r="B305" s="32">
        <f t="shared" si="4"/>
        <v>43661</v>
      </c>
      <c r="C305" s="32"/>
      <c r="D305" s="32"/>
      <c r="E305" s="29" t="s">
        <v>627</v>
      </c>
      <c r="F305" s="30" t="s">
        <v>628</v>
      </c>
      <c r="G305" s="27" t="s">
        <v>869</v>
      </c>
      <c r="H305" s="27" t="s">
        <v>875</v>
      </c>
      <c r="I305" s="31">
        <v>5</v>
      </c>
      <c r="J305" s="33">
        <f>StockOutData[[#This Row],[Quantity]]*2.5</f>
        <v>12.5</v>
      </c>
    </row>
    <row r="306" spans="1:10" x14ac:dyDescent="0.25">
      <c r="A306" s="31">
        <v>305</v>
      </c>
      <c r="B306" s="32">
        <f t="shared" si="4"/>
        <v>43662</v>
      </c>
      <c r="C306" s="32"/>
      <c r="D306" s="32"/>
      <c r="E306" s="29" t="s">
        <v>629</v>
      </c>
      <c r="F306" s="30" t="s">
        <v>630</v>
      </c>
      <c r="G306" s="27" t="s">
        <v>869</v>
      </c>
      <c r="H306" s="27" t="s">
        <v>875</v>
      </c>
      <c r="I306" s="31">
        <v>7</v>
      </c>
      <c r="J306" s="33">
        <f>StockOutData[[#This Row],[Quantity]]*2.5</f>
        <v>17.5</v>
      </c>
    </row>
    <row r="307" spans="1:10" x14ac:dyDescent="0.25">
      <c r="A307" s="31">
        <v>306</v>
      </c>
      <c r="B307" s="32">
        <f t="shared" si="4"/>
        <v>43663</v>
      </c>
      <c r="C307" s="32"/>
      <c r="D307" s="32"/>
      <c r="E307" s="29" t="s">
        <v>631</v>
      </c>
      <c r="F307" s="30" t="s">
        <v>632</v>
      </c>
      <c r="G307" s="27" t="s">
        <v>869</v>
      </c>
      <c r="H307" s="27" t="s">
        <v>875</v>
      </c>
      <c r="I307" s="31">
        <v>15</v>
      </c>
      <c r="J307" s="33">
        <f>StockOutData[[#This Row],[Quantity]]*2.5</f>
        <v>37.5</v>
      </c>
    </row>
    <row r="308" spans="1:10" x14ac:dyDescent="0.25">
      <c r="A308" s="31">
        <v>307</v>
      </c>
      <c r="B308" s="32">
        <f t="shared" si="4"/>
        <v>43664</v>
      </c>
      <c r="C308" s="32"/>
      <c r="D308" s="32"/>
      <c r="E308" s="29" t="s">
        <v>633</v>
      </c>
      <c r="F308" s="30" t="s">
        <v>634</v>
      </c>
      <c r="G308" s="27" t="s">
        <v>869</v>
      </c>
      <c r="H308" s="27" t="s">
        <v>875</v>
      </c>
      <c r="I308" s="31">
        <v>18</v>
      </c>
      <c r="J308" s="33">
        <f>StockOutData[[#This Row],[Quantity]]*2.5</f>
        <v>45</v>
      </c>
    </row>
    <row r="309" spans="1:10" x14ac:dyDescent="0.25">
      <c r="A309" s="31">
        <v>308</v>
      </c>
      <c r="B309" s="32">
        <f t="shared" si="4"/>
        <v>43665</v>
      </c>
      <c r="C309" s="32"/>
      <c r="D309" s="32"/>
      <c r="E309" s="29" t="s">
        <v>635</v>
      </c>
      <c r="F309" s="30" t="s">
        <v>636</v>
      </c>
      <c r="G309" s="27" t="s">
        <v>869</v>
      </c>
      <c r="H309" s="27" t="s">
        <v>875</v>
      </c>
      <c r="I309" s="31">
        <v>12</v>
      </c>
      <c r="J309" s="33">
        <f>StockOutData[[#This Row],[Quantity]]*2.5</f>
        <v>30</v>
      </c>
    </row>
    <row r="310" spans="1:10" x14ac:dyDescent="0.25">
      <c r="A310" s="31">
        <v>309</v>
      </c>
      <c r="B310" s="32">
        <f t="shared" si="4"/>
        <v>43666</v>
      </c>
      <c r="C310" s="32"/>
      <c r="D310" s="32"/>
      <c r="E310" s="29" t="s">
        <v>637</v>
      </c>
      <c r="F310" s="30" t="s">
        <v>638</v>
      </c>
      <c r="G310" s="27" t="s">
        <v>869</v>
      </c>
      <c r="H310" s="27" t="s">
        <v>875</v>
      </c>
      <c r="I310" s="31">
        <v>14</v>
      </c>
      <c r="J310" s="33">
        <f>StockOutData[[#This Row],[Quantity]]*2.5</f>
        <v>35</v>
      </c>
    </row>
    <row r="311" spans="1:10" x14ac:dyDescent="0.25">
      <c r="A311" s="31">
        <v>310</v>
      </c>
      <c r="B311" s="32">
        <f t="shared" si="4"/>
        <v>43667</v>
      </c>
      <c r="C311" s="32"/>
      <c r="D311" s="32"/>
      <c r="E311" s="29" t="s">
        <v>639</v>
      </c>
      <c r="F311" s="30" t="s">
        <v>640</v>
      </c>
      <c r="G311" s="27" t="s">
        <v>869</v>
      </c>
      <c r="H311" s="27" t="s">
        <v>875</v>
      </c>
      <c r="I311" s="31">
        <v>13</v>
      </c>
      <c r="J311" s="33">
        <f>StockOutData[[#This Row],[Quantity]]*2.5</f>
        <v>32.5</v>
      </c>
    </row>
    <row r="312" spans="1:10" x14ac:dyDescent="0.25">
      <c r="A312" s="31">
        <v>311</v>
      </c>
      <c r="B312" s="32">
        <f t="shared" si="4"/>
        <v>43668</v>
      </c>
      <c r="C312" s="32"/>
      <c r="D312" s="32"/>
      <c r="E312" s="29" t="s">
        <v>641</v>
      </c>
      <c r="F312" s="30" t="s">
        <v>642</v>
      </c>
      <c r="G312" s="27" t="s">
        <v>869</v>
      </c>
      <c r="H312" s="27" t="s">
        <v>875</v>
      </c>
      <c r="I312" s="31">
        <v>5</v>
      </c>
      <c r="J312" s="33">
        <f>StockOutData[[#This Row],[Quantity]]*2.5</f>
        <v>12.5</v>
      </c>
    </row>
    <row r="313" spans="1:10" x14ac:dyDescent="0.25">
      <c r="A313" s="31">
        <v>312</v>
      </c>
      <c r="B313" s="32">
        <f t="shared" si="4"/>
        <v>43669</v>
      </c>
      <c r="C313" s="32"/>
      <c r="D313" s="32"/>
      <c r="E313" s="29" t="s">
        <v>643</v>
      </c>
      <c r="F313" s="30" t="s">
        <v>644</v>
      </c>
      <c r="G313" s="27" t="s">
        <v>869</v>
      </c>
      <c r="H313" s="27" t="s">
        <v>875</v>
      </c>
      <c r="I313" s="31">
        <v>7</v>
      </c>
      <c r="J313" s="33">
        <f>StockOutData[[#This Row],[Quantity]]*2.5</f>
        <v>17.5</v>
      </c>
    </row>
    <row r="314" spans="1:10" x14ac:dyDescent="0.25">
      <c r="A314" s="31">
        <v>313</v>
      </c>
      <c r="B314" s="32">
        <f t="shared" si="4"/>
        <v>43670</v>
      </c>
      <c r="C314" s="32"/>
      <c r="D314" s="32"/>
      <c r="E314" s="29" t="s">
        <v>645</v>
      </c>
      <c r="F314" s="30" t="s">
        <v>646</v>
      </c>
      <c r="G314" s="27" t="s">
        <v>869</v>
      </c>
      <c r="H314" s="27" t="s">
        <v>875</v>
      </c>
      <c r="I314" s="31">
        <v>15</v>
      </c>
      <c r="J314" s="33">
        <f>StockOutData[[#This Row],[Quantity]]*2.5</f>
        <v>37.5</v>
      </c>
    </row>
    <row r="315" spans="1:10" x14ac:dyDescent="0.25">
      <c r="A315" s="31">
        <v>314</v>
      </c>
      <c r="B315" s="32">
        <f t="shared" si="4"/>
        <v>43671</v>
      </c>
      <c r="C315" s="32"/>
      <c r="D315" s="32"/>
      <c r="E315" s="29" t="s">
        <v>647</v>
      </c>
      <c r="F315" s="30" t="s">
        <v>648</v>
      </c>
      <c r="G315" s="27" t="s">
        <v>869</v>
      </c>
      <c r="H315" s="27" t="s">
        <v>875</v>
      </c>
      <c r="I315" s="31">
        <v>18</v>
      </c>
      <c r="J315" s="33">
        <f>StockOutData[[#This Row],[Quantity]]*2.5</f>
        <v>45</v>
      </c>
    </row>
    <row r="316" spans="1:10" x14ac:dyDescent="0.25">
      <c r="A316" s="31">
        <v>315</v>
      </c>
      <c r="B316" s="32">
        <f t="shared" si="4"/>
        <v>43672</v>
      </c>
      <c r="C316" s="32"/>
      <c r="D316" s="32"/>
      <c r="E316" s="29" t="s">
        <v>649</v>
      </c>
      <c r="F316" s="30" t="s">
        <v>650</v>
      </c>
      <c r="G316" s="27" t="s">
        <v>869</v>
      </c>
      <c r="H316" s="27" t="s">
        <v>875</v>
      </c>
      <c r="I316" s="31">
        <v>12</v>
      </c>
      <c r="J316" s="33">
        <f>StockOutData[[#This Row],[Quantity]]*2.5</f>
        <v>30</v>
      </c>
    </row>
    <row r="317" spans="1:10" x14ac:dyDescent="0.25">
      <c r="A317" s="31">
        <v>316</v>
      </c>
      <c r="B317" s="32">
        <f t="shared" si="4"/>
        <v>43673</v>
      </c>
      <c r="C317" s="32"/>
      <c r="D317" s="32"/>
      <c r="E317" s="29" t="s">
        <v>651</v>
      </c>
      <c r="F317" s="30" t="s">
        <v>652</v>
      </c>
      <c r="G317" s="27" t="s">
        <v>869</v>
      </c>
      <c r="H317" s="27" t="s">
        <v>875</v>
      </c>
      <c r="I317" s="31">
        <v>10</v>
      </c>
      <c r="J317" s="33">
        <f>StockOutData[[#This Row],[Quantity]]*2.5</f>
        <v>25</v>
      </c>
    </row>
    <row r="318" spans="1:10" x14ac:dyDescent="0.25">
      <c r="A318" s="31">
        <v>317</v>
      </c>
      <c r="B318" s="32">
        <f t="shared" si="4"/>
        <v>43674</v>
      </c>
      <c r="C318" s="32"/>
      <c r="D318" s="32"/>
      <c r="E318" s="29" t="s">
        <v>653</v>
      </c>
      <c r="F318" s="30" t="s">
        <v>654</v>
      </c>
      <c r="G318" s="27" t="s">
        <v>869</v>
      </c>
      <c r="H318" s="27" t="s">
        <v>875</v>
      </c>
      <c r="I318" s="31">
        <v>10</v>
      </c>
      <c r="J318" s="33">
        <f>StockOutData[[#This Row],[Quantity]]*2.5</f>
        <v>25</v>
      </c>
    </row>
    <row r="319" spans="1:10" x14ac:dyDescent="0.25">
      <c r="A319" s="31">
        <v>318</v>
      </c>
      <c r="B319" s="32">
        <f t="shared" si="4"/>
        <v>43675</v>
      </c>
      <c r="C319" s="32"/>
      <c r="D319" s="32"/>
      <c r="E319" s="29" t="s">
        <v>655</v>
      </c>
      <c r="F319" s="30" t="s">
        <v>656</v>
      </c>
      <c r="G319" s="27" t="s">
        <v>869</v>
      </c>
      <c r="H319" s="27" t="s">
        <v>875</v>
      </c>
      <c r="I319" s="31">
        <v>10</v>
      </c>
      <c r="J319" s="33">
        <f>StockOutData[[#This Row],[Quantity]]*2.5</f>
        <v>25</v>
      </c>
    </row>
    <row r="320" spans="1:10" x14ac:dyDescent="0.25">
      <c r="A320" s="31">
        <v>319</v>
      </c>
      <c r="B320" s="32">
        <f t="shared" si="4"/>
        <v>43676</v>
      </c>
      <c r="C320" s="32"/>
      <c r="D320" s="32"/>
      <c r="E320" s="29" t="s">
        <v>657</v>
      </c>
      <c r="F320" s="30" t="s">
        <v>658</v>
      </c>
      <c r="G320" s="27" t="s">
        <v>869</v>
      </c>
      <c r="H320" s="27" t="s">
        <v>875</v>
      </c>
      <c r="I320" s="31">
        <v>7</v>
      </c>
      <c r="J320" s="33">
        <f>StockOutData[[#This Row],[Quantity]]*2.5</f>
        <v>17.5</v>
      </c>
    </row>
    <row r="321" spans="1:10" x14ac:dyDescent="0.25">
      <c r="A321" s="31">
        <v>320</v>
      </c>
      <c r="B321" s="32">
        <f t="shared" si="4"/>
        <v>43677</v>
      </c>
      <c r="C321" s="32"/>
      <c r="D321" s="32"/>
      <c r="E321" s="29" t="s">
        <v>659</v>
      </c>
      <c r="F321" s="30" t="s">
        <v>660</v>
      </c>
      <c r="G321" s="27" t="s">
        <v>869</v>
      </c>
      <c r="H321" s="27" t="s">
        <v>875</v>
      </c>
      <c r="I321" s="31">
        <v>15</v>
      </c>
      <c r="J321" s="33">
        <f>StockOutData[[#This Row],[Quantity]]*2.5</f>
        <v>37.5</v>
      </c>
    </row>
    <row r="322" spans="1:10" x14ac:dyDescent="0.25">
      <c r="A322" s="31">
        <v>321</v>
      </c>
      <c r="B322" s="32">
        <f t="shared" si="4"/>
        <v>43678</v>
      </c>
      <c r="C322" s="32"/>
      <c r="D322" s="32"/>
      <c r="E322" s="29" t="s">
        <v>661</v>
      </c>
      <c r="F322" s="30" t="s">
        <v>662</v>
      </c>
      <c r="G322" s="27" t="s">
        <v>869</v>
      </c>
      <c r="H322" s="27" t="s">
        <v>875</v>
      </c>
      <c r="I322" s="31">
        <v>18</v>
      </c>
      <c r="J322" s="33">
        <f>StockOutData[[#This Row],[Quantity]]*2.5</f>
        <v>45</v>
      </c>
    </row>
    <row r="323" spans="1:10" x14ac:dyDescent="0.25">
      <c r="A323" s="31">
        <v>322</v>
      </c>
      <c r="B323" s="32">
        <f t="shared" si="4"/>
        <v>43679</v>
      </c>
      <c r="C323" s="32"/>
      <c r="D323" s="32"/>
      <c r="E323" s="29" t="s">
        <v>663</v>
      </c>
      <c r="F323" s="30" t="s">
        <v>664</v>
      </c>
      <c r="G323" s="27" t="s">
        <v>869</v>
      </c>
      <c r="H323" s="27" t="s">
        <v>876</v>
      </c>
      <c r="I323" s="31">
        <v>12</v>
      </c>
      <c r="J323" s="33">
        <f>StockOutData[[#This Row],[Quantity]]*2.5</f>
        <v>30</v>
      </c>
    </row>
    <row r="324" spans="1:10" x14ac:dyDescent="0.25">
      <c r="A324" s="31">
        <v>323</v>
      </c>
      <c r="B324" s="32">
        <f t="shared" ref="B324:B387" si="5">B323+1</f>
        <v>43680</v>
      </c>
      <c r="C324" s="32"/>
      <c r="D324" s="32"/>
      <c r="E324" s="29" t="s">
        <v>665</v>
      </c>
      <c r="F324" s="30" t="s">
        <v>666</v>
      </c>
      <c r="G324" s="27" t="s">
        <v>869</v>
      </c>
      <c r="H324" s="27" t="s">
        <v>876</v>
      </c>
      <c r="I324" s="31">
        <v>14</v>
      </c>
      <c r="J324" s="33">
        <f>StockOutData[[#This Row],[Quantity]]*2.5</f>
        <v>35</v>
      </c>
    </row>
    <row r="325" spans="1:10" x14ac:dyDescent="0.25">
      <c r="A325" s="31">
        <v>324</v>
      </c>
      <c r="B325" s="32">
        <f t="shared" si="5"/>
        <v>43681</v>
      </c>
      <c r="C325" s="32"/>
      <c r="D325" s="32"/>
      <c r="E325" s="29" t="s">
        <v>667</v>
      </c>
      <c r="F325" s="30" t="s">
        <v>668</v>
      </c>
      <c r="G325" s="27" t="s">
        <v>869</v>
      </c>
      <c r="H325" s="27" t="s">
        <v>876</v>
      </c>
      <c r="I325" s="31">
        <v>13</v>
      </c>
      <c r="J325" s="33">
        <f>StockOutData[[#This Row],[Quantity]]*2.5</f>
        <v>32.5</v>
      </c>
    </row>
    <row r="326" spans="1:10" x14ac:dyDescent="0.25">
      <c r="A326" s="31">
        <v>325</v>
      </c>
      <c r="B326" s="32">
        <f t="shared" si="5"/>
        <v>43682</v>
      </c>
      <c r="C326" s="32"/>
      <c r="D326" s="32"/>
      <c r="E326" s="29" t="s">
        <v>669</v>
      </c>
      <c r="F326" s="30" t="s">
        <v>670</v>
      </c>
      <c r="G326" s="27" t="s">
        <v>869</v>
      </c>
      <c r="H326" s="27" t="s">
        <v>876</v>
      </c>
      <c r="I326" s="31">
        <v>5</v>
      </c>
      <c r="J326" s="33">
        <f>StockOutData[[#This Row],[Quantity]]*2.5</f>
        <v>12.5</v>
      </c>
    </row>
    <row r="327" spans="1:10" x14ac:dyDescent="0.25">
      <c r="A327" s="31">
        <v>326</v>
      </c>
      <c r="B327" s="32">
        <f t="shared" si="5"/>
        <v>43683</v>
      </c>
      <c r="C327" s="32"/>
      <c r="D327" s="32"/>
      <c r="E327" s="29" t="s">
        <v>671</v>
      </c>
      <c r="F327" s="30" t="s">
        <v>672</v>
      </c>
      <c r="G327" s="27" t="s">
        <v>869</v>
      </c>
      <c r="H327" s="27" t="s">
        <v>876</v>
      </c>
      <c r="I327" s="31">
        <v>7</v>
      </c>
      <c r="J327" s="33">
        <f>StockOutData[[#This Row],[Quantity]]*2.5</f>
        <v>17.5</v>
      </c>
    </row>
    <row r="328" spans="1:10" x14ac:dyDescent="0.25">
      <c r="A328" s="31">
        <v>327</v>
      </c>
      <c r="B328" s="32">
        <f t="shared" si="5"/>
        <v>43684</v>
      </c>
      <c r="C328" s="32"/>
      <c r="D328" s="32"/>
      <c r="E328" s="29" t="s">
        <v>673</v>
      </c>
      <c r="F328" s="30" t="s">
        <v>674</v>
      </c>
      <c r="G328" s="27" t="s">
        <v>877</v>
      </c>
      <c r="H328" s="27" t="s">
        <v>876</v>
      </c>
      <c r="I328" s="31">
        <v>15</v>
      </c>
      <c r="J328" s="33">
        <f>StockOutData[[#This Row],[Quantity]]*2.5</f>
        <v>37.5</v>
      </c>
    </row>
    <row r="329" spans="1:10" x14ac:dyDescent="0.25">
      <c r="A329" s="31">
        <v>328</v>
      </c>
      <c r="B329" s="32">
        <f t="shared" si="5"/>
        <v>43685</v>
      </c>
      <c r="C329" s="32"/>
      <c r="D329" s="32"/>
      <c r="E329" s="29" t="s">
        <v>675</v>
      </c>
      <c r="F329" s="30" t="s">
        <v>676</v>
      </c>
      <c r="G329" s="27" t="s">
        <v>877</v>
      </c>
      <c r="H329" s="27" t="s">
        <v>876</v>
      </c>
      <c r="I329" s="31">
        <v>18</v>
      </c>
      <c r="J329" s="33">
        <f>StockOutData[[#This Row],[Quantity]]*2.5</f>
        <v>45</v>
      </c>
    </row>
    <row r="330" spans="1:10" x14ac:dyDescent="0.25">
      <c r="A330" s="31">
        <v>329</v>
      </c>
      <c r="B330" s="32">
        <f t="shared" si="5"/>
        <v>43686</v>
      </c>
      <c r="C330" s="32"/>
      <c r="D330" s="32"/>
      <c r="E330" s="29" t="s">
        <v>677</v>
      </c>
      <c r="F330" s="30" t="s">
        <v>678</v>
      </c>
      <c r="G330" s="27" t="s">
        <v>877</v>
      </c>
      <c r="H330" s="27" t="s">
        <v>876</v>
      </c>
      <c r="I330" s="31">
        <v>12</v>
      </c>
      <c r="J330" s="33">
        <f>StockOutData[[#This Row],[Quantity]]*2.5</f>
        <v>30</v>
      </c>
    </row>
    <row r="331" spans="1:10" x14ac:dyDescent="0.25">
      <c r="A331" s="31">
        <v>330</v>
      </c>
      <c r="B331" s="32">
        <f t="shared" si="5"/>
        <v>43687</v>
      </c>
      <c r="C331" s="32"/>
      <c r="D331" s="32"/>
      <c r="E331" s="29" t="s">
        <v>679</v>
      </c>
      <c r="F331" s="30" t="s">
        <v>680</v>
      </c>
      <c r="G331" s="27" t="s">
        <v>877</v>
      </c>
      <c r="H331" s="27" t="s">
        <v>876</v>
      </c>
      <c r="I331" s="31">
        <v>14</v>
      </c>
      <c r="J331" s="33">
        <f>StockOutData[[#This Row],[Quantity]]*2.5</f>
        <v>35</v>
      </c>
    </row>
    <row r="332" spans="1:10" x14ac:dyDescent="0.25">
      <c r="A332" s="31">
        <v>331</v>
      </c>
      <c r="B332" s="32">
        <f t="shared" si="5"/>
        <v>43688</v>
      </c>
      <c r="C332" s="32"/>
      <c r="D332" s="32"/>
      <c r="E332" s="29" t="s">
        <v>681</v>
      </c>
      <c r="F332" s="30" t="s">
        <v>682</v>
      </c>
      <c r="G332" s="27" t="s">
        <v>877</v>
      </c>
      <c r="H332" s="27" t="s">
        <v>876</v>
      </c>
      <c r="I332" s="31">
        <v>13</v>
      </c>
      <c r="J332" s="33">
        <f>StockOutData[[#This Row],[Quantity]]*2.5</f>
        <v>32.5</v>
      </c>
    </row>
    <row r="333" spans="1:10" x14ac:dyDescent="0.25">
      <c r="A333" s="31">
        <v>332</v>
      </c>
      <c r="B333" s="32">
        <f t="shared" si="5"/>
        <v>43689</v>
      </c>
      <c r="C333" s="32"/>
      <c r="D333" s="32"/>
      <c r="E333" s="29" t="s">
        <v>683</v>
      </c>
      <c r="F333" s="30" t="s">
        <v>684</v>
      </c>
      <c r="G333" s="27" t="s">
        <v>877</v>
      </c>
      <c r="H333" s="27" t="s">
        <v>876</v>
      </c>
      <c r="I333" s="31">
        <v>5</v>
      </c>
      <c r="J333" s="33">
        <f>StockOutData[[#This Row],[Quantity]]*2.5</f>
        <v>12.5</v>
      </c>
    </row>
    <row r="334" spans="1:10" x14ac:dyDescent="0.25">
      <c r="A334" s="31">
        <v>333</v>
      </c>
      <c r="B334" s="32">
        <f t="shared" si="5"/>
        <v>43690</v>
      </c>
      <c r="C334" s="32"/>
      <c r="D334" s="32"/>
      <c r="E334" s="29" t="s">
        <v>685</v>
      </c>
      <c r="F334" s="30" t="s">
        <v>686</v>
      </c>
      <c r="G334" s="27" t="s">
        <v>877</v>
      </c>
      <c r="H334" s="27" t="s">
        <v>876</v>
      </c>
      <c r="I334" s="31">
        <v>7</v>
      </c>
      <c r="J334" s="33">
        <f>StockOutData[[#This Row],[Quantity]]*2.5</f>
        <v>17.5</v>
      </c>
    </row>
    <row r="335" spans="1:10" x14ac:dyDescent="0.25">
      <c r="A335" s="31">
        <v>334</v>
      </c>
      <c r="B335" s="32">
        <f t="shared" si="5"/>
        <v>43691</v>
      </c>
      <c r="C335" s="32"/>
      <c r="D335" s="32"/>
      <c r="E335" s="29" t="s">
        <v>687</v>
      </c>
      <c r="F335" s="30" t="s">
        <v>688</v>
      </c>
      <c r="G335" s="27" t="s">
        <v>877</v>
      </c>
      <c r="H335" s="27" t="s">
        <v>876</v>
      </c>
      <c r="I335" s="31">
        <v>15</v>
      </c>
      <c r="J335" s="33">
        <f>StockOutData[[#This Row],[Quantity]]*2.5</f>
        <v>37.5</v>
      </c>
    </row>
    <row r="336" spans="1:10" x14ac:dyDescent="0.25">
      <c r="A336" s="31">
        <v>335</v>
      </c>
      <c r="B336" s="32">
        <f t="shared" si="5"/>
        <v>43692</v>
      </c>
      <c r="C336" s="32"/>
      <c r="D336" s="32"/>
      <c r="E336" s="29" t="s">
        <v>689</v>
      </c>
      <c r="F336" s="30" t="s">
        <v>690</v>
      </c>
      <c r="G336" s="27" t="s">
        <v>877</v>
      </c>
      <c r="H336" s="27" t="s">
        <v>876</v>
      </c>
      <c r="I336" s="31">
        <v>18</v>
      </c>
      <c r="J336" s="33">
        <f>StockOutData[[#This Row],[Quantity]]*2.5</f>
        <v>45</v>
      </c>
    </row>
    <row r="337" spans="1:10" x14ac:dyDescent="0.25">
      <c r="A337" s="31">
        <v>336</v>
      </c>
      <c r="B337" s="32">
        <f t="shared" si="5"/>
        <v>43693</v>
      </c>
      <c r="C337" s="32"/>
      <c r="D337" s="32"/>
      <c r="E337" s="29" t="s">
        <v>691</v>
      </c>
      <c r="F337" s="30" t="s">
        <v>692</v>
      </c>
      <c r="G337" s="27" t="s">
        <v>877</v>
      </c>
      <c r="H337" s="27" t="s">
        <v>876</v>
      </c>
      <c r="I337" s="31">
        <v>12</v>
      </c>
      <c r="J337" s="33">
        <f>StockOutData[[#This Row],[Quantity]]*2.5</f>
        <v>30</v>
      </c>
    </row>
    <row r="338" spans="1:10" x14ac:dyDescent="0.25">
      <c r="A338" s="31">
        <v>337</v>
      </c>
      <c r="B338" s="32">
        <f t="shared" si="5"/>
        <v>43694</v>
      </c>
      <c r="C338" s="32"/>
      <c r="D338" s="32"/>
      <c r="E338" s="29" t="s">
        <v>693</v>
      </c>
      <c r="F338" s="30" t="s">
        <v>694</v>
      </c>
      <c r="G338" s="27" t="s">
        <v>877</v>
      </c>
      <c r="H338" s="27" t="s">
        <v>876</v>
      </c>
      <c r="I338" s="31">
        <v>10</v>
      </c>
      <c r="J338" s="33">
        <f>StockOutData[[#This Row],[Quantity]]*2.5</f>
        <v>25</v>
      </c>
    </row>
    <row r="339" spans="1:10" x14ac:dyDescent="0.25">
      <c r="A339" s="31">
        <v>338</v>
      </c>
      <c r="B339" s="32">
        <f t="shared" si="5"/>
        <v>43695</v>
      </c>
      <c r="C339" s="32"/>
      <c r="D339" s="32"/>
      <c r="E339" s="29" t="s">
        <v>695</v>
      </c>
      <c r="F339" s="30" t="s">
        <v>696</v>
      </c>
      <c r="G339" s="27" t="s">
        <v>877</v>
      </c>
      <c r="H339" s="27" t="s">
        <v>876</v>
      </c>
      <c r="I339" s="31">
        <v>10</v>
      </c>
      <c r="J339" s="33">
        <f>StockOutData[[#This Row],[Quantity]]*2.5</f>
        <v>25</v>
      </c>
    </row>
    <row r="340" spans="1:10" x14ac:dyDescent="0.25">
      <c r="A340" s="31">
        <v>339</v>
      </c>
      <c r="B340" s="32">
        <f t="shared" si="5"/>
        <v>43696</v>
      </c>
      <c r="C340" s="32"/>
      <c r="D340" s="32"/>
      <c r="E340" s="29" t="s">
        <v>697</v>
      </c>
      <c r="F340" s="30" t="s">
        <v>698</v>
      </c>
      <c r="G340" s="27" t="s">
        <v>877</v>
      </c>
      <c r="H340" s="27" t="s">
        <v>876</v>
      </c>
      <c r="I340" s="31">
        <v>10</v>
      </c>
      <c r="J340" s="33">
        <f>StockOutData[[#This Row],[Quantity]]*2.5</f>
        <v>25</v>
      </c>
    </row>
    <row r="341" spans="1:10" x14ac:dyDescent="0.25">
      <c r="A341" s="31">
        <v>340</v>
      </c>
      <c r="B341" s="32">
        <f t="shared" si="5"/>
        <v>43697</v>
      </c>
      <c r="C341" s="32"/>
      <c r="D341" s="32"/>
      <c r="E341" s="29" t="s">
        <v>699</v>
      </c>
      <c r="F341" s="30" t="s">
        <v>700</v>
      </c>
      <c r="G341" s="27" t="s">
        <v>877</v>
      </c>
      <c r="H341" s="27" t="s">
        <v>876</v>
      </c>
      <c r="I341" s="31">
        <v>7</v>
      </c>
      <c r="J341" s="33">
        <f>StockOutData[[#This Row],[Quantity]]*2.5</f>
        <v>17.5</v>
      </c>
    </row>
    <row r="342" spans="1:10" x14ac:dyDescent="0.25">
      <c r="A342" s="31">
        <v>341</v>
      </c>
      <c r="B342" s="32">
        <f t="shared" si="5"/>
        <v>43698</v>
      </c>
      <c r="C342" s="32"/>
      <c r="D342" s="32"/>
      <c r="E342" s="29" t="s">
        <v>701</v>
      </c>
      <c r="F342" s="30" t="s">
        <v>702</v>
      </c>
      <c r="G342" s="27" t="s">
        <v>877</v>
      </c>
      <c r="H342" s="27" t="s">
        <v>876</v>
      </c>
      <c r="I342" s="31">
        <v>15</v>
      </c>
      <c r="J342" s="33">
        <f>StockOutData[[#This Row],[Quantity]]*2.5</f>
        <v>37.5</v>
      </c>
    </row>
    <row r="343" spans="1:10" x14ac:dyDescent="0.25">
      <c r="A343" s="31">
        <v>342</v>
      </c>
      <c r="B343" s="32">
        <f t="shared" si="5"/>
        <v>43699</v>
      </c>
      <c r="C343" s="32"/>
      <c r="D343" s="32"/>
      <c r="E343" s="29" t="s">
        <v>703</v>
      </c>
      <c r="F343" s="30" t="s">
        <v>704</v>
      </c>
      <c r="G343" s="27" t="s">
        <v>877</v>
      </c>
      <c r="H343" s="27" t="s">
        <v>876</v>
      </c>
      <c r="I343" s="31">
        <v>18</v>
      </c>
      <c r="J343" s="33">
        <f>StockOutData[[#This Row],[Quantity]]*2.5</f>
        <v>45</v>
      </c>
    </row>
    <row r="344" spans="1:10" x14ac:dyDescent="0.25">
      <c r="A344" s="31">
        <v>343</v>
      </c>
      <c r="B344" s="32">
        <f t="shared" si="5"/>
        <v>43700</v>
      </c>
      <c r="C344" s="32"/>
      <c r="D344" s="32"/>
      <c r="E344" s="29" t="s">
        <v>705</v>
      </c>
      <c r="F344" s="30" t="s">
        <v>706</v>
      </c>
      <c r="G344" s="27" t="s">
        <v>877</v>
      </c>
      <c r="H344" s="27" t="s">
        <v>876</v>
      </c>
      <c r="I344" s="31">
        <v>12</v>
      </c>
      <c r="J344" s="33">
        <f>StockOutData[[#This Row],[Quantity]]*2.5</f>
        <v>30</v>
      </c>
    </row>
    <row r="345" spans="1:10" x14ac:dyDescent="0.25">
      <c r="A345" s="31">
        <v>344</v>
      </c>
      <c r="B345" s="32">
        <f t="shared" si="5"/>
        <v>43701</v>
      </c>
      <c r="C345" s="32"/>
      <c r="D345" s="32"/>
      <c r="E345" s="29" t="s">
        <v>707</v>
      </c>
      <c r="F345" s="30" t="s">
        <v>708</v>
      </c>
      <c r="G345" s="27" t="s">
        <v>877</v>
      </c>
      <c r="H345" s="27" t="s">
        <v>876</v>
      </c>
      <c r="I345" s="31">
        <v>14</v>
      </c>
      <c r="J345" s="33">
        <f>StockOutData[[#This Row],[Quantity]]*2.5</f>
        <v>35</v>
      </c>
    </row>
    <row r="346" spans="1:10" x14ac:dyDescent="0.25">
      <c r="A346" s="31">
        <v>345</v>
      </c>
      <c r="B346" s="32">
        <f t="shared" si="5"/>
        <v>43702</v>
      </c>
      <c r="C346" s="32"/>
      <c r="D346" s="32"/>
      <c r="E346" s="29" t="s">
        <v>709</v>
      </c>
      <c r="F346" s="30" t="s">
        <v>710</v>
      </c>
      <c r="G346" s="27" t="s">
        <v>869</v>
      </c>
      <c r="H346" s="27" t="s">
        <v>876</v>
      </c>
      <c r="I346" s="31">
        <v>13</v>
      </c>
      <c r="J346" s="33">
        <f>StockOutData[[#This Row],[Quantity]]*2.5</f>
        <v>32.5</v>
      </c>
    </row>
    <row r="347" spans="1:10" x14ac:dyDescent="0.25">
      <c r="A347" s="31">
        <v>346</v>
      </c>
      <c r="B347" s="32">
        <f t="shared" si="5"/>
        <v>43703</v>
      </c>
      <c r="C347" s="32"/>
      <c r="D347" s="32"/>
      <c r="E347" s="29" t="s">
        <v>711</v>
      </c>
      <c r="F347" s="30" t="s">
        <v>712</v>
      </c>
      <c r="G347" s="27" t="s">
        <v>869</v>
      </c>
      <c r="H347" s="27" t="s">
        <v>876</v>
      </c>
      <c r="I347" s="31">
        <v>5</v>
      </c>
      <c r="J347" s="33">
        <f>StockOutData[[#This Row],[Quantity]]*2.5</f>
        <v>12.5</v>
      </c>
    </row>
    <row r="348" spans="1:10" x14ac:dyDescent="0.25">
      <c r="A348" s="31">
        <v>347</v>
      </c>
      <c r="B348" s="32">
        <f t="shared" si="5"/>
        <v>43704</v>
      </c>
      <c r="C348" s="32"/>
      <c r="D348" s="32"/>
      <c r="E348" s="29" t="s">
        <v>713</v>
      </c>
      <c r="F348" s="30" t="s">
        <v>714</v>
      </c>
      <c r="G348" s="27" t="s">
        <v>869</v>
      </c>
      <c r="H348" s="27" t="s">
        <v>876</v>
      </c>
      <c r="I348" s="31">
        <v>7</v>
      </c>
      <c r="J348" s="33">
        <f>StockOutData[[#This Row],[Quantity]]*2.5</f>
        <v>17.5</v>
      </c>
    </row>
    <row r="349" spans="1:10" x14ac:dyDescent="0.25">
      <c r="A349" s="31">
        <v>348</v>
      </c>
      <c r="B349" s="32">
        <f t="shared" si="5"/>
        <v>43705</v>
      </c>
      <c r="C349" s="32"/>
      <c r="D349" s="32"/>
      <c r="E349" s="29" t="s">
        <v>715</v>
      </c>
      <c r="F349" s="30" t="s">
        <v>716</v>
      </c>
      <c r="G349" s="27" t="s">
        <v>869</v>
      </c>
      <c r="H349" s="27" t="s">
        <v>876</v>
      </c>
      <c r="I349" s="31">
        <v>15</v>
      </c>
      <c r="J349" s="33">
        <f>StockOutData[[#This Row],[Quantity]]*2.5</f>
        <v>37.5</v>
      </c>
    </row>
    <row r="350" spans="1:10" x14ac:dyDescent="0.25">
      <c r="A350" s="31">
        <v>349</v>
      </c>
      <c r="B350" s="32">
        <f t="shared" si="5"/>
        <v>43706</v>
      </c>
      <c r="C350" s="32"/>
      <c r="D350" s="32"/>
      <c r="E350" s="29" t="s">
        <v>717</v>
      </c>
      <c r="F350" s="30" t="s">
        <v>718</v>
      </c>
      <c r="G350" s="27" t="s">
        <v>869</v>
      </c>
      <c r="H350" s="27" t="s">
        <v>876</v>
      </c>
      <c r="I350" s="31">
        <v>18</v>
      </c>
      <c r="J350" s="33">
        <f>StockOutData[[#This Row],[Quantity]]*2.5</f>
        <v>45</v>
      </c>
    </row>
    <row r="351" spans="1:10" x14ac:dyDescent="0.25">
      <c r="A351" s="31">
        <v>350</v>
      </c>
      <c r="B351" s="32">
        <f t="shared" si="5"/>
        <v>43707</v>
      </c>
      <c r="C351" s="32"/>
      <c r="D351" s="32"/>
      <c r="E351" s="29" t="s">
        <v>719</v>
      </c>
      <c r="F351" s="30" t="s">
        <v>720</v>
      </c>
      <c r="G351" s="27" t="s">
        <v>869</v>
      </c>
      <c r="H351" s="27" t="s">
        <v>876</v>
      </c>
      <c r="I351" s="31">
        <v>12</v>
      </c>
      <c r="J351" s="33">
        <f>StockOutData[[#This Row],[Quantity]]*2.5</f>
        <v>30</v>
      </c>
    </row>
    <row r="352" spans="1:10" x14ac:dyDescent="0.25">
      <c r="A352" s="31">
        <v>351</v>
      </c>
      <c r="B352" s="32">
        <f t="shared" si="5"/>
        <v>43708</v>
      </c>
      <c r="C352" s="32"/>
      <c r="D352" s="32"/>
      <c r="E352" s="29" t="s">
        <v>721</v>
      </c>
      <c r="F352" s="30" t="s">
        <v>722</v>
      </c>
      <c r="G352" s="27" t="s">
        <v>869</v>
      </c>
      <c r="H352" s="27" t="s">
        <v>876</v>
      </c>
      <c r="I352" s="31">
        <v>14</v>
      </c>
      <c r="J352" s="33">
        <f>StockOutData[[#This Row],[Quantity]]*2.5</f>
        <v>35</v>
      </c>
    </row>
    <row r="353" spans="1:10" x14ac:dyDescent="0.25">
      <c r="A353" s="31">
        <v>352</v>
      </c>
      <c r="B353" s="32">
        <f t="shared" si="5"/>
        <v>43709</v>
      </c>
      <c r="C353" s="32"/>
      <c r="D353" s="32"/>
      <c r="E353" s="29" t="s">
        <v>723</v>
      </c>
      <c r="F353" s="30" t="s">
        <v>724</v>
      </c>
      <c r="G353" s="27" t="s">
        <v>869</v>
      </c>
      <c r="H353" s="27" t="s">
        <v>876</v>
      </c>
      <c r="I353" s="31">
        <v>13</v>
      </c>
      <c r="J353" s="33">
        <f>StockOutData[[#This Row],[Quantity]]*2.5</f>
        <v>32.5</v>
      </c>
    </row>
    <row r="354" spans="1:10" x14ac:dyDescent="0.25">
      <c r="A354" s="31">
        <v>353</v>
      </c>
      <c r="B354" s="32">
        <f t="shared" si="5"/>
        <v>43710</v>
      </c>
      <c r="C354" s="32"/>
      <c r="D354" s="32"/>
      <c r="E354" s="29" t="s">
        <v>725</v>
      </c>
      <c r="F354" s="30" t="s">
        <v>726</v>
      </c>
      <c r="G354" s="27" t="s">
        <v>869</v>
      </c>
      <c r="H354" s="27" t="s">
        <v>876</v>
      </c>
      <c r="I354" s="31">
        <v>5</v>
      </c>
      <c r="J354" s="33">
        <f>StockOutData[[#This Row],[Quantity]]*2.5</f>
        <v>12.5</v>
      </c>
    </row>
    <row r="355" spans="1:10" x14ac:dyDescent="0.25">
      <c r="A355" s="31">
        <v>354</v>
      </c>
      <c r="B355" s="32">
        <f t="shared" si="5"/>
        <v>43711</v>
      </c>
      <c r="C355" s="32"/>
      <c r="D355" s="32"/>
      <c r="E355" s="29" t="s">
        <v>727</v>
      </c>
      <c r="F355" s="30" t="s">
        <v>728</v>
      </c>
      <c r="G355" s="27" t="s">
        <v>869</v>
      </c>
      <c r="H355" s="27" t="s">
        <v>876</v>
      </c>
      <c r="I355" s="31">
        <v>7</v>
      </c>
      <c r="J355" s="33">
        <f>StockOutData[[#This Row],[Quantity]]*2.5</f>
        <v>17.5</v>
      </c>
    </row>
    <row r="356" spans="1:10" x14ac:dyDescent="0.25">
      <c r="A356" s="31">
        <v>355</v>
      </c>
      <c r="B356" s="32">
        <f t="shared" si="5"/>
        <v>43712</v>
      </c>
      <c r="C356" s="32"/>
      <c r="D356" s="32"/>
      <c r="E356" s="29" t="s">
        <v>729</v>
      </c>
      <c r="F356" s="30" t="s">
        <v>730</v>
      </c>
      <c r="G356" s="27" t="s">
        <v>869</v>
      </c>
      <c r="H356" s="27" t="s">
        <v>876</v>
      </c>
      <c r="I356" s="31">
        <v>15</v>
      </c>
      <c r="J356" s="33">
        <f>StockOutData[[#This Row],[Quantity]]*2.5</f>
        <v>37.5</v>
      </c>
    </row>
    <row r="357" spans="1:10" x14ac:dyDescent="0.25">
      <c r="A357" s="31">
        <v>356</v>
      </c>
      <c r="B357" s="32">
        <f t="shared" si="5"/>
        <v>43713</v>
      </c>
      <c r="C357" s="32"/>
      <c r="D357" s="32"/>
      <c r="E357" s="29" t="s">
        <v>731</v>
      </c>
      <c r="F357" s="30" t="s">
        <v>732</v>
      </c>
      <c r="G357" s="27" t="s">
        <v>869</v>
      </c>
      <c r="H357" s="27" t="s">
        <v>876</v>
      </c>
      <c r="I357" s="31">
        <v>18</v>
      </c>
      <c r="J357" s="33">
        <f>StockOutData[[#This Row],[Quantity]]*2.5</f>
        <v>45</v>
      </c>
    </row>
    <row r="358" spans="1:10" x14ac:dyDescent="0.25">
      <c r="A358" s="31">
        <v>357</v>
      </c>
      <c r="B358" s="32">
        <f t="shared" si="5"/>
        <v>43714</v>
      </c>
      <c r="C358" s="32"/>
      <c r="D358" s="32"/>
      <c r="E358" s="29" t="s">
        <v>733</v>
      </c>
      <c r="F358" s="30" t="s">
        <v>734</v>
      </c>
      <c r="G358" s="27" t="s">
        <v>869</v>
      </c>
      <c r="H358" s="27" t="s">
        <v>876</v>
      </c>
      <c r="I358" s="31">
        <v>12</v>
      </c>
      <c r="J358" s="33">
        <f>StockOutData[[#This Row],[Quantity]]*2.5</f>
        <v>30</v>
      </c>
    </row>
    <row r="359" spans="1:10" x14ac:dyDescent="0.25">
      <c r="A359" s="31">
        <v>358</v>
      </c>
      <c r="B359" s="32">
        <f t="shared" si="5"/>
        <v>43715</v>
      </c>
      <c r="C359" s="32"/>
      <c r="D359" s="32"/>
      <c r="E359" s="29" t="s">
        <v>735</v>
      </c>
      <c r="F359" s="30" t="s">
        <v>736</v>
      </c>
      <c r="G359" s="27" t="s">
        <v>869</v>
      </c>
      <c r="H359" s="27" t="s">
        <v>876</v>
      </c>
      <c r="I359" s="31">
        <v>10</v>
      </c>
      <c r="J359" s="33">
        <f>StockOutData[[#This Row],[Quantity]]*2.5</f>
        <v>25</v>
      </c>
    </row>
    <row r="360" spans="1:10" x14ac:dyDescent="0.25">
      <c r="A360" s="31">
        <v>359</v>
      </c>
      <c r="B360" s="32">
        <f t="shared" si="5"/>
        <v>43716</v>
      </c>
      <c r="C360" s="32"/>
      <c r="D360" s="32"/>
      <c r="E360" s="29" t="s">
        <v>737</v>
      </c>
      <c r="F360" s="30" t="s">
        <v>738</v>
      </c>
      <c r="G360" s="27" t="s">
        <v>869</v>
      </c>
      <c r="H360" s="27" t="s">
        <v>876</v>
      </c>
      <c r="I360" s="31">
        <v>10</v>
      </c>
      <c r="J360" s="33">
        <f>StockOutData[[#This Row],[Quantity]]*2.5</f>
        <v>25</v>
      </c>
    </row>
    <row r="361" spans="1:10" x14ac:dyDescent="0.25">
      <c r="A361" s="31">
        <v>360</v>
      </c>
      <c r="B361" s="32">
        <f t="shared" si="5"/>
        <v>43717</v>
      </c>
      <c r="C361" s="32"/>
      <c r="D361" s="32"/>
      <c r="E361" s="29" t="s">
        <v>739</v>
      </c>
      <c r="F361" s="30" t="s">
        <v>740</v>
      </c>
      <c r="G361" s="27" t="s">
        <v>869</v>
      </c>
      <c r="H361" s="27" t="s">
        <v>876</v>
      </c>
      <c r="I361" s="31">
        <v>10</v>
      </c>
      <c r="J361" s="33">
        <f>StockOutData[[#This Row],[Quantity]]*2.5</f>
        <v>25</v>
      </c>
    </row>
    <row r="362" spans="1:10" x14ac:dyDescent="0.25">
      <c r="A362" s="31">
        <v>361</v>
      </c>
      <c r="B362" s="32">
        <f t="shared" si="5"/>
        <v>43718</v>
      </c>
      <c r="C362" s="32"/>
      <c r="D362" s="32"/>
      <c r="E362" s="29" t="s">
        <v>741</v>
      </c>
      <c r="F362" s="30" t="s">
        <v>742</v>
      </c>
      <c r="G362" s="27" t="s">
        <v>869</v>
      </c>
      <c r="H362" s="27" t="s">
        <v>876</v>
      </c>
      <c r="I362" s="31">
        <v>10</v>
      </c>
      <c r="J362" s="33">
        <f>StockOutData[[#This Row],[Quantity]]*2.5</f>
        <v>25</v>
      </c>
    </row>
    <row r="363" spans="1:10" x14ac:dyDescent="0.25">
      <c r="A363" s="31">
        <v>362</v>
      </c>
      <c r="B363" s="32">
        <f t="shared" si="5"/>
        <v>43719</v>
      </c>
      <c r="C363" s="32"/>
      <c r="D363" s="32"/>
      <c r="E363" s="29" t="s">
        <v>743</v>
      </c>
      <c r="F363" s="30" t="s">
        <v>744</v>
      </c>
      <c r="G363" s="27" t="s">
        <v>869</v>
      </c>
      <c r="H363" s="27" t="s">
        <v>876</v>
      </c>
      <c r="I363" s="31">
        <v>7</v>
      </c>
      <c r="J363" s="33">
        <f>StockOutData[[#This Row],[Quantity]]*2.5</f>
        <v>17.5</v>
      </c>
    </row>
    <row r="364" spans="1:10" x14ac:dyDescent="0.25">
      <c r="A364" s="31">
        <v>363</v>
      </c>
      <c r="B364" s="32">
        <f t="shared" si="5"/>
        <v>43720</v>
      </c>
      <c r="C364" s="32"/>
      <c r="D364" s="32"/>
      <c r="E364" s="29" t="s">
        <v>745</v>
      </c>
      <c r="F364" s="30" t="s">
        <v>746</v>
      </c>
      <c r="G364" s="27" t="s">
        <v>869</v>
      </c>
      <c r="H364" s="27" t="s">
        <v>876</v>
      </c>
      <c r="I364" s="31">
        <v>15</v>
      </c>
      <c r="J364" s="33">
        <f>StockOutData[[#This Row],[Quantity]]*2.5</f>
        <v>37.5</v>
      </c>
    </row>
    <row r="365" spans="1:10" x14ac:dyDescent="0.25">
      <c r="A365" s="31">
        <v>364</v>
      </c>
      <c r="B365" s="32">
        <f t="shared" si="5"/>
        <v>43721</v>
      </c>
      <c r="C365" s="32"/>
      <c r="D365" s="32"/>
      <c r="E365" s="29" t="s">
        <v>747</v>
      </c>
      <c r="F365" s="30" t="s">
        <v>748</v>
      </c>
      <c r="G365" s="27" t="s">
        <v>869</v>
      </c>
      <c r="H365" s="27" t="s">
        <v>876</v>
      </c>
      <c r="I365" s="31">
        <v>18</v>
      </c>
      <c r="J365" s="33">
        <f>StockOutData[[#This Row],[Quantity]]*2.5</f>
        <v>45</v>
      </c>
    </row>
    <row r="366" spans="1:10" x14ac:dyDescent="0.25">
      <c r="A366" s="31">
        <v>365</v>
      </c>
      <c r="B366" s="32">
        <f t="shared" si="5"/>
        <v>43722</v>
      </c>
      <c r="C366" s="32"/>
      <c r="D366" s="32"/>
      <c r="E366" s="29" t="s">
        <v>749</v>
      </c>
      <c r="F366" s="30" t="s">
        <v>750</v>
      </c>
      <c r="G366" s="27" t="s">
        <v>869</v>
      </c>
      <c r="H366" s="27" t="s">
        <v>876</v>
      </c>
      <c r="I366" s="31">
        <v>12</v>
      </c>
      <c r="J366" s="33">
        <f>StockOutData[[#This Row],[Quantity]]*2.5</f>
        <v>30</v>
      </c>
    </row>
    <row r="367" spans="1:10" x14ac:dyDescent="0.25">
      <c r="A367" s="31">
        <v>366</v>
      </c>
      <c r="B367" s="32">
        <f t="shared" si="5"/>
        <v>43723</v>
      </c>
      <c r="C367" s="32"/>
      <c r="D367" s="32"/>
      <c r="E367" s="29" t="s">
        <v>751</v>
      </c>
      <c r="F367" s="30" t="s">
        <v>752</v>
      </c>
      <c r="G367" s="27" t="s">
        <v>869</v>
      </c>
      <c r="H367" s="27" t="s">
        <v>876</v>
      </c>
      <c r="I367" s="31">
        <v>14</v>
      </c>
      <c r="J367" s="33">
        <f>StockOutData[[#This Row],[Quantity]]*2.5</f>
        <v>35</v>
      </c>
    </row>
    <row r="368" spans="1:10" x14ac:dyDescent="0.25">
      <c r="A368" s="31">
        <v>367</v>
      </c>
      <c r="B368" s="32">
        <f t="shared" si="5"/>
        <v>43724</v>
      </c>
      <c r="C368" s="32"/>
      <c r="D368" s="32"/>
      <c r="E368" s="29" t="s">
        <v>753</v>
      </c>
      <c r="F368" s="30" t="s">
        <v>754</v>
      </c>
      <c r="G368" s="27" t="s">
        <v>869</v>
      </c>
      <c r="H368" s="27" t="s">
        <v>876</v>
      </c>
      <c r="I368" s="31">
        <v>13</v>
      </c>
      <c r="J368" s="33">
        <f>StockOutData[[#This Row],[Quantity]]*2.5</f>
        <v>32.5</v>
      </c>
    </row>
    <row r="369" spans="1:10" x14ac:dyDescent="0.25">
      <c r="A369" s="31">
        <v>368</v>
      </c>
      <c r="B369" s="32">
        <f t="shared" si="5"/>
        <v>43725</v>
      </c>
      <c r="C369" s="32"/>
      <c r="D369" s="32"/>
      <c r="E369" s="29" t="s">
        <v>755</v>
      </c>
      <c r="F369" s="30" t="s">
        <v>756</v>
      </c>
      <c r="G369" s="27" t="s">
        <v>869</v>
      </c>
      <c r="H369" s="27" t="s">
        <v>876</v>
      </c>
      <c r="I369" s="31">
        <v>5</v>
      </c>
      <c r="J369" s="33">
        <f>StockOutData[[#This Row],[Quantity]]*2.5</f>
        <v>12.5</v>
      </c>
    </row>
    <row r="370" spans="1:10" x14ac:dyDescent="0.25">
      <c r="A370" s="31">
        <v>369</v>
      </c>
      <c r="B370" s="32">
        <f t="shared" si="5"/>
        <v>43726</v>
      </c>
      <c r="C370" s="32"/>
      <c r="D370" s="32"/>
      <c r="E370" s="29" t="s">
        <v>757</v>
      </c>
      <c r="F370" s="30" t="s">
        <v>758</v>
      </c>
      <c r="G370" s="27" t="s">
        <v>869</v>
      </c>
      <c r="H370" s="27" t="s">
        <v>876</v>
      </c>
      <c r="I370" s="31">
        <v>7</v>
      </c>
      <c r="J370" s="33">
        <f>StockOutData[[#This Row],[Quantity]]*2.5</f>
        <v>17.5</v>
      </c>
    </row>
    <row r="371" spans="1:10" x14ac:dyDescent="0.25">
      <c r="A371" s="31">
        <v>370</v>
      </c>
      <c r="B371" s="32">
        <f t="shared" si="5"/>
        <v>43727</v>
      </c>
      <c r="C371" s="32"/>
      <c r="D371" s="32"/>
      <c r="E371" s="29" t="s">
        <v>759</v>
      </c>
      <c r="F371" s="30" t="s">
        <v>760</v>
      </c>
      <c r="G371" s="27" t="s">
        <v>869</v>
      </c>
      <c r="H371" s="27" t="s">
        <v>876</v>
      </c>
      <c r="I371" s="31">
        <v>15</v>
      </c>
      <c r="J371" s="33">
        <f>StockOutData[[#This Row],[Quantity]]*2.5</f>
        <v>37.5</v>
      </c>
    </row>
    <row r="372" spans="1:10" x14ac:dyDescent="0.25">
      <c r="A372" s="31">
        <v>371</v>
      </c>
      <c r="B372" s="32">
        <f t="shared" si="5"/>
        <v>43728</v>
      </c>
      <c r="C372" s="32"/>
      <c r="D372" s="32"/>
      <c r="E372" s="29" t="s">
        <v>761</v>
      </c>
      <c r="F372" s="30" t="s">
        <v>762</v>
      </c>
      <c r="G372" s="27" t="s">
        <v>869</v>
      </c>
      <c r="H372" s="27" t="s">
        <v>876</v>
      </c>
      <c r="I372" s="31">
        <v>18</v>
      </c>
      <c r="J372" s="33">
        <f>StockOutData[[#This Row],[Quantity]]*2.5</f>
        <v>45</v>
      </c>
    </row>
    <row r="373" spans="1:10" x14ac:dyDescent="0.25">
      <c r="A373" s="31">
        <v>372</v>
      </c>
      <c r="B373" s="32">
        <f t="shared" si="5"/>
        <v>43729</v>
      </c>
      <c r="C373" s="32"/>
      <c r="D373" s="32"/>
      <c r="E373" s="29" t="s">
        <v>763</v>
      </c>
      <c r="F373" s="30" t="s">
        <v>764</v>
      </c>
      <c r="G373" s="27" t="s">
        <v>869</v>
      </c>
      <c r="H373" s="27" t="s">
        <v>876</v>
      </c>
      <c r="I373" s="31">
        <v>12</v>
      </c>
      <c r="J373" s="33">
        <f>StockOutData[[#This Row],[Quantity]]*2.5</f>
        <v>30</v>
      </c>
    </row>
    <row r="374" spans="1:10" x14ac:dyDescent="0.25">
      <c r="A374" s="31">
        <v>373</v>
      </c>
      <c r="B374" s="32">
        <f t="shared" si="5"/>
        <v>43730</v>
      </c>
      <c r="C374" s="32"/>
      <c r="D374" s="32"/>
      <c r="E374" s="29" t="s">
        <v>765</v>
      </c>
      <c r="F374" s="30" t="s">
        <v>766</v>
      </c>
      <c r="G374" s="27" t="s">
        <v>869</v>
      </c>
      <c r="H374" s="27" t="s">
        <v>876</v>
      </c>
      <c r="I374" s="31">
        <v>14</v>
      </c>
      <c r="J374" s="33">
        <f>StockOutData[[#This Row],[Quantity]]*2.5</f>
        <v>35</v>
      </c>
    </row>
    <row r="375" spans="1:10" x14ac:dyDescent="0.25">
      <c r="A375" s="31">
        <v>374</v>
      </c>
      <c r="B375" s="32">
        <f t="shared" si="5"/>
        <v>43731</v>
      </c>
      <c r="C375" s="32"/>
      <c r="D375" s="32"/>
      <c r="E375" s="29" t="s">
        <v>767</v>
      </c>
      <c r="F375" s="30" t="s">
        <v>768</v>
      </c>
      <c r="G375" s="27" t="s">
        <v>869</v>
      </c>
      <c r="H375" s="27" t="s">
        <v>876</v>
      </c>
      <c r="I375" s="31">
        <v>13</v>
      </c>
      <c r="J375" s="33">
        <f>StockOutData[[#This Row],[Quantity]]*2.5</f>
        <v>32.5</v>
      </c>
    </row>
    <row r="376" spans="1:10" x14ac:dyDescent="0.25">
      <c r="A376" s="31">
        <v>375</v>
      </c>
      <c r="B376" s="32">
        <f t="shared" si="5"/>
        <v>43732</v>
      </c>
      <c r="C376" s="32"/>
      <c r="D376" s="32"/>
      <c r="E376" s="29" t="s">
        <v>769</v>
      </c>
      <c r="F376" s="30" t="s">
        <v>770</v>
      </c>
      <c r="G376" s="27" t="s">
        <v>869</v>
      </c>
      <c r="H376" s="27" t="s">
        <v>876</v>
      </c>
      <c r="I376" s="31">
        <v>5</v>
      </c>
      <c r="J376" s="33">
        <f>StockOutData[[#This Row],[Quantity]]*2.5</f>
        <v>12.5</v>
      </c>
    </row>
    <row r="377" spans="1:10" x14ac:dyDescent="0.25">
      <c r="A377" s="31">
        <v>376</v>
      </c>
      <c r="B377" s="32">
        <f t="shared" si="5"/>
        <v>43733</v>
      </c>
      <c r="C377" s="32"/>
      <c r="D377" s="32"/>
      <c r="E377" s="29" t="s">
        <v>771</v>
      </c>
      <c r="F377" s="30" t="s">
        <v>772</v>
      </c>
      <c r="G377" s="27" t="s">
        <v>869</v>
      </c>
      <c r="H377" s="27" t="s">
        <v>876</v>
      </c>
      <c r="I377" s="31">
        <v>7</v>
      </c>
      <c r="J377" s="33">
        <f>StockOutData[[#This Row],[Quantity]]*2.5</f>
        <v>17.5</v>
      </c>
    </row>
    <row r="378" spans="1:10" x14ac:dyDescent="0.25">
      <c r="A378" s="31">
        <v>377</v>
      </c>
      <c r="B378" s="32">
        <f t="shared" si="5"/>
        <v>43734</v>
      </c>
      <c r="C378" s="32"/>
      <c r="D378" s="32"/>
      <c r="E378" s="29" t="s">
        <v>773</v>
      </c>
      <c r="F378" s="30" t="s">
        <v>774</v>
      </c>
      <c r="G378" s="27" t="s">
        <v>869</v>
      </c>
      <c r="H378" s="27" t="s">
        <v>876</v>
      </c>
      <c r="I378" s="31">
        <v>15</v>
      </c>
      <c r="J378" s="33">
        <f>StockOutData[[#This Row],[Quantity]]*2.5</f>
        <v>37.5</v>
      </c>
    </row>
    <row r="379" spans="1:10" x14ac:dyDescent="0.25">
      <c r="A379" s="31">
        <v>378</v>
      </c>
      <c r="B379" s="32">
        <f t="shared" si="5"/>
        <v>43735</v>
      </c>
      <c r="C379" s="32"/>
      <c r="D379" s="32"/>
      <c r="E379" s="29" t="s">
        <v>775</v>
      </c>
      <c r="F379" s="30" t="s">
        <v>776</v>
      </c>
      <c r="G379" s="27" t="s">
        <v>869</v>
      </c>
      <c r="H379" s="27" t="s">
        <v>876</v>
      </c>
      <c r="I379" s="31">
        <v>18</v>
      </c>
      <c r="J379" s="33">
        <f>StockOutData[[#This Row],[Quantity]]*2.5</f>
        <v>45</v>
      </c>
    </row>
    <row r="380" spans="1:10" x14ac:dyDescent="0.25">
      <c r="A380" s="31">
        <v>379</v>
      </c>
      <c r="B380" s="32">
        <f t="shared" si="5"/>
        <v>43736</v>
      </c>
      <c r="C380" s="32"/>
      <c r="D380" s="32"/>
      <c r="E380" s="29" t="s">
        <v>777</v>
      </c>
      <c r="F380" s="30" t="s">
        <v>778</v>
      </c>
      <c r="G380" s="27" t="s">
        <v>869</v>
      </c>
      <c r="H380" s="27" t="s">
        <v>876</v>
      </c>
      <c r="I380" s="31">
        <v>12</v>
      </c>
      <c r="J380" s="33">
        <f>StockOutData[[#This Row],[Quantity]]*2.5</f>
        <v>30</v>
      </c>
    </row>
    <row r="381" spans="1:10" x14ac:dyDescent="0.25">
      <c r="A381" s="31">
        <v>380</v>
      </c>
      <c r="B381" s="32">
        <f t="shared" si="5"/>
        <v>43737</v>
      </c>
      <c r="C381" s="32"/>
      <c r="D381" s="32"/>
      <c r="E381" s="29" t="s">
        <v>779</v>
      </c>
      <c r="F381" s="30" t="s">
        <v>780</v>
      </c>
      <c r="G381" s="27" t="s">
        <v>869</v>
      </c>
      <c r="H381" s="27" t="s">
        <v>876</v>
      </c>
      <c r="I381" s="31">
        <v>10</v>
      </c>
      <c r="J381" s="33">
        <f>StockOutData[[#This Row],[Quantity]]*2.5</f>
        <v>25</v>
      </c>
    </row>
    <row r="382" spans="1:10" x14ac:dyDescent="0.25">
      <c r="A382" s="31">
        <v>381</v>
      </c>
      <c r="B382" s="32">
        <f t="shared" si="5"/>
        <v>43738</v>
      </c>
      <c r="C382" s="32"/>
      <c r="D382" s="32"/>
      <c r="E382" s="29" t="s">
        <v>781</v>
      </c>
      <c r="F382" s="30" t="s">
        <v>782</v>
      </c>
      <c r="G382" s="27" t="s">
        <v>869</v>
      </c>
      <c r="H382" s="27" t="s">
        <v>876</v>
      </c>
      <c r="I382" s="31">
        <v>10</v>
      </c>
      <c r="J382" s="33">
        <f>StockOutData[[#This Row],[Quantity]]*2.5</f>
        <v>25</v>
      </c>
    </row>
    <row r="383" spans="1:10" x14ac:dyDescent="0.25">
      <c r="A383" s="31">
        <v>382</v>
      </c>
      <c r="B383" s="32">
        <f t="shared" si="5"/>
        <v>43739</v>
      </c>
      <c r="C383" s="32"/>
      <c r="D383" s="32"/>
      <c r="E383" s="29" t="s">
        <v>783</v>
      </c>
      <c r="F383" s="30" t="s">
        <v>784</v>
      </c>
      <c r="G383" s="27" t="s">
        <v>869</v>
      </c>
      <c r="H383" s="27" t="s">
        <v>876</v>
      </c>
      <c r="I383" s="31">
        <v>10</v>
      </c>
      <c r="J383" s="33">
        <f>StockOutData[[#This Row],[Quantity]]*2.5</f>
        <v>25</v>
      </c>
    </row>
    <row r="384" spans="1:10" x14ac:dyDescent="0.25">
      <c r="A384" s="31">
        <v>383</v>
      </c>
      <c r="B384" s="32">
        <f t="shared" si="5"/>
        <v>43740</v>
      </c>
      <c r="C384" s="32"/>
      <c r="D384" s="32"/>
      <c r="E384" s="29" t="s">
        <v>785</v>
      </c>
      <c r="F384" s="30" t="s">
        <v>786</v>
      </c>
      <c r="G384" s="27" t="s">
        <v>869</v>
      </c>
      <c r="H384" s="27" t="s">
        <v>876</v>
      </c>
      <c r="I384" s="31">
        <v>7</v>
      </c>
      <c r="J384" s="33">
        <f>StockOutData[[#This Row],[Quantity]]*2.5</f>
        <v>17.5</v>
      </c>
    </row>
    <row r="385" spans="1:10" x14ac:dyDescent="0.25">
      <c r="A385" s="31">
        <v>384</v>
      </c>
      <c r="B385" s="32">
        <f t="shared" si="5"/>
        <v>43741</v>
      </c>
      <c r="C385" s="32"/>
      <c r="D385" s="32"/>
      <c r="E385" s="29" t="s">
        <v>787</v>
      </c>
      <c r="F385" s="30" t="s">
        <v>788</v>
      </c>
      <c r="G385" s="27" t="s">
        <v>869</v>
      </c>
      <c r="H385" s="27" t="s">
        <v>876</v>
      </c>
      <c r="I385" s="31">
        <v>15</v>
      </c>
      <c r="J385" s="33">
        <f>StockOutData[[#This Row],[Quantity]]*2.5</f>
        <v>37.5</v>
      </c>
    </row>
    <row r="386" spans="1:10" x14ac:dyDescent="0.25">
      <c r="A386" s="31">
        <v>385</v>
      </c>
      <c r="B386" s="32">
        <f t="shared" si="5"/>
        <v>43742</v>
      </c>
      <c r="C386" s="32"/>
      <c r="D386" s="32"/>
      <c r="E386" s="29" t="s">
        <v>789</v>
      </c>
      <c r="F386" s="30" t="s">
        <v>790</v>
      </c>
      <c r="G386" s="27" t="s">
        <v>869</v>
      </c>
      <c r="H386" s="27" t="s">
        <v>876</v>
      </c>
      <c r="I386" s="31">
        <v>18</v>
      </c>
      <c r="J386" s="33">
        <f>StockOutData[[#This Row],[Quantity]]*2.5</f>
        <v>45</v>
      </c>
    </row>
    <row r="387" spans="1:10" x14ac:dyDescent="0.25">
      <c r="A387" s="31">
        <v>386</v>
      </c>
      <c r="B387" s="32">
        <f t="shared" si="5"/>
        <v>43743</v>
      </c>
      <c r="C387" s="32"/>
      <c r="D387" s="32"/>
      <c r="E387" s="29" t="s">
        <v>791</v>
      </c>
      <c r="F387" s="30" t="s">
        <v>792</v>
      </c>
      <c r="G387" s="27" t="s">
        <v>869</v>
      </c>
      <c r="H387" s="27" t="s">
        <v>876</v>
      </c>
      <c r="I387" s="31">
        <v>12</v>
      </c>
      <c r="J387" s="33">
        <f>StockOutData[[#This Row],[Quantity]]*2.5</f>
        <v>30</v>
      </c>
    </row>
    <row r="388" spans="1:10" x14ac:dyDescent="0.25">
      <c r="A388" s="31">
        <v>387</v>
      </c>
      <c r="B388" s="32">
        <f t="shared" ref="B388:B425" si="6">B387+1</f>
        <v>43744</v>
      </c>
      <c r="C388" s="32"/>
      <c r="D388" s="32"/>
      <c r="E388" s="29" t="s">
        <v>793</v>
      </c>
      <c r="F388" s="30" t="s">
        <v>794</v>
      </c>
      <c r="G388" s="27" t="s">
        <v>869</v>
      </c>
      <c r="H388" s="27" t="s">
        <v>876</v>
      </c>
      <c r="I388" s="31">
        <v>14</v>
      </c>
      <c r="J388" s="33">
        <f>StockOutData[[#This Row],[Quantity]]*2.5</f>
        <v>35</v>
      </c>
    </row>
    <row r="389" spans="1:10" x14ac:dyDescent="0.25">
      <c r="A389" s="31">
        <v>388</v>
      </c>
      <c r="B389" s="32">
        <f t="shared" si="6"/>
        <v>43745</v>
      </c>
      <c r="C389" s="32"/>
      <c r="D389" s="32"/>
      <c r="E389" s="29" t="s">
        <v>795</v>
      </c>
      <c r="F389" s="30" t="s">
        <v>796</v>
      </c>
      <c r="G389" s="27" t="s">
        <v>869</v>
      </c>
      <c r="H389" s="27" t="s">
        <v>876</v>
      </c>
      <c r="I389" s="31">
        <v>13</v>
      </c>
      <c r="J389" s="33">
        <f>StockOutData[[#This Row],[Quantity]]*2.5</f>
        <v>32.5</v>
      </c>
    </row>
    <row r="390" spans="1:10" x14ac:dyDescent="0.25">
      <c r="A390" s="31">
        <v>389</v>
      </c>
      <c r="B390" s="32">
        <f t="shared" si="6"/>
        <v>43746</v>
      </c>
      <c r="C390" s="32"/>
      <c r="D390" s="32"/>
      <c r="E390" s="29" t="s">
        <v>797</v>
      </c>
      <c r="F390" s="30" t="s">
        <v>798</v>
      </c>
      <c r="G390" s="27" t="s">
        <v>869</v>
      </c>
      <c r="H390" s="27" t="s">
        <v>876</v>
      </c>
      <c r="I390" s="31">
        <v>5</v>
      </c>
      <c r="J390" s="33">
        <f>StockOutData[[#This Row],[Quantity]]*2.5</f>
        <v>12.5</v>
      </c>
    </row>
    <row r="391" spans="1:10" x14ac:dyDescent="0.25">
      <c r="A391" s="31">
        <v>390</v>
      </c>
      <c r="B391" s="32">
        <f t="shared" si="6"/>
        <v>43747</v>
      </c>
      <c r="C391" s="32"/>
      <c r="D391" s="32"/>
      <c r="E391" s="29" t="s">
        <v>799</v>
      </c>
      <c r="F391" s="30" t="s">
        <v>800</v>
      </c>
      <c r="G391" s="27" t="s">
        <v>869</v>
      </c>
      <c r="H391" s="27" t="s">
        <v>871</v>
      </c>
      <c r="I391" s="31">
        <v>7</v>
      </c>
      <c r="J391" s="33">
        <f>StockOutData[[#This Row],[Quantity]]*2.5</f>
        <v>17.5</v>
      </c>
    </row>
    <row r="392" spans="1:10" x14ac:dyDescent="0.25">
      <c r="A392" s="31">
        <v>391</v>
      </c>
      <c r="B392" s="32">
        <f t="shared" si="6"/>
        <v>43748</v>
      </c>
      <c r="C392" s="32"/>
      <c r="D392" s="32"/>
      <c r="E392" s="29" t="s">
        <v>801</v>
      </c>
      <c r="F392" s="30" t="s">
        <v>802</v>
      </c>
      <c r="G392" s="27" t="s">
        <v>869</v>
      </c>
      <c r="H392" s="27" t="s">
        <v>871</v>
      </c>
      <c r="I392" s="31">
        <v>15</v>
      </c>
      <c r="J392" s="33">
        <f>StockOutData[[#This Row],[Quantity]]*2.5</f>
        <v>37.5</v>
      </c>
    </row>
    <row r="393" spans="1:10" x14ac:dyDescent="0.25">
      <c r="A393" s="31">
        <v>392</v>
      </c>
      <c r="B393" s="32">
        <f t="shared" si="6"/>
        <v>43749</v>
      </c>
      <c r="C393" s="32"/>
      <c r="D393" s="32"/>
      <c r="E393" s="29" t="s">
        <v>803</v>
      </c>
      <c r="F393" s="30" t="s">
        <v>804</v>
      </c>
      <c r="G393" s="27" t="s">
        <v>869</v>
      </c>
      <c r="H393" s="27" t="s">
        <v>871</v>
      </c>
      <c r="I393" s="31">
        <v>18</v>
      </c>
      <c r="J393" s="33">
        <f>StockOutData[[#This Row],[Quantity]]*2.5</f>
        <v>45</v>
      </c>
    </row>
    <row r="394" spans="1:10" x14ac:dyDescent="0.25">
      <c r="A394" s="31">
        <v>393</v>
      </c>
      <c r="B394" s="32">
        <f t="shared" si="6"/>
        <v>43750</v>
      </c>
      <c r="C394" s="32"/>
      <c r="D394" s="32"/>
      <c r="E394" s="29" t="s">
        <v>805</v>
      </c>
      <c r="F394" s="30" t="s">
        <v>806</v>
      </c>
      <c r="G394" s="27" t="s">
        <v>869</v>
      </c>
      <c r="H394" s="27" t="s">
        <v>871</v>
      </c>
      <c r="I394" s="31">
        <v>12</v>
      </c>
      <c r="J394" s="33">
        <f>StockOutData[[#This Row],[Quantity]]*2.5</f>
        <v>30</v>
      </c>
    </row>
    <row r="395" spans="1:10" x14ac:dyDescent="0.25">
      <c r="A395" s="31">
        <v>394</v>
      </c>
      <c r="B395" s="32">
        <f t="shared" si="6"/>
        <v>43751</v>
      </c>
      <c r="C395" s="32"/>
      <c r="D395" s="32"/>
      <c r="E395" s="29" t="s">
        <v>807</v>
      </c>
      <c r="F395" s="30" t="s">
        <v>808</v>
      </c>
      <c r="G395" s="27" t="s">
        <v>869</v>
      </c>
      <c r="H395" s="27" t="s">
        <v>871</v>
      </c>
      <c r="I395" s="31">
        <v>14</v>
      </c>
      <c r="J395" s="33">
        <f>StockOutData[[#This Row],[Quantity]]*2.5</f>
        <v>35</v>
      </c>
    </row>
    <row r="396" spans="1:10" x14ac:dyDescent="0.25">
      <c r="A396" s="31">
        <v>395</v>
      </c>
      <c r="B396" s="32">
        <f t="shared" si="6"/>
        <v>43752</v>
      </c>
      <c r="C396" s="32"/>
      <c r="D396" s="32"/>
      <c r="E396" s="29" t="s">
        <v>809</v>
      </c>
      <c r="F396" s="30" t="s">
        <v>810</v>
      </c>
      <c r="G396" s="27" t="s">
        <v>869</v>
      </c>
      <c r="H396" s="27" t="s">
        <v>871</v>
      </c>
      <c r="I396" s="31">
        <v>13</v>
      </c>
      <c r="J396" s="33">
        <f>StockOutData[[#This Row],[Quantity]]*2.5</f>
        <v>32.5</v>
      </c>
    </row>
    <row r="397" spans="1:10" x14ac:dyDescent="0.25">
      <c r="A397" s="31">
        <v>396</v>
      </c>
      <c r="B397" s="32">
        <f t="shared" si="6"/>
        <v>43753</v>
      </c>
      <c r="C397" s="32"/>
      <c r="D397" s="32"/>
      <c r="E397" s="29" t="s">
        <v>811</v>
      </c>
      <c r="F397" s="30" t="s">
        <v>812</v>
      </c>
      <c r="G397" s="27" t="s">
        <v>869</v>
      </c>
      <c r="H397" s="27" t="s">
        <v>871</v>
      </c>
      <c r="I397" s="31">
        <v>5</v>
      </c>
      <c r="J397" s="33">
        <f>StockOutData[[#This Row],[Quantity]]*2.5</f>
        <v>12.5</v>
      </c>
    </row>
    <row r="398" spans="1:10" x14ac:dyDescent="0.25">
      <c r="A398" s="31">
        <v>397</v>
      </c>
      <c r="B398" s="32">
        <f t="shared" si="6"/>
        <v>43754</v>
      </c>
      <c r="C398" s="32"/>
      <c r="D398" s="32"/>
      <c r="E398" s="29" t="s">
        <v>813</v>
      </c>
      <c r="F398" s="30" t="s">
        <v>814</v>
      </c>
      <c r="G398" s="27" t="s">
        <v>869</v>
      </c>
      <c r="H398" s="27" t="s">
        <v>871</v>
      </c>
      <c r="I398" s="31">
        <v>7</v>
      </c>
      <c r="J398" s="33">
        <f>StockOutData[[#This Row],[Quantity]]*2.5</f>
        <v>17.5</v>
      </c>
    </row>
    <row r="399" spans="1:10" x14ac:dyDescent="0.25">
      <c r="A399" s="31">
        <v>398</v>
      </c>
      <c r="B399" s="32">
        <f t="shared" si="6"/>
        <v>43755</v>
      </c>
      <c r="C399" s="32"/>
      <c r="D399" s="32"/>
      <c r="E399" s="29" t="s">
        <v>815</v>
      </c>
      <c r="F399" s="30" t="s">
        <v>816</v>
      </c>
      <c r="G399" s="27" t="s">
        <v>869</v>
      </c>
      <c r="H399" s="27" t="s">
        <v>871</v>
      </c>
      <c r="I399" s="31">
        <v>15</v>
      </c>
      <c r="J399" s="33">
        <f>StockOutData[[#This Row],[Quantity]]*2.5</f>
        <v>37.5</v>
      </c>
    </row>
    <row r="400" spans="1:10" x14ac:dyDescent="0.25">
      <c r="A400" s="31">
        <v>399</v>
      </c>
      <c r="B400" s="32">
        <f t="shared" si="6"/>
        <v>43756</v>
      </c>
      <c r="C400" s="32"/>
      <c r="D400" s="32"/>
      <c r="E400" s="29" t="s">
        <v>817</v>
      </c>
      <c r="F400" s="30" t="s">
        <v>818</v>
      </c>
      <c r="G400" s="27" t="s">
        <v>869</v>
      </c>
      <c r="H400" s="27" t="s">
        <v>871</v>
      </c>
      <c r="I400" s="31">
        <v>18</v>
      </c>
      <c r="J400" s="33">
        <f>StockOutData[[#This Row],[Quantity]]*2.5</f>
        <v>45</v>
      </c>
    </row>
    <row r="401" spans="1:10" x14ac:dyDescent="0.25">
      <c r="A401" s="31">
        <v>400</v>
      </c>
      <c r="B401" s="32">
        <f t="shared" si="6"/>
        <v>43757</v>
      </c>
      <c r="C401" s="32"/>
      <c r="D401" s="32"/>
      <c r="E401" s="29" t="s">
        <v>819</v>
      </c>
      <c r="F401" s="30" t="s">
        <v>820</v>
      </c>
      <c r="G401" s="27" t="s">
        <v>869</v>
      </c>
      <c r="H401" s="27" t="s">
        <v>871</v>
      </c>
      <c r="I401" s="31">
        <v>12</v>
      </c>
      <c r="J401" s="33">
        <f>StockOutData[[#This Row],[Quantity]]*2.5</f>
        <v>30</v>
      </c>
    </row>
    <row r="402" spans="1:10" x14ac:dyDescent="0.25">
      <c r="A402" s="31">
        <v>401</v>
      </c>
      <c r="B402" s="32">
        <f t="shared" si="6"/>
        <v>43758</v>
      </c>
      <c r="C402" s="32"/>
      <c r="D402" s="32"/>
      <c r="E402" s="29" t="s">
        <v>821</v>
      </c>
      <c r="F402" s="30" t="s">
        <v>822</v>
      </c>
      <c r="G402" s="27" t="s">
        <v>869</v>
      </c>
      <c r="H402" s="27" t="s">
        <v>871</v>
      </c>
      <c r="I402" s="31">
        <v>10</v>
      </c>
      <c r="J402" s="33">
        <f>StockOutData[[#This Row],[Quantity]]*2.5</f>
        <v>25</v>
      </c>
    </row>
    <row r="403" spans="1:10" x14ac:dyDescent="0.25">
      <c r="A403" s="31">
        <v>402</v>
      </c>
      <c r="B403" s="32">
        <f t="shared" si="6"/>
        <v>43759</v>
      </c>
      <c r="C403" s="32"/>
      <c r="D403" s="32"/>
      <c r="E403" s="29" t="s">
        <v>823</v>
      </c>
      <c r="F403" s="30" t="s">
        <v>824</v>
      </c>
      <c r="G403" s="27" t="s">
        <v>869</v>
      </c>
      <c r="H403" s="27" t="s">
        <v>871</v>
      </c>
      <c r="I403" s="31">
        <v>7</v>
      </c>
      <c r="J403" s="33">
        <f>StockOutData[[#This Row],[Quantity]]*2.5</f>
        <v>17.5</v>
      </c>
    </row>
    <row r="404" spans="1:10" x14ac:dyDescent="0.25">
      <c r="A404" s="31">
        <v>403</v>
      </c>
      <c r="B404" s="32">
        <f t="shared" si="6"/>
        <v>43760</v>
      </c>
      <c r="C404" s="32"/>
      <c r="D404" s="32"/>
      <c r="E404" s="29" t="s">
        <v>825</v>
      </c>
      <c r="F404" s="30" t="s">
        <v>826</v>
      </c>
      <c r="G404" s="27" t="s">
        <v>869</v>
      </c>
      <c r="H404" s="27" t="s">
        <v>871</v>
      </c>
      <c r="I404" s="31">
        <v>15</v>
      </c>
      <c r="J404" s="33">
        <f>StockOutData[[#This Row],[Quantity]]*2.5</f>
        <v>37.5</v>
      </c>
    </row>
    <row r="405" spans="1:10" x14ac:dyDescent="0.25">
      <c r="A405" s="31">
        <v>404</v>
      </c>
      <c r="B405" s="32">
        <f t="shared" si="6"/>
        <v>43761</v>
      </c>
      <c r="C405" s="32"/>
      <c r="D405" s="32"/>
      <c r="E405" s="29" t="s">
        <v>827</v>
      </c>
      <c r="F405" s="30" t="s">
        <v>828</v>
      </c>
      <c r="G405" s="27" t="s">
        <v>869</v>
      </c>
      <c r="H405" s="27" t="s">
        <v>871</v>
      </c>
      <c r="I405" s="31">
        <v>18</v>
      </c>
      <c r="J405" s="33">
        <f>StockOutData[[#This Row],[Quantity]]*2.5</f>
        <v>45</v>
      </c>
    </row>
    <row r="406" spans="1:10" x14ac:dyDescent="0.25">
      <c r="A406" s="31">
        <v>405</v>
      </c>
      <c r="B406" s="32">
        <f t="shared" si="6"/>
        <v>43762</v>
      </c>
      <c r="C406" s="32"/>
      <c r="D406" s="32"/>
      <c r="E406" s="29" t="s">
        <v>829</v>
      </c>
      <c r="F406" s="30" t="s">
        <v>830</v>
      </c>
      <c r="G406" s="27" t="s">
        <v>869</v>
      </c>
      <c r="H406" s="27" t="s">
        <v>871</v>
      </c>
      <c r="I406" s="31">
        <v>12</v>
      </c>
      <c r="J406" s="33">
        <f>StockOutData[[#This Row],[Quantity]]*2.5</f>
        <v>30</v>
      </c>
    </row>
    <row r="407" spans="1:10" x14ac:dyDescent="0.25">
      <c r="A407" s="31">
        <v>406</v>
      </c>
      <c r="B407" s="32">
        <f t="shared" si="6"/>
        <v>43763</v>
      </c>
      <c r="C407" s="32"/>
      <c r="D407" s="32"/>
      <c r="E407" s="29" t="s">
        <v>831</v>
      </c>
      <c r="F407" s="30" t="s">
        <v>832</v>
      </c>
      <c r="G407" s="27" t="s">
        <v>869</v>
      </c>
      <c r="H407" s="27" t="s">
        <v>871</v>
      </c>
      <c r="I407" s="31">
        <v>14</v>
      </c>
      <c r="J407" s="33">
        <f>StockOutData[[#This Row],[Quantity]]*2.5</f>
        <v>35</v>
      </c>
    </row>
    <row r="408" spans="1:10" x14ac:dyDescent="0.25">
      <c r="A408" s="31">
        <v>407</v>
      </c>
      <c r="B408" s="32">
        <f t="shared" si="6"/>
        <v>43764</v>
      </c>
      <c r="C408" s="32"/>
      <c r="D408" s="32"/>
      <c r="E408" s="29" t="s">
        <v>833</v>
      </c>
      <c r="F408" s="30" t="s">
        <v>834</v>
      </c>
      <c r="G408" s="27" t="s">
        <v>869</v>
      </c>
      <c r="H408" s="27" t="s">
        <v>871</v>
      </c>
      <c r="I408" s="31">
        <v>13</v>
      </c>
      <c r="J408" s="33">
        <f>StockOutData[[#This Row],[Quantity]]*2.5</f>
        <v>32.5</v>
      </c>
    </row>
    <row r="409" spans="1:10" x14ac:dyDescent="0.25">
      <c r="A409" s="31">
        <v>408</v>
      </c>
      <c r="B409" s="32">
        <f t="shared" si="6"/>
        <v>43765</v>
      </c>
      <c r="C409" s="32"/>
      <c r="D409" s="32"/>
      <c r="E409" s="29" t="s">
        <v>835</v>
      </c>
      <c r="F409" s="30" t="s">
        <v>836</v>
      </c>
      <c r="G409" s="27" t="s">
        <v>869</v>
      </c>
      <c r="H409" s="27" t="s">
        <v>871</v>
      </c>
      <c r="I409" s="31">
        <v>5</v>
      </c>
      <c r="J409" s="33">
        <f>StockOutData[[#This Row],[Quantity]]*2.5</f>
        <v>12.5</v>
      </c>
    </row>
    <row r="410" spans="1:10" x14ac:dyDescent="0.25">
      <c r="A410" s="31">
        <v>409</v>
      </c>
      <c r="B410" s="32">
        <f t="shared" si="6"/>
        <v>43766</v>
      </c>
      <c r="C410" s="32"/>
      <c r="D410" s="32"/>
      <c r="E410" s="29" t="s">
        <v>837</v>
      </c>
      <c r="F410" s="30" t="s">
        <v>838</v>
      </c>
      <c r="G410" s="27" t="s">
        <v>869</v>
      </c>
      <c r="H410" s="27" t="s">
        <v>870</v>
      </c>
      <c r="I410" s="31">
        <v>7</v>
      </c>
      <c r="J410" s="33">
        <f>StockOutData[[#This Row],[Quantity]]*2.5</f>
        <v>17.5</v>
      </c>
    </row>
    <row r="411" spans="1:10" x14ac:dyDescent="0.25">
      <c r="A411" s="31">
        <v>410</v>
      </c>
      <c r="B411" s="32">
        <f t="shared" si="6"/>
        <v>43767</v>
      </c>
      <c r="C411" s="32"/>
      <c r="D411" s="32"/>
      <c r="E411" s="29" t="s">
        <v>839</v>
      </c>
      <c r="F411" s="30" t="s">
        <v>840</v>
      </c>
      <c r="G411" s="27" t="s">
        <v>869</v>
      </c>
      <c r="H411" s="27" t="s">
        <v>870</v>
      </c>
      <c r="I411" s="31">
        <v>15</v>
      </c>
      <c r="J411" s="33">
        <f>StockOutData[[#This Row],[Quantity]]*2.5</f>
        <v>37.5</v>
      </c>
    </row>
    <row r="412" spans="1:10" x14ac:dyDescent="0.25">
      <c r="A412" s="31">
        <v>411</v>
      </c>
      <c r="B412" s="32">
        <f t="shared" si="6"/>
        <v>43768</v>
      </c>
      <c r="C412" s="32"/>
      <c r="D412" s="32"/>
      <c r="E412" s="29" t="s">
        <v>841</v>
      </c>
      <c r="F412" s="30" t="s">
        <v>842</v>
      </c>
      <c r="G412" s="27" t="s">
        <v>869</v>
      </c>
      <c r="H412" s="27" t="s">
        <v>870</v>
      </c>
      <c r="I412" s="31">
        <v>18</v>
      </c>
      <c r="J412" s="33">
        <f>StockOutData[[#This Row],[Quantity]]*2.5</f>
        <v>45</v>
      </c>
    </row>
    <row r="413" spans="1:10" x14ac:dyDescent="0.25">
      <c r="A413" s="31">
        <v>412</v>
      </c>
      <c r="B413" s="32">
        <f t="shared" si="6"/>
        <v>43769</v>
      </c>
      <c r="C413" s="32"/>
      <c r="D413" s="32"/>
      <c r="E413" s="29" t="s">
        <v>843</v>
      </c>
      <c r="F413" s="30" t="s">
        <v>844</v>
      </c>
      <c r="G413" s="27" t="s">
        <v>869</v>
      </c>
      <c r="H413" s="27" t="s">
        <v>870</v>
      </c>
      <c r="I413" s="31">
        <v>12</v>
      </c>
      <c r="J413" s="33">
        <f>StockOutData[[#This Row],[Quantity]]*2.5</f>
        <v>30</v>
      </c>
    </row>
    <row r="414" spans="1:10" x14ac:dyDescent="0.25">
      <c r="A414" s="31">
        <v>413</v>
      </c>
      <c r="B414" s="32">
        <f t="shared" si="6"/>
        <v>43770</v>
      </c>
      <c r="C414" s="32"/>
      <c r="D414" s="32"/>
      <c r="E414" s="29" t="s">
        <v>845</v>
      </c>
      <c r="F414" s="30" t="s">
        <v>846</v>
      </c>
      <c r="G414" s="27" t="s">
        <v>869</v>
      </c>
      <c r="H414" s="27" t="s">
        <v>870</v>
      </c>
      <c r="I414" s="31">
        <v>14</v>
      </c>
      <c r="J414" s="33">
        <f>StockOutData[[#This Row],[Quantity]]*2.5</f>
        <v>35</v>
      </c>
    </row>
    <row r="415" spans="1:10" x14ac:dyDescent="0.25">
      <c r="A415" s="31">
        <v>414</v>
      </c>
      <c r="B415" s="32">
        <f t="shared" si="6"/>
        <v>43771</v>
      </c>
      <c r="C415" s="32"/>
      <c r="D415" s="32"/>
      <c r="E415" s="29" t="s">
        <v>847</v>
      </c>
      <c r="F415" s="30" t="s">
        <v>848</v>
      </c>
      <c r="G415" s="27" t="s">
        <v>869</v>
      </c>
      <c r="H415" s="27" t="s">
        <v>870</v>
      </c>
      <c r="I415" s="31">
        <v>13</v>
      </c>
      <c r="J415" s="33">
        <f>StockOutData[[#This Row],[Quantity]]*2.5</f>
        <v>32.5</v>
      </c>
    </row>
    <row r="416" spans="1:10" x14ac:dyDescent="0.25">
      <c r="A416" s="31">
        <v>415</v>
      </c>
      <c r="B416" s="32">
        <f t="shared" si="6"/>
        <v>43772</v>
      </c>
      <c r="C416" s="32"/>
      <c r="D416" s="32"/>
      <c r="E416" s="29" t="s">
        <v>849</v>
      </c>
      <c r="F416" s="30" t="s">
        <v>850</v>
      </c>
      <c r="G416" s="27" t="s">
        <v>869</v>
      </c>
      <c r="H416" s="27" t="s">
        <v>870</v>
      </c>
      <c r="I416" s="31">
        <v>5</v>
      </c>
      <c r="J416" s="33">
        <f>StockOutData[[#This Row],[Quantity]]*2.5</f>
        <v>12.5</v>
      </c>
    </row>
    <row r="417" spans="1:10" x14ac:dyDescent="0.25">
      <c r="A417" s="31">
        <v>416</v>
      </c>
      <c r="B417" s="32">
        <f t="shared" si="6"/>
        <v>43773</v>
      </c>
      <c r="C417" s="32"/>
      <c r="D417" s="32"/>
      <c r="E417" s="29" t="s">
        <v>851</v>
      </c>
      <c r="F417" s="30" t="s">
        <v>852</v>
      </c>
      <c r="G417" s="27" t="s">
        <v>869</v>
      </c>
      <c r="H417" s="27" t="s">
        <v>870</v>
      </c>
      <c r="I417" s="31">
        <v>7</v>
      </c>
      <c r="J417" s="33">
        <f>StockOutData[[#This Row],[Quantity]]*2.5</f>
        <v>17.5</v>
      </c>
    </row>
    <row r="418" spans="1:10" x14ac:dyDescent="0.25">
      <c r="A418" s="31">
        <v>417</v>
      </c>
      <c r="B418" s="32">
        <f t="shared" si="6"/>
        <v>43774</v>
      </c>
      <c r="C418" s="32"/>
      <c r="D418" s="32"/>
      <c r="E418" s="29" t="s">
        <v>853</v>
      </c>
      <c r="F418" s="30" t="s">
        <v>854</v>
      </c>
      <c r="G418" s="27" t="s">
        <v>869</v>
      </c>
      <c r="H418" s="27" t="s">
        <v>870</v>
      </c>
      <c r="I418" s="31">
        <v>15</v>
      </c>
      <c r="J418" s="33">
        <f>StockOutData[[#This Row],[Quantity]]*2.5</f>
        <v>37.5</v>
      </c>
    </row>
    <row r="419" spans="1:10" x14ac:dyDescent="0.25">
      <c r="A419" s="31">
        <v>418</v>
      </c>
      <c r="B419" s="32">
        <f t="shared" si="6"/>
        <v>43775</v>
      </c>
      <c r="C419" s="32"/>
      <c r="D419" s="32"/>
      <c r="E419" s="29" t="s">
        <v>855</v>
      </c>
      <c r="F419" s="30" t="s">
        <v>856</v>
      </c>
      <c r="G419" s="27" t="s">
        <v>869</v>
      </c>
      <c r="H419" s="27" t="s">
        <v>870</v>
      </c>
      <c r="I419" s="31">
        <v>18</v>
      </c>
      <c r="J419" s="33">
        <f>StockOutData[[#This Row],[Quantity]]*2.5</f>
        <v>45</v>
      </c>
    </row>
    <row r="420" spans="1:10" x14ac:dyDescent="0.25">
      <c r="A420" s="31">
        <v>419</v>
      </c>
      <c r="B420" s="32">
        <f t="shared" si="6"/>
        <v>43776</v>
      </c>
      <c r="C420" s="32"/>
      <c r="D420" s="32"/>
      <c r="E420" s="29" t="s">
        <v>857</v>
      </c>
      <c r="F420" s="30" t="s">
        <v>858</v>
      </c>
      <c r="G420" s="27" t="s">
        <v>869</v>
      </c>
      <c r="H420" s="27" t="s">
        <v>870</v>
      </c>
      <c r="I420" s="31">
        <v>12</v>
      </c>
      <c r="J420" s="33">
        <f>StockOutData[[#This Row],[Quantity]]*2.5</f>
        <v>30</v>
      </c>
    </row>
    <row r="421" spans="1:10" x14ac:dyDescent="0.25">
      <c r="A421" s="31">
        <v>420</v>
      </c>
      <c r="B421" s="32">
        <f t="shared" si="6"/>
        <v>43777</v>
      </c>
      <c r="C421" s="32"/>
      <c r="D421" s="32"/>
      <c r="E421" s="29" t="s">
        <v>859</v>
      </c>
      <c r="F421" s="30" t="s">
        <v>860</v>
      </c>
      <c r="G421" s="27" t="s">
        <v>869</v>
      </c>
      <c r="H421" s="27" t="s">
        <v>870</v>
      </c>
      <c r="I421" s="31">
        <v>10</v>
      </c>
      <c r="J421" s="33">
        <f>StockOutData[[#This Row],[Quantity]]*2.5</f>
        <v>25</v>
      </c>
    </row>
    <row r="422" spans="1:10" x14ac:dyDescent="0.25">
      <c r="A422" s="31">
        <v>421</v>
      </c>
      <c r="B422" s="32">
        <f t="shared" si="6"/>
        <v>43778</v>
      </c>
      <c r="C422" s="32"/>
      <c r="D422" s="32"/>
      <c r="E422" s="29" t="s">
        <v>861</v>
      </c>
      <c r="F422" s="30" t="s">
        <v>862</v>
      </c>
      <c r="G422" s="27" t="s">
        <v>869</v>
      </c>
      <c r="H422" s="27" t="s">
        <v>870</v>
      </c>
      <c r="I422" s="31">
        <v>10</v>
      </c>
      <c r="J422" s="33">
        <f>StockOutData[[#This Row],[Quantity]]*2.5</f>
        <v>25</v>
      </c>
    </row>
    <row r="423" spans="1:10" x14ac:dyDescent="0.25">
      <c r="A423" s="31">
        <v>422</v>
      </c>
      <c r="B423" s="32">
        <f t="shared" si="6"/>
        <v>43779</v>
      </c>
      <c r="C423" s="32"/>
      <c r="D423" s="32"/>
      <c r="E423" s="29" t="s">
        <v>863</v>
      </c>
      <c r="F423" s="30" t="s">
        <v>864</v>
      </c>
      <c r="G423" s="27" t="s">
        <v>869</v>
      </c>
      <c r="H423" s="27" t="s">
        <v>870</v>
      </c>
      <c r="I423" s="31">
        <v>10</v>
      </c>
      <c r="J423" s="33">
        <f>StockOutData[[#This Row],[Quantity]]*2.5</f>
        <v>25</v>
      </c>
    </row>
    <row r="424" spans="1:10" x14ac:dyDescent="0.25">
      <c r="A424" s="31">
        <v>423</v>
      </c>
      <c r="B424" s="32">
        <f t="shared" si="6"/>
        <v>43780</v>
      </c>
      <c r="C424" s="32"/>
      <c r="D424" s="32"/>
      <c r="E424" s="29" t="s">
        <v>865</v>
      </c>
      <c r="F424" s="30" t="s">
        <v>866</v>
      </c>
      <c r="G424" s="27" t="s">
        <v>869</v>
      </c>
      <c r="H424" s="27" t="s">
        <v>870</v>
      </c>
      <c r="I424" s="31">
        <v>10</v>
      </c>
      <c r="J424" s="33">
        <f>StockOutData[[#This Row],[Quantity]]*2.5</f>
        <v>25</v>
      </c>
    </row>
    <row r="425" spans="1:10" x14ac:dyDescent="0.25">
      <c r="A425" s="31">
        <v>424</v>
      </c>
      <c r="B425" s="32">
        <f t="shared" si="6"/>
        <v>43781</v>
      </c>
      <c r="C425" s="32"/>
      <c r="D425" s="32"/>
      <c r="E425" s="29" t="s">
        <v>867</v>
      </c>
      <c r="F425" s="30" t="s">
        <v>868</v>
      </c>
      <c r="G425" s="27" t="s">
        <v>869</v>
      </c>
      <c r="H425" s="27" t="s">
        <v>870</v>
      </c>
      <c r="I425" s="31">
        <v>10</v>
      </c>
      <c r="J425" s="33">
        <f>StockOutData[[#This Row],[Quantity]]*2.5</f>
        <v>25</v>
      </c>
    </row>
    <row r="426" spans="1:10" x14ac:dyDescent="0.25">
      <c r="A426" s="61">
        <v>425</v>
      </c>
      <c r="B426" s="62">
        <v>43533</v>
      </c>
      <c r="C426" s="62" t="s">
        <v>961</v>
      </c>
      <c r="D426" s="62" t="s">
        <v>962</v>
      </c>
      <c r="E426" s="63" t="s">
        <v>33</v>
      </c>
      <c r="F426" s="64" t="s">
        <v>34</v>
      </c>
      <c r="G426" s="63"/>
      <c r="H426" s="63"/>
      <c r="I426" s="61">
        <v>6</v>
      </c>
      <c r="J426" s="65">
        <v>6.5400000000000009</v>
      </c>
    </row>
    <row r="427" spans="1:10" x14ac:dyDescent="0.25">
      <c r="A427" s="61">
        <v>426</v>
      </c>
      <c r="B427" s="62">
        <v>43533</v>
      </c>
      <c r="C427" s="62" t="s">
        <v>961</v>
      </c>
      <c r="D427" s="62" t="s">
        <v>962</v>
      </c>
      <c r="E427" s="63" t="s">
        <v>882</v>
      </c>
      <c r="F427" s="64" t="s">
        <v>883</v>
      </c>
      <c r="G427" s="63"/>
      <c r="H427" s="63"/>
      <c r="I427" s="61">
        <v>12</v>
      </c>
      <c r="J427" s="65">
        <v>8.2799999999999994</v>
      </c>
    </row>
    <row r="428" spans="1:10" x14ac:dyDescent="0.25">
      <c r="A428" s="61">
        <v>427</v>
      </c>
      <c r="B428" s="62">
        <v>43533</v>
      </c>
      <c r="C428" s="62" t="s">
        <v>961</v>
      </c>
      <c r="D428" s="62" t="s">
        <v>962</v>
      </c>
      <c r="E428" s="63" t="s">
        <v>884</v>
      </c>
      <c r="F428" s="64" t="s">
        <v>885</v>
      </c>
      <c r="G428" s="63"/>
      <c r="H428" s="63"/>
      <c r="I428" s="61">
        <v>16</v>
      </c>
      <c r="J428" s="65">
        <v>22.24</v>
      </c>
    </row>
    <row r="429" spans="1:10" x14ac:dyDescent="0.25">
      <c r="A429" s="61">
        <v>428</v>
      </c>
      <c r="B429" s="62">
        <v>43533</v>
      </c>
      <c r="C429" s="62" t="s">
        <v>961</v>
      </c>
      <c r="D429" s="62" t="s">
        <v>962</v>
      </c>
      <c r="E429" s="63" t="s">
        <v>886</v>
      </c>
      <c r="F429" s="64" t="s">
        <v>887</v>
      </c>
      <c r="G429" s="63"/>
      <c r="H429" s="63"/>
      <c r="I429" s="61">
        <v>15</v>
      </c>
      <c r="J429" s="65">
        <v>16.350000000000001</v>
      </c>
    </row>
    <row r="430" spans="1:10" x14ac:dyDescent="0.25">
      <c r="A430" s="61">
        <v>429</v>
      </c>
      <c r="B430" s="62">
        <v>43533</v>
      </c>
      <c r="C430" s="62" t="s">
        <v>961</v>
      </c>
      <c r="D430" s="62" t="s">
        <v>962</v>
      </c>
      <c r="E430" s="63" t="s">
        <v>888</v>
      </c>
      <c r="F430" s="64" t="s">
        <v>889</v>
      </c>
      <c r="G430" s="63"/>
      <c r="H430" s="63"/>
      <c r="I430" s="61">
        <v>15</v>
      </c>
      <c r="J430" s="65">
        <v>14.85</v>
      </c>
    </row>
    <row r="431" spans="1:10" x14ac:dyDescent="0.25">
      <c r="A431" s="61">
        <v>430</v>
      </c>
      <c r="B431" s="62">
        <v>43533</v>
      </c>
      <c r="C431" s="62" t="s">
        <v>961</v>
      </c>
      <c r="D431" s="62" t="s">
        <v>962</v>
      </c>
      <c r="E431" s="63" t="s">
        <v>890</v>
      </c>
      <c r="F431" s="64" t="s">
        <v>891</v>
      </c>
      <c r="G431" s="63"/>
      <c r="H431" s="63"/>
      <c r="I431" s="61">
        <v>15</v>
      </c>
      <c r="J431" s="65">
        <v>13.35</v>
      </c>
    </row>
    <row r="432" spans="1:10" x14ac:dyDescent="0.25">
      <c r="A432" s="61">
        <v>431</v>
      </c>
      <c r="B432" s="62">
        <v>43533</v>
      </c>
      <c r="C432" s="62" t="s">
        <v>961</v>
      </c>
      <c r="D432" s="62" t="s">
        <v>962</v>
      </c>
      <c r="E432" s="63" t="s">
        <v>892</v>
      </c>
      <c r="F432" s="64" t="s">
        <v>893</v>
      </c>
      <c r="G432" s="63"/>
      <c r="H432" s="63"/>
      <c r="I432" s="61">
        <v>16</v>
      </c>
      <c r="J432" s="65">
        <v>14.24</v>
      </c>
    </row>
    <row r="433" spans="1:10" x14ac:dyDescent="0.25">
      <c r="A433" s="61">
        <v>432</v>
      </c>
      <c r="B433" s="62">
        <v>43533</v>
      </c>
      <c r="C433" s="62" t="s">
        <v>961</v>
      </c>
      <c r="D433" s="62" t="s">
        <v>962</v>
      </c>
      <c r="E433" s="63" t="s">
        <v>894</v>
      </c>
      <c r="F433" s="64" t="s">
        <v>895</v>
      </c>
      <c r="G433" s="63"/>
      <c r="H433" s="63"/>
      <c r="I433" s="61">
        <v>16</v>
      </c>
      <c r="J433" s="65">
        <v>22.24</v>
      </c>
    </row>
    <row r="434" spans="1:10" x14ac:dyDescent="0.25">
      <c r="A434" s="61">
        <v>433</v>
      </c>
      <c r="B434" s="62">
        <v>43533</v>
      </c>
      <c r="C434" s="62" t="s">
        <v>961</v>
      </c>
      <c r="D434" s="62" t="s">
        <v>962</v>
      </c>
      <c r="E434" s="63" t="s">
        <v>896</v>
      </c>
      <c r="F434" s="64" t="s">
        <v>897</v>
      </c>
      <c r="G434" s="63"/>
      <c r="H434" s="63"/>
      <c r="I434" s="61">
        <v>16</v>
      </c>
      <c r="J434" s="65">
        <v>20.64</v>
      </c>
    </row>
    <row r="435" spans="1:10" x14ac:dyDescent="0.25">
      <c r="A435" s="61">
        <v>434</v>
      </c>
      <c r="B435" s="62">
        <v>43533</v>
      </c>
      <c r="C435" s="62" t="s">
        <v>961</v>
      </c>
      <c r="D435" s="62" t="s">
        <v>962</v>
      </c>
      <c r="E435" s="63" t="s">
        <v>898</v>
      </c>
      <c r="F435" s="64" t="s">
        <v>899</v>
      </c>
      <c r="G435" s="63"/>
      <c r="H435" s="63"/>
      <c r="I435" s="61">
        <v>16</v>
      </c>
      <c r="J435" s="65">
        <v>19.04</v>
      </c>
    </row>
    <row r="436" spans="1:10" x14ac:dyDescent="0.25">
      <c r="A436" s="61">
        <v>435</v>
      </c>
      <c r="B436" s="62">
        <v>43533</v>
      </c>
      <c r="C436" s="62" t="s">
        <v>961</v>
      </c>
      <c r="D436" s="62" t="s">
        <v>962</v>
      </c>
      <c r="E436" s="63" t="s">
        <v>900</v>
      </c>
      <c r="F436" s="64" t="s">
        <v>901</v>
      </c>
      <c r="G436" s="63"/>
      <c r="H436" s="63"/>
      <c r="I436" s="61">
        <v>16</v>
      </c>
      <c r="J436" s="65">
        <v>23.84</v>
      </c>
    </row>
    <row r="437" spans="1:10" x14ac:dyDescent="0.25">
      <c r="A437" s="61">
        <v>436</v>
      </c>
      <c r="B437" s="62">
        <v>43533</v>
      </c>
      <c r="C437" s="62" t="s">
        <v>961</v>
      </c>
      <c r="D437" s="62" t="s">
        <v>962</v>
      </c>
      <c r="E437" s="63" t="s">
        <v>902</v>
      </c>
      <c r="F437" s="64" t="s">
        <v>903</v>
      </c>
      <c r="G437" s="63"/>
      <c r="H437" s="63"/>
      <c r="I437" s="61">
        <v>15</v>
      </c>
      <c r="J437" s="65">
        <v>18.75</v>
      </c>
    </row>
    <row r="438" spans="1:10" x14ac:dyDescent="0.25">
      <c r="A438" s="61">
        <v>437</v>
      </c>
      <c r="B438" s="62">
        <v>43533</v>
      </c>
      <c r="C438" s="62" t="s">
        <v>961</v>
      </c>
      <c r="D438" s="62" t="s">
        <v>963</v>
      </c>
      <c r="E438" s="63" t="s">
        <v>43</v>
      </c>
      <c r="F438" s="64" t="s">
        <v>44</v>
      </c>
      <c r="G438" s="63"/>
      <c r="H438" s="63"/>
      <c r="I438" s="61">
        <v>27</v>
      </c>
      <c r="J438" s="65">
        <v>9.4499999999999993</v>
      </c>
    </row>
    <row r="439" spans="1:10" x14ac:dyDescent="0.25">
      <c r="A439" s="61">
        <v>438</v>
      </c>
      <c r="B439" s="62">
        <v>43533</v>
      </c>
      <c r="C439" s="62" t="s">
        <v>961</v>
      </c>
      <c r="D439" s="62" t="s">
        <v>963</v>
      </c>
      <c r="E439" s="63" t="s">
        <v>95</v>
      </c>
      <c r="F439" s="64" t="s">
        <v>96</v>
      </c>
      <c r="G439" s="63"/>
      <c r="H439" s="63"/>
      <c r="I439" s="61">
        <v>12</v>
      </c>
      <c r="J439" s="65">
        <v>17.88</v>
      </c>
    </row>
    <row r="440" spans="1:10" x14ac:dyDescent="0.25">
      <c r="A440" s="61">
        <v>439</v>
      </c>
      <c r="B440" s="62">
        <v>43533</v>
      </c>
      <c r="C440" s="62" t="s">
        <v>961</v>
      </c>
      <c r="D440" s="62" t="s">
        <v>963</v>
      </c>
      <c r="E440" s="63" t="s">
        <v>613</v>
      </c>
      <c r="F440" s="64" t="s">
        <v>614</v>
      </c>
      <c r="G440" s="63"/>
      <c r="H440" s="63"/>
      <c r="I440" s="61">
        <v>12</v>
      </c>
      <c r="J440" s="65">
        <v>83.88</v>
      </c>
    </row>
    <row r="441" spans="1:10" x14ac:dyDescent="0.25">
      <c r="A441" s="61">
        <v>440</v>
      </c>
      <c r="B441" s="62">
        <v>43533</v>
      </c>
      <c r="C441" s="62" t="s">
        <v>961</v>
      </c>
      <c r="D441" s="62" t="s">
        <v>963</v>
      </c>
      <c r="E441" s="63" t="s">
        <v>882</v>
      </c>
      <c r="F441" s="64" t="s">
        <v>883</v>
      </c>
      <c r="G441" s="63"/>
      <c r="H441" s="63"/>
      <c r="I441" s="61">
        <v>12</v>
      </c>
      <c r="J441" s="65">
        <v>8.2799999999999994</v>
      </c>
    </row>
    <row r="442" spans="1:10" x14ac:dyDescent="0.25">
      <c r="A442" s="61">
        <v>441</v>
      </c>
      <c r="B442" s="62">
        <v>43533</v>
      </c>
      <c r="C442" s="62" t="s">
        <v>961</v>
      </c>
      <c r="D442" s="62" t="s">
        <v>963</v>
      </c>
      <c r="E442" s="63" t="s">
        <v>904</v>
      </c>
      <c r="F442" s="64" t="s">
        <v>905</v>
      </c>
      <c r="G442" s="63"/>
      <c r="H442" s="63"/>
      <c r="I442" s="61">
        <v>96</v>
      </c>
      <c r="J442" s="65">
        <v>23.04</v>
      </c>
    </row>
    <row r="443" spans="1:10" x14ac:dyDescent="0.25">
      <c r="A443" s="61">
        <v>442</v>
      </c>
      <c r="B443" s="62">
        <v>43533</v>
      </c>
      <c r="C443" s="62" t="s">
        <v>961</v>
      </c>
      <c r="D443" s="62" t="s">
        <v>963</v>
      </c>
      <c r="E443" s="63" t="s">
        <v>906</v>
      </c>
      <c r="F443" s="64" t="s">
        <v>907</v>
      </c>
      <c r="G443" s="63"/>
      <c r="H443" s="63"/>
      <c r="I443" s="61">
        <v>10</v>
      </c>
      <c r="J443" s="65">
        <v>8.5</v>
      </c>
    </row>
    <row r="444" spans="1:10" x14ac:dyDescent="0.25">
      <c r="A444" s="61">
        <v>443</v>
      </c>
      <c r="B444" s="62">
        <v>43533</v>
      </c>
      <c r="C444" s="62" t="s">
        <v>961</v>
      </c>
      <c r="D444" s="62" t="s">
        <v>963</v>
      </c>
      <c r="E444" s="63" t="s">
        <v>908</v>
      </c>
      <c r="F444" s="64" t="s">
        <v>909</v>
      </c>
      <c r="G444" s="63"/>
      <c r="H444" s="63"/>
      <c r="I444" s="61">
        <v>8</v>
      </c>
      <c r="J444" s="65">
        <v>67.92</v>
      </c>
    </row>
    <row r="445" spans="1:10" x14ac:dyDescent="0.25">
      <c r="A445" s="61">
        <v>444</v>
      </c>
      <c r="B445" s="62">
        <v>43533</v>
      </c>
      <c r="C445" s="62" t="s">
        <v>961</v>
      </c>
      <c r="D445" s="62" t="s">
        <v>963</v>
      </c>
      <c r="E445" s="63" t="s">
        <v>910</v>
      </c>
      <c r="F445" s="64" t="s">
        <v>911</v>
      </c>
      <c r="G445" s="63"/>
      <c r="H445" s="63"/>
      <c r="I445" s="61">
        <v>20</v>
      </c>
      <c r="J445" s="65">
        <v>25</v>
      </c>
    </row>
    <row r="446" spans="1:10" x14ac:dyDescent="0.25">
      <c r="A446" s="61">
        <v>445</v>
      </c>
      <c r="B446" s="62">
        <v>43533</v>
      </c>
      <c r="C446" s="62" t="s">
        <v>961</v>
      </c>
      <c r="D446" s="62" t="s">
        <v>963</v>
      </c>
      <c r="E446" s="63" t="s">
        <v>912</v>
      </c>
      <c r="F446" s="64" t="s">
        <v>913</v>
      </c>
      <c r="G446" s="63"/>
      <c r="H446" s="63"/>
      <c r="I446" s="61">
        <v>1</v>
      </c>
      <c r="J446" s="65">
        <v>27</v>
      </c>
    </row>
    <row r="447" spans="1:10" x14ac:dyDescent="0.25">
      <c r="A447" s="61">
        <v>446</v>
      </c>
      <c r="B447" s="62">
        <v>43533</v>
      </c>
      <c r="C447" s="62" t="s">
        <v>961</v>
      </c>
      <c r="D447" s="62" t="s">
        <v>963</v>
      </c>
      <c r="E447" s="63" t="s">
        <v>914</v>
      </c>
      <c r="F447" s="64" t="s">
        <v>915</v>
      </c>
      <c r="G447" s="63"/>
      <c r="H447" s="63"/>
      <c r="I447" s="61">
        <v>12</v>
      </c>
      <c r="J447" s="65">
        <v>6</v>
      </c>
    </row>
    <row r="448" spans="1:10" x14ac:dyDescent="0.25">
      <c r="A448" s="61">
        <v>447</v>
      </c>
      <c r="B448" s="62">
        <v>43533</v>
      </c>
      <c r="C448" s="62" t="s">
        <v>961</v>
      </c>
      <c r="D448" s="62" t="s">
        <v>963</v>
      </c>
      <c r="E448" s="63" t="s">
        <v>916</v>
      </c>
      <c r="F448" s="64" t="s">
        <v>917</v>
      </c>
      <c r="G448" s="63"/>
      <c r="H448" s="63"/>
      <c r="I448" s="61">
        <v>8</v>
      </c>
      <c r="J448" s="65">
        <v>34.32</v>
      </c>
    </row>
    <row r="449" spans="1:10" x14ac:dyDescent="0.25">
      <c r="A449" s="61">
        <v>448</v>
      </c>
      <c r="B449" s="62">
        <v>43533</v>
      </c>
      <c r="C449" s="62" t="s">
        <v>961</v>
      </c>
      <c r="D449" s="62" t="s">
        <v>963</v>
      </c>
      <c r="E449" s="63" t="s">
        <v>918</v>
      </c>
      <c r="F449" s="64" t="s">
        <v>919</v>
      </c>
      <c r="G449" s="63"/>
      <c r="H449" s="63"/>
      <c r="I449" s="61">
        <v>10</v>
      </c>
      <c r="J449" s="65">
        <v>17.899999999999999</v>
      </c>
    </row>
    <row r="450" spans="1:10" x14ac:dyDescent="0.25">
      <c r="A450" s="61">
        <v>449</v>
      </c>
      <c r="B450" s="62">
        <v>43533</v>
      </c>
      <c r="C450" s="62" t="s">
        <v>961</v>
      </c>
      <c r="D450" s="62" t="s">
        <v>964</v>
      </c>
      <c r="E450" s="63" t="s">
        <v>920</v>
      </c>
      <c r="F450" s="64" t="s">
        <v>921</v>
      </c>
      <c r="G450" s="63"/>
      <c r="H450" s="63"/>
      <c r="I450" s="61">
        <v>4</v>
      </c>
      <c r="J450" s="65">
        <v>5.96</v>
      </c>
    </row>
    <row r="451" spans="1:10" x14ac:dyDescent="0.25">
      <c r="A451" s="61">
        <v>450</v>
      </c>
      <c r="B451" s="62">
        <v>43533</v>
      </c>
      <c r="C451" s="62" t="s">
        <v>961</v>
      </c>
      <c r="D451" s="62" t="s">
        <v>964</v>
      </c>
      <c r="E451" s="63" t="s">
        <v>922</v>
      </c>
      <c r="F451" s="64" t="s">
        <v>923</v>
      </c>
      <c r="G451" s="63"/>
      <c r="H451" s="63"/>
      <c r="I451" s="61">
        <v>12</v>
      </c>
      <c r="J451" s="65">
        <v>30</v>
      </c>
    </row>
    <row r="452" spans="1:10" x14ac:dyDescent="0.25">
      <c r="A452" s="61">
        <v>451</v>
      </c>
      <c r="B452" s="62">
        <v>43533</v>
      </c>
      <c r="C452" s="62" t="s">
        <v>961</v>
      </c>
      <c r="D452" s="62" t="s">
        <v>964</v>
      </c>
      <c r="E452" s="63" t="s">
        <v>924</v>
      </c>
      <c r="F452" s="64" t="s">
        <v>925</v>
      </c>
      <c r="G452" s="63"/>
      <c r="H452" s="63"/>
      <c r="I452" s="61">
        <v>15</v>
      </c>
      <c r="J452" s="65">
        <v>10.35</v>
      </c>
    </row>
    <row r="453" spans="1:10" x14ac:dyDescent="0.25">
      <c r="A453" s="61">
        <v>452</v>
      </c>
      <c r="B453" s="62">
        <v>43533</v>
      </c>
      <c r="C453" s="62" t="s">
        <v>961</v>
      </c>
      <c r="D453" s="62" t="s">
        <v>964</v>
      </c>
      <c r="E453" s="63" t="s">
        <v>926</v>
      </c>
      <c r="F453" s="64" t="s">
        <v>927</v>
      </c>
      <c r="G453" s="63"/>
      <c r="H453" s="63"/>
      <c r="I453" s="61">
        <v>10</v>
      </c>
      <c r="J453" s="65">
        <v>7.9</v>
      </c>
    </row>
    <row r="454" spans="1:10" x14ac:dyDescent="0.25">
      <c r="A454" s="61">
        <v>453</v>
      </c>
      <c r="B454" s="62">
        <v>43533</v>
      </c>
      <c r="C454" s="62" t="s">
        <v>961</v>
      </c>
      <c r="D454" s="62" t="s">
        <v>964</v>
      </c>
      <c r="E454" s="63" t="s">
        <v>311</v>
      </c>
      <c r="F454" s="64" t="s">
        <v>312</v>
      </c>
      <c r="G454" s="63"/>
      <c r="H454" s="63"/>
      <c r="I454" s="61">
        <v>10</v>
      </c>
      <c r="J454" s="65">
        <v>7.9</v>
      </c>
    </row>
    <row r="455" spans="1:10" x14ac:dyDescent="0.25">
      <c r="A455" s="61">
        <v>454</v>
      </c>
      <c r="B455" s="62">
        <v>43533</v>
      </c>
      <c r="C455" s="62" t="s">
        <v>961</v>
      </c>
      <c r="D455" s="62" t="s">
        <v>964</v>
      </c>
      <c r="E455" s="63" t="s">
        <v>329</v>
      </c>
      <c r="F455" s="64" t="s">
        <v>330</v>
      </c>
      <c r="G455" s="63"/>
      <c r="H455" s="63"/>
      <c r="I455" s="61">
        <v>15</v>
      </c>
      <c r="J455" s="65">
        <v>12.75</v>
      </c>
    </row>
    <row r="456" spans="1:10" x14ac:dyDescent="0.25">
      <c r="A456" s="61">
        <v>455</v>
      </c>
      <c r="B456" s="62">
        <v>43533</v>
      </c>
      <c r="C456" s="62" t="s">
        <v>961</v>
      </c>
      <c r="D456" s="62" t="s">
        <v>964</v>
      </c>
      <c r="E456" s="63" t="s">
        <v>353</v>
      </c>
      <c r="F456" s="64" t="s">
        <v>354</v>
      </c>
      <c r="G456" s="63"/>
      <c r="H456" s="63"/>
      <c r="I456" s="61">
        <v>12</v>
      </c>
      <c r="J456" s="65">
        <v>2.4000000000000004</v>
      </c>
    </row>
    <row r="457" spans="1:10" x14ac:dyDescent="0.25">
      <c r="A457" s="61">
        <v>456</v>
      </c>
      <c r="B457" s="62">
        <v>43533</v>
      </c>
      <c r="C457" s="62" t="s">
        <v>961</v>
      </c>
      <c r="D457" s="62" t="s">
        <v>964</v>
      </c>
      <c r="E457" s="63" t="s">
        <v>373</v>
      </c>
      <c r="F457" s="64" t="s">
        <v>374</v>
      </c>
      <c r="G457" s="63"/>
      <c r="H457" s="63"/>
      <c r="I457" s="61">
        <v>40</v>
      </c>
      <c r="J457" s="65">
        <v>20.399999999999999</v>
      </c>
    </row>
    <row r="458" spans="1:10" x14ac:dyDescent="0.25">
      <c r="A458" s="61">
        <v>457</v>
      </c>
      <c r="B458" s="62">
        <v>43533</v>
      </c>
      <c r="C458" s="62" t="s">
        <v>961</v>
      </c>
      <c r="D458" s="62" t="s">
        <v>964</v>
      </c>
      <c r="E458" s="63" t="s">
        <v>487</v>
      </c>
      <c r="F458" s="64" t="s">
        <v>928</v>
      </c>
      <c r="G458" s="63"/>
      <c r="H458" s="63"/>
      <c r="I458" s="61">
        <v>6</v>
      </c>
      <c r="J458" s="65">
        <v>3</v>
      </c>
    </row>
    <row r="459" spans="1:10" x14ac:dyDescent="0.25">
      <c r="A459" s="61">
        <v>458</v>
      </c>
      <c r="B459" s="62">
        <v>43533</v>
      </c>
      <c r="C459" s="62" t="s">
        <v>961</v>
      </c>
      <c r="D459" s="62" t="s">
        <v>964</v>
      </c>
      <c r="E459" s="63" t="s">
        <v>489</v>
      </c>
      <c r="F459" s="64" t="s">
        <v>490</v>
      </c>
      <c r="G459" s="63"/>
      <c r="H459" s="63"/>
      <c r="I459" s="61">
        <v>6</v>
      </c>
      <c r="J459" s="65">
        <v>3</v>
      </c>
    </row>
    <row r="460" spans="1:10" x14ac:dyDescent="0.25">
      <c r="A460" s="61">
        <v>459</v>
      </c>
      <c r="B460" s="62">
        <v>43533</v>
      </c>
      <c r="C460" s="62" t="s">
        <v>961</v>
      </c>
      <c r="D460" s="62" t="s">
        <v>964</v>
      </c>
      <c r="E460" s="63" t="s">
        <v>511</v>
      </c>
      <c r="F460" s="64" t="s">
        <v>512</v>
      </c>
      <c r="G460" s="63"/>
      <c r="H460" s="63"/>
      <c r="I460" s="61">
        <v>6</v>
      </c>
      <c r="J460" s="65">
        <v>5.9399999999999995</v>
      </c>
    </row>
    <row r="461" spans="1:10" x14ac:dyDescent="0.25">
      <c r="A461" s="61">
        <v>460</v>
      </c>
      <c r="B461" s="62">
        <v>43533</v>
      </c>
      <c r="C461" s="62" t="s">
        <v>961</v>
      </c>
      <c r="D461" s="62" t="s">
        <v>964</v>
      </c>
      <c r="E461" s="63" t="s">
        <v>904</v>
      </c>
      <c r="F461" s="64" t="s">
        <v>905</v>
      </c>
      <c r="G461" s="63"/>
      <c r="H461" s="63"/>
      <c r="I461" s="61">
        <v>96</v>
      </c>
      <c r="J461" s="65">
        <v>23.04</v>
      </c>
    </row>
    <row r="462" spans="1:10" x14ac:dyDescent="0.25">
      <c r="A462" s="61">
        <v>461</v>
      </c>
      <c r="B462" s="62">
        <v>43533</v>
      </c>
      <c r="C462" s="62" t="s">
        <v>961</v>
      </c>
      <c r="D462" s="62" t="s">
        <v>964</v>
      </c>
      <c r="E462" s="63" t="s">
        <v>929</v>
      </c>
      <c r="F462" s="64" t="s">
        <v>930</v>
      </c>
      <c r="G462" s="63"/>
      <c r="H462" s="63"/>
      <c r="I462" s="61">
        <v>10</v>
      </c>
      <c r="J462" s="65">
        <v>9.9</v>
      </c>
    </row>
    <row r="463" spans="1:10" x14ac:dyDescent="0.25">
      <c r="A463" s="61">
        <v>462</v>
      </c>
      <c r="B463" s="62">
        <v>43533</v>
      </c>
      <c r="C463" s="62" t="s">
        <v>961</v>
      </c>
      <c r="D463" s="62" t="s">
        <v>964</v>
      </c>
      <c r="E463" s="63" t="s">
        <v>711</v>
      </c>
      <c r="F463" s="64" t="s">
        <v>712</v>
      </c>
      <c r="G463" s="63"/>
      <c r="H463" s="63"/>
      <c r="I463" s="61">
        <v>12</v>
      </c>
      <c r="J463" s="65">
        <v>8.2799999999999994</v>
      </c>
    </row>
    <row r="464" spans="1:10" x14ac:dyDescent="0.25">
      <c r="A464" s="61">
        <v>463</v>
      </c>
      <c r="B464" s="62">
        <v>43533</v>
      </c>
      <c r="C464" s="62" t="s">
        <v>961</v>
      </c>
      <c r="D464" s="62" t="s">
        <v>964</v>
      </c>
      <c r="E464" s="63" t="s">
        <v>745</v>
      </c>
      <c r="F464" s="64" t="s">
        <v>746</v>
      </c>
      <c r="G464" s="63"/>
      <c r="H464" s="63"/>
      <c r="I464" s="61">
        <v>12</v>
      </c>
      <c r="J464" s="65">
        <v>7.08</v>
      </c>
    </row>
    <row r="465" spans="1:10" x14ac:dyDescent="0.25">
      <c r="A465" s="61">
        <v>464</v>
      </c>
      <c r="B465" s="62">
        <v>43533</v>
      </c>
      <c r="C465" s="62" t="s">
        <v>961</v>
      </c>
      <c r="D465" s="62" t="s">
        <v>964</v>
      </c>
      <c r="E465" s="63" t="s">
        <v>908</v>
      </c>
      <c r="F465" s="64" t="s">
        <v>909</v>
      </c>
      <c r="G465" s="63"/>
      <c r="H465" s="63"/>
      <c r="I465" s="61">
        <v>4</v>
      </c>
      <c r="J465" s="65">
        <v>33.96</v>
      </c>
    </row>
    <row r="466" spans="1:10" x14ac:dyDescent="0.25">
      <c r="A466" s="61">
        <v>465</v>
      </c>
      <c r="B466" s="62">
        <v>43533</v>
      </c>
      <c r="C466" s="62" t="s">
        <v>961</v>
      </c>
      <c r="D466" s="62" t="s">
        <v>964</v>
      </c>
      <c r="E466" s="63" t="s">
        <v>931</v>
      </c>
      <c r="F466" s="64" t="s">
        <v>932</v>
      </c>
      <c r="G466" s="63"/>
      <c r="H466" s="63"/>
      <c r="I466" s="61">
        <v>12</v>
      </c>
      <c r="J466" s="65">
        <v>65.400000000000006</v>
      </c>
    </row>
    <row r="467" spans="1:10" x14ac:dyDescent="0.25">
      <c r="A467" s="61">
        <v>466</v>
      </c>
      <c r="B467" s="62">
        <v>43533</v>
      </c>
      <c r="C467" s="62" t="s">
        <v>961</v>
      </c>
      <c r="D467" s="62" t="s">
        <v>964</v>
      </c>
      <c r="E467" s="63" t="s">
        <v>933</v>
      </c>
      <c r="F467" s="64" t="s">
        <v>934</v>
      </c>
      <c r="G467" s="63"/>
      <c r="H467" s="63"/>
      <c r="I467" s="61">
        <v>10</v>
      </c>
      <c r="J467" s="65">
        <v>11.899999999999999</v>
      </c>
    </row>
    <row r="468" spans="1:10" x14ac:dyDescent="0.25">
      <c r="A468" s="61">
        <v>467</v>
      </c>
      <c r="B468" s="62">
        <v>43533</v>
      </c>
      <c r="C468" s="62" t="s">
        <v>961</v>
      </c>
      <c r="D468" s="62" t="s">
        <v>964</v>
      </c>
      <c r="E468" s="63" t="s">
        <v>914</v>
      </c>
      <c r="F468" s="64" t="s">
        <v>915</v>
      </c>
      <c r="G468" s="63"/>
      <c r="H468" s="63"/>
      <c r="I468" s="61">
        <v>12</v>
      </c>
      <c r="J468" s="65">
        <v>9.6000000000000014</v>
      </c>
    </row>
    <row r="469" spans="1:10" x14ac:dyDescent="0.25">
      <c r="A469" s="61">
        <v>468</v>
      </c>
      <c r="B469" s="62">
        <v>43533</v>
      </c>
      <c r="C469" s="62" t="s">
        <v>961</v>
      </c>
      <c r="D469" s="62" t="s">
        <v>964</v>
      </c>
      <c r="E469" s="63" t="s">
        <v>935</v>
      </c>
      <c r="F469" s="64" t="s">
        <v>936</v>
      </c>
      <c r="G469" s="63"/>
      <c r="H469" s="63"/>
      <c r="I469" s="61">
        <v>8</v>
      </c>
      <c r="J469" s="65">
        <v>17.440000000000001</v>
      </c>
    </row>
    <row r="470" spans="1:10" x14ac:dyDescent="0.25">
      <c r="A470" s="61">
        <v>469</v>
      </c>
      <c r="B470" s="62">
        <v>43533</v>
      </c>
      <c r="C470" s="62" t="s">
        <v>961</v>
      </c>
      <c r="D470" s="62" t="s">
        <v>964</v>
      </c>
      <c r="E470" s="63" t="s">
        <v>918</v>
      </c>
      <c r="F470" s="64" t="s">
        <v>919</v>
      </c>
      <c r="G470" s="63"/>
      <c r="H470" s="63"/>
      <c r="I470" s="61">
        <v>10</v>
      </c>
      <c r="J470" s="65">
        <v>17.899999999999999</v>
      </c>
    </row>
    <row r="471" spans="1:10" x14ac:dyDescent="0.25">
      <c r="A471" s="61">
        <v>470</v>
      </c>
      <c r="B471" s="62">
        <v>43533</v>
      </c>
      <c r="C471" s="62" t="s">
        <v>961</v>
      </c>
      <c r="D471" s="62" t="s">
        <v>964</v>
      </c>
      <c r="E471" s="63" t="s">
        <v>888</v>
      </c>
      <c r="F471" s="64" t="s">
        <v>889</v>
      </c>
      <c r="G471" s="63"/>
      <c r="H471" s="63"/>
      <c r="I471" s="61">
        <v>30</v>
      </c>
      <c r="J471" s="65">
        <v>29.7</v>
      </c>
    </row>
    <row r="472" spans="1:10" x14ac:dyDescent="0.25">
      <c r="A472" s="61">
        <v>471</v>
      </c>
      <c r="B472" s="62">
        <v>43533</v>
      </c>
      <c r="C472" s="62" t="s">
        <v>961</v>
      </c>
      <c r="D472" s="62" t="s">
        <v>964</v>
      </c>
      <c r="E472" s="63" t="s">
        <v>937</v>
      </c>
      <c r="F472" s="64" t="s">
        <v>938</v>
      </c>
      <c r="G472" s="63"/>
      <c r="H472" s="63"/>
      <c r="I472" s="61">
        <v>8</v>
      </c>
      <c r="J472" s="65">
        <v>15.92</v>
      </c>
    </row>
    <row r="473" spans="1:10" x14ac:dyDescent="0.25">
      <c r="A473" s="61">
        <v>472</v>
      </c>
      <c r="B473" s="62">
        <v>43533</v>
      </c>
      <c r="C473" s="62" t="s">
        <v>961</v>
      </c>
      <c r="D473" s="62" t="s">
        <v>964</v>
      </c>
      <c r="E473" s="63" t="s">
        <v>939</v>
      </c>
      <c r="F473" s="64" t="s">
        <v>940</v>
      </c>
      <c r="G473" s="63"/>
      <c r="H473" s="63"/>
      <c r="I473" s="61">
        <v>8</v>
      </c>
      <c r="J473" s="65">
        <v>14</v>
      </c>
    </row>
    <row r="474" spans="1:10" x14ac:dyDescent="0.25">
      <c r="A474" s="61">
        <v>473</v>
      </c>
      <c r="B474" s="62">
        <v>43533</v>
      </c>
      <c r="C474" s="62" t="s">
        <v>961</v>
      </c>
      <c r="D474" s="62" t="s">
        <v>964</v>
      </c>
      <c r="E474" s="63" t="s">
        <v>941</v>
      </c>
      <c r="F474" s="64" t="s">
        <v>942</v>
      </c>
      <c r="G474" s="63"/>
      <c r="H474" s="63"/>
      <c r="I474" s="61">
        <v>8</v>
      </c>
      <c r="J474" s="65">
        <v>21.52</v>
      </c>
    </row>
    <row r="475" spans="1:10" x14ac:dyDescent="0.25">
      <c r="A475" s="61">
        <v>474</v>
      </c>
      <c r="B475" s="62">
        <v>43803</v>
      </c>
      <c r="C475" s="62" t="s">
        <v>970</v>
      </c>
      <c r="D475" s="62" t="s">
        <v>971</v>
      </c>
      <c r="E475" s="63"/>
      <c r="F475" s="64" t="s">
        <v>28</v>
      </c>
      <c r="G475" s="63" t="s">
        <v>869</v>
      </c>
      <c r="H475" s="63" t="s">
        <v>870</v>
      </c>
      <c r="I475" s="61">
        <v>10</v>
      </c>
      <c r="J475" s="65">
        <v>100</v>
      </c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J426"/>
  <sheetViews>
    <sheetView showGridLines="0" workbookViewId="0">
      <pane xSplit="10" ySplit="3" topLeftCell="K159" activePane="bottomRight" state="frozen"/>
      <selection pane="topRight" activeCell="K1" sqref="K1"/>
      <selection pane="bottomLeft" activeCell="A4" sqref="A4"/>
      <selection pane="bottomRight" activeCell="B169" sqref="B169:G426"/>
    </sheetView>
  </sheetViews>
  <sheetFormatPr defaultRowHeight="15" x14ac:dyDescent="0.25"/>
  <cols>
    <col min="1" max="1" width="7.125" customWidth="1"/>
    <col min="2" max="2" width="11.625" customWidth="1"/>
    <col min="3" max="3" width="30.125" style="11" customWidth="1"/>
    <col min="4" max="4" width="19" customWidth="1"/>
    <col min="5" max="5" width="17.125" bestFit="1" customWidth="1"/>
    <col min="6" max="6" width="11.875" style="8" customWidth="1"/>
    <col min="7" max="7" width="11.25" style="34" bestFit="1" customWidth="1"/>
    <col min="8" max="8" width="14.375" customWidth="1"/>
    <col min="9" max="9" width="14.125" customWidth="1"/>
    <col min="10" max="10" width="9.875" customWidth="1"/>
  </cols>
  <sheetData>
    <row r="1" spans="1:10" s="4" customFormat="1" ht="12" x14ac:dyDescent="0.2">
      <c r="A1" s="40" t="s">
        <v>0</v>
      </c>
      <c r="B1" s="41" t="s">
        <v>2</v>
      </c>
      <c r="C1" s="41" t="s">
        <v>3</v>
      </c>
      <c r="D1" s="41" t="s">
        <v>4</v>
      </c>
      <c r="E1" s="41" t="s">
        <v>5</v>
      </c>
      <c r="F1" s="42" t="s">
        <v>10</v>
      </c>
      <c r="G1" s="43" t="s">
        <v>872</v>
      </c>
      <c r="H1" s="41" t="s">
        <v>8</v>
      </c>
      <c r="I1" s="41" t="s">
        <v>9</v>
      </c>
      <c r="J1" s="41" t="s">
        <v>7</v>
      </c>
    </row>
    <row r="2" spans="1:10" x14ac:dyDescent="0.25">
      <c r="A2" s="93">
        <v>1</v>
      </c>
      <c r="B2" s="66" t="s">
        <v>21</v>
      </c>
      <c r="C2" s="67" t="s">
        <v>22</v>
      </c>
      <c r="D2" s="66" t="s">
        <v>869</v>
      </c>
      <c r="E2" s="66" t="s">
        <v>870</v>
      </c>
      <c r="F2" s="68">
        <v>10</v>
      </c>
      <c r="G2" s="69">
        <v>43913</v>
      </c>
      <c r="H2" s="66">
        <v>25</v>
      </c>
      <c r="I2" s="88">
        <f>SUMIFS(StockInData[Quantity],StockInData[Product ID],ProductMaster!$B3)-SUMIFS(StockOutData[Quantity],StockOutData[Product ID],ProductMaster!$B3)</f>
        <v>33</v>
      </c>
      <c r="J2" s="92">
        <f>SUMIFS(StockInData[Value],StockInData[Product ID],ProductMaster!$B3)-SUMIFS(StockOutData[Value],StockOutData[Product ID],ProductMaster!$B3)</f>
        <v>82.5</v>
      </c>
    </row>
    <row r="3" spans="1:10" x14ac:dyDescent="0.25">
      <c r="A3" s="87">
        <v>2</v>
      </c>
      <c r="B3" s="88" t="s">
        <v>23</v>
      </c>
      <c r="C3" s="89" t="s">
        <v>24</v>
      </c>
      <c r="D3" s="88" t="s">
        <v>869</v>
      </c>
      <c r="E3" s="88" t="s">
        <v>870</v>
      </c>
      <c r="F3" s="90">
        <v>10</v>
      </c>
      <c r="G3" s="91">
        <f>StockInData[Expiry]</f>
        <v>43915</v>
      </c>
      <c r="H3" s="88">
        <v>25</v>
      </c>
      <c r="I3" s="88">
        <f>SUMIFS(StockInData[Quantity],StockInData[Product ID],ProductMaster!$B4)-SUMIFS(StockOutData[Quantity],StockOutData[Product ID],ProductMaster!$B4)</f>
        <v>35</v>
      </c>
      <c r="J3" s="92">
        <f>SUMIFS(StockInData[Value],StockInData[Product ID],ProductMaster!$B4)-SUMIFS(StockOutData[Value],StockOutData[Product ID],ProductMaster!$B4)</f>
        <v>87.5</v>
      </c>
    </row>
    <row r="4" spans="1:10" x14ac:dyDescent="0.25">
      <c r="A4" s="87">
        <v>3</v>
      </c>
      <c r="B4" s="88" t="s">
        <v>25</v>
      </c>
      <c r="C4" s="89" t="s">
        <v>26</v>
      </c>
      <c r="D4" s="88" t="s">
        <v>869</v>
      </c>
      <c r="E4" s="88" t="s">
        <v>870</v>
      </c>
      <c r="F4" s="90">
        <v>10</v>
      </c>
      <c r="G4" s="91">
        <f>StockInData[Expiry]</f>
        <v>43917</v>
      </c>
      <c r="H4" s="88">
        <v>25</v>
      </c>
      <c r="I4" s="88">
        <f>SUMIFS(StockInData[Quantity],StockInData[Product ID],ProductMaster!$B5)-SUMIFS(StockOutData[Quantity],StockOutData[Product ID],ProductMaster!$B5)</f>
        <v>27</v>
      </c>
      <c r="J4" s="92">
        <f>SUMIFS(StockInData[Value],StockInData[Product ID],ProductMaster!$B5)-SUMIFS(StockOutData[Value],StockOutData[Product ID],ProductMaster!$B5)</f>
        <v>67.5</v>
      </c>
    </row>
    <row r="5" spans="1:10" x14ac:dyDescent="0.25">
      <c r="A5" s="87">
        <v>4</v>
      </c>
      <c r="B5" s="88" t="s">
        <v>27</v>
      </c>
      <c r="C5" s="89" t="s">
        <v>28</v>
      </c>
      <c r="D5" s="88" t="s">
        <v>869</v>
      </c>
      <c r="E5" s="88" t="s">
        <v>870</v>
      </c>
      <c r="F5" s="90">
        <v>10</v>
      </c>
      <c r="G5" s="91">
        <f>StockInData[Expiry]</f>
        <v>43919</v>
      </c>
      <c r="H5" s="88">
        <v>25</v>
      </c>
      <c r="I5" s="88">
        <f>SUMIFS(StockInData[Quantity],StockInData[Product ID],ProductMaster!$B6)-SUMIFS(StockOutData[Quantity],StockOutData[Product ID],ProductMaster!$B6)</f>
        <v>8</v>
      </c>
      <c r="J5" s="92">
        <f>SUMIFS(StockInData[Value],StockInData[Product ID],ProductMaster!$B6)-SUMIFS(StockOutData[Value],StockOutData[Product ID],ProductMaster!$B6)</f>
        <v>20</v>
      </c>
    </row>
    <row r="6" spans="1:10" x14ac:dyDescent="0.25">
      <c r="A6" s="87">
        <v>5</v>
      </c>
      <c r="B6" s="88" t="s">
        <v>29</v>
      </c>
      <c r="C6" s="89" t="s">
        <v>30</v>
      </c>
      <c r="D6" s="88" t="s">
        <v>869</v>
      </c>
      <c r="E6" s="88" t="s">
        <v>870</v>
      </c>
      <c r="F6" s="90">
        <v>10</v>
      </c>
      <c r="G6" s="91">
        <f>StockInData[Expiry]</f>
        <v>43921</v>
      </c>
      <c r="H6" s="88">
        <v>25</v>
      </c>
      <c r="I6" s="88">
        <f>SUMIFS(StockInData[Quantity],StockInData[Product ID],ProductMaster!$B7)-SUMIFS(StockOutData[Quantity],StockOutData[Product ID],ProductMaster!$B7)</f>
        <v>5</v>
      </c>
      <c r="J6" s="92">
        <f>SUMIFS(StockInData[Value],StockInData[Product ID],ProductMaster!$B7)-SUMIFS(StockOutData[Value],StockOutData[Product ID],ProductMaster!$B7)</f>
        <v>12.5</v>
      </c>
    </row>
    <row r="7" spans="1:10" x14ac:dyDescent="0.25">
      <c r="A7" s="87">
        <v>6</v>
      </c>
      <c r="B7" s="88" t="s">
        <v>31</v>
      </c>
      <c r="C7" s="89" t="s">
        <v>32</v>
      </c>
      <c r="D7" s="88" t="s">
        <v>869</v>
      </c>
      <c r="E7" s="88" t="s">
        <v>870</v>
      </c>
      <c r="F7" s="90">
        <v>10</v>
      </c>
      <c r="G7" s="91">
        <f>StockInData[Expiry]</f>
        <v>43923</v>
      </c>
      <c r="H7" s="88">
        <v>25</v>
      </c>
      <c r="I7" s="88">
        <f>SUMIFS(StockInData[Quantity],StockInData[Product ID],ProductMaster!$B8)-SUMIFS(StockOutData[Quantity],StockOutData[Product ID],ProductMaster!$B8)</f>
        <v>4</v>
      </c>
      <c r="J7" s="92">
        <f>SUMIFS(StockInData[Value],StockInData[Product ID],ProductMaster!$B8)-SUMIFS(StockOutData[Value],StockOutData[Product ID],ProductMaster!$B8)</f>
        <v>18.46</v>
      </c>
    </row>
    <row r="8" spans="1:10" x14ac:dyDescent="0.25">
      <c r="A8" s="87">
        <v>7</v>
      </c>
      <c r="B8" s="88" t="s">
        <v>33</v>
      </c>
      <c r="C8" s="89" t="s">
        <v>34</v>
      </c>
      <c r="D8" s="88" t="s">
        <v>869</v>
      </c>
      <c r="E8" s="88" t="s">
        <v>870</v>
      </c>
      <c r="F8" s="90">
        <v>10</v>
      </c>
      <c r="G8" s="91">
        <f>StockInData[Expiry]</f>
        <v>43925</v>
      </c>
      <c r="H8" s="88">
        <v>25</v>
      </c>
      <c r="I8" s="88">
        <f>SUMIFS(StockInData[Quantity],StockInData[Product ID],ProductMaster!$B9)-SUMIFS(StockOutData[Quantity],StockOutData[Product ID],ProductMaster!$B9)</f>
        <v>60</v>
      </c>
      <c r="J8" s="92">
        <f>SUMIFS(StockInData[Value],StockInData[Product ID],ProductMaster!$B9)-SUMIFS(StockOutData[Value],StockOutData[Product ID],ProductMaster!$B9)</f>
        <v>150</v>
      </c>
    </row>
    <row r="9" spans="1:10" x14ac:dyDescent="0.25">
      <c r="A9" s="87">
        <v>8</v>
      </c>
      <c r="B9" s="88" t="s">
        <v>35</v>
      </c>
      <c r="C9" s="89" t="s">
        <v>36</v>
      </c>
      <c r="D9" s="88" t="s">
        <v>869</v>
      </c>
      <c r="E9" s="88" t="s">
        <v>870</v>
      </c>
      <c r="F9" s="90">
        <v>10</v>
      </c>
      <c r="G9" s="91">
        <f>StockInData[Expiry]</f>
        <v>43927</v>
      </c>
      <c r="H9" s="88">
        <v>25</v>
      </c>
      <c r="I9" s="88">
        <f>SUMIFS(StockInData[Quantity],StockInData[Product ID],ProductMaster!$B10)-SUMIFS(StockOutData[Quantity],StockOutData[Product ID],ProductMaster!$B10)</f>
        <v>67</v>
      </c>
      <c r="J9" s="92">
        <f>SUMIFS(StockInData[Value],StockInData[Product ID],ProductMaster!$B10)-SUMIFS(StockOutData[Value],StockOutData[Product ID],ProductMaster!$B10)</f>
        <v>167.5</v>
      </c>
    </row>
    <row r="10" spans="1:10" x14ac:dyDescent="0.25">
      <c r="A10" s="87">
        <v>9</v>
      </c>
      <c r="B10" s="88" t="s">
        <v>37</v>
      </c>
      <c r="C10" s="89" t="s">
        <v>38</v>
      </c>
      <c r="D10" s="88" t="s">
        <v>869</v>
      </c>
      <c r="E10" s="88" t="s">
        <v>870</v>
      </c>
      <c r="F10" s="90">
        <v>10</v>
      </c>
      <c r="G10" s="91">
        <f>StockInData[Expiry]</f>
        <v>43929</v>
      </c>
      <c r="H10" s="88">
        <v>25</v>
      </c>
      <c r="I10" s="88">
        <f>SUMIFS(StockInData[Quantity],StockInData[Product ID],ProductMaster!$B11)-SUMIFS(StockOutData[Quantity],StockOutData[Product ID],ProductMaster!$B11)</f>
        <v>69</v>
      </c>
      <c r="J10" s="92">
        <f>SUMIFS(StockInData[Value],StockInData[Product ID],ProductMaster!$B11)-SUMIFS(StockOutData[Value],StockOutData[Product ID],ProductMaster!$B11)</f>
        <v>172.5</v>
      </c>
    </row>
    <row r="11" spans="1:10" x14ac:dyDescent="0.25">
      <c r="A11" s="87">
        <v>10</v>
      </c>
      <c r="B11" s="88" t="s">
        <v>39</v>
      </c>
      <c r="C11" s="89" t="s">
        <v>40</v>
      </c>
      <c r="D11" s="88" t="s">
        <v>869</v>
      </c>
      <c r="E11" s="88" t="s">
        <v>870</v>
      </c>
      <c r="F11" s="90">
        <v>10</v>
      </c>
      <c r="G11" s="91">
        <f>StockInData[Expiry]</f>
        <v>43931</v>
      </c>
      <c r="H11" s="88">
        <v>25</v>
      </c>
      <c r="I11" s="88">
        <f>SUMIFS(StockInData[Quantity],StockInData[Product ID],ProductMaster!$B12)-SUMIFS(StockOutData[Quantity],StockOutData[Product ID],ProductMaster!$B12)</f>
        <v>81</v>
      </c>
      <c r="J11" s="92">
        <f>SUMIFS(StockInData[Value],StockInData[Product ID],ProductMaster!$B12)-SUMIFS(StockOutData[Value],StockOutData[Product ID],ProductMaster!$B12)</f>
        <v>202.5</v>
      </c>
    </row>
    <row r="12" spans="1:10" x14ac:dyDescent="0.25">
      <c r="A12" s="87">
        <v>11</v>
      </c>
      <c r="B12" s="88" t="s">
        <v>41</v>
      </c>
      <c r="C12" s="89" t="s">
        <v>42</v>
      </c>
      <c r="D12" s="88" t="s">
        <v>869</v>
      </c>
      <c r="E12" s="88" t="s">
        <v>870</v>
      </c>
      <c r="F12" s="90">
        <v>10</v>
      </c>
      <c r="G12" s="91">
        <f>StockInData[Expiry]</f>
        <v>43933</v>
      </c>
      <c r="H12" s="88">
        <v>25</v>
      </c>
      <c r="I12" s="88">
        <f>SUMIFS(StockInData[Quantity],StockInData[Product ID],ProductMaster!$B13)-SUMIFS(StockOutData[Quantity],StockOutData[Product ID],ProductMaster!$B13)</f>
        <v>62</v>
      </c>
      <c r="J12" s="92">
        <f>SUMIFS(StockInData[Value],StockInData[Product ID],ProductMaster!$B13)-SUMIFS(StockOutData[Value],StockOutData[Product ID],ProductMaster!$B13)</f>
        <v>213.05</v>
      </c>
    </row>
    <row r="13" spans="1:10" x14ac:dyDescent="0.25">
      <c r="A13" s="87">
        <v>12</v>
      </c>
      <c r="B13" s="88" t="s">
        <v>43</v>
      </c>
      <c r="C13" s="89" t="s">
        <v>44</v>
      </c>
      <c r="D13" s="88" t="s">
        <v>869</v>
      </c>
      <c r="E13" s="88" t="s">
        <v>870</v>
      </c>
      <c r="F13" s="90">
        <v>10</v>
      </c>
      <c r="G13" s="91">
        <f>StockInData[Expiry]</f>
        <v>43935</v>
      </c>
      <c r="H13" s="88">
        <v>25</v>
      </c>
      <c r="I13" s="88">
        <f>SUMIFS(StockInData[Quantity],StockInData[Product ID],ProductMaster!$B14)-SUMIFS(StockOutData[Quantity],StockOutData[Product ID],ProductMaster!$B14)</f>
        <v>46</v>
      </c>
      <c r="J13" s="92">
        <f>SUMIFS(StockInData[Value],StockInData[Product ID],ProductMaster!$B14)-SUMIFS(StockOutData[Value],StockOutData[Product ID],ProductMaster!$B14)</f>
        <v>115</v>
      </c>
    </row>
    <row r="14" spans="1:10" x14ac:dyDescent="0.25">
      <c r="A14" s="87">
        <v>13</v>
      </c>
      <c r="B14" s="88" t="s">
        <v>45</v>
      </c>
      <c r="C14" s="89" t="s">
        <v>46</v>
      </c>
      <c r="D14" s="88" t="s">
        <v>869</v>
      </c>
      <c r="E14" s="88" t="s">
        <v>870</v>
      </c>
      <c r="F14" s="90">
        <v>10</v>
      </c>
      <c r="G14" s="91">
        <f>StockInData[Expiry]</f>
        <v>43937</v>
      </c>
      <c r="H14" s="88">
        <v>25</v>
      </c>
      <c r="I14" s="88">
        <f>SUMIFS(StockInData[Quantity],StockInData[Product ID],ProductMaster!$B15)-SUMIFS(StockOutData[Quantity],StockOutData[Product ID],ProductMaster!$B15)</f>
        <v>27</v>
      </c>
      <c r="J14" s="92">
        <f>SUMIFS(StockInData[Value],StockInData[Product ID],ProductMaster!$B15)-SUMIFS(StockOutData[Value],StockOutData[Product ID],ProductMaster!$B15)</f>
        <v>67.5</v>
      </c>
    </row>
    <row r="15" spans="1:10" x14ac:dyDescent="0.25">
      <c r="A15" s="87">
        <v>14</v>
      </c>
      <c r="B15" s="88" t="s">
        <v>47</v>
      </c>
      <c r="C15" s="89" t="s">
        <v>48</v>
      </c>
      <c r="D15" s="88" t="s">
        <v>869</v>
      </c>
      <c r="E15" s="88" t="s">
        <v>870</v>
      </c>
      <c r="F15" s="90">
        <v>10</v>
      </c>
      <c r="G15" s="91">
        <f>StockInData[Expiry]</f>
        <v>43939</v>
      </c>
      <c r="H15" s="88">
        <v>25</v>
      </c>
      <c r="I15" s="88">
        <f>SUMIFS(StockInData[Quantity],StockInData[Product ID],ProductMaster!$B16)-SUMIFS(StockOutData[Quantity],StockOutData[Product ID],ProductMaster!$B16)</f>
        <v>25</v>
      </c>
      <c r="J15" s="92">
        <f>SUMIFS(StockInData[Value],StockInData[Product ID],ProductMaster!$B16)-SUMIFS(StockOutData[Value],StockOutData[Product ID],ProductMaster!$B16)</f>
        <v>62.5</v>
      </c>
    </row>
    <row r="16" spans="1:10" x14ac:dyDescent="0.25">
      <c r="A16" s="87">
        <v>15</v>
      </c>
      <c r="B16" s="88" t="s">
        <v>49</v>
      </c>
      <c r="C16" s="89" t="s">
        <v>50</v>
      </c>
      <c r="D16" s="88" t="s">
        <v>869</v>
      </c>
      <c r="E16" s="88" t="s">
        <v>870</v>
      </c>
      <c r="F16" s="90">
        <v>10</v>
      </c>
      <c r="G16" s="91">
        <f>StockInData[Expiry]</f>
        <v>43941</v>
      </c>
      <c r="H16" s="88">
        <v>25</v>
      </c>
      <c r="I16" s="88">
        <f>SUMIFS(StockInData[Quantity],StockInData[Product ID],ProductMaster!$B17)-SUMIFS(StockOutData[Quantity],StockOutData[Product ID],ProductMaster!$B17)</f>
        <v>18</v>
      </c>
      <c r="J16" s="92">
        <f>SUMIFS(StockInData[Value],StockInData[Product ID],ProductMaster!$B17)-SUMIFS(StockOutData[Value],StockOutData[Product ID],ProductMaster!$B17)</f>
        <v>45</v>
      </c>
    </row>
    <row r="17" spans="1:10" x14ac:dyDescent="0.25">
      <c r="A17" s="87">
        <v>16</v>
      </c>
      <c r="B17" s="88" t="s">
        <v>51</v>
      </c>
      <c r="C17" s="89" t="s">
        <v>52</v>
      </c>
      <c r="D17" s="88" t="s">
        <v>869</v>
      </c>
      <c r="E17" s="88" t="s">
        <v>870</v>
      </c>
      <c r="F17" s="90">
        <v>10</v>
      </c>
      <c r="G17" s="91">
        <f>StockInData[Expiry]</f>
        <v>43943</v>
      </c>
      <c r="H17" s="88">
        <v>25</v>
      </c>
      <c r="I17" s="88">
        <f>SUMIFS(StockInData[Quantity],StockInData[Product ID],ProductMaster!$B18)-SUMIFS(StockOutData[Quantity],StockOutData[Product ID],ProductMaster!$B18)</f>
        <v>5</v>
      </c>
      <c r="J17" s="92">
        <f>SUMIFS(StockInData[Value],StockInData[Product ID],ProductMaster!$B18)-SUMIFS(StockOutData[Value],StockOutData[Product ID],ProductMaster!$B18)</f>
        <v>12.5</v>
      </c>
    </row>
    <row r="18" spans="1:10" x14ac:dyDescent="0.25">
      <c r="A18" s="87">
        <v>17</v>
      </c>
      <c r="B18" s="88" t="s">
        <v>53</v>
      </c>
      <c r="C18" s="89" t="s">
        <v>54</v>
      </c>
      <c r="D18" s="88" t="s">
        <v>869</v>
      </c>
      <c r="E18" s="88" t="s">
        <v>870</v>
      </c>
      <c r="F18" s="90">
        <v>10</v>
      </c>
      <c r="G18" s="91">
        <f>StockInData[Expiry]</f>
        <v>43945</v>
      </c>
      <c r="H18" s="88">
        <v>25</v>
      </c>
      <c r="I18" s="88">
        <f>SUMIFS(StockInData[Quantity],StockInData[Product ID],ProductMaster!$B19)-SUMIFS(StockOutData[Quantity],StockOutData[Product ID],ProductMaster!$B19)</f>
        <v>1</v>
      </c>
      <c r="J18" s="92">
        <f>SUMIFS(StockInData[Value],StockInData[Product ID],ProductMaster!$B19)-SUMIFS(StockOutData[Value],StockOutData[Product ID],ProductMaster!$B19)</f>
        <v>2.5</v>
      </c>
    </row>
    <row r="19" spans="1:10" x14ac:dyDescent="0.25">
      <c r="A19" s="87">
        <v>18</v>
      </c>
      <c r="B19" s="88" t="s">
        <v>55</v>
      </c>
      <c r="C19" s="89" t="s">
        <v>56</v>
      </c>
      <c r="D19" s="88" t="s">
        <v>869</v>
      </c>
      <c r="E19" s="88" t="s">
        <v>870</v>
      </c>
      <c r="F19" s="90">
        <v>10</v>
      </c>
      <c r="G19" s="91">
        <f>StockInData[Expiry]</f>
        <v>43947</v>
      </c>
      <c r="H19" s="88">
        <v>25</v>
      </c>
      <c r="I19" s="88">
        <f>SUMIFS(StockInData[Quantity],StockInData[Product ID],ProductMaster!$B20)-SUMIFS(StockOutData[Quantity],StockOutData[Product ID],ProductMaster!$B20)</f>
        <v>11</v>
      </c>
      <c r="J19" s="92">
        <f>SUMIFS(StockInData[Value],StockInData[Product ID],ProductMaster!$B20)-SUMIFS(StockOutData[Value],StockOutData[Product ID],ProductMaster!$B20)</f>
        <v>27.5</v>
      </c>
    </row>
    <row r="20" spans="1:10" x14ac:dyDescent="0.25">
      <c r="A20" s="87">
        <v>19</v>
      </c>
      <c r="B20" s="88" t="s">
        <v>57</v>
      </c>
      <c r="C20" s="89" t="s">
        <v>58</v>
      </c>
      <c r="D20" s="88" t="s">
        <v>869</v>
      </c>
      <c r="E20" s="88" t="s">
        <v>870</v>
      </c>
      <c r="F20" s="90">
        <v>10</v>
      </c>
      <c r="G20" s="91">
        <f>StockInData[Expiry]</f>
        <v>43949</v>
      </c>
      <c r="H20" s="88">
        <v>25</v>
      </c>
      <c r="I20" s="88">
        <f>SUMIFS(StockInData[Quantity],StockInData[Product ID],ProductMaster!$B21)-SUMIFS(StockOutData[Quantity],StockOutData[Product ID],ProductMaster!$B21)</f>
        <v>51</v>
      </c>
      <c r="J20" s="92">
        <f>SUMIFS(StockInData[Value],StockInData[Product ID],ProductMaster!$B21)-SUMIFS(StockOutData[Value],StockOutData[Product ID],ProductMaster!$B21)</f>
        <v>127.5</v>
      </c>
    </row>
    <row r="21" spans="1:10" x14ac:dyDescent="0.25">
      <c r="A21" s="87">
        <v>20</v>
      </c>
      <c r="B21" s="88" t="s">
        <v>59</v>
      </c>
      <c r="C21" s="89" t="s">
        <v>60</v>
      </c>
      <c r="D21" s="88" t="s">
        <v>869</v>
      </c>
      <c r="E21" s="88" t="s">
        <v>870</v>
      </c>
      <c r="F21" s="90">
        <v>10</v>
      </c>
      <c r="G21" s="91">
        <f>StockInData[Expiry]</f>
        <v>43951</v>
      </c>
      <c r="H21" s="88">
        <v>25</v>
      </c>
      <c r="I21" s="88">
        <f>SUMIFS(StockInData[Quantity],StockInData[Product ID],ProductMaster!$B22)-SUMIFS(StockOutData[Quantity],StockOutData[Product ID],ProductMaster!$B22)</f>
        <v>61</v>
      </c>
      <c r="J21" s="92">
        <f>SUMIFS(StockInData[Value],StockInData[Product ID],ProductMaster!$B22)-SUMIFS(StockOutData[Value],StockOutData[Product ID],ProductMaster!$B22)</f>
        <v>152.5</v>
      </c>
    </row>
    <row r="22" spans="1:10" x14ac:dyDescent="0.25">
      <c r="A22" s="87">
        <v>21</v>
      </c>
      <c r="B22" s="88" t="s">
        <v>61</v>
      </c>
      <c r="C22" s="89" t="s">
        <v>62</v>
      </c>
      <c r="D22" s="88" t="s">
        <v>869</v>
      </c>
      <c r="E22" s="88" t="s">
        <v>870</v>
      </c>
      <c r="F22" s="90">
        <v>10</v>
      </c>
      <c r="G22" s="91">
        <f>StockInData[Expiry]</f>
        <v>43953</v>
      </c>
      <c r="H22" s="88">
        <v>25</v>
      </c>
      <c r="I22" s="88">
        <f>SUMIFS(StockInData[Quantity],StockInData[Product ID],ProductMaster!$B23)-SUMIFS(StockOutData[Quantity],StockOutData[Product ID],ProductMaster!$B23)</f>
        <v>74</v>
      </c>
      <c r="J22" s="92">
        <f>SUMIFS(StockInData[Value],StockInData[Product ID],ProductMaster!$B23)-SUMIFS(StockOutData[Value],StockOutData[Product ID],ProductMaster!$B23)</f>
        <v>185</v>
      </c>
    </row>
    <row r="23" spans="1:10" x14ac:dyDescent="0.25">
      <c r="A23" s="87">
        <v>22</v>
      </c>
      <c r="B23" s="88" t="s">
        <v>63</v>
      </c>
      <c r="C23" s="89" t="s">
        <v>64</v>
      </c>
      <c r="D23" s="88" t="s">
        <v>869</v>
      </c>
      <c r="E23" s="88" t="s">
        <v>870</v>
      </c>
      <c r="F23" s="90">
        <v>10</v>
      </c>
      <c r="G23" s="91">
        <f>StockInData[Expiry]</f>
        <v>43955</v>
      </c>
      <c r="H23" s="88">
        <v>25</v>
      </c>
      <c r="I23" s="88">
        <f>SUMIFS(StockInData[Quantity],StockInData[Product ID],ProductMaster!$B24)-SUMIFS(StockOutData[Quantity],StockOutData[Product ID],ProductMaster!$B24)</f>
        <v>89</v>
      </c>
      <c r="J23" s="92">
        <f>SUMIFS(StockInData[Value],StockInData[Product ID],ProductMaster!$B24)-SUMIFS(StockOutData[Value],StockOutData[Product ID],ProductMaster!$B24)</f>
        <v>222.5</v>
      </c>
    </row>
    <row r="24" spans="1:10" x14ac:dyDescent="0.25">
      <c r="A24" s="87">
        <v>23</v>
      </c>
      <c r="B24" s="88" t="s">
        <v>65</v>
      </c>
      <c r="C24" s="89" t="s">
        <v>66</v>
      </c>
      <c r="D24" s="88" t="s">
        <v>869</v>
      </c>
      <c r="E24" s="88" t="s">
        <v>870</v>
      </c>
      <c r="F24" s="90">
        <v>10</v>
      </c>
      <c r="G24" s="91">
        <f>StockInData[Expiry]</f>
        <v>43957</v>
      </c>
      <c r="H24" s="88">
        <v>25</v>
      </c>
      <c r="I24" s="88">
        <f>SUMIFS(StockInData[Quantity],StockInData[Product ID],ProductMaster!$B25)-SUMIFS(StockOutData[Quantity],StockOutData[Product ID],ProductMaster!$B25)</f>
        <v>94</v>
      </c>
      <c r="J24" s="92">
        <f>SUMIFS(StockInData[Value],StockInData[Product ID],ProductMaster!$B25)-SUMIFS(StockOutData[Value],StockOutData[Product ID],ProductMaster!$B25)</f>
        <v>235</v>
      </c>
    </row>
    <row r="25" spans="1:10" x14ac:dyDescent="0.25">
      <c r="A25" s="87">
        <v>24</v>
      </c>
      <c r="B25" s="88" t="s">
        <v>67</v>
      </c>
      <c r="C25" s="89" t="s">
        <v>68</v>
      </c>
      <c r="D25" s="88" t="s">
        <v>869</v>
      </c>
      <c r="E25" s="88" t="s">
        <v>870</v>
      </c>
      <c r="F25" s="90">
        <v>10</v>
      </c>
      <c r="G25" s="91">
        <f>StockInData[Expiry]</f>
        <v>43959</v>
      </c>
      <c r="H25" s="88">
        <v>25</v>
      </c>
      <c r="I25" s="88">
        <f>SUMIFS(StockInData[Quantity],StockInData[Product ID],ProductMaster!$B26)-SUMIFS(StockOutData[Quantity],StockOutData[Product ID],ProductMaster!$B26)</f>
        <v>45</v>
      </c>
      <c r="J25" s="92">
        <f>SUMIFS(StockInData[Value],StockInData[Product ID],ProductMaster!$B26)-SUMIFS(StockOutData[Value],StockOutData[Product ID],ProductMaster!$B26)</f>
        <v>112.5</v>
      </c>
    </row>
    <row r="26" spans="1:10" x14ac:dyDescent="0.25">
      <c r="A26" s="87">
        <v>25</v>
      </c>
      <c r="B26" s="88" t="s">
        <v>69</v>
      </c>
      <c r="C26" s="89" t="s">
        <v>70</v>
      </c>
      <c r="D26" s="88" t="s">
        <v>869</v>
      </c>
      <c r="E26" s="88" t="s">
        <v>870</v>
      </c>
      <c r="F26" s="90">
        <v>10</v>
      </c>
      <c r="G26" s="91">
        <f>StockInData[Expiry]</f>
        <v>43961</v>
      </c>
      <c r="H26" s="88">
        <v>25</v>
      </c>
      <c r="I26" s="88">
        <f>SUMIFS(StockInData[Quantity],StockInData[Product ID],ProductMaster!$B27)-SUMIFS(StockOutData[Quantity],StockOutData[Product ID],ProductMaster!$B27)</f>
        <v>22</v>
      </c>
      <c r="J26" s="92">
        <f>SUMIFS(StockInData[Value],StockInData[Product ID],ProductMaster!$B27)-SUMIFS(StockOutData[Value],StockOutData[Product ID],ProductMaster!$B27)</f>
        <v>55</v>
      </c>
    </row>
    <row r="27" spans="1:10" x14ac:dyDescent="0.25">
      <c r="A27" s="87">
        <v>26</v>
      </c>
      <c r="B27" s="88" t="s">
        <v>71</v>
      </c>
      <c r="C27" s="89" t="s">
        <v>72</v>
      </c>
      <c r="D27" s="88" t="s">
        <v>869</v>
      </c>
      <c r="E27" s="88" t="s">
        <v>870</v>
      </c>
      <c r="F27" s="90">
        <v>10</v>
      </c>
      <c r="G27" s="91">
        <f>StockInData[Expiry]</f>
        <v>43963</v>
      </c>
      <c r="H27" s="88">
        <v>25</v>
      </c>
      <c r="I27" s="88">
        <f>SUMIFS(StockInData[Quantity],StockInData[Product ID],ProductMaster!$B28)-SUMIFS(StockOutData[Quantity],StockOutData[Product ID],ProductMaster!$B28)</f>
        <v>18</v>
      </c>
      <c r="J27" s="92">
        <f>SUMIFS(StockInData[Value],StockInData[Product ID],ProductMaster!$B28)-SUMIFS(StockOutData[Value],StockOutData[Product ID],ProductMaster!$B28)</f>
        <v>45</v>
      </c>
    </row>
    <row r="28" spans="1:10" x14ac:dyDescent="0.25">
      <c r="A28" s="87">
        <v>27</v>
      </c>
      <c r="B28" s="88" t="s">
        <v>73</v>
      </c>
      <c r="C28" s="89" t="s">
        <v>74</v>
      </c>
      <c r="D28" s="88" t="s">
        <v>869</v>
      </c>
      <c r="E28" s="88" t="s">
        <v>870</v>
      </c>
      <c r="F28" s="90">
        <v>10</v>
      </c>
      <c r="G28" s="91">
        <f>StockInData[Expiry]</f>
        <v>43965</v>
      </c>
      <c r="H28" s="88">
        <v>25</v>
      </c>
      <c r="I28" s="88">
        <f>SUMIFS(StockInData[Quantity],StockInData[Product ID],ProductMaster!$B29)-SUMIFS(StockOutData[Quantity],StockOutData[Product ID],ProductMaster!$B29)</f>
        <v>11</v>
      </c>
      <c r="J28" s="92">
        <f>SUMIFS(StockInData[Value],StockInData[Product ID],ProductMaster!$B29)-SUMIFS(StockOutData[Value],StockOutData[Product ID],ProductMaster!$B29)</f>
        <v>27.5</v>
      </c>
    </row>
    <row r="29" spans="1:10" x14ac:dyDescent="0.25">
      <c r="A29" s="87">
        <v>28</v>
      </c>
      <c r="B29" s="88" t="s">
        <v>75</v>
      </c>
      <c r="C29" s="89" t="s">
        <v>76</v>
      </c>
      <c r="D29" s="88" t="s">
        <v>869</v>
      </c>
      <c r="E29" s="88" t="s">
        <v>870</v>
      </c>
      <c r="F29" s="90">
        <v>10</v>
      </c>
      <c r="G29" s="91">
        <f>StockInData[Expiry]</f>
        <v>43967</v>
      </c>
      <c r="H29" s="88">
        <v>25</v>
      </c>
      <c r="I29" s="88">
        <f>SUMIFS(StockInData[Quantity],StockInData[Product ID],ProductMaster!$B30)-SUMIFS(StockOutData[Quantity],StockOutData[Product ID],ProductMaster!$B30)</f>
        <v>7</v>
      </c>
      <c r="J29" s="92">
        <f>SUMIFS(StockInData[Value],StockInData[Product ID],ProductMaster!$B30)-SUMIFS(StockOutData[Value],StockOutData[Product ID],ProductMaster!$B30)</f>
        <v>17.5</v>
      </c>
    </row>
    <row r="30" spans="1:10" x14ac:dyDescent="0.25">
      <c r="A30" s="87">
        <v>29</v>
      </c>
      <c r="B30" s="88" t="s">
        <v>77</v>
      </c>
      <c r="C30" s="89" t="s">
        <v>78</v>
      </c>
      <c r="D30" s="88" t="s">
        <v>869</v>
      </c>
      <c r="E30" s="88" t="s">
        <v>870</v>
      </c>
      <c r="F30" s="90">
        <v>10</v>
      </c>
      <c r="G30" s="91">
        <f>StockInData[Expiry]</f>
        <v>43969</v>
      </c>
      <c r="H30" s="88">
        <v>25</v>
      </c>
      <c r="I30" s="88">
        <f>SUMIFS(StockInData[Quantity],StockInData[Product ID],ProductMaster!$B31)-SUMIFS(StockOutData[Quantity],StockOutData[Product ID],ProductMaster!$B31)</f>
        <v>14</v>
      </c>
      <c r="J30" s="92">
        <f>SUMIFS(StockInData[Value],StockInData[Product ID],ProductMaster!$B31)-SUMIFS(StockOutData[Value],StockOutData[Product ID],ProductMaster!$B31)</f>
        <v>35</v>
      </c>
    </row>
    <row r="31" spans="1:10" x14ac:dyDescent="0.25">
      <c r="A31" s="87">
        <v>30</v>
      </c>
      <c r="B31" s="88" t="s">
        <v>79</v>
      </c>
      <c r="C31" s="89" t="s">
        <v>80</v>
      </c>
      <c r="D31" s="88" t="s">
        <v>869</v>
      </c>
      <c r="E31" s="88" t="s">
        <v>870</v>
      </c>
      <c r="F31" s="90">
        <v>10</v>
      </c>
      <c r="G31" s="91">
        <f>StockInData[Expiry]</f>
        <v>43971</v>
      </c>
      <c r="H31" s="88">
        <v>25</v>
      </c>
      <c r="I31" s="88">
        <f>SUMIFS(StockInData[Quantity],StockInData[Product ID],ProductMaster!$B32)-SUMIFS(StockOutData[Quantity],StockOutData[Product ID],ProductMaster!$B32)</f>
        <v>16</v>
      </c>
      <c r="J31" s="92">
        <f>SUMIFS(StockInData[Value],StockInData[Product ID],ProductMaster!$B32)-SUMIFS(StockOutData[Value],StockOutData[Product ID],ProductMaster!$B32)</f>
        <v>40</v>
      </c>
    </row>
    <row r="32" spans="1:10" x14ac:dyDescent="0.25">
      <c r="A32" s="87">
        <v>31</v>
      </c>
      <c r="B32" s="88" t="s">
        <v>81</v>
      </c>
      <c r="C32" s="89" t="s">
        <v>82</v>
      </c>
      <c r="D32" s="88" t="s">
        <v>869</v>
      </c>
      <c r="E32" s="88" t="s">
        <v>870</v>
      </c>
      <c r="F32" s="90">
        <v>10</v>
      </c>
      <c r="G32" s="91">
        <f>StockInData[Expiry]</f>
        <v>43973</v>
      </c>
      <c r="H32" s="88">
        <v>25</v>
      </c>
      <c r="I32" s="88">
        <f>SUMIFS(StockInData[Quantity],StockInData[Product ID],ProductMaster!$B33)-SUMIFS(StockOutData[Quantity],StockOutData[Product ID],ProductMaster!$B33)</f>
        <v>50</v>
      </c>
      <c r="J32" s="92">
        <f>SUMIFS(StockInData[Value],StockInData[Product ID],ProductMaster!$B33)-SUMIFS(StockOutData[Value],StockOutData[Product ID],ProductMaster!$B33)</f>
        <v>125</v>
      </c>
    </row>
    <row r="33" spans="1:10" x14ac:dyDescent="0.25">
      <c r="A33" s="87">
        <v>32</v>
      </c>
      <c r="B33" s="88" t="s">
        <v>83</v>
      </c>
      <c r="C33" s="89" t="s">
        <v>84</v>
      </c>
      <c r="D33" s="88" t="s">
        <v>869</v>
      </c>
      <c r="E33" s="88" t="s">
        <v>870</v>
      </c>
      <c r="F33" s="90">
        <v>10</v>
      </c>
      <c r="G33" s="91">
        <f>StockInData[Expiry]</f>
        <v>43975</v>
      </c>
      <c r="H33" s="88">
        <v>25</v>
      </c>
      <c r="I33" s="88">
        <f>SUMIFS(StockInData[Quantity],StockInData[Product ID],ProductMaster!$B34)-SUMIFS(StockOutData[Quantity],StockOutData[Product ID],ProductMaster!$B34)</f>
        <v>56</v>
      </c>
      <c r="J33" s="92">
        <f>SUMIFS(StockInData[Value],StockInData[Product ID],ProductMaster!$B34)-SUMIFS(StockOutData[Value],StockOutData[Product ID],ProductMaster!$B34)</f>
        <v>140</v>
      </c>
    </row>
    <row r="34" spans="1:10" x14ac:dyDescent="0.25">
      <c r="A34" s="87">
        <v>33</v>
      </c>
      <c r="B34" s="88" t="s">
        <v>85</v>
      </c>
      <c r="C34" s="89" t="s">
        <v>86</v>
      </c>
      <c r="D34" s="88" t="s">
        <v>869</v>
      </c>
      <c r="E34" s="88" t="s">
        <v>870</v>
      </c>
      <c r="F34" s="90">
        <v>10</v>
      </c>
      <c r="G34" s="91">
        <f>StockInData[Expiry]</f>
        <v>43977</v>
      </c>
      <c r="H34" s="88">
        <v>25</v>
      </c>
      <c r="I34" s="88">
        <f>SUMIFS(StockInData[Quantity],StockInData[Product ID],ProductMaster!$B35)-SUMIFS(StockOutData[Quantity],StockOutData[Product ID],ProductMaster!$B35)</f>
        <v>72</v>
      </c>
      <c r="J34" s="92">
        <f>SUMIFS(StockInData[Value],StockInData[Product ID],ProductMaster!$B35)-SUMIFS(StockOutData[Value],StockOutData[Product ID],ProductMaster!$B35)</f>
        <v>180</v>
      </c>
    </row>
    <row r="35" spans="1:10" x14ac:dyDescent="0.25">
      <c r="A35" s="87">
        <v>34</v>
      </c>
      <c r="B35" s="88" t="s">
        <v>87</v>
      </c>
      <c r="C35" s="89" t="s">
        <v>88</v>
      </c>
      <c r="D35" s="88" t="s">
        <v>869</v>
      </c>
      <c r="E35" s="88" t="s">
        <v>870</v>
      </c>
      <c r="F35" s="90">
        <v>10</v>
      </c>
      <c r="G35" s="91">
        <f>StockInData[Expiry]</f>
        <v>43979</v>
      </c>
      <c r="H35" s="88">
        <v>25</v>
      </c>
      <c r="I35" s="88">
        <f>SUMIFS(StockInData[Quantity],StockInData[Product ID],ProductMaster!$B36)-SUMIFS(StockOutData[Quantity],StockOutData[Product ID],ProductMaster!$B36)</f>
        <v>85</v>
      </c>
      <c r="J35" s="92">
        <f>SUMIFS(StockInData[Value],StockInData[Product ID],ProductMaster!$B36)-SUMIFS(StockOutData[Value],StockOutData[Product ID],ProductMaster!$B36)</f>
        <v>212.5</v>
      </c>
    </row>
    <row r="36" spans="1:10" x14ac:dyDescent="0.25">
      <c r="A36" s="87">
        <v>35</v>
      </c>
      <c r="B36" s="88" t="s">
        <v>89</v>
      </c>
      <c r="C36" s="89" t="s">
        <v>90</v>
      </c>
      <c r="D36" s="88" t="s">
        <v>869</v>
      </c>
      <c r="E36" s="88" t="s">
        <v>870</v>
      </c>
      <c r="F36" s="90">
        <v>10</v>
      </c>
      <c r="G36" s="91">
        <f>StockInData[Expiry]</f>
        <v>43981</v>
      </c>
      <c r="H36" s="88">
        <v>25</v>
      </c>
      <c r="I36" s="88">
        <f>SUMIFS(StockInData[Quantity],StockInData[Product ID],ProductMaster!$B37)-SUMIFS(StockOutData[Quantity],StockOutData[Product ID],ProductMaster!$B37)</f>
        <v>88</v>
      </c>
      <c r="J36" s="92">
        <f>SUMIFS(StockInData[Value],StockInData[Product ID],ProductMaster!$B37)-SUMIFS(StockOutData[Value],StockOutData[Product ID],ProductMaster!$B37)</f>
        <v>220</v>
      </c>
    </row>
    <row r="37" spans="1:10" x14ac:dyDescent="0.25">
      <c r="A37" s="87">
        <v>36</v>
      </c>
      <c r="B37" s="88" t="s">
        <v>91</v>
      </c>
      <c r="C37" s="89" t="s">
        <v>92</v>
      </c>
      <c r="D37" s="88" t="s">
        <v>869</v>
      </c>
      <c r="E37" s="88" t="s">
        <v>870</v>
      </c>
      <c r="F37" s="90">
        <v>10</v>
      </c>
      <c r="G37" s="91">
        <f>StockInData[Expiry]</f>
        <v>43983</v>
      </c>
      <c r="H37" s="88">
        <v>25</v>
      </c>
      <c r="I37" s="88">
        <f>SUMIFS(StockInData[Quantity],StockInData[Product ID],ProductMaster!$B38)-SUMIFS(StockOutData[Quantity],StockOutData[Product ID],ProductMaster!$B38)</f>
        <v>95</v>
      </c>
      <c r="J37" s="92">
        <f>SUMIFS(StockInData[Value],StockInData[Product ID],ProductMaster!$B38)-SUMIFS(StockOutData[Value],StockOutData[Product ID],ProductMaster!$B38)</f>
        <v>237.5</v>
      </c>
    </row>
    <row r="38" spans="1:10" x14ac:dyDescent="0.25">
      <c r="A38" s="87">
        <v>37</v>
      </c>
      <c r="B38" s="88" t="s">
        <v>93</v>
      </c>
      <c r="C38" s="89" t="s">
        <v>94</v>
      </c>
      <c r="D38" s="88" t="s">
        <v>869</v>
      </c>
      <c r="E38" s="88" t="s">
        <v>870</v>
      </c>
      <c r="F38" s="90">
        <v>10</v>
      </c>
      <c r="G38" s="91">
        <f>StockInData[Expiry]</f>
        <v>43985</v>
      </c>
      <c r="H38" s="88">
        <v>25</v>
      </c>
      <c r="I38" s="88">
        <f>SUMIFS(StockInData[Quantity],StockInData[Product ID],ProductMaster!$B39)-SUMIFS(StockOutData[Quantity],StockOutData[Product ID],ProductMaster!$B39)</f>
        <v>41</v>
      </c>
      <c r="J38" s="92">
        <f>SUMIFS(StockInData[Value],StockInData[Product ID],ProductMaster!$B39)-SUMIFS(StockOutData[Value],StockOutData[Product ID],ProductMaster!$B39)</f>
        <v>114.62</v>
      </c>
    </row>
    <row r="39" spans="1:10" x14ac:dyDescent="0.25">
      <c r="A39" s="87">
        <v>38</v>
      </c>
      <c r="B39" s="88" t="s">
        <v>95</v>
      </c>
      <c r="C39" s="89" t="s">
        <v>96</v>
      </c>
      <c r="D39" s="88" t="s">
        <v>869</v>
      </c>
      <c r="E39" s="88" t="s">
        <v>870</v>
      </c>
      <c r="F39" s="90">
        <v>10</v>
      </c>
      <c r="G39" s="91">
        <f>StockInData[Expiry]</f>
        <v>43987</v>
      </c>
      <c r="H39" s="88">
        <v>25</v>
      </c>
      <c r="I39" s="88">
        <f>SUMIFS(StockInData[Quantity],StockInData[Product ID],ProductMaster!$B40)-SUMIFS(StockOutData[Quantity],StockOutData[Product ID],ProductMaster!$B40)</f>
        <v>25</v>
      </c>
      <c r="J39" s="92">
        <f>SUMIFS(StockInData[Value],StockInData[Product ID],ProductMaster!$B40)-SUMIFS(StockOutData[Value],StockOutData[Product ID],ProductMaster!$B40)</f>
        <v>62.5</v>
      </c>
    </row>
    <row r="40" spans="1:10" x14ac:dyDescent="0.25">
      <c r="A40" s="87">
        <v>39</v>
      </c>
      <c r="B40" s="88" t="s">
        <v>97</v>
      </c>
      <c r="C40" s="89" t="s">
        <v>98</v>
      </c>
      <c r="D40" s="88" t="s">
        <v>869</v>
      </c>
      <c r="E40" s="88" t="s">
        <v>870</v>
      </c>
      <c r="F40" s="90">
        <v>10</v>
      </c>
      <c r="G40" s="91">
        <f>StockInData[Expiry]</f>
        <v>43989</v>
      </c>
      <c r="H40" s="88">
        <v>25</v>
      </c>
      <c r="I40" s="88">
        <f>SUMIFS(StockInData[Quantity],StockInData[Product ID],ProductMaster!$B41)-SUMIFS(StockOutData[Quantity],StockOutData[Product ID],ProductMaster!$B41)</f>
        <v>12</v>
      </c>
      <c r="J40" s="92">
        <f>SUMIFS(StockInData[Value],StockInData[Product ID],ProductMaster!$B41)-SUMIFS(StockOutData[Value],StockOutData[Product ID],ProductMaster!$B41)</f>
        <v>30</v>
      </c>
    </row>
    <row r="41" spans="1:10" x14ac:dyDescent="0.25">
      <c r="A41" s="87">
        <v>40</v>
      </c>
      <c r="B41" s="88" t="s">
        <v>99</v>
      </c>
      <c r="C41" s="89" t="s">
        <v>100</v>
      </c>
      <c r="D41" s="88" t="s">
        <v>869</v>
      </c>
      <c r="E41" s="88" t="s">
        <v>870</v>
      </c>
      <c r="F41" s="90">
        <v>10</v>
      </c>
      <c r="G41" s="91">
        <f>StockInData[Expiry]</f>
        <v>43991</v>
      </c>
      <c r="H41" s="88">
        <v>25</v>
      </c>
      <c r="I41" s="88">
        <f>SUMIFS(StockInData[Quantity],StockInData[Product ID],ProductMaster!$B42)-SUMIFS(StockOutData[Quantity],StockOutData[Product ID],ProductMaster!$B42)</f>
        <v>13</v>
      </c>
      <c r="J41" s="92">
        <f>SUMIFS(StockInData[Value],StockInData[Product ID],ProductMaster!$B42)-SUMIFS(StockOutData[Value],StockOutData[Product ID],ProductMaster!$B42)</f>
        <v>32.5</v>
      </c>
    </row>
    <row r="42" spans="1:10" x14ac:dyDescent="0.25">
      <c r="A42" s="87">
        <v>41</v>
      </c>
      <c r="B42" s="88" t="s">
        <v>101</v>
      </c>
      <c r="C42" s="89" t="s">
        <v>102</v>
      </c>
      <c r="D42" s="88" t="s">
        <v>869</v>
      </c>
      <c r="E42" s="88" t="s">
        <v>870</v>
      </c>
      <c r="F42" s="90">
        <v>10</v>
      </c>
      <c r="G42" s="91">
        <f>StockInData[Expiry]</f>
        <v>43993</v>
      </c>
      <c r="H42" s="88">
        <v>25</v>
      </c>
      <c r="I42" s="88">
        <f>SUMIFS(StockInData[Quantity],StockInData[Product ID],ProductMaster!$B43)-SUMIFS(StockOutData[Quantity],StockOutData[Product ID],ProductMaster!$B43)</f>
        <v>10</v>
      </c>
      <c r="J42" s="92">
        <f>SUMIFS(StockInData[Value],StockInData[Product ID],ProductMaster!$B43)-SUMIFS(StockOutData[Value],StockOutData[Product ID],ProductMaster!$B43)</f>
        <v>25</v>
      </c>
    </row>
    <row r="43" spans="1:10" x14ac:dyDescent="0.25">
      <c r="A43" s="87">
        <v>42</v>
      </c>
      <c r="B43" s="88" t="s">
        <v>103</v>
      </c>
      <c r="C43" s="89" t="s">
        <v>104</v>
      </c>
      <c r="D43" s="88" t="s">
        <v>869</v>
      </c>
      <c r="E43" s="88" t="s">
        <v>870</v>
      </c>
      <c r="F43" s="90">
        <v>10</v>
      </c>
      <c r="G43" s="91">
        <f>StockInData[Expiry]</f>
        <v>43995</v>
      </c>
      <c r="H43" s="88">
        <v>25</v>
      </c>
      <c r="I43" s="88">
        <f>SUMIFS(StockInData[Quantity],StockInData[Product ID],ProductMaster!$B44)-SUMIFS(StockOutData[Quantity],StockOutData[Product ID],ProductMaster!$B44)</f>
        <v>9</v>
      </c>
      <c r="J43" s="92">
        <f>SUMIFS(StockInData[Value],StockInData[Product ID],ProductMaster!$B44)-SUMIFS(StockOutData[Value],StockOutData[Product ID],ProductMaster!$B44)</f>
        <v>22.5</v>
      </c>
    </row>
    <row r="44" spans="1:10" x14ac:dyDescent="0.25">
      <c r="A44" s="87">
        <v>43</v>
      </c>
      <c r="B44" s="88" t="s">
        <v>105</v>
      </c>
      <c r="C44" s="89" t="s">
        <v>106</v>
      </c>
      <c r="D44" s="88" t="s">
        <v>869</v>
      </c>
      <c r="E44" s="88" t="s">
        <v>870</v>
      </c>
      <c r="F44" s="90">
        <v>10</v>
      </c>
      <c r="G44" s="91">
        <f>StockInData[Expiry]</f>
        <v>43997</v>
      </c>
      <c r="H44" s="88">
        <v>25</v>
      </c>
      <c r="I44" s="88">
        <f>SUMIFS(StockInData[Quantity],StockInData[Product ID],ProductMaster!$B45)-SUMIFS(StockOutData[Quantity],StockOutData[Product ID],ProductMaster!$B45)</f>
        <v>13</v>
      </c>
      <c r="J44" s="92">
        <f>SUMIFS(StockInData[Value],StockInData[Product ID],ProductMaster!$B45)-SUMIFS(StockOutData[Value],StockOutData[Product ID],ProductMaster!$B45)</f>
        <v>32.5</v>
      </c>
    </row>
    <row r="45" spans="1:10" x14ac:dyDescent="0.25">
      <c r="A45" s="87">
        <v>44</v>
      </c>
      <c r="B45" s="88" t="s">
        <v>107</v>
      </c>
      <c r="C45" s="89" t="s">
        <v>108</v>
      </c>
      <c r="D45" s="88" t="s">
        <v>869</v>
      </c>
      <c r="E45" s="88" t="s">
        <v>870</v>
      </c>
      <c r="F45" s="90">
        <v>10</v>
      </c>
      <c r="G45" s="91">
        <f>StockInData[Expiry]</f>
        <v>43999</v>
      </c>
      <c r="H45" s="88">
        <v>25</v>
      </c>
      <c r="I45" s="88">
        <f>SUMIFS(StockInData[Quantity],StockInData[Product ID],ProductMaster!$B46)-SUMIFS(StockOutData[Quantity],StockOutData[Product ID],ProductMaster!$B46)</f>
        <v>55</v>
      </c>
      <c r="J45" s="92">
        <f>SUMIFS(StockInData[Value],StockInData[Product ID],ProductMaster!$B46)-SUMIFS(StockOutData[Value],StockOutData[Product ID],ProductMaster!$B46)</f>
        <v>137.5</v>
      </c>
    </row>
    <row r="46" spans="1:10" x14ac:dyDescent="0.25">
      <c r="A46" s="87">
        <v>45</v>
      </c>
      <c r="B46" s="88" t="s">
        <v>109</v>
      </c>
      <c r="C46" s="89" t="s">
        <v>110</v>
      </c>
      <c r="D46" s="88" t="s">
        <v>869</v>
      </c>
      <c r="E46" s="88" t="s">
        <v>870</v>
      </c>
      <c r="F46" s="90">
        <v>10</v>
      </c>
      <c r="G46" s="91">
        <f>StockInData[Expiry]</f>
        <v>44001</v>
      </c>
      <c r="H46" s="88">
        <v>25</v>
      </c>
      <c r="I46" s="88">
        <f>SUMIFS(StockInData[Quantity],StockInData[Product ID],ProductMaster!$B47)-SUMIFS(StockOutData[Quantity],StockOutData[Product ID],ProductMaster!$B47)</f>
        <v>67</v>
      </c>
      <c r="J46" s="92">
        <f>SUMIFS(StockInData[Value],StockInData[Product ID],ProductMaster!$B47)-SUMIFS(StockOutData[Value],StockOutData[Product ID],ProductMaster!$B47)</f>
        <v>167.5</v>
      </c>
    </row>
    <row r="47" spans="1:10" x14ac:dyDescent="0.25">
      <c r="A47" s="87">
        <v>46</v>
      </c>
      <c r="B47" s="88" t="s">
        <v>111</v>
      </c>
      <c r="C47" s="89" t="s">
        <v>112</v>
      </c>
      <c r="D47" s="88" t="s">
        <v>869</v>
      </c>
      <c r="E47" s="88" t="s">
        <v>870</v>
      </c>
      <c r="F47" s="90">
        <v>10</v>
      </c>
      <c r="G47" s="91">
        <f>StockInData[Expiry]</f>
        <v>44003</v>
      </c>
      <c r="H47" s="88">
        <v>25</v>
      </c>
      <c r="I47" s="88">
        <f>SUMIFS(StockInData[Quantity],StockInData[Product ID],ProductMaster!$B48)-SUMIFS(StockOutData[Quantity],StockOutData[Product ID],ProductMaster!$B48)</f>
        <v>69</v>
      </c>
      <c r="J47" s="92">
        <f>SUMIFS(StockInData[Value],StockInData[Product ID],ProductMaster!$B48)-SUMIFS(StockOutData[Value],StockOutData[Product ID],ProductMaster!$B48)</f>
        <v>172.5</v>
      </c>
    </row>
    <row r="48" spans="1:10" x14ac:dyDescent="0.25">
      <c r="A48" s="87">
        <v>47</v>
      </c>
      <c r="B48" s="88" t="s">
        <v>113</v>
      </c>
      <c r="C48" s="89" t="s">
        <v>114</v>
      </c>
      <c r="D48" s="88" t="s">
        <v>869</v>
      </c>
      <c r="E48" s="88" t="s">
        <v>870</v>
      </c>
      <c r="F48" s="90">
        <v>10</v>
      </c>
      <c r="G48" s="91">
        <f>StockInData[Expiry]</f>
        <v>44005</v>
      </c>
      <c r="H48" s="88">
        <v>25</v>
      </c>
      <c r="I48" s="88">
        <f>SUMIFS(StockInData[Quantity],StockInData[Product ID],ProductMaster!$B49)-SUMIFS(StockOutData[Quantity],StockOutData[Product ID],ProductMaster!$B49)</f>
        <v>81</v>
      </c>
      <c r="J48" s="92">
        <f>SUMIFS(StockInData[Value],StockInData[Product ID],ProductMaster!$B49)-SUMIFS(StockOutData[Value],StockOutData[Product ID],ProductMaster!$B49)</f>
        <v>202.5</v>
      </c>
    </row>
    <row r="49" spans="1:10" x14ac:dyDescent="0.25">
      <c r="A49" s="87">
        <v>48</v>
      </c>
      <c r="B49" s="88" t="s">
        <v>115</v>
      </c>
      <c r="C49" s="89" t="s">
        <v>116</v>
      </c>
      <c r="D49" s="88" t="s">
        <v>869</v>
      </c>
      <c r="E49" s="88" t="s">
        <v>870</v>
      </c>
      <c r="F49" s="90">
        <v>10</v>
      </c>
      <c r="G49" s="91">
        <f>StockInData[Expiry]</f>
        <v>44007</v>
      </c>
      <c r="H49" s="88">
        <v>25</v>
      </c>
      <c r="I49" s="88">
        <f>SUMIFS(StockInData[Quantity],StockInData[Product ID],ProductMaster!$B50)-SUMIFS(StockOutData[Quantity],StockOutData[Product ID],ProductMaster!$B50)</f>
        <v>89</v>
      </c>
      <c r="J49" s="92">
        <f>SUMIFS(StockInData[Value],StockInData[Product ID],ProductMaster!$B50)-SUMIFS(StockOutData[Value],StockOutData[Product ID],ProductMaster!$B50)</f>
        <v>222.5</v>
      </c>
    </row>
    <row r="50" spans="1:10" x14ac:dyDescent="0.25">
      <c r="A50" s="87">
        <v>49</v>
      </c>
      <c r="B50" s="88" t="s">
        <v>117</v>
      </c>
      <c r="C50" s="89" t="s">
        <v>118</v>
      </c>
      <c r="D50" s="88" t="s">
        <v>869</v>
      </c>
      <c r="E50" s="88" t="s">
        <v>870</v>
      </c>
      <c r="F50" s="90">
        <v>10</v>
      </c>
      <c r="G50" s="91">
        <f>StockInData[Expiry]</f>
        <v>44009</v>
      </c>
      <c r="H50" s="88">
        <v>25</v>
      </c>
      <c r="I50" s="88">
        <f>SUMIFS(StockInData[Quantity],StockInData[Product ID],ProductMaster!$B51)-SUMIFS(StockOutData[Quantity],StockOutData[Product ID],ProductMaster!$B51)</f>
        <v>86</v>
      </c>
      <c r="J50" s="92">
        <f>SUMIFS(StockInData[Value],StockInData[Product ID],ProductMaster!$B51)-SUMIFS(StockOutData[Value],StockOutData[Product ID],ProductMaster!$B51)</f>
        <v>215</v>
      </c>
    </row>
    <row r="51" spans="1:10" x14ac:dyDescent="0.25">
      <c r="A51" s="87">
        <v>50</v>
      </c>
      <c r="B51" s="88" t="s">
        <v>119</v>
      </c>
      <c r="C51" s="89" t="s">
        <v>120</v>
      </c>
      <c r="D51" s="88" t="s">
        <v>869</v>
      </c>
      <c r="E51" s="88" t="s">
        <v>870</v>
      </c>
      <c r="F51" s="90">
        <v>10</v>
      </c>
      <c r="G51" s="91">
        <f>StockInData[Expiry]</f>
        <v>44011</v>
      </c>
      <c r="H51" s="88">
        <v>25</v>
      </c>
      <c r="I51" s="88">
        <f>SUMIFS(StockInData[Quantity],StockInData[Product ID],ProductMaster!$B52)-SUMIFS(StockOutData[Quantity],StockOutData[Product ID],ProductMaster!$B52)</f>
        <v>87</v>
      </c>
      <c r="J51" s="92">
        <f>SUMIFS(StockInData[Value],StockInData[Product ID],ProductMaster!$B52)-SUMIFS(StockOutData[Value],StockOutData[Product ID],ProductMaster!$B52)</f>
        <v>217.5</v>
      </c>
    </row>
    <row r="52" spans="1:10" x14ac:dyDescent="0.25">
      <c r="A52" s="87">
        <v>51</v>
      </c>
      <c r="B52" s="88" t="s">
        <v>121</v>
      </c>
      <c r="C52" s="89" t="s">
        <v>122</v>
      </c>
      <c r="D52" s="88" t="s">
        <v>869</v>
      </c>
      <c r="E52" s="88" t="s">
        <v>870</v>
      </c>
      <c r="F52" s="90">
        <v>10</v>
      </c>
      <c r="G52" s="91">
        <f>StockInData[Expiry]</f>
        <v>44013</v>
      </c>
      <c r="H52" s="88">
        <v>25</v>
      </c>
      <c r="I52" s="88">
        <f>SUMIFS(StockInData[Quantity],StockInData[Product ID],ProductMaster!$B53)-SUMIFS(StockOutData[Quantity],StockOutData[Product ID],ProductMaster!$B53)</f>
        <v>95</v>
      </c>
      <c r="J52" s="92">
        <f>SUMIFS(StockInData[Value],StockInData[Product ID],ProductMaster!$B53)-SUMIFS(StockOutData[Value],StockOutData[Product ID],ProductMaster!$B53)</f>
        <v>237.5</v>
      </c>
    </row>
    <row r="53" spans="1:10" x14ac:dyDescent="0.25">
      <c r="A53" s="87">
        <v>52</v>
      </c>
      <c r="B53" s="88" t="s">
        <v>123</v>
      </c>
      <c r="C53" s="89" t="s">
        <v>124</v>
      </c>
      <c r="D53" s="88" t="s">
        <v>869</v>
      </c>
      <c r="E53" s="88" t="s">
        <v>870</v>
      </c>
      <c r="F53" s="90">
        <v>10</v>
      </c>
      <c r="G53" s="91">
        <f>StockInData[Expiry]</f>
        <v>44015</v>
      </c>
      <c r="H53" s="88">
        <v>25</v>
      </c>
      <c r="I53" s="88">
        <f>SUMIFS(StockInData[Quantity],StockInData[Product ID],ProductMaster!$B54)-SUMIFS(StockOutData[Quantity],StockOutData[Product ID],ProductMaster!$B54)</f>
        <v>53</v>
      </c>
      <c r="J53" s="92">
        <f>SUMIFS(StockInData[Value],StockInData[Product ID],ProductMaster!$B54)-SUMIFS(StockOutData[Value],StockOutData[Product ID],ProductMaster!$B54)</f>
        <v>132.5</v>
      </c>
    </row>
    <row r="54" spans="1:10" x14ac:dyDescent="0.25">
      <c r="A54" s="87">
        <v>53</v>
      </c>
      <c r="B54" s="88" t="s">
        <v>125</v>
      </c>
      <c r="C54" s="89" t="s">
        <v>126</v>
      </c>
      <c r="D54" s="88" t="s">
        <v>869</v>
      </c>
      <c r="E54" s="88" t="s">
        <v>870</v>
      </c>
      <c r="F54" s="90">
        <v>10</v>
      </c>
      <c r="G54" s="91">
        <f>StockInData[Expiry]</f>
        <v>44017</v>
      </c>
      <c r="H54" s="88">
        <v>25</v>
      </c>
      <c r="I54" s="88">
        <f>SUMIFS(StockInData[Quantity],StockInData[Product ID],ProductMaster!$B55)-SUMIFS(StockOutData[Quantity],StockOutData[Product ID],ProductMaster!$B55)</f>
        <v>25</v>
      </c>
      <c r="J54" s="92">
        <f>SUMIFS(StockInData[Value],StockInData[Product ID],ProductMaster!$B55)-SUMIFS(StockOutData[Value],StockOutData[Product ID],ProductMaster!$B55)</f>
        <v>62.5</v>
      </c>
    </row>
    <row r="55" spans="1:10" x14ac:dyDescent="0.25">
      <c r="A55" s="87">
        <v>54</v>
      </c>
      <c r="B55" s="88" t="s">
        <v>127</v>
      </c>
      <c r="C55" s="89" t="s">
        <v>128</v>
      </c>
      <c r="D55" s="88" t="s">
        <v>869</v>
      </c>
      <c r="E55" s="88" t="s">
        <v>870</v>
      </c>
      <c r="F55" s="90">
        <v>10</v>
      </c>
      <c r="G55" s="91">
        <f>StockInData[Expiry]</f>
        <v>44019</v>
      </c>
      <c r="H55" s="88">
        <v>25</v>
      </c>
      <c r="I55" s="88">
        <f>SUMIFS(StockInData[Quantity],StockInData[Product ID],ProductMaster!$B56)-SUMIFS(StockOutData[Quantity],StockOutData[Product ID],ProductMaster!$B56)</f>
        <v>12</v>
      </c>
      <c r="J55" s="92">
        <f>SUMIFS(StockInData[Value],StockInData[Product ID],ProductMaster!$B56)-SUMIFS(StockOutData[Value],StockOutData[Product ID],ProductMaster!$B56)</f>
        <v>30</v>
      </c>
    </row>
    <row r="56" spans="1:10" x14ac:dyDescent="0.25">
      <c r="A56" s="87">
        <v>55</v>
      </c>
      <c r="B56" s="88" t="s">
        <v>129</v>
      </c>
      <c r="C56" s="89" t="s">
        <v>130</v>
      </c>
      <c r="D56" s="88" t="s">
        <v>869</v>
      </c>
      <c r="E56" s="88" t="s">
        <v>870</v>
      </c>
      <c r="F56" s="90">
        <v>10</v>
      </c>
      <c r="G56" s="91">
        <f>StockInData[Expiry]</f>
        <v>44021</v>
      </c>
      <c r="H56" s="88">
        <v>25</v>
      </c>
      <c r="I56" s="88">
        <f>SUMIFS(StockInData[Quantity],StockInData[Product ID],ProductMaster!$B57)-SUMIFS(StockOutData[Quantity],StockOutData[Product ID],ProductMaster!$B57)</f>
        <v>13</v>
      </c>
      <c r="J56" s="92">
        <f>SUMIFS(StockInData[Value],StockInData[Product ID],ProductMaster!$B57)-SUMIFS(StockOutData[Value],StockOutData[Product ID],ProductMaster!$B57)</f>
        <v>32.5</v>
      </c>
    </row>
    <row r="57" spans="1:10" x14ac:dyDescent="0.25">
      <c r="A57" s="87">
        <v>56</v>
      </c>
      <c r="B57" s="88" t="s">
        <v>131</v>
      </c>
      <c r="C57" s="89" t="s">
        <v>132</v>
      </c>
      <c r="D57" s="88" t="s">
        <v>869</v>
      </c>
      <c r="E57" s="88" t="s">
        <v>870</v>
      </c>
      <c r="F57" s="90">
        <v>10</v>
      </c>
      <c r="G57" s="91">
        <f>StockInData[Expiry]</f>
        <v>44023</v>
      </c>
      <c r="H57" s="88">
        <v>25</v>
      </c>
      <c r="I57" s="88">
        <f>SUMIFS(StockInData[Quantity],StockInData[Product ID],ProductMaster!$B58)-SUMIFS(StockOutData[Quantity],StockOutData[Product ID],ProductMaster!$B58)</f>
        <v>6</v>
      </c>
      <c r="J57" s="92">
        <f>SUMIFS(StockInData[Value],StockInData[Product ID],ProductMaster!$B58)-SUMIFS(StockOutData[Value],StockOutData[Product ID],ProductMaster!$B58)</f>
        <v>15</v>
      </c>
    </row>
    <row r="58" spans="1:10" x14ac:dyDescent="0.25">
      <c r="A58" s="87">
        <v>57</v>
      </c>
      <c r="B58" s="88" t="s">
        <v>133</v>
      </c>
      <c r="C58" s="89" t="s">
        <v>134</v>
      </c>
      <c r="D58" s="88" t="s">
        <v>869</v>
      </c>
      <c r="E58" s="88" t="s">
        <v>870</v>
      </c>
      <c r="F58" s="90">
        <v>10</v>
      </c>
      <c r="G58" s="91">
        <f>StockInData[Expiry]</f>
        <v>44025</v>
      </c>
      <c r="H58" s="88">
        <v>25</v>
      </c>
      <c r="I58" s="88">
        <f>SUMIFS(StockInData[Quantity],StockInData[Product ID],ProductMaster!$B59)-SUMIFS(StockOutData[Quantity],StockOutData[Product ID],ProductMaster!$B59)</f>
        <v>6</v>
      </c>
      <c r="J58" s="92">
        <f>SUMIFS(StockInData[Value],StockInData[Product ID],ProductMaster!$B59)-SUMIFS(StockOutData[Value],StockOutData[Product ID],ProductMaster!$B59)</f>
        <v>15</v>
      </c>
    </row>
    <row r="59" spans="1:10" x14ac:dyDescent="0.25">
      <c r="A59" s="87">
        <v>58</v>
      </c>
      <c r="B59" s="88" t="s">
        <v>135</v>
      </c>
      <c r="C59" s="89" t="s">
        <v>136</v>
      </c>
      <c r="D59" s="88" t="s">
        <v>869</v>
      </c>
      <c r="E59" s="88" t="s">
        <v>870</v>
      </c>
      <c r="F59" s="90">
        <v>10</v>
      </c>
      <c r="G59" s="91">
        <f>StockInData[Expiry]</f>
        <v>44027</v>
      </c>
      <c r="H59" s="88">
        <v>25</v>
      </c>
      <c r="I59" s="88">
        <f>SUMIFS(StockInData[Quantity],StockInData[Product ID],ProductMaster!$B60)-SUMIFS(StockOutData[Quantity],StockOutData[Product ID],ProductMaster!$B60)</f>
        <v>18</v>
      </c>
      <c r="J59" s="92">
        <f>SUMIFS(StockInData[Value],StockInData[Product ID],ProductMaster!$B60)-SUMIFS(StockOutData[Value],StockOutData[Product ID],ProductMaster!$B60)</f>
        <v>45</v>
      </c>
    </row>
    <row r="60" spans="1:10" x14ac:dyDescent="0.25">
      <c r="A60" s="87">
        <v>59</v>
      </c>
      <c r="B60" s="88" t="s">
        <v>137</v>
      </c>
      <c r="C60" s="89" t="s">
        <v>138</v>
      </c>
      <c r="D60" s="88" t="s">
        <v>869</v>
      </c>
      <c r="E60" s="88" t="s">
        <v>870</v>
      </c>
      <c r="F60" s="90">
        <v>10</v>
      </c>
      <c r="G60" s="91">
        <f>StockInData[Expiry]</f>
        <v>44029</v>
      </c>
      <c r="H60" s="88">
        <v>25</v>
      </c>
      <c r="I60" s="88">
        <f>SUMIFS(StockInData[Quantity],StockInData[Product ID],ProductMaster!$B61)-SUMIFS(StockOutData[Quantity],StockOutData[Product ID],ProductMaster!$B61)</f>
        <v>58</v>
      </c>
      <c r="J60" s="92">
        <f>SUMIFS(StockInData[Value],StockInData[Product ID],ProductMaster!$B61)-SUMIFS(StockOutData[Value],StockOutData[Product ID],ProductMaster!$B61)</f>
        <v>145</v>
      </c>
    </row>
    <row r="61" spans="1:10" x14ac:dyDescent="0.25">
      <c r="A61" s="87">
        <v>60</v>
      </c>
      <c r="B61" s="88" t="s">
        <v>139</v>
      </c>
      <c r="C61" s="89" t="s">
        <v>140</v>
      </c>
      <c r="D61" s="88" t="s">
        <v>869</v>
      </c>
      <c r="E61" s="88" t="s">
        <v>870</v>
      </c>
      <c r="F61" s="90">
        <v>10</v>
      </c>
      <c r="G61" s="91">
        <f>StockInData[Expiry]</f>
        <v>44031</v>
      </c>
      <c r="H61" s="88">
        <v>25</v>
      </c>
      <c r="I61" s="88">
        <f>SUMIFS(StockInData[Quantity],StockInData[Product ID],ProductMaster!$B62)-SUMIFS(StockOutData[Quantity],StockOutData[Product ID],ProductMaster!$B62)</f>
        <v>59</v>
      </c>
      <c r="J61" s="92">
        <f>SUMIFS(StockInData[Value],StockInData[Product ID],ProductMaster!$B62)-SUMIFS(StockOutData[Value],StockOutData[Product ID],ProductMaster!$B62)</f>
        <v>147.5</v>
      </c>
    </row>
    <row r="62" spans="1:10" x14ac:dyDescent="0.25">
      <c r="A62" s="87">
        <v>61</v>
      </c>
      <c r="B62" s="88" t="s">
        <v>141</v>
      </c>
      <c r="C62" s="89" t="s">
        <v>142</v>
      </c>
      <c r="D62" s="88" t="s">
        <v>869</v>
      </c>
      <c r="E62" s="88" t="s">
        <v>870</v>
      </c>
      <c r="F62" s="90">
        <v>10</v>
      </c>
      <c r="G62" s="91">
        <f>StockInData[Expiry]</f>
        <v>44033</v>
      </c>
      <c r="H62" s="88">
        <v>25</v>
      </c>
      <c r="I62" s="88">
        <f>SUMIFS(StockInData[Quantity],StockInData[Product ID],ProductMaster!$B63)-SUMIFS(StockOutData[Quantity],StockOutData[Product ID],ProductMaster!$B63)</f>
        <v>66</v>
      </c>
      <c r="J62" s="92">
        <f>SUMIFS(StockInData[Value],StockInData[Product ID],ProductMaster!$B63)-SUMIFS(StockOutData[Value],StockOutData[Product ID],ProductMaster!$B63)</f>
        <v>165</v>
      </c>
    </row>
    <row r="63" spans="1:10" x14ac:dyDescent="0.25">
      <c r="A63" s="87">
        <v>62</v>
      </c>
      <c r="B63" s="88" t="s">
        <v>143</v>
      </c>
      <c r="C63" s="89" t="s">
        <v>144</v>
      </c>
      <c r="D63" s="88" t="s">
        <v>869</v>
      </c>
      <c r="E63" s="88" t="s">
        <v>870</v>
      </c>
      <c r="F63" s="90">
        <v>10</v>
      </c>
      <c r="G63" s="91">
        <f>StockInData[Expiry]</f>
        <v>44035</v>
      </c>
      <c r="H63" s="88">
        <v>25</v>
      </c>
      <c r="I63" s="88">
        <f>SUMIFS(StockInData[Quantity],StockInData[Product ID],ProductMaster!$B64)-SUMIFS(StockOutData[Quantity],StockOutData[Product ID],ProductMaster!$B64)</f>
        <v>87</v>
      </c>
      <c r="J63" s="92">
        <f>SUMIFS(StockInData[Value],StockInData[Product ID],ProductMaster!$B64)-SUMIFS(StockOutData[Value],StockOutData[Product ID],ProductMaster!$B64)</f>
        <v>217.5</v>
      </c>
    </row>
    <row r="64" spans="1:10" x14ac:dyDescent="0.25">
      <c r="A64" s="87">
        <v>63</v>
      </c>
      <c r="B64" s="88" t="s">
        <v>145</v>
      </c>
      <c r="C64" s="89" t="s">
        <v>146</v>
      </c>
      <c r="D64" s="88" t="s">
        <v>869</v>
      </c>
      <c r="E64" s="88" t="s">
        <v>870</v>
      </c>
      <c r="F64" s="90">
        <v>10</v>
      </c>
      <c r="G64" s="91">
        <f>StockInData[Expiry]</f>
        <v>44037</v>
      </c>
      <c r="H64" s="88">
        <v>25</v>
      </c>
      <c r="I64" s="88">
        <f>SUMIFS(StockInData[Quantity],StockInData[Product ID],ProductMaster!$B65)-SUMIFS(StockOutData[Quantity],StockOutData[Product ID],ProductMaster!$B65)</f>
        <v>91</v>
      </c>
      <c r="J64" s="92">
        <f>SUMIFS(StockInData[Value],StockInData[Product ID],ProductMaster!$B65)-SUMIFS(StockOutData[Value],StockOutData[Product ID],ProductMaster!$B65)</f>
        <v>227.5</v>
      </c>
    </row>
    <row r="65" spans="1:10" x14ac:dyDescent="0.25">
      <c r="A65" s="87">
        <v>64</v>
      </c>
      <c r="B65" s="88" t="s">
        <v>147</v>
      </c>
      <c r="C65" s="89" t="s">
        <v>148</v>
      </c>
      <c r="D65" s="88" t="s">
        <v>869</v>
      </c>
      <c r="E65" s="88" t="s">
        <v>870</v>
      </c>
      <c r="F65" s="90">
        <v>10</v>
      </c>
      <c r="G65" s="91">
        <f>StockInData[Expiry]</f>
        <v>44039</v>
      </c>
      <c r="H65" s="88">
        <v>25</v>
      </c>
      <c r="I65" s="88">
        <f>SUMIFS(StockInData[Quantity],StockInData[Product ID],ProductMaster!$B66)-SUMIFS(StockOutData[Quantity],StockOutData[Product ID],ProductMaster!$B66)</f>
        <v>90</v>
      </c>
      <c r="J65" s="92">
        <f>SUMIFS(StockInData[Value],StockInData[Product ID],ProductMaster!$B66)-SUMIFS(StockOutData[Value],StockOutData[Product ID],ProductMaster!$B66)</f>
        <v>225</v>
      </c>
    </row>
    <row r="66" spans="1:10" x14ac:dyDescent="0.25">
      <c r="A66" s="87">
        <v>65</v>
      </c>
      <c r="B66" s="88" t="s">
        <v>149</v>
      </c>
      <c r="C66" s="89" t="s">
        <v>150</v>
      </c>
      <c r="D66" s="88" t="s">
        <v>869</v>
      </c>
      <c r="E66" s="88" t="s">
        <v>870</v>
      </c>
      <c r="F66" s="90">
        <v>10</v>
      </c>
      <c r="G66" s="91">
        <f>StockInData[Expiry]</f>
        <v>44041</v>
      </c>
      <c r="H66" s="88">
        <v>25</v>
      </c>
      <c r="I66" s="88">
        <f>SUMIFS(StockInData[Quantity],StockInData[Product ID],ProductMaster!$B67)-SUMIFS(StockOutData[Quantity],StockOutData[Product ID],ProductMaster!$B67)</f>
        <v>90</v>
      </c>
      <c r="J66" s="92">
        <f>SUMIFS(StockInData[Value],StockInData[Product ID],ProductMaster!$B67)-SUMIFS(StockOutData[Value],StockOutData[Product ID],ProductMaster!$B67)</f>
        <v>225</v>
      </c>
    </row>
    <row r="67" spans="1:10" x14ac:dyDescent="0.25">
      <c r="A67" s="87">
        <v>66</v>
      </c>
      <c r="B67" s="88" t="s">
        <v>151</v>
      </c>
      <c r="C67" s="89" t="s">
        <v>152</v>
      </c>
      <c r="D67" s="88" t="s">
        <v>869</v>
      </c>
      <c r="E67" s="88" t="s">
        <v>870</v>
      </c>
      <c r="F67" s="90">
        <v>10</v>
      </c>
      <c r="G67" s="91">
        <f>StockInData[Expiry]</f>
        <v>44043</v>
      </c>
      <c r="H67" s="88">
        <v>25</v>
      </c>
      <c r="I67" s="88">
        <f>SUMIFS(StockInData[Quantity],StockInData[Product ID],ProductMaster!$B68)-SUMIFS(StockOutData[Quantity],StockOutData[Product ID],ProductMaster!$B68)</f>
        <v>93</v>
      </c>
      <c r="J67" s="92">
        <f>SUMIFS(StockInData[Value],StockInData[Product ID],ProductMaster!$B68)-SUMIFS(StockOutData[Value],StockOutData[Product ID],ProductMaster!$B68)</f>
        <v>232.5</v>
      </c>
    </row>
    <row r="68" spans="1:10" x14ac:dyDescent="0.25">
      <c r="A68" s="87">
        <v>67</v>
      </c>
      <c r="B68" s="88" t="s">
        <v>153</v>
      </c>
      <c r="C68" s="89" t="s">
        <v>154</v>
      </c>
      <c r="D68" s="88" t="s">
        <v>869</v>
      </c>
      <c r="E68" s="88" t="s">
        <v>870</v>
      </c>
      <c r="F68" s="90">
        <v>10</v>
      </c>
      <c r="G68" s="91">
        <f>StockInData[Expiry]</f>
        <v>44045</v>
      </c>
      <c r="H68" s="88">
        <v>25</v>
      </c>
      <c r="I68" s="88">
        <f>SUMIFS(StockInData[Quantity],StockInData[Product ID],ProductMaster!$B69)-SUMIFS(StockOutData[Quantity],StockOutData[Product ID],ProductMaster!$B69)</f>
        <v>45</v>
      </c>
      <c r="J68" s="92">
        <f>SUMIFS(StockInData[Value],StockInData[Product ID],ProductMaster!$B69)-SUMIFS(StockOutData[Value],StockOutData[Product ID],ProductMaster!$B69)</f>
        <v>112.5</v>
      </c>
    </row>
    <row r="69" spans="1:10" x14ac:dyDescent="0.25">
      <c r="A69" s="87">
        <v>68</v>
      </c>
      <c r="B69" s="88" t="s">
        <v>155</v>
      </c>
      <c r="C69" s="89" t="s">
        <v>156</v>
      </c>
      <c r="D69" s="88" t="s">
        <v>869</v>
      </c>
      <c r="E69" s="88" t="s">
        <v>870</v>
      </c>
      <c r="F69" s="90">
        <v>10</v>
      </c>
      <c r="G69" s="91">
        <f>StockInData[Expiry]</f>
        <v>44047</v>
      </c>
      <c r="H69" s="88">
        <v>25</v>
      </c>
      <c r="I69" s="88">
        <f>SUMIFS(StockInData[Quantity],StockInData[Product ID],ProductMaster!$B70)-SUMIFS(StockOutData[Quantity],StockOutData[Product ID],ProductMaster!$B70)</f>
        <v>22</v>
      </c>
      <c r="J69" s="92">
        <f>SUMIFS(StockInData[Value],StockInData[Product ID],ProductMaster!$B70)-SUMIFS(StockOutData[Value],StockOutData[Product ID],ProductMaster!$B70)</f>
        <v>55</v>
      </c>
    </row>
    <row r="70" spans="1:10" x14ac:dyDescent="0.25">
      <c r="A70" s="87">
        <v>69</v>
      </c>
      <c r="B70" s="88" t="s">
        <v>157</v>
      </c>
      <c r="C70" s="89" t="s">
        <v>158</v>
      </c>
      <c r="D70" s="88" t="s">
        <v>869</v>
      </c>
      <c r="E70" s="88" t="s">
        <v>871</v>
      </c>
      <c r="F70" s="90">
        <v>10</v>
      </c>
      <c r="G70" s="91">
        <f>StockInData[Expiry]</f>
        <v>44049</v>
      </c>
      <c r="H70" s="88">
        <v>25</v>
      </c>
      <c r="I70" s="88">
        <f>SUMIFS(StockInData[Quantity],StockInData[Product ID],ProductMaster!$B71)-SUMIFS(StockOutData[Quantity],StockOutData[Product ID],ProductMaster!$B71)</f>
        <v>18</v>
      </c>
      <c r="J70" s="92">
        <f>SUMIFS(StockInData[Value],StockInData[Product ID],ProductMaster!$B71)-SUMIFS(StockOutData[Value],StockOutData[Product ID],ProductMaster!$B71)</f>
        <v>45</v>
      </c>
    </row>
    <row r="71" spans="1:10" x14ac:dyDescent="0.25">
      <c r="A71" s="87">
        <v>70</v>
      </c>
      <c r="B71" s="88" t="s">
        <v>159</v>
      </c>
      <c r="C71" s="89" t="s">
        <v>160</v>
      </c>
      <c r="D71" s="88" t="s">
        <v>869</v>
      </c>
      <c r="E71" s="88" t="s">
        <v>871</v>
      </c>
      <c r="F71" s="90">
        <v>10</v>
      </c>
      <c r="G71" s="91">
        <f>StockInData[Expiry]</f>
        <v>44051</v>
      </c>
      <c r="H71" s="88">
        <v>25</v>
      </c>
      <c r="I71" s="88">
        <f>SUMIFS(StockInData[Quantity],StockInData[Product ID],ProductMaster!$B72)-SUMIFS(StockOutData[Quantity],StockOutData[Product ID],ProductMaster!$B72)</f>
        <v>11</v>
      </c>
      <c r="J71" s="92">
        <f>SUMIFS(StockInData[Value],StockInData[Product ID],ProductMaster!$B72)-SUMIFS(StockOutData[Value],StockOutData[Product ID],ProductMaster!$B72)</f>
        <v>27.5</v>
      </c>
    </row>
    <row r="72" spans="1:10" x14ac:dyDescent="0.25">
      <c r="A72" s="87">
        <v>71</v>
      </c>
      <c r="B72" s="88" t="s">
        <v>161</v>
      </c>
      <c r="C72" s="89" t="s">
        <v>162</v>
      </c>
      <c r="D72" s="88" t="s">
        <v>869</v>
      </c>
      <c r="E72" s="88" t="s">
        <v>871</v>
      </c>
      <c r="F72" s="90">
        <v>10</v>
      </c>
      <c r="G72" s="91">
        <f>StockInData[Expiry]</f>
        <v>44053</v>
      </c>
      <c r="H72" s="88">
        <v>25</v>
      </c>
      <c r="I72" s="88">
        <f>SUMIFS(StockInData[Quantity],StockInData[Product ID],ProductMaster!$B73)-SUMIFS(StockOutData[Quantity],StockOutData[Product ID],ProductMaster!$B73)</f>
        <v>7</v>
      </c>
      <c r="J72" s="92">
        <f>SUMIFS(StockInData[Value],StockInData[Product ID],ProductMaster!$B73)-SUMIFS(StockOutData[Value],StockOutData[Product ID],ProductMaster!$B73)</f>
        <v>17.5</v>
      </c>
    </row>
    <row r="73" spans="1:10" x14ac:dyDescent="0.25">
      <c r="A73" s="87">
        <v>72</v>
      </c>
      <c r="B73" s="88" t="s">
        <v>163</v>
      </c>
      <c r="C73" s="89" t="s">
        <v>164</v>
      </c>
      <c r="D73" s="88" t="s">
        <v>869</v>
      </c>
      <c r="E73" s="88" t="s">
        <v>871</v>
      </c>
      <c r="F73" s="90">
        <v>10</v>
      </c>
      <c r="G73" s="91">
        <f>StockInData[Expiry]</f>
        <v>44055</v>
      </c>
      <c r="H73" s="88">
        <v>25</v>
      </c>
      <c r="I73" s="88">
        <f>SUMIFS(StockInData[Quantity],StockInData[Product ID],ProductMaster!$B74)-SUMIFS(StockOutData[Quantity],StockOutData[Product ID],ProductMaster!$B74)</f>
        <v>14</v>
      </c>
      <c r="J73" s="92">
        <f>SUMIFS(StockInData[Value],StockInData[Product ID],ProductMaster!$B74)-SUMIFS(StockOutData[Value],StockOutData[Product ID],ProductMaster!$B74)</f>
        <v>35</v>
      </c>
    </row>
    <row r="74" spans="1:10" x14ac:dyDescent="0.25">
      <c r="A74" s="87">
        <v>73</v>
      </c>
      <c r="B74" s="88" t="s">
        <v>165</v>
      </c>
      <c r="C74" s="89" t="s">
        <v>166</v>
      </c>
      <c r="D74" s="88" t="s">
        <v>869</v>
      </c>
      <c r="E74" s="88" t="s">
        <v>871</v>
      </c>
      <c r="F74" s="90">
        <v>10</v>
      </c>
      <c r="G74" s="91">
        <f>StockInData[Expiry]</f>
        <v>44057</v>
      </c>
      <c r="H74" s="88">
        <v>25</v>
      </c>
      <c r="I74" s="88">
        <f>SUMIFS(StockInData[Quantity],StockInData[Product ID],ProductMaster!$B75)-SUMIFS(StockOutData[Quantity],StockOutData[Product ID],ProductMaster!$B75)</f>
        <v>16</v>
      </c>
      <c r="J74" s="92">
        <f>SUMIFS(StockInData[Value],StockInData[Product ID],ProductMaster!$B75)-SUMIFS(StockOutData[Value],StockOutData[Product ID],ProductMaster!$B75)</f>
        <v>40</v>
      </c>
    </row>
    <row r="75" spans="1:10" x14ac:dyDescent="0.25">
      <c r="A75" s="87">
        <v>74</v>
      </c>
      <c r="B75" s="88" t="s">
        <v>167</v>
      </c>
      <c r="C75" s="89" t="s">
        <v>168</v>
      </c>
      <c r="D75" s="88" t="s">
        <v>869</v>
      </c>
      <c r="E75" s="88" t="s">
        <v>871</v>
      </c>
      <c r="F75" s="90">
        <v>10</v>
      </c>
      <c r="G75" s="91">
        <f>StockInData[Expiry]</f>
        <v>44059</v>
      </c>
      <c r="H75" s="88">
        <v>25</v>
      </c>
      <c r="I75" s="88">
        <f>SUMIFS(StockInData[Quantity],StockInData[Product ID],ProductMaster!$B76)-SUMIFS(StockOutData[Quantity],StockOutData[Product ID],ProductMaster!$B76)</f>
        <v>50</v>
      </c>
      <c r="J75" s="92">
        <f>SUMIFS(StockInData[Value],StockInData[Product ID],ProductMaster!$B76)-SUMIFS(StockOutData[Value],StockOutData[Product ID],ProductMaster!$B76)</f>
        <v>125</v>
      </c>
    </row>
    <row r="76" spans="1:10" x14ac:dyDescent="0.25">
      <c r="A76" s="87">
        <v>75</v>
      </c>
      <c r="B76" s="88" t="s">
        <v>169</v>
      </c>
      <c r="C76" s="89" t="s">
        <v>170</v>
      </c>
      <c r="D76" s="88" t="s">
        <v>869</v>
      </c>
      <c r="E76" s="88" t="s">
        <v>871</v>
      </c>
      <c r="F76" s="90">
        <v>10</v>
      </c>
      <c r="G76" s="91">
        <f>StockInData[Expiry]</f>
        <v>44061</v>
      </c>
      <c r="H76" s="88">
        <v>25</v>
      </c>
      <c r="I76" s="88">
        <f>SUMIFS(StockInData[Quantity],StockInData[Product ID],ProductMaster!$B77)-SUMIFS(StockOutData[Quantity],StockOutData[Product ID],ProductMaster!$B77)</f>
        <v>56</v>
      </c>
      <c r="J76" s="92">
        <f>SUMIFS(StockInData[Value],StockInData[Product ID],ProductMaster!$B77)-SUMIFS(StockOutData[Value],StockOutData[Product ID],ProductMaster!$B77)</f>
        <v>140</v>
      </c>
    </row>
    <row r="77" spans="1:10" x14ac:dyDescent="0.25">
      <c r="A77" s="87">
        <v>76</v>
      </c>
      <c r="B77" s="88" t="s">
        <v>171</v>
      </c>
      <c r="C77" s="89" t="s">
        <v>172</v>
      </c>
      <c r="D77" s="88" t="s">
        <v>869</v>
      </c>
      <c r="E77" s="88" t="s">
        <v>871</v>
      </c>
      <c r="F77" s="90">
        <v>10</v>
      </c>
      <c r="G77" s="91">
        <f>StockInData[Expiry]</f>
        <v>44063</v>
      </c>
      <c r="H77" s="88">
        <v>25</v>
      </c>
      <c r="I77" s="88">
        <f>SUMIFS(StockInData[Quantity],StockInData[Product ID],ProductMaster!$B78)-SUMIFS(StockOutData[Quantity],StockOutData[Product ID],ProductMaster!$B78)</f>
        <v>72</v>
      </c>
      <c r="J77" s="92">
        <f>SUMIFS(StockInData[Value],StockInData[Product ID],ProductMaster!$B78)-SUMIFS(StockOutData[Value],StockOutData[Product ID],ProductMaster!$B78)</f>
        <v>180</v>
      </c>
    </row>
    <row r="78" spans="1:10" x14ac:dyDescent="0.25">
      <c r="A78" s="87">
        <v>77</v>
      </c>
      <c r="B78" s="88" t="s">
        <v>173</v>
      </c>
      <c r="C78" s="89" t="s">
        <v>174</v>
      </c>
      <c r="D78" s="88" t="s">
        <v>869</v>
      </c>
      <c r="E78" s="88" t="s">
        <v>871</v>
      </c>
      <c r="F78" s="90">
        <v>10</v>
      </c>
      <c r="G78" s="91">
        <f>StockInData[Expiry]</f>
        <v>44065</v>
      </c>
      <c r="H78" s="88">
        <v>25</v>
      </c>
      <c r="I78" s="88">
        <f>SUMIFS(StockInData[Quantity],StockInData[Product ID],ProductMaster!$B79)-SUMIFS(StockOutData[Quantity],StockOutData[Product ID],ProductMaster!$B79)</f>
        <v>85</v>
      </c>
      <c r="J78" s="92">
        <f>SUMIFS(StockInData[Value],StockInData[Product ID],ProductMaster!$B79)-SUMIFS(StockOutData[Value],StockOutData[Product ID],ProductMaster!$B79)</f>
        <v>212.5</v>
      </c>
    </row>
    <row r="79" spans="1:10" x14ac:dyDescent="0.25">
      <c r="A79" s="87">
        <v>78</v>
      </c>
      <c r="B79" s="88" t="s">
        <v>175</v>
      </c>
      <c r="C79" s="89" t="s">
        <v>176</v>
      </c>
      <c r="D79" s="88" t="s">
        <v>869</v>
      </c>
      <c r="E79" s="88" t="s">
        <v>871</v>
      </c>
      <c r="F79" s="90">
        <v>10</v>
      </c>
      <c r="G79" s="91">
        <f>StockInData[Expiry]</f>
        <v>44067</v>
      </c>
      <c r="H79" s="88">
        <v>25</v>
      </c>
      <c r="I79" s="88">
        <f>SUMIFS(StockInData[Quantity],StockInData[Product ID],ProductMaster!$B80)-SUMIFS(StockOutData[Quantity],StockOutData[Product ID],ProductMaster!$B80)</f>
        <v>88</v>
      </c>
      <c r="J79" s="92">
        <f>SUMIFS(StockInData[Value],StockInData[Product ID],ProductMaster!$B80)-SUMIFS(StockOutData[Value],StockOutData[Product ID],ProductMaster!$B80)</f>
        <v>220</v>
      </c>
    </row>
    <row r="80" spans="1:10" x14ac:dyDescent="0.25">
      <c r="A80" s="87">
        <v>79</v>
      </c>
      <c r="B80" s="88" t="s">
        <v>177</v>
      </c>
      <c r="C80" s="89" t="s">
        <v>178</v>
      </c>
      <c r="D80" s="88" t="s">
        <v>869</v>
      </c>
      <c r="E80" s="88" t="s">
        <v>871</v>
      </c>
      <c r="F80" s="90">
        <v>10</v>
      </c>
      <c r="G80" s="91">
        <f>StockInData[Expiry]</f>
        <v>44069</v>
      </c>
      <c r="H80" s="88">
        <v>25</v>
      </c>
      <c r="I80" s="88">
        <f>SUMIFS(StockInData[Quantity],StockInData[Product ID],ProductMaster!$B81)-SUMIFS(StockOutData[Quantity],StockOutData[Product ID],ProductMaster!$B81)</f>
        <v>35</v>
      </c>
      <c r="J80" s="92">
        <f>SUMIFS(StockInData[Value],StockInData[Product ID],ProductMaster!$B81)-SUMIFS(StockOutData[Value],StockOutData[Product ID],ProductMaster!$B81)</f>
        <v>87.5</v>
      </c>
    </row>
    <row r="81" spans="1:10" x14ac:dyDescent="0.25">
      <c r="A81" s="87">
        <v>80</v>
      </c>
      <c r="B81" s="88" t="s">
        <v>179</v>
      </c>
      <c r="C81" s="89" t="s">
        <v>180</v>
      </c>
      <c r="D81" s="88" t="s">
        <v>869</v>
      </c>
      <c r="E81" s="88" t="s">
        <v>871</v>
      </c>
      <c r="F81" s="90">
        <v>10</v>
      </c>
      <c r="G81" s="91">
        <f>StockInData[Expiry]</f>
        <v>44071</v>
      </c>
      <c r="H81" s="88">
        <v>25</v>
      </c>
      <c r="I81" s="88">
        <f>SUMIFS(StockInData[Quantity],StockInData[Product ID],ProductMaster!$B82)-SUMIFS(StockOutData[Quantity],StockOutData[Product ID],ProductMaster!$B82)</f>
        <v>23</v>
      </c>
      <c r="J81" s="92">
        <f>SUMIFS(StockInData[Value],StockInData[Product ID],ProductMaster!$B82)-SUMIFS(StockOutData[Value],StockOutData[Product ID],ProductMaster!$B82)</f>
        <v>57.5</v>
      </c>
    </row>
    <row r="82" spans="1:10" x14ac:dyDescent="0.25">
      <c r="A82" s="87">
        <v>81</v>
      </c>
      <c r="B82" s="88" t="s">
        <v>181</v>
      </c>
      <c r="C82" s="89" t="s">
        <v>182</v>
      </c>
      <c r="D82" s="88" t="s">
        <v>869</v>
      </c>
      <c r="E82" s="88" t="s">
        <v>871</v>
      </c>
      <c r="F82" s="90">
        <v>10</v>
      </c>
      <c r="G82" s="91">
        <f>StockInData[Expiry]</f>
        <v>44073</v>
      </c>
      <c r="H82" s="88">
        <v>25</v>
      </c>
      <c r="I82" s="88">
        <f>SUMIFS(StockInData[Quantity],StockInData[Product ID],ProductMaster!$B83)-SUMIFS(StockOutData[Quantity],StockOutData[Product ID],ProductMaster!$B83)</f>
        <v>10</v>
      </c>
      <c r="J82" s="92">
        <f>SUMIFS(StockInData[Value],StockInData[Product ID],ProductMaster!$B83)-SUMIFS(StockOutData[Value],StockOutData[Product ID],ProductMaster!$B83)</f>
        <v>25</v>
      </c>
    </row>
    <row r="83" spans="1:10" x14ac:dyDescent="0.25">
      <c r="A83" s="87">
        <v>82</v>
      </c>
      <c r="B83" s="88" t="s">
        <v>183</v>
      </c>
      <c r="C83" s="89" t="s">
        <v>184</v>
      </c>
      <c r="D83" s="88" t="s">
        <v>869</v>
      </c>
      <c r="E83" s="88" t="s">
        <v>871</v>
      </c>
      <c r="F83" s="90">
        <v>10</v>
      </c>
      <c r="G83" s="91">
        <f>StockInData[Expiry]</f>
        <v>44075</v>
      </c>
      <c r="H83" s="88">
        <v>25</v>
      </c>
      <c r="I83" s="88">
        <f>SUMIFS(StockInData[Quantity],StockInData[Product ID],ProductMaster!$B84)-SUMIFS(StockOutData[Quantity],StockOutData[Product ID],ProductMaster!$B84)</f>
        <v>2</v>
      </c>
      <c r="J83" s="92">
        <f>SUMIFS(StockInData[Value],StockInData[Product ID],ProductMaster!$B84)-SUMIFS(StockOutData[Value],StockOutData[Product ID],ProductMaster!$B84)</f>
        <v>5</v>
      </c>
    </row>
    <row r="84" spans="1:10" x14ac:dyDescent="0.25">
      <c r="A84" s="87">
        <v>83</v>
      </c>
      <c r="B84" s="88" t="s">
        <v>185</v>
      </c>
      <c r="C84" s="89" t="s">
        <v>186</v>
      </c>
      <c r="D84" s="88" t="s">
        <v>869</v>
      </c>
      <c r="E84" s="88" t="s">
        <v>871</v>
      </c>
      <c r="F84" s="90">
        <v>10</v>
      </c>
      <c r="G84" s="91">
        <f>StockInData[Expiry]</f>
        <v>44077</v>
      </c>
      <c r="H84" s="88">
        <v>25</v>
      </c>
      <c r="I84" s="88">
        <f>SUMIFS(StockInData[Quantity],StockInData[Product ID],ProductMaster!$B85)-SUMIFS(StockOutData[Quantity],StockOutData[Product ID],ProductMaster!$B85)</f>
        <v>7</v>
      </c>
      <c r="J84" s="92">
        <f>SUMIFS(StockInData[Value],StockInData[Product ID],ProductMaster!$B85)-SUMIFS(StockOutData[Value],StockOutData[Product ID],ProductMaster!$B85)</f>
        <v>17.5</v>
      </c>
    </row>
    <row r="85" spans="1:10" x14ac:dyDescent="0.25">
      <c r="A85" s="87">
        <v>84</v>
      </c>
      <c r="B85" s="88" t="s">
        <v>187</v>
      </c>
      <c r="C85" s="89" t="s">
        <v>188</v>
      </c>
      <c r="D85" s="88" t="s">
        <v>869</v>
      </c>
      <c r="E85" s="88" t="s">
        <v>871</v>
      </c>
      <c r="F85" s="90">
        <v>10</v>
      </c>
      <c r="G85" s="91">
        <f>StockInData[Expiry]</f>
        <v>44079</v>
      </c>
      <c r="H85" s="88">
        <v>25</v>
      </c>
      <c r="I85" s="88">
        <f>SUMIFS(StockInData[Quantity],StockInData[Product ID],ProductMaster!$B86)-SUMIFS(StockOutData[Quantity],StockOutData[Product ID],ProductMaster!$B86)</f>
        <v>13</v>
      </c>
      <c r="J85" s="92">
        <f>SUMIFS(StockInData[Value],StockInData[Product ID],ProductMaster!$B86)-SUMIFS(StockOutData[Value],StockOutData[Product ID],ProductMaster!$B86)</f>
        <v>32.5</v>
      </c>
    </row>
    <row r="86" spans="1:10" x14ac:dyDescent="0.25">
      <c r="A86" s="87">
        <v>85</v>
      </c>
      <c r="B86" s="88" t="s">
        <v>189</v>
      </c>
      <c r="C86" s="89" t="s">
        <v>190</v>
      </c>
      <c r="D86" s="88" t="s">
        <v>869</v>
      </c>
      <c r="E86" s="88" t="s">
        <v>871</v>
      </c>
      <c r="F86" s="90">
        <v>10</v>
      </c>
      <c r="G86" s="91">
        <f>StockInData[Expiry]</f>
        <v>44081</v>
      </c>
      <c r="H86" s="88">
        <v>25</v>
      </c>
      <c r="I86" s="88">
        <f>SUMIFS(StockInData[Quantity],StockInData[Product ID],ProductMaster!$B87)-SUMIFS(StockOutData[Quantity],StockOutData[Product ID],ProductMaster!$B87)</f>
        <v>55</v>
      </c>
      <c r="J86" s="92">
        <f>SUMIFS(StockInData[Value],StockInData[Product ID],ProductMaster!$B87)-SUMIFS(StockOutData[Value],StockOutData[Product ID],ProductMaster!$B87)</f>
        <v>137.5</v>
      </c>
    </row>
    <row r="87" spans="1:10" x14ac:dyDescent="0.25">
      <c r="A87" s="87">
        <v>86</v>
      </c>
      <c r="B87" s="88" t="s">
        <v>191</v>
      </c>
      <c r="C87" s="89" t="s">
        <v>192</v>
      </c>
      <c r="D87" s="88" t="s">
        <v>869</v>
      </c>
      <c r="E87" s="88" t="s">
        <v>871</v>
      </c>
      <c r="F87" s="90">
        <v>10</v>
      </c>
      <c r="G87" s="91">
        <f>StockInData[Expiry]</f>
        <v>44083</v>
      </c>
      <c r="H87" s="88">
        <v>25</v>
      </c>
      <c r="I87" s="88">
        <f>SUMIFS(StockInData[Quantity],StockInData[Product ID],ProductMaster!$B88)-SUMIFS(StockOutData[Quantity],StockOutData[Product ID],ProductMaster!$B88)</f>
        <v>67</v>
      </c>
      <c r="J87" s="92">
        <f>SUMIFS(StockInData[Value],StockInData[Product ID],ProductMaster!$B88)-SUMIFS(StockOutData[Value],StockOutData[Product ID],ProductMaster!$B88)</f>
        <v>167.5</v>
      </c>
    </row>
    <row r="88" spans="1:10" x14ac:dyDescent="0.25">
      <c r="A88" s="87">
        <v>87</v>
      </c>
      <c r="B88" s="88" t="s">
        <v>193</v>
      </c>
      <c r="C88" s="89" t="s">
        <v>194</v>
      </c>
      <c r="D88" s="88" t="s">
        <v>869</v>
      </c>
      <c r="E88" s="88" t="s">
        <v>871</v>
      </c>
      <c r="F88" s="90">
        <v>10</v>
      </c>
      <c r="G88" s="91">
        <f>StockInData[Expiry]</f>
        <v>44085</v>
      </c>
      <c r="H88" s="88">
        <v>25</v>
      </c>
      <c r="I88" s="88">
        <f>SUMIFS(StockInData[Quantity],StockInData[Product ID],ProductMaster!$B89)-SUMIFS(StockOutData[Quantity],StockOutData[Product ID],ProductMaster!$B89)</f>
        <v>69</v>
      </c>
      <c r="J88" s="92">
        <f>SUMIFS(StockInData[Value],StockInData[Product ID],ProductMaster!$B89)-SUMIFS(StockOutData[Value],StockOutData[Product ID],ProductMaster!$B89)</f>
        <v>172.5</v>
      </c>
    </row>
    <row r="89" spans="1:10" x14ac:dyDescent="0.25">
      <c r="A89" s="87">
        <v>88</v>
      </c>
      <c r="B89" s="88" t="s">
        <v>195</v>
      </c>
      <c r="C89" s="89" t="s">
        <v>196</v>
      </c>
      <c r="D89" s="88" t="s">
        <v>869</v>
      </c>
      <c r="E89" s="88" t="s">
        <v>871</v>
      </c>
      <c r="F89" s="90">
        <v>10</v>
      </c>
      <c r="G89" s="91">
        <f>StockInData[Expiry]</f>
        <v>44087</v>
      </c>
      <c r="H89" s="88">
        <v>25</v>
      </c>
      <c r="I89" s="88">
        <f>SUMIFS(StockInData[Quantity],StockInData[Product ID],ProductMaster!$B90)-SUMIFS(StockOutData[Quantity],StockOutData[Product ID],ProductMaster!$B90)</f>
        <v>81</v>
      </c>
      <c r="J89" s="92">
        <f>SUMIFS(StockInData[Value],StockInData[Product ID],ProductMaster!$B90)-SUMIFS(StockOutData[Value],StockOutData[Product ID],ProductMaster!$B90)</f>
        <v>202.5</v>
      </c>
    </row>
    <row r="90" spans="1:10" x14ac:dyDescent="0.25">
      <c r="A90" s="87">
        <v>89</v>
      </c>
      <c r="B90" s="88" t="s">
        <v>197</v>
      </c>
      <c r="C90" s="89" t="s">
        <v>198</v>
      </c>
      <c r="D90" s="88" t="s">
        <v>869</v>
      </c>
      <c r="E90" s="88" t="s">
        <v>871</v>
      </c>
      <c r="F90" s="90">
        <v>10</v>
      </c>
      <c r="G90" s="91">
        <f>StockInData[Expiry]</f>
        <v>44089</v>
      </c>
      <c r="H90" s="88">
        <v>25</v>
      </c>
      <c r="I90" s="88">
        <f>SUMIFS(StockInData[Quantity],StockInData[Product ID],ProductMaster!$B91)-SUMIFS(StockOutData[Quantity],StockOutData[Product ID],ProductMaster!$B91)</f>
        <v>89</v>
      </c>
      <c r="J90" s="92">
        <f>SUMIFS(StockInData[Value],StockInData[Product ID],ProductMaster!$B91)-SUMIFS(StockOutData[Value],StockOutData[Product ID],ProductMaster!$B91)</f>
        <v>222.5</v>
      </c>
    </row>
    <row r="91" spans="1:10" x14ac:dyDescent="0.25">
      <c r="A91" s="87">
        <v>90</v>
      </c>
      <c r="B91" s="88" t="s">
        <v>199</v>
      </c>
      <c r="C91" s="89" t="s">
        <v>200</v>
      </c>
      <c r="D91" s="88" t="s">
        <v>869</v>
      </c>
      <c r="E91" s="88" t="s">
        <v>871</v>
      </c>
      <c r="F91" s="90">
        <v>10</v>
      </c>
      <c r="G91" s="91">
        <f>StockInData[Expiry]</f>
        <v>44091</v>
      </c>
      <c r="H91" s="88">
        <v>25</v>
      </c>
      <c r="I91" s="88">
        <f>SUMIFS(StockInData[Quantity],StockInData[Product ID],ProductMaster!$B92)-SUMIFS(StockOutData[Quantity],StockOutData[Product ID],ProductMaster!$B92)</f>
        <v>46</v>
      </c>
      <c r="J91" s="92">
        <f>SUMIFS(StockInData[Value],StockInData[Product ID],ProductMaster!$B92)-SUMIFS(StockOutData[Value],StockOutData[Product ID],ProductMaster!$B92)</f>
        <v>115</v>
      </c>
    </row>
    <row r="92" spans="1:10" x14ac:dyDescent="0.25">
      <c r="A92" s="87">
        <v>91</v>
      </c>
      <c r="B92" s="88" t="s">
        <v>201</v>
      </c>
      <c r="C92" s="89" t="s">
        <v>202</v>
      </c>
      <c r="D92" s="88" t="s">
        <v>869</v>
      </c>
      <c r="E92" s="88" t="s">
        <v>871</v>
      </c>
      <c r="F92" s="90">
        <v>10</v>
      </c>
      <c r="G92" s="91">
        <f>StockInData[Expiry]</f>
        <v>44093</v>
      </c>
      <c r="H92" s="88">
        <v>25</v>
      </c>
      <c r="I92" s="88">
        <f>SUMIFS(StockInData[Quantity],StockInData[Product ID],ProductMaster!$B93)-SUMIFS(StockOutData[Quantity],StockOutData[Product ID],ProductMaster!$B93)</f>
        <v>27</v>
      </c>
      <c r="J92" s="92">
        <f>SUMIFS(StockInData[Value],StockInData[Product ID],ProductMaster!$B93)-SUMIFS(StockOutData[Value],StockOutData[Product ID],ProductMaster!$B93)</f>
        <v>67.5</v>
      </c>
    </row>
    <row r="93" spans="1:10" x14ac:dyDescent="0.25">
      <c r="A93" s="87">
        <v>92</v>
      </c>
      <c r="B93" s="88" t="s">
        <v>203</v>
      </c>
      <c r="C93" s="89" t="s">
        <v>204</v>
      </c>
      <c r="D93" s="88" t="s">
        <v>869</v>
      </c>
      <c r="E93" s="88" t="s">
        <v>871</v>
      </c>
      <c r="F93" s="90">
        <v>10</v>
      </c>
      <c r="G93" s="91">
        <f>StockInData[Expiry]</f>
        <v>44095</v>
      </c>
      <c r="H93" s="88">
        <v>25</v>
      </c>
      <c r="I93" s="88">
        <f>SUMIFS(StockInData[Quantity],StockInData[Product ID],ProductMaster!$B94)-SUMIFS(StockOutData[Quantity],StockOutData[Product ID],ProductMaster!$B94)</f>
        <v>25</v>
      </c>
      <c r="J93" s="92">
        <f>SUMIFS(StockInData[Value],StockInData[Product ID],ProductMaster!$B94)-SUMIFS(StockOutData[Value],StockOutData[Product ID],ProductMaster!$B94)</f>
        <v>62.5</v>
      </c>
    </row>
    <row r="94" spans="1:10" x14ac:dyDescent="0.25">
      <c r="A94" s="87">
        <v>93</v>
      </c>
      <c r="B94" s="88" t="s">
        <v>205</v>
      </c>
      <c r="C94" s="89" t="s">
        <v>206</v>
      </c>
      <c r="D94" s="88" t="s">
        <v>869</v>
      </c>
      <c r="E94" s="88" t="s">
        <v>871</v>
      </c>
      <c r="F94" s="90">
        <v>10</v>
      </c>
      <c r="G94" s="91">
        <f>StockInData[Expiry]</f>
        <v>44097</v>
      </c>
      <c r="H94" s="88">
        <v>25</v>
      </c>
      <c r="I94" s="88">
        <f>SUMIFS(StockInData[Quantity],StockInData[Product ID],ProductMaster!$B95)-SUMIFS(StockOutData[Quantity],StockOutData[Product ID],ProductMaster!$B95)</f>
        <v>18</v>
      </c>
      <c r="J94" s="92">
        <f>SUMIFS(StockInData[Value],StockInData[Product ID],ProductMaster!$B95)-SUMIFS(StockOutData[Value],StockOutData[Product ID],ProductMaster!$B95)</f>
        <v>45</v>
      </c>
    </row>
    <row r="95" spans="1:10" x14ac:dyDescent="0.25">
      <c r="A95" s="87">
        <v>94</v>
      </c>
      <c r="B95" s="88" t="s">
        <v>207</v>
      </c>
      <c r="C95" s="89" t="s">
        <v>208</v>
      </c>
      <c r="D95" s="88" t="s">
        <v>869</v>
      </c>
      <c r="E95" s="88" t="s">
        <v>871</v>
      </c>
      <c r="F95" s="90">
        <v>10</v>
      </c>
      <c r="G95" s="91">
        <f>StockInData[Expiry]</f>
        <v>44099</v>
      </c>
      <c r="H95" s="88">
        <v>25</v>
      </c>
      <c r="I95" s="88">
        <f>SUMIFS(StockInData[Quantity],StockInData[Product ID],ProductMaster!$B96)-SUMIFS(StockOutData[Quantity],StockOutData[Product ID],ProductMaster!$B96)</f>
        <v>5</v>
      </c>
      <c r="J95" s="92">
        <f>SUMIFS(StockInData[Value],StockInData[Product ID],ProductMaster!$B96)-SUMIFS(StockOutData[Value],StockOutData[Product ID],ProductMaster!$B96)</f>
        <v>12.5</v>
      </c>
    </row>
    <row r="96" spans="1:10" x14ac:dyDescent="0.25">
      <c r="A96" s="87">
        <v>95</v>
      </c>
      <c r="B96" s="88" t="s">
        <v>209</v>
      </c>
      <c r="C96" s="89" t="s">
        <v>210</v>
      </c>
      <c r="D96" s="88" t="s">
        <v>869</v>
      </c>
      <c r="E96" s="88" t="s">
        <v>871</v>
      </c>
      <c r="F96" s="90">
        <v>10</v>
      </c>
      <c r="G96" s="91">
        <f>StockInData[Expiry]</f>
        <v>44101</v>
      </c>
      <c r="H96" s="88">
        <v>25</v>
      </c>
      <c r="I96" s="88">
        <f>SUMIFS(StockInData[Quantity],StockInData[Product ID],ProductMaster!$B97)-SUMIFS(StockOutData[Quantity],StockOutData[Product ID],ProductMaster!$B97)</f>
        <v>1</v>
      </c>
      <c r="J96" s="92">
        <f>SUMIFS(StockInData[Value],StockInData[Product ID],ProductMaster!$B97)-SUMIFS(StockOutData[Value],StockOutData[Product ID],ProductMaster!$B97)</f>
        <v>2.5</v>
      </c>
    </row>
    <row r="97" spans="1:10" x14ac:dyDescent="0.25">
      <c r="A97" s="87">
        <v>96</v>
      </c>
      <c r="B97" s="88" t="s">
        <v>211</v>
      </c>
      <c r="C97" s="89" t="s">
        <v>212</v>
      </c>
      <c r="D97" s="88" t="s">
        <v>869</v>
      </c>
      <c r="E97" s="88" t="s">
        <v>871</v>
      </c>
      <c r="F97" s="90">
        <v>10</v>
      </c>
      <c r="G97" s="91">
        <f>StockInData[Expiry]</f>
        <v>44103</v>
      </c>
      <c r="H97" s="88">
        <v>25</v>
      </c>
      <c r="I97" s="88">
        <f>SUMIFS(StockInData[Quantity],StockInData[Product ID],ProductMaster!$B98)-SUMIFS(StockOutData[Quantity],StockOutData[Product ID],ProductMaster!$B98)</f>
        <v>88</v>
      </c>
      <c r="J97" s="92">
        <f>SUMIFS(StockInData[Value],StockInData[Product ID],ProductMaster!$B98)-SUMIFS(StockOutData[Value],StockOutData[Product ID],ProductMaster!$B98)</f>
        <v>220</v>
      </c>
    </row>
    <row r="98" spans="1:10" x14ac:dyDescent="0.25">
      <c r="A98" s="87">
        <v>97</v>
      </c>
      <c r="B98" s="88" t="s">
        <v>213</v>
      </c>
      <c r="C98" s="89" t="s">
        <v>214</v>
      </c>
      <c r="D98" s="88" t="s">
        <v>869</v>
      </c>
      <c r="E98" s="88" t="s">
        <v>871</v>
      </c>
      <c r="F98" s="90">
        <v>10</v>
      </c>
      <c r="G98" s="91">
        <f>StockInData[Expiry]</f>
        <v>44105</v>
      </c>
      <c r="H98" s="88">
        <v>25</v>
      </c>
      <c r="I98" s="88">
        <f>SUMIFS(StockInData[Quantity],StockInData[Product ID],ProductMaster!$B99)-SUMIFS(StockOutData[Quantity],StockOutData[Product ID],ProductMaster!$B99)</f>
        <v>86</v>
      </c>
      <c r="J98" s="92">
        <f>SUMIFS(StockInData[Value],StockInData[Product ID],ProductMaster!$B99)-SUMIFS(StockOutData[Value],StockOutData[Product ID],ProductMaster!$B99)</f>
        <v>215</v>
      </c>
    </row>
    <row r="99" spans="1:10" x14ac:dyDescent="0.25">
      <c r="A99" s="87">
        <v>98</v>
      </c>
      <c r="B99" s="88" t="s">
        <v>215</v>
      </c>
      <c r="C99" s="89" t="s">
        <v>216</v>
      </c>
      <c r="D99" s="88" t="s">
        <v>869</v>
      </c>
      <c r="E99" s="88" t="s">
        <v>871</v>
      </c>
      <c r="F99" s="90">
        <v>10</v>
      </c>
      <c r="G99" s="91">
        <f>StockInData[Expiry]</f>
        <v>44107</v>
      </c>
      <c r="H99" s="88">
        <v>25</v>
      </c>
      <c r="I99" s="88">
        <f>SUMIFS(StockInData[Quantity],StockInData[Product ID],ProductMaster!$B100)-SUMIFS(StockOutData[Quantity],StockOutData[Product ID],ProductMaster!$B100)</f>
        <v>87</v>
      </c>
      <c r="J99" s="92">
        <f>SUMIFS(StockInData[Value],StockInData[Product ID],ProductMaster!$B100)-SUMIFS(StockOutData[Value],StockOutData[Product ID],ProductMaster!$B100)</f>
        <v>217.5</v>
      </c>
    </row>
    <row r="100" spans="1:10" x14ac:dyDescent="0.25">
      <c r="A100" s="87">
        <v>99</v>
      </c>
      <c r="B100" s="88" t="s">
        <v>217</v>
      </c>
      <c r="C100" s="89" t="s">
        <v>218</v>
      </c>
      <c r="D100" s="88" t="s">
        <v>869</v>
      </c>
      <c r="E100" s="88" t="s">
        <v>871</v>
      </c>
      <c r="F100" s="90">
        <v>10</v>
      </c>
      <c r="G100" s="91">
        <f>StockInData[Expiry]</f>
        <v>44109</v>
      </c>
      <c r="H100" s="88">
        <v>25</v>
      </c>
      <c r="I100" s="88">
        <f>SUMIFS(StockInData[Quantity],StockInData[Product ID],ProductMaster!$B101)-SUMIFS(StockOutData[Quantity],StockOutData[Product ID],ProductMaster!$B101)</f>
        <v>95</v>
      </c>
      <c r="J100" s="92">
        <f>SUMIFS(StockInData[Value],StockInData[Product ID],ProductMaster!$B101)-SUMIFS(StockOutData[Value],StockOutData[Product ID],ProductMaster!$B101)</f>
        <v>237.5</v>
      </c>
    </row>
    <row r="101" spans="1:10" x14ac:dyDescent="0.25">
      <c r="A101" s="87">
        <v>100</v>
      </c>
      <c r="B101" s="88" t="s">
        <v>219</v>
      </c>
      <c r="C101" s="89" t="s">
        <v>220</v>
      </c>
      <c r="D101" s="88" t="s">
        <v>869</v>
      </c>
      <c r="E101" s="88" t="s">
        <v>871</v>
      </c>
      <c r="F101" s="90">
        <v>10</v>
      </c>
      <c r="G101" s="91">
        <f>StockInData[Expiry]</f>
        <v>44111</v>
      </c>
      <c r="H101" s="88">
        <v>25</v>
      </c>
      <c r="I101" s="88">
        <f>SUMIFS(StockInData[Quantity],StockInData[Product ID],ProductMaster!$B102)-SUMIFS(StockOutData[Quantity],StockOutData[Product ID],ProductMaster!$B102)</f>
        <v>33</v>
      </c>
      <c r="J101" s="92">
        <f>SUMIFS(StockInData[Value],StockInData[Product ID],ProductMaster!$B102)-SUMIFS(StockOutData[Value],StockOutData[Product ID],ProductMaster!$B102)</f>
        <v>82.5</v>
      </c>
    </row>
    <row r="102" spans="1:10" x14ac:dyDescent="0.25">
      <c r="A102" s="87">
        <v>101</v>
      </c>
      <c r="B102" s="88" t="s">
        <v>221</v>
      </c>
      <c r="C102" s="89" t="s">
        <v>222</v>
      </c>
      <c r="D102" s="88" t="s">
        <v>869</v>
      </c>
      <c r="E102" s="88" t="s">
        <v>871</v>
      </c>
      <c r="F102" s="90">
        <v>10</v>
      </c>
      <c r="G102" s="91">
        <f>StockInData[Expiry]</f>
        <v>44113</v>
      </c>
      <c r="H102" s="88">
        <v>25</v>
      </c>
      <c r="I102" s="88">
        <f>SUMIFS(StockInData[Quantity],StockInData[Product ID],ProductMaster!$B103)-SUMIFS(StockOutData[Quantity],StockOutData[Product ID],ProductMaster!$B103)</f>
        <v>15</v>
      </c>
      <c r="J102" s="92">
        <f>SUMIFS(StockInData[Value],StockInData[Product ID],ProductMaster!$B103)-SUMIFS(StockOutData[Value],StockOutData[Product ID],ProductMaster!$B103)</f>
        <v>37.5</v>
      </c>
    </row>
    <row r="103" spans="1:10" x14ac:dyDescent="0.25">
      <c r="A103" s="87">
        <v>102</v>
      </c>
      <c r="B103" s="88" t="s">
        <v>223</v>
      </c>
      <c r="C103" s="89" t="s">
        <v>224</v>
      </c>
      <c r="D103" s="88" t="s">
        <v>869</v>
      </c>
      <c r="E103" s="88" t="s">
        <v>871</v>
      </c>
      <c r="F103" s="90">
        <v>10</v>
      </c>
      <c r="G103" s="91">
        <f>StockInData[Expiry]</f>
        <v>44115</v>
      </c>
      <c r="H103" s="88">
        <v>25</v>
      </c>
      <c r="I103" s="88">
        <f>SUMIFS(StockInData[Quantity],StockInData[Product ID],ProductMaster!$B104)-SUMIFS(StockOutData[Quantity],StockOutData[Product ID],ProductMaster!$B104)</f>
        <v>7</v>
      </c>
      <c r="J103" s="92">
        <f>SUMIFS(StockInData[Value],StockInData[Product ID],ProductMaster!$B104)-SUMIFS(StockOutData[Value],StockOutData[Product ID],ProductMaster!$B104)</f>
        <v>17.5</v>
      </c>
    </row>
    <row r="104" spans="1:10" x14ac:dyDescent="0.25">
      <c r="A104" s="87">
        <v>103</v>
      </c>
      <c r="B104" s="88" t="s">
        <v>225</v>
      </c>
      <c r="C104" s="89" t="s">
        <v>226</v>
      </c>
      <c r="D104" s="88" t="s">
        <v>869</v>
      </c>
      <c r="E104" s="88" t="s">
        <v>871</v>
      </c>
      <c r="F104" s="90">
        <v>10</v>
      </c>
      <c r="G104" s="91">
        <f>StockInData[Expiry]</f>
        <v>44117</v>
      </c>
      <c r="H104" s="88">
        <v>25</v>
      </c>
      <c r="I104" s="88">
        <f>SUMIFS(StockInData[Quantity],StockInData[Product ID],ProductMaster!$B105)-SUMIFS(StockOutData[Quantity],StockOutData[Product ID],ProductMaster!$B105)</f>
        <v>8</v>
      </c>
      <c r="J104" s="92">
        <f>SUMIFS(StockInData[Value],StockInData[Product ID],ProductMaster!$B105)-SUMIFS(StockOutData[Value],StockOutData[Product ID],ProductMaster!$B105)</f>
        <v>20</v>
      </c>
    </row>
    <row r="105" spans="1:10" x14ac:dyDescent="0.25">
      <c r="A105" s="87">
        <v>104</v>
      </c>
      <c r="B105" s="88" t="s">
        <v>227</v>
      </c>
      <c r="C105" s="89" t="s">
        <v>228</v>
      </c>
      <c r="D105" s="88" t="s">
        <v>869</v>
      </c>
      <c r="E105" s="88" t="s">
        <v>871</v>
      </c>
      <c r="F105" s="90">
        <v>10</v>
      </c>
      <c r="G105" s="91">
        <f>StockInData[Expiry]</f>
        <v>44119</v>
      </c>
      <c r="H105" s="88">
        <v>25</v>
      </c>
      <c r="I105" s="88">
        <f>SUMIFS(StockInData[Quantity],StockInData[Product ID],ProductMaster!$B106)-SUMIFS(StockOutData[Quantity],StockOutData[Product ID],ProductMaster!$B106)</f>
        <v>9</v>
      </c>
      <c r="J105" s="92">
        <f>SUMIFS(StockInData[Value],StockInData[Product ID],ProductMaster!$B106)-SUMIFS(StockOutData[Value],StockOutData[Product ID],ProductMaster!$B106)</f>
        <v>22.5</v>
      </c>
    </row>
    <row r="106" spans="1:10" x14ac:dyDescent="0.25">
      <c r="A106" s="87">
        <v>105</v>
      </c>
      <c r="B106" s="88" t="s">
        <v>229</v>
      </c>
      <c r="C106" s="89" t="s">
        <v>230</v>
      </c>
      <c r="D106" s="88" t="s">
        <v>869</v>
      </c>
      <c r="E106" s="88" t="s">
        <v>871</v>
      </c>
      <c r="F106" s="90">
        <v>10</v>
      </c>
      <c r="G106" s="91">
        <f>StockInData[Expiry]</f>
        <v>44121</v>
      </c>
      <c r="H106" s="88">
        <v>25</v>
      </c>
      <c r="I106" s="88">
        <f>SUMIFS(StockInData[Quantity],StockInData[Product ID],ProductMaster!$B107)-SUMIFS(StockOutData[Quantity],StockOutData[Product ID],ProductMaster!$B107)</f>
        <v>13</v>
      </c>
      <c r="J106" s="92">
        <f>SUMIFS(StockInData[Value],StockInData[Product ID],ProductMaster!$B107)-SUMIFS(StockOutData[Value],StockOutData[Product ID],ProductMaster!$B107)</f>
        <v>32.5</v>
      </c>
    </row>
    <row r="107" spans="1:10" x14ac:dyDescent="0.25">
      <c r="A107" s="87">
        <v>106</v>
      </c>
      <c r="B107" s="88" t="s">
        <v>231</v>
      </c>
      <c r="C107" s="89" t="s">
        <v>232</v>
      </c>
      <c r="D107" s="88" t="s">
        <v>869</v>
      </c>
      <c r="E107" s="88" t="s">
        <v>871</v>
      </c>
      <c r="F107" s="90">
        <v>10</v>
      </c>
      <c r="G107" s="91">
        <f>StockInData[Expiry]</f>
        <v>44123</v>
      </c>
      <c r="H107" s="88">
        <v>25</v>
      </c>
      <c r="I107" s="88">
        <f>SUMIFS(StockInData[Quantity],StockInData[Product ID],ProductMaster!$B108)-SUMIFS(StockOutData[Quantity],StockOutData[Product ID],ProductMaster!$B108)</f>
        <v>58</v>
      </c>
      <c r="J107" s="92">
        <f>SUMIFS(StockInData[Value],StockInData[Product ID],ProductMaster!$B108)-SUMIFS(StockOutData[Value],StockOutData[Product ID],ProductMaster!$B108)</f>
        <v>145</v>
      </c>
    </row>
    <row r="108" spans="1:10" x14ac:dyDescent="0.25">
      <c r="A108" s="87">
        <v>107</v>
      </c>
      <c r="B108" s="88" t="s">
        <v>233</v>
      </c>
      <c r="C108" s="89" t="s">
        <v>234</v>
      </c>
      <c r="D108" s="88" t="s">
        <v>869</v>
      </c>
      <c r="E108" s="88" t="s">
        <v>871</v>
      </c>
      <c r="F108" s="90">
        <v>10</v>
      </c>
      <c r="G108" s="91">
        <f>StockInData[Expiry]</f>
        <v>44125</v>
      </c>
      <c r="H108" s="88">
        <v>25</v>
      </c>
      <c r="I108" s="88">
        <f>SUMIFS(StockInData[Quantity],StockInData[Product ID],ProductMaster!$B109)-SUMIFS(StockOutData[Quantity],StockOutData[Product ID],ProductMaster!$B109)</f>
        <v>59</v>
      </c>
      <c r="J108" s="92">
        <f>SUMIFS(StockInData[Value],StockInData[Product ID],ProductMaster!$B109)-SUMIFS(StockOutData[Value],StockOutData[Product ID],ProductMaster!$B109)</f>
        <v>147.5</v>
      </c>
    </row>
    <row r="109" spans="1:10" x14ac:dyDescent="0.25">
      <c r="A109" s="87">
        <v>108</v>
      </c>
      <c r="B109" s="88" t="s">
        <v>235</v>
      </c>
      <c r="C109" s="89" t="s">
        <v>236</v>
      </c>
      <c r="D109" s="88" t="s">
        <v>869</v>
      </c>
      <c r="E109" s="88" t="s">
        <v>871</v>
      </c>
      <c r="F109" s="90">
        <v>10</v>
      </c>
      <c r="G109" s="91">
        <f>StockInData[Expiry]</f>
        <v>44127</v>
      </c>
      <c r="H109" s="88">
        <v>25</v>
      </c>
      <c r="I109" s="88">
        <f>SUMIFS(StockInData[Quantity],StockInData[Product ID],ProductMaster!$B110)-SUMIFS(StockOutData[Quantity],StockOutData[Product ID],ProductMaster!$B110)</f>
        <v>66</v>
      </c>
      <c r="J109" s="92">
        <f>SUMIFS(StockInData[Value],StockInData[Product ID],ProductMaster!$B110)-SUMIFS(StockOutData[Value],StockOutData[Product ID],ProductMaster!$B110)</f>
        <v>165</v>
      </c>
    </row>
    <row r="110" spans="1:10" x14ac:dyDescent="0.25">
      <c r="A110" s="87">
        <v>109</v>
      </c>
      <c r="B110" s="88" t="s">
        <v>237</v>
      </c>
      <c r="C110" s="89" t="s">
        <v>238</v>
      </c>
      <c r="D110" s="88" t="s">
        <v>869</v>
      </c>
      <c r="E110" s="88" t="s">
        <v>871</v>
      </c>
      <c r="F110" s="90">
        <v>10</v>
      </c>
      <c r="G110" s="91">
        <f>StockInData[Expiry]</f>
        <v>44129</v>
      </c>
      <c r="H110" s="88">
        <v>25</v>
      </c>
      <c r="I110" s="88">
        <f>SUMIFS(StockInData[Quantity],StockInData[Product ID],ProductMaster!$B111)-SUMIFS(StockOutData[Quantity],StockOutData[Product ID],ProductMaster!$B111)</f>
        <v>87</v>
      </c>
      <c r="J110" s="92">
        <f>SUMIFS(StockInData[Value],StockInData[Product ID],ProductMaster!$B111)-SUMIFS(StockOutData[Value],StockOutData[Product ID],ProductMaster!$B111)</f>
        <v>217.5</v>
      </c>
    </row>
    <row r="111" spans="1:10" x14ac:dyDescent="0.25">
      <c r="A111" s="87">
        <v>110</v>
      </c>
      <c r="B111" s="88" t="s">
        <v>239</v>
      </c>
      <c r="C111" s="89" t="s">
        <v>240</v>
      </c>
      <c r="D111" s="88" t="s">
        <v>869</v>
      </c>
      <c r="E111" s="88" t="s">
        <v>871</v>
      </c>
      <c r="F111" s="90">
        <v>10</v>
      </c>
      <c r="G111" s="91">
        <f>StockInData[Expiry]</f>
        <v>44131</v>
      </c>
      <c r="H111" s="88">
        <v>25</v>
      </c>
      <c r="I111" s="88">
        <f>SUMIFS(StockInData[Quantity],StockInData[Product ID],ProductMaster!$B112)-SUMIFS(StockOutData[Quantity],StockOutData[Product ID],ProductMaster!$B112)</f>
        <v>87</v>
      </c>
      <c r="J111" s="92">
        <f>SUMIFS(StockInData[Value],StockInData[Product ID],ProductMaster!$B112)-SUMIFS(StockOutData[Value],StockOutData[Product ID],ProductMaster!$B112)</f>
        <v>217.5</v>
      </c>
    </row>
    <row r="112" spans="1:10" x14ac:dyDescent="0.25">
      <c r="A112" s="87">
        <v>111</v>
      </c>
      <c r="B112" s="88" t="s">
        <v>241</v>
      </c>
      <c r="C112" s="89" t="s">
        <v>242</v>
      </c>
      <c r="D112" s="88" t="s">
        <v>869</v>
      </c>
      <c r="E112" s="88" t="s">
        <v>871</v>
      </c>
      <c r="F112" s="90">
        <v>10</v>
      </c>
      <c r="G112" s="91">
        <f>StockInData[Expiry]</f>
        <v>44133</v>
      </c>
      <c r="H112" s="88">
        <v>25</v>
      </c>
      <c r="I112" s="88">
        <f>SUMIFS(StockInData[Quantity],StockInData[Product ID],ProductMaster!$B113)-SUMIFS(StockOutData[Quantity],StockOutData[Product ID],ProductMaster!$B113)</f>
        <v>47</v>
      </c>
      <c r="J112" s="92">
        <f>SUMIFS(StockInData[Value],StockInData[Product ID],ProductMaster!$B113)-SUMIFS(StockOutData[Value],StockOutData[Product ID],ProductMaster!$B113)</f>
        <v>117.5</v>
      </c>
    </row>
    <row r="113" spans="1:10" x14ac:dyDescent="0.25">
      <c r="A113" s="87">
        <v>112</v>
      </c>
      <c r="B113" s="88" t="s">
        <v>243</v>
      </c>
      <c r="C113" s="89" t="s">
        <v>244</v>
      </c>
      <c r="D113" s="88" t="s">
        <v>869</v>
      </c>
      <c r="E113" s="88" t="s">
        <v>871</v>
      </c>
      <c r="F113" s="90">
        <v>10</v>
      </c>
      <c r="G113" s="91">
        <f>StockInData[Expiry]</f>
        <v>44135</v>
      </c>
      <c r="H113" s="88">
        <v>25</v>
      </c>
      <c r="I113" s="88">
        <f>SUMIFS(StockInData[Quantity],StockInData[Product ID],ProductMaster!$B114)-SUMIFS(StockOutData[Quantity],StockOutData[Product ID],ProductMaster!$B114)</f>
        <v>35</v>
      </c>
      <c r="J113" s="92">
        <f>SUMIFS(StockInData[Value],StockInData[Product ID],ProductMaster!$B114)-SUMIFS(StockOutData[Value],StockOutData[Product ID],ProductMaster!$B114)</f>
        <v>87.5</v>
      </c>
    </row>
    <row r="114" spans="1:10" x14ac:dyDescent="0.25">
      <c r="A114" s="87">
        <v>113</v>
      </c>
      <c r="B114" s="88" t="s">
        <v>245</v>
      </c>
      <c r="C114" s="89" t="s">
        <v>246</v>
      </c>
      <c r="D114" s="88" t="s">
        <v>869</v>
      </c>
      <c r="E114" s="88" t="s">
        <v>871</v>
      </c>
      <c r="F114" s="90">
        <v>10</v>
      </c>
      <c r="G114" s="91">
        <f>StockInData[Expiry]</f>
        <v>44137</v>
      </c>
      <c r="H114" s="88">
        <v>25</v>
      </c>
      <c r="I114" s="88">
        <f>SUMIFS(StockInData[Quantity],StockInData[Product ID],ProductMaster!$B115)-SUMIFS(StockOutData[Quantity],StockOutData[Product ID],ProductMaster!$B115)</f>
        <v>23</v>
      </c>
      <c r="J114" s="92">
        <f>SUMIFS(StockInData[Value],StockInData[Product ID],ProductMaster!$B115)-SUMIFS(StockOutData[Value],StockOutData[Product ID],ProductMaster!$B115)</f>
        <v>57.5</v>
      </c>
    </row>
    <row r="115" spans="1:10" x14ac:dyDescent="0.25">
      <c r="A115" s="87">
        <v>114</v>
      </c>
      <c r="B115" s="88" t="s">
        <v>247</v>
      </c>
      <c r="C115" s="89" t="s">
        <v>248</v>
      </c>
      <c r="D115" s="88" t="s">
        <v>869</v>
      </c>
      <c r="E115" s="88" t="s">
        <v>871</v>
      </c>
      <c r="F115" s="90">
        <v>10</v>
      </c>
      <c r="G115" s="91">
        <f>StockInData[Expiry]</f>
        <v>44139</v>
      </c>
      <c r="H115" s="88">
        <v>25</v>
      </c>
      <c r="I115" s="88">
        <f>SUMIFS(StockInData[Quantity],StockInData[Product ID],ProductMaster!$B116)-SUMIFS(StockOutData[Quantity],StockOutData[Product ID],ProductMaster!$B116)</f>
        <v>10</v>
      </c>
      <c r="J115" s="92">
        <f>SUMIFS(StockInData[Value],StockInData[Product ID],ProductMaster!$B116)-SUMIFS(StockOutData[Value],StockOutData[Product ID],ProductMaster!$B116)</f>
        <v>25</v>
      </c>
    </row>
    <row r="116" spans="1:10" x14ac:dyDescent="0.25">
      <c r="A116" s="87">
        <v>115</v>
      </c>
      <c r="B116" s="88" t="s">
        <v>249</v>
      </c>
      <c r="C116" s="89" t="s">
        <v>250</v>
      </c>
      <c r="D116" s="88" t="s">
        <v>869</v>
      </c>
      <c r="E116" s="88" t="s">
        <v>871</v>
      </c>
      <c r="F116" s="90">
        <v>10</v>
      </c>
      <c r="G116" s="91">
        <f>StockInData[Expiry]</f>
        <v>44141</v>
      </c>
      <c r="H116" s="88">
        <v>25</v>
      </c>
      <c r="I116" s="88">
        <f>SUMIFS(StockInData[Quantity],StockInData[Product ID],ProductMaster!$B117)-SUMIFS(StockOutData[Quantity],StockOutData[Product ID],ProductMaster!$B117)</f>
        <v>2</v>
      </c>
      <c r="J116" s="92">
        <f>SUMIFS(StockInData[Value],StockInData[Product ID],ProductMaster!$B117)-SUMIFS(StockOutData[Value],StockOutData[Product ID],ProductMaster!$B117)</f>
        <v>5</v>
      </c>
    </row>
    <row r="117" spans="1:10" x14ac:dyDescent="0.25">
      <c r="A117" s="87">
        <v>116</v>
      </c>
      <c r="B117" s="88" t="s">
        <v>251</v>
      </c>
      <c r="C117" s="89" t="s">
        <v>252</v>
      </c>
      <c r="D117" s="88" t="s">
        <v>869</v>
      </c>
      <c r="E117" s="88" t="s">
        <v>871</v>
      </c>
      <c r="F117" s="90">
        <v>10</v>
      </c>
      <c r="G117" s="91">
        <f>StockInData[Expiry]</f>
        <v>44143</v>
      </c>
      <c r="H117" s="88">
        <v>25</v>
      </c>
      <c r="I117" s="88">
        <f>SUMIFS(StockInData[Quantity],StockInData[Product ID],ProductMaster!$B118)-SUMIFS(StockOutData[Quantity],StockOutData[Product ID],ProductMaster!$B118)</f>
        <v>7</v>
      </c>
      <c r="J117" s="92">
        <f>SUMIFS(StockInData[Value],StockInData[Product ID],ProductMaster!$B118)-SUMIFS(StockOutData[Value],StockOutData[Product ID],ProductMaster!$B118)</f>
        <v>17.5</v>
      </c>
    </row>
    <row r="118" spans="1:10" x14ac:dyDescent="0.25">
      <c r="A118" s="87">
        <v>117</v>
      </c>
      <c r="B118" s="88" t="s">
        <v>253</v>
      </c>
      <c r="C118" s="89" t="s">
        <v>254</v>
      </c>
      <c r="D118" s="88" t="s">
        <v>869</v>
      </c>
      <c r="E118" s="88" t="s">
        <v>871</v>
      </c>
      <c r="F118" s="90">
        <v>10</v>
      </c>
      <c r="G118" s="91">
        <f>StockInData[Expiry]</f>
        <v>44145</v>
      </c>
      <c r="H118" s="88">
        <v>25</v>
      </c>
      <c r="I118" s="88">
        <f>SUMIFS(StockInData[Quantity],StockInData[Product ID],ProductMaster!$B119)-SUMIFS(StockOutData[Quantity],StockOutData[Product ID],ProductMaster!$B119)</f>
        <v>9</v>
      </c>
      <c r="J118" s="92">
        <f>SUMIFS(StockInData[Value],StockInData[Product ID],ProductMaster!$B119)-SUMIFS(StockOutData[Value],StockOutData[Product ID],ProductMaster!$B119)</f>
        <v>22.5</v>
      </c>
    </row>
    <row r="119" spans="1:10" x14ac:dyDescent="0.25">
      <c r="A119" s="87">
        <v>118</v>
      </c>
      <c r="B119" s="88" t="s">
        <v>255</v>
      </c>
      <c r="C119" s="89" t="s">
        <v>256</v>
      </c>
      <c r="D119" s="88" t="s">
        <v>869</v>
      </c>
      <c r="E119" s="88" t="s">
        <v>871</v>
      </c>
      <c r="F119" s="90">
        <v>10</v>
      </c>
      <c r="G119" s="91">
        <f>StockInData[Expiry]</f>
        <v>44147</v>
      </c>
      <c r="H119" s="88">
        <v>25</v>
      </c>
      <c r="I119" s="88">
        <f>SUMIFS(StockInData[Quantity],StockInData[Product ID],ProductMaster!$B120)-SUMIFS(StockOutData[Quantity],StockOutData[Product ID],ProductMaster!$B120)</f>
        <v>52</v>
      </c>
      <c r="J119" s="92">
        <f>SUMIFS(StockInData[Value],StockInData[Product ID],ProductMaster!$B120)-SUMIFS(StockOutData[Value],StockOutData[Product ID],ProductMaster!$B120)</f>
        <v>130</v>
      </c>
    </row>
    <row r="120" spans="1:10" x14ac:dyDescent="0.25">
      <c r="A120" s="87">
        <v>119</v>
      </c>
      <c r="B120" s="88" t="s">
        <v>257</v>
      </c>
      <c r="C120" s="89" t="s">
        <v>258</v>
      </c>
      <c r="D120" s="88" t="s">
        <v>869</v>
      </c>
      <c r="E120" s="88" t="s">
        <v>871</v>
      </c>
      <c r="F120" s="90">
        <v>10</v>
      </c>
      <c r="G120" s="91">
        <f>StockInData[Expiry]</f>
        <v>44149</v>
      </c>
      <c r="H120" s="88">
        <v>25</v>
      </c>
      <c r="I120" s="88">
        <f>SUMIFS(StockInData[Quantity],StockInData[Product ID],ProductMaster!$B121)-SUMIFS(StockOutData[Quantity],StockOutData[Product ID],ProductMaster!$B121)</f>
        <v>69</v>
      </c>
      <c r="J120" s="92">
        <f>SUMIFS(StockInData[Value],StockInData[Product ID],ProductMaster!$B121)-SUMIFS(StockOutData[Value],StockOutData[Product ID],ProductMaster!$B121)</f>
        <v>172.5</v>
      </c>
    </row>
    <row r="121" spans="1:10" x14ac:dyDescent="0.25">
      <c r="A121" s="87">
        <v>120</v>
      </c>
      <c r="B121" s="88" t="s">
        <v>259</v>
      </c>
      <c r="C121" s="89" t="s">
        <v>260</v>
      </c>
      <c r="D121" s="88" t="s">
        <v>869</v>
      </c>
      <c r="E121" s="88" t="s">
        <v>871</v>
      </c>
      <c r="F121" s="90">
        <v>10</v>
      </c>
      <c r="G121" s="91">
        <f>StockInData[Expiry]</f>
        <v>44151</v>
      </c>
      <c r="H121" s="88">
        <v>25</v>
      </c>
      <c r="I121" s="88">
        <f>SUMIFS(StockInData[Quantity],StockInData[Product ID],ProductMaster!$B122)-SUMIFS(StockOutData[Quantity],StockOutData[Product ID],ProductMaster!$B122)</f>
        <v>77</v>
      </c>
      <c r="J121" s="92">
        <f>SUMIFS(StockInData[Value],StockInData[Product ID],ProductMaster!$B122)-SUMIFS(StockOutData[Value],StockOutData[Product ID],ProductMaster!$B122)</f>
        <v>192.5</v>
      </c>
    </row>
    <row r="122" spans="1:10" x14ac:dyDescent="0.25">
      <c r="A122" s="87">
        <v>121</v>
      </c>
      <c r="B122" s="88" t="s">
        <v>261</v>
      </c>
      <c r="C122" s="89" t="s">
        <v>262</v>
      </c>
      <c r="D122" s="88" t="s">
        <v>869</v>
      </c>
      <c r="E122" s="88" t="s">
        <v>871</v>
      </c>
      <c r="F122" s="90">
        <v>10</v>
      </c>
      <c r="G122" s="91">
        <f>StockInData[Expiry]</f>
        <v>44153</v>
      </c>
      <c r="H122" s="88">
        <v>25</v>
      </c>
      <c r="I122" s="88">
        <f>SUMIFS(StockInData[Quantity],StockInData[Product ID],ProductMaster!$B123)-SUMIFS(StockOutData[Quantity],StockOutData[Product ID],ProductMaster!$B123)</f>
        <v>84</v>
      </c>
      <c r="J122" s="92">
        <f>SUMIFS(StockInData[Value],StockInData[Product ID],ProductMaster!$B123)-SUMIFS(StockOutData[Value],StockOutData[Product ID],ProductMaster!$B123)</f>
        <v>210</v>
      </c>
    </row>
    <row r="123" spans="1:10" x14ac:dyDescent="0.25">
      <c r="A123" s="87">
        <v>122</v>
      </c>
      <c r="B123" s="88" t="s">
        <v>263</v>
      </c>
      <c r="C123" s="89" t="s">
        <v>264</v>
      </c>
      <c r="D123" s="88" t="s">
        <v>869</v>
      </c>
      <c r="E123" s="88" t="s">
        <v>871</v>
      </c>
      <c r="F123" s="90">
        <v>10</v>
      </c>
      <c r="G123" s="91">
        <f>StockInData[Expiry]</f>
        <v>44155</v>
      </c>
      <c r="H123" s="88">
        <v>25</v>
      </c>
      <c r="I123" s="88">
        <f>SUMIFS(StockInData[Quantity],StockInData[Product ID],ProductMaster!$B124)-SUMIFS(StockOutData[Quantity],StockOutData[Product ID],ProductMaster!$B124)</f>
        <v>83</v>
      </c>
      <c r="J123" s="92">
        <f>SUMIFS(StockInData[Value],StockInData[Product ID],ProductMaster!$B124)-SUMIFS(StockOutData[Value],StockOutData[Product ID],ProductMaster!$B124)</f>
        <v>207.5</v>
      </c>
    </row>
    <row r="124" spans="1:10" x14ac:dyDescent="0.25">
      <c r="A124" s="87">
        <v>123</v>
      </c>
      <c r="B124" s="88" t="s">
        <v>265</v>
      </c>
      <c r="C124" s="89" t="s">
        <v>266</v>
      </c>
      <c r="D124" s="88" t="s">
        <v>869</v>
      </c>
      <c r="E124" s="88" t="s">
        <v>871</v>
      </c>
      <c r="F124" s="90">
        <v>10</v>
      </c>
      <c r="G124" s="91">
        <f>StockInData[Expiry]</f>
        <v>44157</v>
      </c>
      <c r="H124" s="88">
        <v>25</v>
      </c>
      <c r="I124" s="88">
        <f>SUMIFS(StockInData[Quantity],StockInData[Product ID],ProductMaster!$B125)-SUMIFS(StockOutData[Quantity],StockOutData[Product ID],ProductMaster!$B125)</f>
        <v>48</v>
      </c>
      <c r="J124" s="92">
        <f>SUMIFS(StockInData[Value],StockInData[Product ID],ProductMaster!$B125)-SUMIFS(StockOutData[Value],StockOutData[Product ID],ProductMaster!$B125)</f>
        <v>120</v>
      </c>
    </row>
    <row r="125" spans="1:10" x14ac:dyDescent="0.25">
      <c r="A125" s="87">
        <v>124</v>
      </c>
      <c r="B125" s="88" t="s">
        <v>267</v>
      </c>
      <c r="C125" s="89" t="s">
        <v>268</v>
      </c>
      <c r="D125" s="88" t="s">
        <v>869</v>
      </c>
      <c r="E125" s="88" t="s">
        <v>871</v>
      </c>
      <c r="F125" s="90">
        <v>10</v>
      </c>
      <c r="G125" s="91">
        <f>StockInData[Expiry]</f>
        <v>44159</v>
      </c>
      <c r="H125" s="88">
        <v>25</v>
      </c>
      <c r="I125" s="88">
        <f>SUMIFS(StockInData[Quantity],StockInData[Product ID],ProductMaster!$B126)-SUMIFS(StockOutData[Quantity],StockOutData[Product ID],ProductMaster!$B126)</f>
        <v>30</v>
      </c>
      <c r="J125" s="92">
        <f>SUMIFS(StockInData[Value],StockInData[Product ID],ProductMaster!$B126)-SUMIFS(StockOutData[Value],StockOutData[Product ID],ProductMaster!$B126)</f>
        <v>75</v>
      </c>
    </row>
    <row r="126" spans="1:10" x14ac:dyDescent="0.25">
      <c r="A126" s="87">
        <v>125</v>
      </c>
      <c r="B126" s="88" t="s">
        <v>269</v>
      </c>
      <c r="C126" s="89" t="s">
        <v>270</v>
      </c>
      <c r="D126" s="88" t="s">
        <v>869</v>
      </c>
      <c r="E126" s="88" t="s">
        <v>871</v>
      </c>
      <c r="F126" s="90">
        <v>10</v>
      </c>
      <c r="G126" s="91">
        <f>StockInData[Expiry]</f>
        <v>44161</v>
      </c>
      <c r="H126" s="88">
        <v>25</v>
      </c>
      <c r="I126" s="88">
        <f>SUMIFS(StockInData[Quantity],StockInData[Product ID],ProductMaster!$B127)-SUMIFS(StockOutData[Quantity],StockOutData[Product ID],ProductMaster!$B127)</f>
        <v>20</v>
      </c>
      <c r="J126" s="92">
        <f>SUMIFS(StockInData[Value],StockInData[Product ID],ProductMaster!$B127)-SUMIFS(StockOutData[Value],StockOutData[Product ID],ProductMaster!$B127)</f>
        <v>50</v>
      </c>
    </row>
    <row r="127" spans="1:10" x14ac:dyDescent="0.25">
      <c r="A127" s="87">
        <v>126</v>
      </c>
      <c r="B127" s="88" t="s">
        <v>271</v>
      </c>
      <c r="C127" s="89" t="s">
        <v>272</v>
      </c>
      <c r="D127" s="88" t="s">
        <v>869</v>
      </c>
      <c r="E127" s="88" t="s">
        <v>871</v>
      </c>
      <c r="F127" s="90">
        <v>10</v>
      </c>
      <c r="G127" s="91">
        <f>StockInData[Expiry]</f>
        <v>44163</v>
      </c>
      <c r="H127" s="88">
        <v>25</v>
      </c>
      <c r="I127" s="88">
        <f>SUMIFS(StockInData[Quantity],StockInData[Product ID],ProductMaster!$B128)-SUMIFS(StockOutData[Quantity],StockOutData[Product ID],ProductMaster!$B128)</f>
        <v>15</v>
      </c>
      <c r="J127" s="92">
        <f>SUMIFS(StockInData[Value],StockInData[Product ID],ProductMaster!$B128)-SUMIFS(StockOutData[Value],StockOutData[Product ID],ProductMaster!$B128)</f>
        <v>37.5</v>
      </c>
    </row>
    <row r="128" spans="1:10" x14ac:dyDescent="0.25">
      <c r="A128" s="87">
        <v>127</v>
      </c>
      <c r="B128" s="88" t="s">
        <v>273</v>
      </c>
      <c r="C128" s="89" t="s">
        <v>274</v>
      </c>
      <c r="D128" s="88" t="s">
        <v>869</v>
      </c>
      <c r="E128" s="88" t="s">
        <v>871</v>
      </c>
      <c r="F128" s="90">
        <v>10</v>
      </c>
      <c r="G128" s="91">
        <f>StockInData[Expiry]</f>
        <v>44165</v>
      </c>
      <c r="H128" s="88">
        <v>25</v>
      </c>
      <c r="I128" s="88">
        <f>SUMIFS(StockInData[Quantity],StockInData[Product ID],ProductMaster!$B129)-SUMIFS(StockOutData[Quantity],StockOutData[Product ID],ProductMaster!$B129)</f>
        <v>10</v>
      </c>
      <c r="J128" s="92">
        <f>SUMIFS(StockInData[Value],StockInData[Product ID],ProductMaster!$B129)-SUMIFS(StockOutData[Value],StockOutData[Product ID],ProductMaster!$B129)</f>
        <v>25</v>
      </c>
    </row>
    <row r="129" spans="1:10" x14ac:dyDescent="0.25">
      <c r="A129" s="87">
        <v>128</v>
      </c>
      <c r="B129" s="88" t="s">
        <v>275</v>
      </c>
      <c r="C129" s="89" t="s">
        <v>276</v>
      </c>
      <c r="D129" s="88" t="s">
        <v>869</v>
      </c>
      <c r="E129" s="88" t="s">
        <v>871</v>
      </c>
      <c r="F129" s="90">
        <v>10</v>
      </c>
      <c r="G129" s="91">
        <f>StockInData[Expiry]</f>
        <v>44167</v>
      </c>
      <c r="H129" s="88">
        <v>25</v>
      </c>
      <c r="I129" s="88">
        <f>SUMIFS(StockInData[Quantity],StockInData[Product ID],ProductMaster!$B130)-SUMIFS(StockOutData[Quantity],StockOutData[Product ID],ProductMaster!$B130)</f>
        <v>9</v>
      </c>
      <c r="J129" s="92">
        <f>SUMIFS(StockInData[Value],StockInData[Product ID],ProductMaster!$B130)-SUMIFS(StockOutData[Value],StockOutData[Product ID],ProductMaster!$B130)</f>
        <v>22.5</v>
      </c>
    </row>
    <row r="130" spans="1:10" x14ac:dyDescent="0.25">
      <c r="A130" s="87">
        <v>129</v>
      </c>
      <c r="B130" s="88" t="s">
        <v>277</v>
      </c>
      <c r="C130" s="89" t="s">
        <v>278</v>
      </c>
      <c r="D130" s="88" t="s">
        <v>869</v>
      </c>
      <c r="E130" s="88" t="s">
        <v>871</v>
      </c>
      <c r="F130" s="90">
        <v>10</v>
      </c>
      <c r="G130" s="91">
        <f>StockInData[Expiry]</f>
        <v>44169</v>
      </c>
      <c r="H130" s="88">
        <v>25</v>
      </c>
      <c r="I130" s="88">
        <f>SUMIFS(StockInData[Quantity],StockInData[Product ID],ProductMaster!$B131)-SUMIFS(StockOutData[Quantity],StockOutData[Product ID],ProductMaster!$B131)</f>
        <v>13</v>
      </c>
      <c r="J130" s="92">
        <f>SUMIFS(StockInData[Value],StockInData[Product ID],ProductMaster!$B131)-SUMIFS(StockOutData[Value],StockOutData[Product ID],ProductMaster!$B131)</f>
        <v>32.5</v>
      </c>
    </row>
    <row r="131" spans="1:10" x14ac:dyDescent="0.25">
      <c r="A131" s="87">
        <v>130</v>
      </c>
      <c r="B131" s="88" t="s">
        <v>279</v>
      </c>
      <c r="C131" s="89" t="s">
        <v>280</v>
      </c>
      <c r="D131" s="88" t="s">
        <v>869</v>
      </c>
      <c r="E131" s="88" t="s">
        <v>871</v>
      </c>
      <c r="F131" s="90">
        <v>10</v>
      </c>
      <c r="G131" s="91">
        <f>StockInData[Expiry]</f>
        <v>44171</v>
      </c>
      <c r="H131" s="88">
        <v>25</v>
      </c>
      <c r="I131" s="88">
        <f>SUMIFS(StockInData[Quantity],StockInData[Product ID],ProductMaster!$B132)-SUMIFS(StockOutData[Quantity],StockOutData[Product ID],ProductMaster!$B132)</f>
        <v>55</v>
      </c>
      <c r="J131" s="92">
        <f>SUMIFS(StockInData[Value],StockInData[Product ID],ProductMaster!$B132)-SUMIFS(StockOutData[Value],StockOutData[Product ID],ProductMaster!$B132)</f>
        <v>137.5</v>
      </c>
    </row>
    <row r="132" spans="1:10" x14ac:dyDescent="0.25">
      <c r="A132" s="87">
        <v>131</v>
      </c>
      <c r="B132" s="88" t="s">
        <v>281</v>
      </c>
      <c r="C132" s="89" t="s">
        <v>282</v>
      </c>
      <c r="D132" s="88" t="s">
        <v>869</v>
      </c>
      <c r="E132" s="88" t="s">
        <v>871</v>
      </c>
      <c r="F132" s="90">
        <v>10</v>
      </c>
      <c r="G132" s="91">
        <f>StockInData[Expiry]</f>
        <v>44173</v>
      </c>
      <c r="H132" s="88">
        <v>25</v>
      </c>
      <c r="I132" s="88">
        <f>SUMIFS(StockInData[Quantity],StockInData[Product ID],ProductMaster!$B133)-SUMIFS(StockOutData[Quantity],StockOutData[Product ID],ProductMaster!$B133)</f>
        <v>64</v>
      </c>
      <c r="J132" s="92">
        <f>SUMIFS(StockInData[Value],StockInData[Product ID],ProductMaster!$B133)-SUMIFS(StockOutData[Value],StockOutData[Product ID],ProductMaster!$B133)</f>
        <v>160</v>
      </c>
    </row>
    <row r="133" spans="1:10" x14ac:dyDescent="0.25">
      <c r="A133" s="87">
        <v>132</v>
      </c>
      <c r="B133" s="88" t="s">
        <v>283</v>
      </c>
      <c r="C133" s="89" t="s">
        <v>284</v>
      </c>
      <c r="D133" s="88" t="s">
        <v>869</v>
      </c>
      <c r="E133" s="88" t="s">
        <v>871</v>
      </c>
      <c r="F133" s="90">
        <v>10</v>
      </c>
      <c r="G133" s="91">
        <f>StockInData[Expiry]</f>
        <v>44175</v>
      </c>
      <c r="H133" s="88">
        <v>25</v>
      </c>
      <c r="I133" s="88">
        <f>SUMIFS(StockInData[Quantity],StockInData[Product ID],ProductMaster!$B134)-SUMIFS(StockOutData[Quantity],StockOutData[Product ID],ProductMaster!$B134)</f>
        <v>74</v>
      </c>
      <c r="J133" s="92">
        <f>SUMIFS(StockInData[Value],StockInData[Product ID],ProductMaster!$B134)-SUMIFS(StockOutData[Value],StockOutData[Product ID],ProductMaster!$B134)</f>
        <v>185</v>
      </c>
    </row>
    <row r="134" spans="1:10" x14ac:dyDescent="0.25">
      <c r="A134" s="87">
        <v>133</v>
      </c>
      <c r="B134" s="88" t="s">
        <v>285</v>
      </c>
      <c r="C134" s="89" t="s">
        <v>286</v>
      </c>
      <c r="D134" s="88" t="s">
        <v>869</v>
      </c>
      <c r="E134" s="88" t="s">
        <v>871</v>
      </c>
      <c r="F134" s="90">
        <v>10</v>
      </c>
      <c r="G134" s="91">
        <f>StockInData[Expiry]</f>
        <v>44177</v>
      </c>
      <c r="H134" s="88">
        <v>25</v>
      </c>
      <c r="I134" s="88">
        <f>SUMIFS(StockInData[Quantity],StockInData[Product ID],ProductMaster!$B135)-SUMIFS(StockOutData[Quantity],StockOutData[Product ID],ProductMaster!$B135)</f>
        <v>89</v>
      </c>
      <c r="J134" s="92">
        <f>SUMIFS(StockInData[Value],StockInData[Product ID],ProductMaster!$B135)-SUMIFS(StockOutData[Value],StockOutData[Product ID],ProductMaster!$B135)</f>
        <v>222.5</v>
      </c>
    </row>
    <row r="135" spans="1:10" x14ac:dyDescent="0.25">
      <c r="A135" s="87">
        <v>134</v>
      </c>
      <c r="B135" s="88" t="s">
        <v>287</v>
      </c>
      <c r="C135" s="89" t="s">
        <v>288</v>
      </c>
      <c r="D135" s="88" t="s">
        <v>869</v>
      </c>
      <c r="E135" s="88" t="s">
        <v>871</v>
      </c>
      <c r="F135" s="90">
        <v>10</v>
      </c>
      <c r="G135" s="91">
        <f>StockInData[Expiry]</f>
        <v>44179</v>
      </c>
      <c r="H135" s="88">
        <v>25</v>
      </c>
      <c r="I135" s="88">
        <f>SUMIFS(StockInData[Quantity],StockInData[Product ID],ProductMaster!$B136)-SUMIFS(StockOutData[Quantity],StockOutData[Product ID],ProductMaster!$B136)</f>
        <v>91</v>
      </c>
      <c r="J135" s="92">
        <f>SUMIFS(StockInData[Value],StockInData[Product ID],ProductMaster!$B136)-SUMIFS(StockOutData[Value],StockOutData[Product ID],ProductMaster!$B136)</f>
        <v>227.5</v>
      </c>
    </row>
    <row r="136" spans="1:10" x14ac:dyDescent="0.25">
      <c r="A136" s="87">
        <v>135</v>
      </c>
      <c r="B136" s="88" t="s">
        <v>289</v>
      </c>
      <c r="C136" s="89" t="s">
        <v>290</v>
      </c>
      <c r="D136" s="88" t="s">
        <v>869</v>
      </c>
      <c r="E136" s="88" t="s">
        <v>871</v>
      </c>
      <c r="F136" s="90">
        <v>10</v>
      </c>
      <c r="G136" s="91">
        <f>StockInData[Expiry]</f>
        <v>44181</v>
      </c>
      <c r="H136" s="88">
        <v>25</v>
      </c>
      <c r="I136" s="88">
        <f>SUMIFS(StockInData[Quantity],StockInData[Product ID],ProductMaster!$B137)-SUMIFS(StockOutData[Quantity],StockOutData[Product ID],ProductMaster!$B137)</f>
        <v>90</v>
      </c>
      <c r="J136" s="92">
        <f>SUMIFS(StockInData[Value],StockInData[Product ID],ProductMaster!$B137)-SUMIFS(StockOutData[Value],StockOutData[Product ID],ProductMaster!$B137)</f>
        <v>225</v>
      </c>
    </row>
    <row r="137" spans="1:10" x14ac:dyDescent="0.25">
      <c r="A137" s="87">
        <v>136</v>
      </c>
      <c r="B137" s="88" t="s">
        <v>291</v>
      </c>
      <c r="C137" s="89" t="s">
        <v>292</v>
      </c>
      <c r="D137" s="88" t="s">
        <v>869</v>
      </c>
      <c r="E137" s="88" t="s">
        <v>871</v>
      </c>
      <c r="F137" s="90">
        <v>10</v>
      </c>
      <c r="G137" s="91">
        <f>StockInData[Expiry]</f>
        <v>44183</v>
      </c>
      <c r="H137" s="88">
        <v>25</v>
      </c>
      <c r="I137" s="88">
        <f>SUMIFS(StockInData[Quantity],StockInData[Product ID],ProductMaster!$B138)-SUMIFS(StockOutData[Quantity],StockOutData[Product ID],ProductMaster!$B138)</f>
        <v>50</v>
      </c>
      <c r="J137" s="92">
        <f>SUMIFS(StockInData[Value],StockInData[Product ID],ProductMaster!$B138)-SUMIFS(StockOutData[Value],StockOutData[Product ID],ProductMaster!$B138)</f>
        <v>125</v>
      </c>
    </row>
    <row r="138" spans="1:10" x14ac:dyDescent="0.25">
      <c r="A138" s="87">
        <v>137</v>
      </c>
      <c r="B138" s="88" t="s">
        <v>293</v>
      </c>
      <c r="C138" s="89" t="s">
        <v>294</v>
      </c>
      <c r="D138" s="88" t="s">
        <v>869</v>
      </c>
      <c r="E138" s="88" t="s">
        <v>871</v>
      </c>
      <c r="F138" s="90">
        <v>10</v>
      </c>
      <c r="G138" s="91">
        <f>StockInData[Expiry]</f>
        <v>44185</v>
      </c>
      <c r="H138" s="88">
        <v>25</v>
      </c>
      <c r="I138" s="88">
        <f>SUMIFS(StockInData[Quantity],StockInData[Product ID],ProductMaster!$B139)-SUMIFS(StockOutData[Quantity],StockOutData[Product ID],ProductMaster!$B139)</f>
        <v>30</v>
      </c>
      <c r="J138" s="92">
        <f>SUMIFS(StockInData[Value],StockInData[Product ID],ProductMaster!$B139)-SUMIFS(StockOutData[Value],StockOutData[Product ID],ProductMaster!$B139)</f>
        <v>75</v>
      </c>
    </row>
    <row r="139" spans="1:10" x14ac:dyDescent="0.25">
      <c r="A139" s="87">
        <v>138</v>
      </c>
      <c r="B139" s="88" t="s">
        <v>295</v>
      </c>
      <c r="C139" s="89" t="s">
        <v>296</v>
      </c>
      <c r="D139" s="88" t="s">
        <v>869</v>
      </c>
      <c r="E139" s="88" t="s">
        <v>871</v>
      </c>
      <c r="F139" s="90">
        <v>10</v>
      </c>
      <c r="G139" s="91">
        <f>StockInData[Expiry]</f>
        <v>44187</v>
      </c>
      <c r="H139" s="88">
        <v>25</v>
      </c>
      <c r="I139" s="88">
        <f>SUMIFS(StockInData[Quantity],StockInData[Product ID],ProductMaster!$B140)-SUMIFS(StockOutData[Quantity],StockOutData[Product ID],ProductMaster!$B140)</f>
        <v>23</v>
      </c>
      <c r="J139" s="92">
        <f>SUMIFS(StockInData[Value],StockInData[Product ID],ProductMaster!$B140)-SUMIFS(StockOutData[Value],StockOutData[Product ID],ProductMaster!$B140)</f>
        <v>57.5</v>
      </c>
    </row>
    <row r="140" spans="1:10" x14ac:dyDescent="0.25">
      <c r="A140" s="87">
        <v>139</v>
      </c>
      <c r="B140" s="88" t="s">
        <v>297</v>
      </c>
      <c r="C140" s="89" t="s">
        <v>298</v>
      </c>
      <c r="D140" s="88" t="s">
        <v>869</v>
      </c>
      <c r="E140" s="88" t="s">
        <v>871</v>
      </c>
      <c r="F140" s="90">
        <v>10</v>
      </c>
      <c r="G140" s="91">
        <f>StockInData[Expiry]</f>
        <v>44189</v>
      </c>
      <c r="H140" s="88">
        <v>25</v>
      </c>
      <c r="I140" s="88">
        <f>SUMIFS(StockInData[Quantity],StockInData[Product ID],ProductMaster!$B141)-SUMIFS(StockOutData[Quantity],StockOutData[Product ID],ProductMaster!$B141)</f>
        <v>10</v>
      </c>
      <c r="J140" s="92">
        <f>SUMIFS(StockInData[Value],StockInData[Product ID],ProductMaster!$B141)-SUMIFS(StockOutData[Value],StockOutData[Product ID],ProductMaster!$B141)</f>
        <v>25</v>
      </c>
    </row>
    <row r="141" spans="1:10" x14ac:dyDescent="0.25">
      <c r="A141" s="87">
        <v>140</v>
      </c>
      <c r="B141" s="88" t="s">
        <v>299</v>
      </c>
      <c r="C141" s="89" t="s">
        <v>300</v>
      </c>
      <c r="D141" s="88" t="s">
        <v>869</v>
      </c>
      <c r="E141" s="88" t="s">
        <v>871</v>
      </c>
      <c r="F141" s="90">
        <v>10</v>
      </c>
      <c r="G141" s="91">
        <f>StockInData[Expiry]</f>
        <v>44191</v>
      </c>
      <c r="H141" s="88">
        <v>25</v>
      </c>
      <c r="I141" s="88">
        <f>SUMIFS(StockInData[Quantity],StockInData[Product ID],ProductMaster!$B142)-SUMIFS(StockOutData[Quantity],StockOutData[Product ID],ProductMaster!$B142)</f>
        <v>2</v>
      </c>
      <c r="J141" s="92">
        <f>SUMIFS(StockInData[Value],StockInData[Product ID],ProductMaster!$B142)-SUMIFS(StockOutData[Value],StockOutData[Product ID],ProductMaster!$B142)</f>
        <v>5</v>
      </c>
    </row>
    <row r="142" spans="1:10" x14ac:dyDescent="0.25">
      <c r="A142" s="87">
        <v>141</v>
      </c>
      <c r="B142" s="88" t="s">
        <v>301</v>
      </c>
      <c r="C142" s="89" t="s">
        <v>302</v>
      </c>
      <c r="D142" s="88" t="s">
        <v>869</v>
      </c>
      <c r="E142" s="88" t="s">
        <v>871</v>
      </c>
      <c r="F142" s="90">
        <v>10</v>
      </c>
      <c r="G142" s="91">
        <f>StockInData[Expiry]</f>
        <v>44193</v>
      </c>
      <c r="H142" s="88">
        <v>25</v>
      </c>
      <c r="I142" s="88">
        <f>SUMIFS(StockInData[Quantity],StockInData[Product ID],ProductMaster!$B143)-SUMIFS(StockOutData[Quantity],StockOutData[Product ID],ProductMaster!$B143)</f>
        <v>7</v>
      </c>
      <c r="J142" s="92">
        <f>SUMIFS(StockInData[Value],StockInData[Product ID],ProductMaster!$B143)-SUMIFS(StockOutData[Value],StockOutData[Product ID],ProductMaster!$B143)</f>
        <v>17.5</v>
      </c>
    </row>
    <row r="143" spans="1:10" x14ac:dyDescent="0.25">
      <c r="A143" s="87">
        <v>142</v>
      </c>
      <c r="B143" s="88" t="s">
        <v>303</v>
      </c>
      <c r="C143" s="89" t="s">
        <v>304</v>
      </c>
      <c r="D143" s="88" t="s">
        <v>869</v>
      </c>
      <c r="E143" s="88" t="s">
        <v>871</v>
      </c>
      <c r="F143" s="90">
        <v>10</v>
      </c>
      <c r="G143" s="91">
        <f>StockInData[Expiry]</f>
        <v>44195</v>
      </c>
      <c r="H143" s="88">
        <v>25</v>
      </c>
      <c r="I143" s="88">
        <f>SUMIFS(StockInData[Quantity],StockInData[Product ID],ProductMaster!$B144)-SUMIFS(StockOutData[Quantity],StockOutData[Product ID],ProductMaster!$B144)</f>
        <v>9</v>
      </c>
      <c r="J143" s="92">
        <f>SUMIFS(StockInData[Value],StockInData[Product ID],ProductMaster!$B144)-SUMIFS(StockOutData[Value],StockOutData[Product ID],ProductMaster!$B144)</f>
        <v>22.5</v>
      </c>
    </row>
    <row r="144" spans="1:10" x14ac:dyDescent="0.25">
      <c r="A144" s="87">
        <v>143</v>
      </c>
      <c r="B144" s="88" t="s">
        <v>305</v>
      </c>
      <c r="C144" s="89" t="s">
        <v>306</v>
      </c>
      <c r="D144" s="88" t="s">
        <v>869</v>
      </c>
      <c r="E144" s="88" t="s">
        <v>871</v>
      </c>
      <c r="F144" s="90">
        <v>10</v>
      </c>
      <c r="G144" s="91">
        <f>StockInData[Expiry]</f>
        <v>44197</v>
      </c>
      <c r="H144" s="88">
        <v>25</v>
      </c>
      <c r="I144" s="88">
        <f>SUMIFS(StockInData[Quantity],StockInData[Product ID],ProductMaster!$B145)-SUMIFS(StockOutData[Quantity],StockOutData[Product ID],ProductMaster!$B145)</f>
        <v>52</v>
      </c>
      <c r="J144" s="92">
        <f>SUMIFS(StockInData[Value],StockInData[Product ID],ProductMaster!$B145)-SUMIFS(StockOutData[Value],StockOutData[Product ID],ProductMaster!$B145)</f>
        <v>130</v>
      </c>
    </row>
    <row r="145" spans="1:10" x14ac:dyDescent="0.25">
      <c r="A145" s="87">
        <v>144</v>
      </c>
      <c r="B145" s="88" t="s">
        <v>307</v>
      </c>
      <c r="C145" s="89" t="s">
        <v>308</v>
      </c>
      <c r="D145" s="88" t="s">
        <v>869</v>
      </c>
      <c r="E145" s="88" t="s">
        <v>871</v>
      </c>
      <c r="F145" s="90">
        <v>10</v>
      </c>
      <c r="G145" s="91">
        <f>StockInData[Expiry]</f>
        <v>44199</v>
      </c>
      <c r="H145" s="88">
        <v>25</v>
      </c>
      <c r="I145" s="88">
        <f>SUMIFS(StockInData[Quantity],StockInData[Product ID],ProductMaster!$B146)-SUMIFS(StockOutData[Quantity],StockOutData[Product ID],ProductMaster!$B146)</f>
        <v>69</v>
      </c>
      <c r="J145" s="92">
        <f>SUMIFS(StockInData[Value],StockInData[Product ID],ProductMaster!$B146)-SUMIFS(StockOutData[Value],StockOutData[Product ID],ProductMaster!$B146)</f>
        <v>172.5</v>
      </c>
    </row>
    <row r="146" spans="1:10" x14ac:dyDescent="0.25">
      <c r="A146" s="87">
        <v>145</v>
      </c>
      <c r="B146" s="88" t="s">
        <v>309</v>
      </c>
      <c r="C146" s="89" t="s">
        <v>310</v>
      </c>
      <c r="D146" s="88" t="s">
        <v>869</v>
      </c>
      <c r="E146" s="88" t="s">
        <v>871</v>
      </c>
      <c r="F146" s="90">
        <v>10</v>
      </c>
      <c r="G146" s="91">
        <f>StockInData[Expiry]</f>
        <v>44201</v>
      </c>
      <c r="H146" s="88">
        <v>25</v>
      </c>
      <c r="I146" s="88">
        <f>SUMIFS(StockInData[Quantity],StockInData[Product ID],ProductMaster!$B147)-SUMIFS(StockOutData[Quantity],StockOutData[Product ID],ProductMaster!$B147)</f>
        <v>67</v>
      </c>
      <c r="J146" s="92">
        <f>SUMIFS(StockInData[Value],StockInData[Product ID],ProductMaster!$B147)-SUMIFS(StockOutData[Value],StockOutData[Product ID],ProductMaster!$B147)</f>
        <v>184.6</v>
      </c>
    </row>
    <row r="147" spans="1:10" x14ac:dyDescent="0.25">
      <c r="A147" s="87">
        <v>146</v>
      </c>
      <c r="B147" s="88" t="s">
        <v>311</v>
      </c>
      <c r="C147" s="89" t="s">
        <v>312</v>
      </c>
      <c r="D147" s="88" t="s">
        <v>869</v>
      </c>
      <c r="E147" s="88" t="s">
        <v>871</v>
      </c>
      <c r="F147" s="90">
        <v>10</v>
      </c>
      <c r="G147" s="91">
        <f>StockInData[Expiry]</f>
        <v>44203</v>
      </c>
      <c r="H147" s="88">
        <v>25</v>
      </c>
      <c r="I147" s="88">
        <f>SUMIFS(StockInData[Quantity],StockInData[Product ID],ProductMaster!$B148)-SUMIFS(StockOutData[Quantity],StockOutData[Product ID],ProductMaster!$B148)</f>
        <v>84</v>
      </c>
      <c r="J147" s="92">
        <f>SUMIFS(StockInData[Value],StockInData[Product ID],ProductMaster!$B148)-SUMIFS(StockOutData[Value],StockOutData[Product ID],ProductMaster!$B148)</f>
        <v>210</v>
      </c>
    </row>
    <row r="148" spans="1:10" x14ac:dyDescent="0.25">
      <c r="A148" s="87">
        <v>147</v>
      </c>
      <c r="B148" s="88" t="s">
        <v>313</v>
      </c>
      <c r="C148" s="89" t="s">
        <v>314</v>
      </c>
      <c r="D148" s="88" t="s">
        <v>869</v>
      </c>
      <c r="E148" s="88" t="s">
        <v>871</v>
      </c>
      <c r="F148" s="90">
        <v>10</v>
      </c>
      <c r="G148" s="91">
        <f>StockInData[Expiry]</f>
        <v>44205</v>
      </c>
      <c r="H148" s="88">
        <v>25</v>
      </c>
      <c r="I148" s="88">
        <f>SUMIFS(StockInData[Quantity],StockInData[Product ID],ProductMaster!$B149)-SUMIFS(StockOutData[Quantity],StockOutData[Product ID],ProductMaster!$B149)</f>
        <v>83</v>
      </c>
      <c r="J148" s="92">
        <f>SUMIFS(StockInData[Value],StockInData[Product ID],ProductMaster!$B149)-SUMIFS(StockOutData[Value],StockOutData[Product ID],ProductMaster!$B149)</f>
        <v>207.5</v>
      </c>
    </row>
    <row r="149" spans="1:10" x14ac:dyDescent="0.25">
      <c r="A149" s="87">
        <v>148</v>
      </c>
      <c r="B149" s="88" t="s">
        <v>315</v>
      </c>
      <c r="C149" s="89" t="s">
        <v>316</v>
      </c>
      <c r="D149" s="88" t="s">
        <v>869</v>
      </c>
      <c r="E149" s="88" t="s">
        <v>871</v>
      </c>
      <c r="F149" s="90">
        <v>10</v>
      </c>
      <c r="G149" s="91">
        <f>StockInData[Expiry]</f>
        <v>44207</v>
      </c>
      <c r="H149" s="88">
        <v>25</v>
      </c>
      <c r="I149" s="88">
        <f>SUMIFS(StockInData[Quantity],StockInData[Product ID],ProductMaster!$B150)-SUMIFS(StockOutData[Quantity],StockOutData[Product ID],ProductMaster!$B150)</f>
        <v>88</v>
      </c>
      <c r="J149" s="92">
        <f>SUMIFS(StockInData[Value],StockInData[Product ID],ProductMaster!$B150)-SUMIFS(StockOutData[Value],StockOutData[Product ID],ProductMaster!$B150)</f>
        <v>220</v>
      </c>
    </row>
    <row r="150" spans="1:10" x14ac:dyDescent="0.25">
      <c r="A150" s="87">
        <v>149</v>
      </c>
      <c r="B150" s="88" t="s">
        <v>317</v>
      </c>
      <c r="C150" s="89" t="s">
        <v>318</v>
      </c>
      <c r="D150" s="88" t="s">
        <v>869</v>
      </c>
      <c r="E150" s="88" t="s">
        <v>871</v>
      </c>
      <c r="F150" s="90">
        <v>10</v>
      </c>
      <c r="G150" s="91">
        <f>StockInData[Expiry]</f>
        <v>44209</v>
      </c>
      <c r="H150" s="88">
        <v>25</v>
      </c>
      <c r="I150" s="88">
        <f>SUMIFS(StockInData[Quantity],StockInData[Product ID],ProductMaster!$B151)-SUMIFS(StockOutData[Quantity],StockOutData[Product ID],ProductMaster!$B151)</f>
        <v>86</v>
      </c>
      <c r="J150" s="92">
        <f>SUMIFS(StockInData[Value],StockInData[Product ID],ProductMaster!$B151)-SUMIFS(StockOutData[Value],StockOutData[Product ID],ProductMaster!$B151)</f>
        <v>215</v>
      </c>
    </row>
    <row r="151" spans="1:10" x14ac:dyDescent="0.25">
      <c r="A151" s="87">
        <v>150</v>
      </c>
      <c r="B151" s="88" t="s">
        <v>319</v>
      </c>
      <c r="C151" s="89" t="s">
        <v>320</v>
      </c>
      <c r="D151" s="88" t="s">
        <v>869</v>
      </c>
      <c r="E151" s="88" t="s">
        <v>871</v>
      </c>
      <c r="F151" s="90">
        <v>10</v>
      </c>
      <c r="G151" s="91">
        <f>StockInData[Expiry]</f>
        <v>44211</v>
      </c>
      <c r="H151" s="88">
        <v>25</v>
      </c>
      <c r="I151" s="88">
        <f>SUMIFS(StockInData[Quantity],StockInData[Product ID],ProductMaster!$B152)-SUMIFS(StockOutData[Quantity],StockOutData[Product ID],ProductMaster!$B152)</f>
        <v>87</v>
      </c>
      <c r="J151" s="92">
        <f>SUMIFS(StockInData[Value],StockInData[Product ID],ProductMaster!$B152)-SUMIFS(StockOutData[Value],StockOutData[Product ID],ProductMaster!$B152)</f>
        <v>217.5</v>
      </c>
    </row>
    <row r="152" spans="1:10" x14ac:dyDescent="0.25">
      <c r="A152" s="87">
        <v>151</v>
      </c>
      <c r="B152" s="88" t="s">
        <v>321</v>
      </c>
      <c r="C152" s="89" t="s">
        <v>322</v>
      </c>
      <c r="D152" s="88" t="s">
        <v>869</v>
      </c>
      <c r="E152" s="88" t="s">
        <v>871</v>
      </c>
      <c r="F152" s="90">
        <v>10</v>
      </c>
      <c r="G152" s="91">
        <f>StockInData[Expiry]</f>
        <v>44213</v>
      </c>
      <c r="H152" s="88">
        <v>25</v>
      </c>
      <c r="I152" s="88">
        <f>SUMIFS(StockInData[Quantity],StockInData[Product ID],ProductMaster!$B153)-SUMIFS(StockOutData[Quantity],StockOutData[Product ID],ProductMaster!$B153)</f>
        <v>35</v>
      </c>
      <c r="J152" s="92">
        <f>SUMIFS(StockInData[Value],StockInData[Product ID],ProductMaster!$B153)-SUMIFS(StockOutData[Value],StockOutData[Product ID],ProductMaster!$B153)</f>
        <v>87.5</v>
      </c>
    </row>
    <row r="153" spans="1:10" x14ac:dyDescent="0.25">
      <c r="A153" s="87">
        <v>152</v>
      </c>
      <c r="B153" s="88" t="s">
        <v>323</v>
      </c>
      <c r="C153" s="89" t="s">
        <v>324</v>
      </c>
      <c r="D153" s="88" t="s">
        <v>869</v>
      </c>
      <c r="E153" s="88" t="s">
        <v>871</v>
      </c>
      <c r="F153" s="90">
        <v>10</v>
      </c>
      <c r="G153" s="91">
        <f>StockInData[Expiry]</f>
        <v>44215</v>
      </c>
      <c r="H153" s="88">
        <v>25</v>
      </c>
      <c r="I153" s="88">
        <f>SUMIFS(StockInData[Quantity],StockInData[Product ID],ProductMaster!$B154)-SUMIFS(StockOutData[Quantity],StockOutData[Product ID],ProductMaster!$B154)</f>
        <v>23</v>
      </c>
      <c r="J153" s="92">
        <f>SUMIFS(StockInData[Value],StockInData[Product ID],ProductMaster!$B154)-SUMIFS(StockOutData[Value],StockOutData[Product ID],ProductMaster!$B154)</f>
        <v>57.5</v>
      </c>
    </row>
    <row r="154" spans="1:10" x14ac:dyDescent="0.25">
      <c r="A154" s="87">
        <v>153</v>
      </c>
      <c r="B154" s="88" t="s">
        <v>325</v>
      </c>
      <c r="C154" s="89" t="s">
        <v>326</v>
      </c>
      <c r="D154" s="88" t="s">
        <v>869</v>
      </c>
      <c r="E154" s="88" t="s">
        <v>871</v>
      </c>
      <c r="F154" s="90">
        <v>10</v>
      </c>
      <c r="G154" s="91">
        <f>StockInData[Expiry]</f>
        <v>44217</v>
      </c>
      <c r="H154" s="88">
        <v>25</v>
      </c>
      <c r="I154" s="88">
        <f>SUMIFS(StockInData[Quantity],StockInData[Product ID],ProductMaster!$B155)-SUMIFS(StockOutData[Quantity],StockOutData[Product ID],ProductMaster!$B155)</f>
        <v>10</v>
      </c>
      <c r="J154" s="92">
        <f>SUMIFS(StockInData[Value],StockInData[Product ID],ProductMaster!$B155)-SUMIFS(StockOutData[Value],StockOutData[Product ID],ProductMaster!$B155)</f>
        <v>25</v>
      </c>
    </row>
    <row r="155" spans="1:10" x14ac:dyDescent="0.25">
      <c r="A155" s="87">
        <v>154</v>
      </c>
      <c r="B155" s="88" t="s">
        <v>327</v>
      </c>
      <c r="C155" s="89" t="s">
        <v>328</v>
      </c>
      <c r="D155" s="88" t="s">
        <v>869</v>
      </c>
      <c r="E155" s="88" t="s">
        <v>871</v>
      </c>
      <c r="F155" s="90">
        <v>10</v>
      </c>
      <c r="G155" s="91">
        <f>StockInData[Expiry]</f>
        <v>44219</v>
      </c>
      <c r="H155" s="88">
        <v>25</v>
      </c>
      <c r="I155" s="88">
        <f>SUMIFS(StockInData[Quantity],StockInData[Product ID],ProductMaster!$B156)-SUMIFS(StockOutData[Quantity],StockOutData[Product ID],ProductMaster!$B156)</f>
        <v>-13</v>
      </c>
      <c r="J155" s="92">
        <f>SUMIFS(StockInData[Value],StockInData[Product ID],ProductMaster!$B156)-SUMIFS(StockOutData[Value],StockOutData[Product ID],ProductMaster!$B156)</f>
        <v>-7.75</v>
      </c>
    </row>
    <row r="156" spans="1:10" x14ac:dyDescent="0.25">
      <c r="A156" s="87">
        <v>155</v>
      </c>
      <c r="B156" s="88" t="s">
        <v>329</v>
      </c>
      <c r="C156" s="89" t="s">
        <v>330</v>
      </c>
      <c r="D156" s="88" t="s">
        <v>869</v>
      </c>
      <c r="E156" s="88" t="s">
        <v>871</v>
      </c>
      <c r="F156" s="90">
        <v>10</v>
      </c>
      <c r="G156" s="91">
        <f>StockInData[Expiry]</f>
        <v>44221</v>
      </c>
      <c r="H156" s="88">
        <v>25</v>
      </c>
      <c r="I156" s="88">
        <f>SUMIFS(StockInData[Quantity],StockInData[Product ID],ProductMaster!$B157)-SUMIFS(StockOutData[Quantity],StockOutData[Product ID],ProductMaster!$B157)</f>
        <v>7</v>
      </c>
      <c r="J156" s="92">
        <f>SUMIFS(StockInData[Value],StockInData[Product ID],ProductMaster!$B157)-SUMIFS(StockOutData[Value],StockOutData[Product ID],ProductMaster!$B157)</f>
        <v>17.5</v>
      </c>
    </row>
    <row r="157" spans="1:10" x14ac:dyDescent="0.25">
      <c r="A157" s="87">
        <v>156</v>
      </c>
      <c r="B157" s="88" t="s">
        <v>331</v>
      </c>
      <c r="C157" s="89" t="s">
        <v>332</v>
      </c>
      <c r="D157" s="88" t="s">
        <v>869</v>
      </c>
      <c r="E157" s="88" t="s">
        <v>871</v>
      </c>
      <c r="F157" s="90">
        <v>10</v>
      </c>
      <c r="G157" s="91">
        <f>StockInData[Expiry]</f>
        <v>44223</v>
      </c>
      <c r="H157" s="88">
        <v>25</v>
      </c>
      <c r="I157" s="88">
        <f>SUMIFS(StockInData[Quantity],StockInData[Product ID],ProductMaster!$B158)-SUMIFS(StockOutData[Quantity],StockOutData[Product ID],ProductMaster!$B158)</f>
        <v>13</v>
      </c>
      <c r="J157" s="92">
        <f>SUMIFS(StockInData[Value],StockInData[Product ID],ProductMaster!$B158)-SUMIFS(StockOutData[Value],StockOutData[Product ID],ProductMaster!$B158)</f>
        <v>32.5</v>
      </c>
    </row>
    <row r="158" spans="1:10" x14ac:dyDescent="0.25">
      <c r="A158" s="87">
        <v>157</v>
      </c>
      <c r="B158" s="88" t="s">
        <v>333</v>
      </c>
      <c r="C158" s="89" t="s">
        <v>334</v>
      </c>
      <c r="D158" s="88" t="s">
        <v>869</v>
      </c>
      <c r="E158" s="88" t="s">
        <v>871</v>
      </c>
      <c r="F158" s="90">
        <v>10</v>
      </c>
      <c r="G158" s="91">
        <f>StockInData[Expiry]</f>
        <v>44225</v>
      </c>
      <c r="H158" s="88">
        <v>25</v>
      </c>
      <c r="I158" s="88">
        <f>SUMIFS(StockInData[Quantity],StockInData[Product ID],ProductMaster!$B159)-SUMIFS(StockOutData[Quantity],StockOutData[Product ID],ProductMaster!$B159)</f>
        <v>55</v>
      </c>
      <c r="J158" s="92">
        <f>SUMIFS(StockInData[Value],StockInData[Product ID],ProductMaster!$B159)-SUMIFS(StockOutData[Value],StockOutData[Product ID],ProductMaster!$B159)</f>
        <v>137.5</v>
      </c>
    </row>
    <row r="159" spans="1:10" x14ac:dyDescent="0.25">
      <c r="A159" s="87">
        <v>158</v>
      </c>
      <c r="B159" s="88" t="s">
        <v>335</v>
      </c>
      <c r="C159" s="89" t="s">
        <v>336</v>
      </c>
      <c r="D159" s="88" t="s">
        <v>869</v>
      </c>
      <c r="E159" s="88" t="s">
        <v>871</v>
      </c>
      <c r="F159" s="90">
        <v>10</v>
      </c>
      <c r="G159" s="91">
        <f>StockInData[Expiry]</f>
        <v>44227</v>
      </c>
      <c r="H159" s="88">
        <v>25</v>
      </c>
      <c r="I159" s="88">
        <f>SUMIFS(StockInData[Quantity],StockInData[Product ID],ProductMaster!$B160)-SUMIFS(StockOutData[Quantity],StockOutData[Product ID],ProductMaster!$B160)</f>
        <v>64</v>
      </c>
      <c r="J159" s="92">
        <f>SUMIFS(StockInData[Value],StockInData[Product ID],ProductMaster!$B160)-SUMIFS(StockOutData[Value],StockOutData[Product ID],ProductMaster!$B160)</f>
        <v>160</v>
      </c>
    </row>
    <row r="160" spans="1:10" x14ac:dyDescent="0.25">
      <c r="A160" s="87">
        <v>159</v>
      </c>
      <c r="B160" s="88" t="s">
        <v>337</v>
      </c>
      <c r="C160" s="89" t="s">
        <v>338</v>
      </c>
      <c r="D160" s="88" t="s">
        <v>869</v>
      </c>
      <c r="E160" s="88" t="s">
        <v>871</v>
      </c>
      <c r="F160" s="90">
        <v>10</v>
      </c>
      <c r="G160" s="91">
        <f>StockInData[Expiry]</f>
        <v>44229</v>
      </c>
      <c r="H160" s="88">
        <v>25</v>
      </c>
      <c r="I160" s="88">
        <f>SUMIFS(StockInData[Quantity],StockInData[Product ID],ProductMaster!$B161)-SUMIFS(StockOutData[Quantity],StockOutData[Product ID],ProductMaster!$B161)</f>
        <v>74</v>
      </c>
      <c r="J160" s="92">
        <f>SUMIFS(StockInData[Value],StockInData[Product ID],ProductMaster!$B161)-SUMIFS(StockOutData[Value],StockOutData[Product ID],ProductMaster!$B161)</f>
        <v>185</v>
      </c>
    </row>
    <row r="161" spans="1:10" x14ac:dyDescent="0.25">
      <c r="A161" s="87">
        <v>160</v>
      </c>
      <c r="B161" s="88" t="s">
        <v>339</v>
      </c>
      <c r="C161" s="89" t="s">
        <v>340</v>
      </c>
      <c r="D161" s="88" t="s">
        <v>869</v>
      </c>
      <c r="E161" s="88" t="s">
        <v>871</v>
      </c>
      <c r="F161" s="90">
        <v>10</v>
      </c>
      <c r="G161" s="91">
        <f>StockInData[Expiry]</f>
        <v>44231</v>
      </c>
      <c r="H161" s="88">
        <v>25</v>
      </c>
      <c r="I161" s="88">
        <f>SUMIFS(StockInData[Quantity],StockInData[Product ID],ProductMaster!$B162)-SUMIFS(StockOutData[Quantity],StockOutData[Product ID],ProductMaster!$B162)</f>
        <v>89</v>
      </c>
      <c r="J161" s="92">
        <f>SUMIFS(StockInData[Value],StockInData[Product ID],ProductMaster!$B162)-SUMIFS(StockOutData[Value],StockOutData[Product ID],ProductMaster!$B162)</f>
        <v>222.5</v>
      </c>
    </row>
    <row r="162" spans="1:10" x14ac:dyDescent="0.25">
      <c r="A162" s="87">
        <v>161</v>
      </c>
      <c r="B162" s="88" t="s">
        <v>341</v>
      </c>
      <c r="C162" s="89" t="s">
        <v>342</v>
      </c>
      <c r="D162" s="88" t="s">
        <v>869</v>
      </c>
      <c r="E162" s="88" t="s">
        <v>871</v>
      </c>
      <c r="F162" s="90">
        <v>10</v>
      </c>
      <c r="G162" s="91">
        <f>StockInData[Expiry]</f>
        <v>44233</v>
      </c>
      <c r="H162" s="88">
        <v>25</v>
      </c>
      <c r="I162" s="88">
        <f>SUMIFS(StockInData[Quantity],StockInData[Product ID],ProductMaster!$B163)-SUMIFS(StockOutData[Quantity],StockOutData[Product ID],ProductMaster!$B163)</f>
        <v>91</v>
      </c>
      <c r="J162" s="92">
        <f>SUMIFS(StockInData[Value],StockInData[Product ID],ProductMaster!$B163)-SUMIFS(StockOutData[Value],StockOutData[Product ID],ProductMaster!$B163)</f>
        <v>227.5</v>
      </c>
    </row>
    <row r="163" spans="1:10" x14ac:dyDescent="0.25">
      <c r="A163" s="87">
        <v>162</v>
      </c>
      <c r="B163" s="88" t="s">
        <v>343</v>
      </c>
      <c r="C163" s="89" t="s">
        <v>344</v>
      </c>
      <c r="D163" s="88" t="s">
        <v>869</v>
      </c>
      <c r="E163" s="88" t="s">
        <v>871</v>
      </c>
      <c r="F163" s="90">
        <v>10</v>
      </c>
      <c r="G163" s="91">
        <f>StockInData[Expiry]</f>
        <v>44235</v>
      </c>
      <c r="H163" s="88">
        <v>25</v>
      </c>
      <c r="I163" s="88">
        <f>SUMIFS(StockInData[Quantity],StockInData[Product ID],ProductMaster!$B164)-SUMIFS(StockOutData[Quantity],StockOutData[Product ID],ProductMaster!$B164)</f>
        <v>53</v>
      </c>
      <c r="J163" s="92">
        <f>SUMIFS(StockInData[Value],StockInData[Product ID],ProductMaster!$B164)-SUMIFS(StockOutData[Value],StockOutData[Product ID],ProductMaster!$B164)</f>
        <v>132.5</v>
      </c>
    </row>
    <row r="164" spans="1:10" x14ac:dyDescent="0.25">
      <c r="A164" s="87">
        <v>163</v>
      </c>
      <c r="B164" s="88" t="s">
        <v>345</v>
      </c>
      <c r="C164" s="89" t="s">
        <v>346</v>
      </c>
      <c r="D164" s="88" t="s">
        <v>869</v>
      </c>
      <c r="E164" s="88" t="s">
        <v>871</v>
      </c>
      <c r="F164" s="90">
        <v>10</v>
      </c>
      <c r="G164" s="91">
        <f>StockInData[Expiry]</f>
        <v>44237</v>
      </c>
      <c r="H164" s="88">
        <v>25</v>
      </c>
      <c r="I164" s="88">
        <f>SUMIFS(StockInData[Quantity],StockInData[Product ID],ProductMaster!$B165)-SUMIFS(StockOutData[Quantity],StockOutData[Product ID],ProductMaster!$B165)</f>
        <v>25</v>
      </c>
      <c r="J164" s="92">
        <f>SUMIFS(StockInData[Value],StockInData[Product ID],ProductMaster!$B165)-SUMIFS(StockOutData[Value],StockOutData[Product ID],ProductMaster!$B165)</f>
        <v>62.5</v>
      </c>
    </row>
    <row r="165" spans="1:10" x14ac:dyDescent="0.25">
      <c r="A165" s="87">
        <v>164</v>
      </c>
      <c r="B165" s="88" t="s">
        <v>347</v>
      </c>
      <c r="C165" s="89" t="s">
        <v>348</v>
      </c>
      <c r="D165" s="88" t="s">
        <v>869</v>
      </c>
      <c r="E165" s="88" t="s">
        <v>871</v>
      </c>
      <c r="F165" s="90">
        <v>10</v>
      </c>
      <c r="G165" s="91">
        <f>StockInData[Expiry]</f>
        <v>44239</v>
      </c>
      <c r="H165" s="88">
        <v>25</v>
      </c>
      <c r="I165" s="88">
        <f>SUMIFS(StockInData[Quantity],StockInData[Product ID],ProductMaster!$B166)-SUMIFS(StockOutData[Quantity],StockOutData[Product ID],ProductMaster!$B166)</f>
        <v>12</v>
      </c>
      <c r="J165" s="92">
        <f>SUMIFS(StockInData[Value],StockInData[Product ID],ProductMaster!$B166)-SUMIFS(StockOutData[Value],StockOutData[Product ID],ProductMaster!$B166)</f>
        <v>30</v>
      </c>
    </row>
    <row r="166" spans="1:10" x14ac:dyDescent="0.25">
      <c r="A166" s="87">
        <v>165</v>
      </c>
      <c r="B166" s="88" t="s">
        <v>349</v>
      </c>
      <c r="C166" s="89" t="s">
        <v>350</v>
      </c>
      <c r="D166" s="88" t="s">
        <v>869</v>
      </c>
      <c r="E166" s="88" t="s">
        <v>871</v>
      </c>
      <c r="F166" s="90">
        <v>10</v>
      </c>
      <c r="G166" s="91">
        <f>StockInData[Expiry]</f>
        <v>44241</v>
      </c>
      <c r="H166" s="88">
        <v>25</v>
      </c>
      <c r="I166" s="88">
        <f>SUMIFS(StockInData[Quantity],StockInData[Product ID],ProductMaster!$B167)-SUMIFS(StockOutData[Quantity],StockOutData[Product ID],ProductMaster!$B167)</f>
        <v>13</v>
      </c>
      <c r="J166" s="92">
        <f>SUMIFS(StockInData[Value],StockInData[Product ID],ProductMaster!$B167)-SUMIFS(StockOutData[Value],StockOutData[Product ID],ProductMaster!$B167)</f>
        <v>32.5</v>
      </c>
    </row>
    <row r="167" spans="1:10" x14ac:dyDescent="0.25">
      <c r="A167" s="87">
        <v>166</v>
      </c>
      <c r="B167" s="88" t="s">
        <v>351</v>
      </c>
      <c r="C167" s="89" t="s">
        <v>352</v>
      </c>
      <c r="D167" s="88" t="s">
        <v>869</v>
      </c>
      <c r="E167" s="88" t="s">
        <v>871</v>
      </c>
      <c r="F167" s="90">
        <v>10</v>
      </c>
      <c r="G167" s="91">
        <f>StockInData[Expiry]</f>
        <v>44243</v>
      </c>
      <c r="H167" s="88">
        <v>25</v>
      </c>
      <c r="I167" s="88">
        <f>SUMIFS(StockInData[Quantity],StockInData[Product ID],ProductMaster!$B168)-SUMIFS(StockOutData[Quantity],StockOutData[Product ID],ProductMaster!$B168)</f>
        <v>-6</v>
      </c>
      <c r="J167" s="92">
        <f>SUMIFS(StockInData[Value],StockInData[Product ID],ProductMaster!$B168)-SUMIFS(StockOutData[Value],StockOutData[Product ID],ProductMaster!$B168)</f>
        <v>12.600000000000001</v>
      </c>
    </row>
    <row r="168" spans="1:10" x14ac:dyDescent="0.25">
      <c r="A168" s="87">
        <v>167</v>
      </c>
      <c r="B168" s="88" t="s">
        <v>353</v>
      </c>
      <c r="C168" s="89" t="s">
        <v>354</v>
      </c>
      <c r="D168" s="88" t="s">
        <v>869</v>
      </c>
      <c r="E168" s="88" t="s">
        <v>871</v>
      </c>
      <c r="F168" s="90">
        <v>10</v>
      </c>
      <c r="G168" s="91">
        <f>StockInData[Expiry]</f>
        <v>44245</v>
      </c>
      <c r="H168" s="88">
        <v>25</v>
      </c>
      <c r="I168" s="88">
        <f>SUMIFS(StockInData[Quantity],StockInData[Product ID],ProductMaster!$B169)-SUMIFS(StockOutData[Quantity],StockOutData[Product ID],ProductMaster!$B169)</f>
        <v>6</v>
      </c>
      <c r="J168" s="92">
        <f>SUMIFS(StockInData[Value],StockInData[Product ID],ProductMaster!$B169)-SUMIFS(StockOutData[Value],StockOutData[Product ID],ProductMaster!$B169)</f>
        <v>15</v>
      </c>
    </row>
    <row r="169" spans="1:10" x14ac:dyDescent="0.25">
      <c r="A169" s="87">
        <v>168</v>
      </c>
      <c r="B169" s="88" t="s">
        <v>355</v>
      </c>
      <c r="C169" s="89" t="s">
        <v>356</v>
      </c>
      <c r="D169" s="88" t="s">
        <v>869</v>
      </c>
      <c r="E169" s="88" t="s">
        <v>871</v>
      </c>
      <c r="F169" s="90">
        <v>10</v>
      </c>
      <c r="G169" s="91">
        <f>StockInData[Expiry]</f>
        <v>44247</v>
      </c>
      <c r="H169" s="88">
        <v>25</v>
      </c>
      <c r="I169" s="88">
        <f>SUMIFS(StockInData[Quantity],StockInData[Product ID],ProductMaster!$B170)-SUMIFS(StockOutData[Quantity],StockOutData[Product ID],ProductMaster!$B170)</f>
        <v>18</v>
      </c>
      <c r="J169" s="92">
        <f>SUMIFS(StockInData[Value],StockInData[Product ID],ProductMaster!$B170)-SUMIFS(StockOutData[Value],StockOutData[Product ID],ProductMaster!$B170)</f>
        <v>45</v>
      </c>
    </row>
    <row r="170" spans="1:10" x14ac:dyDescent="0.25">
      <c r="A170" s="87">
        <v>169</v>
      </c>
      <c r="B170" s="88" t="s">
        <v>357</v>
      </c>
      <c r="C170" s="89" t="s">
        <v>358</v>
      </c>
      <c r="D170" s="88" t="s">
        <v>869</v>
      </c>
      <c r="E170" s="88" t="s">
        <v>871</v>
      </c>
      <c r="F170" s="90">
        <v>10</v>
      </c>
      <c r="G170" s="91">
        <f>StockInData[Expiry]</f>
        <v>44249</v>
      </c>
      <c r="H170" s="88">
        <v>25</v>
      </c>
      <c r="I170" s="88">
        <f>SUMIFS(StockInData[Quantity],StockInData[Product ID],ProductMaster!$B171)-SUMIFS(StockOutData[Quantity],StockOutData[Product ID],ProductMaster!$B171)</f>
        <v>58</v>
      </c>
      <c r="J170" s="92">
        <f>SUMIFS(StockInData[Value],StockInData[Product ID],ProductMaster!$B171)-SUMIFS(StockOutData[Value],StockOutData[Product ID],ProductMaster!$B171)</f>
        <v>145</v>
      </c>
    </row>
    <row r="171" spans="1:10" x14ac:dyDescent="0.25">
      <c r="A171" s="87">
        <v>170</v>
      </c>
      <c r="B171" s="88" t="s">
        <v>359</v>
      </c>
      <c r="C171" s="89" t="s">
        <v>360</v>
      </c>
      <c r="D171" s="88" t="s">
        <v>869</v>
      </c>
      <c r="E171" s="88" t="s">
        <v>871</v>
      </c>
      <c r="F171" s="90">
        <v>10</v>
      </c>
      <c r="G171" s="91">
        <f>StockInData[Expiry]</f>
        <v>44251</v>
      </c>
      <c r="H171" s="88">
        <v>25</v>
      </c>
      <c r="I171" s="88">
        <f>SUMIFS(StockInData[Quantity],StockInData[Product ID],ProductMaster!$B172)-SUMIFS(StockOutData[Quantity],StockOutData[Product ID],ProductMaster!$B172)</f>
        <v>59</v>
      </c>
      <c r="J171" s="92">
        <f>SUMIFS(StockInData[Value],StockInData[Product ID],ProductMaster!$B172)-SUMIFS(StockOutData[Value],StockOutData[Product ID],ProductMaster!$B172)</f>
        <v>147.5</v>
      </c>
    </row>
    <row r="172" spans="1:10" x14ac:dyDescent="0.25">
      <c r="A172" s="87">
        <v>171</v>
      </c>
      <c r="B172" s="88" t="s">
        <v>361</v>
      </c>
      <c r="C172" s="89" t="s">
        <v>362</v>
      </c>
      <c r="D172" s="88" t="s">
        <v>869</v>
      </c>
      <c r="E172" s="88" t="s">
        <v>871</v>
      </c>
      <c r="F172" s="90">
        <v>10</v>
      </c>
      <c r="G172" s="91">
        <f>StockInData[Expiry]</f>
        <v>44253</v>
      </c>
      <c r="H172" s="88">
        <v>25</v>
      </c>
      <c r="I172" s="88">
        <f>SUMIFS(StockInData[Quantity],StockInData[Product ID],ProductMaster!$B173)-SUMIFS(StockOutData[Quantity],StockOutData[Product ID],ProductMaster!$B173)</f>
        <v>66</v>
      </c>
      <c r="J172" s="92">
        <f>SUMIFS(StockInData[Value],StockInData[Product ID],ProductMaster!$B173)-SUMIFS(StockOutData[Value],StockOutData[Product ID],ProductMaster!$B173)</f>
        <v>165</v>
      </c>
    </row>
    <row r="173" spans="1:10" x14ac:dyDescent="0.25">
      <c r="A173" s="87">
        <v>172</v>
      </c>
      <c r="B173" s="88" t="s">
        <v>363</v>
      </c>
      <c r="C173" s="89" t="s">
        <v>364</v>
      </c>
      <c r="D173" s="88" t="s">
        <v>869</v>
      </c>
      <c r="E173" s="88" t="s">
        <v>871</v>
      </c>
      <c r="F173" s="90">
        <v>10</v>
      </c>
      <c r="G173" s="91">
        <f>StockInData[Expiry]</f>
        <v>44255</v>
      </c>
      <c r="H173" s="88">
        <v>25</v>
      </c>
      <c r="I173" s="88">
        <f>SUMIFS(StockInData[Quantity],StockInData[Product ID],ProductMaster!$B174)-SUMIFS(StockOutData[Quantity],StockOutData[Product ID],ProductMaster!$B174)</f>
        <v>87</v>
      </c>
      <c r="J173" s="92">
        <f>SUMIFS(StockInData[Value],StockInData[Product ID],ProductMaster!$B174)-SUMIFS(StockOutData[Value],StockOutData[Product ID],ProductMaster!$B174)</f>
        <v>217.5</v>
      </c>
    </row>
    <row r="174" spans="1:10" x14ac:dyDescent="0.25">
      <c r="A174" s="87">
        <v>173</v>
      </c>
      <c r="B174" s="88" t="s">
        <v>365</v>
      </c>
      <c r="C174" s="89" t="s">
        <v>366</v>
      </c>
      <c r="D174" s="88" t="s">
        <v>869</v>
      </c>
      <c r="E174" s="88" t="s">
        <v>871</v>
      </c>
      <c r="F174" s="90">
        <v>10</v>
      </c>
      <c r="G174" s="91">
        <f>StockInData[Expiry]</f>
        <v>44257</v>
      </c>
      <c r="H174" s="88">
        <v>25</v>
      </c>
      <c r="I174" s="88">
        <f>SUMIFS(StockInData[Quantity],StockInData[Product ID],ProductMaster!$B175)-SUMIFS(StockOutData[Quantity],StockOutData[Product ID],ProductMaster!$B175)</f>
        <v>87</v>
      </c>
      <c r="J174" s="92">
        <f>SUMIFS(StockInData[Value],StockInData[Product ID],ProductMaster!$B175)-SUMIFS(StockOutData[Value],StockOutData[Product ID],ProductMaster!$B175)</f>
        <v>217.5</v>
      </c>
    </row>
    <row r="175" spans="1:10" x14ac:dyDescent="0.25">
      <c r="A175" s="87">
        <v>174</v>
      </c>
      <c r="B175" s="88" t="s">
        <v>367</v>
      </c>
      <c r="C175" s="89" t="s">
        <v>368</v>
      </c>
      <c r="D175" s="88" t="s">
        <v>869</v>
      </c>
      <c r="E175" s="88" t="s">
        <v>871</v>
      </c>
      <c r="F175" s="90">
        <v>10</v>
      </c>
      <c r="G175" s="91">
        <f>StockInData[Expiry]</f>
        <v>44259</v>
      </c>
      <c r="H175" s="88">
        <v>25</v>
      </c>
      <c r="I175" s="88">
        <f>SUMIFS(StockInData[Quantity],StockInData[Product ID],ProductMaster!$B176)-SUMIFS(StockOutData[Quantity],StockOutData[Product ID],ProductMaster!$B176)</f>
        <v>47</v>
      </c>
      <c r="J175" s="92">
        <f>SUMIFS(StockInData[Value],StockInData[Product ID],ProductMaster!$B176)-SUMIFS(StockOutData[Value],StockOutData[Product ID],ProductMaster!$B176)</f>
        <v>117.5</v>
      </c>
    </row>
    <row r="176" spans="1:10" x14ac:dyDescent="0.25">
      <c r="A176" s="87">
        <v>175</v>
      </c>
      <c r="B176" s="88" t="s">
        <v>369</v>
      </c>
      <c r="C176" s="89" t="s">
        <v>370</v>
      </c>
      <c r="D176" s="88" t="s">
        <v>869</v>
      </c>
      <c r="E176" s="88" t="s">
        <v>871</v>
      </c>
      <c r="F176" s="90">
        <v>10</v>
      </c>
      <c r="G176" s="91">
        <f>StockInData[Expiry]</f>
        <v>44261</v>
      </c>
      <c r="H176" s="88">
        <v>25</v>
      </c>
      <c r="I176" s="88">
        <f>SUMIFS(StockInData[Quantity],StockInData[Product ID],ProductMaster!$B177)-SUMIFS(StockOutData[Quantity],StockOutData[Product ID],ProductMaster!$B177)</f>
        <v>35</v>
      </c>
      <c r="J176" s="92">
        <f>SUMIFS(StockInData[Value],StockInData[Product ID],ProductMaster!$B177)-SUMIFS(StockOutData[Value],StockOutData[Product ID],ProductMaster!$B177)</f>
        <v>87.5</v>
      </c>
    </row>
    <row r="177" spans="1:10" x14ac:dyDescent="0.25">
      <c r="A177" s="87">
        <v>176</v>
      </c>
      <c r="B177" s="88" t="s">
        <v>371</v>
      </c>
      <c r="C177" s="89" t="s">
        <v>372</v>
      </c>
      <c r="D177" s="88" t="s">
        <v>869</v>
      </c>
      <c r="E177" s="88" t="s">
        <v>871</v>
      </c>
      <c r="F177" s="90">
        <v>10</v>
      </c>
      <c r="G177" s="91">
        <f>StockInData[Expiry]</f>
        <v>44263</v>
      </c>
      <c r="H177" s="88">
        <v>25</v>
      </c>
      <c r="I177" s="88">
        <f>SUMIFS(StockInData[Quantity],StockInData[Product ID],ProductMaster!$B178)-SUMIFS(StockOutData[Quantity],StockOutData[Product ID],ProductMaster!$B178)</f>
        <v>-17</v>
      </c>
      <c r="J177" s="92">
        <f>SUMIFS(StockInData[Value],StockInData[Product ID],ProductMaster!$B178)-SUMIFS(StockOutData[Value],StockOutData[Product ID],ProductMaster!$B178)</f>
        <v>37.1</v>
      </c>
    </row>
    <row r="178" spans="1:10" x14ac:dyDescent="0.25">
      <c r="A178" s="87">
        <v>177</v>
      </c>
      <c r="B178" s="88" t="s">
        <v>373</v>
      </c>
      <c r="C178" s="89" t="s">
        <v>374</v>
      </c>
      <c r="D178" s="88" t="s">
        <v>869</v>
      </c>
      <c r="E178" s="88" t="s">
        <v>871</v>
      </c>
      <c r="F178" s="90">
        <v>10</v>
      </c>
      <c r="G178" s="91">
        <f>StockInData[Expiry]</f>
        <v>44265</v>
      </c>
      <c r="H178" s="88">
        <v>25</v>
      </c>
      <c r="I178" s="88">
        <f>SUMIFS(StockInData[Quantity],StockInData[Product ID],ProductMaster!$B179)-SUMIFS(StockOutData[Quantity],StockOutData[Product ID],ProductMaster!$B179)</f>
        <v>10</v>
      </c>
      <c r="J178" s="92">
        <f>SUMIFS(StockInData[Value],StockInData[Product ID],ProductMaster!$B179)-SUMIFS(StockOutData[Value],StockOutData[Product ID],ProductMaster!$B179)</f>
        <v>25</v>
      </c>
    </row>
    <row r="179" spans="1:10" x14ac:dyDescent="0.25">
      <c r="A179" s="87">
        <v>178</v>
      </c>
      <c r="B179" s="88" t="s">
        <v>375</v>
      </c>
      <c r="C179" s="89" t="s">
        <v>376</v>
      </c>
      <c r="D179" s="88" t="s">
        <v>869</v>
      </c>
      <c r="E179" s="88" t="s">
        <v>871</v>
      </c>
      <c r="F179" s="90">
        <v>10</v>
      </c>
      <c r="G179" s="91">
        <f>StockInData[Expiry]</f>
        <v>44267</v>
      </c>
      <c r="H179" s="88">
        <v>25</v>
      </c>
      <c r="I179" s="88">
        <f>SUMIFS(StockInData[Quantity],StockInData[Product ID],ProductMaster!$B180)-SUMIFS(StockOutData[Quantity],StockOutData[Product ID],ProductMaster!$B180)</f>
        <v>2</v>
      </c>
      <c r="J179" s="92">
        <f>SUMIFS(StockInData[Value],StockInData[Product ID],ProductMaster!$B180)-SUMIFS(StockOutData[Value],StockOutData[Product ID],ProductMaster!$B180)</f>
        <v>5</v>
      </c>
    </row>
    <row r="180" spans="1:10" x14ac:dyDescent="0.25">
      <c r="A180" s="87">
        <v>179</v>
      </c>
      <c r="B180" s="88" t="s">
        <v>377</v>
      </c>
      <c r="C180" s="89" t="s">
        <v>378</v>
      </c>
      <c r="D180" s="88" t="s">
        <v>869</v>
      </c>
      <c r="E180" s="88" t="s">
        <v>871</v>
      </c>
      <c r="F180" s="90">
        <v>10</v>
      </c>
      <c r="G180" s="91">
        <f>StockInData[Expiry]</f>
        <v>44269</v>
      </c>
      <c r="H180" s="88">
        <v>25</v>
      </c>
      <c r="I180" s="88">
        <f>SUMIFS(StockInData[Quantity],StockInData[Product ID],ProductMaster!$B181)-SUMIFS(StockOutData[Quantity],StockOutData[Product ID],ProductMaster!$B181)</f>
        <v>7</v>
      </c>
      <c r="J180" s="92">
        <f>SUMIFS(StockInData[Value],StockInData[Product ID],ProductMaster!$B181)-SUMIFS(StockOutData[Value],StockOutData[Product ID],ProductMaster!$B181)</f>
        <v>17.5</v>
      </c>
    </row>
    <row r="181" spans="1:10" x14ac:dyDescent="0.25">
      <c r="A181" s="87">
        <v>180</v>
      </c>
      <c r="B181" s="88" t="s">
        <v>379</v>
      </c>
      <c r="C181" s="89" t="s">
        <v>380</v>
      </c>
      <c r="D181" s="88" t="s">
        <v>869</v>
      </c>
      <c r="E181" s="88" t="s">
        <v>871</v>
      </c>
      <c r="F181" s="90">
        <v>10</v>
      </c>
      <c r="G181" s="91">
        <f>StockInData[Expiry]</f>
        <v>44271</v>
      </c>
      <c r="H181" s="88">
        <v>25</v>
      </c>
      <c r="I181" s="88">
        <f>SUMIFS(StockInData[Quantity],StockInData[Product ID],ProductMaster!$B182)-SUMIFS(StockOutData[Quantity],StockOutData[Product ID],ProductMaster!$B182)</f>
        <v>13</v>
      </c>
      <c r="J181" s="92">
        <f>SUMIFS(StockInData[Value],StockInData[Product ID],ProductMaster!$B182)-SUMIFS(StockOutData[Value],StockOutData[Product ID],ProductMaster!$B182)</f>
        <v>32.5</v>
      </c>
    </row>
    <row r="182" spans="1:10" x14ac:dyDescent="0.25">
      <c r="A182" s="87">
        <v>181</v>
      </c>
      <c r="B182" s="88" t="s">
        <v>381</v>
      </c>
      <c r="C182" s="89" t="s">
        <v>382</v>
      </c>
      <c r="D182" s="88" t="s">
        <v>869</v>
      </c>
      <c r="E182" s="88" t="s">
        <v>871</v>
      </c>
      <c r="F182" s="90">
        <v>10</v>
      </c>
      <c r="G182" s="91">
        <f>StockInData[Expiry]</f>
        <v>44273</v>
      </c>
      <c r="H182" s="88">
        <v>25</v>
      </c>
      <c r="I182" s="88">
        <f>SUMIFS(StockInData[Quantity],StockInData[Product ID],ProductMaster!$B183)-SUMIFS(StockOutData[Quantity],StockOutData[Product ID],ProductMaster!$B183)</f>
        <v>55</v>
      </c>
      <c r="J182" s="92">
        <f>SUMIFS(StockInData[Value],StockInData[Product ID],ProductMaster!$B183)-SUMIFS(StockOutData[Value],StockOutData[Product ID],ProductMaster!$B183)</f>
        <v>137.5</v>
      </c>
    </row>
    <row r="183" spans="1:10" x14ac:dyDescent="0.25">
      <c r="A183" s="87">
        <v>182</v>
      </c>
      <c r="B183" s="88" t="s">
        <v>383</v>
      </c>
      <c r="C183" s="89" t="s">
        <v>384</v>
      </c>
      <c r="D183" s="88" t="s">
        <v>869</v>
      </c>
      <c r="E183" s="88" t="s">
        <v>871</v>
      </c>
      <c r="F183" s="90">
        <v>10</v>
      </c>
      <c r="G183" s="91">
        <f>StockInData[Expiry]</f>
        <v>44275</v>
      </c>
      <c r="H183" s="88">
        <v>25</v>
      </c>
      <c r="I183" s="88">
        <f>SUMIFS(StockInData[Quantity],StockInData[Product ID],ProductMaster!$B184)-SUMIFS(StockOutData[Quantity],StockOutData[Product ID],ProductMaster!$B184)</f>
        <v>64</v>
      </c>
      <c r="J183" s="92">
        <f>SUMIFS(StockInData[Value],StockInData[Product ID],ProductMaster!$B184)-SUMIFS(StockOutData[Value],StockOutData[Product ID],ProductMaster!$B184)</f>
        <v>160</v>
      </c>
    </row>
    <row r="184" spans="1:10" x14ac:dyDescent="0.25">
      <c r="A184" s="87">
        <v>183</v>
      </c>
      <c r="B184" s="88" t="s">
        <v>385</v>
      </c>
      <c r="C184" s="89" t="s">
        <v>386</v>
      </c>
      <c r="D184" s="88" t="s">
        <v>869</v>
      </c>
      <c r="E184" s="88" t="s">
        <v>871</v>
      </c>
      <c r="F184" s="90">
        <v>10</v>
      </c>
      <c r="G184" s="91">
        <f>StockInData[Expiry]</f>
        <v>44277</v>
      </c>
      <c r="H184" s="88">
        <v>25</v>
      </c>
      <c r="I184" s="88">
        <f>SUMIFS(StockInData[Quantity],StockInData[Product ID],ProductMaster!$B185)-SUMIFS(StockOutData[Quantity],StockOutData[Product ID],ProductMaster!$B185)</f>
        <v>74</v>
      </c>
      <c r="J184" s="92">
        <f>SUMIFS(StockInData[Value],StockInData[Product ID],ProductMaster!$B185)-SUMIFS(StockOutData[Value],StockOutData[Product ID],ProductMaster!$B185)</f>
        <v>185</v>
      </c>
    </row>
    <row r="185" spans="1:10" x14ac:dyDescent="0.25">
      <c r="A185" s="87">
        <v>184</v>
      </c>
      <c r="B185" s="88" t="s">
        <v>387</v>
      </c>
      <c r="C185" s="89" t="s">
        <v>388</v>
      </c>
      <c r="D185" s="88" t="s">
        <v>869</v>
      </c>
      <c r="E185" s="88" t="s">
        <v>871</v>
      </c>
      <c r="F185" s="90">
        <v>10</v>
      </c>
      <c r="G185" s="91">
        <f>StockInData[Expiry]</f>
        <v>44279</v>
      </c>
      <c r="H185" s="88">
        <v>25</v>
      </c>
      <c r="I185" s="88">
        <f>SUMIFS(StockInData[Quantity],StockInData[Product ID],ProductMaster!$B186)-SUMIFS(StockOutData[Quantity],StockOutData[Product ID],ProductMaster!$B186)</f>
        <v>89</v>
      </c>
      <c r="J185" s="92">
        <f>SUMIFS(StockInData[Value],StockInData[Product ID],ProductMaster!$B186)-SUMIFS(StockOutData[Value],StockOutData[Product ID],ProductMaster!$B186)</f>
        <v>222.5</v>
      </c>
    </row>
    <row r="186" spans="1:10" x14ac:dyDescent="0.25">
      <c r="A186" s="87">
        <v>185</v>
      </c>
      <c r="B186" s="88" t="s">
        <v>389</v>
      </c>
      <c r="C186" s="89" t="s">
        <v>390</v>
      </c>
      <c r="D186" s="88" t="s">
        <v>869</v>
      </c>
      <c r="E186" s="88" t="s">
        <v>871</v>
      </c>
      <c r="F186" s="90">
        <v>10</v>
      </c>
      <c r="G186" s="91">
        <f>StockInData[Expiry]</f>
        <v>44281</v>
      </c>
      <c r="H186" s="88">
        <v>25</v>
      </c>
      <c r="I186" s="88">
        <f>SUMIFS(StockInData[Quantity],StockInData[Product ID],ProductMaster!$B187)-SUMIFS(StockOutData[Quantity],StockOutData[Product ID],ProductMaster!$B187)</f>
        <v>94</v>
      </c>
      <c r="J186" s="92">
        <f>SUMIFS(StockInData[Value],StockInData[Product ID],ProductMaster!$B187)-SUMIFS(StockOutData[Value],StockOutData[Product ID],ProductMaster!$B187)</f>
        <v>235</v>
      </c>
    </row>
    <row r="187" spans="1:10" x14ac:dyDescent="0.25">
      <c r="A187" s="87">
        <v>186</v>
      </c>
      <c r="B187" s="88" t="s">
        <v>391</v>
      </c>
      <c r="C187" s="89" t="s">
        <v>392</v>
      </c>
      <c r="D187" s="88" t="s">
        <v>869</v>
      </c>
      <c r="E187" s="88" t="s">
        <v>871</v>
      </c>
      <c r="F187" s="90">
        <v>10</v>
      </c>
      <c r="G187" s="91">
        <f>StockInData[Expiry]</f>
        <v>44283</v>
      </c>
      <c r="H187" s="88">
        <v>25</v>
      </c>
      <c r="I187" s="88">
        <f>SUMIFS(StockInData[Quantity],StockInData[Product ID],ProductMaster!$B188)-SUMIFS(StockOutData[Quantity],StockOutData[Product ID],ProductMaster!$B188)</f>
        <v>85</v>
      </c>
      <c r="J187" s="92">
        <f>SUMIFS(StockInData[Value],StockInData[Product ID],ProductMaster!$B188)-SUMIFS(StockOutData[Value],StockOutData[Product ID],ProductMaster!$B188)</f>
        <v>212.5</v>
      </c>
    </row>
    <row r="188" spans="1:10" x14ac:dyDescent="0.25">
      <c r="A188" s="87">
        <v>187</v>
      </c>
      <c r="B188" s="88" t="s">
        <v>393</v>
      </c>
      <c r="C188" s="89" t="s">
        <v>394</v>
      </c>
      <c r="D188" s="88" t="s">
        <v>869</v>
      </c>
      <c r="E188" s="88" t="s">
        <v>871</v>
      </c>
      <c r="F188" s="90">
        <v>10</v>
      </c>
      <c r="G188" s="91">
        <f>StockInData[Expiry]</f>
        <v>44285</v>
      </c>
      <c r="H188" s="88">
        <v>25</v>
      </c>
      <c r="I188" s="88">
        <f>SUMIFS(StockInData[Quantity],StockInData[Product ID],ProductMaster!$B189)-SUMIFS(StockOutData[Quantity],StockOutData[Product ID],ProductMaster!$B189)</f>
        <v>42</v>
      </c>
      <c r="J188" s="92">
        <f>SUMIFS(StockInData[Value],StockInData[Product ID],ProductMaster!$B189)-SUMIFS(StockOutData[Value],StockOutData[Product ID],ProductMaster!$B189)</f>
        <v>105</v>
      </c>
    </row>
    <row r="189" spans="1:10" x14ac:dyDescent="0.25">
      <c r="A189" s="87">
        <v>188</v>
      </c>
      <c r="B189" s="88" t="s">
        <v>395</v>
      </c>
      <c r="C189" s="89" t="s">
        <v>396</v>
      </c>
      <c r="D189" s="88" t="s">
        <v>869</v>
      </c>
      <c r="E189" s="88" t="s">
        <v>871</v>
      </c>
      <c r="F189" s="90">
        <v>10</v>
      </c>
      <c r="G189" s="91">
        <f>StockInData[Expiry]</f>
        <v>44287</v>
      </c>
      <c r="H189" s="88">
        <v>25</v>
      </c>
      <c r="I189" s="88">
        <f>SUMIFS(StockInData[Quantity],StockInData[Product ID],ProductMaster!$B190)-SUMIFS(StockOutData[Quantity],StockOutData[Product ID],ProductMaster!$B190)</f>
        <v>28</v>
      </c>
      <c r="J189" s="92">
        <f>SUMIFS(StockInData[Value],StockInData[Product ID],ProductMaster!$B190)-SUMIFS(StockOutData[Value],StockOutData[Product ID],ProductMaster!$B190)</f>
        <v>70</v>
      </c>
    </row>
    <row r="190" spans="1:10" x14ac:dyDescent="0.25">
      <c r="A190" s="87">
        <v>189</v>
      </c>
      <c r="B190" s="88" t="s">
        <v>397</v>
      </c>
      <c r="C190" s="89" t="s">
        <v>398</v>
      </c>
      <c r="D190" s="88" t="s">
        <v>869</v>
      </c>
      <c r="E190" s="88" t="s">
        <v>871</v>
      </c>
      <c r="F190" s="90">
        <v>10</v>
      </c>
      <c r="G190" s="91">
        <f>StockInData[Expiry]</f>
        <v>44289</v>
      </c>
      <c r="H190" s="88">
        <v>25</v>
      </c>
      <c r="I190" s="88">
        <f>SUMIFS(StockInData[Quantity],StockInData[Product ID],ProductMaster!$B191)-SUMIFS(StockOutData[Quantity],StockOutData[Product ID],ProductMaster!$B191)</f>
        <v>16</v>
      </c>
      <c r="J190" s="92">
        <f>SUMIFS(StockInData[Value],StockInData[Product ID],ProductMaster!$B191)-SUMIFS(StockOutData[Value],StockOutData[Product ID],ProductMaster!$B191)</f>
        <v>40</v>
      </c>
    </row>
    <row r="191" spans="1:10" x14ac:dyDescent="0.25">
      <c r="A191" s="87">
        <v>190</v>
      </c>
      <c r="B191" s="88" t="s">
        <v>399</v>
      </c>
      <c r="C191" s="89" t="s">
        <v>400</v>
      </c>
      <c r="D191" s="88" t="s">
        <v>869</v>
      </c>
      <c r="E191" s="88" t="s">
        <v>871</v>
      </c>
      <c r="F191" s="90">
        <v>10</v>
      </c>
      <c r="G191" s="91">
        <f>StockInData[Expiry]</f>
        <v>44291</v>
      </c>
      <c r="H191" s="88">
        <v>25</v>
      </c>
      <c r="I191" s="88">
        <f>SUMIFS(StockInData[Quantity],StockInData[Product ID],ProductMaster!$B192)-SUMIFS(StockOutData[Quantity],StockOutData[Product ID],ProductMaster!$B192)</f>
        <v>12</v>
      </c>
      <c r="J191" s="92">
        <f>SUMIFS(StockInData[Value],StockInData[Product ID],ProductMaster!$B192)-SUMIFS(StockOutData[Value],StockOutData[Product ID],ProductMaster!$B192)</f>
        <v>30</v>
      </c>
    </row>
    <row r="192" spans="1:10" x14ac:dyDescent="0.25">
      <c r="A192" s="87">
        <v>191</v>
      </c>
      <c r="B192" s="88" t="s">
        <v>401</v>
      </c>
      <c r="C192" s="89" t="s">
        <v>402</v>
      </c>
      <c r="D192" s="88" t="s">
        <v>869</v>
      </c>
      <c r="E192" s="88" t="s">
        <v>871</v>
      </c>
      <c r="F192" s="90">
        <v>10</v>
      </c>
      <c r="G192" s="91">
        <f>StockInData[Expiry]</f>
        <v>44293</v>
      </c>
      <c r="H192" s="88">
        <v>25</v>
      </c>
      <c r="I192" s="88">
        <f>SUMIFS(StockInData[Quantity],StockInData[Product ID],ProductMaster!$B193)-SUMIFS(StockOutData[Quantity],StockOutData[Product ID],ProductMaster!$B193)</f>
        <v>15</v>
      </c>
      <c r="J192" s="92">
        <f>SUMIFS(StockInData[Value],StockInData[Product ID],ProductMaster!$B193)-SUMIFS(StockOutData[Value],StockOutData[Product ID],ProductMaster!$B193)</f>
        <v>37.5</v>
      </c>
    </row>
    <row r="193" spans="1:10" x14ac:dyDescent="0.25">
      <c r="A193" s="87">
        <v>192</v>
      </c>
      <c r="B193" s="88" t="s">
        <v>403</v>
      </c>
      <c r="C193" s="89" t="s">
        <v>404</v>
      </c>
      <c r="D193" s="88" t="s">
        <v>869</v>
      </c>
      <c r="E193" s="88" t="s">
        <v>871</v>
      </c>
      <c r="F193" s="90">
        <v>10</v>
      </c>
      <c r="G193" s="91">
        <f>StockInData[Expiry]</f>
        <v>44295</v>
      </c>
      <c r="H193" s="88">
        <v>25</v>
      </c>
      <c r="I193" s="88">
        <f>SUMIFS(StockInData[Quantity],StockInData[Product ID],ProductMaster!$B194)-SUMIFS(StockOutData[Quantity],StockOutData[Product ID],ProductMaster!$B194)</f>
        <v>12</v>
      </c>
      <c r="J193" s="92">
        <f>SUMIFS(StockInData[Value],StockInData[Product ID],ProductMaster!$B194)-SUMIFS(StockOutData[Value],StockOutData[Product ID],ProductMaster!$B194)</f>
        <v>30</v>
      </c>
    </row>
    <row r="194" spans="1:10" x14ac:dyDescent="0.25">
      <c r="A194" s="87">
        <v>193</v>
      </c>
      <c r="B194" s="88" t="s">
        <v>405</v>
      </c>
      <c r="C194" s="89" t="s">
        <v>406</v>
      </c>
      <c r="D194" s="88" t="s">
        <v>869</v>
      </c>
      <c r="E194" s="88" t="s">
        <v>871</v>
      </c>
      <c r="F194" s="90">
        <v>10</v>
      </c>
      <c r="G194" s="91">
        <f>StockInData[Expiry]</f>
        <v>44297</v>
      </c>
      <c r="H194" s="88">
        <v>25</v>
      </c>
      <c r="I194" s="88">
        <f>SUMIFS(StockInData[Quantity],StockInData[Product ID],ProductMaster!$B195)-SUMIFS(StockOutData[Quantity],StockOutData[Product ID],ProductMaster!$B195)</f>
        <v>8</v>
      </c>
      <c r="J194" s="92">
        <f>SUMIFS(StockInData[Value],StockInData[Product ID],ProductMaster!$B195)-SUMIFS(StockOutData[Value],StockOutData[Product ID],ProductMaster!$B195)</f>
        <v>20</v>
      </c>
    </row>
    <row r="195" spans="1:10" x14ac:dyDescent="0.25">
      <c r="A195" s="87">
        <v>194</v>
      </c>
      <c r="B195" s="88" t="s">
        <v>407</v>
      </c>
      <c r="C195" s="89" t="s">
        <v>408</v>
      </c>
      <c r="D195" s="88" t="s">
        <v>869</v>
      </c>
      <c r="E195" s="88" t="s">
        <v>871</v>
      </c>
      <c r="F195" s="90">
        <v>10</v>
      </c>
      <c r="G195" s="91">
        <f>StockInData[Expiry]</f>
        <v>44299</v>
      </c>
      <c r="H195" s="88">
        <v>25</v>
      </c>
      <c r="I195" s="88">
        <f>SUMIFS(StockInData[Quantity],StockInData[Product ID],ProductMaster!$B196)-SUMIFS(StockOutData[Quantity],StockOutData[Product ID],ProductMaster!$B196)</f>
        <v>47</v>
      </c>
      <c r="J195" s="92">
        <f>SUMIFS(StockInData[Value],StockInData[Product ID],ProductMaster!$B196)-SUMIFS(StockOutData[Value],StockOutData[Product ID],ProductMaster!$B196)</f>
        <v>117.5</v>
      </c>
    </row>
    <row r="196" spans="1:10" x14ac:dyDescent="0.25">
      <c r="A196" s="87">
        <v>195</v>
      </c>
      <c r="B196" s="88" t="s">
        <v>409</v>
      </c>
      <c r="C196" s="89" t="s">
        <v>410</v>
      </c>
      <c r="D196" s="88" t="s">
        <v>869</v>
      </c>
      <c r="E196" s="88" t="s">
        <v>871</v>
      </c>
      <c r="F196" s="90">
        <v>10</v>
      </c>
      <c r="G196" s="91">
        <f>StockInData[Expiry]</f>
        <v>44301</v>
      </c>
      <c r="H196" s="88">
        <v>25</v>
      </c>
      <c r="I196" s="88">
        <f>SUMIFS(StockInData[Quantity],StockInData[Product ID],ProductMaster!$B197)-SUMIFS(StockOutData[Quantity],StockOutData[Product ID],ProductMaster!$B197)</f>
        <v>62</v>
      </c>
      <c r="J196" s="92">
        <f>SUMIFS(StockInData[Value],StockInData[Product ID],ProductMaster!$B197)-SUMIFS(StockOutData[Value],StockOutData[Product ID],ProductMaster!$B197)</f>
        <v>155</v>
      </c>
    </row>
    <row r="197" spans="1:10" x14ac:dyDescent="0.25">
      <c r="A197" s="87">
        <v>196</v>
      </c>
      <c r="B197" s="88" t="s">
        <v>411</v>
      </c>
      <c r="C197" s="89" t="s">
        <v>412</v>
      </c>
      <c r="D197" s="88" t="s">
        <v>869</v>
      </c>
      <c r="E197" s="88" t="s">
        <v>871</v>
      </c>
      <c r="F197" s="90">
        <v>10</v>
      </c>
      <c r="G197" s="91">
        <f>StockInData[Expiry]</f>
        <v>44303</v>
      </c>
      <c r="H197" s="88">
        <v>25</v>
      </c>
      <c r="I197" s="88">
        <f>SUMIFS(StockInData[Quantity],StockInData[Product ID],ProductMaster!$B198)-SUMIFS(StockOutData[Quantity],StockOutData[Product ID],ProductMaster!$B198)</f>
        <v>70</v>
      </c>
      <c r="J197" s="92">
        <f>SUMIFS(StockInData[Value],StockInData[Product ID],ProductMaster!$B198)-SUMIFS(StockOutData[Value],StockOutData[Product ID],ProductMaster!$B198)</f>
        <v>175</v>
      </c>
    </row>
    <row r="198" spans="1:10" x14ac:dyDescent="0.25">
      <c r="A198" s="87">
        <v>197</v>
      </c>
      <c r="B198" s="88" t="s">
        <v>413</v>
      </c>
      <c r="C198" s="89" t="s">
        <v>414</v>
      </c>
      <c r="D198" s="88" t="s">
        <v>869</v>
      </c>
      <c r="E198" s="88" t="s">
        <v>871</v>
      </c>
      <c r="F198" s="90">
        <v>10</v>
      </c>
      <c r="G198" s="91">
        <f>StockInData[Expiry]</f>
        <v>44305</v>
      </c>
      <c r="H198" s="88">
        <v>25</v>
      </c>
      <c r="I198" s="88">
        <f>SUMIFS(StockInData[Quantity],StockInData[Product ID],ProductMaster!$B199)-SUMIFS(StockOutData[Quantity],StockOutData[Product ID],ProductMaster!$B199)</f>
        <v>86</v>
      </c>
      <c r="J198" s="92">
        <f>SUMIFS(StockInData[Value],StockInData[Product ID],ProductMaster!$B199)-SUMIFS(StockOutData[Value],StockOutData[Product ID],ProductMaster!$B199)</f>
        <v>215</v>
      </c>
    </row>
    <row r="199" spans="1:10" x14ac:dyDescent="0.25">
      <c r="A199" s="87">
        <v>198</v>
      </c>
      <c r="B199" s="88" t="s">
        <v>415</v>
      </c>
      <c r="C199" s="89" t="s">
        <v>416</v>
      </c>
      <c r="D199" s="88" t="s">
        <v>869</v>
      </c>
      <c r="E199" s="88" t="s">
        <v>871</v>
      </c>
      <c r="F199" s="90">
        <v>10</v>
      </c>
      <c r="G199" s="91">
        <f>StockInData[Expiry]</f>
        <v>44307</v>
      </c>
      <c r="H199" s="88">
        <v>25</v>
      </c>
      <c r="I199" s="88">
        <f>SUMIFS(StockInData[Quantity],StockInData[Product ID],ProductMaster!$B200)-SUMIFS(StockOutData[Quantity],StockOutData[Product ID],ProductMaster!$B200)</f>
        <v>96</v>
      </c>
      <c r="J199" s="92">
        <f>SUMIFS(StockInData[Value],StockInData[Product ID],ProductMaster!$B200)-SUMIFS(StockOutData[Value],StockOutData[Product ID],ProductMaster!$B200)</f>
        <v>240</v>
      </c>
    </row>
    <row r="200" spans="1:10" x14ac:dyDescent="0.25">
      <c r="A200" s="87">
        <v>199</v>
      </c>
      <c r="B200" s="88" t="s">
        <v>417</v>
      </c>
      <c r="C200" s="89" t="s">
        <v>418</v>
      </c>
      <c r="D200" s="88" t="s">
        <v>869</v>
      </c>
      <c r="E200" s="88" t="s">
        <v>871</v>
      </c>
      <c r="F200" s="90">
        <v>10</v>
      </c>
      <c r="G200" s="91">
        <f>StockInData[Expiry]</f>
        <v>44309</v>
      </c>
      <c r="H200" s="88">
        <v>25</v>
      </c>
      <c r="I200" s="88">
        <f>SUMIFS(StockInData[Quantity],StockInData[Product ID],ProductMaster!$B201)-SUMIFS(StockOutData[Quantity],StockOutData[Product ID],ProductMaster!$B201)</f>
        <v>93</v>
      </c>
      <c r="J200" s="92">
        <f>SUMIFS(StockInData[Value],StockInData[Product ID],ProductMaster!$B201)-SUMIFS(StockOutData[Value],StockOutData[Product ID],ProductMaster!$B201)</f>
        <v>232.5</v>
      </c>
    </row>
    <row r="201" spans="1:10" x14ac:dyDescent="0.25">
      <c r="A201" s="87">
        <v>200</v>
      </c>
      <c r="B201" s="88" t="s">
        <v>419</v>
      </c>
      <c r="C201" s="89" t="s">
        <v>420</v>
      </c>
      <c r="D201" s="88" t="s">
        <v>869</v>
      </c>
      <c r="E201" s="88" t="s">
        <v>871</v>
      </c>
      <c r="F201" s="90">
        <v>10</v>
      </c>
      <c r="G201" s="91">
        <f>StockInData[Expiry]</f>
        <v>44311</v>
      </c>
      <c r="H201" s="88">
        <v>25</v>
      </c>
      <c r="I201" s="88">
        <f>SUMIFS(StockInData[Quantity],StockInData[Product ID],ProductMaster!$B202)-SUMIFS(StockOutData[Quantity],StockOutData[Product ID],ProductMaster!$B202)</f>
        <v>85</v>
      </c>
      <c r="J201" s="92">
        <f>SUMIFS(StockInData[Value],StockInData[Product ID],ProductMaster!$B202)-SUMIFS(StockOutData[Value],StockOutData[Product ID],ProductMaster!$B202)</f>
        <v>212.5</v>
      </c>
    </row>
    <row r="202" spans="1:10" x14ac:dyDescent="0.25">
      <c r="A202" s="87">
        <v>201</v>
      </c>
      <c r="B202" s="88" t="s">
        <v>421</v>
      </c>
      <c r="C202" s="89" t="s">
        <v>422</v>
      </c>
      <c r="D202" s="88" t="s">
        <v>869</v>
      </c>
      <c r="E202" s="88" t="s">
        <v>871</v>
      </c>
      <c r="F202" s="90">
        <v>10</v>
      </c>
      <c r="G202" s="91">
        <f>StockInData[Expiry]</f>
        <v>44313</v>
      </c>
      <c r="H202" s="88">
        <v>25</v>
      </c>
      <c r="I202" s="88">
        <f>SUMIFS(StockInData[Quantity],StockInData[Product ID],ProductMaster!$B203)-SUMIFS(StockOutData[Quantity],StockOutData[Product ID],ProductMaster!$B203)</f>
        <v>82</v>
      </c>
      <c r="J202" s="92">
        <f>SUMIFS(StockInData[Value],StockInData[Product ID],ProductMaster!$B203)-SUMIFS(StockOutData[Value],StockOutData[Product ID],ProductMaster!$B203)</f>
        <v>205</v>
      </c>
    </row>
    <row r="203" spans="1:10" x14ac:dyDescent="0.25">
      <c r="A203" s="87">
        <v>202</v>
      </c>
      <c r="B203" s="88" t="s">
        <v>423</v>
      </c>
      <c r="C203" s="89" t="s">
        <v>424</v>
      </c>
      <c r="D203" s="88" t="s">
        <v>869</v>
      </c>
      <c r="E203" s="88" t="s">
        <v>871</v>
      </c>
      <c r="F203" s="90">
        <v>10</v>
      </c>
      <c r="G203" s="91">
        <f>StockInData[Expiry]</f>
        <v>44315</v>
      </c>
      <c r="H203" s="88">
        <v>25</v>
      </c>
      <c r="I203" s="88">
        <f>SUMIFS(StockInData[Quantity],StockInData[Product ID],ProductMaster!$B204)-SUMIFS(StockOutData[Quantity],StockOutData[Product ID],ProductMaster!$B204)</f>
        <v>88</v>
      </c>
      <c r="J203" s="92">
        <f>SUMIFS(StockInData[Value],StockInData[Product ID],ProductMaster!$B204)-SUMIFS(StockOutData[Value],StockOutData[Product ID],ProductMaster!$B204)</f>
        <v>220</v>
      </c>
    </row>
    <row r="204" spans="1:10" x14ac:dyDescent="0.25">
      <c r="A204" s="87">
        <v>203</v>
      </c>
      <c r="B204" s="88" t="s">
        <v>425</v>
      </c>
      <c r="C204" s="89" t="s">
        <v>426</v>
      </c>
      <c r="D204" s="88" t="s">
        <v>869</v>
      </c>
      <c r="E204" s="88" t="s">
        <v>871</v>
      </c>
      <c r="F204" s="90">
        <v>10</v>
      </c>
      <c r="G204" s="91">
        <f>StockInData[Expiry]</f>
        <v>44317</v>
      </c>
      <c r="H204" s="88">
        <v>25</v>
      </c>
      <c r="I204" s="88">
        <f>SUMIFS(StockInData[Quantity],StockInData[Product ID],ProductMaster!$B205)-SUMIFS(StockOutData[Quantity],StockOutData[Product ID],ProductMaster!$B205)</f>
        <v>30</v>
      </c>
      <c r="J204" s="92">
        <f>SUMIFS(StockInData[Value],StockInData[Product ID],ProductMaster!$B205)-SUMIFS(StockOutData[Value],StockOutData[Product ID],ProductMaster!$B205)</f>
        <v>75</v>
      </c>
    </row>
    <row r="205" spans="1:10" x14ac:dyDescent="0.25">
      <c r="A205" s="87">
        <v>204</v>
      </c>
      <c r="B205" s="88" t="s">
        <v>427</v>
      </c>
      <c r="C205" s="89" t="s">
        <v>428</v>
      </c>
      <c r="D205" s="88" t="s">
        <v>869</v>
      </c>
      <c r="E205" s="88" t="s">
        <v>871</v>
      </c>
      <c r="F205" s="90">
        <v>10</v>
      </c>
      <c r="G205" s="91">
        <f>StockInData[Expiry]</f>
        <v>44319</v>
      </c>
      <c r="H205" s="88">
        <v>25</v>
      </c>
      <c r="I205" s="88">
        <f>SUMIFS(StockInData[Quantity],StockInData[Product ID],ProductMaster!$B206)-SUMIFS(StockOutData[Quantity],StockOutData[Product ID],ProductMaster!$B206)</f>
        <v>20</v>
      </c>
      <c r="J205" s="92">
        <f>SUMIFS(StockInData[Value],StockInData[Product ID],ProductMaster!$B206)-SUMIFS(StockOutData[Value],StockOutData[Product ID],ProductMaster!$B206)</f>
        <v>50</v>
      </c>
    </row>
    <row r="206" spans="1:10" x14ac:dyDescent="0.25">
      <c r="A206" s="87">
        <v>205</v>
      </c>
      <c r="B206" s="88" t="s">
        <v>429</v>
      </c>
      <c r="C206" s="89" t="s">
        <v>430</v>
      </c>
      <c r="D206" s="88" t="s">
        <v>869</v>
      </c>
      <c r="E206" s="88" t="s">
        <v>871</v>
      </c>
      <c r="F206" s="90">
        <v>10</v>
      </c>
      <c r="G206" s="91">
        <f>StockInData[Expiry]</f>
        <v>44321</v>
      </c>
      <c r="H206" s="88">
        <v>25</v>
      </c>
      <c r="I206" s="88">
        <f>SUMIFS(StockInData[Quantity],StockInData[Product ID],ProductMaster!$B207)-SUMIFS(StockOutData[Quantity],StockOutData[Product ID],ProductMaster!$B207)</f>
        <v>15</v>
      </c>
      <c r="J206" s="92">
        <f>SUMIFS(StockInData[Value],StockInData[Product ID],ProductMaster!$B207)-SUMIFS(StockOutData[Value],StockOutData[Product ID],ProductMaster!$B207)</f>
        <v>37.5</v>
      </c>
    </row>
    <row r="207" spans="1:10" x14ac:dyDescent="0.25">
      <c r="A207" s="87">
        <v>206</v>
      </c>
      <c r="B207" s="88" t="s">
        <v>431</v>
      </c>
      <c r="C207" s="89" t="s">
        <v>432</v>
      </c>
      <c r="D207" s="88" t="s">
        <v>869</v>
      </c>
      <c r="E207" s="88" t="s">
        <v>871</v>
      </c>
      <c r="F207" s="90">
        <v>10</v>
      </c>
      <c r="G207" s="91">
        <f>StockInData[Expiry]</f>
        <v>44323</v>
      </c>
      <c r="H207" s="88">
        <v>25</v>
      </c>
      <c r="I207" s="88">
        <f>SUMIFS(StockInData[Quantity],StockInData[Product ID],ProductMaster!$B208)-SUMIFS(StockOutData[Quantity],StockOutData[Product ID],ProductMaster!$B208)</f>
        <v>10</v>
      </c>
      <c r="J207" s="92">
        <f>SUMIFS(StockInData[Value],StockInData[Product ID],ProductMaster!$B208)-SUMIFS(StockOutData[Value],StockOutData[Product ID],ProductMaster!$B208)</f>
        <v>25</v>
      </c>
    </row>
    <row r="208" spans="1:10" x14ac:dyDescent="0.25">
      <c r="A208" s="87">
        <v>207</v>
      </c>
      <c r="B208" s="88" t="s">
        <v>433</v>
      </c>
      <c r="C208" s="89" t="s">
        <v>434</v>
      </c>
      <c r="D208" s="88" t="s">
        <v>869</v>
      </c>
      <c r="E208" s="88" t="s">
        <v>871</v>
      </c>
      <c r="F208" s="90">
        <v>10</v>
      </c>
      <c r="G208" s="91">
        <f>StockInData[Expiry]</f>
        <v>44325</v>
      </c>
      <c r="H208" s="88">
        <v>25</v>
      </c>
      <c r="I208" s="88">
        <f>SUMIFS(StockInData[Quantity],StockInData[Product ID],ProductMaster!$B209)-SUMIFS(StockOutData[Quantity],StockOutData[Product ID],ProductMaster!$B209)</f>
        <v>9</v>
      </c>
      <c r="J208" s="92">
        <f>SUMIFS(StockInData[Value],StockInData[Product ID],ProductMaster!$B209)-SUMIFS(StockOutData[Value],StockOutData[Product ID],ProductMaster!$B209)</f>
        <v>22.5</v>
      </c>
    </row>
    <row r="209" spans="1:10" x14ac:dyDescent="0.25">
      <c r="A209" s="87">
        <v>208</v>
      </c>
      <c r="B209" s="88" t="s">
        <v>435</v>
      </c>
      <c r="C209" s="89" t="s">
        <v>436</v>
      </c>
      <c r="D209" s="88" t="s">
        <v>869</v>
      </c>
      <c r="E209" s="88" t="s">
        <v>871</v>
      </c>
      <c r="F209" s="90">
        <v>10</v>
      </c>
      <c r="G209" s="91">
        <f>StockInData[Expiry]</f>
        <v>44327</v>
      </c>
      <c r="H209" s="88">
        <v>25</v>
      </c>
      <c r="I209" s="88">
        <f>SUMIFS(StockInData[Quantity],StockInData[Product ID],ProductMaster!$B210)-SUMIFS(StockOutData[Quantity],StockOutData[Product ID],ProductMaster!$B210)</f>
        <v>16</v>
      </c>
      <c r="J209" s="92">
        <f>SUMIFS(StockInData[Value],StockInData[Product ID],ProductMaster!$B210)-SUMIFS(StockOutData[Value],StockOutData[Product ID],ProductMaster!$B210)</f>
        <v>40</v>
      </c>
    </row>
    <row r="210" spans="1:10" x14ac:dyDescent="0.25">
      <c r="A210" s="87">
        <v>209</v>
      </c>
      <c r="B210" s="88" t="s">
        <v>437</v>
      </c>
      <c r="C210" s="89" t="s">
        <v>438</v>
      </c>
      <c r="D210" s="88" t="s">
        <v>869</v>
      </c>
      <c r="E210" s="88" t="s">
        <v>871</v>
      </c>
      <c r="F210" s="90">
        <v>10</v>
      </c>
      <c r="G210" s="91">
        <f>StockInData[Expiry]</f>
        <v>44329</v>
      </c>
      <c r="H210" s="88">
        <v>25</v>
      </c>
      <c r="I210" s="88">
        <f>SUMIFS(StockInData[Quantity],StockInData[Product ID],ProductMaster!$B211)-SUMIFS(StockOutData[Quantity],StockOutData[Product ID],ProductMaster!$B211)</f>
        <v>50</v>
      </c>
      <c r="J210" s="92">
        <f>SUMIFS(StockInData[Value],StockInData[Product ID],ProductMaster!$B211)-SUMIFS(StockOutData[Value],StockOutData[Product ID],ProductMaster!$B211)</f>
        <v>125</v>
      </c>
    </row>
    <row r="211" spans="1:10" x14ac:dyDescent="0.25">
      <c r="A211" s="87">
        <v>210</v>
      </c>
      <c r="B211" s="88" t="s">
        <v>439</v>
      </c>
      <c r="C211" s="89" t="s">
        <v>440</v>
      </c>
      <c r="D211" s="88" t="s">
        <v>869</v>
      </c>
      <c r="E211" s="88" t="s">
        <v>875</v>
      </c>
      <c r="F211" s="90">
        <v>10</v>
      </c>
      <c r="G211" s="91">
        <f>StockInData[Expiry]</f>
        <v>44331</v>
      </c>
      <c r="H211" s="88">
        <v>25</v>
      </c>
      <c r="I211" s="88">
        <f>SUMIFS(StockInData[Quantity],StockInData[Product ID],ProductMaster!$B212)-SUMIFS(StockOutData[Quantity],StockOutData[Product ID],ProductMaster!$B212)</f>
        <v>56</v>
      </c>
      <c r="J211" s="92">
        <f>SUMIFS(StockInData[Value],StockInData[Product ID],ProductMaster!$B212)-SUMIFS(StockOutData[Value],StockOutData[Product ID],ProductMaster!$B212)</f>
        <v>140</v>
      </c>
    </row>
    <row r="212" spans="1:10" x14ac:dyDescent="0.25">
      <c r="A212" s="87">
        <v>211</v>
      </c>
      <c r="B212" s="88" t="s">
        <v>441</v>
      </c>
      <c r="C212" s="89" t="s">
        <v>442</v>
      </c>
      <c r="D212" s="88" t="s">
        <v>869</v>
      </c>
      <c r="E212" s="88" t="s">
        <v>875</v>
      </c>
      <c r="F212" s="90">
        <v>10</v>
      </c>
      <c r="G212" s="91">
        <f>StockInData[Expiry]</f>
        <v>44333</v>
      </c>
      <c r="H212" s="88">
        <v>25</v>
      </c>
      <c r="I212" s="88">
        <f>SUMIFS(StockInData[Quantity],StockInData[Product ID],ProductMaster!$B213)-SUMIFS(StockOutData[Quantity],StockOutData[Product ID],ProductMaster!$B213)</f>
        <v>72</v>
      </c>
      <c r="J212" s="92">
        <f>SUMIFS(StockInData[Value],StockInData[Product ID],ProductMaster!$B213)-SUMIFS(StockOutData[Value],StockOutData[Product ID],ProductMaster!$B213)</f>
        <v>180</v>
      </c>
    </row>
    <row r="213" spans="1:10" x14ac:dyDescent="0.25">
      <c r="A213" s="87">
        <v>212</v>
      </c>
      <c r="B213" s="88" t="s">
        <v>443</v>
      </c>
      <c r="C213" s="89" t="s">
        <v>444</v>
      </c>
      <c r="D213" s="88" t="s">
        <v>869</v>
      </c>
      <c r="E213" s="88" t="s">
        <v>875</v>
      </c>
      <c r="F213" s="90">
        <v>10</v>
      </c>
      <c r="G213" s="91">
        <f>StockInData[Expiry]</f>
        <v>44335</v>
      </c>
      <c r="H213" s="88">
        <v>25</v>
      </c>
      <c r="I213" s="88">
        <f>SUMIFS(StockInData[Quantity],StockInData[Product ID],ProductMaster!$B214)-SUMIFS(StockOutData[Quantity],StockOutData[Product ID],ProductMaster!$B214)</f>
        <v>85</v>
      </c>
      <c r="J213" s="92">
        <f>SUMIFS(StockInData[Value],StockInData[Product ID],ProductMaster!$B214)-SUMIFS(StockOutData[Value],StockOutData[Product ID],ProductMaster!$B214)</f>
        <v>212.5</v>
      </c>
    </row>
    <row r="214" spans="1:10" x14ac:dyDescent="0.25">
      <c r="A214" s="87">
        <v>213</v>
      </c>
      <c r="B214" s="88" t="s">
        <v>445</v>
      </c>
      <c r="C214" s="89" t="s">
        <v>446</v>
      </c>
      <c r="D214" s="88" t="s">
        <v>869</v>
      </c>
      <c r="E214" s="88" t="s">
        <v>875</v>
      </c>
      <c r="F214" s="90">
        <v>10</v>
      </c>
      <c r="G214" s="91">
        <f>StockInData[Expiry]</f>
        <v>44337</v>
      </c>
      <c r="H214" s="88">
        <v>25</v>
      </c>
      <c r="I214" s="88">
        <f>SUMIFS(StockInData[Quantity],StockInData[Product ID],ProductMaster!$B215)-SUMIFS(StockOutData[Quantity],StockOutData[Product ID],ProductMaster!$B215)</f>
        <v>88</v>
      </c>
      <c r="J214" s="92">
        <f>SUMIFS(StockInData[Value],StockInData[Product ID],ProductMaster!$B215)-SUMIFS(StockOutData[Value],StockOutData[Product ID],ProductMaster!$B215)</f>
        <v>220</v>
      </c>
    </row>
    <row r="215" spans="1:10" x14ac:dyDescent="0.25">
      <c r="A215" s="87">
        <v>214</v>
      </c>
      <c r="B215" s="88" t="s">
        <v>447</v>
      </c>
      <c r="C215" s="89" t="s">
        <v>448</v>
      </c>
      <c r="D215" s="88" t="s">
        <v>869</v>
      </c>
      <c r="E215" s="88" t="s">
        <v>875</v>
      </c>
      <c r="F215" s="90">
        <v>10</v>
      </c>
      <c r="G215" s="91">
        <f>StockInData[Expiry]</f>
        <v>44339</v>
      </c>
      <c r="H215" s="88">
        <v>25</v>
      </c>
      <c r="I215" s="88">
        <f>SUMIFS(StockInData[Quantity],StockInData[Product ID],ProductMaster!$B216)-SUMIFS(StockOutData[Quantity],StockOutData[Product ID],ProductMaster!$B216)</f>
        <v>55</v>
      </c>
      <c r="J215" s="92">
        <f>SUMIFS(StockInData[Value],StockInData[Product ID],ProductMaster!$B216)-SUMIFS(StockOutData[Value],StockOutData[Product ID],ProductMaster!$B216)</f>
        <v>137.5</v>
      </c>
    </row>
    <row r="216" spans="1:10" x14ac:dyDescent="0.25">
      <c r="A216" s="87">
        <v>215</v>
      </c>
      <c r="B216" s="88" t="s">
        <v>449</v>
      </c>
      <c r="C216" s="89" t="s">
        <v>450</v>
      </c>
      <c r="D216" s="88" t="s">
        <v>869</v>
      </c>
      <c r="E216" s="88" t="s">
        <v>875</v>
      </c>
      <c r="F216" s="90">
        <v>10</v>
      </c>
      <c r="G216" s="91">
        <f>StockInData[Expiry]</f>
        <v>44341</v>
      </c>
      <c r="H216" s="88">
        <v>25</v>
      </c>
      <c r="I216" s="88">
        <f>SUMIFS(StockInData[Quantity],StockInData[Product ID],ProductMaster!$B217)-SUMIFS(StockOutData[Quantity],StockOutData[Product ID],ProductMaster!$B217)</f>
        <v>33</v>
      </c>
      <c r="J216" s="92">
        <f>SUMIFS(StockInData[Value],StockInData[Product ID],ProductMaster!$B217)-SUMIFS(StockOutData[Value],StockOutData[Product ID],ProductMaster!$B217)</f>
        <v>82.5</v>
      </c>
    </row>
    <row r="217" spans="1:10" x14ac:dyDescent="0.25">
      <c r="A217" s="87">
        <v>216</v>
      </c>
      <c r="B217" s="88" t="s">
        <v>451</v>
      </c>
      <c r="C217" s="89" t="s">
        <v>452</v>
      </c>
      <c r="D217" s="88" t="s">
        <v>869</v>
      </c>
      <c r="E217" s="88" t="s">
        <v>875</v>
      </c>
      <c r="F217" s="90">
        <v>10</v>
      </c>
      <c r="G217" s="91">
        <f>StockInData[Expiry]</f>
        <v>44343</v>
      </c>
      <c r="H217" s="88">
        <v>25</v>
      </c>
      <c r="I217" s="88">
        <f>SUMIFS(StockInData[Quantity],StockInData[Product ID],ProductMaster!$B218)-SUMIFS(StockOutData[Quantity],StockOutData[Product ID],ProductMaster!$B218)</f>
        <v>15</v>
      </c>
      <c r="J217" s="92">
        <f>SUMIFS(StockInData[Value],StockInData[Product ID],ProductMaster!$B218)-SUMIFS(StockOutData[Value],StockOutData[Product ID],ProductMaster!$B218)</f>
        <v>37.5</v>
      </c>
    </row>
    <row r="218" spans="1:10" x14ac:dyDescent="0.25">
      <c r="A218" s="87">
        <v>217</v>
      </c>
      <c r="B218" s="88" t="s">
        <v>453</v>
      </c>
      <c r="C218" s="89" t="s">
        <v>454</v>
      </c>
      <c r="D218" s="88" t="s">
        <v>869</v>
      </c>
      <c r="E218" s="88" t="s">
        <v>875</v>
      </c>
      <c r="F218" s="90">
        <v>10</v>
      </c>
      <c r="G218" s="91">
        <f>StockInData[Expiry]</f>
        <v>44345</v>
      </c>
      <c r="H218" s="88">
        <v>25</v>
      </c>
      <c r="I218" s="88">
        <f>SUMIFS(StockInData[Quantity],StockInData[Product ID],ProductMaster!$B219)-SUMIFS(StockOutData[Quantity],StockOutData[Product ID],ProductMaster!$B219)</f>
        <v>7</v>
      </c>
      <c r="J218" s="92">
        <f>SUMIFS(StockInData[Value],StockInData[Product ID],ProductMaster!$B219)-SUMIFS(StockOutData[Value],StockOutData[Product ID],ProductMaster!$B219)</f>
        <v>17.5</v>
      </c>
    </row>
    <row r="219" spans="1:10" x14ac:dyDescent="0.25">
      <c r="A219" s="87">
        <v>218</v>
      </c>
      <c r="B219" s="88" t="s">
        <v>455</v>
      </c>
      <c r="C219" s="89" t="s">
        <v>456</v>
      </c>
      <c r="D219" s="88" t="s">
        <v>869</v>
      </c>
      <c r="E219" s="88" t="s">
        <v>875</v>
      </c>
      <c r="F219" s="90">
        <v>10</v>
      </c>
      <c r="G219" s="91">
        <f>StockInData[Expiry]</f>
        <v>44347</v>
      </c>
      <c r="H219" s="88">
        <v>25</v>
      </c>
      <c r="I219" s="88">
        <f>SUMIFS(StockInData[Quantity],StockInData[Product ID],ProductMaster!$B220)-SUMIFS(StockOutData[Quantity],StockOutData[Product ID],ProductMaster!$B220)</f>
        <v>8</v>
      </c>
      <c r="J219" s="92">
        <f>SUMIFS(StockInData[Value],StockInData[Product ID],ProductMaster!$B220)-SUMIFS(StockOutData[Value],StockOutData[Product ID],ProductMaster!$B220)</f>
        <v>20</v>
      </c>
    </row>
    <row r="220" spans="1:10" x14ac:dyDescent="0.25">
      <c r="A220" s="87">
        <v>219</v>
      </c>
      <c r="B220" s="88" t="s">
        <v>457</v>
      </c>
      <c r="C220" s="89" t="s">
        <v>458</v>
      </c>
      <c r="D220" s="88" t="s">
        <v>869</v>
      </c>
      <c r="E220" s="88" t="s">
        <v>875</v>
      </c>
      <c r="F220" s="90">
        <v>10</v>
      </c>
      <c r="G220" s="91">
        <f>StockInData[Expiry]</f>
        <v>44349</v>
      </c>
      <c r="H220" s="88">
        <v>25</v>
      </c>
      <c r="I220" s="88">
        <f>SUMIFS(StockInData[Quantity],StockInData[Product ID],ProductMaster!$B221)-SUMIFS(StockOutData[Quantity],StockOutData[Product ID],ProductMaster!$B221)</f>
        <v>5</v>
      </c>
      <c r="J220" s="92">
        <f>SUMIFS(StockInData[Value],StockInData[Product ID],ProductMaster!$B221)-SUMIFS(StockOutData[Value],StockOutData[Product ID],ProductMaster!$B221)</f>
        <v>12.5</v>
      </c>
    </row>
    <row r="221" spans="1:10" x14ac:dyDescent="0.25">
      <c r="A221" s="87">
        <v>220</v>
      </c>
      <c r="B221" s="88" t="s">
        <v>459</v>
      </c>
      <c r="C221" s="89" t="s">
        <v>460</v>
      </c>
      <c r="D221" s="88" t="s">
        <v>869</v>
      </c>
      <c r="E221" s="88" t="s">
        <v>875</v>
      </c>
      <c r="F221" s="90">
        <v>10</v>
      </c>
      <c r="G221" s="91">
        <f>StockInData[Expiry]</f>
        <v>44351</v>
      </c>
      <c r="H221" s="88">
        <v>25</v>
      </c>
      <c r="I221" s="88">
        <f>SUMIFS(StockInData[Quantity],StockInData[Product ID],ProductMaster!$B222)-SUMIFS(StockOutData[Quantity],StockOutData[Product ID],ProductMaster!$B222)</f>
        <v>10</v>
      </c>
      <c r="J221" s="92">
        <f>SUMIFS(StockInData[Value],StockInData[Product ID],ProductMaster!$B222)-SUMIFS(StockOutData[Value],StockOutData[Product ID],ProductMaster!$B222)</f>
        <v>25</v>
      </c>
    </row>
    <row r="222" spans="1:10" x14ac:dyDescent="0.25">
      <c r="A222" s="87">
        <v>221</v>
      </c>
      <c r="B222" s="88" t="s">
        <v>461</v>
      </c>
      <c r="C222" s="89" t="s">
        <v>462</v>
      </c>
      <c r="D222" s="88" t="s">
        <v>869</v>
      </c>
      <c r="E222" s="88" t="s">
        <v>875</v>
      </c>
      <c r="F222" s="90">
        <v>10</v>
      </c>
      <c r="G222" s="91">
        <f>StockInData[Expiry]</f>
        <v>44353</v>
      </c>
      <c r="H222" s="88">
        <v>25</v>
      </c>
      <c r="I222" s="88">
        <f>SUMIFS(StockInData[Quantity],StockInData[Product ID],ProductMaster!$B223)-SUMIFS(StockOutData[Quantity],StockOutData[Product ID],ProductMaster!$B223)</f>
        <v>60</v>
      </c>
      <c r="J222" s="92">
        <f>SUMIFS(StockInData[Value],StockInData[Product ID],ProductMaster!$B223)-SUMIFS(StockOutData[Value],StockOutData[Product ID],ProductMaster!$B223)</f>
        <v>150</v>
      </c>
    </row>
    <row r="223" spans="1:10" x14ac:dyDescent="0.25">
      <c r="A223" s="87">
        <v>222</v>
      </c>
      <c r="B223" s="88" t="s">
        <v>463</v>
      </c>
      <c r="C223" s="89" t="s">
        <v>464</v>
      </c>
      <c r="D223" s="88" t="s">
        <v>869</v>
      </c>
      <c r="E223" s="88" t="s">
        <v>875</v>
      </c>
      <c r="F223" s="90">
        <v>10</v>
      </c>
      <c r="G223" s="91">
        <f>StockInData[Expiry]</f>
        <v>44355</v>
      </c>
      <c r="H223" s="88">
        <v>25</v>
      </c>
      <c r="I223" s="88">
        <f>SUMIFS(StockInData[Quantity],StockInData[Product ID],ProductMaster!$B224)-SUMIFS(StockOutData[Quantity],StockOutData[Product ID],ProductMaster!$B224)</f>
        <v>67</v>
      </c>
      <c r="J223" s="92">
        <f>SUMIFS(StockInData[Value],StockInData[Product ID],ProductMaster!$B224)-SUMIFS(StockOutData[Value],StockOutData[Product ID],ProductMaster!$B224)</f>
        <v>167.5</v>
      </c>
    </row>
    <row r="224" spans="1:10" x14ac:dyDescent="0.25">
      <c r="A224" s="87">
        <v>223</v>
      </c>
      <c r="B224" s="88" t="s">
        <v>465</v>
      </c>
      <c r="C224" s="89" t="s">
        <v>466</v>
      </c>
      <c r="D224" s="88" t="s">
        <v>869</v>
      </c>
      <c r="E224" s="88" t="s">
        <v>875</v>
      </c>
      <c r="F224" s="90">
        <v>10</v>
      </c>
      <c r="G224" s="91">
        <f>StockInData[Expiry]</f>
        <v>44357</v>
      </c>
      <c r="H224" s="88">
        <v>25</v>
      </c>
      <c r="I224" s="88">
        <f>SUMIFS(StockInData[Quantity],StockInData[Product ID],ProductMaster!$B225)-SUMIFS(StockOutData[Quantity],StockOutData[Product ID],ProductMaster!$B225)</f>
        <v>69</v>
      </c>
      <c r="J224" s="92">
        <f>SUMIFS(StockInData[Value],StockInData[Product ID],ProductMaster!$B225)-SUMIFS(StockOutData[Value],StockOutData[Product ID],ProductMaster!$B225)</f>
        <v>172.5</v>
      </c>
    </row>
    <row r="225" spans="1:10" x14ac:dyDescent="0.25">
      <c r="A225" s="87">
        <v>224</v>
      </c>
      <c r="B225" s="88" t="s">
        <v>467</v>
      </c>
      <c r="C225" s="89" t="s">
        <v>468</v>
      </c>
      <c r="D225" s="88" t="s">
        <v>869</v>
      </c>
      <c r="E225" s="88" t="s">
        <v>875</v>
      </c>
      <c r="F225" s="90">
        <v>10</v>
      </c>
      <c r="G225" s="91">
        <f>StockInData[Expiry]</f>
        <v>44359</v>
      </c>
      <c r="H225" s="88">
        <v>25</v>
      </c>
      <c r="I225" s="88">
        <f>SUMIFS(StockInData[Quantity],StockInData[Product ID],ProductMaster!$B226)-SUMIFS(StockOutData[Quantity],StockOutData[Product ID],ProductMaster!$B226)</f>
        <v>81</v>
      </c>
      <c r="J225" s="92">
        <f>SUMIFS(StockInData[Value],StockInData[Product ID],ProductMaster!$B226)-SUMIFS(StockOutData[Value],StockOutData[Product ID],ProductMaster!$B226)</f>
        <v>202.5</v>
      </c>
    </row>
    <row r="226" spans="1:10" x14ac:dyDescent="0.25">
      <c r="A226" s="87">
        <v>225</v>
      </c>
      <c r="B226" s="88" t="s">
        <v>469</v>
      </c>
      <c r="C226" s="89" t="s">
        <v>470</v>
      </c>
      <c r="D226" s="88" t="s">
        <v>869</v>
      </c>
      <c r="E226" s="88" t="s">
        <v>875</v>
      </c>
      <c r="F226" s="90">
        <v>10</v>
      </c>
      <c r="G226" s="91">
        <f>StockInData[Expiry]</f>
        <v>44361</v>
      </c>
      <c r="H226" s="88">
        <v>25</v>
      </c>
      <c r="I226" s="88">
        <f>SUMIFS(StockInData[Quantity],StockInData[Product ID],ProductMaster!$B227)-SUMIFS(StockOutData[Quantity],StockOutData[Product ID],ProductMaster!$B227)</f>
        <v>89</v>
      </c>
      <c r="J226" s="92">
        <f>SUMIFS(StockInData[Value],StockInData[Product ID],ProductMaster!$B227)-SUMIFS(StockOutData[Value],StockOutData[Product ID],ProductMaster!$B227)</f>
        <v>222.5</v>
      </c>
    </row>
    <row r="227" spans="1:10" x14ac:dyDescent="0.25">
      <c r="A227" s="87">
        <v>226</v>
      </c>
      <c r="B227" s="88" t="s">
        <v>471</v>
      </c>
      <c r="C227" s="89" t="s">
        <v>472</v>
      </c>
      <c r="D227" s="88" t="s">
        <v>869</v>
      </c>
      <c r="E227" s="88" t="s">
        <v>875</v>
      </c>
      <c r="F227" s="90">
        <v>10</v>
      </c>
      <c r="G227" s="91">
        <f>StockInData[Expiry]</f>
        <v>44363</v>
      </c>
      <c r="H227" s="88">
        <v>25</v>
      </c>
      <c r="I227" s="88">
        <f>SUMIFS(StockInData[Quantity],StockInData[Product ID],ProductMaster!$B228)-SUMIFS(StockOutData[Quantity],StockOutData[Product ID],ProductMaster!$B228)</f>
        <v>50</v>
      </c>
      <c r="J227" s="92">
        <f>SUMIFS(StockInData[Value],StockInData[Product ID],ProductMaster!$B228)-SUMIFS(StockOutData[Value],StockOutData[Product ID],ProductMaster!$B228)</f>
        <v>125</v>
      </c>
    </row>
    <row r="228" spans="1:10" x14ac:dyDescent="0.25">
      <c r="A228" s="87">
        <v>227</v>
      </c>
      <c r="B228" s="88" t="s">
        <v>473</v>
      </c>
      <c r="C228" s="89" t="s">
        <v>474</v>
      </c>
      <c r="D228" s="88" t="s">
        <v>869</v>
      </c>
      <c r="E228" s="88" t="s">
        <v>875</v>
      </c>
      <c r="F228" s="90">
        <v>10</v>
      </c>
      <c r="G228" s="91">
        <f>StockInData[Expiry]</f>
        <v>44365</v>
      </c>
      <c r="H228" s="88">
        <v>25</v>
      </c>
      <c r="I228" s="88">
        <f>SUMIFS(StockInData[Quantity],StockInData[Product ID],ProductMaster!$B229)-SUMIFS(StockOutData[Quantity],StockOutData[Product ID],ProductMaster!$B229)</f>
        <v>30</v>
      </c>
      <c r="J228" s="92">
        <f>SUMIFS(StockInData[Value],StockInData[Product ID],ProductMaster!$B229)-SUMIFS(StockOutData[Value],StockOutData[Product ID],ProductMaster!$B229)</f>
        <v>75</v>
      </c>
    </row>
    <row r="229" spans="1:10" x14ac:dyDescent="0.25">
      <c r="A229" s="87">
        <v>228</v>
      </c>
      <c r="B229" s="88" t="s">
        <v>475</v>
      </c>
      <c r="C229" s="89" t="s">
        <v>476</v>
      </c>
      <c r="D229" s="88" t="s">
        <v>869</v>
      </c>
      <c r="E229" s="88" t="s">
        <v>875</v>
      </c>
      <c r="F229" s="90">
        <v>10</v>
      </c>
      <c r="G229" s="91">
        <f>StockInData[Expiry]</f>
        <v>44367</v>
      </c>
      <c r="H229" s="88">
        <v>25</v>
      </c>
      <c r="I229" s="88">
        <f>SUMIFS(StockInData[Quantity],StockInData[Product ID],ProductMaster!$B230)-SUMIFS(StockOutData[Quantity],StockOutData[Product ID],ProductMaster!$B230)</f>
        <v>20</v>
      </c>
      <c r="J229" s="92">
        <f>SUMIFS(StockInData[Value],StockInData[Product ID],ProductMaster!$B230)-SUMIFS(StockOutData[Value],StockOutData[Product ID],ProductMaster!$B230)</f>
        <v>50</v>
      </c>
    </row>
    <row r="230" spans="1:10" x14ac:dyDescent="0.25">
      <c r="A230" s="87">
        <v>229</v>
      </c>
      <c r="B230" s="88" t="s">
        <v>477</v>
      </c>
      <c r="C230" s="89" t="s">
        <v>478</v>
      </c>
      <c r="D230" s="88" t="s">
        <v>869</v>
      </c>
      <c r="E230" s="88" t="s">
        <v>875</v>
      </c>
      <c r="F230" s="90">
        <v>10</v>
      </c>
      <c r="G230" s="91">
        <f>StockInData[Expiry]</f>
        <v>44369</v>
      </c>
      <c r="H230" s="88">
        <v>25</v>
      </c>
      <c r="I230" s="88">
        <f>SUMIFS(StockInData[Quantity],StockInData[Product ID],ProductMaster!$B231)-SUMIFS(StockOutData[Quantity],StockOutData[Product ID],ProductMaster!$B231)</f>
        <v>15</v>
      </c>
      <c r="J230" s="92">
        <f>SUMIFS(StockInData[Value],StockInData[Product ID],ProductMaster!$B231)-SUMIFS(StockOutData[Value],StockOutData[Product ID],ProductMaster!$B231)</f>
        <v>37.5</v>
      </c>
    </row>
    <row r="231" spans="1:10" x14ac:dyDescent="0.25">
      <c r="A231" s="87">
        <v>230</v>
      </c>
      <c r="B231" s="88" t="s">
        <v>479</v>
      </c>
      <c r="C231" s="89" t="s">
        <v>480</v>
      </c>
      <c r="D231" s="88" t="s">
        <v>869</v>
      </c>
      <c r="E231" s="88" t="s">
        <v>875</v>
      </c>
      <c r="F231" s="90">
        <v>10</v>
      </c>
      <c r="G231" s="91">
        <f>StockInData[Expiry]</f>
        <v>44371</v>
      </c>
      <c r="H231" s="88">
        <v>25</v>
      </c>
      <c r="I231" s="88">
        <f>SUMIFS(StockInData[Quantity],StockInData[Product ID],ProductMaster!$B232)-SUMIFS(StockOutData[Quantity],StockOutData[Product ID],ProductMaster!$B232)</f>
        <v>10</v>
      </c>
      <c r="J231" s="92">
        <f>SUMIFS(StockInData[Value],StockInData[Product ID],ProductMaster!$B232)-SUMIFS(StockOutData[Value],StockOutData[Product ID],ProductMaster!$B232)</f>
        <v>25</v>
      </c>
    </row>
    <row r="232" spans="1:10" x14ac:dyDescent="0.25">
      <c r="A232" s="87">
        <v>231</v>
      </c>
      <c r="B232" s="88" t="s">
        <v>481</v>
      </c>
      <c r="C232" s="89" t="s">
        <v>482</v>
      </c>
      <c r="D232" s="88" t="s">
        <v>869</v>
      </c>
      <c r="E232" s="88" t="s">
        <v>875</v>
      </c>
      <c r="F232" s="90">
        <v>10</v>
      </c>
      <c r="G232" s="91">
        <f>StockInData[Expiry]</f>
        <v>44373</v>
      </c>
      <c r="H232" s="88">
        <v>25</v>
      </c>
      <c r="I232" s="88">
        <f>SUMIFS(StockInData[Quantity],StockInData[Product ID],ProductMaster!$B233)-SUMIFS(StockOutData[Quantity],StockOutData[Product ID],ProductMaster!$B233)</f>
        <v>12</v>
      </c>
      <c r="J232" s="92">
        <f>SUMIFS(StockInData[Value],StockInData[Product ID],ProductMaster!$B233)-SUMIFS(StockOutData[Value],StockOutData[Product ID],ProductMaster!$B233)</f>
        <v>30</v>
      </c>
    </row>
    <row r="233" spans="1:10" x14ac:dyDescent="0.25">
      <c r="A233" s="87">
        <v>232</v>
      </c>
      <c r="B233" s="88" t="s">
        <v>483</v>
      </c>
      <c r="C233" s="89" t="s">
        <v>484</v>
      </c>
      <c r="D233" s="88" t="s">
        <v>869</v>
      </c>
      <c r="E233" s="88" t="s">
        <v>875</v>
      </c>
      <c r="F233" s="90">
        <v>10</v>
      </c>
      <c r="G233" s="91">
        <f>StockInData[Expiry]</f>
        <v>44375</v>
      </c>
      <c r="H233" s="88">
        <v>25</v>
      </c>
      <c r="I233" s="88">
        <f>SUMIFS(StockInData[Quantity],StockInData[Product ID],ProductMaster!$B234)-SUMIFS(StockOutData[Quantity],StockOutData[Product ID],ProductMaster!$B234)</f>
        <v>8</v>
      </c>
      <c r="J233" s="92">
        <f>SUMIFS(StockInData[Value],StockInData[Product ID],ProductMaster!$B234)-SUMIFS(StockOutData[Value],StockOutData[Product ID],ProductMaster!$B234)</f>
        <v>20</v>
      </c>
    </row>
    <row r="234" spans="1:10" x14ac:dyDescent="0.25">
      <c r="A234" s="87">
        <v>233</v>
      </c>
      <c r="B234" s="88" t="s">
        <v>485</v>
      </c>
      <c r="C234" s="89" t="s">
        <v>486</v>
      </c>
      <c r="D234" s="88" t="s">
        <v>869</v>
      </c>
      <c r="E234" s="88" t="s">
        <v>875</v>
      </c>
      <c r="F234" s="90">
        <v>10</v>
      </c>
      <c r="G234" s="91">
        <f>StockInData[Expiry]</f>
        <v>44377</v>
      </c>
      <c r="H234" s="88">
        <v>25</v>
      </c>
      <c r="I234" s="88">
        <f>SUMIFS(StockInData[Quantity],StockInData[Product ID],ProductMaster!$B235)-SUMIFS(StockOutData[Quantity],StockOutData[Product ID],ProductMaster!$B235)</f>
        <v>41</v>
      </c>
      <c r="J234" s="92">
        <f>SUMIFS(StockInData[Value],StockInData[Product ID],ProductMaster!$B235)-SUMIFS(StockOutData[Value],StockOutData[Product ID],ProductMaster!$B235)</f>
        <v>114.5</v>
      </c>
    </row>
    <row r="235" spans="1:10" x14ac:dyDescent="0.25">
      <c r="A235" s="87">
        <v>234</v>
      </c>
      <c r="B235" s="88" t="s">
        <v>487</v>
      </c>
      <c r="C235" s="89" t="s">
        <v>488</v>
      </c>
      <c r="D235" s="88" t="s">
        <v>869</v>
      </c>
      <c r="E235" s="88" t="s">
        <v>875</v>
      </c>
      <c r="F235" s="90">
        <v>10</v>
      </c>
      <c r="G235" s="91">
        <f>StockInData[Expiry]</f>
        <v>44379</v>
      </c>
      <c r="H235" s="88">
        <v>25</v>
      </c>
      <c r="I235" s="88">
        <f>SUMIFS(StockInData[Quantity],StockInData[Product ID],ProductMaster!$B236)-SUMIFS(StockOutData[Quantity],StockOutData[Product ID],ProductMaster!$B236)</f>
        <v>56</v>
      </c>
      <c r="J235" s="92">
        <f>SUMIFS(StockInData[Value],StockInData[Product ID],ProductMaster!$B236)-SUMIFS(StockOutData[Value],StockOutData[Product ID],ProductMaster!$B236)</f>
        <v>152</v>
      </c>
    </row>
    <row r="236" spans="1:10" x14ac:dyDescent="0.25">
      <c r="A236" s="87">
        <v>235</v>
      </c>
      <c r="B236" s="88" t="s">
        <v>489</v>
      </c>
      <c r="C236" s="89" t="s">
        <v>490</v>
      </c>
      <c r="D236" s="88" t="s">
        <v>869</v>
      </c>
      <c r="E236" s="88" t="s">
        <v>875</v>
      </c>
      <c r="F236" s="90">
        <v>10</v>
      </c>
      <c r="G236" s="91">
        <f>StockInData[Expiry]</f>
        <v>44381</v>
      </c>
      <c r="H236" s="88">
        <v>25</v>
      </c>
      <c r="I236" s="88">
        <f>SUMIFS(StockInData[Quantity],StockInData[Product ID],ProductMaster!$B237)-SUMIFS(StockOutData[Quantity],StockOutData[Product ID],ProductMaster!$B237)</f>
        <v>70</v>
      </c>
      <c r="J236" s="92">
        <f>SUMIFS(StockInData[Value],StockInData[Product ID],ProductMaster!$B237)-SUMIFS(StockOutData[Value],StockOutData[Product ID],ProductMaster!$B237)</f>
        <v>175</v>
      </c>
    </row>
    <row r="237" spans="1:10" x14ac:dyDescent="0.25">
      <c r="A237" s="87">
        <v>236</v>
      </c>
      <c r="B237" s="88" t="s">
        <v>491</v>
      </c>
      <c r="C237" s="89" t="s">
        <v>492</v>
      </c>
      <c r="D237" s="88" t="s">
        <v>869</v>
      </c>
      <c r="E237" s="88" t="s">
        <v>875</v>
      </c>
      <c r="F237" s="90">
        <v>10</v>
      </c>
      <c r="G237" s="91">
        <f>StockInData[Expiry]</f>
        <v>44383</v>
      </c>
      <c r="H237" s="88">
        <v>25</v>
      </c>
      <c r="I237" s="88">
        <f>SUMIFS(StockInData[Quantity],StockInData[Product ID],ProductMaster!$B238)-SUMIFS(StockOutData[Quantity],StockOutData[Product ID],ProductMaster!$B238)</f>
        <v>86</v>
      </c>
      <c r="J237" s="92">
        <f>SUMIFS(StockInData[Value],StockInData[Product ID],ProductMaster!$B238)-SUMIFS(StockOutData[Value],StockOutData[Product ID],ProductMaster!$B238)</f>
        <v>215</v>
      </c>
    </row>
    <row r="238" spans="1:10" x14ac:dyDescent="0.25">
      <c r="A238" s="87">
        <v>237</v>
      </c>
      <c r="B238" s="88" t="s">
        <v>493</v>
      </c>
      <c r="C238" s="89" t="s">
        <v>494</v>
      </c>
      <c r="D238" s="88" t="s">
        <v>869</v>
      </c>
      <c r="E238" s="88" t="s">
        <v>875</v>
      </c>
      <c r="F238" s="90">
        <v>10</v>
      </c>
      <c r="G238" s="91">
        <f>StockInData[Expiry]</f>
        <v>44385</v>
      </c>
      <c r="H238" s="88">
        <v>25</v>
      </c>
      <c r="I238" s="88">
        <f>SUMIFS(StockInData[Quantity],StockInData[Product ID],ProductMaster!$B239)-SUMIFS(StockOutData[Quantity],StockOutData[Product ID],ProductMaster!$B239)</f>
        <v>96</v>
      </c>
      <c r="J238" s="92">
        <f>SUMIFS(StockInData[Value],StockInData[Product ID],ProductMaster!$B239)-SUMIFS(StockOutData[Value],StockOutData[Product ID],ProductMaster!$B239)</f>
        <v>240</v>
      </c>
    </row>
    <row r="239" spans="1:10" x14ac:dyDescent="0.25">
      <c r="A239" s="87">
        <v>238</v>
      </c>
      <c r="B239" s="88" t="s">
        <v>495</v>
      </c>
      <c r="C239" s="89" t="s">
        <v>496</v>
      </c>
      <c r="D239" s="88" t="s">
        <v>869</v>
      </c>
      <c r="E239" s="88" t="s">
        <v>875</v>
      </c>
      <c r="F239" s="90">
        <v>10</v>
      </c>
      <c r="G239" s="91">
        <f>StockInData[Expiry]</f>
        <v>44387</v>
      </c>
      <c r="H239" s="88">
        <v>25</v>
      </c>
      <c r="I239" s="88">
        <f>SUMIFS(StockInData[Quantity],StockInData[Product ID],ProductMaster!$B240)-SUMIFS(StockOutData[Quantity],StockOutData[Product ID],ProductMaster!$B240)</f>
        <v>93</v>
      </c>
      <c r="J239" s="92">
        <f>SUMIFS(StockInData[Value],StockInData[Product ID],ProductMaster!$B240)-SUMIFS(StockOutData[Value],StockOutData[Product ID],ProductMaster!$B240)</f>
        <v>232.5</v>
      </c>
    </row>
    <row r="240" spans="1:10" x14ac:dyDescent="0.25">
      <c r="A240" s="87">
        <v>239</v>
      </c>
      <c r="B240" s="88" t="s">
        <v>497</v>
      </c>
      <c r="C240" s="89" t="s">
        <v>498</v>
      </c>
      <c r="D240" s="88" t="s">
        <v>869</v>
      </c>
      <c r="E240" s="88" t="s">
        <v>875</v>
      </c>
      <c r="F240" s="90">
        <v>10</v>
      </c>
      <c r="G240" s="91">
        <f>StockInData[Expiry]</f>
        <v>44389</v>
      </c>
      <c r="H240" s="88">
        <v>25</v>
      </c>
      <c r="I240" s="88">
        <f>SUMIFS(StockInData[Quantity],StockInData[Product ID],ProductMaster!$B241)-SUMIFS(StockOutData[Quantity],StockOutData[Product ID],ProductMaster!$B241)</f>
        <v>45</v>
      </c>
      <c r="J240" s="92">
        <f>SUMIFS(StockInData[Value],StockInData[Product ID],ProductMaster!$B241)-SUMIFS(StockOutData[Value],StockOutData[Product ID],ProductMaster!$B241)</f>
        <v>112.5</v>
      </c>
    </row>
    <row r="241" spans="1:10" x14ac:dyDescent="0.25">
      <c r="A241" s="87">
        <v>240</v>
      </c>
      <c r="B241" s="88" t="s">
        <v>499</v>
      </c>
      <c r="C241" s="89" t="s">
        <v>500</v>
      </c>
      <c r="D241" s="88" t="s">
        <v>869</v>
      </c>
      <c r="E241" s="88" t="s">
        <v>875</v>
      </c>
      <c r="F241" s="90">
        <v>10</v>
      </c>
      <c r="G241" s="91">
        <f>StockInData[Expiry]</f>
        <v>44391</v>
      </c>
      <c r="H241" s="88">
        <v>25</v>
      </c>
      <c r="I241" s="88">
        <f>SUMIFS(StockInData[Quantity],StockInData[Product ID],ProductMaster!$B242)-SUMIFS(StockOutData[Quantity],StockOutData[Product ID],ProductMaster!$B242)</f>
        <v>22</v>
      </c>
      <c r="J241" s="92">
        <f>SUMIFS(StockInData[Value],StockInData[Product ID],ProductMaster!$B242)-SUMIFS(StockOutData[Value],StockOutData[Product ID],ProductMaster!$B242)</f>
        <v>55</v>
      </c>
    </row>
    <row r="242" spans="1:10" x14ac:dyDescent="0.25">
      <c r="A242" s="87">
        <v>241</v>
      </c>
      <c r="B242" s="88" t="s">
        <v>501</v>
      </c>
      <c r="C242" s="89" t="s">
        <v>502</v>
      </c>
      <c r="D242" s="88" t="s">
        <v>869</v>
      </c>
      <c r="E242" s="88" t="s">
        <v>875</v>
      </c>
      <c r="F242" s="90">
        <v>10</v>
      </c>
      <c r="G242" s="91">
        <f>StockInData[Expiry]</f>
        <v>44393</v>
      </c>
      <c r="H242" s="88">
        <v>25</v>
      </c>
      <c r="I242" s="88">
        <f>SUMIFS(StockInData[Quantity],StockInData[Product ID],ProductMaster!$B243)-SUMIFS(StockOutData[Quantity],StockOutData[Product ID],ProductMaster!$B243)</f>
        <v>18</v>
      </c>
      <c r="J242" s="92">
        <f>SUMIFS(StockInData[Value],StockInData[Product ID],ProductMaster!$B243)-SUMIFS(StockOutData[Value],StockOutData[Product ID],ProductMaster!$B243)</f>
        <v>45</v>
      </c>
    </row>
    <row r="243" spans="1:10" x14ac:dyDescent="0.25">
      <c r="A243" s="87">
        <v>242</v>
      </c>
      <c r="B243" s="88" t="s">
        <v>503</v>
      </c>
      <c r="C243" s="89" t="s">
        <v>504</v>
      </c>
      <c r="D243" s="88" t="s">
        <v>869</v>
      </c>
      <c r="E243" s="88" t="s">
        <v>875</v>
      </c>
      <c r="F243" s="90">
        <v>10</v>
      </c>
      <c r="G243" s="91">
        <f>StockInData[Expiry]</f>
        <v>44395</v>
      </c>
      <c r="H243" s="88">
        <v>25</v>
      </c>
      <c r="I243" s="88">
        <f>SUMIFS(StockInData[Quantity],StockInData[Product ID],ProductMaster!$B244)-SUMIFS(StockOutData[Quantity],StockOutData[Product ID],ProductMaster!$B244)</f>
        <v>11</v>
      </c>
      <c r="J243" s="92">
        <f>SUMIFS(StockInData[Value],StockInData[Product ID],ProductMaster!$B244)-SUMIFS(StockOutData[Value],StockOutData[Product ID],ProductMaster!$B244)</f>
        <v>27.5</v>
      </c>
    </row>
    <row r="244" spans="1:10" x14ac:dyDescent="0.25">
      <c r="A244" s="87">
        <v>243</v>
      </c>
      <c r="B244" s="88" t="s">
        <v>505</v>
      </c>
      <c r="C244" s="89" t="s">
        <v>506</v>
      </c>
      <c r="D244" s="88" t="s">
        <v>869</v>
      </c>
      <c r="E244" s="88" t="s">
        <v>875</v>
      </c>
      <c r="F244" s="90">
        <v>10</v>
      </c>
      <c r="G244" s="91">
        <f>StockInData[Expiry]</f>
        <v>44397</v>
      </c>
      <c r="H244" s="88">
        <v>25</v>
      </c>
      <c r="I244" s="88">
        <f>SUMIFS(StockInData[Quantity],StockInData[Product ID],ProductMaster!$B245)-SUMIFS(StockOutData[Quantity],StockOutData[Product ID],ProductMaster!$B245)</f>
        <v>7</v>
      </c>
      <c r="J244" s="92">
        <f>SUMIFS(StockInData[Value],StockInData[Product ID],ProductMaster!$B245)-SUMIFS(StockOutData[Value],StockOutData[Product ID],ProductMaster!$B245)</f>
        <v>17.5</v>
      </c>
    </row>
    <row r="245" spans="1:10" x14ac:dyDescent="0.25">
      <c r="A245" s="87">
        <v>244</v>
      </c>
      <c r="B245" s="88" t="s">
        <v>507</v>
      </c>
      <c r="C245" s="89" t="s">
        <v>508</v>
      </c>
      <c r="D245" s="88" t="s">
        <v>869</v>
      </c>
      <c r="E245" s="88" t="s">
        <v>875</v>
      </c>
      <c r="F245" s="90">
        <v>10</v>
      </c>
      <c r="G245" s="91">
        <f>StockInData[Expiry]</f>
        <v>44399</v>
      </c>
      <c r="H245" s="88">
        <v>25</v>
      </c>
      <c r="I245" s="88">
        <f>SUMIFS(StockInData[Quantity],StockInData[Product ID],ProductMaster!$B246)-SUMIFS(StockOutData[Quantity],StockOutData[Product ID],ProductMaster!$B246)</f>
        <v>14</v>
      </c>
      <c r="J245" s="92">
        <f>SUMIFS(StockInData[Value],StockInData[Product ID],ProductMaster!$B246)-SUMIFS(StockOutData[Value],StockOutData[Product ID],ProductMaster!$B246)</f>
        <v>35</v>
      </c>
    </row>
    <row r="246" spans="1:10" x14ac:dyDescent="0.25">
      <c r="A246" s="87">
        <v>245</v>
      </c>
      <c r="B246" s="88" t="s">
        <v>509</v>
      </c>
      <c r="C246" s="89" t="s">
        <v>510</v>
      </c>
      <c r="D246" s="88" t="s">
        <v>869</v>
      </c>
      <c r="E246" s="88" t="s">
        <v>875</v>
      </c>
      <c r="F246" s="90">
        <v>10</v>
      </c>
      <c r="G246" s="91">
        <f>StockInData[Expiry]</f>
        <v>44401</v>
      </c>
      <c r="H246" s="88">
        <v>25</v>
      </c>
      <c r="I246" s="88">
        <f>SUMIFS(StockInData[Quantity],StockInData[Product ID],ProductMaster!$B247)-SUMIFS(StockOutData[Quantity],StockOutData[Product ID],ProductMaster!$B247)</f>
        <v>10</v>
      </c>
      <c r="J246" s="92">
        <f>SUMIFS(StockInData[Value],StockInData[Product ID],ProductMaster!$B247)-SUMIFS(StockOutData[Value],StockOutData[Product ID],ProductMaster!$B247)</f>
        <v>34.06</v>
      </c>
    </row>
    <row r="247" spans="1:10" x14ac:dyDescent="0.25">
      <c r="A247" s="87">
        <v>246</v>
      </c>
      <c r="B247" s="88" t="s">
        <v>511</v>
      </c>
      <c r="C247" s="89" t="s">
        <v>512</v>
      </c>
      <c r="D247" s="88" t="s">
        <v>869</v>
      </c>
      <c r="E247" s="88" t="s">
        <v>875</v>
      </c>
      <c r="F247" s="90">
        <v>10</v>
      </c>
      <c r="G247" s="91">
        <f>StockInData[Expiry]</f>
        <v>44403</v>
      </c>
      <c r="H247" s="88">
        <v>25</v>
      </c>
      <c r="I247" s="88">
        <f>SUMIFS(StockInData[Quantity],StockInData[Product ID],ProductMaster!$B248)-SUMIFS(StockOutData[Quantity],StockOutData[Product ID],ProductMaster!$B248)</f>
        <v>50</v>
      </c>
      <c r="J247" s="92">
        <f>SUMIFS(StockInData[Value],StockInData[Product ID],ProductMaster!$B248)-SUMIFS(StockOutData[Value],StockOutData[Product ID],ProductMaster!$B248)</f>
        <v>125</v>
      </c>
    </row>
    <row r="248" spans="1:10" x14ac:dyDescent="0.25">
      <c r="A248" s="87">
        <v>247</v>
      </c>
      <c r="B248" s="88" t="s">
        <v>513</v>
      </c>
      <c r="C248" s="89" t="s">
        <v>514</v>
      </c>
      <c r="D248" s="88" t="s">
        <v>869</v>
      </c>
      <c r="E248" s="88" t="s">
        <v>875</v>
      </c>
      <c r="F248" s="90">
        <v>10</v>
      </c>
      <c r="G248" s="91">
        <f>StockInData[Expiry]</f>
        <v>44405</v>
      </c>
      <c r="H248" s="88">
        <v>25</v>
      </c>
      <c r="I248" s="88">
        <f>SUMIFS(StockInData[Quantity],StockInData[Product ID],ProductMaster!$B249)-SUMIFS(StockOutData[Quantity],StockOutData[Product ID],ProductMaster!$B249)</f>
        <v>56</v>
      </c>
      <c r="J248" s="92">
        <f>SUMIFS(StockInData[Value],StockInData[Product ID],ProductMaster!$B249)-SUMIFS(StockOutData[Value],StockOutData[Product ID],ProductMaster!$B249)</f>
        <v>140</v>
      </c>
    </row>
    <row r="249" spans="1:10" x14ac:dyDescent="0.25">
      <c r="A249" s="87">
        <v>248</v>
      </c>
      <c r="B249" s="88" t="s">
        <v>515</v>
      </c>
      <c r="C249" s="89" t="s">
        <v>516</v>
      </c>
      <c r="D249" s="88" t="s">
        <v>869</v>
      </c>
      <c r="E249" s="88" t="s">
        <v>875</v>
      </c>
      <c r="F249" s="90">
        <v>10</v>
      </c>
      <c r="G249" s="91">
        <f>StockInData[Expiry]</f>
        <v>44407</v>
      </c>
      <c r="H249" s="88">
        <v>25</v>
      </c>
      <c r="I249" s="88">
        <f>SUMIFS(StockInData[Quantity],StockInData[Product ID],ProductMaster!$B250)-SUMIFS(StockOutData[Quantity],StockOutData[Product ID],ProductMaster!$B250)</f>
        <v>72</v>
      </c>
      <c r="J249" s="92">
        <f>SUMIFS(StockInData[Value],StockInData[Product ID],ProductMaster!$B250)-SUMIFS(StockOutData[Value],StockOutData[Product ID],ProductMaster!$B250)</f>
        <v>180</v>
      </c>
    </row>
    <row r="250" spans="1:10" x14ac:dyDescent="0.25">
      <c r="A250" s="87">
        <v>249</v>
      </c>
      <c r="B250" s="88" t="s">
        <v>517</v>
      </c>
      <c r="C250" s="89" t="s">
        <v>518</v>
      </c>
      <c r="D250" s="88" t="s">
        <v>869</v>
      </c>
      <c r="E250" s="88" t="s">
        <v>875</v>
      </c>
      <c r="F250" s="90">
        <v>10</v>
      </c>
      <c r="G250" s="91">
        <f>StockInData[Expiry]</f>
        <v>44409</v>
      </c>
      <c r="H250" s="88">
        <v>25</v>
      </c>
      <c r="I250" s="88">
        <f>SUMIFS(StockInData[Quantity],StockInData[Product ID],ProductMaster!$B251)-SUMIFS(StockOutData[Quantity],StockOutData[Product ID],ProductMaster!$B251)</f>
        <v>89</v>
      </c>
      <c r="J250" s="92">
        <f>SUMIFS(StockInData[Value],StockInData[Product ID],ProductMaster!$B251)-SUMIFS(StockOutData[Value],StockOutData[Product ID],ProductMaster!$B251)</f>
        <v>222.5</v>
      </c>
    </row>
    <row r="251" spans="1:10" x14ac:dyDescent="0.25">
      <c r="A251" s="87">
        <v>250</v>
      </c>
      <c r="B251" s="88" t="s">
        <v>519</v>
      </c>
      <c r="C251" s="89" t="s">
        <v>520</v>
      </c>
      <c r="D251" s="88" t="s">
        <v>869</v>
      </c>
      <c r="E251" s="88" t="s">
        <v>875</v>
      </c>
      <c r="F251" s="90">
        <v>10</v>
      </c>
      <c r="G251" s="91">
        <f>StockInData[Expiry]</f>
        <v>44411</v>
      </c>
      <c r="H251" s="88">
        <v>25</v>
      </c>
      <c r="I251" s="88">
        <f>SUMIFS(StockInData[Quantity],StockInData[Product ID],ProductMaster!$B252)-SUMIFS(StockOutData[Quantity],StockOutData[Product ID],ProductMaster!$B252)</f>
        <v>91</v>
      </c>
      <c r="J251" s="92">
        <f>SUMIFS(StockInData[Value],StockInData[Product ID],ProductMaster!$B252)-SUMIFS(StockOutData[Value],StockOutData[Product ID],ProductMaster!$B252)</f>
        <v>227.5</v>
      </c>
    </row>
    <row r="252" spans="1:10" x14ac:dyDescent="0.25">
      <c r="A252" s="87">
        <v>251</v>
      </c>
      <c r="B252" s="88" t="s">
        <v>521</v>
      </c>
      <c r="C252" s="89" t="s">
        <v>522</v>
      </c>
      <c r="D252" s="88" t="s">
        <v>869</v>
      </c>
      <c r="E252" s="88" t="s">
        <v>875</v>
      </c>
      <c r="F252" s="90">
        <v>10</v>
      </c>
      <c r="G252" s="91">
        <f>StockInData[Expiry]</f>
        <v>44413</v>
      </c>
      <c r="H252" s="88">
        <v>25</v>
      </c>
      <c r="I252" s="88">
        <f>SUMIFS(StockInData[Quantity],StockInData[Product ID],ProductMaster!$B253)-SUMIFS(StockOutData[Quantity],StockOutData[Product ID],ProductMaster!$B253)</f>
        <v>90</v>
      </c>
      <c r="J252" s="92">
        <f>SUMIFS(StockInData[Value],StockInData[Product ID],ProductMaster!$B253)-SUMIFS(StockOutData[Value],StockOutData[Product ID],ProductMaster!$B253)</f>
        <v>225</v>
      </c>
    </row>
    <row r="253" spans="1:10" x14ac:dyDescent="0.25">
      <c r="A253" s="87">
        <v>252</v>
      </c>
      <c r="B253" s="88" t="s">
        <v>523</v>
      </c>
      <c r="C253" s="89" t="s">
        <v>524</v>
      </c>
      <c r="D253" s="88" t="s">
        <v>869</v>
      </c>
      <c r="E253" s="88" t="s">
        <v>875</v>
      </c>
      <c r="F253" s="90">
        <v>10</v>
      </c>
      <c r="G253" s="91">
        <f>StockInData[Expiry]</f>
        <v>44415</v>
      </c>
      <c r="H253" s="88">
        <v>25</v>
      </c>
      <c r="I253" s="88">
        <f>SUMIFS(StockInData[Quantity],StockInData[Product ID],ProductMaster!$B254)-SUMIFS(StockOutData[Quantity],StockOutData[Product ID],ProductMaster!$B254)</f>
        <v>90</v>
      </c>
      <c r="J253" s="92">
        <f>SUMIFS(StockInData[Value],StockInData[Product ID],ProductMaster!$B254)-SUMIFS(StockOutData[Value],StockOutData[Product ID],ProductMaster!$B254)</f>
        <v>225</v>
      </c>
    </row>
    <row r="254" spans="1:10" x14ac:dyDescent="0.25">
      <c r="A254" s="87">
        <v>253</v>
      </c>
      <c r="B254" s="88" t="s">
        <v>525</v>
      </c>
      <c r="C254" s="89" t="s">
        <v>526</v>
      </c>
      <c r="D254" s="88" t="s">
        <v>869</v>
      </c>
      <c r="E254" s="88" t="s">
        <v>875</v>
      </c>
      <c r="F254" s="90">
        <v>10</v>
      </c>
      <c r="G254" s="91">
        <f>StockInData[Expiry]</f>
        <v>44417</v>
      </c>
      <c r="H254" s="88">
        <v>25</v>
      </c>
      <c r="I254" s="88">
        <f>SUMIFS(StockInData[Quantity],StockInData[Product ID],ProductMaster!$B255)-SUMIFS(StockOutData[Quantity],StockOutData[Product ID],ProductMaster!$B255)</f>
        <v>93</v>
      </c>
      <c r="J254" s="92">
        <f>SUMIFS(StockInData[Value],StockInData[Product ID],ProductMaster!$B255)-SUMIFS(StockOutData[Value],StockOutData[Product ID],ProductMaster!$B255)</f>
        <v>232.5</v>
      </c>
    </row>
    <row r="255" spans="1:10" x14ac:dyDescent="0.25">
      <c r="A255" s="87">
        <v>254</v>
      </c>
      <c r="B255" s="88" t="s">
        <v>527</v>
      </c>
      <c r="C255" s="89" t="s">
        <v>528</v>
      </c>
      <c r="D255" s="88" t="s">
        <v>869</v>
      </c>
      <c r="E255" s="88" t="s">
        <v>875</v>
      </c>
      <c r="F255" s="90">
        <v>10</v>
      </c>
      <c r="G255" s="91">
        <f>StockInData[Expiry]</f>
        <v>44419</v>
      </c>
      <c r="H255" s="88">
        <v>25</v>
      </c>
      <c r="I255" s="88">
        <f>SUMIFS(StockInData[Quantity],StockInData[Product ID],ProductMaster!$B256)-SUMIFS(StockOutData[Quantity],StockOutData[Product ID],ProductMaster!$B256)</f>
        <v>85</v>
      </c>
      <c r="J255" s="92">
        <f>SUMIFS(StockInData[Value],StockInData[Product ID],ProductMaster!$B256)-SUMIFS(StockOutData[Value],StockOutData[Product ID],ProductMaster!$B256)</f>
        <v>212.5</v>
      </c>
    </row>
    <row r="256" spans="1:10" x14ac:dyDescent="0.25">
      <c r="A256" s="87">
        <v>255</v>
      </c>
      <c r="B256" s="88" t="s">
        <v>529</v>
      </c>
      <c r="C256" s="89" t="s">
        <v>530</v>
      </c>
      <c r="D256" s="88" t="s">
        <v>869</v>
      </c>
      <c r="E256" s="88" t="s">
        <v>875</v>
      </c>
      <c r="F256" s="90">
        <v>10</v>
      </c>
      <c r="G256" s="91">
        <f>StockInData[Expiry]</f>
        <v>44421</v>
      </c>
      <c r="H256" s="88">
        <v>25</v>
      </c>
      <c r="I256" s="88">
        <f>SUMIFS(StockInData[Quantity],StockInData[Product ID],ProductMaster!$B257)-SUMIFS(StockOutData[Quantity],StockOutData[Product ID],ProductMaster!$B257)</f>
        <v>82</v>
      </c>
      <c r="J256" s="92">
        <f>SUMIFS(StockInData[Value],StockInData[Product ID],ProductMaster!$B257)-SUMIFS(StockOutData[Value],StockOutData[Product ID],ProductMaster!$B257)</f>
        <v>205</v>
      </c>
    </row>
    <row r="257" spans="1:10" x14ac:dyDescent="0.25">
      <c r="A257" s="87">
        <v>256</v>
      </c>
      <c r="B257" s="88" t="s">
        <v>531</v>
      </c>
      <c r="C257" s="89" t="s">
        <v>532</v>
      </c>
      <c r="D257" s="88" t="s">
        <v>869</v>
      </c>
      <c r="E257" s="88" t="s">
        <v>875</v>
      </c>
      <c r="F257" s="90">
        <v>10</v>
      </c>
      <c r="G257" s="91">
        <f>StockInData[Expiry]</f>
        <v>44423</v>
      </c>
      <c r="H257" s="88">
        <v>25</v>
      </c>
      <c r="I257" s="88">
        <f>SUMIFS(StockInData[Quantity],StockInData[Product ID],ProductMaster!$B258)-SUMIFS(StockOutData[Quantity],StockOutData[Product ID],ProductMaster!$B258)</f>
        <v>88</v>
      </c>
      <c r="J257" s="92">
        <f>SUMIFS(StockInData[Value],StockInData[Product ID],ProductMaster!$B258)-SUMIFS(StockOutData[Value],StockOutData[Product ID],ProductMaster!$B258)</f>
        <v>220</v>
      </c>
    </row>
    <row r="258" spans="1:10" x14ac:dyDescent="0.25">
      <c r="A258" s="87">
        <v>257</v>
      </c>
      <c r="B258" s="88" t="s">
        <v>533</v>
      </c>
      <c r="C258" s="89" t="s">
        <v>534</v>
      </c>
      <c r="D258" s="88" t="s">
        <v>869</v>
      </c>
      <c r="E258" s="88" t="s">
        <v>875</v>
      </c>
      <c r="F258" s="90">
        <v>10</v>
      </c>
      <c r="G258" s="91">
        <f>StockInData[Expiry]</f>
        <v>44425</v>
      </c>
      <c r="H258" s="88">
        <v>25</v>
      </c>
      <c r="I258" s="88">
        <f>SUMIFS(StockInData[Quantity],StockInData[Product ID],ProductMaster!$B259)-SUMIFS(StockOutData[Quantity],StockOutData[Product ID],ProductMaster!$B259)</f>
        <v>26</v>
      </c>
      <c r="J258" s="92">
        <f>SUMIFS(StockInData[Value],StockInData[Product ID],ProductMaster!$B259)-SUMIFS(StockOutData[Value],StockOutData[Product ID],ProductMaster!$B259)</f>
        <v>65</v>
      </c>
    </row>
    <row r="259" spans="1:10" x14ac:dyDescent="0.25">
      <c r="A259" s="87">
        <v>258</v>
      </c>
      <c r="B259" s="88" t="s">
        <v>535</v>
      </c>
      <c r="C259" s="89" t="s">
        <v>536</v>
      </c>
      <c r="D259" s="88" t="s">
        <v>869</v>
      </c>
      <c r="E259" s="88" t="s">
        <v>875</v>
      </c>
      <c r="F259" s="90">
        <v>10</v>
      </c>
      <c r="G259" s="91">
        <f>StockInData[Expiry]</f>
        <v>44427</v>
      </c>
      <c r="H259" s="88">
        <v>25</v>
      </c>
      <c r="I259" s="88">
        <f>SUMIFS(StockInData[Quantity],StockInData[Product ID],ProductMaster!$B260)-SUMIFS(StockOutData[Quantity],StockOutData[Product ID],ProductMaster!$B260)</f>
        <v>17</v>
      </c>
      <c r="J259" s="92">
        <f>SUMIFS(StockInData[Value],StockInData[Product ID],ProductMaster!$B260)-SUMIFS(StockOutData[Value],StockOutData[Product ID],ProductMaster!$B260)</f>
        <v>42.5</v>
      </c>
    </row>
    <row r="260" spans="1:10" x14ac:dyDescent="0.25">
      <c r="A260" s="87">
        <v>259</v>
      </c>
      <c r="B260" s="88" t="s">
        <v>537</v>
      </c>
      <c r="C260" s="89" t="s">
        <v>538</v>
      </c>
      <c r="D260" s="88" t="s">
        <v>869</v>
      </c>
      <c r="E260" s="88" t="s">
        <v>875</v>
      </c>
      <c r="F260" s="90">
        <v>10</v>
      </c>
      <c r="G260" s="91">
        <f>StockInData[Expiry]</f>
        <v>44429</v>
      </c>
      <c r="H260" s="88">
        <v>25</v>
      </c>
      <c r="I260" s="88">
        <f>SUMIFS(StockInData[Quantity],StockInData[Product ID],ProductMaster!$B261)-SUMIFS(StockOutData[Quantity],StockOutData[Product ID],ProductMaster!$B261)</f>
        <v>20</v>
      </c>
      <c r="J260" s="92">
        <f>SUMIFS(StockInData[Value],StockInData[Product ID],ProductMaster!$B261)-SUMIFS(StockOutData[Value],StockOutData[Product ID],ProductMaster!$B261)</f>
        <v>50</v>
      </c>
    </row>
    <row r="261" spans="1:10" x14ac:dyDescent="0.25">
      <c r="A261" s="87">
        <v>260</v>
      </c>
      <c r="B261" s="88" t="s">
        <v>539</v>
      </c>
      <c r="C261" s="89" t="s">
        <v>540</v>
      </c>
      <c r="D261" s="88" t="s">
        <v>869</v>
      </c>
      <c r="E261" s="88" t="s">
        <v>875</v>
      </c>
      <c r="F261" s="90">
        <v>10</v>
      </c>
      <c r="G261" s="91">
        <f>StockInData[Expiry]</f>
        <v>44431</v>
      </c>
      <c r="H261" s="88">
        <v>25</v>
      </c>
      <c r="I261" s="88">
        <f>SUMIFS(StockInData[Quantity],StockInData[Product ID],ProductMaster!$B262)-SUMIFS(StockOutData[Quantity],StockOutData[Product ID],ProductMaster!$B262)</f>
        <v>13</v>
      </c>
      <c r="J261" s="92">
        <f>SUMIFS(StockInData[Value],StockInData[Product ID],ProductMaster!$B262)-SUMIFS(StockOutData[Value],StockOutData[Product ID],ProductMaster!$B262)</f>
        <v>32.5</v>
      </c>
    </row>
    <row r="262" spans="1:10" x14ac:dyDescent="0.25">
      <c r="A262" s="87">
        <v>261</v>
      </c>
      <c r="B262" s="88" t="s">
        <v>541</v>
      </c>
      <c r="C262" s="89" t="s">
        <v>542</v>
      </c>
      <c r="D262" s="88" t="s">
        <v>869</v>
      </c>
      <c r="E262" s="88" t="s">
        <v>875</v>
      </c>
      <c r="F262" s="90">
        <v>10</v>
      </c>
      <c r="G262" s="91">
        <f>StockInData[Expiry]</f>
        <v>44433</v>
      </c>
      <c r="H262" s="88">
        <v>25</v>
      </c>
      <c r="I262" s="88">
        <f>SUMIFS(StockInData[Quantity],StockInData[Product ID],ProductMaster!$B263)-SUMIFS(StockOutData[Quantity],StockOutData[Product ID],ProductMaster!$B263)</f>
        <v>4</v>
      </c>
      <c r="J262" s="92">
        <f>SUMIFS(StockInData[Value],StockInData[Product ID],ProductMaster!$B263)-SUMIFS(StockOutData[Value],StockOutData[Product ID],ProductMaster!$B263)</f>
        <v>10</v>
      </c>
    </row>
    <row r="263" spans="1:10" x14ac:dyDescent="0.25">
      <c r="A263" s="87">
        <v>262</v>
      </c>
      <c r="B263" s="88" t="s">
        <v>543</v>
      </c>
      <c r="C263" s="89" t="s">
        <v>544</v>
      </c>
      <c r="D263" s="88" t="s">
        <v>869</v>
      </c>
      <c r="E263" s="88" t="s">
        <v>875</v>
      </c>
      <c r="F263" s="90">
        <v>10</v>
      </c>
      <c r="G263" s="91">
        <f>StockInData[Expiry]</f>
        <v>44435</v>
      </c>
      <c r="H263" s="88">
        <v>25</v>
      </c>
      <c r="I263" s="88">
        <f>SUMIFS(StockInData[Quantity],StockInData[Product ID],ProductMaster!$B264)-SUMIFS(StockOutData[Quantity],StockOutData[Product ID],ProductMaster!$B264)</f>
        <v>5</v>
      </c>
      <c r="J263" s="92">
        <f>SUMIFS(StockInData[Value],StockInData[Product ID],ProductMaster!$B264)-SUMIFS(StockOutData[Value],StockOutData[Product ID],ProductMaster!$B264)</f>
        <v>12.5</v>
      </c>
    </row>
    <row r="264" spans="1:10" x14ac:dyDescent="0.25">
      <c r="A264" s="87">
        <v>263</v>
      </c>
      <c r="B264" s="88" t="s">
        <v>545</v>
      </c>
      <c r="C264" s="89" t="s">
        <v>546</v>
      </c>
      <c r="D264" s="88" t="s">
        <v>869</v>
      </c>
      <c r="E264" s="88" t="s">
        <v>875</v>
      </c>
      <c r="F264" s="90">
        <v>10</v>
      </c>
      <c r="G264" s="91">
        <f>StockInData[Expiry]</f>
        <v>44437</v>
      </c>
      <c r="H264" s="88">
        <v>25</v>
      </c>
      <c r="I264" s="88">
        <f>SUMIFS(StockInData[Quantity],StockInData[Product ID],ProductMaster!$B265)-SUMIFS(StockOutData[Quantity],StockOutData[Product ID],ProductMaster!$B265)</f>
        <v>53</v>
      </c>
      <c r="J264" s="92">
        <f>SUMIFS(StockInData[Value],StockInData[Product ID],ProductMaster!$B265)-SUMIFS(StockOutData[Value],StockOutData[Product ID],ProductMaster!$B265)</f>
        <v>132.5</v>
      </c>
    </row>
    <row r="265" spans="1:10" x14ac:dyDescent="0.25">
      <c r="A265" s="87">
        <v>264</v>
      </c>
      <c r="B265" s="88" t="s">
        <v>547</v>
      </c>
      <c r="C265" s="89" t="s">
        <v>548</v>
      </c>
      <c r="D265" s="88" t="s">
        <v>869</v>
      </c>
      <c r="E265" s="88" t="s">
        <v>875</v>
      </c>
      <c r="F265" s="90">
        <v>10</v>
      </c>
      <c r="G265" s="91">
        <f>StockInData[Expiry]</f>
        <v>44439</v>
      </c>
      <c r="H265" s="88">
        <v>25</v>
      </c>
      <c r="I265" s="88">
        <f>SUMIFS(StockInData[Quantity],StockInData[Product ID],ProductMaster!$B266)-SUMIFS(StockOutData[Quantity],StockOutData[Product ID],ProductMaster!$B266)</f>
        <v>60</v>
      </c>
      <c r="J265" s="92">
        <f>SUMIFS(StockInData[Value],StockInData[Product ID],ProductMaster!$B266)-SUMIFS(StockOutData[Value],StockOutData[Product ID],ProductMaster!$B266)</f>
        <v>150</v>
      </c>
    </row>
    <row r="266" spans="1:10" x14ac:dyDescent="0.25">
      <c r="A266" s="87">
        <v>265</v>
      </c>
      <c r="B266" s="88" t="s">
        <v>549</v>
      </c>
      <c r="C266" s="89" t="s">
        <v>550</v>
      </c>
      <c r="D266" s="88" t="s">
        <v>869</v>
      </c>
      <c r="E266" s="88" t="s">
        <v>875</v>
      </c>
      <c r="F266" s="90">
        <v>10</v>
      </c>
      <c r="G266" s="91">
        <f>StockInData[Expiry]</f>
        <v>44441</v>
      </c>
      <c r="H266" s="88">
        <v>25</v>
      </c>
      <c r="I266" s="88">
        <f>SUMIFS(StockInData[Quantity],StockInData[Product ID],ProductMaster!$B267)-SUMIFS(StockOutData[Quantity],StockOutData[Product ID],ProductMaster!$B267)</f>
        <v>71</v>
      </c>
      <c r="J266" s="92">
        <f>SUMIFS(StockInData[Value],StockInData[Product ID],ProductMaster!$B267)-SUMIFS(StockOutData[Value],StockOutData[Product ID],ProductMaster!$B267)</f>
        <v>177.5</v>
      </c>
    </row>
    <row r="267" spans="1:10" x14ac:dyDescent="0.25">
      <c r="A267" s="87">
        <v>266</v>
      </c>
      <c r="B267" s="88" t="s">
        <v>551</v>
      </c>
      <c r="C267" s="89" t="s">
        <v>552</v>
      </c>
      <c r="D267" s="88" t="s">
        <v>869</v>
      </c>
      <c r="E267" s="88" t="s">
        <v>875</v>
      </c>
      <c r="F267" s="90">
        <v>10</v>
      </c>
      <c r="G267" s="91">
        <f>StockInData[Expiry]</f>
        <v>44443</v>
      </c>
      <c r="H267" s="88">
        <v>25</v>
      </c>
      <c r="I267" s="88">
        <f>SUMIFS(StockInData[Quantity],StockInData[Product ID],ProductMaster!$B268)-SUMIFS(StockOutData[Quantity],StockOutData[Product ID],ProductMaster!$B268)</f>
        <v>94</v>
      </c>
      <c r="J267" s="92">
        <f>SUMIFS(StockInData[Value],StockInData[Product ID],ProductMaster!$B268)-SUMIFS(StockOutData[Value],StockOutData[Product ID],ProductMaster!$B268)</f>
        <v>235</v>
      </c>
    </row>
    <row r="268" spans="1:10" x14ac:dyDescent="0.25">
      <c r="A268" s="87">
        <v>267</v>
      </c>
      <c r="B268" s="88" t="s">
        <v>553</v>
      </c>
      <c r="C268" s="89" t="s">
        <v>554</v>
      </c>
      <c r="D268" s="88" t="s">
        <v>869</v>
      </c>
      <c r="E268" s="88" t="s">
        <v>875</v>
      </c>
      <c r="F268" s="90">
        <v>10</v>
      </c>
      <c r="G268" s="91">
        <f>StockInData[Expiry]</f>
        <v>44445</v>
      </c>
      <c r="H268" s="88">
        <v>25</v>
      </c>
      <c r="I268" s="88">
        <f>SUMIFS(StockInData[Quantity],StockInData[Product ID],ProductMaster!$B269)-SUMIFS(StockOutData[Quantity],StockOutData[Product ID],ProductMaster!$B269)</f>
        <v>94</v>
      </c>
      <c r="J268" s="92">
        <f>SUMIFS(StockInData[Value],StockInData[Product ID],ProductMaster!$B269)-SUMIFS(StockOutData[Value],StockOutData[Product ID],ProductMaster!$B269)</f>
        <v>235</v>
      </c>
    </row>
    <row r="269" spans="1:10" x14ac:dyDescent="0.25">
      <c r="A269" s="87">
        <v>268</v>
      </c>
      <c r="B269" s="88" t="s">
        <v>555</v>
      </c>
      <c r="C269" s="89" t="s">
        <v>556</v>
      </c>
      <c r="D269" s="88" t="s">
        <v>869</v>
      </c>
      <c r="E269" s="88" t="s">
        <v>875</v>
      </c>
      <c r="F269" s="90">
        <v>10</v>
      </c>
      <c r="G269" s="91">
        <f>StockInData[Expiry]</f>
        <v>44447</v>
      </c>
      <c r="H269" s="88">
        <v>25</v>
      </c>
      <c r="I269" s="88">
        <f>SUMIFS(StockInData[Quantity],StockInData[Product ID],ProductMaster!$B270)-SUMIFS(StockOutData[Quantity],StockOutData[Product ID],ProductMaster!$B270)</f>
        <v>45</v>
      </c>
      <c r="J269" s="92">
        <f>SUMIFS(StockInData[Value],StockInData[Product ID],ProductMaster!$B270)-SUMIFS(StockOutData[Value],StockOutData[Product ID],ProductMaster!$B270)</f>
        <v>112.5</v>
      </c>
    </row>
    <row r="270" spans="1:10" x14ac:dyDescent="0.25">
      <c r="A270" s="87">
        <v>269</v>
      </c>
      <c r="B270" s="88" t="s">
        <v>557</v>
      </c>
      <c r="C270" s="89" t="s">
        <v>558</v>
      </c>
      <c r="D270" s="88" t="s">
        <v>869</v>
      </c>
      <c r="E270" s="88" t="s">
        <v>875</v>
      </c>
      <c r="F270" s="90">
        <v>10</v>
      </c>
      <c r="G270" s="91">
        <f>StockInData[Expiry]</f>
        <v>44449</v>
      </c>
      <c r="H270" s="88">
        <v>25</v>
      </c>
      <c r="I270" s="88">
        <f>SUMIFS(StockInData[Quantity],StockInData[Product ID],ProductMaster!$B271)-SUMIFS(StockOutData[Quantity],StockOutData[Product ID],ProductMaster!$B271)</f>
        <v>22</v>
      </c>
      <c r="J270" s="92">
        <f>SUMIFS(StockInData[Value],StockInData[Product ID],ProductMaster!$B271)-SUMIFS(StockOutData[Value],StockOutData[Product ID],ProductMaster!$B271)</f>
        <v>55</v>
      </c>
    </row>
    <row r="271" spans="1:10" x14ac:dyDescent="0.25">
      <c r="A271" s="87">
        <v>270</v>
      </c>
      <c r="B271" s="88" t="s">
        <v>559</v>
      </c>
      <c r="C271" s="89" t="s">
        <v>560</v>
      </c>
      <c r="D271" s="88" t="s">
        <v>869</v>
      </c>
      <c r="E271" s="88" t="s">
        <v>875</v>
      </c>
      <c r="F271" s="90">
        <v>10</v>
      </c>
      <c r="G271" s="91">
        <f>StockInData[Expiry]</f>
        <v>44451</v>
      </c>
      <c r="H271" s="88">
        <v>25</v>
      </c>
      <c r="I271" s="88">
        <f>SUMIFS(StockInData[Quantity],StockInData[Product ID],ProductMaster!$B272)-SUMIFS(StockOutData[Quantity],StockOutData[Product ID],ProductMaster!$B272)</f>
        <v>18</v>
      </c>
      <c r="J271" s="92">
        <f>SUMIFS(StockInData[Value],StockInData[Product ID],ProductMaster!$B272)-SUMIFS(StockOutData[Value],StockOutData[Product ID],ProductMaster!$B272)</f>
        <v>45</v>
      </c>
    </row>
    <row r="272" spans="1:10" x14ac:dyDescent="0.25">
      <c r="A272" s="87">
        <v>271</v>
      </c>
      <c r="B272" s="88" t="s">
        <v>561</v>
      </c>
      <c r="C272" s="89" t="s">
        <v>562</v>
      </c>
      <c r="D272" s="88" t="s">
        <v>869</v>
      </c>
      <c r="E272" s="88" t="s">
        <v>875</v>
      </c>
      <c r="F272" s="90">
        <v>10</v>
      </c>
      <c r="G272" s="91">
        <f>StockInData[Expiry]</f>
        <v>44453</v>
      </c>
      <c r="H272" s="88">
        <v>25</v>
      </c>
      <c r="I272" s="88">
        <f>SUMIFS(StockInData[Quantity],StockInData[Product ID],ProductMaster!$B273)-SUMIFS(StockOutData[Quantity],StockOutData[Product ID],ProductMaster!$B273)</f>
        <v>15</v>
      </c>
      <c r="J272" s="92">
        <f>SUMIFS(StockInData[Value],StockInData[Product ID],ProductMaster!$B273)-SUMIFS(StockOutData[Value],StockOutData[Product ID],ProductMaster!$B273)</f>
        <v>37.5</v>
      </c>
    </row>
    <row r="273" spans="1:10" x14ac:dyDescent="0.25">
      <c r="A273" s="87">
        <v>272</v>
      </c>
      <c r="B273" s="88" t="s">
        <v>563</v>
      </c>
      <c r="C273" s="89" t="s">
        <v>564</v>
      </c>
      <c r="D273" s="88" t="s">
        <v>869</v>
      </c>
      <c r="E273" s="88" t="s">
        <v>875</v>
      </c>
      <c r="F273" s="90">
        <v>10</v>
      </c>
      <c r="G273" s="91">
        <f>StockInData[Expiry]</f>
        <v>44455</v>
      </c>
      <c r="H273" s="88">
        <v>25</v>
      </c>
      <c r="I273" s="88">
        <f>SUMIFS(StockInData[Quantity],StockInData[Product ID],ProductMaster!$B274)-SUMIFS(StockOutData[Quantity],StockOutData[Product ID],ProductMaster!$B274)</f>
        <v>10</v>
      </c>
      <c r="J273" s="92">
        <f>SUMIFS(StockInData[Value],StockInData[Product ID],ProductMaster!$B274)-SUMIFS(StockOutData[Value],StockOutData[Product ID],ProductMaster!$B274)</f>
        <v>25</v>
      </c>
    </row>
    <row r="274" spans="1:10" x14ac:dyDescent="0.25">
      <c r="A274" s="87">
        <v>273</v>
      </c>
      <c r="B274" s="88" t="s">
        <v>565</v>
      </c>
      <c r="C274" s="89" t="s">
        <v>566</v>
      </c>
      <c r="D274" s="88" t="s">
        <v>869</v>
      </c>
      <c r="E274" s="88" t="s">
        <v>875</v>
      </c>
      <c r="F274" s="90">
        <v>10</v>
      </c>
      <c r="G274" s="91">
        <f>StockInData[Expiry]</f>
        <v>44457</v>
      </c>
      <c r="H274" s="88">
        <v>25</v>
      </c>
      <c r="I274" s="88">
        <f>SUMIFS(StockInData[Quantity],StockInData[Product ID],ProductMaster!$B275)-SUMIFS(StockOutData[Quantity],StockOutData[Product ID],ProductMaster!$B275)</f>
        <v>9</v>
      </c>
      <c r="J274" s="92">
        <f>SUMIFS(StockInData[Value],StockInData[Product ID],ProductMaster!$B275)-SUMIFS(StockOutData[Value],StockOutData[Product ID],ProductMaster!$B275)</f>
        <v>22.5</v>
      </c>
    </row>
    <row r="275" spans="1:10" x14ac:dyDescent="0.25">
      <c r="A275" s="87">
        <v>274</v>
      </c>
      <c r="B275" s="88" t="s">
        <v>567</v>
      </c>
      <c r="C275" s="89" t="s">
        <v>568</v>
      </c>
      <c r="D275" s="88" t="s">
        <v>869</v>
      </c>
      <c r="E275" s="88" t="s">
        <v>875</v>
      </c>
      <c r="F275" s="90">
        <v>10</v>
      </c>
      <c r="G275" s="91">
        <f>StockInData[Expiry]</f>
        <v>44459</v>
      </c>
      <c r="H275" s="88">
        <v>25</v>
      </c>
      <c r="I275" s="88">
        <f>SUMIFS(StockInData[Quantity],StockInData[Product ID],ProductMaster!$B276)-SUMIFS(StockOutData[Quantity],StockOutData[Product ID],ProductMaster!$B276)</f>
        <v>13</v>
      </c>
      <c r="J275" s="92">
        <f>SUMIFS(StockInData[Value],StockInData[Product ID],ProductMaster!$B276)-SUMIFS(StockOutData[Value],StockOutData[Product ID],ProductMaster!$B276)</f>
        <v>32.5</v>
      </c>
    </row>
    <row r="276" spans="1:10" x14ac:dyDescent="0.25">
      <c r="A276" s="87">
        <v>275</v>
      </c>
      <c r="B276" s="88" t="s">
        <v>569</v>
      </c>
      <c r="C276" s="89" t="s">
        <v>570</v>
      </c>
      <c r="D276" s="88" t="s">
        <v>869</v>
      </c>
      <c r="E276" s="88" t="s">
        <v>875</v>
      </c>
      <c r="F276" s="90">
        <v>10</v>
      </c>
      <c r="G276" s="91">
        <f>StockInData[Expiry]</f>
        <v>44461</v>
      </c>
      <c r="H276" s="88">
        <v>25</v>
      </c>
      <c r="I276" s="88">
        <f>SUMIFS(StockInData[Quantity],StockInData[Product ID],ProductMaster!$B277)-SUMIFS(StockOutData[Quantity],StockOutData[Product ID],ProductMaster!$B277)</f>
        <v>58</v>
      </c>
      <c r="J276" s="92">
        <f>SUMIFS(StockInData[Value],StockInData[Product ID],ProductMaster!$B277)-SUMIFS(StockOutData[Value],StockOutData[Product ID],ProductMaster!$B277)</f>
        <v>145</v>
      </c>
    </row>
    <row r="277" spans="1:10" x14ac:dyDescent="0.25">
      <c r="A277" s="87">
        <v>276</v>
      </c>
      <c r="B277" s="88" t="s">
        <v>571</v>
      </c>
      <c r="C277" s="89" t="s">
        <v>572</v>
      </c>
      <c r="D277" s="88" t="s">
        <v>869</v>
      </c>
      <c r="E277" s="88" t="s">
        <v>875</v>
      </c>
      <c r="F277" s="90">
        <v>10</v>
      </c>
      <c r="G277" s="91">
        <f>StockInData[Expiry]</f>
        <v>44463</v>
      </c>
      <c r="H277" s="88">
        <v>25</v>
      </c>
      <c r="I277" s="88">
        <f>SUMIFS(StockInData[Quantity],StockInData[Product ID],ProductMaster!$B278)-SUMIFS(StockOutData[Quantity],StockOutData[Product ID],ProductMaster!$B278)</f>
        <v>59</v>
      </c>
      <c r="J277" s="92">
        <f>SUMIFS(StockInData[Value],StockInData[Product ID],ProductMaster!$B278)-SUMIFS(StockOutData[Value],StockOutData[Product ID],ProductMaster!$B278)</f>
        <v>147.5</v>
      </c>
    </row>
    <row r="278" spans="1:10" x14ac:dyDescent="0.25">
      <c r="A278" s="87">
        <v>277</v>
      </c>
      <c r="B278" s="88" t="s">
        <v>573</v>
      </c>
      <c r="C278" s="89" t="s">
        <v>574</v>
      </c>
      <c r="D278" s="88" t="s">
        <v>869</v>
      </c>
      <c r="E278" s="88" t="s">
        <v>875</v>
      </c>
      <c r="F278" s="90">
        <v>10</v>
      </c>
      <c r="G278" s="91">
        <f>StockInData[Expiry]</f>
        <v>44465</v>
      </c>
      <c r="H278" s="88">
        <v>25</v>
      </c>
      <c r="I278" s="88">
        <f>SUMIFS(StockInData[Quantity],StockInData[Product ID],ProductMaster!$B279)-SUMIFS(StockOutData[Quantity],StockOutData[Product ID],ProductMaster!$B279)</f>
        <v>66</v>
      </c>
      <c r="J278" s="92">
        <f>SUMIFS(StockInData[Value],StockInData[Product ID],ProductMaster!$B279)-SUMIFS(StockOutData[Value],StockOutData[Product ID],ProductMaster!$B279)</f>
        <v>165</v>
      </c>
    </row>
    <row r="279" spans="1:10" x14ac:dyDescent="0.25">
      <c r="A279" s="87">
        <v>278</v>
      </c>
      <c r="B279" s="88" t="s">
        <v>575</v>
      </c>
      <c r="C279" s="89" t="s">
        <v>576</v>
      </c>
      <c r="D279" s="88" t="s">
        <v>869</v>
      </c>
      <c r="E279" s="88" t="s">
        <v>875</v>
      </c>
      <c r="F279" s="90">
        <v>10</v>
      </c>
      <c r="G279" s="91">
        <f>StockInData[Expiry]</f>
        <v>44467</v>
      </c>
      <c r="H279" s="88">
        <v>25</v>
      </c>
      <c r="I279" s="88">
        <f>SUMIFS(StockInData[Quantity],StockInData[Product ID],ProductMaster!$B280)-SUMIFS(StockOutData[Quantity],StockOutData[Product ID],ProductMaster!$B280)</f>
        <v>87</v>
      </c>
      <c r="J279" s="92">
        <f>SUMIFS(StockInData[Value],StockInData[Product ID],ProductMaster!$B280)-SUMIFS(StockOutData[Value],StockOutData[Product ID],ProductMaster!$B280)</f>
        <v>217.5</v>
      </c>
    </row>
    <row r="280" spans="1:10" x14ac:dyDescent="0.25">
      <c r="A280" s="87">
        <v>279</v>
      </c>
      <c r="B280" s="88" t="s">
        <v>577</v>
      </c>
      <c r="C280" s="89" t="s">
        <v>578</v>
      </c>
      <c r="D280" s="88" t="s">
        <v>869</v>
      </c>
      <c r="E280" s="88" t="s">
        <v>875</v>
      </c>
      <c r="F280" s="90">
        <v>10</v>
      </c>
      <c r="G280" s="91">
        <f>StockInData[Expiry]</f>
        <v>44469</v>
      </c>
      <c r="H280" s="88">
        <v>25</v>
      </c>
      <c r="I280" s="88">
        <f>SUMIFS(StockInData[Quantity],StockInData[Product ID],ProductMaster!$B281)-SUMIFS(StockOutData[Quantity],StockOutData[Product ID],ProductMaster!$B281)</f>
        <v>87</v>
      </c>
      <c r="J280" s="92">
        <f>SUMIFS(StockInData[Value],StockInData[Product ID],ProductMaster!$B281)-SUMIFS(StockOutData[Value],StockOutData[Product ID],ProductMaster!$B281)</f>
        <v>217.5</v>
      </c>
    </row>
    <row r="281" spans="1:10" x14ac:dyDescent="0.25">
      <c r="A281" s="87">
        <v>280</v>
      </c>
      <c r="B281" s="88" t="s">
        <v>579</v>
      </c>
      <c r="C281" s="89" t="s">
        <v>580</v>
      </c>
      <c r="D281" s="88" t="s">
        <v>869</v>
      </c>
      <c r="E281" s="88" t="s">
        <v>875</v>
      </c>
      <c r="F281" s="90">
        <v>10</v>
      </c>
      <c r="G281" s="91">
        <f>StockInData[Expiry]</f>
        <v>44471</v>
      </c>
      <c r="H281" s="88">
        <v>25</v>
      </c>
      <c r="I281" s="88">
        <f>SUMIFS(StockInData[Quantity],StockInData[Product ID],ProductMaster!$B282)-SUMIFS(StockOutData[Quantity],StockOutData[Product ID],ProductMaster!$B282)</f>
        <v>47</v>
      </c>
      <c r="J281" s="92">
        <f>SUMIFS(StockInData[Value],StockInData[Product ID],ProductMaster!$B282)-SUMIFS(StockOutData[Value],StockOutData[Product ID],ProductMaster!$B282)</f>
        <v>117.5</v>
      </c>
    </row>
    <row r="282" spans="1:10" x14ac:dyDescent="0.25">
      <c r="A282" s="87">
        <v>281</v>
      </c>
      <c r="B282" s="88" t="s">
        <v>581</v>
      </c>
      <c r="C282" s="89" t="s">
        <v>582</v>
      </c>
      <c r="D282" s="88" t="s">
        <v>869</v>
      </c>
      <c r="E282" s="88" t="s">
        <v>875</v>
      </c>
      <c r="F282" s="90">
        <v>10</v>
      </c>
      <c r="G282" s="91">
        <f>StockInData[Expiry]</f>
        <v>44473</v>
      </c>
      <c r="H282" s="88">
        <v>25</v>
      </c>
      <c r="I282" s="88">
        <f>SUMIFS(StockInData[Quantity],StockInData[Product ID],ProductMaster!$B283)-SUMIFS(StockOutData[Quantity],StockOutData[Product ID],ProductMaster!$B283)</f>
        <v>35</v>
      </c>
      <c r="J282" s="92">
        <f>SUMIFS(StockInData[Value],StockInData[Product ID],ProductMaster!$B283)-SUMIFS(StockOutData[Value],StockOutData[Product ID],ProductMaster!$B283)</f>
        <v>87.5</v>
      </c>
    </row>
    <row r="283" spans="1:10" x14ac:dyDescent="0.25">
      <c r="A283" s="87">
        <v>282</v>
      </c>
      <c r="B283" s="88" t="s">
        <v>583</v>
      </c>
      <c r="C283" s="89" t="s">
        <v>584</v>
      </c>
      <c r="D283" s="88" t="s">
        <v>869</v>
      </c>
      <c r="E283" s="88" t="s">
        <v>875</v>
      </c>
      <c r="F283" s="90">
        <v>10</v>
      </c>
      <c r="G283" s="91">
        <f>StockInData[Expiry]</f>
        <v>44475</v>
      </c>
      <c r="H283" s="88">
        <v>25</v>
      </c>
      <c r="I283" s="88">
        <f>SUMIFS(StockInData[Quantity],StockInData[Product ID],ProductMaster!$B284)-SUMIFS(StockOutData[Quantity],StockOutData[Product ID],ProductMaster!$B284)</f>
        <v>23</v>
      </c>
      <c r="J283" s="92">
        <f>SUMIFS(StockInData[Value],StockInData[Product ID],ProductMaster!$B284)-SUMIFS(StockOutData[Value],StockOutData[Product ID],ProductMaster!$B284)</f>
        <v>57.5</v>
      </c>
    </row>
    <row r="284" spans="1:10" x14ac:dyDescent="0.25">
      <c r="A284" s="87">
        <v>283</v>
      </c>
      <c r="B284" s="88" t="s">
        <v>585</v>
      </c>
      <c r="C284" s="89" t="s">
        <v>586</v>
      </c>
      <c r="D284" s="88" t="s">
        <v>869</v>
      </c>
      <c r="E284" s="88" t="s">
        <v>875</v>
      </c>
      <c r="F284" s="90">
        <v>10</v>
      </c>
      <c r="G284" s="91">
        <f>StockInData[Expiry]</f>
        <v>44477</v>
      </c>
      <c r="H284" s="88">
        <v>25</v>
      </c>
      <c r="I284" s="88">
        <f>SUMIFS(StockInData[Quantity],StockInData[Product ID],ProductMaster!$B285)-SUMIFS(StockOutData[Quantity],StockOutData[Product ID],ProductMaster!$B285)</f>
        <v>10</v>
      </c>
      <c r="J284" s="92">
        <f>SUMIFS(StockInData[Value],StockInData[Product ID],ProductMaster!$B285)-SUMIFS(StockOutData[Value],StockOutData[Product ID],ProductMaster!$B285)</f>
        <v>25</v>
      </c>
    </row>
    <row r="285" spans="1:10" x14ac:dyDescent="0.25">
      <c r="A285" s="87">
        <v>284</v>
      </c>
      <c r="B285" s="88" t="s">
        <v>587</v>
      </c>
      <c r="C285" s="89" t="s">
        <v>588</v>
      </c>
      <c r="D285" s="88" t="s">
        <v>869</v>
      </c>
      <c r="E285" s="88" t="s">
        <v>875</v>
      </c>
      <c r="F285" s="90">
        <v>10</v>
      </c>
      <c r="G285" s="91">
        <f>StockInData[Expiry]</f>
        <v>44479</v>
      </c>
      <c r="H285" s="88">
        <v>25</v>
      </c>
      <c r="I285" s="88">
        <f>SUMIFS(StockInData[Quantity],StockInData[Product ID],ProductMaster!$B286)-SUMIFS(StockOutData[Quantity],StockOutData[Product ID],ProductMaster!$B286)</f>
        <v>2</v>
      </c>
      <c r="J285" s="92">
        <f>SUMIFS(StockInData[Value],StockInData[Product ID],ProductMaster!$B286)-SUMIFS(StockOutData[Value],StockOutData[Product ID],ProductMaster!$B286)</f>
        <v>5</v>
      </c>
    </row>
    <row r="286" spans="1:10" x14ac:dyDescent="0.25">
      <c r="A286" s="87">
        <v>285</v>
      </c>
      <c r="B286" s="88" t="s">
        <v>589</v>
      </c>
      <c r="C286" s="89" t="s">
        <v>590</v>
      </c>
      <c r="D286" s="88" t="s">
        <v>869</v>
      </c>
      <c r="E286" s="88" t="s">
        <v>875</v>
      </c>
      <c r="F286" s="90">
        <v>10</v>
      </c>
      <c r="G286" s="91">
        <f>StockInData[Expiry]</f>
        <v>44481</v>
      </c>
      <c r="H286" s="88">
        <v>25</v>
      </c>
      <c r="I286" s="88">
        <f>SUMIFS(StockInData[Quantity],StockInData[Product ID],ProductMaster!$B287)-SUMIFS(StockOutData[Quantity],StockOutData[Product ID],ProductMaster!$B287)</f>
        <v>7</v>
      </c>
      <c r="J286" s="92">
        <f>SUMIFS(StockInData[Value],StockInData[Product ID],ProductMaster!$B287)-SUMIFS(StockOutData[Value],StockOutData[Product ID],ProductMaster!$B287)</f>
        <v>17.5</v>
      </c>
    </row>
    <row r="287" spans="1:10" x14ac:dyDescent="0.25">
      <c r="A287" s="87">
        <v>286</v>
      </c>
      <c r="B287" s="88" t="s">
        <v>591</v>
      </c>
      <c r="C287" s="89" t="s">
        <v>592</v>
      </c>
      <c r="D287" s="88" t="s">
        <v>869</v>
      </c>
      <c r="E287" s="88" t="s">
        <v>875</v>
      </c>
      <c r="F287" s="90">
        <v>10</v>
      </c>
      <c r="G287" s="91">
        <f>StockInData[Expiry]</f>
        <v>44483</v>
      </c>
      <c r="H287" s="88">
        <v>25</v>
      </c>
      <c r="I287" s="88">
        <f>SUMIFS(StockInData[Quantity],StockInData[Product ID],ProductMaster!$B288)-SUMIFS(StockOutData[Quantity],StockOutData[Product ID],ProductMaster!$B288)</f>
        <v>9</v>
      </c>
      <c r="J287" s="92">
        <f>SUMIFS(StockInData[Value],StockInData[Product ID],ProductMaster!$B288)-SUMIFS(StockOutData[Value],StockOutData[Product ID],ProductMaster!$B288)</f>
        <v>22.5</v>
      </c>
    </row>
    <row r="288" spans="1:10" x14ac:dyDescent="0.25">
      <c r="A288" s="87">
        <v>287</v>
      </c>
      <c r="B288" s="88" t="s">
        <v>593</v>
      </c>
      <c r="C288" s="89" t="s">
        <v>594</v>
      </c>
      <c r="D288" s="88" t="s">
        <v>869</v>
      </c>
      <c r="E288" s="88" t="s">
        <v>875</v>
      </c>
      <c r="F288" s="90">
        <v>10</v>
      </c>
      <c r="G288" s="91">
        <f>StockInData[Expiry]</f>
        <v>44485</v>
      </c>
      <c r="H288" s="88">
        <v>25</v>
      </c>
      <c r="I288" s="88">
        <f>SUMIFS(StockInData[Quantity],StockInData[Product ID],ProductMaster!$B289)-SUMIFS(StockOutData[Quantity],StockOutData[Product ID],ProductMaster!$B289)</f>
        <v>52</v>
      </c>
      <c r="J288" s="92">
        <f>SUMIFS(StockInData[Value],StockInData[Product ID],ProductMaster!$B289)-SUMIFS(StockOutData[Value],StockOutData[Product ID],ProductMaster!$B289)</f>
        <v>130</v>
      </c>
    </row>
    <row r="289" spans="1:10" x14ac:dyDescent="0.25">
      <c r="A289" s="87">
        <v>288</v>
      </c>
      <c r="B289" s="88" t="s">
        <v>595</v>
      </c>
      <c r="C289" s="89" t="s">
        <v>596</v>
      </c>
      <c r="D289" s="88" t="s">
        <v>869</v>
      </c>
      <c r="E289" s="88" t="s">
        <v>875</v>
      </c>
      <c r="F289" s="90">
        <v>10</v>
      </c>
      <c r="G289" s="91">
        <f>StockInData[Expiry]</f>
        <v>44487</v>
      </c>
      <c r="H289" s="88">
        <v>25</v>
      </c>
      <c r="I289" s="88">
        <f>SUMIFS(StockInData[Quantity],StockInData[Product ID],ProductMaster!$B290)-SUMIFS(StockOutData[Quantity],StockOutData[Product ID],ProductMaster!$B290)</f>
        <v>69</v>
      </c>
      <c r="J289" s="92">
        <f>SUMIFS(StockInData[Value],StockInData[Product ID],ProductMaster!$B290)-SUMIFS(StockOutData[Value],StockOutData[Product ID],ProductMaster!$B290)</f>
        <v>172.5</v>
      </c>
    </row>
    <row r="290" spans="1:10" x14ac:dyDescent="0.25">
      <c r="A290" s="87">
        <v>289</v>
      </c>
      <c r="B290" s="88" t="s">
        <v>597</v>
      </c>
      <c r="C290" s="89" t="s">
        <v>598</v>
      </c>
      <c r="D290" s="88" t="s">
        <v>869</v>
      </c>
      <c r="E290" s="88" t="s">
        <v>875</v>
      </c>
      <c r="F290" s="90">
        <v>10</v>
      </c>
      <c r="G290" s="91">
        <f>StockInData[Expiry]</f>
        <v>44489</v>
      </c>
      <c r="H290" s="88">
        <v>25</v>
      </c>
      <c r="I290" s="88">
        <f>SUMIFS(StockInData[Quantity],StockInData[Product ID],ProductMaster!$B291)-SUMIFS(StockOutData[Quantity],StockOutData[Product ID],ProductMaster!$B291)</f>
        <v>77</v>
      </c>
      <c r="J290" s="92">
        <f>SUMIFS(StockInData[Value],StockInData[Product ID],ProductMaster!$B291)-SUMIFS(StockOutData[Value],StockOutData[Product ID],ProductMaster!$B291)</f>
        <v>192.5</v>
      </c>
    </row>
    <row r="291" spans="1:10" x14ac:dyDescent="0.25">
      <c r="A291" s="87">
        <v>290</v>
      </c>
      <c r="B291" s="88" t="s">
        <v>599</v>
      </c>
      <c r="C291" s="89" t="s">
        <v>600</v>
      </c>
      <c r="D291" s="88" t="s">
        <v>869</v>
      </c>
      <c r="E291" s="88" t="s">
        <v>875</v>
      </c>
      <c r="F291" s="90">
        <v>10</v>
      </c>
      <c r="G291" s="91">
        <f>StockInData[Expiry]</f>
        <v>44491</v>
      </c>
      <c r="H291" s="88">
        <v>25</v>
      </c>
      <c r="I291" s="88">
        <f>SUMIFS(StockInData[Quantity],StockInData[Product ID],ProductMaster!$B292)-SUMIFS(StockOutData[Quantity],StockOutData[Product ID],ProductMaster!$B292)</f>
        <v>84</v>
      </c>
      <c r="J291" s="92">
        <f>SUMIFS(StockInData[Value],StockInData[Product ID],ProductMaster!$B292)-SUMIFS(StockOutData[Value],StockOutData[Product ID],ProductMaster!$B292)</f>
        <v>210</v>
      </c>
    </row>
    <row r="292" spans="1:10" x14ac:dyDescent="0.25">
      <c r="A292" s="87">
        <v>291</v>
      </c>
      <c r="B292" s="88" t="s">
        <v>601</v>
      </c>
      <c r="C292" s="89" t="s">
        <v>602</v>
      </c>
      <c r="D292" s="88" t="s">
        <v>869</v>
      </c>
      <c r="E292" s="88" t="s">
        <v>875</v>
      </c>
      <c r="F292" s="90">
        <v>10</v>
      </c>
      <c r="G292" s="91">
        <f>StockInData[Expiry]</f>
        <v>44493</v>
      </c>
      <c r="H292" s="88">
        <v>25</v>
      </c>
      <c r="I292" s="88">
        <f>SUMIFS(StockInData[Quantity],StockInData[Product ID],ProductMaster!$B293)-SUMIFS(StockOutData[Quantity],StockOutData[Product ID],ProductMaster!$B293)</f>
        <v>83</v>
      </c>
      <c r="J292" s="92">
        <f>SUMIFS(StockInData[Value],StockInData[Product ID],ProductMaster!$B293)-SUMIFS(StockOutData[Value],StockOutData[Product ID],ProductMaster!$B293)</f>
        <v>207.5</v>
      </c>
    </row>
    <row r="293" spans="1:10" x14ac:dyDescent="0.25">
      <c r="A293" s="87">
        <v>292</v>
      </c>
      <c r="B293" s="88" t="s">
        <v>603</v>
      </c>
      <c r="C293" s="89" t="s">
        <v>604</v>
      </c>
      <c r="D293" s="88" t="s">
        <v>869</v>
      </c>
      <c r="E293" s="88" t="s">
        <v>875</v>
      </c>
      <c r="F293" s="90">
        <v>10</v>
      </c>
      <c r="G293" s="91">
        <f>StockInData[Expiry]</f>
        <v>44495</v>
      </c>
      <c r="H293" s="88">
        <v>25</v>
      </c>
      <c r="I293" s="88">
        <f>SUMIFS(StockInData[Quantity],StockInData[Product ID],ProductMaster!$B294)-SUMIFS(StockOutData[Quantity],StockOutData[Product ID],ProductMaster!$B294)</f>
        <v>88</v>
      </c>
      <c r="J293" s="92">
        <f>SUMIFS(StockInData[Value],StockInData[Product ID],ProductMaster!$B294)-SUMIFS(StockOutData[Value],StockOutData[Product ID],ProductMaster!$B294)</f>
        <v>220</v>
      </c>
    </row>
    <row r="294" spans="1:10" x14ac:dyDescent="0.25">
      <c r="A294" s="87">
        <v>293</v>
      </c>
      <c r="B294" s="88" t="s">
        <v>605</v>
      </c>
      <c r="C294" s="89" t="s">
        <v>606</v>
      </c>
      <c r="D294" s="88" t="s">
        <v>869</v>
      </c>
      <c r="E294" s="88" t="s">
        <v>875</v>
      </c>
      <c r="F294" s="90">
        <v>10</v>
      </c>
      <c r="G294" s="91">
        <f>StockInData[Expiry]</f>
        <v>44497</v>
      </c>
      <c r="H294" s="88">
        <v>25</v>
      </c>
      <c r="I294" s="88">
        <f>SUMIFS(StockInData[Quantity],StockInData[Product ID],ProductMaster!$B295)-SUMIFS(StockOutData[Quantity],StockOutData[Product ID],ProductMaster!$B295)</f>
        <v>50</v>
      </c>
      <c r="J294" s="92">
        <f>SUMIFS(StockInData[Value],StockInData[Product ID],ProductMaster!$B295)-SUMIFS(StockOutData[Value],StockOutData[Product ID],ProductMaster!$B295)</f>
        <v>125</v>
      </c>
    </row>
    <row r="295" spans="1:10" x14ac:dyDescent="0.25">
      <c r="A295" s="87">
        <v>294</v>
      </c>
      <c r="B295" s="88" t="s">
        <v>607</v>
      </c>
      <c r="C295" s="89" t="s">
        <v>608</v>
      </c>
      <c r="D295" s="88" t="s">
        <v>869</v>
      </c>
      <c r="E295" s="88" t="s">
        <v>875</v>
      </c>
      <c r="F295" s="90">
        <v>10</v>
      </c>
      <c r="G295" s="91">
        <f>StockInData[Expiry]</f>
        <v>44499</v>
      </c>
      <c r="H295" s="88">
        <v>25</v>
      </c>
      <c r="I295" s="88">
        <f>SUMIFS(StockInData[Quantity],StockInData[Product ID],ProductMaster!$B296)-SUMIFS(StockOutData[Quantity],StockOutData[Product ID],ProductMaster!$B296)</f>
        <v>30</v>
      </c>
      <c r="J295" s="92">
        <f>SUMIFS(StockInData[Value],StockInData[Product ID],ProductMaster!$B296)-SUMIFS(StockOutData[Value],StockOutData[Product ID],ProductMaster!$B296)</f>
        <v>75</v>
      </c>
    </row>
    <row r="296" spans="1:10" x14ac:dyDescent="0.25">
      <c r="A296" s="87">
        <v>295</v>
      </c>
      <c r="B296" s="88" t="s">
        <v>609</v>
      </c>
      <c r="C296" s="89" t="s">
        <v>610</v>
      </c>
      <c r="D296" s="88" t="s">
        <v>869</v>
      </c>
      <c r="E296" s="88" t="s">
        <v>875</v>
      </c>
      <c r="F296" s="90">
        <v>10</v>
      </c>
      <c r="G296" s="91">
        <f>StockInData[Expiry]</f>
        <v>44501</v>
      </c>
      <c r="H296" s="88">
        <v>25</v>
      </c>
      <c r="I296" s="88">
        <f>SUMIFS(StockInData[Quantity],StockInData[Product ID],ProductMaster!$B297)-SUMIFS(StockOutData[Quantity],StockOutData[Product ID],ProductMaster!$B297)</f>
        <v>20</v>
      </c>
      <c r="J296" s="92">
        <f>SUMIFS(StockInData[Value],StockInData[Product ID],ProductMaster!$B297)-SUMIFS(StockOutData[Value],StockOutData[Product ID],ProductMaster!$B297)</f>
        <v>50</v>
      </c>
    </row>
    <row r="297" spans="1:10" x14ac:dyDescent="0.25">
      <c r="A297" s="87">
        <v>296</v>
      </c>
      <c r="B297" s="88" t="s">
        <v>611</v>
      </c>
      <c r="C297" s="89" t="s">
        <v>612</v>
      </c>
      <c r="D297" s="88" t="s">
        <v>869</v>
      </c>
      <c r="E297" s="88" t="s">
        <v>875</v>
      </c>
      <c r="F297" s="90">
        <v>10</v>
      </c>
      <c r="G297" s="91">
        <f>StockInData[Expiry]</f>
        <v>44503</v>
      </c>
      <c r="H297" s="88">
        <v>25</v>
      </c>
      <c r="I297" s="88">
        <f>SUMIFS(StockInData[Quantity],StockInData[Product ID],ProductMaster!$B298)-SUMIFS(StockOutData[Quantity],StockOutData[Product ID],ProductMaster!$B298)</f>
        <v>3</v>
      </c>
      <c r="J297" s="92">
        <f>SUMIFS(StockInData[Value],StockInData[Product ID],ProductMaster!$B298)-SUMIFS(StockOutData[Value],StockOutData[Product ID],ProductMaster!$B298)</f>
        <v>-46.379999999999995</v>
      </c>
    </row>
    <row r="298" spans="1:10" x14ac:dyDescent="0.25">
      <c r="A298" s="87">
        <v>297</v>
      </c>
      <c r="B298" s="88" t="s">
        <v>613</v>
      </c>
      <c r="C298" s="89" t="s">
        <v>614</v>
      </c>
      <c r="D298" s="88" t="s">
        <v>869</v>
      </c>
      <c r="E298" s="88" t="s">
        <v>875</v>
      </c>
      <c r="F298" s="90">
        <v>10</v>
      </c>
      <c r="G298" s="91">
        <f>StockInData[Expiry]</f>
        <v>44505</v>
      </c>
      <c r="H298" s="88">
        <v>25</v>
      </c>
      <c r="I298" s="88">
        <f>SUMIFS(StockInData[Quantity],StockInData[Product ID],ProductMaster!$B299)-SUMIFS(StockOutData[Quantity],StockOutData[Product ID],ProductMaster!$B299)</f>
        <v>13</v>
      </c>
      <c r="J298" s="92">
        <f>SUMIFS(StockInData[Value],StockInData[Product ID],ProductMaster!$B299)-SUMIFS(StockOutData[Value],StockOutData[Product ID],ProductMaster!$B299)</f>
        <v>32.5</v>
      </c>
    </row>
    <row r="299" spans="1:10" x14ac:dyDescent="0.25">
      <c r="A299" s="87">
        <v>298</v>
      </c>
      <c r="B299" s="88" t="s">
        <v>615</v>
      </c>
      <c r="C299" s="89" t="s">
        <v>616</v>
      </c>
      <c r="D299" s="88" t="s">
        <v>869</v>
      </c>
      <c r="E299" s="88" t="s">
        <v>875</v>
      </c>
      <c r="F299" s="90">
        <v>10</v>
      </c>
      <c r="G299" s="91">
        <f>StockInData[Expiry]</f>
        <v>44507</v>
      </c>
      <c r="H299" s="88">
        <v>25</v>
      </c>
      <c r="I299" s="88">
        <f>SUMIFS(StockInData[Quantity],StockInData[Product ID],ProductMaster!$B300)-SUMIFS(StockOutData[Quantity],StockOutData[Product ID],ProductMaster!$B300)</f>
        <v>4</v>
      </c>
      <c r="J299" s="92">
        <f>SUMIFS(StockInData[Value],StockInData[Product ID],ProductMaster!$B300)-SUMIFS(StockOutData[Value],StockOutData[Product ID],ProductMaster!$B300)</f>
        <v>10</v>
      </c>
    </row>
    <row r="300" spans="1:10" x14ac:dyDescent="0.25">
      <c r="A300" s="87">
        <v>299</v>
      </c>
      <c r="B300" s="88" t="s">
        <v>617</v>
      </c>
      <c r="C300" s="89" t="s">
        <v>618</v>
      </c>
      <c r="D300" s="88" t="s">
        <v>869</v>
      </c>
      <c r="E300" s="88" t="s">
        <v>875</v>
      </c>
      <c r="F300" s="90">
        <v>10</v>
      </c>
      <c r="G300" s="91">
        <f>StockInData[Expiry]</f>
        <v>44509</v>
      </c>
      <c r="H300" s="88">
        <v>25</v>
      </c>
      <c r="I300" s="88">
        <f>SUMIFS(StockInData[Quantity],StockInData[Product ID],ProductMaster!$B301)-SUMIFS(StockOutData[Quantity],StockOutData[Product ID],ProductMaster!$B301)</f>
        <v>5</v>
      </c>
      <c r="J300" s="92">
        <f>SUMIFS(StockInData[Value],StockInData[Product ID],ProductMaster!$B301)-SUMIFS(StockOutData[Value],StockOutData[Product ID],ProductMaster!$B301)</f>
        <v>12.5</v>
      </c>
    </row>
    <row r="301" spans="1:10" x14ac:dyDescent="0.25">
      <c r="A301" s="87">
        <v>300</v>
      </c>
      <c r="B301" s="88" t="s">
        <v>619</v>
      </c>
      <c r="C301" s="89" t="s">
        <v>620</v>
      </c>
      <c r="D301" s="88" t="s">
        <v>869</v>
      </c>
      <c r="E301" s="88" t="s">
        <v>875</v>
      </c>
      <c r="F301" s="90">
        <v>10</v>
      </c>
      <c r="G301" s="91">
        <f>StockInData[Expiry]</f>
        <v>44511</v>
      </c>
      <c r="H301" s="88">
        <v>25</v>
      </c>
      <c r="I301" s="88">
        <f>SUMIFS(StockInData[Quantity],StockInData[Product ID],ProductMaster!$B302)-SUMIFS(StockOutData[Quantity],StockOutData[Product ID],ProductMaster!$B302)</f>
        <v>53</v>
      </c>
      <c r="J301" s="92">
        <f>SUMIFS(StockInData[Value],StockInData[Product ID],ProductMaster!$B302)-SUMIFS(StockOutData[Value],StockOutData[Product ID],ProductMaster!$B302)</f>
        <v>132.5</v>
      </c>
    </row>
    <row r="302" spans="1:10" x14ac:dyDescent="0.25">
      <c r="A302" s="87">
        <v>301</v>
      </c>
      <c r="B302" s="88" t="s">
        <v>621</v>
      </c>
      <c r="C302" s="89" t="s">
        <v>622</v>
      </c>
      <c r="D302" s="88" t="s">
        <v>869</v>
      </c>
      <c r="E302" s="88" t="s">
        <v>875</v>
      </c>
      <c r="F302" s="90">
        <v>10</v>
      </c>
      <c r="G302" s="91">
        <f>StockInData[Expiry]</f>
        <v>44513</v>
      </c>
      <c r="H302" s="88">
        <v>25</v>
      </c>
      <c r="I302" s="88">
        <f>SUMIFS(StockInData[Quantity],StockInData[Product ID],ProductMaster!$B303)-SUMIFS(StockOutData[Quantity],StockOutData[Product ID],ProductMaster!$B303)</f>
        <v>60</v>
      </c>
      <c r="J302" s="92">
        <f>SUMIFS(StockInData[Value],StockInData[Product ID],ProductMaster!$B303)-SUMIFS(StockOutData[Value],StockOutData[Product ID],ProductMaster!$B303)</f>
        <v>150</v>
      </c>
    </row>
    <row r="303" spans="1:10" x14ac:dyDescent="0.25">
      <c r="A303" s="87">
        <v>302</v>
      </c>
      <c r="B303" s="88" t="s">
        <v>623</v>
      </c>
      <c r="C303" s="89" t="s">
        <v>624</v>
      </c>
      <c r="D303" s="88" t="s">
        <v>869</v>
      </c>
      <c r="E303" s="88" t="s">
        <v>875</v>
      </c>
      <c r="F303" s="90">
        <v>10</v>
      </c>
      <c r="G303" s="91">
        <f>StockInData[Expiry]</f>
        <v>44515</v>
      </c>
      <c r="H303" s="88">
        <v>25</v>
      </c>
      <c r="I303" s="88">
        <f>SUMIFS(StockInData[Quantity],StockInData[Product ID],ProductMaster!$B304)-SUMIFS(StockOutData[Quantity],StockOutData[Product ID],ProductMaster!$B304)</f>
        <v>71</v>
      </c>
      <c r="J303" s="92">
        <f>SUMIFS(StockInData[Value],StockInData[Product ID],ProductMaster!$B304)-SUMIFS(StockOutData[Value],StockOutData[Product ID],ProductMaster!$B304)</f>
        <v>177.5</v>
      </c>
    </row>
    <row r="304" spans="1:10" x14ac:dyDescent="0.25">
      <c r="A304" s="87">
        <v>303</v>
      </c>
      <c r="B304" s="88" t="s">
        <v>625</v>
      </c>
      <c r="C304" s="89" t="s">
        <v>626</v>
      </c>
      <c r="D304" s="88" t="s">
        <v>869</v>
      </c>
      <c r="E304" s="88" t="s">
        <v>875</v>
      </c>
      <c r="F304" s="90">
        <v>10</v>
      </c>
      <c r="G304" s="91">
        <f>StockInData[Expiry]</f>
        <v>44517</v>
      </c>
      <c r="H304" s="88">
        <v>25</v>
      </c>
      <c r="I304" s="88">
        <f>SUMIFS(StockInData[Quantity],StockInData[Product ID],ProductMaster!$B305)-SUMIFS(StockOutData[Quantity],StockOutData[Product ID],ProductMaster!$B305)</f>
        <v>94</v>
      </c>
      <c r="J304" s="92">
        <f>SUMIFS(StockInData[Value],StockInData[Product ID],ProductMaster!$B305)-SUMIFS(StockOutData[Value],StockOutData[Product ID],ProductMaster!$B305)</f>
        <v>235</v>
      </c>
    </row>
    <row r="305" spans="1:10" x14ac:dyDescent="0.25">
      <c r="A305" s="87">
        <v>304</v>
      </c>
      <c r="B305" s="88" t="s">
        <v>627</v>
      </c>
      <c r="C305" s="89" t="s">
        <v>628</v>
      </c>
      <c r="D305" s="88" t="s">
        <v>869</v>
      </c>
      <c r="E305" s="88" t="s">
        <v>875</v>
      </c>
      <c r="F305" s="90">
        <v>10</v>
      </c>
      <c r="G305" s="91">
        <f>StockInData[Expiry]</f>
        <v>44519</v>
      </c>
      <c r="H305" s="88">
        <v>25</v>
      </c>
      <c r="I305" s="88">
        <f>SUMIFS(StockInData[Quantity],StockInData[Product ID],ProductMaster!$B306)-SUMIFS(StockOutData[Quantity],StockOutData[Product ID],ProductMaster!$B306)</f>
        <v>94</v>
      </c>
      <c r="J305" s="92">
        <f>SUMIFS(StockInData[Value],StockInData[Product ID],ProductMaster!$B306)-SUMIFS(StockOutData[Value],StockOutData[Product ID],ProductMaster!$B306)</f>
        <v>235</v>
      </c>
    </row>
    <row r="306" spans="1:10" x14ac:dyDescent="0.25">
      <c r="A306" s="87">
        <v>305</v>
      </c>
      <c r="B306" s="88" t="s">
        <v>629</v>
      </c>
      <c r="C306" s="89" t="s">
        <v>630</v>
      </c>
      <c r="D306" s="88" t="s">
        <v>869</v>
      </c>
      <c r="E306" s="88" t="s">
        <v>875</v>
      </c>
      <c r="F306" s="90">
        <v>10</v>
      </c>
      <c r="G306" s="91">
        <f>StockInData[Expiry]</f>
        <v>44521</v>
      </c>
      <c r="H306" s="88">
        <v>25</v>
      </c>
      <c r="I306" s="88">
        <f>SUMIFS(StockInData[Quantity],StockInData[Product ID],ProductMaster!$B307)-SUMIFS(StockOutData[Quantity],StockOutData[Product ID],ProductMaster!$B307)</f>
        <v>85</v>
      </c>
      <c r="J306" s="92">
        <f>SUMIFS(StockInData[Value],StockInData[Product ID],ProductMaster!$B307)-SUMIFS(StockOutData[Value],StockOutData[Product ID],ProductMaster!$B307)</f>
        <v>212.5</v>
      </c>
    </row>
    <row r="307" spans="1:10" x14ac:dyDescent="0.25">
      <c r="A307" s="87">
        <v>306</v>
      </c>
      <c r="B307" s="88" t="s">
        <v>631</v>
      </c>
      <c r="C307" s="89" t="s">
        <v>632</v>
      </c>
      <c r="D307" s="88" t="s">
        <v>869</v>
      </c>
      <c r="E307" s="88" t="s">
        <v>875</v>
      </c>
      <c r="F307" s="90">
        <v>10</v>
      </c>
      <c r="G307" s="91">
        <f>StockInData[Expiry]</f>
        <v>44523</v>
      </c>
      <c r="H307" s="88">
        <v>25</v>
      </c>
      <c r="I307" s="88">
        <f>SUMIFS(StockInData[Quantity],StockInData[Product ID],ProductMaster!$B308)-SUMIFS(StockOutData[Quantity],StockOutData[Product ID],ProductMaster!$B308)</f>
        <v>82</v>
      </c>
      <c r="J307" s="92">
        <f>SUMIFS(StockInData[Value],StockInData[Product ID],ProductMaster!$B308)-SUMIFS(StockOutData[Value],StockOutData[Product ID],ProductMaster!$B308)</f>
        <v>205</v>
      </c>
    </row>
    <row r="308" spans="1:10" x14ac:dyDescent="0.25">
      <c r="A308" s="87">
        <v>307</v>
      </c>
      <c r="B308" s="88" t="s">
        <v>633</v>
      </c>
      <c r="C308" s="89" t="s">
        <v>634</v>
      </c>
      <c r="D308" s="88" t="s">
        <v>869</v>
      </c>
      <c r="E308" s="88" t="s">
        <v>875</v>
      </c>
      <c r="F308" s="90">
        <v>10</v>
      </c>
      <c r="G308" s="91">
        <f>StockInData[Expiry]</f>
        <v>44525</v>
      </c>
      <c r="H308" s="88">
        <v>25</v>
      </c>
      <c r="I308" s="88">
        <f>SUMIFS(StockInData[Quantity],StockInData[Product ID],ProductMaster!$B309)-SUMIFS(StockOutData[Quantity],StockOutData[Product ID],ProductMaster!$B309)</f>
        <v>88</v>
      </c>
      <c r="J308" s="92">
        <f>SUMIFS(StockInData[Value],StockInData[Product ID],ProductMaster!$B309)-SUMIFS(StockOutData[Value],StockOutData[Product ID],ProductMaster!$B309)</f>
        <v>220</v>
      </c>
    </row>
    <row r="309" spans="1:10" x14ac:dyDescent="0.25">
      <c r="A309" s="87">
        <v>308</v>
      </c>
      <c r="B309" s="88" t="s">
        <v>635</v>
      </c>
      <c r="C309" s="89" t="s">
        <v>636</v>
      </c>
      <c r="D309" s="88" t="s">
        <v>869</v>
      </c>
      <c r="E309" s="88" t="s">
        <v>875</v>
      </c>
      <c r="F309" s="90">
        <v>10</v>
      </c>
      <c r="G309" s="91">
        <f>StockInData[Expiry]</f>
        <v>44527</v>
      </c>
      <c r="H309" s="88">
        <v>25</v>
      </c>
      <c r="I309" s="88">
        <f>SUMIFS(StockInData[Quantity],StockInData[Product ID],ProductMaster!$B310)-SUMIFS(StockOutData[Quantity],StockOutData[Product ID],ProductMaster!$B310)</f>
        <v>86</v>
      </c>
      <c r="J309" s="92">
        <f>SUMIFS(StockInData[Value],StockInData[Product ID],ProductMaster!$B310)-SUMIFS(StockOutData[Value],StockOutData[Product ID],ProductMaster!$B310)</f>
        <v>215</v>
      </c>
    </row>
    <row r="310" spans="1:10" x14ac:dyDescent="0.25">
      <c r="A310" s="87">
        <v>309</v>
      </c>
      <c r="B310" s="88" t="s">
        <v>637</v>
      </c>
      <c r="C310" s="89" t="s">
        <v>638</v>
      </c>
      <c r="D310" s="88" t="s">
        <v>869</v>
      </c>
      <c r="E310" s="88" t="s">
        <v>875</v>
      </c>
      <c r="F310" s="90">
        <v>10</v>
      </c>
      <c r="G310" s="91">
        <f>StockInData[Expiry]</f>
        <v>44529</v>
      </c>
      <c r="H310" s="88">
        <v>25</v>
      </c>
      <c r="I310" s="88">
        <f>SUMIFS(StockInData[Quantity],StockInData[Product ID],ProductMaster!$B311)-SUMIFS(StockOutData[Quantity],StockOutData[Product ID],ProductMaster!$B311)</f>
        <v>27</v>
      </c>
      <c r="J310" s="92">
        <f>SUMIFS(StockInData[Value],StockInData[Product ID],ProductMaster!$B311)-SUMIFS(StockOutData[Value],StockOutData[Product ID],ProductMaster!$B311)</f>
        <v>67.5</v>
      </c>
    </row>
    <row r="311" spans="1:10" x14ac:dyDescent="0.25">
      <c r="A311" s="87">
        <v>310</v>
      </c>
      <c r="B311" s="88" t="s">
        <v>639</v>
      </c>
      <c r="C311" s="89" t="s">
        <v>640</v>
      </c>
      <c r="D311" s="88" t="s">
        <v>869</v>
      </c>
      <c r="E311" s="88" t="s">
        <v>875</v>
      </c>
      <c r="F311" s="90">
        <v>10</v>
      </c>
      <c r="G311" s="91">
        <f>StockInData[Expiry]</f>
        <v>44531</v>
      </c>
      <c r="H311" s="88">
        <v>25</v>
      </c>
      <c r="I311" s="88">
        <f>SUMIFS(StockInData[Quantity],StockInData[Product ID],ProductMaster!$B312)-SUMIFS(StockOutData[Quantity],StockOutData[Product ID],ProductMaster!$B312)</f>
        <v>25</v>
      </c>
      <c r="J311" s="92">
        <f>SUMIFS(StockInData[Value],StockInData[Product ID],ProductMaster!$B312)-SUMIFS(StockOutData[Value],StockOutData[Product ID],ProductMaster!$B312)</f>
        <v>62.5</v>
      </c>
    </row>
    <row r="312" spans="1:10" x14ac:dyDescent="0.25">
      <c r="A312" s="87">
        <v>311</v>
      </c>
      <c r="B312" s="88" t="s">
        <v>641</v>
      </c>
      <c r="C312" s="89" t="s">
        <v>642</v>
      </c>
      <c r="D312" s="88" t="s">
        <v>869</v>
      </c>
      <c r="E312" s="88" t="s">
        <v>875</v>
      </c>
      <c r="F312" s="90">
        <v>10</v>
      </c>
      <c r="G312" s="91">
        <f>StockInData[Expiry]</f>
        <v>44533</v>
      </c>
      <c r="H312" s="88">
        <v>25</v>
      </c>
      <c r="I312" s="88">
        <f>SUMIFS(StockInData[Quantity],StockInData[Product ID],ProductMaster!$B313)-SUMIFS(StockOutData[Quantity],StockOutData[Product ID],ProductMaster!$B313)</f>
        <v>18</v>
      </c>
      <c r="J312" s="92">
        <f>SUMIFS(StockInData[Value],StockInData[Product ID],ProductMaster!$B313)-SUMIFS(StockOutData[Value],StockOutData[Product ID],ProductMaster!$B313)</f>
        <v>45</v>
      </c>
    </row>
    <row r="313" spans="1:10" x14ac:dyDescent="0.25">
      <c r="A313" s="87">
        <v>312</v>
      </c>
      <c r="B313" s="88" t="s">
        <v>643</v>
      </c>
      <c r="C313" s="89" t="s">
        <v>644</v>
      </c>
      <c r="D313" s="88" t="s">
        <v>869</v>
      </c>
      <c r="E313" s="88" t="s">
        <v>875</v>
      </c>
      <c r="F313" s="90">
        <v>10</v>
      </c>
      <c r="G313" s="91">
        <f>StockInData[Expiry]</f>
        <v>44535</v>
      </c>
      <c r="H313" s="88">
        <v>25</v>
      </c>
      <c r="I313" s="88">
        <f>SUMIFS(StockInData[Quantity],StockInData[Product ID],ProductMaster!$B314)-SUMIFS(StockOutData[Quantity],StockOutData[Product ID],ProductMaster!$B314)</f>
        <v>5</v>
      </c>
      <c r="J313" s="92">
        <f>SUMIFS(StockInData[Value],StockInData[Product ID],ProductMaster!$B314)-SUMIFS(StockOutData[Value],StockOutData[Product ID],ProductMaster!$B314)</f>
        <v>12.5</v>
      </c>
    </row>
    <row r="314" spans="1:10" x14ac:dyDescent="0.25">
      <c r="A314" s="87">
        <v>313</v>
      </c>
      <c r="B314" s="88" t="s">
        <v>645</v>
      </c>
      <c r="C314" s="89" t="s">
        <v>646</v>
      </c>
      <c r="D314" s="88" t="s">
        <v>869</v>
      </c>
      <c r="E314" s="88" t="s">
        <v>875</v>
      </c>
      <c r="F314" s="90">
        <v>10</v>
      </c>
      <c r="G314" s="91">
        <f>StockInData[Expiry]</f>
        <v>44537</v>
      </c>
      <c r="H314" s="88">
        <v>25</v>
      </c>
      <c r="I314" s="88">
        <f>SUMIFS(StockInData[Quantity],StockInData[Product ID],ProductMaster!$B315)-SUMIFS(StockOutData[Quantity],StockOutData[Product ID],ProductMaster!$B315)</f>
        <v>1</v>
      </c>
      <c r="J314" s="92">
        <f>SUMIFS(StockInData[Value],StockInData[Product ID],ProductMaster!$B315)-SUMIFS(StockOutData[Value],StockOutData[Product ID],ProductMaster!$B315)</f>
        <v>2.5</v>
      </c>
    </row>
    <row r="315" spans="1:10" x14ac:dyDescent="0.25">
      <c r="A315" s="87">
        <v>314</v>
      </c>
      <c r="B315" s="88" t="s">
        <v>647</v>
      </c>
      <c r="C315" s="89" t="s">
        <v>648</v>
      </c>
      <c r="D315" s="88" t="s">
        <v>869</v>
      </c>
      <c r="E315" s="88" t="s">
        <v>875</v>
      </c>
      <c r="F315" s="90">
        <v>10</v>
      </c>
      <c r="G315" s="91">
        <f>StockInData[Expiry]</f>
        <v>44539</v>
      </c>
      <c r="H315" s="88">
        <v>25</v>
      </c>
      <c r="I315" s="88">
        <f>SUMIFS(StockInData[Quantity],StockInData[Product ID],ProductMaster!$B316)-SUMIFS(StockOutData[Quantity],StockOutData[Product ID],ProductMaster!$B316)</f>
        <v>11</v>
      </c>
      <c r="J315" s="92">
        <f>SUMIFS(StockInData[Value],StockInData[Product ID],ProductMaster!$B316)-SUMIFS(StockOutData[Value],StockOutData[Product ID],ProductMaster!$B316)</f>
        <v>27.5</v>
      </c>
    </row>
    <row r="316" spans="1:10" x14ac:dyDescent="0.25">
      <c r="A316" s="87">
        <v>315</v>
      </c>
      <c r="B316" s="88" t="s">
        <v>649</v>
      </c>
      <c r="C316" s="89" t="s">
        <v>650</v>
      </c>
      <c r="D316" s="88" t="s">
        <v>869</v>
      </c>
      <c r="E316" s="88" t="s">
        <v>875</v>
      </c>
      <c r="F316" s="90">
        <v>10</v>
      </c>
      <c r="G316" s="91">
        <f>StockInData[Expiry]</f>
        <v>44541</v>
      </c>
      <c r="H316" s="88">
        <v>25</v>
      </c>
      <c r="I316" s="88">
        <f>SUMIFS(StockInData[Quantity],StockInData[Product ID],ProductMaster!$B317)-SUMIFS(StockOutData[Quantity],StockOutData[Product ID],ProductMaster!$B317)</f>
        <v>55</v>
      </c>
      <c r="J316" s="92">
        <f>SUMIFS(StockInData[Value],StockInData[Product ID],ProductMaster!$B317)-SUMIFS(StockOutData[Value],StockOutData[Product ID],ProductMaster!$B317)</f>
        <v>137.5</v>
      </c>
    </row>
    <row r="317" spans="1:10" x14ac:dyDescent="0.25">
      <c r="A317" s="87">
        <v>316</v>
      </c>
      <c r="B317" s="88" t="s">
        <v>651</v>
      </c>
      <c r="C317" s="89" t="s">
        <v>652</v>
      </c>
      <c r="D317" s="88" t="s">
        <v>869</v>
      </c>
      <c r="E317" s="88" t="s">
        <v>875</v>
      </c>
      <c r="F317" s="90">
        <v>10</v>
      </c>
      <c r="G317" s="91">
        <f>StockInData[Expiry]</f>
        <v>44543</v>
      </c>
      <c r="H317" s="88">
        <v>25</v>
      </c>
      <c r="I317" s="88">
        <f>SUMIFS(StockInData[Quantity],StockInData[Product ID],ProductMaster!$B318)-SUMIFS(StockOutData[Quantity],StockOutData[Product ID],ProductMaster!$B318)</f>
        <v>64</v>
      </c>
      <c r="J317" s="92">
        <f>SUMIFS(StockInData[Value],StockInData[Product ID],ProductMaster!$B318)-SUMIFS(StockOutData[Value],StockOutData[Product ID],ProductMaster!$B318)</f>
        <v>160</v>
      </c>
    </row>
    <row r="318" spans="1:10" x14ac:dyDescent="0.25">
      <c r="A318" s="87">
        <v>317</v>
      </c>
      <c r="B318" s="88" t="s">
        <v>653</v>
      </c>
      <c r="C318" s="89" t="s">
        <v>654</v>
      </c>
      <c r="D318" s="88" t="s">
        <v>869</v>
      </c>
      <c r="E318" s="88" t="s">
        <v>875</v>
      </c>
      <c r="F318" s="90">
        <v>10</v>
      </c>
      <c r="G318" s="91">
        <f>StockInData[Expiry]</f>
        <v>44545</v>
      </c>
      <c r="H318" s="88">
        <v>25</v>
      </c>
      <c r="I318" s="88">
        <f>SUMIFS(StockInData[Quantity],StockInData[Product ID],ProductMaster!$B319)-SUMIFS(StockOutData[Quantity],StockOutData[Product ID],ProductMaster!$B319)</f>
        <v>74</v>
      </c>
      <c r="J318" s="92">
        <f>SUMIFS(StockInData[Value],StockInData[Product ID],ProductMaster!$B319)-SUMIFS(StockOutData[Value],StockOutData[Product ID],ProductMaster!$B319)</f>
        <v>185</v>
      </c>
    </row>
    <row r="319" spans="1:10" x14ac:dyDescent="0.25">
      <c r="A319" s="87">
        <v>318</v>
      </c>
      <c r="B319" s="88" t="s">
        <v>655</v>
      </c>
      <c r="C319" s="89" t="s">
        <v>656</v>
      </c>
      <c r="D319" s="88" t="s">
        <v>869</v>
      </c>
      <c r="E319" s="88" t="s">
        <v>875</v>
      </c>
      <c r="F319" s="90">
        <v>10</v>
      </c>
      <c r="G319" s="91">
        <f>StockInData[Expiry]</f>
        <v>44547</v>
      </c>
      <c r="H319" s="88">
        <v>25</v>
      </c>
      <c r="I319" s="88">
        <f>SUMIFS(StockInData[Quantity],StockInData[Product ID],ProductMaster!$B320)-SUMIFS(StockOutData[Quantity],StockOutData[Product ID],ProductMaster!$B320)</f>
        <v>92</v>
      </c>
      <c r="J319" s="92">
        <f>SUMIFS(StockInData[Value],StockInData[Product ID],ProductMaster!$B320)-SUMIFS(StockOutData[Value],StockOutData[Product ID],ProductMaster!$B320)</f>
        <v>230</v>
      </c>
    </row>
    <row r="320" spans="1:10" x14ac:dyDescent="0.25">
      <c r="A320" s="87">
        <v>319</v>
      </c>
      <c r="B320" s="88" t="s">
        <v>657</v>
      </c>
      <c r="C320" s="89" t="s">
        <v>658</v>
      </c>
      <c r="D320" s="88" t="s">
        <v>869</v>
      </c>
      <c r="E320" s="88" t="s">
        <v>875</v>
      </c>
      <c r="F320" s="90">
        <v>10</v>
      </c>
      <c r="G320" s="91">
        <f>StockInData[Expiry]</f>
        <v>44549</v>
      </c>
      <c r="H320" s="88">
        <v>25</v>
      </c>
      <c r="I320" s="88">
        <f>SUMIFS(StockInData[Quantity],StockInData[Product ID],ProductMaster!$B321)-SUMIFS(StockOutData[Quantity],StockOutData[Product ID],ProductMaster!$B321)</f>
        <v>86</v>
      </c>
      <c r="J320" s="92">
        <f>SUMIFS(StockInData[Value],StockInData[Product ID],ProductMaster!$B321)-SUMIFS(StockOutData[Value],StockOutData[Product ID],ProductMaster!$B321)</f>
        <v>215</v>
      </c>
    </row>
    <row r="321" spans="1:10" x14ac:dyDescent="0.25">
      <c r="A321" s="87">
        <v>320</v>
      </c>
      <c r="B321" s="88" t="s">
        <v>659</v>
      </c>
      <c r="C321" s="89" t="s">
        <v>660</v>
      </c>
      <c r="D321" s="88" t="s">
        <v>869</v>
      </c>
      <c r="E321" s="88" t="s">
        <v>875</v>
      </c>
      <c r="F321" s="90">
        <v>10</v>
      </c>
      <c r="G321" s="91">
        <f>StockInData[Expiry]</f>
        <v>44551</v>
      </c>
      <c r="H321" s="88">
        <v>25</v>
      </c>
      <c r="I321" s="88">
        <f>SUMIFS(StockInData[Quantity],StockInData[Product ID],ProductMaster!$B322)-SUMIFS(StockOutData[Quantity],StockOutData[Product ID],ProductMaster!$B322)</f>
        <v>42</v>
      </c>
      <c r="J321" s="92">
        <f>SUMIFS(StockInData[Value],StockInData[Product ID],ProductMaster!$B322)-SUMIFS(StockOutData[Value],StockOutData[Product ID],ProductMaster!$B322)</f>
        <v>105</v>
      </c>
    </row>
    <row r="322" spans="1:10" x14ac:dyDescent="0.25">
      <c r="A322" s="87">
        <v>321</v>
      </c>
      <c r="B322" s="88" t="s">
        <v>661</v>
      </c>
      <c r="C322" s="89" t="s">
        <v>662</v>
      </c>
      <c r="D322" s="88" t="s">
        <v>869</v>
      </c>
      <c r="E322" s="88" t="s">
        <v>875</v>
      </c>
      <c r="F322" s="90">
        <v>10</v>
      </c>
      <c r="G322" s="91">
        <f>StockInData[Expiry]</f>
        <v>44553</v>
      </c>
      <c r="H322" s="88">
        <v>25</v>
      </c>
      <c r="I322" s="88">
        <f>SUMIFS(StockInData[Quantity],StockInData[Product ID],ProductMaster!$B323)-SUMIFS(StockOutData[Quantity],StockOutData[Product ID],ProductMaster!$B323)</f>
        <v>28</v>
      </c>
      <c r="J322" s="92">
        <f>SUMIFS(StockInData[Value],StockInData[Product ID],ProductMaster!$B323)-SUMIFS(StockOutData[Value],StockOutData[Product ID],ProductMaster!$B323)</f>
        <v>70</v>
      </c>
    </row>
    <row r="323" spans="1:10" x14ac:dyDescent="0.25">
      <c r="A323" s="87">
        <v>322</v>
      </c>
      <c r="B323" s="88" t="s">
        <v>663</v>
      </c>
      <c r="C323" s="89" t="s">
        <v>664</v>
      </c>
      <c r="D323" s="88" t="s">
        <v>869</v>
      </c>
      <c r="E323" s="88" t="s">
        <v>876</v>
      </c>
      <c r="F323" s="90">
        <v>10</v>
      </c>
      <c r="G323" s="91">
        <f>StockInData[Expiry]</f>
        <v>44555</v>
      </c>
      <c r="H323" s="88">
        <v>25</v>
      </c>
      <c r="I323" s="88">
        <f>SUMIFS(StockInData[Quantity],StockInData[Product ID],ProductMaster!$B324)-SUMIFS(StockOutData[Quantity],StockOutData[Product ID],ProductMaster!$B324)</f>
        <v>16</v>
      </c>
      <c r="J323" s="92">
        <f>SUMIFS(StockInData[Value],StockInData[Product ID],ProductMaster!$B324)-SUMIFS(StockOutData[Value],StockOutData[Product ID],ProductMaster!$B324)</f>
        <v>40</v>
      </c>
    </row>
    <row r="324" spans="1:10" x14ac:dyDescent="0.25">
      <c r="A324" s="87">
        <v>323</v>
      </c>
      <c r="B324" s="88" t="s">
        <v>665</v>
      </c>
      <c r="C324" s="89" t="s">
        <v>666</v>
      </c>
      <c r="D324" s="88" t="s">
        <v>869</v>
      </c>
      <c r="E324" s="88" t="s">
        <v>876</v>
      </c>
      <c r="F324" s="90">
        <v>10</v>
      </c>
      <c r="G324" s="91">
        <f>StockInData[Expiry]</f>
        <v>44557</v>
      </c>
      <c r="H324" s="88">
        <v>25</v>
      </c>
      <c r="I324" s="88">
        <f>SUMIFS(StockInData[Quantity],StockInData[Product ID],ProductMaster!$B325)-SUMIFS(StockOutData[Quantity],StockOutData[Product ID],ProductMaster!$B325)</f>
        <v>12</v>
      </c>
      <c r="J324" s="92">
        <f>SUMIFS(StockInData[Value],StockInData[Product ID],ProductMaster!$B325)-SUMIFS(StockOutData[Value],StockOutData[Product ID],ProductMaster!$B325)</f>
        <v>30</v>
      </c>
    </row>
    <row r="325" spans="1:10" x14ac:dyDescent="0.25">
      <c r="A325" s="87">
        <v>324</v>
      </c>
      <c r="B325" s="88" t="s">
        <v>667</v>
      </c>
      <c r="C325" s="89" t="s">
        <v>668</v>
      </c>
      <c r="D325" s="88" t="s">
        <v>869</v>
      </c>
      <c r="E325" s="88" t="s">
        <v>876</v>
      </c>
      <c r="F325" s="90">
        <v>10</v>
      </c>
      <c r="G325" s="91">
        <f>StockInData[Expiry]</f>
        <v>44559</v>
      </c>
      <c r="H325" s="88">
        <v>25</v>
      </c>
      <c r="I325" s="88">
        <f>SUMIFS(StockInData[Quantity],StockInData[Product ID],ProductMaster!$B326)-SUMIFS(StockOutData[Quantity],StockOutData[Product ID],ProductMaster!$B326)</f>
        <v>15</v>
      </c>
      <c r="J325" s="92">
        <f>SUMIFS(StockInData[Value],StockInData[Product ID],ProductMaster!$B326)-SUMIFS(StockOutData[Value],StockOutData[Product ID],ProductMaster!$B326)</f>
        <v>37.5</v>
      </c>
    </row>
    <row r="326" spans="1:10" x14ac:dyDescent="0.25">
      <c r="A326" s="87">
        <v>325</v>
      </c>
      <c r="B326" s="88" t="s">
        <v>669</v>
      </c>
      <c r="C326" s="89" t="s">
        <v>670</v>
      </c>
      <c r="D326" s="88" t="s">
        <v>869</v>
      </c>
      <c r="E326" s="88" t="s">
        <v>876</v>
      </c>
      <c r="F326" s="90">
        <v>10</v>
      </c>
      <c r="G326" s="91">
        <f>StockInData[Expiry]</f>
        <v>44561</v>
      </c>
      <c r="H326" s="88">
        <v>25</v>
      </c>
      <c r="I326" s="88">
        <f>SUMIFS(StockInData[Quantity],StockInData[Product ID],ProductMaster!$B327)-SUMIFS(StockOutData[Quantity],StockOutData[Product ID],ProductMaster!$B327)</f>
        <v>12</v>
      </c>
      <c r="J326" s="92">
        <f>SUMIFS(StockInData[Value],StockInData[Product ID],ProductMaster!$B327)-SUMIFS(StockOutData[Value],StockOutData[Product ID],ProductMaster!$B327)</f>
        <v>30</v>
      </c>
    </row>
    <row r="327" spans="1:10" x14ac:dyDescent="0.25">
      <c r="A327" s="87">
        <v>326</v>
      </c>
      <c r="B327" s="88" t="s">
        <v>671</v>
      </c>
      <c r="C327" s="89" t="s">
        <v>672</v>
      </c>
      <c r="D327" s="88" t="s">
        <v>869</v>
      </c>
      <c r="E327" s="88" t="s">
        <v>876</v>
      </c>
      <c r="F327" s="90">
        <v>10</v>
      </c>
      <c r="G327" s="91">
        <f>StockInData[Expiry]</f>
        <v>44563</v>
      </c>
      <c r="H327" s="88">
        <v>25</v>
      </c>
      <c r="I327" s="88">
        <f>SUMIFS(StockInData[Quantity],StockInData[Product ID],ProductMaster!$B328)-SUMIFS(StockOutData[Quantity],StockOutData[Product ID],ProductMaster!$B328)</f>
        <v>8</v>
      </c>
      <c r="J327" s="92">
        <f>SUMIFS(StockInData[Value],StockInData[Product ID],ProductMaster!$B328)-SUMIFS(StockOutData[Value],StockOutData[Product ID],ProductMaster!$B328)</f>
        <v>20</v>
      </c>
    </row>
    <row r="328" spans="1:10" x14ac:dyDescent="0.25">
      <c r="A328" s="87">
        <v>327</v>
      </c>
      <c r="B328" s="88" t="s">
        <v>673</v>
      </c>
      <c r="C328" s="89" t="s">
        <v>674</v>
      </c>
      <c r="D328" s="88" t="s">
        <v>877</v>
      </c>
      <c r="E328" s="88" t="s">
        <v>876</v>
      </c>
      <c r="F328" s="90">
        <v>10</v>
      </c>
      <c r="G328" s="91">
        <f>StockInData[Expiry]</f>
        <v>44565</v>
      </c>
      <c r="H328" s="88">
        <v>25</v>
      </c>
      <c r="I328" s="88">
        <f>SUMIFS(StockInData[Quantity],StockInData[Product ID],ProductMaster!$B329)-SUMIFS(StockOutData[Quantity],StockOutData[Product ID],ProductMaster!$B329)</f>
        <v>47</v>
      </c>
      <c r="J328" s="92">
        <f>SUMIFS(StockInData[Value],StockInData[Product ID],ProductMaster!$B329)-SUMIFS(StockOutData[Value],StockOutData[Product ID],ProductMaster!$B329)</f>
        <v>117.5</v>
      </c>
    </row>
    <row r="329" spans="1:10" x14ac:dyDescent="0.25">
      <c r="A329" s="87">
        <v>328</v>
      </c>
      <c r="B329" s="88" t="s">
        <v>675</v>
      </c>
      <c r="C329" s="89" t="s">
        <v>676</v>
      </c>
      <c r="D329" s="88" t="s">
        <v>877</v>
      </c>
      <c r="E329" s="88" t="s">
        <v>876</v>
      </c>
      <c r="F329" s="90">
        <v>10</v>
      </c>
      <c r="G329" s="91">
        <f>StockInData[Expiry]</f>
        <v>44567</v>
      </c>
      <c r="H329" s="88">
        <v>25</v>
      </c>
      <c r="I329" s="88">
        <f>SUMIFS(StockInData[Quantity],StockInData[Product ID],ProductMaster!$B330)-SUMIFS(StockOutData[Quantity],StockOutData[Product ID],ProductMaster!$B330)</f>
        <v>62</v>
      </c>
      <c r="J329" s="92">
        <f>SUMIFS(StockInData[Value],StockInData[Product ID],ProductMaster!$B330)-SUMIFS(StockOutData[Value],StockOutData[Product ID],ProductMaster!$B330)</f>
        <v>155</v>
      </c>
    </row>
    <row r="330" spans="1:10" x14ac:dyDescent="0.25">
      <c r="A330" s="87">
        <v>329</v>
      </c>
      <c r="B330" s="88" t="s">
        <v>677</v>
      </c>
      <c r="C330" s="89" t="s">
        <v>678</v>
      </c>
      <c r="D330" s="88" t="s">
        <v>877</v>
      </c>
      <c r="E330" s="88" t="s">
        <v>876</v>
      </c>
      <c r="F330" s="90">
        <v>10</v>
      </c>
      <c r="G330" s="91">
        <f>StockInData[Expiry]</f>
        <v>44569</v>
      </c>
      <c r="H330" s="88">
        <v>25</v>
      </c>
      <c r="I330" s="88">
        <f>SUMIFS(StockInData[Quantity],StockInData[Product ID],ProductMaster!$B331)-SUMIFS(StockOutData[Quantity],StockOutData[Product ID],ProductMaster!$B331)</f>
        <v>70</v>
      </c>
      <c r="J330" s="92">
        <f>SUMIFS(StockInData[Value],StockInData[Product ID],ProductMaster!$B331)-SUMIFS(StockOutData[Value],StockOutData[Product ID],ProductMaster!$B331)</f>
        <v>175</v>
      </c>
    </row>
    <row r="331" spans="1:10" x14ac:dyDescent="0.25">
      <c r="A331" s="87">
        <v>330</v>
      </c>
      <c r="B331" s="88" t="s">
        <v>679</v>
      </c>
      <c r="C331" s="89" t="s">
        <v>680</v>
      </c>
      <c r="D331" s="88" t="s">
        <v>877</v>
      </c>
      <c r="E331" s="88" t="s">
        <v>876</v>
      </c>
      <c r="F331" s="90">
        <v>10</v>
      </c>
      <c r="G331" s="91">
        <f>StockInData[Expiry]</f>
        <v>44571</v>
      </c>
      <c r="H331" s="88">
        <v>25</v>
      </c>
      <c r="I331" s="88">
        <f>SUMIFS(StockInData[Quantity],StockInData[Product ID],ProductMaster!$B332)-SUMIFS(StockOutData[Quantity],StockOutData[Product ID],ProductMaster!$B332)</f>
        <v>86</v>
      </c>
      <c r="J331" s="92">
        <f>SUMIFS(StockInData[Value],StockInData[Product ID],ProductMaster!$B332)-SUMIFS(StockOutData[Value],StockOutData[Product ID],ProductMaster!$B332)</f>
        <v>215</v>
      </c>
    </row>
    <row r="332" spans="1:10" x14ac:dyDescent="0.25">
      <c r="A332" s="87">
        <v>331</v>
      </c>
      <c r="B332" s="88" t="s">
        <v>681</v>
      </c>
      <c r="C332" s="89" t="s">
        <v>682</v>
      </c>
      <c r="D332" s="88" t="s">
        <v>877</v>
      </c>
      <c r="E332" s="88" t="s">
        <v>876</v>
      </c>
      <c r="F332" s="90">
        <v>10</v>
      </c>
      <c r="G332" s="91">
        <f>StockInData[Expiry]</f>
        <v>44573</v>
      </c>
      <c r="H332" s="88">
        <v>25</v>
      </c>
      <c r="I332" s="88">
        <f>SUMIFS(StockInData[Quantity],StockInData[Product ID],ProductMaster!$B333)-SUMIFS(StockOutData[Quantity],StockOutData[Product ID],ProductMaster!$B333)</f>
        <v>96</v>
      </c>
      <c r="J332" s="92">
        <f>SUMIFS(StockInData[Value],StockInData[Product ID],ProductMaster!$B333)-SUMIFS(StockOutData[Value],StockOutData[Product ID],ProductMaster!$B333)</f>
        <v>240</v>
      </c>
    </row>
    <row r="333" spans="1:10" x14ac:dyDescent="0.25">
      <c r="A333" s="87">
        <v>332</v>
      </c>
      <c r="B333" s="88" t="s">
        <v>683</v>
      </c>
      <c r="C333" s="89" t="s">
        <v>684</v>
      </c>
      <c r="D333" s="88" t="s">
        <v>877</v>
      </c>
      <c r="E333" s="88" t="s">
        <v>876</v>
      </c>
      <c r="F333" s="90">
        <v>10</v>
      </c>
      <c r="G333" s="91">
        <f>StockInData[Expiry]</f>
        <v>44575</v>
      </c>
      <c r="H333" s="88">
        <v>25</v>
      </c>
      <c r="I333" s="88">
        <f>SUMIFS(StockInData[Quantity],StockInData[Product ID],ProductMaster!$B334)-SUMIFS(StockOutData[Quantity],StockOutData[Product ID],ProductMaster!$B334)</f>
        <v>53</v>
      </c>
      <c r="J333" s="92">
        <f>SUMIFS(StockInData[Value],StockInData[Product ID],ProductMaster!$B334)-SUMIFS(StockOutData[Value],StockOutData[Product ID],ProductMaster!$B334)</f>
        <v>132.5</v>
      </c>
    </row>
    <row r="334" spans="1:10" x14ac:dyDescent="0.25">
      <c r="A334" s="87">
        <v>333</v>
      </c>
      <c r="B334" s="88" t="s">
        <v>685</v>
      </c>
      <c r="C334" s="89" t="s">
        <v>686</v>
      </c>
      <c r="D334" s="88" t="s">
        <v>877</v>
      </c>
      <c r="E334" s="88" t="s">
        <v>876</v>
      </c>
      <c r="F334" s="90">
        <v>10</v>
      </c>
      <c r="G334" s="91">
        <f>StockInData[Expiry]</f>
        <v>44577</v>
      </c>
      <c r="H334" s="88">
        <v>25</v>
      </c>
      <c r="I334" s="88">
        <f>SUMIFS(StockInData[Quantity],StockInData[Product ID],ProductMaster!$B335)-SUMIFS(StockOutData[Quantity],StockOutData[Product ID],ProductMaster!$B335)</f>
        <v>25</v>
      </c>
      <c r="J334" s="92">
        <f>SUMIFS(StockInData[Value],StockInData[Product ID],ProductMaster!$B335)-SUMIFS(StockOutData[Value],StockOutData[Product ID],ProductMaster!$B335)</f>
        <v>62.5</v>
      </c>
    </row>
    <row r="335" spans="1:10" x14ac:dyDescent="0.25">
      <c r="A335" s="87">
        <v>334</v>
      </c>
      <c r="B335" s="88" t="s">
        <v>687</v>
      </c>
      <c r="C335" s="89" t="s">
        <v>688</v>
      </c>
      <c r="D335" s="88" t="s">
        <v>877</v>
      </c>
      <c r="E335" s="88" t="s">
        <v>876</v>
      </c>
      <c r="F335" s="90">
        <v>10</v>
      </c>
      <c r="G335" s="91">
        <f>StockInData[Expiry]</f>
        <v>44579</v>
      </c>
      <c r="H335" s="88">
        <v>25</v>
      </c>
      <c r="I335" s="88">
        <f>SUMIFS(StockInData[Quantity],StockInData[Product ID],ProductMaster!$B336)-SUMIFS(StockOutData[Quantity],StockOutData[Product ID],ProductMaster!$B336)</f>
        <v>12</v>
      </c>
      <c r="J335" s="92">
        <f>SUMIFS(StockInData[Value],StockInData[Product ID],ProductMaster!$B336)-SUMIFS(StockOutData[Value],StockOutData[Product ID],ProductMaster!$B336)</f>
        <v>30</v>
      </c>
    </row>
    <row r="336" spans="1:10" x14ac:dyDescent="0.25">
      <c r="A336" s="87">
        <v>335</v>
      </c>
      <c r="B336" s="88" t="s">
        <v>689</v>
      </c>
      <c r="C336" s="89" t="s">
        <v>690</v>
      </c>
      <c r="D336" s="88" t="s">
        <v>877</v>
      </c>
      <c r="E336" s="88" t="s">
        <v>876</v>
      </c>
      <c r="F336" s="90">
        <v>10</v>
      </c>
      <c r="G336" s="91">
        <f>StockInData[Expiry]</f>
        <v>44581</v>
      </c>
      <c r="H336" s="88">
        <v>25</v>
      </c>
      <c r="I336" s="88">
        <f>SUMIFS(StockInData[Quantity],StockInData[Product ID],ProductMaster!$B337)-SUMIFS(StockOutData[Quantity],StockOutData[Product ID],ProductMaster!$B337)</f>
        <v>13</v>
      </c>
      <c r="J336" s="92">
        <f>SUMIFS(StockInData[Value],StockInData[Product ID],ProductMaster!$B337)-SUMIFS(StockOutData[Value],StockOutData[Product ID],ProductMaster!$B337)</f>
        <v>32.5</v>
      </c>
    </row>
    <row r="337" spans="1:10" x14ac:dyDescent="0.25">
      <c r="A337" s="87">
        <v>336</v>
      </c>
      <c r="B337" s="88" t="s">
        <v>691</v>
      </c>
      <c r="C337" s="89" t="s">
        <v>692</v>
      </c>
      <c r="D337" s="88" t="s">
        <v>877</v>
      </c>
      <c r="E337" s="88" t="s">
        <v>876</v>
      </c>
      <c r="F337" s="90">
        <v>10</v>
      </c>
      <c r="G337" s="91">
        <f>StockInData[Expiry]</f>
        <v>44583</v>
      </c>
      <c r="H337" s="88">
        <v>25</v>
      </c>
      <c r="I337" s="88">
        <f>SUMIFS(StockInData[Quantity],StockInData[Product ID],ProductMaster!$B338)-SUMIFS(StockOutData[Quantity],StockOutData[Product ID],ProductMaster!$B338)</f>
        <v>10</v>
      </c>
      <c r="J337" s="92">
        <f>SUMIFS(StockInData[Value],StockInData[Product ID],ProductMaster!$B338)-SUMIFS(StockOutData[Value],StockOutData[Product ID],ProductMaster!$B338)</f>
        <v>25</v>
      </c>
    </row>
    <row r="338" spans="1:10" x14ac:dyDescent="0.25">
      <c r="A338" s="87">
        <v>337</v>
      </c>
      <c r="B338" s="88" t="s">
        <v>693</v>
      </c>
      <c r="C338" s="89" t="s">
        <v>694</v>
      </c>
      <c r="D338" s="88" t="s">
        <v>877</v>
      </c>
      <c r="E338" s="88" t="s">
        <v>876</v>
      </c>
      <c r="F338" s="90">
        <v>10</v>
      </c>
      <c r="G338" s="91">
        <f>StockInData[Expiry]</f>
        <v>44585</v>
      </c>
      <c r="H338" s="88">
        <v>25</v>
      </c>
      <c r="I338" s="88">
        <f>SUMIFS(StockInData[Quantity],StockInData[Product ID],ProductMaster!$B339)-SUMIFS(StockOutData[Quantity],StockOutData[Product ID],ProductMaster!$B339)</f>
        <v>9</v>
      </c>
      <c r="J338" s="92">
        <f>SUMIFS(StockInData[Value],StockInData[Product ID],ProductMaster!$B339)-SUMIFS(StockOutData[Value],StockOutData[Product ID],ProductMaster!$B339)</f>
        <v>22.5</v>
      </c>
    </row>
    <row r="339" spans="1:10" x14ac:dyDescent="0.25">
      <c r="A339" s="87">
        <v>338</v>
      </c>
      <c r="B339" s="88" t="s">
        <v>695</v>
      </c>
      <c r="C339" s="89" t="s">
        <v>696</v>
      </c>
      <c r="D339" s="88" t="s">
        <v>877</v>
      </c>
      <c r="E339" s="88" t="s">
        <v>876</v>
      </c>
      <c r="F339" s="90">
        <v>10</v>
      </c>
      <c r="G339" s="91">
        <f>StockInData[Expiry]</f>
        <v>44587</v>
      </c>
      <c r="H339" s="88">
        <v>25</v>
      </c>
      <c r="I339" s="88">
        <f>SUMIFS(StockInData[Quantity],StockInData[Product ID],ProductMaster!$B340)-SUMIFS(StockOutData[Quantity],StockOutData[Product ID],ProductMaster!$B340)</f>
        <v>13</v>
      </c>
      <c r="J339" s="92">
        <f>SUMIFS(StockInData[Value],StockInData[Product ID],ProductMaster!$B340)-SUMIFS(StockOutData[Value],StockOutData[Product ID],ProductMaster!$B340)</f>
        <v>32.5</v>
      </c>
    </row>
    <row r="340" spans="1:10" x14ac:dyDescent="0.25">
      <c r="A340" s="87">
        <v>339</v>
      </c>
      <c r="B340" s="88" t="s">
        <v>697</v>
      </c>
      <c r="C340" s="89" t="s">
        <v>698</v>
      </c>
      <c r="D340" s="88" t="s">
        <v>877</v>
      </c>
      <c r="E340" s="88" t="s">
        <v>876</v>
      </c>
      <c r="F340" s="90">
        <v>10</v>
      </c>
      <c r="G340" s="91">
        <f>StockInData[Expiry]</f>
        <v>44589</v>
      </c>
      <c r="H340" s="88">
        <v>25</v>
      </c>
      <c r="I340" s="88">
        <f>SUMIFS(StockInData[Quantity],StockInData[Product ID],ProductMaster!$B341)-SUMIFS(StockOutData[Quantity],StockOutData[Product ID],ProductMaster!$B341)</f>
        <v>58</v>
      </c>
      <c r="J340" s="92">
        <f>SUMIFS(StockInData[Value],StockInData[Product ID],ProductMaster!$B341)-SUMIFS(StockOutData[Value],StockOutData[Product ID],ProductMaster!$B341)</f>
        <v>145</v>
      </c>
    </row>
    <row r="341" spans="1:10" x14ac:dyDescent="0.25">
      <c r="A341" s="87">
        <v>340</v>
      </c>
      <c r="B341" s="88" t="s">
        <v>699</v>
      </c>
      <c r="C341" s="89" t="s">
        <v>700</v>
      </c>
      <c r="D341" s="88" t="s">
        <v>877</v>
      </c>
      <c r="E341" s="88" t="s">
        <v>876</v>
      </c>
      <c r="F341" s="90">
        <v>10</v>
      </c>
      <c r="G341" s="91">
        <f>StockInData[Expiry]</f>
        <v>44591</v>
      </c>
      <c r="H341" s="88">
        <v>25</v>
      </c>
      <c r="I341" s="88">
        <f>SUMIFS(StockInData[Quantity],StockInData[Product ID],ProductMaster!$B342)-SUMIFS(StockOutData[Quantity],StockOutData[Product ID],ProductMaster!$B342)</f>
        <v>59</v>
      </c>
      <c r="J341" s="92">
        <f>SUMIFS(StockInData[Value],StockInData[Product ID],ProductMaster!$B342)-SUMIFS(StockOutData[Value],StockOutData[Product ID],ProductMaster!$B342)</f>
        <v>147.5</v>
      </c>
    </row>
    <row r="342" spans="1:10" x14ac:dyDescent="0.25">
      <c r="A342" s="87">
        <v>341</v>
      </c>
      <c r="B342" s="88" t="s">
        <v>701</v>
      </c>
      <c r="C342" s="89" t="s">
        <v>702</v>
      </c>
      <c r="D342" s="88" t="s">
        <v>877</v>
      </c>
      <c r="E342" s="88" t="s">
        <v>876</v>
      </c>
      <c r="F342" s="90">
        <v>10</v>
      </c>
      <c r="G342" s="91">
        <f>StockInData[Expiry]</f>
        <v>44593</v>
      </c>
      <c r="H342" s="88">
        <v>25</v>
      </c>
      <c r="I342" s="88">
        <f>SUMIFS(StockInData[Quantity],StockInData[Product ID],ProductMaster!$B343)-SUMIFS(StockOutData[Quantity],StockOutData[Product ID],ProductMaster!$B343)</f>
        <v>66</v>
      </c>
      <c r="J342" s="92">
        <f>SUMIFS(StockInData[Value],StockInData[Product ID],ProductMaster!$B343)-SUMIFS(StockOutData[Value],StockOutData[Product ID],ProductMaster!$B343)</f>
        <v>165</v>
      </c>
    </row>
    <row r="343" spans="1:10" x14ac:dyDescent="0.25">
      <c r="A343" s="87">
        <v>342</v>
      </c>
      <c r="B343" s="88" t="s">
        <v>703</v>
      </c>
      <c r="C343" s="89" t="s">
        <v>704</v>
      </c>
      <c r="D343" s="88" t="s">
        <v>877</v>
      </c>
      <c r="E343" s="88" t="s">
        <v>876</v>
      </c>
      <c r="F343" s="90">
        <v>10</v>
      </c>
      <c r="G343" s="91">
        <f>StockInData[Expiry]</f>
        <v>44595</v>
      </c>
      <c r="H343" s="88">
        <v>25</v>
      </c>
      <c r="I343" s="88">
        <f>SUMIFS(StockInData[Quantity],StockInData[Product ID],ProductMaster!$B344)-SUMIFS(StockOutData[Quantity],StockOutData[Product ID],ProductMaster!$B344)</f>
        <v>87</v>
      </c>
      <c r="J343" s="92">
        <f>SUMIFS(StockInData[Value],StockInData[Product ID],ProductMaster!$B344)-SUMIFS(StockOutData[Value],StockOutData[Product ID],ProductMaster!$B344)</f>
        <v>217.5</v>
      </c>
    </row>
    <row r="344" spans="1:10" x14ac:dyDescent="0.25">
      <c r="A344" s="87">
        <v>343</v>
      </c>
      <c r="B344" s="88" t="s">
        <v>705</v>
      </c>
      <c r="C344" s="89" t="s">
        <v>706</v>
      </c>
      <c r="D344" s="88" t="s">
        <v>877</v>
      </c>
      <c r="E344" s="88" t="s">
        <v>876</v>
      </c>
      <c r="F344" s="90">
        <v>10</v>
      </c>
      <c r="G344" s="91">
        <f>StockInData[Expiry]</f>
        <v>44597</v>
      </c>
      <c r="H344" s="88">
        <v>25</v>
      </c>
      <c r="I344" s="88">
        <f>SUMIFS(StockInData[Quantity],StockInData[Product ID],ProductMaster!$B345)-SUMIFS(StockOutData[Quantity],StockOutData[Product ID],ProductMaster!$B345)</f>
        <v>87</v>
      </c>
      <c r="J344" s="92">
        <f>SUMIFS(StockInData[Value],StockInData[Product ID],ProductMaster!$B345)-SUMIFS(StockOutData[Value],StockOutData[Product ID],ProductMaster!$B345)</f>
        <v>217.5</v>
      </c>
    </row>
    <row r="345" spans="1:10" x14ac:dyDescent="0.25">
      <c r="A345" s="87">
        <v>344</v>
      </c>
      <c r="B345" s="88" t="s">
        <v>707</v>
      </c>
      <c r="C345" s="89" t="s">
        <v>708</v>
      </c>
      <c r="D345" s="88" t="s">
        <v>877</v>
      </c>
      <c r="E345" s="88" t="s">
        <v>876</v>
      </c>
      <c r="F345" s="90">
        <v>10</v>
      </c>
      <c r="G345" s="91">
        <f>StockInData[Expiry]</f>
        <v>44599</v>
      </c>
      <c r="H345" s="88">
        <v>25</v>
      </c>
      <c r="I345" s="88">
        <f>SUMIFS(StockInData[Quantity],StockInData[Product ID],ProductMaster!$B346)-SUMIFS(StockOutData[Quantity],StockOutData[Product ID],ProductMaster!$B346)</f>
        <v>87</v>
      </c>
      <c r="J345" s="92">
        <f>SUMIFS(StockInData[Value],StockInData[Product ID],ProductMaster!$B346)-SUMIFS(StockOutData[Value],StockOutData[Product ID],ProductMaster!$B346)</f>
        <v>217.5</v>
      </c>
    </row>
    <row r="346" spans="1:10" x14ac:dyDescent="0.25">
      <c r="A346" s="87">
        <v>345</v>
      </c>
      <c r="B346" s="88" t="s">
        <v>709</v>
      </c>
      <c r="C346" s="89" t="s">
        <v>710</v>
      </c>
      <c r="D346" s="88" t="s">
        <v>869</v>
      </c>
      <c r="E346" s="88" t="s">
        <v>876</v>
      </c>
      <c r="F346" s="90">
        <v>10</v>
      </c>
      <c r="G346" s="91">
        <f>StockInData[Expiry]</f>
        <v>44601</v>
      </c>
      <c r="H346" s="88">
        <v>25</v>
      </c>
      <c r="I346" s="88">
        <f>SUMIFS(StockInData[Quantity],StockInData[Product ID],ProductMaster!$B347)-SUMIFS(StockOutData[Quantity],StockOutData[Product ID],ProductMaster!$B347)</f>
        <v>43</v>
      </c>
      <c r="J346" s="92">
        <f>SUMIFS(StockInData[Value],StockInData[Product ID],ProductMaster!$B347)-SUMIFS(StockOutData[Value],StockOutData[Product ID],ProductMaster!$B347)</f>
        <v>129.22</v>
      </c>
    </row>
    <row r="347" spans="1:10" x14ac:dyDescent="0.25">
      <c r="A347" s="87">
        <v>346</v>
      </c>
      <c r="B347" s="88" t="s">
        <v>711</v>
      </c>
      <c r="C347" s="89" t="s">
        <v>712</v>
      </c>
      <c r="D347" s="88" t="s">
        <v>869</v>
      </c>
      <c r="E347" s="88" t="s">
        <v>876</v>
      </c>
      <c r="F347" s="90">
        <v>10</v>
      </c>
      <c r="G347" s="91">
        <f>StockInData[Expiry]</f>
        <v>44603</v>
      </c>
      <c r="H347" s="88">
        <v>25</v>
      </c>
      <c r="I347" s="88">
        <f>SUMIFS(StockInData[Quantity],StockInData[Product ID],ProductMaster!$B348)-SUMIFS(StockOutData[Quantity],StockOutData[Product ID],ProductMaster!$B348)</f>
        <v>33</v>
      </c>
      <c r="J347" s="92">
        <f>SUMIFS(StockInData[Value],StockInData[Product ID],ProductMaster!$B348)-SUMIFS(StockOutData[Value],StockOutData[Product ID],ProductMaster!$B348)</f>
        <v>82.5</v>
      </c>
    </row>
    <row r="348" spans="1:10" x14ac:dyDescent="0.25">
      <c r="A348" s="87">
        <v>347</v>
      </c>
      <c r="B348" s="88" t="s">
        <v>713</v>
      </c>
      <c r="C348" s="89" t="s">
        <v>714</v>
      </c>
      <c r="D348" s="88" t="s">
        <v>869</v>
      </c>
      <c r="E348" s="88" t="s">
        <v>876</v>
      </c>
      <c r="F348" s="90">
        <v>10</v>
      </c>
      <c r="G348" s="91">
        <f>StockInData[Expiry]</f>
        <v>44605</v>
      </c>
      <c r="H348" s="88">
        <v>25</v>
      </c>
      <c r="I348" s="88">
        <f>SUMIFS(StockInData[Quantity],StockInData[Product ID],ProductMaster!$B349)-SUMIFS(StockOutData[Quantity],StockOutData[Product ID],ProductMaster!$B349)</f>
        <v>15</v>
      </c>
      <c r="J348" s="92">
        <f>SUMIFS(StockInData[Value],StockInData[Product ID],ProductMaster!$B349)-SUMIFS(StockOutData[Value],StockOutData[Product ID],ProductMaster!$B349)</f>
        <v>37.5</v>
      </c>
    </row>
    <row r="349" spans="1:10" x14ac:dyDescent="0.25">
      <c r="A349" s="87">
        <v>348</v>
      </c>
      <c r="B349" s="88" t="s">
        <v>715</v>
      </c>
      <c r="C349" s="89" t="s">
        <v>716</v>
      </c>
      <c r="D349" s="88" t="s">
        <v>869</v>
      </c>
      <c r="E349" s="88" t="s">
        <v>876</v>
      </c>
      <c r="F349" s="90">
        <v>10</v>
      </c>
      <c r="G349" s="91">
        <f>StockInData[Expiry]</f>
        <v>44607</v>
      </c>
      <c r="H349" s="88">
        <v>25</v>
      </c>
      <c r="I349" s="88">
        <f>SUMIFS(StockInData[Quantity],StockInData[Product ID],ProductMaster!$B350)-SUMIFS(StockOutData[Quantity],StockOutData[Product ID],ProductMaster!$B350)</f>
        <v>7</v>
      </c>
      <c r="J349" s="92">
        <f>SUMIFS(StockInData[Value],StockInData[Product ID],ProductMaster!$B350)-SUMIFS(StockOutData[Value],StockOutData[Product ID],ProductMaster!$B350)</f>
        <v>17.5</v>
      </c>
    </row>
    <row r="350" spans="1:10" x14ac:dyDescent="0.25">
      <c r="A350" s="87">
        <v>349</v>
      </c>
      <c r="B350" s="88" t="s">
        <v>717</v>
      </c>
      <c r="C350" s="89" t="s">
        <v>718</v>
      </c>
      <c r="D350" s="88" t="s">
        <v>869</v>
      </c>
      <c r="E350" s="88" t="s">
        <v>876</v>
      </c>
      <c r="F350" s="90">
        <v>10</v>
      </c>
      <c r="G350" s="91">
        <f>StockInData[Expiry]</f>
        <v>44609</v>
      </c>
      <c r="H350" s="88">
        <v>25</v>
      </c>
      <c r="I350" s="88">
        <f>SUMIFS(StockInData[Quantity],StockInData[Product ID],ProductMaster!$B351)-SUMIFS(StockOutData[Quantity],StockOutData[Product ID],ProductMaster!$B351)</f>
        <v>8</v>
      </c>
      <c r="J350" s="92">
        <f>SUMIFS(StockInData[Value],StockInData[Product ID],ProductMaster!$B351)-SUMIFS(StockOutData[Value],StockOutData[Product ID],ProductMaster!$B351)</f>
        <v>20</v>
      </c>
    </row>
    <row r="351" spans="1:10" x14ac:dyDescent="0.25">
      <c r="A351" s="87">
        <v>350</v>
      </c>
      <c r="B351" s="88" t="s">
        <v>719</v>
      </c>
      <c r="C351" s="89" t="s">
        <v>720</v>
      </c>
      <c r="D351" s="88" t="s">
        <v>869</v>
      </c>
      <c r="E351" s="88" t="s">
        <v>876</v>
      </c>
      <c r="F351" s="90">
        <v>10</v>
      </c>
      <c r="G351" s="91">
        <f>StockInData[Expiry]</f>
        <v>44611</v>
      </c>
      <c r="H351" s="88">
        <v>25</v>
      </c>
      <c r="I351" s="88">
        <f>SUMIFS(StockInData[Quantity],StockInData[Product ID],ProductMaster!$B352)-SUMIFS(StockOutData[Quantity],StockOutData[Product ID],ProductMaster!$B352)</f>
        <v>5</v>
      </c>
      <c r="J351" s="92">
        <f>SUMIFS(StockInData[Value],StockInData[Product ID],ProductMaster!$B352)-SUMIFS(StockOutData[Value],StockOutData[Product ID],ProductMaster!$B352)</f>
        <v>12.5</v>
      </c>
    </row>
    <row r="352" spans="1:10" x14ac:dyDescent="0.25">
      <c r="A352" s="87">
        <v>351</v>
      </c>
      <c r="B352" s="88" t="s">
        <v>721</v>
      </c>
      <c r="C352" s="89" t="s">
        <v>722</v>
      </c>
      <c r="D352" s="88" t="s">
        <v>869</v>
      </c>
      <c r="E352" s="88" t="s">
        <v>876</v>
      </c>
      <c r="F352" s="90">
        <v>10</v>
      </c>
      <c r="G352" s="91">
        <f>StockInData[Expiry]</f>
        <v>44613</v>
      </c>
      <c r="H352" s="88">
        <v>25</v>
      </c>
      <c r="I352" s="88">
        <f>SUMIFS(StockInData[Quantity],StockInData[Product ID],ProductMaster!$B353)-SUMIFS(StockOutData[Quantity],StockOutData[Product ID],ProductMaster!$B353)</f>
        <v>10</v>
      </c>
      <c r="J352" s="92">
        <f>SUMIFS(StockInData[Value],StockInData[Product ID],ProductMaster!$B353)-SUMIFS(StockOutData[Value],StockOutData[Product ID],ProductMaster!$B353)</f>
        <v>25</v>
      </c>
    </row>
    <row r="353" spans="1:10" x14ac:dyDescent="0.25">
      <c r="A353" s="87">
        <v>352</v>
      </c>
      <c r="B353" s="88" t="s">
        <v>723</v>
      </c>
      <c r="C353" s="89" t="s">
        <v>724</v>
      </c>
      <c r="D353" s="88" t="s">
        <v>869</v>
      </c>
      <c r="E353" s="88" t="s">
        <v>876</v>
      </c>
      <c r="F353" s="90">
        <v>10</v>
      </c>
      <c r="G353" s="91">
        <f>StockInData[Expiry]</f>
        <v>44615</v>
      </c>
      <c r="H353" s="88">
        <v>25</v>
      </c>
      <c r="I353" s="88">
        <f>SUMIFS(StockInData[Quantity],StockInData[Product ID],ProductMaster!$B354)-SUMIFS(StockOutData[Quantity],StockOutData[Product ID],ProductMaster!$B354)</f>
        <v>60</v>
      </c>
      <c r="J353" s="92">
        <f>SUMIFS(StockInData[Value],StockInData[Product ID],ProductMaster!$B354)-SUMIFS(StockOutData[Value],StockOutData[Product ID],ProductMaster!$B354)</f>
        <v>150</v>
      </c>
    </row>
    <row r="354" spans="1:10" x14ac:dyDescent="0.25">
      <c r="A354" s="87">
        <v>353</v>
      </c>
      <c r="B354" s="88" t="s">
        <v>725</v>
      </c>
      <c r="C354" s="89" t="s">
        <v>726</v>
      </c>
      <c r="D354" s="88" t="s">
        <v>869</v>
      </c>
      <c r="E354" s="88" t="s">
        <v>876</v>
      </c>
      <c r="F354" s="90">
        <v>10</v>
      </c>
      <c r="G354" s="91">
        <f>StockInData[Expiry]</f>
        <v>44617</v>
      </c>
      <c r="H354" s="88">
        <v>25</v>
      </c>
      <c r="I354" s="88">
        <f>SUMIFS(StockInData[Quantity],StockInData[Product ID],ProductMaster!$B355)-SUMIFS(StockOutData[Quantity],StockOutData[Product ID],ProductMaster!$B355)</f>
        <v>67</v>
      </c>
      <c r="J354" s="92">
        <f>SUMIFS(StockInData[Value],StockInData[Product ID],ProductMaster!$B355)-SUMIFS(StockOutData[Value],StockOutData[Product ID],ProductMaster!$B355)</f>
        <v>167.5</v>
      </c>
    </row>
    <row r="355" spans="1:10" x14ac:dyDescent="0.25">
      <c r="A355" s="87">
        <v>354</v>
      </c>
      <c r="B355" s="88" t="s">
        <v>727</v>
      </c>
      <c r="C355" s="89" t="s">
        <v>728</v>
      </c>
      <c r="D355" s="88" t="s">
        <v>869</v>
      </c>
      <c r="E355" s="88" t="s">
        <v>876</v>
      </c>
      <c r="F355" s="90">
        <v>10</v>
      </c>
      <c r="G355" s="91">
        <f>StockInData[Expiry]</f>
        <v>44619</v>
      </c>
      <c r="H355" s="88">
        <v>25</v>
      </c>
      <c r="I355" s="88">
        <f>SUMIFS(StockInData[Quantity],StockInData[Product ID],ProductMaster!$B356)-SUMIFS(StockOutData[Quantity],StockOutData[Product ID],ProductMaster!$B356)</f>
        <v>69</v>
      </c>
      <c r="J355" s="92">
        <f>SUMIFS(StockInData[Value],StockInData[Product ID],ProductMaster!$B356)-SUMIFS(StockOutData[Value],StockOutData[Product ID],ProductMaster!$B356)</f>
        <v>172.5</v>
      </c>
    </row>
    <row r="356" spans="1:10" x14ac:dyDescent="0.25">
      <c r="A356" s="87">
        <v>355</v>
      </c>
      <c r="B356" s="88" t="s">
        <v>729</v>
      </c>
      <c r="C356" s="89" t="s">
        <v>730</v>
      </c>
      <c r="D356" s="88" t="s">
        <v>869</v>
      </c>
      <c r="E356" s="88" t="s">
        <v>876</v>
      </c>
      <c r="F356" s="90">
        <v>10</v>
      </c>
      <c r="G356" s="91">
        <f>StockInData[Expiry]</f>
        <v>44621</v>
      </c>
      <c r="H356" s="88">
        <v>25</v>
      </c>
      <c r="I356" s="88">
        <f>SUMIFS(StockInData[Quantity],StockInData[Product ID],ProductMaster!$B357)-SUMIFS(StockOutData[Quantity],StockOutData[Product ID],ProductMaster!$B357)</f>
        <v>81</v>
      </c>
      <c r="J356" s="92">
        <f>SUMIFS(StockInData[Value],StockInData[Product ID],ProductMaster!$B357)-SUMIFS(StockOutData[Value],StockOutData[Product ID],ProductMaster!$B357)</f>
        <v>202.5</v>
      </c>
    </row>
    <row r="357" spans="1:10" x14ac:dyDescent="0.25">
      <c r="A357" s="87">
        <v>356</v>
      </c>
      <c r="B357" s="88" t="s">
        <v>731</v>
      </c>
      <c r="C357" s="89" t="s">
        <v>732</v>
      </c>
      <c r="D357" s="88" t="s">
        <v>869</v>
      </c>
      <c r="E357" s="88" t="s">
        <v>876</v>
      </c>
      <c r="F357" s="90">
        <v>10</v>
      </c>
      <c r="G357" s="91">
        <f>StockInData[Expiry]</f>
        <v>44623</v>
      </c>
      <c r="H357" s="88">
        <v>25</v>
      </c>
      <c r="I357" s="88">
        <f>SUMIFS(StockInData[Quantity],StockInData[Product ID],ProductMaster!$B358)-SUMIFS(StockOutData[Quantity],StockOutData[Product ID],ProductMaster!$B358)</f>
        <v>89</v>
      </c>
      <c r="J357" s="92">
        <f>SUMIFS(StockInData[Value],StockInData[Product ID],ProductMaster!$B358)-SUMIFS(StockOutData[Value],StockOutData[Product ID],ProductMaster!$B358)</f>
        <v>222.5</v>
      </c>
    </row>
    <row r="358" spans="1:10" x14ac:dyDescent="0.25">
      <c r="A358" s="87">
        <v>357</v>
      </c>
      <c r="B358" s="88" t="s">
        <v>733</v>
      </c>
      <c r="C358" s="89" t="s">
        <v>734</v>
      </c>
      <c r="D358" s="88" t="s">
        <v>869</v>
      </c>
      <c r="E358" s="88" t="s">
        <v>876</v>
      </c>
      <c r="F358" s="90">
        <v>10</v>
      </c>
      <c r="G358" s="91">
        <f>StockInData[Expiry]</f>
        <v>44625</v>
      </c>
      <c r="H358" s="88">
        <v>25</v>
      </c>
      <c r="I358" s="88">
        <f>SUMIFS(StockInData[Quantity],StockInData[Product ID],ProductMaster!$B359)-SUMIFS(StockOutData[Quantity],StockOutData[Product ID],ProductMaster!$B359)</f>
        <v>90</v>
      </c>
      <c r="J358" s="92">
        <f>SUMIFS(StockInData[Value],StockInData[Product ID],ProductMaster!$B359)-SUMIFS(StockOutData[Value],StockOutData[Product ID],ProductMaster!$B359)</f>
        <v>225</v>
      </c>
    </row>
    <row r="359" spans="1:10" x14ac:dyDescent="0.25">
      <c r="A359" s="87">
        <v>358</v>
      </c>
      <c r="B359" s="88" t="s">
        <v>735</v>
      </c>
      <c r="C359" s="89" t="s">
        <v>736</v>
      </c>
      <c r="D359" s="88" t="s">
        <v>869</v>
      </c>
      <c r="E359" s="88" t="s">
        <v>876</v>
      </c>
      <c r="F359" s="90">
        <v>10</v>
      </c>
      <c r="G359" s="91">
        <f>StockInData[Expiry]</f>
        <v>44627</v>
      </c>
      <c r="H359" s="88">
        <v>25</v>
      </c>
      <c r="I359" s="88">
        <f>SUMIFS(StockInData[Quantity],StockInData[Product ID],ProductMaster!$B360)-SUMIFS(StockOutData[Quantity],StockOutData[Product ID],ProductMaster!$B360)</f>
        <v>90</v>
      </c>
      <c r="J359" s="92">
        <f>SUMIFS(StockInData[Value],StockInData[Product ID],ProductMaster!$B360)-SUMIFS(StockOutData[Value],StockOutData[Product ID],ProductMaster!$B360)</f>
        <v>225</v>
      </c>
    </row>
    <row r="360" spans="1:10" x14ac:dyDescent="0.25">
      <c r="A360" s="87">
        <v>359</v>
      </c>
      <c r="B360" s="88" t="s">
        <v>737</v>
      </c>
      <c r="C360" s="89" t="s">
        <v>738</v>
      </c>
      <c r="D360" s="88" t="s">
        <v>869</v>
      </c>
      <c r="E360" s="88" t="s">
        <v>876</v>
      </c>
      <c r="F360" s="90">
        <v>10</v>
      </c>
      <c r="G360" s="91">
        <f>StockInData[Expiry]</f>
        <v>44629</v>
      </c>
      <c r="H360" s="88">
        <v>25</v>
      </c>
      <c r="I360" s="88">
        <f>SUMIFS(StockInData[Quantity],StockInData[Product ID],ProductMaster!$B361)-SUMIFS(StockOutData[Quantity],StockOutData[Product ID],ProductMaster!$B361)</f>
        <v>90</v>
      </c>
      <c r="J360" s="92">
        <f>SUMIFS(StockInData[Value],StockInData[Product ID],ProductMaster!$B361)-SUMIFS(StockOutData[Value],StockOutData[Product ID],ProductMaster!$B361)</f>
        <v>225</v>
      </c>
    </row>
    <row r="361" spans="1:10" x14ac:dyDescent="0.25">
      <c r="A361" s="87">
        <v>360</v>
      </c>
      <c r="B361" s="88" t="s">
        <v>739</v>
      </c>
      <c r="C361" s="89" t="s">
        <v>740</v>
      </c>
      <c r="D361" s="88" t="s">
        <v>869</v>
      </c>
      <c r="E361" s="88" t="s">
        <v>876</v>
      </c>
      <c r="F361" s="90">
        <v>10</v>
      </c>
      <c r="G361" s="91">
        <f>StockInData[Expiry]</f>
        <v>44631</v>
      </c>
      <c r="H361" s="88">
        <v>25</v>
      </c>
      <c r="I361" s="88">
        <f>SUMIFS(StockInData[Quantity],StockInData[Product ID],ProductMaster!$B362)-SUMIFS(StockOutData[Quantity],StockOutData[Product ID],ProductMaster!$B362)</f>
        <v>30</v>
      </c>
      <c r="J361" s="92">
        <f>SUMIFS(StockInData[Value],StockInData[Product ID],ProductMaster!$B362)-SUMIFS(StockOutData[Value],StockOutData[Product ID],ProductMaster!$B362)</f>
        <v>75</v>
      </c>
    </row>
    <row r="362" spans="1:10" x14ac:dyDescent="0.25">
      <c r="A362" s="87">
        <v>361</v>
      </c>
      <c r="B362" s="88" t="s">
        <v>741</v>
      </c>
      <c r="C362" s="89" t="s">
        <v>742</v>
      </c>
      <c r="D362" s="88" t="s">
        <v>869</v>
      </c>
      <c r="E362" s="88" t="s">
        <v>876</v>
      </c>
      <c r="F362" s="90">
        <v>10</v>
      </c>
      <c r="G362" s="91">
        <f>StockInData[Expiry]</f>
        <v>44633</v>
      </c>
      <c r="H362" s="88">
        <v>25</v>
      </c>
      <c r="I362" s="88">
        <f>SUMIFS(StockInData[Quantity],StockInData[Product ID],ProductMaster!$B363)-SUMIFS(StockOutData[Quantity],StockOutData[Product ID],ProductMaster!$B363)</f>
        <v>23</v>
      </c>
      <c r="J362" s="92">
        <f>SUMIFS(StockInData[Value],StockInData[Product ID],ProductMaster!$B363)-SUMIFS(StockOutData[Value],StockOutData[Product ID],ProductMaster!$B363)</f>
        <v>57.5</v>
      </c>
    </row>
    <row r="363" spans="1:10" x14ac:dyDescent="0.25">
      <c r="A363" s="87">
        <v>362</v>
      </c>
      <c r="B363" s="88" t="s">
        <v>743</v>
      </c>
      <c r="C363" s="89" t="s">
        <v>744</v>
      </c>
      <c r="D363" s="88" t="s">
        <v>869</v>
      </c>
      <c r="E363" s="88" t="s">
        <v>876</v>
      </c>
      <c r="F363" s="90">
        <v>10</v>
      </c>
      <c r="G363" s="91">
        <f>StockInData[Expiry]</f>
        <v>44635</v>
      </c>
      <c r="H363" s="88">
        <v>25</v>
      </c>
      <c r="I363" s="88">
        <f>SUMIFS(StockInData[Quantity],StockInData[Product ID],ProductMaster!$B364)-SUMIFS(StockOutData[Quantity],StockOutData[Product ID],ProductMaster!$B364)</f>
        <v>-2</v>
      </c>
      <c r="J363" s="92">
        <f>SUMIFS(StockInData[Value],StockInData[Product ID],ProductMaster!$B364)-SUMIFS(StockOutData[Value],StockOutData[Product ID],ProductMaster!$B364)</f>
        <v>17.920000000000002</v>
      </c>
    </row>
    <row r="364" spans="1:10" x14ac:dyDescent="0.25">
      <c r="A364" s="87">
        <v>363</v>
      </c>
      <c r="B364" s="88" t="s">
        <v>745</v>
      </c>
      <c r="C364" s="89" t="s">
        <v>746</v>
      </c>
      <c r="D364" s="88" t="s">
        <v>869</v>
      </c>
      <c r="E364" s="88" t="s">
        <v>876</v>
      </c>
      <c r="F364" s="90">
        <v>10</v>
      </c>
      <c r="G364" s="91">
        <f>StockInData[Expiry]</f>
        <v>44637</v>
      </c>
      <c r="H364" s="88">
        <v>25</v>
      </c>
      <c r="I364" s="88">
        <f>SUMIFS(StockInData[Quantity],StockInData[Product ID],ProductMaster!$B365)-SUMIFS(StockOutData[Quantity],StockOutData[Product ID],ProductMaster!$B365)</f>
        <v>2</v>
      </c>
      <c r="J364" s="92">
        <f>SUMIFS(StockInData[Value],StockInData[Product ID],ProductMaster!$B365)-SUMIFS(StockOutData[Value],StockOutData[Product ID],ProductMaster!$B365)</f>
        <v>5</v>
      </c>
    </row>
    <row r="365" spans="1:10" x14ac:dyDescent="0.25">
      <c r="A365" s="87">
        <v>364</v>
      </c>
      <c r="B365" s="88" t="s">
        <v>747</v>
      </c>
      <c r="C365" s="89" t="s">
        <v>748</v>
      </c>
      <c r="D365" s="88" t="s">
        <v>869</v>
      </c>
      <c r="E365" s="88" t="s">
        <v>876</v>
      </c>
      <c r="F365" s="90">
        <v>10</v>
      </c>
      <c r="G365" s="91">
        <f>StockInData[Expiry]</f>
        <v>44639</v>
      </c>
      <c r="H365" s="88">
        <v>25</v>
      </c>
      <c r="I365" s="88">
        <f>SUMIFS(StockInData[Quantity],StockInData[Product ID],ProductMaster!$B366)-SUMIFS(StockOutData[Quantity],StockOutData[Product ID],ProductMaster!$B366)</f>
        <v>7</v>
      </c>
      <c r="J365" s="92">
        <f>SUMIFS(StockInData[Value],StockInData[Product ID],ProductMaster!$B366)-SUMIFS(StockOutData[Value],StockOutData[Product ID],ProductMaster!$B366)</f>
        <v>17.5</v>
      </c>
    </row>
    <row r="366" spans="1:10" x14ac:dyDescent="0.25">
      <c r="A366" s="87">
        <v>365</v>
      </c>
      <c r="B366" s="88" t="s">
        <v>749</v>
      </c>
      <c r="C366" s="89" t="s">
        <v>750</v>
      </c>
      <c r="D366" s="88" t="s">
        <v>869</v>
      </c>
      <c r="E366" s="88" t="s">
        <v>876</v>
      </c>
      <c r="F366" s="90">
        <v>10</v>
      </c>
      <c r="G366" s="91">
        <f>StockInData[Expiry]</f>
        <v>44641</v>
      </c>
      <c r="H366" s="88">
        <v>25</v>
      </c>
      <c r="I366" s="88">
        <f>SUMIFS(StockInData[Quantity],StockInData[Product ID],ProductMaster!$B367)-SUMIFS(StockOutData[Quantity],StockOutData[Product ID],ProductMaster!$B367)</f>
        <v>9</v>
      </c>
      <c r="J366" s="92">
        <f>SUMIFS(StockInData[Value],StockInData[Product ID],ProductMaster!$B367)-SUMIFS(StockOutData[Value],StockOutData[Product ID],ProductMaster!$B367)</f>
        <v>22.5</v>
      </c>
    </row>
    <row r="367" spans="1:10" x14ac:dyDescent="0.25">
      <c r="A367" s="87">
        <v>366</v>
      </c>
      <c r="B367" s="88" t="s">
        <v>751</v>
      </c>
      <c r="C367" s="89" t="s">
        <v>752</v>
      </c>
      <c r="D367" s="88" t="s">
        <v>869</v>
      </c>
      <c r="E367" s="88" t="s">
        <v>876</v>
      </c>
      <c r="F367" s="90">
        <v>10</v>
      </c>
      <c r="G367" s="91">
        <f>StockInData[Expiry]</f>
        <v>44643</v>
      </c>
      <c r="H367" s="88">
        <v>25</v>
      </c>
      <c r="I367" s="88">
        <f>SUMIFS(StockInData[Quantity],StockInData[Product ID],ProductMaster!$B368)-SUMIFS(StockOutData[Quantity],StockOutData[Product ID],ProductMaster!$B368)</f>
        <v>52</v>
      </c>
      <c r="J367" s="92">
        <f>SUMIFS(StockInData[Value],StockInData[Product ID],ProductMaster!$B368)-SUMIFS(StockOutData[Value],StockOutData[Product ID],ProductMaster!$B368)</f>
        <v>130</v>
      </c>
    </row>
    <row r="368" spans="1:10" x14ac:dyDescent="0.25">
      <c r="A368" s="87">
        <v>367</v>
      </c>
      <c r="B368" s="88" t="s">
        <v>753</v>
      </c>
      <c r="C368" s="89" t="s">
        <v>754</v>
      </c>
      <c r="D368" s="88" t="s">
        <v>869</v>
      </c>
      <c r="E368" s="88" t="s">
        <v>876</v>
      </c>
      <c r="F368" s="90">
        <v>10</v>
      </c>
      <c r="G368" s="91">
        <f>StockInData[Expiry]</f>
        <v>44645</v>
      </c>
      <c r="H368" s="88">
        <v>25</v>
      </c>
      <c r="I368" s="88">
        <f>SUMIFS(StockInData[Quantity],StockInData[Product ID],ProductMaster!$B369)-SUMIFS(StockOutData[Quantity],StockOutData[Product ID],ProductMaster!$B369)</f>
        <v>69</v>
      </c>
      <c r="J368" s="92">
        <f>SUMIFS(StockInData[Value],StockInData[Product ID],ProductMaster!$B369)-SUMIFS(StockOutData[Value],StockOutData[Product ID],ProductMaster!$B369)</f>
        <v>172.5</v>
      </c>
    </row>
    <row r="369" spans="1:10" x14ac:dyDescent="0.25">
      <c r="A369" s="87">
        <v>368</v>
      </c>
      <c r="B369" s="88" t="s">
        <v>755</v>
      </c>
      <c r="C369" s="89" t="s">
        <v>756</v>
      </c>
      <c r="D369" s="88" t="s">
        <v>869</v>
      </c>
      <c r="E369" s="88" t="s">
        <v>876</v>
      </c>
      <c r="F369" s="90">
        <v>10</v>
      </c>
      <c r="G369" s="91">
        <f>StockInData[Expiry]</f>
        <v>44647</v>
      </c>
      <c r="H369" s="88">
        <v>25</v>
      </c>
      <c r="I369" s="88">
        <f>SUMIFS(StockInData[Quantity],StockInData[Product ID],ProductMaster!$B370)-SUMIFS(StockOutData[Quantity],StockOutData[Product ID],ProductMaster!$B370)</f>
        <v>77</v>
      </c>
      <c r="J369" s="92">
        <f>SUMIFS(StockInData[Value],StockInData[Product ID],ProductMaster!$B370)-SUMIFS(StockOutData[Value],StockOutData[Product ID],ProductMaster!$B370)</f>
        <v>192.5</v>
      </c>
    </row>
    <row r="370" spans="1:10" x14ac:dyDescent="0.25">
      <c r="A370" s="87">
        <v>369</v>
      </c>
      <c r="B370" s="88" t="s">
        <v>757</v>
      </c>
      <c r="C370" s="89" t="s">
        <v>758</v>
      </c>
      <c r="D370" s="88" t="s">
        <v>869</v>
      </c>
      <c r="E370" s="88" t="s">
        <v>876</v>
      </c>
      <c r="F370" s="90">
        <v>10</v>
      </c>
      <c r="G370" s="91">
        <f>StockInData[Expiry]</f>
        <v>44649</v>
      </c>
      <c r="H370" s="88">
        <v>25</v>
      </c>
      <c r="I370" s="88">
        <f>SUMIFS(StockInData[Quantity],StockInData[Product ID],ProductMaster!$B371)-SUMIFS(StockOutData[Quantity],StockOutData[Product ID],ProductMaster!$B371)</f>
        <v>84</v>
      </c>
      <c r="J370" s="92">
        <f>SUMIFS(StockInData[Value],StockInData[Product ID],ProductMaster!$B371)-SUMIFS(StockOutData[Value],StockOutData[Product ID],ProductMaster!$B371)</f>
        <v>210</v>
      </c>
    </row>
    <row r="371" spans="1:10" x14ac:dyDescent="0.25">
      <c r="A371" s="87">
        <v>370</v>
      </c>
      <c r="B371" s="88" t="s">
        <v>759</v>
      </c>
      <c r="C371" s="89" t="s">
        <v>760</v>
      </c>
      <c r="D371" s="88" t="s">
        <v>869</v>
      </c>
      <c r="E371" s="88" t="s">
        <v>876</v>
      </c>
      <c r="F371" s="90">
        <v>10</v>
      </c>
      <c r="G371" s="91">
        <f>StockInData[Expiry]</f>
        <v>44651</v>
      </c>
      <c r="H371" s="88">
        <v>25</v>
      </c>
      <c r="I371" s="88">
        <f>SUMIFS(StockInData[Quantity],StockInData[Product ID],ProductMaster!$B372)-SUMIFS(StockOutData[Quantity],StockOutData[Product ID],ProductMaster!$B372)</f>
        <v>83</v>
      </c>
      <c r="J371" s="92">
        <f>SUMIFS(StockInData[Value],StockInData[Product ID],ProductMaster!$B372)-SUMIFS(StockOutData[Value],StockOutData[Product ID],ProductMaster!$B372)</f>
        <v>207.5</v>
      </c>
    </row>
    <row r="372" spans="1:10" x14ac:dyDescent="0.25">
      <c r="A372" s="87">
        <v>371</v>
      </c>
      <c r="B372" s="88" t="s">
        <v>761</v>
      </c>
      <c r="C372" s="89" t="s">
        <v>762</v>
      </c>
      <c r="D372" s="88" t="s">
        <v>869</v>
      </c>
      <c r="E372" s="88" t="s">
        <v>876</v>
      </c>
      <c r="F372" s="90">
        <v>10</v>
      </c>
      <c r="G372" s="91">
        <f>StockInData[Expiry]</f>
        <v>44653</v>
      </c>
      <c r="H372" s="88">
        <v>25</v>
      </c>
      <c r="I372" s="88">
        <f>SUMIFS(StockInData[Quantity],StockInData[Product ID],ProductMaster!$B373)-SUMIFS(StockOutData[Quantity],StockOutData[Product ID],ProductMaster!$B373)</f>
        <v>48</v>
      </c>
      <c r="J372" s="92">
        <f>SUMIFS(StockInData[Value],StockInData[Product ID],ProductMaster!$B373)-SUMIFS(StockOutData[Value],StockOutData[Product ID],ProductMaster!$B373)</f>
        <v>120</v>
      </c>
    </row>
    <row r="373" spans="1:10" x14ac:dyDescent="0.25">
      <c r="A373" s="87">
        <v>372</v>
      </c>
      <c r="B373" s="88" t="s">
        <v>763</v>
      </c>
      <c r="C373" s="89" t="s">
        <v>764</v>
      </c>
      <c r="D373" s="88" t="s">
        <v>869</v>
      </c>
      <c r="E373" s="88" t="s">
        <v>876</v>
      </c>
      <c r="F373" s="90">
        <v>10</v>
      </c>
      <c r="G373" s="91">
        <f>StockInData[Expiry]</f>
        <v>44655</v>
      </c>
      <c r="H373" s="88">
        <v>25</v>
      </c>
      <c r="I373" s="88">
        <f>SUMIFS(StockInData[Quantity],StockInData[Product ID],ProductMaster!$B374)-SUMIFS(StockOutData[Quantity],StockOutData[Product ID],ProductMaster!$B374)</f>
        <v>26</v>
      </c>
      <c r="J373" s="92">
        <f>SUMIFS(StockInData[Value],StockInData[Product ID],ProductMaster!$B374)-SUMIFS(StockOutData[Value],StockOutData[Product ID],ProductMaster!$B374)</f>
        <v>65</v>
      </c>
    </row>
    <row r="374" spans="1:10" x14ac:dyDescent="0.25">
      <c r="A374" s="87">
        <v>373</v>
      </c>
      <c r="B374" s="88" t="s">
        <v>765</v>
      </c>
      <c r="C374" s="89" t="s">
        <v>766</v>
      </c>
      <c r="D374" s="88" t="s">
        <v>869</v>
      </c>
      <c r="E374" s="88" t="s">
        <v>876</v>
      </c>
      <c r="F374" s="90">
        <v>10</v>
      </c>
      <c r="G374" s="91">
        <f>StockInData[Expiry]</f>
        <v>44657</v>
      </c>
      <c r="H374" s="88">
        <v>25</v>
      </c>
      <c r="I374" s="88">
        <f>SUMIFS(StockInData[Quantity],StockInData[Product ID],ProductMaster!$B375)-SUMIFS(StockOutData[Quantity],StockOutData[Product ID],ProductMaster!$B375)</f>
        <v>17</v>
      </c>
      <c r="J374" s="92">
        <f>SUMIFS(StockInData[Value],StockInData[Product ID],ProductMaster!$B375)-SUMIFS(StockOutData[Value],StockOutData[Product ID],ProductMaster!$B375)</f>
        <v>42.5</v>
      </c>
    </row>
    <row r="375" spans="1:10" x14ac:dyDescent="0.25">
      <c r="A375" s="87">
        <v>374</v>
      </c>
      <c r="B375" s="88" t="s">
        <v>767</v>
      </c>
      <c r="C375" s="89" t="s">
        <v>768</v>
      </c>
      <c r="D375" s="88" t="s">
        <v>869</v>
      </c>
      <c r="E375" s="88" t="s">
        <v>876</v>
      </c>
      <c r="F375" s="90">
        <v>10</v>
      </c>
      <c r="G375" s="91">
        <f>StockInData[Expiry]</f>
        <v>44659</v>
      </c>
      <c r="H375" s="88">
        <v>25</v>
      </c>
      <c r="I375" s="88">
        <f>SUMIFS(StockInData[Quantity],StockInData[Product ID],ProductMaster!$B376)-SUMIFS(StockOutData[Quantity],StockOutData[Product ID],ProductMaster!$B376)</f>
        <v>20</v>
      </c>
      <c r="J375" s="92">
        <f>SUMIFS(StockInData[Value],StockInData[Product ID],ProductMaster!$B376)-SUMIFS(StockOutData[Value],StockOutData[Product ID],ProductMaster!$B376)</f>
        <v>50</v>
      </c>
    </row>
    <row r="376" spans="1:10" x14ac:dyDescent="0.25">
      <c r="A376" s="87">
        <v>375</v>
      </c>
      <c r="B376" s="88" t="s">
        <v>769</v>
      </c>
      <c r="C376" s="89" t="s">
        <v>770</v>
      </c>
      <c r="D376" s="88" t="s">
        <v>869</v>
      </c>
      <c r="E376" s="88" t="s">
        <v>876</v>
      </c>
      <c r="F376" s="90">
        <v>10</v>
      </c>
      <c r="G376" s="91">
        <f>StockInData[Expiry]</f>
        <v>44661</v>
      </c>
      <c r="H376" s="88">
        <v>25</v>
      </c>
      <c r="I376" s="88">
        <f>SUMIFS(StockInData[Quantity],StockInData[Product ID],ProductMaster!$B377)-SUMIFS(StockOutData[Quantity],StockOutData[Product ID],ProductMaster!$B377)</f>
        <v>13</v>
      </c>
      <c r="J376" s="92">
        <f>SUMIFS(StockInData[Value],StockInData[Product ID],ProductMaster!$B377)-SUMIFS(StockOutData[Value],StockOutData[Product ID],ProductMaster!$B377)</f>
        <v>32.5</v>
      </c>
    </row>
    <row r="377" spans="1:10" x14ac:dyDescent="0.25">
      <c r="A377" s="87">
        <v>376</v>
      </c>
      <c r="B377" s="88" t="s">
        <v>771</v>
      </c>
      <c r="C377" s="89" t="s">
        <v>772</v>
      </c>
      <c r="D377" s="88" t="s">
        <v>869</v>
      </c>
      <c r="E377" s="88" t="s">
        <v>876</v>
      </c>
      <c r="F377" s="90">
        <v>10</v>
      </c>
      <c r="G377" s="91">
        <f>StockInData[Expiry]</f>
        <v>44663</v>
      </c>
      <c r="H377" s="88">
        <v>25</v>
      </c>
      <c r="I377" s="88">
        <f>SUMIFS(StockInData[Quantity],StockInData[Product ID],ProductMaster!$B378)-SUMIFS(StockOutData[Quantity],StockOutData[Product ID],ProductMaster!$B378)</f>
        <v>4</v>
      </c>
      <c r="J377" s="92">
        <f>SUMIFS(StockInData[Value],StockInData[Product ID],ProductMaster!$B378)-SUMIFS(StockOutData[Value],StockOutData[Product ID],ProductMaster!$B378)</f>
        <v>10</v>
      </c>
    </row>
    <row r="378" spans="1:10" x14ac:dyDescent="0.25">
      <c r="A378" s="87">
        <v>377</v>
      </c>
      <c r="B378" s="88" t="s">
        <v>773</v>
      </c>
      <c r="C378" s="89" t="s">
        <v>774</v>
      </c>
      <c r="D378" s="88" t="s">
        <v>869</v>
      </c>
      <c r="E378" s="88" t="s">
        <v>876</v>
      </c>
      <c r="F378" s="90">
        <v>10</v>
      </c>
      <c r="G378" s="91">
        <f>StockInData[Expiry]</f>
        <v>44665</v>
      </c>
      <c r="H378" s="88">
        <v>25</v>
      </c>
      <c r="I378" s="88">
        <f>SUMIFS(StockInData[Quantity],StockInData[Product ID],ProductMaster!$B379)-SUMIFS(StockOutData[Quantity],StockOutData[Product ID],ProductMaster!$B379)</f>
        <v>5</v>
      </c>
      <c r="J378" s="92">
        <f>SUMIFS(StockInData[Value],StockInData[Product ID],ProductMaster!$B379)-SUMIFS(StockOutData[Value],StockOutData[Product ID],ProductMaster!$B379)</f>
        <v>12.5</v>
      </c>
    </row>
    <row r="379" spans="1:10" x14ac:dyDescent="0.25">
      <c r="A379" s="87">
        <v>378</v>
      </c>
      <c r="B379" s="88" t="s">
        <v>775</v>
      </c>
      <c r="C379" s="89" t="s">
        <v>776</v>
      </c>
      <c r="D379" s="88" t="s">
        <v>869</v>
      </c>
      <c r="E379" s="88" t="s">
        <v>876</v>
      </c>
      <c r="F379" s="90">
        <v>10</v>
      </c>
      <c r="G379" s="91">
        <f>StockInData[Expiry]</f>
        <v>44667</v>
      </c>
      <c r="H379" s="88">
        <v>25</v>
      </c>
      <c r="I379" s="88">
        <f>SUMIFS(StockInData[Quantity],StockInData[Product ID],ProductMaster!$B380)-SUMIFS(StockOutData[Quantity],StockOutData[Product ID],ProductMaster!$B380)</f>
        <v>53</v>
      </c>
      <c r="J379" s="92">
        <f>SUMIFS(StockInData[Value],StockInData[Product ID],ProductMaster!$B380)-SUMIFS(StockOutData[Value],StockOutData[Product ID],ProductMaster!$B380)</f>
        <v>132.5</v>
      </c>
    </row>
    <row r="380" spans="1:10" x14ac:dyDescent="0.25">
      <c r="A380" s="87">
        <v>379</v>
      </c>
      <c r="B380" s="88" t="s">
        <v>777</v>
      </c>
      <c r="C380" s="89" t="s">
        <v>778</v>
      </c>
      <c r="D380" s="88" t="s">
        <v>869</v>
      </c>
      <c r="E380" s="88" t="s">
        <v>876</v>
      </c>
      <c r="F380" s="90">
        <v>10</v>
      </c>
      <c r="G380" s="91">
        <f>StockInData[Expiry]</f>
        <v>44669</v>
      </c>
      <c r="H380" s="88">
        <v>25</v>
      </c>
      <c r="I380" s="88">
        <f>SUMIFS(StockInData[Quantity],StockInData[Product ID],ProductMaster!$B381)-SUMIFS(StockOutData[Quantity],StockOutData[Product ID],ProductMaster!$B381)</f>
        <v>64</v>
      </c>
      <c r="J380" s="92">
        <f>SUMIFS(StockInData[Value],StockInData[Product ID],ProductMaster!$B381)-SUMIFS(StockOutData[Value],StockOutData[Product ID],ProductMaster!$B381)</f>
        <v>160</v>
      </c>
    </row>
    <row r="381" spans="1:10" x14ac:dyDescent="0.25">
      <c r="A381" s="87">
        <v>380</v>
      </c>
      <c r="B381" s="88" t="s">
        <v>779</v>
      </c>
      <c r="C381" s="89" t="s">
        <v>780</v>
      </c>
      <c r="D381" s="88" t="s">
        <v>869</v>
      </c>
      <c r="E381" s="88" t="s">
        <v>876</v>
      </c>
      <c r="F381" s="90">
        <v>10</v>
      </c>
      <c r="G381" s="91">
        <f>StockInData[Expiry]</f>
        <v>44671</v>
      </c>
      <c r="H381" s="88">
        <v>25</v>
      </c>
      <c r="I381" s="88">
        <f>SUMIFS(StockInData[Quantity],StockInData[Product ID],ProductMaster!$B382)-SUMIFS(StockOutData[Quantity],StockOutData[Product ID],ProductMaster!$B382)</f>
        <v>74</v>
      </c>
      <c r="J381" s="92">
        <f>SUMIFS(StockInData[Value],StockInData[Product ID],ProductMaster!$B382)-SUMIFS(StockOutData[Value],StockOutData[Product ID],ProductMaster!$B382)</f>
        <v>185</v>
      </c>
    </row>
    <row r="382" spans="1:10" x14ac:dyDescent="0.25">
      <c r="A382" s="87">
        <v>381</v>
      </c>
      <c r="B382" s="88" t="s">
        <v>781</v>
      </c>
      <c r="C382" s="89" t="s">
        <v>782</v>
      </c>
      <c r="D382" s="88" t="s">
        <v>869</v>
      </c>
      <c r="E382" s="88" t="s">
        <v>876</v>
      </c>
      <c r="F382" s="90">
        <v>10</v>
      </c>
      <c r="G382" s="91">
        <f>StockInData[Expiry]</f>
        <v>44673</v>
      </c>
      <c r="H382" s="88">
        <v>25</v>
      </c>
      <c r="I382" s="88">
        <f>SUMIFS(StockInData[Quantity],StockInData[Product ID],ProductMaster!$B383)-SUMIFS(StockOutData[Quantity],StockOutData[Product ID],ProductMaster!$B383)</f>
        <v>89</v>
      </c>
      <c r="J382" s="92">
        <f>SUMIFS(StockInData[Value],StockInData[Product ID],ProductMaster!$B383)-SUMIFS(StockOutData[Value],StockOutData[Product ID],ProductMaster!$B383)</f>
        <v>222.5</v>
      </c>
    </row>
    <row r="383" spans="1:10" x14ac:dyDescent="0.25">
      <c r="A383" s="87">
        <v>382</v>
      </c>
      <c r="B383" s="88" t="s">
        <v>783</v>
      </c>
      <c r="C383" s="89" t="s">
        <v>784</v>
      </c>
      <c r="D383" s="88" t="s">
        <v>869</v>
      </c>
      <c r="E383" s="88" t="s">
        <v>876</v>
      </c>
      <c r="F383" s="90">
        <v>10</v>
      </c>
      <c r="G383" s="91">
        <f>StockInData[Expiry]</f>
        <v>44675</v>
      </c>
      <c r="H383" s="88">
        <v>25</v>
      </c>
      <c r="I383" s="88">
        <f>SUMIFS(StockInData[Quantity],StockInData[Product ID],ProductMaster!$B384)-SUMIFS(StockOutData[Quantity],StockOutData[Product ID],ProductMaster!$B384)</f>
        <v>94</v>
      </c>
      <c r="J383" s="92">
        <f>SUMIFS(StockInData[Value],StockInData[Product ID],ProductMaster!$B384)-SUMIFS(StockOutData[Value],StockOutData[Product ID],ProductMaster!$B384)</f>
        <v>235</v>
      </c>
    </row>
    <row r="384" spans="1:10" x14ac:dyDescent="0.25">
      <c r="A384" s="87">
        <v>383</v>
      </c>
      <c r="B384" s="88" t="s">
        <v>785</v>
      </c>
      <c r="C384" s="89" t="s">
        <v>786</v>
      </c>
      <c r="D384" s="88" t="s">
        <v>869</v>
      </c>
      <c r="E384" s="88" t="s">
        <v>876</v>
      </c>
      <c r="F384" s="90">
        <v>10</v>
      </c>
      <c r="G384" s="91">
        <f>StockInData[Expiry]</f>
        <v>44677</v>
      </c>
      <c r="H384" s="88">
        <v>25</v>
      </c>
      <c r="I384" s="88">
        <f>SUMIFS(StockInData[Quantity],StockInData[Product ID],ProductMaster!$B385)-SUMIFS(StockOutData[Quantity],StockOutData[Product ID],ProductMaster!$B385)</f>
        <v>45</v>
      </c>
      <c r="J384" s="92">
        <f>SUMIFS(StockInData[Value],StockInData[Product ID],ProductMaster!$B385)-SUMIFS(StockOutData[Value],StockOutData[Product ID],ProductMaster!$B385)</f>
        <v>112.5</v>
      </c>
    </row>
    <row r="385" spans="1:10" x14ac:dyDescent="0.25">
      <c r="A385" s="87">
        <v>384</v>
      </c>
      <c r="B385" s="88" t="s">
        <v>787</v>
      </c>
      <c r="C385" s="89" t="s">
        <v>788</v>
      </c>
      <c r="D385" s="88" t="s">
        <v>869</v>
      </c>
      <c r="E385" s="88" t="s">
        <v>876</v>
      </c>
      <c r="F385" s="90">
        <v>10</v>
      </c>
      <c r="G385" s="91">
        <f>StockInData[Expiry]</f>
        <v>44679</v>
      </c>
      <c r="H385" s="88">
        <v>25</v>
      </c>
      <c r="I385" s="88">
        <f>SUMIFS(StockInData[Quantity],StockInData[Product ID],ProductMaster!$B386)-SUMIFS(StockOutData[Quantity],StockOutData[Product ID],ProductMaster!$B386)</f>
        <v>22</v>
      </c>
      <c r="J385" s="92">
        <f>SUMIFS(StockInData[Value],StockInData[Product ID],ProductMaster!$B386)-SUMIFS(StockOutData[Value],StockOutData[Product ID],ProductMaster!$B386)</f>
        <v>55</v>
      </c>
    </row>
    <row r="386" spans="1:10" x14ac:dyDescent="0.25">
      <c r="A386" s="87">
        <v>385</v>
      </c>
      <c r="B386" s="88" t="s">
        <v>789</v>
      </c>
      <c r="C386" s="89" t="s">
        <v>790</v>
      </c>
      <c r="D386" s="88" t="s">
        <v>869</v>
      </c>
      <c r="E386" s="88" t="s">
        <v>876</v>
      </c>
      <c r="F386" s="90">
        <v>10</v>
      </c>
      <c r="G386" s="91">
        <f>StockInData[Expiry]</f>
        <v>44681</v>
      </c>
      <c r="H386" s="88">
        <v>25</v>
      </c>
      <c r="I386" s="88">
        <f>SUMIFS(StockInData[Quantity],StockInData[Product ID],ProductMaster!$B387)-SUMIFS(StockOutData[Quantity],StockOutData[Product ID],ProductMaster!$B387)</f>
        <v>18</v>
      </c>
      <c r="J386" s="92">
        <f>SUMIFS(StockInData[Value],StockInData[Product ID],ProductMaster!$B387)-SUMIFS(StockOutData[Value],StockOutData[Product ID],ProductMaster!$B387)</f>
        <v>45</v>
      </c>
    </row>
    <row r="387" spans="1:10" x14ac:dyDescent="0.25">
      <c r="A387" s="87">
        <v>386</v>
      </c>
      <c r="B387" s="88" t="s">
        <v>791</v>
      </c>
      <c r="C387" s="89" t="s">
        <v>792</v>
      </c>
      <c r="D387" s="88" t="s">
        <v>869</v>
      </c>
      <c r="E387" s="88" t="s">
        <v>876</v>
      </c>
      <c r="F387" s="90">
        <v>10</v>
      </c>
      <c r="G387" s="91">
        <f>StockInData[Expiry]</f>
        <v>44683</v>
      </c>
      <c r="H387" s="88">
        <v>25</v>
      </c>
      <c r="I387" s="88">
        <f>SUMIFS(StockInData[Quantity],StockInData[Product ID],ProductMaster!$B388)-SUMIFS(StockOutData[Quantity],StockOutData[Product ID],ProductMaster!$B388)</f>
        <v>11</v>
      </c>
      <c r="J387" s="92">
        <f>SUMIFS(StockInData[Value],StockInData[Product ID],ProductMaster!$B388)-SUMIFS(StockOutData[Value],StockOutData[Product ID],ProductMaster!$B388)</f>
        <v>27.5</v>
      </c>
    </row>
    <row r="388" spans="1:10" x14ac:dyDescent="0.25">
      <c r="A388" s="87">
        <v>387</v>
      </c>
      <c r="B388" s="88" t="s">
        <v>793</v>
      </c>
      <c r="C388" s="89" t="s">
        <v>794</v>
      </c>
      <c r="D388" s="88" t="s">
        <v>869</v>
      </c>
      <c r="E388" s="88" t="s">
        <v>876</v>
      </c>
      <c r="F388" s="90">
        <v>10</v>
      </c>
      <c r="G388" s="91">
        <f>StockInData[Expiry]</f>
        <v>44685</v>
      </c>
      <c r="H388" s="88">
        <v>25</v>
      </c>
      <c r="I388" s="88">
        <f>SUMIFS(StockInData[Quantity],StockInData[Product ID],ProductMaster!$B389)-SUMIFS(StockOutData[Quantity],StockOutData[Product ID],ProductMaster!$B389)</f>
        <v>7</v>
      </c>
      <c r="J388" s="92">
        <f>SUMIFS(StockInData[Value],StockInData[Product ID],ProductMaster!$B389)-SUMIFS(StockOutData[Value],StockOutData[Product ID],ProductMaster!$B389)</f>
        <v>17.5</v>
      </c>
    </row>
    <row r="389" spans="1:10" x14ac:dyDescent="0.25">
      <c r="A389" s="87">
        <v>388</v>
      </c>
      <c r="B389" s="88" t="s">
        <v>795</v>
      </c>
      <c r="C389" s="89" t="s">
        <v>796</v>
      </c>
      <c r="D389" s="88" t="s">
        <v>869</v>
      </c>
      <c r="E389" s="88" t="s">
        <v>876</v>
      </c>
      <c r="F389" s="90">
        <v>10</v>
      </c>
      <c r="G389" s="91">
        <f>StockInData[Expiry]</f>
        <v>44687</v>
      </c>
      <c r="H389" s="88">
        <v>25</v>
      </c>
      <c r="I389" s="88">
        <f>SUMIFS(StockInData[Quantity],StockInData[Product ID],ProductMaster!$B390)-SUMIFS(StockOutData[Quantity],StockOutData[Product ID],ProductMaster!$B390)</f>
        <v>14</v>
      </c>
      <c r="J389" s="92">
        <f>SUMIFS(StockInData[Value],StockInData[Product ID],ProductMaster!$B390)-SUMIFS(StockOutData[Value],StockOutData[Product ID],ProductMaster!$B390)</f>
        <v>35</v>
      </c>
    </row>
    <row r="390" spans="1:10" x14ac:dyDescent="0.25">
      <c r="A390" s="87">
        <v>389</v>
      </c>
      <c r="B390" s="88" t="s">
        <v>797</v>
      </c>
      <c r="C390" s="89" t="s">
        <v>798</v>
      </c>
      <c r="D390" s="88" t="s">
        <v>869</v>
      </c>
      <c r="E390" s="88" t="s">
        <v>876</v>
      </c>
      <c r="F390" s="90">
        <v>10</v>
      </c>
      <c r="G390" s="91">
        <f>StockInData[Expiry]</f>
        <v>44689</v>
      </c>
      <c r="H390" s="88">
        <v>25</v>
      </c>
      <c r="I390" s="88">
        <f>SUMIFS(StockInData[Quantity],StockInData[Product ID],ProductMaster!$B391)-SUMIFS(StockOutData[Quantity],StockOutData[Product ID],ProductMaster!$B391)</f>
        <v>16</v>
      </c>
      <c r="J390" s="92">
        <f>SUMIFS(StockInData[Value],StockInData[Product ID],ProductMaster!$B391)-SUMIFS(StockOutData[Value],StockOutData[Product ID],ProductMaster!$B391)</f>
        <v>40</v>
      </c>
    </row>
    <row r="391" spans="1:10" x14ac:dyDescent="0.25">
      <c r="A391" s="87">
        <v>390</v>
      </c>
      <c r="B391" s="88" t="s">
        <v>799</v>
      </c>
      <c r="C391" s="89" t="s">
        <v>800</v>
      </c>
      <c r="D391" s="88" t="s">
        <v>869</v>
      </c>
      <c r="E391" s="88" t="s">
        <v>871</v>
      </c>
      <c r="F391" s="90">
        <v>10</v>
      </c>
      <c r="G391" s="91">
        <f>StockInData[Expiry]</f>
        <v>44691</v>
      </c>
      <c r="H391" s="88">
        <v>25</v>
      </c>
      <c r="I391" s="88">
        <f>SUMIFS(StockInData[Quantity],StockInData[Product ID],ProductMaster!$B392)-SUMIFS(StockOutData[Quantity],StockOutData[Product ID],ProductMaster!$B392)</f>
        <v>50</v>
      </c>
      <c r="J391" s="92">
        <f>SUMIFS(StockInData[Value],StockInData[Product ID],ProductMaster!$B392)-SUMIFS(StockOutData[Value],StockOutData[Product ID],ProductMaster!$B392)</f>
        <v>125</v>
      </c>
    </row>
    <row r="392" spans="1:10" x14ac:dyDescent="0.25">
      <c r="A392" s="87">
        <v>391</v>
      </c>
      <c r="B392" s="88" t="s">
        <v>801</v>
      </c>
      <c r="C392" s="89" t="s">
        <v>802</v>
      </c>
      <c r="D392" s="88" t="s">
        <v>869</v>
      </c>
      <c r="E392" s="88" t="s">
        <v>871</v>
      </c>
      <c r="F392" s="90">
        <v>10</v>
      </c>
      <c r="G392" s="91">
        <f>StockInData[Expiry]</f>
        <v>44693</v>
      </c>
      <c r="H392" s="88">
        <v>25</v>
      </c>
      <c r="I392" s="88">
        <f>SUMIFS(StockInData[Quantity],StockInData[Product ID],ProductMaster!$B393)-SUMIFS(StockOutData[Quantity],StockOutData[Product ID],ProductMaster!$B393)</f>
        <v>56</v>
      </c>
      <c r="J392" s="92">
        <f>SUMIFS(StockInData[Value],StockInData[Product ID],ProductMaster!$B393)-SUMIFS(StockOutData[Value],StockOutData[Product ID],ProductMaster!$B393)</f>
        <v>140</v>
      </c>
    </row>
    <row r="393" spans="1:10" x14ac:dyDescent="0.25">
      <c r="A393" s="87">
        <v>392</v>
      </c>
      <c r="B393" s="88" t="s">
        <v>803</v>
      </c>
      <c r="C393" s="89" t="s">
        <v>804</v>
      </c>
      <c r="D393" s="88" t="s">
        <v>869</v>
      </c>
      <c r="E393" s="88" t="s">
        <v>871</v>
      </c>
      <c r="F393" s="90">
        <v>10</v>
      </c>
      <c r="G393" s="91">
        <f>StockInData[Expiry]</f>
        <v>44695</v>
      </c>
      <c r="H393" s="88">
        <v>25</v>
      </c>
      <c r="I393" s="88">
        <f>SUMIFS(StockInData[Quantity],StockInData[Product ID],ProductMaster!$B394)-SUMIFS(StockOutData[Quantity],StockOutData[Product ID],ProductMaster!$B394)</f>
        <v>72</v>
      </c>
      <c r="J393" s="92">
        <f>SUMIFS(StockInData[Value],StockInData[Product ID],ProductMaster!$B394)-SUMIFS(StockOutData[Value],StockOutData[Product ID],ProductMaster!$B394)</f>
        <v>180</v>
      </c>
    </row>
    <row r="394" spans="1:10" x14ac:dyDescent="0.25">
      <c r="A394" s="87">
        <v>393</v>
      </c>
      <c r="B394" s="88" t="s">
        <v>805</v>
      </c>
      <c r="C394" s="89" t="s">
        <v>806</v>
      </c>
      <c r="D394" s="88" t="s">
        <v>869</v>
      </c>
      <c r="E394" s="88" t="s">
        <v>871</v>
      </c>
      <c r="F394" s="90">
        <v>10</v>
      </c>
      <c r="G394" s="91">
        <f>StockInData[Expiry]</f>
        <v>44697</v>
      </c>
      <c r="H394" s="88">
        <v>25</v>
      </c>
      <c r="I394" s="88">
        <f>SUMIFS(StockInData[Quantity],StockInData[Product ID],ProductMaster!$B395)-SUMIFS(StockOutData[Quantity],StockOutData[Product ID],ProductMaster!$B395)</f>
        <v>85</v>
      </c>
      <c r="J394" s="92">
        <f>SUMIFS(StockInData[Value],StockInData[Product ID],ProductMaster!$B395)-SUMIFS(StockOutData[Value],StockOutData[Product ID],ProductMaster!$B395)</f>
        <v>212.5</v>
      </c>
    </row>
    <row r="395" spans="1:10" x14ac:dyDescent="0.25">
      <c r="A395" s="87">
        <v>394</v>
      </c>
      <c r="B395" s="88" t="s">
        <v>807</v>
      </c>
      <c r="C395" s="89" t="s">
        <v>808</v>
      </c>
      <c r="D395" s="88" t="s">
        <v>869</v>
      </c>
      <c r="E395" s="88" t="s">
        <v>871</v>
      </c>
      <c r="F395" s="90">
        <v>10</v>
      </c>
      <c r="G395" s="91">
        <f>StockInData[Expiry]</f>
        <v>44699</v>
      </c>
      <c r="H395" s="88">
        <v>25</v>
      </c>
      <c r="I395" s="88">
        <f>SUMIFS(StockInData[Quantity],StockInData[Product ID],ProductMaster!$B396)-SUMIFS(StockOutData[Quantity],StockOutData[Product ID],ProductMaster!$B396)</f>
        <v>88</v>
      </c>
      <c r="J395" s="92">
        <f>SUMIFS(StockInData[Value],StockInData[Product ID],ProductMaster!$B396)-SUMIFS(StockOutData[Value],StockOutData[Product ID],ProductMaster!$B396)</f>
        <v>220</v>
      </c>
    </row>
    <row r="396" spans="1:10" x14ac:dyDescent="0.25">
      <c r="A396" s="87">
        <v>395</v>
      </c>
      <c r="B396" s="88" t="s">
        <v>809</v>
      </c>
      <c r="C396" s="89" t="s">
        <v>810</v>
      </c>
      <c r="D396" s="88" t="s">
        <v>869</v>
      </c>
      <c r="E396" s="88" t="s">
        <v>871</v>
      </c>
      <c r="F396" s="90">
        <v>10</v>
      </c>
      <c r="G396" s="91">
        <f>StockInData[Expiry]</f>
        <v>44701</v>
      </c>
      <c r="H396" s="88">
        <v>25</v>
      </c>
      <c r="I396" s="88">
        <f>SUMIFS(StockInData[Quantity],StockInData[Product ID],ProductMaster!$B397)-SUMIFS(StockOutData[Quantity],StockOutData[Product ID],ProductMaster!$B397)</f>
        <v>95</v>
      </c>
      <c r="J396" s="92">
        <f>SUMIFS(StockInData[Value],StockInData[Product ID],ProductMaster!$B397)-SUMIFS(StockOutData[Value],StockOutData[Product ID],ProductMaster!$B397)</f>
        <v>237.5</v>
      </c>
    </row>
    <row r="397" spans="1:10" x14ac:dyDescent="0.25">
      <c r="A397" s="87">
        <v>396</v>
      </c>
      <c r="B397" s="88" t="s">
        <v>811</v>
      </c>
      <c r="C397" s="89" t="s">
        <v>812</v>
      </c>
      <c r="D397" s="88" t="s">
        <v>869</v>
      </c>
      <c r="E397" s="88" t="s">
        <v>871</v>
      </c>
      <c r="F397" s="90">
        <v>10</v>
      </c>
      <c r="G397" s="91">
        <f>StockInData[Expiry]</f>
        <v>44703</v>
      </c>
      <c r="H397" s="88">
        <v>25</v>
      </c>
      <c r="I397" s="88">
        <f>SUMIFS(StockInData[Quantity],StockInData[Product ID],ProductMaster!$B398)-SUMIFS(StockOutData[Quantity],StockOutData[Product ID],ProductMaster!$B398)</f>
        <v>53</v>
      </c>
      <c r="J397" s="92">
        <f>SUMIFS(StockInData[Value],StockInData[Product ID],ProductMaster!$B398)-SUMIFS(StockOutData[Value],StockOutData[Product ID],ProductMaster!$B398)</f>
        <v>132.5</v>
      </c>
    </row>
    <row r="398" spans="1:10" x14ac:dyDescent="0.25">
      <c r="A398" s="87">
        <v>397</v>
      </c>
      <c r="B398" s="88" t="s">
        <v>813</v>
      </c>
      <c r="C398" s="89" t="s">
        <v>814</v>
      </c>
      <c r="D398" s="88" t="s">
        <v>869</v>
      </c>
      <c r="E398" s="88" t="s">
        <v>871</v>
      </c>
      <c r="F398" s="90">
        <v>10</v>
      </c>
      <c r="G398" s="91">
        <f>StockInData[Expiry]</f>
        <v>44705</v>
      </c>
      <c r="H398" s="88">
        <v>25</v>
      </c>
      <c r="I398" s="88">
        <f>SUMIFS(StockInData[Quantity],StockInData[Product ID],ProductMaster!$B399)-SUMIFS(StockOutData[Quantity],StockOutData[Product ID],ProductMaster!$B399)</f>
        <v>25</v>
      </c>
      <c r="J398" s="92">
        <f>SUMIFS(StockInData[Value],StockInData[Product ID],ProductMaster!$B399)-SUMIFS(StockOutData[Value],StockOutData[Product ID],ProductMaster!$B399)</f>
        <v>62.5</v>
      </c>
    </row>
    <row r="399" spans="1:10" x14ac:dyDescent="0.25">
      <c r="A399" s="87">
        <v>398</v>
      </c>
      <c r="B399" s="88" t="s">
        <v>815</v>
      </c>
      <c r="C399" s="89" t="s">
        <v>816</v>
      </c>
      <c r="D399" s="88" t="s">
        <v>869</v>
      </c>
      <c r="E399" s="88" t="s">
        <v>871</v>
      </c>
      <c r="F399" s="90">
        <v>10</v>
      </c>
      <c r="G399" s="91">
        <f>StockInData[Expiry]</f>
        <v>44707</v>
      </c>
      <c r="H399" s="88">
        <v>25</v>
      </c>
      <c r="I399" s="88">
        <f>SUMIFS(StockInData[Quantity],StockInData[Product ID],ProductMaster!$B400)-SUMIFS(StockOutData[Quantity],StockOutData[Product ID],ProductMaster!$B400)</f>
        <v>12</v>
      </c>
      <c r="J399" s="92">
        <f>SUMIFS(StockInData[Value],StockInData[Product ID],ProductMaster!$B400)-SUMIFS(StockOutData[Value],StockOutData[Product ID],ProductMaster!$B400)</f>
        <v>30</v>
      </c>
    </row>
    <row r="400" spans="1:10" x14ac:dyDescent="0.25">
      <c r="A400" s="87">
        <v>399</v>
      </c>
      <c r="B400" s="88" t="s">
        <v>817</v>
      </c>
      <c r="C400" s="89" t="s">
        <v>818</v>
      </c>
      <c r="D400" s="88" t="s">
        <v>869</v>
      </c>
      <c r="E400" s="88" t="s">
        <v>871</v>
      </c>
      <c r="F400" s="90">
        <v>10</v>
      </c>
      <c r="G400" s="91">
        <f>StockInData[Expiry]</f>
        <v>44709</v>
      </c>
      <c r="H400" s="88">
        <v>25</v>
      </c>
      <c r="I400" s="88">
        <f>SUMIFS(StockInData[Quantity],StockInData[Product ID],ProductMaster!$B401)-SUMIFS(StockOutData[Quantity],StockOutData[Product ID],ProductMaster!$B401)</f>
        <v>13</v>
      </c>
      <c r="J400" s="92">
        <f>SUMIFS(StockInData[Value],StockInData[Product ID],ProductMaster!$B401)-SUMIFS(StockOutData[Value],StockOutData[Product ID],ProductMaster!$B401)</f>
        <v>32.5</v>
      </c>
    </row>
    <row r="401" spans="1:10" x14ac:dyDescent="0.25">
      <c r="A401" s="87">
        <v>400</v>
      </c>
      <c r="B401" s="88" t="s">
        <v>819</v>
      </c>
      <c r="C401" s="89" t="s">
        <v>820</v>
      </c>
      <c r="D401" s="88" t="s">
        <v>869</v>
      </c>
      <c r="E401" s="88" t="s">
        <v>871</v>
      </c>
      <c r="F401" s="90">
        <v>10</v>
      </c>
      <c r="G401" s="91">
        <f>StockInData[Expiry]</f>
        <v>44711</v>
      </c>
      <c r="H401" s="88">
        <v>25</v>
      </c>
      <c r="I401" s="88">
        <f>SUMIFS(StockInData[Quantity],StockInData[Product ID],ProductMaster!$B402)-SUMIFS(StockOutData[Quantity],StockOutData[Product ID],ProductMaster!$B402)</f>
        <v>10</v>
      </c>
      <c r="J401" s="92">
        <f>SUMIFS(StockInData[Value],StockInData[Product ID],ProductMaster!$B402)-SUMIFS(StockOutData[Value],StockOutData[Product ID],ProductMaster!$B402)</f>
        <v>25</v>
      </c>
    </row>
    <row r="402" spans="1:10" x14ac:dyDescent="0.25">
      <c r="A402" s="87">
        <v>401</v>
      </c>
      <c r="B402" s="88" t="s">
        <v>821</v>
      </c>
      <c r="C402" s="89" t="s">
        <v>822</v>
      </c>
      <c r="D402" s="88" t="s">
        <v>869</v>
      </c>
      <c r="E402" s="88" t="s">
        <v>871</v>
      </c>
      <c r="F402" s="90">
        <v>10</v>
      </c>
      <c r="G402" s="91">
        <f>StockInData[Expiry]</f>
        <v>44713</v>
      </c>
      <c r="H402" s="88">
        <v>25</v>
      </c>
      <c r="I402" s="88">
        <f>SUMIFS(StockInData[Quantity],StockInData[Product ID],ProductMaster!$B403)-SUMIFS(StockOutData[Quantity],StockOutData[Product ID],ProductMaster!$B403)</f>
        <v>12</v>
      </c>
      <c r="J402" s="92">
        <f>SUMIFS(StockInData[Value],StockInData[Product ID],ProductMaster!$B403)-SUMIFS(StockOutData[Value],StockOutData[Product ID],ProductMaster!$B403)</f>
        <v>30</v>
      </c>
    </row>
    <row r="403" spans="1:10" x14ac:dyDescent="0.25">
      <c r="A403" s="87">
        <v>402</v>
      </c>
      <c r="B403" s="88" t="s">
        <v>823</v>
      </c>
      <c r="C403" s="89" t="s">
        <v>824</v>
      </c>
      <c r="D403" s="88" t="s">
        <v>869</v>
      </c>
      <c r="E403" s="88" t="s">
        <v>871</v>
      </c>
      <c r="F403" s="90">
        <v>10</v>
      </c>
      <c r="G403" s="91">
        <f>StockInData[Expiry]</f>
        <v>44715</v>
      </c>
      <c r="H403" s="88">
        <v>25</v>
      </c>
      <c r="I403" s="88">
        <f>SUMIFS(StockInData[Quantity],StockInData[Product ID],ProductMaster!$B404)-SUMIFS(StockOutData[Quantity],StockOutData[Product ID],ProductMaster!$B404)</f>
        <v>8</v>
      </c>
      <c r="J403" s="92">
        <f>SUMIFS(StockInData[Value],StockInData[Product ID],ProductMaster!$B404)-SUMIFS(StockOutData[Value],StockOutData[Product ID],ProductMaster!$B404)</f>
        <v>20</v>
      </c>
    </row>
    <row r="404" spans="1:10" x14ac:dyDescent="0.25">
      <c r="A404" s="87">
        <v>403</v>
      </c>
      <c r="B404" s="88" t="s">
        <v>825</v>
      </c>
      <c r="C404" s="89" t="s">
        <v>826</v>
      </c>
      <c r="D404" s="88" t="s">
        <v>869</v>
      </c>
      <c r="E404" s="88" t="s">
        <v>871</v>
      </c>
      <c r="F404" s="90">
        <v>10</v>
      </c>
      <c r="G404" s="91">
        <f>StockInData[Expiry]</f>
        <v>44717</v>
      </c>
      <c r="H404" s="88">
        <v>25</v>
      </c>
      <c r="I404" s="88">
        <f>SUMIFS(StockInData[Quantity],StockInData[Product ID],ProductMaster!$B405)-SUMIFS(StockOutData[Quantity],StockOutData[Product ID],ProductMaster!$B405)</f>
        <v>47</v>
      </c>
      <c r="J404" s="92">
        <f>SUMIFS(StockInData[Value],StockInData[Product ID],ProductMaster!$B405)-SUMIFS(StockOutData[Value],StockOutData[Product ID],ProductMaster!$B405)</f>
        <v>117.5</v>
      </c>
    </row>
    <row r="405" spans="1:10" x14ac:dyDescent="0.25">
      <c r="A405" s="87">
        <v>404</v>
      </c>
      <c r="B405" s="88" t="s">
        <v>827</v>
      </c>
      <c r="C405" s="89" t="s">
        <v>828</v>
      </c>
      <c r="D405" s="88" t="s">
        <v>869</v>
      </c>
      <c r="E405" s="88" t="s">
        <v>871</v>
      </c>
      <c r="F405" s="90">
        <v>10</v>
      </c>
      <c r="G405" s="91">
        <f>StockInData[Expiry]</f>
        <v>44719</v>
      </c>
      <c r="H405" s="88">
        <v>25</v>
      </c>
      <c r="I405" s="88">
        <f>SUMIFS(StockInData[Quantity],StockInData[Product ID],ProductMaster!$B406)-SUMIFS(StockOutData[Quantity],StockOutData[Product ID],ProductMaster!$B406)</f>
        <v>62</v>
      </c>
      <c r="J405" s="92">
        <f>SUMIFS(StockInData[Value],StockInData[Product ID],ProductMaster!$B406)-SUMIFS(StockOutData[Value],StockOutData[Product ID],ProductMaster!$B406)</f>
        <v>155</v>
      </c>
    </row>
    <row r="406" spans="1:10" x14ac:dyDescent="0.25">
      <c r="A406" s="87">
        <v>405</v>
      </c>
      <c r="B406" s="88" t="s">
        <v>829</v>
      </c>
      <c r="C406" s="89" t="s">
        <v>830</v>
      </c>
      <c r="D406" s="88" t="s">
        <v>869</v>
      </c>
      <c r="E406" s="88" t="s">
        <v>871</v>
      </c>
      <c r="F406" s="90">
        <v>10</v>
      </c>
      <c r="G406" s="91">
        <f>StockInData[Expiry]</f>
        <v>44721</v>
      </c>
      <c r="H406" s="88">
        <v>25</v>
      </c>
      <c r="I406" s="88">
        <f>SUMIFS(StockInData[Quantity],StockInData[Product ID],ProductMaster!$B407)-SUMIFS(StockOutData[Quantity],StockOutData[Product ID],ProductMaster!$B407)</f>
        <v>70</v>
      </c>
      <c r="J406" s="92">
        <f>SUMIFS(StockInData[Value],StockInData[Product ID],ProductMaster!$B407)-SUMIFS(StockOutData[Value],StockOutData[Product ID],ProductMaster!$B407)</f>
        <v>175</v>
      </c>
    </row>
    <row r="407" spans="1:10" x14ac:dyDescent="0.25">
      <c r="A407" s="87">
        <v>406</v>
      </c>
      <c r="B407" s="88" t="s">
        <v>831</v>
      </c>
      <c r="C407" s="89" t="s">
        <v>832</v>
      </c>
      <c r="D407" s="88" t="s">
        <v>869</v>
      </c>
      <c r="E407" s="88" t="s">
        <v>871</v>
      </c>
      <c r="F407" s="90">
        <v>10</v>
      </c>
      <c r="G407" s="91">
        <f>StockInData[Expiry]</f>
        <v>44723</v>
      </c>
      <c r="H407" s="88">
        <v>25</v>
      </c>
      <c r="I407" s="88">
        <f>SUMIFS(StockInData[Quantity],StockInData[Product ID],ProductMaster!$B408)-SUMIFS(StockOutData[Quantity],StockOutData[Product ID],ProductMaster!$B408)</f>
        <v>86</v>
      </c>
      <c r="J407" s="92">
        <f>SUMIFS(StockInData[Value],StockInData[Product ID],ProductMaster!$B408)-SUMIFS(StockOutData[Value],StockOutData[Product ID],ProductMaster!$B408)</f>
        <v>215</v>
      </c>
    </row>
    <row r="408" spans="1:10" x14ac:dyDescent="0.25">
      <c r="A408" s="87">
        <v>407</v>
      </c>
      <c r="B408" s="88" t="s">
        <v>833</v>
      </c>
      <c r="C408" s="89" t="s">
        <v>834</v>
      </c>
      <c r="D408" s="88" t="s">
        <v>869</v>
      </c>
      <c r="E408" s="88" t="s">
        <v>871</v>
      </c>
      <c r="F408" s="90">
        <v>10</v>
      </c>
      <c r="G408" s="91">
        <f>StockInData[Expiry]</f>
        <v>44725</v>
      </c>
      <c r="H408" s="88">
        <v>25</v>
      </c>
      <c r="I408" s="88">
        <f>SUMIFS(StockInData[Quantity],StockInData[Product ID],ProductMaster!$B409)-SUMIFS(StockOutData[Quantity],StockOutData[Product ID],ProductMaster!$B409)</f>
        <v>35</v>
      </c>
      <c r="J408" s="92">
        <f>SUMIFS(StockInData[Value],StockInData[Product ID],ProductMaster!$B409)-SUMIFS(StockOutData[Value],StockOutData[Product ID],ProductMaster!$B409)</f>
        <v>87.5</v>
      </c>
    </row>
    <row r="409" spans="1:10" x14ac:dyDescent="0.25">
      <c r="A409" s="87">
        <v>408</v>
      </c>
      <c r="B409" s="88" t="s">
        <v>835</v>
      </c>
      <c r="C409" s="89" t="s">
        <v>836</v>
      </c>
      <c r="D409" s="88" t="s">
        <v>869</v>
      </c>
      <c r="E409" s="88" t="s">
        <v>871</v>
      </c>
      <c r="F409" s="90">
        <v>10</v>
      </c>
      <c r="G409" s="91">
        <f>StockInData[Expiry]</f>
        <v>44727</v>
      </c>
      <c r="H409" s="88">
        <v>25</v>
      </c>
      <c r="I409" s="88">
        <f>SUMIFS(StockInData[Quantity],StockInData[Product ID],ProductMaster!$B410)-SUMIFS(StockOutData[Quantity],StockOutData[Product ID],ProductMaster!$B410)</f>
        <v>23</v>
      </c>
      <c r="J409" s="92">
        <f>SUMIFS(StockInData[Value],StockInData[Product ID],ProductMaster!$B410)-SUMIFS(StockOutData[Value],StockOutData[Product ID],ProductMaster!$B410)</f>
        <v>57.5</v>
      </c>
    </row>
    <row r="410" spans="1:10" x14ac:dyDescent="0.25">
      <c r="A410" s="87">
        <v>409</v>
      </c>
      <c r="B410" s="88" t="s">
        <v>837</v>
      </c>
      <c r="C410" s="89" t="s">
        <v>838</v>
      </c>
      <c r="D410" s="88" t="s">
        <v>869</v>
      </c>
      <c r="E410" s="88" t="s">
        <v>870</v>
      </c>
      <c r="F410" s="90">
        <v>10</v>
      </c>
      <c r="G410" s="91">
        <f>StockInData[Expiry]</f>
        <v>44729</v>
      </c>
      <c r="H410" s="88">
        <v>25</v>
      </c>
      <c r="I410" s="88">
        <f>SUMIFS(StockInData[Quantity],StockInData[Product ID],ProductMaster!$B411)-SUMIFS(StockOutData[Quantity],StockOutData[Product ID],ProductMaster!$B411)</f>
        <v>10</v>
      </c>
      <c r="J410" s="92">
        <f>SUMIFS(StockInData[Value],StockInData[Product ID],ProductMaster!$B411)-SUMIFS(StockOutData[Value],StockOutData[Product ID],ProductMaster!$B411)</f>
        <v>25</v>
      </c>
    </row>
    <row r="411" spans="1:10" x14ac:dyDescent="0.25">
      <c r="A411" s="87">
        <v>410</v>
      </c>
      <c r="B411" s="88" t="s">
        <v>839</v>
      </c>
      <c r="C411" s="89" t="s">
        <v>840</v>
      </c>
      <c r="D411" s="88" t="s">
        <v>869</v>
      </c>
      <c r="E411" s="88" t="s">
        <v>870</v>
      </c>
      <c r="F411" s="90">
        <v>10</v>
      </c>
      <c r="G411" s="91">
        <f>StockInData[Expiry]</f>
        <v>44731</v>
      </c>
      <c r="H411" s="88">
        <v>25</v>
      </c>
      <c r="I411" s="88">
        <f>SUMIFS(StockInData[Quantity],StockInData[Product ID],ProductMaster!$B412)-SUMIFS(StockOutData[Quantity],StockOutData[Product ID],ProductMaster!$B412)</f>
        <v>2</v>
      </c>
      <c r="J411" s="92">
        <f>SUMIFS(StockInData[Value],StockInData[Product ID],ProductMaster!$B412)-SUMIFS(StockOutData[Value],StockOutData[Product ID],ProductMaster!$B412)</f>
        <v>5</v>
      </c>
    </row>
    <row r="412" spans="1:10" x14ac:dyDescent="0.25">
      <c r="A412" s="87">
        <v>411</v>
      </c>
      <c r="B412" s="88" t="s">
        <v>841</v>
      </c>
      <c r="C412" s="89" t="s">
        <v>842</v>
      </c>
      <c r="D412" s="88" t="s">
        <v>869</v>
      </c>
      <c r="E412" s="88" t="s">
        <v>870</v>
      </c>
      <c r="F412" s="90">
        <v>10</v>
      </c>
      <c r="G412" s="91">
        <f>StockInData[Expiry]</f>
        <v>44733</v>
      </c>
      <c r="H412" s="88">
        <v>25</v>
      </c>
      <c r="I412" s="88">
        <f>SUMIFS(StockInData[Quantity],StockInData[Product ID],ProductMaster!$B413)-SUMIFS(StockOutData[Quantity],StockOutData[Product ID],ProductMaster!$B413)</f>
        <v>7</v>
      </c>
      <c r="J412" s="92">
        <f>SUMIFS(StockInData[Value],StockInData[Product ID],ProductMaster!$B413)-SUMIFS(StockOutData[Value],StockOutData[Product ID],ProductMaster!$B413)</f>
        <v>17.5</v>
      </c>
    </row>
    <row r="413" spans="1:10" x14ac:dyDescent="0.25">
      <c r="A413" s="87">
        <v>412</v>
      </c>
      <c r="B413" s="88" t="s">
        <v>843</v>
      </c>
      <c r="C413" s="89" t="s">
        <v>844</v>
      </c>
      <c r="D413" s="88" t="s">
        <v>869</v>
      </c>
      <c r="E413" s="88" t="s">
        <v>870</v>
      </c>
      <c r="F413" s="90">
        <v>10</v>
      </c>
      <c r="G413" s="91">
        <f>StockInData[Expiry]</f>
        <v>44735</v>
      </c>
      <c r="H413" s="88">
        <v>25</v>
      </c>
      <c r="I413" s="88">
        <f>SUMIFS(StockInData[Quantity],StockInData[Product ID],ProductMaster!$B414)-SUMIFS(StockOutData[Quantity],StockOutData[Product ID],ProductMaster!$B414)</f>
        <v>9</v>
      </c>
      <c r="J413" s="92">
        <f>SUMIFS(StockInData[Value],StockInData[Product ID],ProductMaster!$B414)-SUMIFS(StockOutData[Value],StockOutData[Product ID],ProductMaster!$B414)</f>
        <v>22.5</v>
      </c>
    </row>
    <row r="414" spans="1:10" x14ac:dyDescent="0.25">
      <c r="A414" s="87">
        <v>413</v>
      </c>
      <c r="B414" s="88" t="s">
        <v>845</v>
      </c>
      <c r="C414" s="89" t="s">
        <v>846</v>
      </c>
      <c r="D414" s="88" t="s">
        <v>869</v>
      </c>
      <c r="E414" s="88" t="s">
        <v>870</v>
      </c>
      <c r="F414" s="90">
        <v>10</v>
      </c>
      <c r="G414" s="91">
        <f>StockInData[Expiry]</f>
        <v>44737</v>
      </c>
      <c r="H414" s="88">
        <v>25</v>
      </c>
      <c r="I414" s="88">
        <f>SUMIFS(StockInData[Quantity],StockInData[Product ID],ProductMaster!$B415)-SUMIFS(StockOutData[Quantity],StockOutData[Product ID],ProductMaster!$B415)</f>
        <v>52</v>
      </c>
      <c r="J414" s="92">
        <f>SUMIFS(StockInData[Value],StockInData[Product ID],ProductMaster!$B415)-SUMIFS(StockOutData[Value],StockOutData[Product ID],ProductMaster!$B415)</f>
        <v>130</v>
      </c>
    </row>
    <row r="415" spans="1:10" x14ac:dyDescent="0.25">
      <c r="A415" s="87">
        <v>414</v>
      </c>
      <c r="B415" s="88" t="s">
        <v>847</v>
      </c>
      <c r="C415" s="89" t="s">
        <v>848</v>
      </c>
      <c r="D415" s="88" t="s">
        <v>869</v>
      </c>
      <c r="E415" s="88" t="s">
        <v>870</v>
      </c>
      <c r="F415" s="90">
        <v>10</v>
      </c>
      <c r="G415" s="91">
        <f>StockInData[Expiry]</f>
        <v>44739</v>
      </c>
      <c r="H415" s="88">
        <v>25</v>
      </c>
      <c r="I415" s="88">
        <f>SUMIFS(StockInData[Quantity],StockInData[Product ID],ProductMaster!$B416)-SUMIFS(StockOutData[Quantity],StockOutData[Product ID],ProductMaster!$B416)</f>
        <v>69</v>
      </c>
      <c r="J415" s="92">
        <f>SUMIFS(StockInData[Value],StockInData[Product ID],ProductMaster!$B416)-SUMIFS(StockOutData[Value],StockOutData[Product ID],ProductMaster!$B416)</f>
        <v>172.5</v>
      </c>
    </row>
    <row r="416" spans="1:10" x14ac:dyDescent="0.25">
      <c r="A416" s="87">
        <v>415</v>
      </c>
      <c r="B416" s="88" t="s">
        <v>849</v>
      </c>
      <c r="C416" s="89" t="s">
        <v>850</v>
      </c>
      <c r="D416" s="88" t="s">
        <v>869</v>
      </c>
      <c r="E416" s="88" t="s">
        <v>870</v>
      </c>
      <c r="F416" s="90">
        <v>10</v>
      </c>
      <c r="G416" s="91">
        <f>StockInData[Expiry]</f>
        <v>44741</v>
      </c>
      <c r="H416" s="88">
        <v>25</v>
      </c>
      <c r="I416" s="88">
        <f>SUMIFS(StockInData[Quantity],StockInData[Product ID],ProductMaster!$B417)-SUMIFS(StockOutData[Quantity],StockOutData[Product ID],ProductMaster!$B417)</f>
        <v>77</v>
      </c>
      <c r="J416" s="92">
        <f>SUMIFS(StockInData[Value],StockInData[Product ID],ProductMaster!$B417)-SUMIFS(StockOutData[Value],StockOutData[Product ID],ProductMaster!$B417)</f>
        <v>192.5</v>
      </c>
    </row>
    <row r="417" spans="1:10" x14ac:dyDescent="0.25">
      <c r="A417" s="87">
        <v>416</v>
      </c>
      <c r="B417" s="88" t="s">
        <v>851</v>
      </c>
      <c r="C417" s="89" t="s">
        <v>852</v>
      </c>
      <c r="D417" s="88" t="s">
        <v>869</v>
      </c>
      <c r="E417" s="88" t="s">
        <v>870</v>
      </c>
      <c r="F417" s="90">
        <v>10</v>
      </c>
      <c r="G417" s="91">
        <f>StockInData[Expiry]</f>
        <v>44743</v>
      </c>
      <c r="H417" s="88">
        <v>25</v>
      </c>
      <c r="I417" s="88">
        <f>SUMIFS(StockInData[Quantity],StockInData[Product ID],ProductMaster!$B418)-SUMIFS(StockOutData[Quantity],StockOutData[Product ID],ProductMaster!$B418)</f>
        <v>84</v>
      </c>
      <c r="J417" s="92">
        <f>SUMIFS(StockInData[Value],StockInData[Product ID],ProductMaster!$B418)-SUMIFS(StockOutData[Value],StockOutData[Product ID],ProductMaster!$B418)</f>
        <v>210</v>
      </c>
    </row>
    <row r="418" spans="1:10" x14ac:dyDescent="0.25">
      <c r="A418" s="87">
        <v>417</v>
      </c>
      <c r="B418" s="88" t="s">
        <v>853</v>
      </c>
      <c r="C418" s="89" t="s">
        <v>854</v>
      </c>
      <c r="D418" s="88" t="s">
        <v>869</v>
      </c>
      <c r="E418" s="88" t="s">
        <v>870</v>
      </c>
      <c r="F418" s="90">
        <v>10</v>
      </c>
      <c r="G418" s="91">
        <f>StockInData[Expiry]</f>
        <v>44745</v>
      </c>
      <c r="H418" s="88">
        <v>25</v>
      </c>
      <c r="I418" s="88">
        <f>SUMIFS(StockInData[Quantity],StockInData[Product ID],ProductMaster!$B419)-SUMIFS(StockOutData[Quantity],StockOutData[Product ID],ProductMaster!$B419)</f>
        <v>83</v>
      </c>
      <c r="J418" s="92">
        <f>SUMIFS(StockInData[Value],StockInData[Product ID],ProductMaster!$B419)-SUMIFS(StockOutData[Value],StockOutData[Product ID],ProductMaster!$B419)</f>
        <v>207.5</v>
      </c>
    </row>
    <row r="419" spans="1:10" x14ac:dyDescent="0.25">
      <c r="A419" s="87">
        <v>418</v>
      </c>
      <c r="B419" s="88" t="s">
        <v>855</v>
      </c>
      <c r="C419" s="89" t="s">
        <v>856</v>
      </c>
      <c r="D419" s="88" t="s">
        <v>869</v>
      </c>
      <c r="E419" s="88" t="s">
        <v>870</v>
      </c>
      <c r="F419" s="90">
        <v>10</v>
      </c>
      <c r="G419" s="91">
        <f>StockInData[Expiry]</f>
        <v>44747</v>
      </c>
      <c r="H419" s="88">
        <v>25</v>
      </c>
      <c r="I419" s="88">
        <f>SUMIFS(StockInData[Quantity],StockInData[Product ID],ProductMaster!$B420)-SUMIFS(StockOutData[Quantity],StockOutData[Product ID],ProductMaster!$B420)</f>
        <v>48</v>
      </c>
      <c r="J419" s="92">
        <f>SUMIFS(StockInData[Value],StockInData[Product ID],ProductMaster!$B420)-SUMIFS(StockOutData[Value],StockOutData[Product ID],ProductMaster!$B420)</f>
        <v>120</v>
      </c>
    </row>
    <row r="420" spans="1:10" x14ac:dyDescent="0.25">
      <c r="A420" s="87">
        <v>419</v>
      </c>
      <c r="B420" s="88" t="s">
        <v>857</v>
      </c>
      <c r="C420" s="89" t="s">
        <v>858</v>
      </c>
      <c r="D420" s="88" t="s">
        <v>869</v>
      </c>
      <c r="E420" s="88" t="s">
        <v>870</v>
      </c>
      <c r="F420" s="90">
        <v>10</v>
      </c>
      <c r="G420" s="91">
        <f>StockInData[Expiry]</f>
        <v>44749</v>
      </c>
      <c r="H420" s="88">
        <v>25</v>
      </c>
      <c r="I420" s="88">
        <f>SUMIFS(StockInData[Quantity],StockInData[Product ID],ProductMaster!$B421)-SUMIFS(StockOutData[Quantity],StockOutData[Product ID],ProductMaster!$B421)</f>
        <v>50</v>
      </c>
      <c r="J420" s="92">
        <f>SUMIFS(StockInData[Value],StockInData[Product ID],ProductMaster!$B421)-SUMIFS(StockOutData[Value],StockOutData[Product ID],ProductMaster!$B421)</f>
        <v>125</v>
      </c>
    </row>
    <row r="421" spans="1:10" x14ac:dyDescent="0.25">
      <c r="A421" s="87">
        <v>420</v>
      </c>
      <c r="B421" s="88" t="s">
        <v>859</v>
      </c>
      <c r="C421" s="89" t="s">
        <v>860</v>
      </c>
      <c r="D421" s="88" t="s">
        <v>869</v>
      </c>
      <c r="E421" s="88" t="s">
        <v>870</v>
      </c>
      <c r="F421" s="90">
        <v>10</v>
      </c>
      <c r="G421" s="91">
        <f>StockInData[Expiry]</f>
        <v>44751</v>
      </c>
      <c r="H421" s="88">
        <v>25</v>
      </c>
      <c r="I421" s="88">
        <f>SUMIFS(StockInData[Quantity],StockInData[Product ID],ProductMaster!$B422)-SUMIFS(StockOutData[Quantity],StockOutData[Product ID],ProductMaster!$B422)</f>
        <v>20</v>
      </c>
      <c r="J421" s="92">
        <f>SUMIFS(StockInData[Value],StockInData[Product ID],ProductMaster!$B422)-SUMIFS(StockOutData[Value],StockOutData[Product ID],ProductMaster!$B422)</f>
        <v>50</v>
      </c>
    </row>
    <row r="422" spans="1:10" x14ac:dyDescent="0.25">
      <c r="A422" s="87">
        <v>421</v>
      </c>
      <c r="B422" s="88" t="s">
        <v>861</v>
      </c>
      <c r="C422" s="89" t="s">
        <v>862</v>
      </c>
      <c r="D422" s="88" t="s">
        <v>869</v>
      </c>
      <c r="E422" s="88" t="s">
        <v>870</v>
      </c>
      <c r="F422" s="90">
        <v>10</v>
      </c>
      <c r="G422" s="91">
        <f>StockInData[Expiry]</f>
        <v>44753</v>
      </c>
      <c r="H422" s="88">
        <v>25</v>
      </c>
      <c r="I422" s="88">
        <f>SUMIFS(StockInData[Quantity],StockInData[Product ID],ProductMaster!$B423)-SUMIFS(StockOutData[Quantity],StockOutData[Product ID],ProductMaster!$B423)</f>
        <v>15</v>
      </c>
      <c r="J422" s="92">
        <f>SUMIFS(StockInData[Value],StockInData[Product ID],ProductMaster!$B423)-SUMIFS(StockOutData[Value],StockOutData[Product ID],ProductMaster!$B423)</f>
        <v>37.5</v>
      </c>
    </row>
    <row r="423" spans="1:10" x14ac:dyDescent="0.25">
      <c r="A423" s="87">
        <v>422</v>
      </c>
      <c r="B423" s="88" t="s">
        <v>863</v>
      </c>
      <c r="C423" s="89" t="s">
        <v>864</v>
      </c>
      <c r="D423" s="88" t="s">
        <v>869</v>
      </c>
      <c r="E423" s="88" t="s">
        <v>870</v>
      </c>
      <c r="F423" s="90">
        <v>10</v>
      </c>
      <c r="G423" s="91">
        <f>StockInData[Expiry]</f>
        <v>44755</v>
      </c>
      <c r="H423" s="88">
        <v>25</v>
      </c>
      <c r="I423" s="88">
        <f>SUMIFS(StockInData[Quantity],StockInData[Product ID],ProductMaster!$B424)-SUMIFS(StockOutData[Quantity],StockOutData[Product ID],ProductMaster!$B424)</f>
        <v>10</v>
      </c>
      <c r="J423" s="92">
        <f>SUMIFS(StockInData[Value],StockInData[Product ID],ProductMaster!$B424)-SUMIFS(StockOutData[Value],StockOutData[Product ID],ProductMaster!$B424)</f>
        <v>25</v>
      </c>
    </row>
    <row r="424" spans="1:10" x14ac:dyDescent="0.25">
      <c r="A424" s="87">
        <v>423</v>
      </c>
      <c r="B424" s="88" t="s">
        <v>865</v>
      </c>
      <c r="C424" s="89" t="s">
        <v>866</v>
      </c>
      <c r="D424" s="88" t="s">
        <v>869</v>
      </c>
      <c r="E424" s="88" t="s">
        <v>870</v>
      </c>
      <c r="F424" s="90">
        <v>10</v>
      </c>
      <c r="G424" s="91">
        <f>StockInData[Expiry]</f>
        <v>44757</v>
      </c>
      <c r="H424" s="88">
        <v>25</v>
      </c>
      <c r="I424" s="88">
        <f>SUMIFS(StockInData[Quantity],StockInData[Product ID],ProductMaster!$B425)-SUMIFS(StockOutData[Quantity],StockOutData[Product ID],ProductMaster!$B425)</f>
        <v>9</v>
      </c>
      <c r="J424" s="92">
        <f>SUMIFS(StockInData[Value],StockInData[Product ID],ProductMaster!$B425)-SUMIFS(StockOutData[Value],StockOutData[Product ID],ProductMaster!$B425)</f>
        <v>22.5</v>
      </c>
    </row>
    <row r="425" spans="1:10" x14ac:dyDescent="0.25">
      <c r="A425" s="87">
        <v>424</v>
      </c>
      <c r="B425" s="88" t="s">
        <v>867</v>
      </c>
      <c r="C425" s="89" t="s">
        <v>868</v>
      </c>
      <c r="D425" s="88" t="s">
        <v>869</v>
      </c>
      <c r="E425" s="88" t="s">
        <v>870</v>
      </c>
      <c r="F425" s="90">
        <v>10</v>
      </c>
      <c r="G425" s="91">
        <f>StockInData[Expiry]</f>
        <v>44759</v>
      </c>
      <c r="H425" s="88">
        <v>25</v>
      </c>
      <c r="I425" s="88">
        <f>SUMIFS(StockInData[Quantity],StockInData[Product ID],ProductMaster!$B426)-SUMIFS(StockOutData[Quantity],StockOutData[Product ID],ProductMaster!$B426)</f>
        <v>55</v>
      </c>
      <c r="J425" s="92">
        <f>SUMIFS(StockInData[Value],StockInData[Product ID],ProductMaster!$B426)-SUMIFS(StockOutData[Value],StockOutData[Product ID],ProductMaster!$B426)</f>
        <v>137.5</v>
      </c>
    </row>
    <row r="426" spans="1:10" x14ac:dyDescent="0.25">
      <c r="A426" s="94">
        <v>425</v>
      </c>
      <c r="B426" s="95" t="s">
        <v>943</v>
      </c>
      <c r="C426" s="96" t="s">
        <v>945</v>
      </c>
      <c r="D426" s="95" t="s">
        <v>869</v>
      </c>
      <c r="E426" s="95" t="s">
        <v>946</v>
      </c>
      <c r="F426" s="97">
        <v>20</v>
      </c>
      <c r="G426" s="98">
        <f>StockInData[Expiry]</f>
        <v>44761</v>
      </c>
      <c r="H426" s="95">
        <v>25</v>
      </c>
      <c r="I426" s="95">
        <f>SUMIFS(StockInData[Quantity],StockInData[Product ID],ProductMaster!#REF!)-SUMIFS(StockOutData[Quantity],StockOutData[Product ID],ProductMaster!#REF!)</f>
        <v>0</v>
      </c>
      <c r="J426" s="99">
        <f>SUMIFS(StockInData[Value],StockInData[Product ID],ProductMaster!#REF!)-SUMIFS(StockOutData[Value],StockOutData[Product ID],ProductMaster!#REF!)</f>
        <v>0</v>
      </c>
    </row>
  </sheetData>
  <sortState ref="A2:J426">
    <sortCondition ref="G1"/>
  </sortState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15"/>
  <sheetViews>
    <sheetView showGridLines="0" workbookViewId="0">
      <selection activeCell="B11" sqref="B11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0">
        <f>INDEX(ProductMaster!A:A,COUNT(ProductMaster!A:A)+1)+1</f>
        <v>426</v>
      </c>
      <c r="C5" s="16"/>
    </row>
    <row r="6" spans="1:3" ht="30.75" customHeight="1" x14ac:dyDescent="0.25">
      <c r="A6" s="25" t="s">
        <v>2</v>
      </c>
      <c r="B6" s="45"/>
      <c r="C6" s="16"/>
    </row>
    <row r="7" spans="1:3" ht="30.75" customHeight="1" x14ac:dyDescent="0.25">
      <c r="A7" s="25" t="s">
        <v>3</v>
      </c>
      <c r="B7" s="45"/>
      <c r="C7" s="16"/>
    </row>
    <row r="8" spans="1:3" ht="30.75" customHeight="1" x14ac:dyDescent="0.25">
      <c r="A8" s="25" t="s">
        <v>4</v>
      </c>
      <c r="B8" s="37"/>
      <c r="C8" s="16"/>
    </row>
    <row r="9" spans="1:3" ht="30.75" customHeight="1" x14ac:dyDescent="0.25">
      <c r="A9" s="25" t="s">
        <v>5</v>
      </c>
      <c r="B9" s="37"/>
      <c r="C9" s="16"/>
    </row>
    <row r="10" spans="1:3" ht="30.75" customHeight="1" x14ac:dyDescent="0.25">
      <c r="A10" s="25" t="s">
        <v>10</v>
      </c>
      <c r="B10" s="46"/>
      <c r="C10" s="16"/>
    </row>
    <row r="11" spans="1:3" ht="30.75" customHeight="1" x14ac:dyDescent="0.25">
      <c r="A11" s="25" t="s">
        <v>881</v>
      </c>
      <c r="B11" s="47"/>
      <c r="C11" s="16"/>
    </row>
    <row r="12" spans="1:3" ht="30.75" customHeight="1" thickBot="1" x14ac:dyDescent="0.3">
      <c r="A12" s="48" t="s">
        <v>8</v>
      </c>
      <c r="B12" s="49"/>
      <c r="C12" s="16"/>
    </row>
    <row r="13" spans="1:3" ht="12" customHeight="1" x14ac:dyDescent="0.25">
      <c r="A13" s="16"/>
      <c r="B13" s="17"/>
      <c r="C13" s="16"/>
    </row>
    <row r="14" spans="1:3" ht="15" hidden="1" customHeight="1" x14ac:dyDescent="0.25"/>
    <row r="15" spans="1:3" ht="15" hidden="1" customHeight="1" x14ac:dyDescent="0.25"/>
  </sheetData>
  <sheetProtection password="CC72" sheet="1" objects="1" scenarios="1"/>
  <pageMargins left="0.7" right="0.7" top="0.75" bottom="0.75" header="0.3" footer="0.3"/>
  <pageSetup orientation="portrait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13"/>
  <sheetViews>
    <sheetView showGridLines="0" showRowColHeaders="0" zoomScaleNormal="100" workbookViewId="0">
      <selection activeCell="B7" sqref="B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44" t="str">
        <f>IF(B6="","",(MAX(ProductMaster!$A$3:$A$426)+1))</f>
        <v/>
      </c>
      <c r="C5" s="16"/>
    </row>
    <row r="6" spans="1:3" ht="30.75" customHeight="1" x14ac:dyDescent="0.25">
      <c r="A6" s="25" t="s">
        <v>978</v>
      </c>
      <c r="B6" s="22"/>
      <c r="C6" s="16"/>
    </row>
    <row r="7" spans="1:3" ht="30.75" customHeight="1" thickBot="1" x14ac:dyDescent="0.3">
      <c r="A7" s="26" t="s">
        <v>979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H13"/>
  <sheetViews>
    <sheetView showGridLines="0" showRowColHeaders="0" zoomScaleNormal="100" workbookViewId="0">
      <selection activeCell="C7" sqref="C7"/>
    </sheetView>
  </sheetViews>
  <sheetFormatPr defaultColWidth="0" defaultRowHeight="15" customHeight="1" zeroHeight="1" x14ac:dyDescent="0.25"/>
  <cols>
    <col min="1" max="1" width="28.5" bestFit="1" customWidth="1"/>
    <col min="2" max="2" width="31.5" style="5" customWidth="1"/>
    <col min="3" max="3" width="26.5" customWidth="1"/>
    <col min="4" max="8" width="0" hidden="1" customWidth="1"/>
    <col min="9" max="16384" width="9" hidden="1"/>
  </cols>
  <sheetData>
    <row r="1" spans="1:3" x14ac:dyDescent="0.25">
      <c r="A1" s="18"/>
      <c r="B1" s="19"/>
      <c r="C1" s="18"/>
    </row>
    <row r="2" spans="1:3" x14ac:dyDescent="0.25">
      <c r="A2" s="18"/>
      <c r="B2" s="19"/>
      <c r="C2" s="18"/>
    </row>
    <row r="3" spans="1:3" ht="15.75" thickBot="1" x14ac:dyDescent="0.3">
      <c r="A3" s="20"/>
      <c r="B3" s="21"/>
      <c r="C3" s="20"/>
    </row>
    <row r="4" spans="1:3" x14ac:dyDescent="0.25">
      <c r="A4" s="16"/>
      <c r="B4" s="17"/>
      <c r="C4" s="16"/>
    </row>
    <row r="5" spans="1:3" ht="30.75" customHeight="1" x14ac:dyDescent="0.25">
      <c r="A5" s="25" t="s">
        <v>0</v>
      </c>
      <c r="B5" s="51" t="str">
        <f>IF(B6="","",(MAX(ProductMaster!$A$3:$A$426)+1))</f>
        <v/>
      </c>
      <c r="C5" s="16"/>
    </row>
    <row r="6" spans="1:3" ht="30.75" customHeight="1" x14ac:dyDescent="0.25">
      <c r="A6" s="25" t="s">
        <v>976</v>
      </c>
      <c r="B6" s="22"/>
      <c r="C6" s="16"/>
    </row>
    <row r="7" spans="1:3" ht="30.75" customHeight="1" thickBot="1" x14ac:dyDescent="0.3">
      <c r="A7" s="26" t="s">
        <v>977</v>
      </c>
      <c r="B7" s="23"/>
      <c r="C7" s="16"/>
    </row>
    <row r="8" spans="1:3" ht="15" customHeight="1" thickTop="1" x14ac:dyDescent="0.25"/>
    <row r="9" spans="1:3" ht="15" hidden="1" customHeight="1" x14ac:dyDescent="0.25"/>
    <row r="10" spans="1:3" ht="15" hidden="1" customHeight="1" x14ac:dyDescent="0.25"/>
    <row r="11" spans="1:3" ht="15" hidden="1" customHeight="1" x14ac:dyDescent="0.25"/>
    <row r="12" spans="1:3" ht="15" hidden="1" customHeight="1" x14ac:dyDescent="0.25"/>
    <row r="13" spans="1:3" ht="15" customHeight="1" x14ac:dyDescent="0.25"/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Dashboard</vt:lpstr>
      <vt:lpstr>Help</vt:lpstr>
      <vt:lpstr>EnterStockIn</vt:lpstr>
      <vt:lpstr>EnterStockOut</vt:lpstr>
      <vt:lpstr>StockIn</vt:lpstr>
      <vt:lpstr>StockOut</vt:lpstr>
      <vt:lpstr>ProductMaster</vt:lpstr>
      <vt:lpstr>EnterNewProduct</vt:lpstr>
      <vt:lpstr>EnterNewSupplier</vt:lpstr>
      <vt:lpstr>EnterNewCustomer</vt:lpstr>
      <vt:lpstr>Dashboard!Print_Titles</vt:lpstr>
      <vt:lpstr>EnterNewCustomer!Print_Titles</vt:lpstr>
      <vt:lpstr>EnterNewProduct!Print_Titles</vt:lpstr>
      <vt:lpstr>EnterNewSupplier!Print_Titles</vt:lpstr>
      <vt:lpstr>EnterStockIn!Print_Titles</vt:lpstr>
      <vt:lpstr>EnterStockOut!Print_Titles</vt:lpstr>
      <vt:lpstr>Help!Print_Titles</vt:lpstr>
      <vt:lpstr>ProductMaster!Print_Titles</vt:lpstr>
      <vt:lpstr>StockIn!Print_Titles</vt:lpstr>
      <vt:lpstr>StockOut!Print_Titles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MEESAM ALI</dc:creator>
  <cp:lastModifiedBy>SYED</cp:lastModifiedBy>
  <cp:lastPrinted>2019-12-07T17:31:55Z</cp:lastPrinted>
  <dcterms:created xsi:type="dcterms:W3CDTF">2016-08-05T04:56:17Z</dcterms:created>
  <dcterms:modified xsi:type="dcterms:W3CDTF">2019-12-07T17:54:24Z</dcterms:modified>
  <cp:contentStatus/>
</cp:coreProperties>
</file>