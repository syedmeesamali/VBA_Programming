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clgulf\Desktop\VBA_Programming\6_Inventory_Management\Data\"/>
    </mc:Choice>
  </mc:AlternateContent>
  <xr:revisionPtr revIDLastSave="0" documentId="13_ncr:1_{B6201FC9-FA6D-4D93-B15F-FFAC3222C9F3}" xr6:coauthVersionLast="41" xr6:coauthVersionMax="41" xr10:uidLastSave="{00000000-0000-0000-0000-000000000000}"/>
  <bookViews>
    <workbookView xWindow="-120" yWindow="-120" windowWidth="20730" windowHeight="11160" xr2:uid="{00000000-000D-0000-FFFF-FFFF00000000}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0" state="hidden" r:id="rId8"/>
  </sheets>
  <definedNames>
    <definedName name="Puneet">INDEX(Help!XFB1:XFB3,MATCH(Help!XEY1,Help!XFA1:XFA3,0),0)</definedName>
  </definedNames>
  <calcPr calcId="191029"/>
  <pivotCaches>
    <pivotCache cacheId="129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5" l="1"/>
  <c r="B7" i="7"/>
  <c r="B11" i="7" s="1"/>
  <c r="H11" i="4"/>
  <c r="I11" i="4"/>
  <c r="H3" i="4"/>
  <c r="H4" i="4"/>
  <c r="H5" i="4"/>
  <c r="H6" i="4"/>
  <c r="H7" i="4"/>
  <c r="H8" i="4"/>
  <c r="H9" i="4"/>
  <c r="H10" i="4"/>
  <c r="H2" i="4"/>
  <c r="B3" i="7"/>
  <c r="B4" i="7"/>
  <c r="B5" i="10"/>
  <c r="I2" i="4"/>
  <c r="I3" i="4"/>
  <c r="I4" i="4"/>
  <c r="I5" i="4"/>
  <c r="I6" i="4"/>
  <c r="I7" i="4"/>
  <c r="I8" i="4"/>
  <c r="I9" i="4"/>
  <c r="I10" i="4"/>
  <c r="B12" i="5"/>
  <c r="B10" i="5"/>
  <c r="B9" i="5"/>
  <c r="B7" i="5"/>
  <c r="B6" i="5"/>
  <c r="B5" i="2"/>
  <c r="B6" i="2"/>
  <c r="B12" i="2"/>
  <c r="B10" i="2"/>
  <c r="B9" i="2"/>
  <c r="B7" i="2"/>
  <c r="B1" i="7" l="1"/>
  <c r="B8" i="7"/>
  <c r="B13" i="7" s="1"/>
  <c r="B9" i="7"/>
  <c r="A16" i="7" s="1"/>
  <c r="B10" i="7"/>
  <c r="B12" i="7" s="1"/>
  <c r="B2" i="7"/>
  <c r="B6" i="7"/>
  <c r="B5" i="7"/>
  <c r="A15" i="7" l="1"/>
  <c r="A17" i="7"/>
</calcChain>
</file>

<file path=xl/sharedStrings.xml><?xml version="1.0" encoding="utf-8"?>
<sst xmlns="http://schemas.openxmlformats.org/spreadsheetml/2006/main" count="219" uniqueCount="57">
  <si>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</si>
  <si>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</si>
  <si>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</si>
  <si>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</si>
  <si>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</si>
  <si>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</si>
  <si>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</si>
  <si>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</si>
  <si>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Washing Machine</t>
  </si>
  <si>
    <t>Bubble Wash</t>
  </si>
  <si>
    <t>Home Appliances</t>
  </si>
  <si>
    <t>Reorder Level</t>
  </si>
  <si>
    <t>Current Stock</t>
  </si>
  <si>
    <t>P000024</t>
  </si>
  <si>
    <t>P000036</t>
  </si>
  <si>
    <t>P000042</t>
  </si>
  <si>
    <t>P000010</t>
  </si>
  <si>
    <t>P000020</t>
  </si>
  <si>
    <t>P000018</t>
  </si>
  <si>
    <t>P000006</t>
  </si>
  <si>
    <t>P000015</t>
  </si>
  <si>
    <t>P000017</t>
  </si>
  <si>
    <t>P000022</t>
  </si>
  <si>
    <t>Cool Breeze</t>
  </si>
  <si>
    <t>Refiri`</t>
  </si>
  <si>
    <t>Unit Price</t>
  </si>
  <si>
    <t>Stock Value</t>
  </si>
  <si>
    <t>Month Start</t>
  </si>
  <si>
    <t>Month End</t>
  </si>
  <si>
    <t>Current Month Stock In</t>
  </si>
  <si>
    <t>Current Month Stock Out</t>
  </si>
  <si>
    <t>Row Labels</t>
  </si>
  <si>
    <t>Grand Total</t>
  </si>
  <si>
    <t>Mobile Phone</t>
  </si>
  <si>
    <t>Smart Phone</t>
  </si>
  <si>
    <t>Tablet</t>
  </si>
  <si>
    <t>Laptop</t>
  </si>
  <si>
    <t>Sum of Current Stock</t>
  </si>
  <si>
    <t>Galaxy Tab A</t>
  </si>
  <si>
    <t>Galaxy Tab S2</t>
  </si>
  <si>
    <t>4 Door Flex</t>
  </si>
  <si>
    <t>Refrigerator</t>
  </si>
  <si>
    <t>Notebook 9</t>
  </si>
  <si>
    <t>Dishwasher</t>
  </si>
  <si>
    <t>Microwave</t>
  </si>
  <si>
    <t>Grill</t>
  </si>
  <si>
    <t>Chef Collection</t>
  </si>
  <si>
    <t>Add Wash</t>
  </si>
  <si>
    <t>Power Bot</t>
  </si>
  <si>
    <t>Galaxy Note 7</t>
  </si>
  <si>
    <t>Galaxy S7</t>
  </si>
  <si>
    <t>Vaccum Cleaner</t>
  </si>
  <si>
    <t>Linked Cell</t>
  </si>
  <si>
    <t>Message-1</t>
  </si>
  <si>
    <t>Name Label</t>
  </si>
  <si>
    <t>Total Stock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</si>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</sst>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$&quot;* #,##0_);_(&quot;$&quot;* \(#,##0\);_(&quot;$&quot;* &quot;-&quot;_);_(@_)"/>
  </numFmts>
  <fonts count="11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b/>
      <sz val="9"/>
      <color theme="0"/>
      <name val="Yu Gothic UI Light"/>
      <family val="2"/>
    </font>
    <font>
      <sz val="9"/>
      <color theme="1"/>
      <name val="Calibri Light"/>
      <family val="2"/>
    </font>
    <font>
      <sz val="11"/>
      <color theme="1"/>
      <name val="Verdana"/>
      <family val="2"/>
    </font>
    <font>
      <sz val="11"/>
      <color theme="7" tint="0.39997558519241921"/>
      <name val="Calibri Light"/>
      <family val="2"/>
    </font>
    <font>
      <i/>
      <sz val="11"/>
      <color theme="0" tint="-0.499984740745262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5" fontId="1" fillId="0" borderId="0" xfId="0" applyNumberFormat="1" applyFont="1" applyAlignment="1">
      <alignment horizontal="center"/>
    </xf>
    <xf numFmtId="0" fontId="4" fillId="0" borderId="0" xfId="0" applyFont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1" fillId="0" borderId="0" xfId="0" applyNumberFormat="1" applyFon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0" borderId="0" xfId="0" applyFont="1" applyAlignment="1">
      <alignment horizontal="center"/>
    </xf>
    <xf numFmtId="15" fontId="5" fillId="0" borderId="0" xfId="0" applyNumberFormat="1" applyFont="1" applyAlignment="1">
      <alignment horizontal="center"/>
    </xf>
    <xf numFmtId="42" fontId="5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4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42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42" fontId="1" fillId="0" borderId="0" xfId="0" applyNumberFormat="1" applyFont="1" applyFill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6" xfId="0" applyFill="1" applyBorder="1"/>
    <xf numFmtId="0" fontId="0" fillId="3" borderId="6" xfId="0" applyFill="1" applyBorder="1" applyAlignment="1">
      <alignment horizontal="right"/>
    </xf>
    <xf numFmtId="0" fontId="9" fillId="2" borderId="3" xfId="0" applyFont="1" applyFill="1" applyBorder="1" applyAlignment="1" applyProtection="1">
      <alignment horizontal="right"/>
      <protection locked="0"/>
    </xf>
    <xf numFmtId="15" fontId="9" fillId="2" borderId="3" xfId="0" applyNumberFormat="1" applyFont="1" applyFill="1" applyBorder="1" applyAlignment="1" applyProtection="1">
      <alignment horizontal="right" vertical="center"/>
      <protection locked="0"/>
    </xf>
    <xf numFmtId="42" fontId="9" fillId="2" borderId="3" xfId="0" applyNumberFormat="1" applyFont="1" applyFill="1" applyBorder="1" applyAlignment="1" applyProtection="1">
      <alignment horizontal="right" indent="3"/>
      <protection locked="0"/>
    </xf>
    <xf numFmtId="0" fontId="9" fillId="2" borderId="1" xfId="0" applyFont="1" applyFill="1" applyBorder="1" applyAlignment="1" applyProtection="1">
      <alignment horizontal="right"/>
      <protection locked="0"/>
    </xf>
    <xf numFmtId="0" fontId="9" fillId="2" borderId="0" xfId="0" applyFont="1" applyFill="1"/>
    <xf numFmtId="0" fontId="9" fillId="0" borderId="0" xfId="0" applyFont="1"/>
    <xf numFmtId="0" fontId="9" fillId="4" borderId="2" xfId="0" applyFont="1" applyFill="1" applyBorder="1" applyAlignment="1">
      <alignment vertical="center"/>
    </xf>
    <xf numFmtId="0" fontId="9" fillId="4" borderId="3" xfId="0" applyFont="1" applyFill="1" applyBorder="1" applyAlignment="1">
      <alignment horizontal="right" vertical="center"/>
    </xf>
    <xf numFmtId="15" fontId="9" fillId="4" borderId="3" xfId="0" applyNumberFormat="1" applyFont="1" applyFill="1" applyBorder="1" applyAlignment="1">
      <alignment horizontal="right" vertical="center"/>
    </xf>
    <xf numFmtId="0" fontId="9" fillId="4" borderId="3" xfId="0" applyFont="1" applyFill="1" applyBorder="1" applyAlignment="1">
      <alignment horizontal="right"/>
    </xf>
    <xf numFmtId="0" fontId="9" fillId="4" borderId="4" xfId="0" applyFont="1" applyFill="1" applyBorder="1" applyAlignment="1">
      <alignment vertical="center"/>
    </xf>
    <xf numFmtId="42" fontId="9" fillId="4" borderId="1" xfId="0" applyNumberFormat="1" applyFont="1" applyFill="1" applyBorder="1" applyAlignment="1">
      <alignment horizontal="right"/>
    </xf>
    <xf numFmtId="0" fontId="8" fillId="4" borderId="2" xfId="0" applyFont="1" applyFill="1" applyBorder="1" applyAlignment="1">
      <alignment vertical="center"/>
    </xf>
    <xf numFmtId="0" fontId="8" fillId="4" borderId="3" xfId="0" applyFont="1" applyFill="1" applyBorder="1" applyAlignment="1">
      <alignment horizontal="right" vertical="center"/>
    </xf>
    <xf numFmtId="0" fontId="8" fillId="4" borderId="4" xfId="0" applyFont="1" applyFill="1" applyBorder="1" applyAlignment="1">
      <alignment vertical="center"/>
    </xf>
    <xf numFmtId="0" fontId="1" fillId="0" borderId="0" xfId="0" applyFont="1" applyBorder="1" applyAlignment="1">
      <alignment horizontal="center"/>
    </xf>
    <xf numFmtId="15" fontId="1" fillId="0" borderId="0" xfId="0" applyNumberFormat="1" applyFont="1" applyBorder="1" applyAlignment="1">
      <alignment horizontal="center"/>
    </xf>
    <xf numFmtId="42" fontId="1" fillId="0" borderId="0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15" fontId="10" fillId="0" borderId="0" xfId="0" applyNumberFormat="1" applyFont="1" applyAlignment="1">
      <alignment horizontal="center"/>
    </xf>
    <xf numFmtId="42" fontId="10" fillId="0" borderId="0" xfId="0" applyNumberFormat="1" applyFont="1" applyAlignment="1">
      <alignment horizontal="center"/>
    </xf>
    <xf numFmtId="0" fontId="7" fillId="2" borderId="5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31"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Yu Gothic UI Ligh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96789"/>
      <color rgb="FF0000EE"/>
      <color rgb="FF365899"/>
      <color rgb="FF3D6A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Inventory System.xlsm]Help!PivotTable1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en-US" sz="1200" u="none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Category Wise Current Stock</a:t>
            </a:r>
          </a:p>
        </c:rich>
      </c:tx>
      <c:layout>
        <c:manualLayout>
          <c:xMode val="edge"/>
          <c:yMode val="edge"/>
          <c:x val="0.60926208399774173"/>
          <c:y val="3.3195020746887967E-2"/>
        </c:manualLayout>
      </c:layout>
      <c:overlay val="1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bg1">
                <a:lumMod val="85000"/>
              </a:schemeClr>
            </a:fgClr>
            <a:bgClr>
              <a:schemeClr val="bg1"/>
            </a:bgClr>
          </a:pattFill>
          <a:ln w="9525">
            <a:solidFill>
              <a:schemeClr val="bg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;\-#,##0;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Verdana" panose="020B0604030504040204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Help!$G$1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bg1">
                  <a:lumMod val="85000"/>
                </a:schemeClr>
              </a:fgClr>
              <a:bgClr>
                <a:schemeClr val="bg1"/>
              </a:bgClr>
            </a:pattFill>
            <a:ln w="9525"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numFmt formatCode="#,##0;\-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sng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Help!$F$2:$F$6</c:f>
              <c:strCache>
                <c:ptCount val="4"/>
                <c:pt idx="0">
                  <c:v>Home Appliances</c:v>
                </c:pt>
                <c:pt idx="1">
                  <c:v>Mobile Phone</c:v>
                </c:pt>
                <c:pt idx="2">
                  <c:v>Tablet</c:v>
                </c:pt>
                <c:pt idx="3">
                  <c:v>Laptop</c:v>
                </c:pt>
              </c:strCache>
            </c:strRef>
          </c:cat>
          <c:val>
            <c:numRef>
              <c:f>Help!$G$2:$G$6</c:f>
              <c:numCache>
                <c:formatCode>General</c:formatCode>
                <c:ptCount val="4"/>
                <c:pt idx="0">
                  <c:v>170</c:v>
                </c:pt>
                <c:pt idx="1">
                  <c:v>330</c:v>
                </c:pt>
                <c:pt idx="2">
                  <c:v>100</c:v>
                </c:pt>
                <c:pt idx="3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4-4FCB-8F58-3B2E5988F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79232"/>
        <c:axId val="134080768"/>
      </c:barChart>
      <c:catAx>
        <c:axId val="13407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en-US"/>
          </a:p>
        </c:txPr>
        <c:crossAx val="134080768"/>
        <c:crosses val="autoZero"/>
        <c:auto val="1"/>
        <c:lblAlgn val="ctr"/>
        <c:lblOffset val="100"/>
        <c:noMultiLvlLbl val="0"/>
      </c:catAx>
      <c:valAx>
        <c:axId val="134080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07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7.png"/><Relationship Id="rId18" Type="http://schemas.openxmlformats.org/officeDocument/2006/relationships/image" Target="../media/image10.png"/><Relationship Id="rId26" Type="http://schemas.openxmlformats.org/officeDocument/2006/relationships/image" Target="../media/image14.png"/><Relationship Id="rId3" Type="http://schemas.openxmlformats.org/officeDocument/2006/relationships/hyperlink" Target="https://gumroad.com/l/PlHCF" TargetMode="External"/><Relationship Id="rId21" Type="http://schemas.openxmlformats.org/officeDocument/2006/relationships/hyperlink" Target="mailto:?&amp;body=Hey,%0a%0aExcel%20Inventory%20Management%20Template.%0a%0aCheck%20This%20Out%20From%20Here.%20%0ahttp://excelchamps.com/blog/2016/08/excel-inventory-management-template-with-user-forms-vba" TargetMode="External"/><Relationship Id="rId7" Type="http://schemas.openxmlformats.org/officeDocument/2006/relationships/image" Target="../media/image3.png"/><Relationship Id="rId12" Type="http://schemas.openxmlformats.org/officeDocument/2006/relationships/image" Target="../media/image6.png"/><Relationship Id="rId17" Type="http://schemas.openxmlformats.org/officeDocument/2006/relationships/image" Target="../media/image9.png"/><Relationship Id="rId25" Type="http://schemas.openxmlformats.org/officeDocument/2006/relationships/hyperlink" Target="https://pinterest.com/pin/create/button/?url=http://excelchamps.com/blog/2016/08/excel-inventory-management-template-with-user-forms-vba&amp;media=&amp;description=" TargetMode="External"/><Relationship Id="rId2" Type="http://schemas.openxmlformats.org/officeDocument/2006/relationships/chart" Target="../charts/chart2.xml"/><Relationship Id="rId16" Type="http://schemas.openxmlformats.org/officeDocument/2006/relationships/hyperlink" Target="http://excelchamps.com/" TargetMode="External"/><Relationship Id="rId20" Type="http://schemas.openxmlformats.org/officeDocument/2006/relationships/image" Target="../media/image11.png"/><Relationship Id="rId29" Type="http://schemas.openxmlformats.org/officeDocument/2006/relationships/hyperlink" Target="https://www.facebook.com/sharer/sharer.php?u=http://excelchamps.com/blog/2016/08/excel-inventory-management-template-with-user-forms-vba" TargetMode="Externa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11" Type="http://schemas.openxmlformats.org/officeDocument/2006/relationships/hyperlink" Target="https://twitter.com/ExcelChamps" TargetMode="External"/><Relationship Id="rId24" Type="http://schemas.openxmlformats.org/officeDocument/2006/relationships/image" Target="../media/image13.png"/><Relationship Id="rId5" Type="http://schemas.openxmlformats.org/officeDocument/2006/relationships/image" Target="../media/image1.png"/><Relationship Id="rId15" Type="http://schemas.openxmlformats.org/officeDocument/2006/relationships/image" Target="../media/image8.png"/><Relationship Id="rId23" Type="http://schemas.openxmlformats.org/officeDocument/2006/relationships/hyperlink" Target="https://www.linkedin.com/shareArticle?mini=true&amp;url=http://excelchamps.com/blog/2016/08/excel-inventory-management-template-with-user-forms-vba&amp;title=&amp;summary=&amp;source=" TargetMode="External"/><Relationship Id="rId28" Type="http://schemas.openxmlformats.org/officeDocument/2006/relationships/image" Target="../media/image15.png"/><Relationship Id="rId10" Type="http://schemas.openxmlformats.org/officeDocument/2006/relationships/image" Target="../media/image5.png"/><Relationship Id="rId19" Type="http://schemas.openxmlformats.org/officeDocument/2006/relationships/hyperlink" Target="https://twitter.com/home?status=http://excelchamps.com/blog/2016/08/excel-inventory-management-template-with-user-forms-vba" TargetMode="External"/><Relationship Id="rId4" Type="http://schemas.openxmlformats.org/officeDocument/2006/relationships/hyperlink" Target="https://goo.gl/qeulo7" TargetMode="External"/><Relationship Id="rId9" Type="http://schemas.openxmlformats.org/officeDocument/2006/relationships/hyperlink" Target="https://www.facebook.com/ExcelChamps" TargetMode="External"/><Relationship Id="rId14" Type="http://schemas.openxmlformats.org/officeDocument/2006/relationships/hyperlink" Target="https://www.youtube.com/c/Excelchamps" TargetMode="External"/><Relationship Id="rId22" Type="http://schemas.openxmlformats.org/officeDocument/2006/relationships/image" Target="../media/image12.png"/><Relationship Id="rId27" Type="http://schemas.openxmlformats.org/officeDocument/2006/relationships/hyperlink" Target="https://plus.google.com/share?url=http://excelchamps.com/blog/2016/08/excel-inventory-management-template-with-user-forms-vba" TargetMode="External"/><Relationship Id="rId30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142875</xdr:colOff>
      <xdr:row>20</xdr:row>
      <xdr:rowOff>95250</xdr:rowOff>
    </xdr:from>
    <xdr:ext cx="6081056" cy="341697"/>
    <xdr:sp macro="" textlink="Help!A17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12</xdr:col>
      <xdr:colOff>228599</xdr:colOff>
      <xdr:row>10</xdr:row>
      <xdr:rowOff>123825</xdr:rowOff>
    </xdr:from>
    <xdr:to>
      <xdr:col>18</xdr:col>
      <xdr:colOff>142874</xdr:colOff>
      <xdr:row>12</xdr:row>
      <xdr:rowOff>22197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8458199" y="2028825"/>
          <a:ext cx="4029075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119719</xdr:colOff>
      <xdr:row>20</xdr:row>
      <xdr:rowOff>150310</xdr:rowOff>
    </xdr:from>
    <xdr:ext cx="6081056" cy="341697"/>
    <xdr:sp macro="" textlink="Help!A15">
      <xdr:nvSpPr>
        <xdr:cNvPr id="37" name="ReorderLevelMessage2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291919" y="397936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38773ABC-2FB9-43E1-A621-562D2796E8DF}" type="TxLink">
            <a:rPr lang="en-US" sz="1600" b="0" i="0" u="none" strike="noStrik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Relax! Stock Is Above Re-Order Level.</a:t>
          </a:fld>
          <a:endParaRPr lang="en-US" sz="1600" b="0" i="0" u="none" strike="noStrike" cap="none" spc="0">
            <a:ln w="0"/>
            <a:solidFill>
              <a:srgbClr val="00B05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195919</xdr:colOff>
      <xdr:row>20</xdr:row>
      <xdr:rowOff>121735</xdr:rowOff>
    </xdr:from>
    <xdr:ext cx="6081056" cy="341697"/>
    <xdr:sp macro="" textlink="Help!A16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368119" y="3950785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1693FB33-1718-49B7-963D-46B826D991D5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152400</xdr:colOff>
      <xdr:row>15</xdr:row>
      <xdr:rowOff>47625</xdr:rowOff>
    </xdr:from>
    <xdr:ext cx="6115049" cy="263790"/>
    <xdr:sp macro="" textlink="Help!B12">
      <xdr:nvSpPr>
        <xdr:cNvPr id="49" name="ProductCurrentSto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6324600" y="2924175"/>
          <a:ext cx="6115049" cy="2637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fld id="{4BFE79CE-A386-4EB3-861A-A49EBDD0EA82}" type="TxLink">
            <a:rPr lang="en-US" sz="11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l"/>
            <a:t>Current Stock is 40 Unit(s). And, Stock Value is $1099</a:t>
          </a:fld>
          <a:endParaRPr lang="en-US" sz="115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112248</xdr:colOff>
      <xdr:row>12</xdr:row>
      <xdr:rowOff>142875</xdr:rowOff>
    </xdr:from>
    <xdr:ext cx="6107577" cy="466410"/>
    <xdr:sp macro="" textlink="Help!B13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284448" y="2447925"/>
          <a:ext cx="6107577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6D6B6DB6-E122-4224-8CFC-2C3A3923A21C}" type="TxLink">
            <a:rPr lang="en-US" sz="24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Chef Collection's</a:t>
          </a:fld>
          <a:endParaRPr lang="en-US" sz="24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57150</xdr:colOff>
      <xdr:row>13</xdr:row>
      <xdr:rowOff>128587</xdr:rowOff>
    </xdr:from>
    <xdr:to>
      <xdr:col>18</xdr:col>
      <xdr:colOff>19050</xdr:colOff>
      <xdr:row>23</xdr:row>
      <xdr:rowOff>152400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76199</xdr:colOff>
      <xdr:row>10</xdr:row>
      <xdr:rowOff>66675</xdr:rowOff>
    </xdr:from>
    <xdr:to>
      <xdr:col>8</xdr:col>
      <xdr:colOff>657224</xdr:colOff>
      <xdr:row>22</xdr:row>
      <xdr:rowOff>76200</xdr:rowOff>
    </xdr:to>
    <xdr:graphicFrame macro="">
      <xdr:nvGraphicFramePr>
        <xdr:cNvPr id="45" name="ProductWiseStock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13</xdr:col>
      <xdr:colOff>497650</xdr:colOff>
      <xdr:row>3</xdr:row>
      <xdr:rowOff>57150</xdr:rowOff>
    </xdr:from>
    <xdr:ext cx="2988500" cy="466410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413050" y="628650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oneCellAnchor>
  <xdr:oneCellAnchor>
    <xdr:from>
      <xdr:col>4</xdr:col>
      <xdr:colOff>447675</xdr:colOff>
      <xdr:row>3</xdr:row>
      <xdr:rowOff>85725</xdr:rowOff>
    </xdr:from>
    <xdr:ext cx="2988500" cy="466410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190875" y="65722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104775</xdr:colOff>
      <xdr:row>10</xdr:row>
      <xdr:rowOff>66675</xdr:rowOff>
    </xdr:from>
    <xdr:to>
      <xdr:col>18</xdr:col>
      <xdr:colOff>57150</xdr:colOff>
      <xdr:row>22</xdr:row>
      <xdr:rowOff>142875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276975" y="1971675"/>
          <a:ext cx="6124575" cy="238125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4</xdr:col>
      <xdr:colOff>438151</xdr:colOff>
      <xdr:row>6</xdr:row>
      <xdr:rowOff>0</xdr:rowOff>
    </xdr:from>
    <xdr:ext cx="2990850" cy="528734"/>
    <xdr:sp macro="" textlink="Help!B2">
      <xdr:nvSpPr>
        <xdr:cNvPr id="33" name="CurrentStock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3181351" y="11430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14A8A086-4BB5-4A19-AE59-2E7D7A7E72E2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 $651,789 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57150</xdr:colOff>
      <xdr:row>10</xdr:row>
      <xdr:rowOff>66675</xdr:rowOff>
    </xdr:from>
    <xdr:to>
      <xdr:col>9</xdr:col>
      <xdr:colOff>9525</xdr:colOff>
      <xdr:row>22</xdr:row>
      <xdr:rowOff>142875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150" y="1971675"/>
          <a:ext cx="6124575" cy="236220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0</xdr:col>
      <xdr:colOff>59501</xdr:colOff>
      <xdr:row>3</xdr:row>
      <xdr:rowOff>64585</xdr:rowOff>
    </xdr:from>
    <xdr:ext cx="2988500" cy="466410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9501" y="63608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9</xdr:col>
      <xdr:colOff>114300</xdr:colOff>
      <xdr:row>6</xdr:row>
      <xdr:rowOff>9525</xdr:rowOff>
    </xdr:from>
    <xdr:ext cx="2990850" cy="528734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286500" y="1152525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C53A5328-6FBA-4D25-945F-259525999725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5 Unit(s)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13</xdr:col>
      <xdr:colOff>514350</xdr:colOff>
      <xdr:row>6</xdr:row>
      <xdr:rowOff>0</xdr:rowOff>
    </xdr:from>
    <xdr:ext cx="2990850" cy="528734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9429750" y="11430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0D6D6E42-318B-4529-ABA8-7D563E412156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12</xdr:col>
      <xdr:colOff>138677</xdr:colOff>
      <xdr:row>8</xdr:row>
      <xdr:rowOff>150310</xdr:rowOff>
    </xdr:from>
    <xdr:ext cx="894219" cy="201465"/>
    <xdr:sp macro="" textlink="">
      <xdr:nvSpPr>
        <xdr:cNvPr id="40" name="CurrentMonthTag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8368277" y="1674310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16</xdr:col>
      <xdr:colOff>523785</xdr:colOff>
      <xdr:row>8</xdr:row>
      <xdr:rowOff>161925</xdr:rowOff>
    </xdr:from>
    <xdr:ext cx="894219" cy="201465"/>
    <xdr:sp macro="" textlink="">
      <xdr:nvSpPr>
        <xdr:cNvPr id="41" name="CurrentMonthTag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11496585" y="1685925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0</xdr:col>
      <xdr:colOff>57150</xdr:colOff>
      <xdr:row>5</xdr:row>
      <xdr:rowOff>171450</xdr:rowOff>
    </xdr:from>
    <xdr:ext cx="3000375" cy="5287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7150" y="1123950"/>
          <a:ext cx="3000375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3D15B8E7-67D6-4C05-B3EC-D9F772DEF47E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630 Unit(s)</a:t>
          </a:fld>
          <a:endParaRPr lang="en-US" sz="28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114300</xdr:colOff>
      <xdr:row>3</xdr:row>
      <xdr:rowOff>66675</xdr:rowOff>
    </xdr:from>
    <xdr:ext cx="2988500" cy="466410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286500" y="63817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r>
            <a:rPr lang="en-US" sz="1600" b="0" cap="none" spc="0" baseline="10000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</a:t>
          </a:r>
          <a:endParaRPr lang="en-US" sz="10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495300</xdr:colOff>
      <xdr:row>3</xdr:row>
      <xdr:rowOff>47625</xdr:rowOff>
    </xdr:from>
    <xdr:to>
      <xdr:col>18</xdr:col>
      <xdr:colOff>66675</xdr:colOff>
      <xdr:row>9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41070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57149</xdr:colOff>
      <xdr:row>3</xdr:row>
      <xdr:rowOff>47625</xdr:rowOff>
    </xdr:from>
    <xdr:to>
      <xdr:col>4</xdr:col>
      <xdr:colOff>314324</xdr:colOff>
      <xdr:row>9</xdr:row>
      <xdr:rowOff>152400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49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438150</xdr:colOff>
      <xdr:row>3</xdr:row>
      <xdr:rowOff>47625</xdr:rowOff>
    </xdr:from>
    <xdr:to>
      <xdr:col>9</xdr:col>
      <xdr:colOff>9525</xdr:colOff>
      <xdr:row>9</xdr:row>
      <xdr:rowOff>152400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18135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9</xdr:col>
      <xdr:colOff>114300</xdr:colOff>
      <xdr:row>3</xdr:row>
      <xdr:rowOff>38100</xdr:rowOff>
    </xdr:from>
    <xdr:to>
      <xdr:col>13</xdr:col>
      <xdr:colOff>371475</xdr:colOff>
      <xdr:row>9</xdr:row>
      <xdr:rowOff>142875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286500" y="609600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3" tooltip="More Features"/>
          <a:extLst>
            <a:ext uri="{FF2B5EF4-FFF2-40B4-BE49-F238E27FC236}">
              <a16:creationId xmlns:a16="http://schemas.microsoft.com/office/drawing/2014/main" id="{22E5EEBC-327E-424F-8720-078EF7A85CC6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>
    <xdr:from>
      <xdr:col>13</xdr:col>
      <xdr:colOff>552451</xdr:colOff>
      <xdr:row>0</xdr:row>
      <xdr:rowOff>66675</xdr:rowOff>
    </xdr:from>
    <xdr:to>
      <xdr:col>17</xdr:col>
      <xdr:colOff>209551</xdr:colOff>
      <xdr:row>2</xdr:row>
      <xdr:rowOff>133350</xdr:rowOff>
    </xdr:to>
    <xdr:sp macro="" textlink="">
      <xdr:nvSpPr>
        <xdr:cNvPr id="47" name="Rectangle: Rounded Corners 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952B471-80D5-4C90-8B93-B324B8A5E195}"/>
            </a:ext>
          </a:extLst>
        </xdr:cNvPr>
        <xdr:cNvSpPr/>
      </xdr:nvSpPr>
      <xdr:spPr>
        <a:xfrm>
          <a:off x="9467851" y="66675"/>
          <a:ext cx="2400300" cy="447675"/>
        </a:xfrm>
        <a:prstGeom prst="roundRect">
          <a:avLst>
            <a:gd name="adj" fmla="val 8511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Want More Features?</a:t>
          </a:r>
        </a:p>
      </xdr:txBody>
    </xdr:sp>
    <xdr:clientData/>
  </xdr:twoCellAnchor>
  <xdr:twoCellAnchor editAs="oneCell">
    <xdr:from>
      <xdr:col>17</xdr:col>
      <xdr:colOff>295275</xdr:colOff>
      <xdr:row>0</xdr:row>
      <xdr:rowOff>76200</xdr:rowOff>
    </xdr:from>
    <xdr:to>
      <xdr:col>18</xdr:col>
      <xdr:colOff>39243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387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8</xdr:col>
      <xdr:colOff>257175</xdr:colOff>
      <xdr:row>0</xdr:row>
      <xdr:rowOff>0</xdr:rowOff>
    </xdr:from>
    <xdr:to>
      <xdr:col>9</xdr:col>
      <xdr:colOff>352425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35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667193</xdr:colOff>
      <xdr:row>0</xdr:row>
      <xdr:rowOff>0</xdr:rowOff>
    </xdr:from>
    <xdr:ext cx="4761625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7193" y="0"/>
          <a:ext cx="4761625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</a:t>
          </a: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3</xdr:col>
      <xdr:colOff>657225</xdr:colOff>
      <xdr:row>24</xdr:row>
      <xdr:rowOff>0</xdr:rowOff>
    </xdr:to>
    <xdr:sp macro="" textlink="">
      <xdr:nvSpPr>
        <xdr:cNvPr id="4" name="MenuBar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2714625" cy="4572000"/>
        </a:xfrm>
        <a:prstGeom prst="rect">
          <a:avLst/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647700</xdr:colOff>
      <xdr:row>0</xdr:row>
      <xdr:rowOff>0</xdr:rowOff>
    </xdr:from>
    <xdr:to>
      <xdr:col>19</xdr:col>
      <xdr:colOff>0</xdr:colOff>
      <xdr:row>24</xdr:row>
      <xdr:rowOff>0</xdr:rowOff>
    </xdr:to>
    <xdr:sp macro="" textlink="">
      <xdr:nvSpPr>
        <xdr:cNvPr id="27" name="Instructions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705100" y="0"/>
          <a:ext cx="9782175" cy="4572000"/>
        </a:xfrm>
        <a:prstGeom prst="rect">
          <a:avLst/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800" b="1" u="sng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Instructions</a:t>
          </a:r>
        </a:p>
        <a:p>
          <a:pPr marL="0" indent="0" algn="ctr"/>
          <a:endParaRPr lang="en-US" sz="1800" b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 Menu Buttons To Navigate To Different Worksheets.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Once you fill user</a:t>
          </a: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form click on enter button to save the entry in data 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Do not change the name of any worksheet.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If you want to change heading name in any data sheet make sure to change it other data sheets as well.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Do not delete or add any cell from user form.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If you want a customize Template </a:t>
          </a:r>
          <a:r>
            <a:rPr lang="en-US" sz="1200" b="0" u="sng" baseline="0">
              <a:solidFill>
                <a:srgbClr val="0000EE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you can take a quote for that</a:t>
          </a: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66676</xdr:colOff>
      <xdr:row>0</xdr:row>
      <xdr:rowOff>28576</xdr:rowOff>
    </xdr:from>
    <xdr:to>
      <xdr:col>0</xdr:col>
      <xdr:colOff>447676</xdr:colOff>
      <xdr:row>2</xdr:row>
      <xdr:rowOff>28576</xdr:rowOff>
    </xdr:to>
    <xdr:pic macro="[0]!CloseMenu">
      <xdr:nvPicPr>
        <xdr:cNvPr id="21" name="Back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6" y="28576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85725</xdr:rowOff>
    </xdr:from>
    <xdr:to>
      <xdr:col>0</xdr:col>
      <xdr:colOff>542925</xdr:colOff>
      <xdr:row>2</xdr:row>
      <xdr:rowOff>114300</xdr:rowOff>
    </xdr:to>
    <xdr:pic macro="[0]!OpenMenu">
      <xdr:nvPicPr>
        <xdr:cNvPr id="2" name="Op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85725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495300</xdr:colOff>
      <xdr:row>0</xdr:row>
      <xdr:rowOff>38100</xdr:rowOff>
    </xdr:from>
    <xdr:to>
      <xdr:col>4</xdr:col>
      <xdr:colOff>390525</xdr:colOff>
      <xdr:row>2</xdr:row>
      <xdr:rowOff>142875</xdr:rowOff>
    </xdr:to>
    <xdr:sp macro="" textlink="">
      <xdr:nvSpPr>
        <xdr:cNvPr id="5" name="MenuHeading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81100" y="38100"/>
          <a:ext cx="1952625" cy="4857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Menu</a:t>
          </a:r>
          <a:endParaRPr lang="en-US" sz="28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0</xdr:col>
      <xdr:colOff>47625</xdr:colOff>
      <xdr:row>22</xdr:row>
      <xdr:rowOff>116973</xdr:rowOff>
    </xdr:from>
    <xdr:ext cx="1781175" cy="233205"/>
    <xdr:sp macro="" textlink="">
      <xdr:nvSpPr>
        <xdr:cNvPr id="15" name="PoweredBy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47625" y="4307973"/>
          <a:ext cx="1781175" cy="23320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r>
            <a:rPr lang="en-US" sz="900" b="0" cap="none" spc="0">
              <a:ln w="0">
                <a:noFill/>
              </a:ln>
              <a:solidFill>
                <a:schemeClr val="tx2"/>
              </a:solidFill>
              <a:effectLst/>
              <a:latin typeface="+mj-lt"/>
              <a:ea typeface="Verdana" panose="020B0604030504040204" pitchFamily="34" charset="0"/>
              <a:cs typeface="Verdana" panose="020B0604030504040204" pitchFamily="34" charset="0"/>
            </a:rPr>
            <a:t>Powered </a:t>
          </a:r>
          <a:r>
            <a:rPr lang="en-US" sz="900" b="0" cap="none" spc="0" baseline="0">
              <a:ln w="0">
                <a:noFill/>
              </a:ln>
              <a:solidFill>
                <a:schemeClr val="tx2"/>
              </a:solidFill>
              <a:effectLst/>
              <a:latin typeface="+mj-lt"/>
              <a:ea typeface="Verdana" panose="020B0604030504040204" pitchFamily="34" charset="0"/>
              <a:cs typeface="Verdana" panose="020B0604030504040204" pitchFamily="34" charset="0"/>
            </a:rPr>
            <a:t>By - ExcelChamps</a:t>
          </a:r>
          <a:endParaRPr lang="en-US" sz="900" b="0" cap="none" spc="0">
            <a:ln w="0">
              <a:noFill/>
            </a:ln>
            <a:solidFill>
              <a:schemeClr val="tx2"/>
            </a:solidFill>
            <a:effectLst/>
            <a:latin typeface="+mj-lt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66675</xdr:colOff>
      <xdr:row>6</xdr:row>
      <xdr:rowOff>9525</xdr:rowOff>
    </xdr:from>
    <xdr:to>
      <xdr:col>1</xdr:col>
      <xdr:colOff>651891</xdr:colOff>
      <xdr:row>8</xdr:row>
      <xdr:rowOff>0</xdr:rowOff>
    </xdr:to>
    <xdr:sp macro="[0]!EnterStockInSheet" textlink="">
      <xdr:nvSpPr>
        <xdr:cNvPr id="10" name="EnterStockIn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6675" y="1152525"/>
          <a:ext cx="1271016" cy="371475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28576</xdr:colOff>
      <xdr:row>6</xdr:row>
      <xdr:rowOff>9523</xdr:rowOff>
    </xdr:from>
    <xdr:to>
      <xdr:col>3</xdr:col>
      <xdr:colOff>613792</xdr:colOff>
      <xdr:row>8</xdr:row>
      <xdr:rowOff>3427</xdr:rowOff>
    </xdr:to>
    <xdr:sp macro="[0]!EnterStockOutSheet" textlink="">
      <xdr:nvSpPr>
        <xdr:cNvPr id="11" name="EnterStockOut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400176" y="1152523"/>
          <a:ext cx="1271016" cy="374904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0</xdr:colOff>
      <xdr:row>8</xdr:row>
      <xdr:rowOff>171450</xdr:rowOff>
    </xdr:from>
    <xdr:to>
      <xdr:col>3</xdr:col>
      <xdr:colOff>523876</xdr:colOff>
      <xdr:row>10</xdr:row>
      <xdr:rowOff>161925</xdr:rowOff>
    </xdr:to>
    <xdr:sp macro="" textlink="">
      <xdr:nvSpPr>
        <xdr:cNvPr id="12" name="ReportHeading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0" y="1695450"/>
          <a:ext cx="2581276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Data Sheets</a:t>
          </a:r>
        </a:p>
      </xdr:txBody>
    </xdr:sp>
    <xdr:clientData/>
  </xdr:twoCellAnchor>
  <xdr:twoCellAnchor>
    <xdr:from>
      <xdr:col>0</xdr:col>
      <xdr:colOff>66674</xdr:colOff>
      <xdr:row>10</xdr:row>
      <xdr:rowOff>133349</xdr:rowOff>
    </xdr:from>
    <xdr:to>
      <xdr:col>1</xdr:col>
      <xdr:colOff>647699</xdr:colOff>
      <xdr:row>12</xdr:row>
      <xdr:rowOff>136397</xdr:rowOff>
    </xdr:to>
    <xdr:sp macro="[0]!StockInSheet" textlink="">
      <xdr:nvSpPr>
        <xdr:cNvPr id="13" name="StockInSheet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6674" y="2038349"/>
          <a:ext cx="1266825" cy="384048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19050</xdr:colOff>
      <xdr:row>10</xdr:row>
      <xdr:rowOff>133350</xdr:rowOff>
    </xdr:from>
    <xdr:to>
      <xdr:col>3</xdr:col>
      <xdr:colOff>604266</xdr:colOff>
      <xdr:row>12</xdr:row>
      <xdr:rowOff>136398</xdr:rowOff>
    </xdr:to>
    <xdr:sp macro="[0]!StockOutSheet" textlink="">
      <xdr:nvSpPr>
        <xdr:cNvPr id="14" name="StockOutSheet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390650" y="2038350"/>
          <a:ext cx="1271016" cy="384048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 editAs="oneCell">
    <xdr:from>
      <xdr:col>2</xdr:col>
      <xdr:colOff>314325</xdr:colOff>
      <xdr:row>22</xdr:row>
      <xdr:rowOff>123825</xdr:rowOff>
    </xdr:from>
    <xdr:to>
      <xdr:col>2</xdr:col>
      <xdr:colOff>533781</xdr:colOff>
      <xdr:row>23</xdr:row>
      <xdr:rowOff>152781</xdr:rowOff>
    </xdr:to>
    <xdr:pic>
      <xdr:nvPicPr>
        <xdr:cNvPr id="28" name="Facebook" hidden="1">
          <a:hlinkClick xmlns:r="http://schemas.openxmlformats.org/officeDocument/2006/relationships" r:id="rId9" tooltip="Facebook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5" y="4314825"/>
          <a:ext cx="219456" cy="219456"/>
        </a:xfrm>
        <a:prstGeom prst="rect">
          <a:avLst/>
        </a:prstGeom>
      </xdr:spPr>
    </xdr:pic>
    <xdr:clientData/>
  </xdr:twoCellAnchor>
  <xdr:twoCellAnchor editAs="oneCell">
    <xdr:from>
      <xdr:col>2</xdr:col>
      <xdr:colOff>561975</xdr:colOff>
      <xdr:row>22</xdr:row>
      <xdr:rowOff>123825</xdr:rowOff>
    </xdr:from>
    <xdr:to>
      <xdr:col>3</xdr:col>
      <xdr:colOff>95631</xdr:colOff>
      <xdr:row>23</xdr:row>
      <xdr:rowOff>152781</xdr:rowOff>
    </xdr:to>
    <xdr:pic>
      <xdr:nvPicPr>
        <xdr:cNvPr id="16" name="Twitter" hidden="1">
          <a:hlinkClick xmlns:r="http://schemas.openxmlformats.org/officeDocument/2006/relationships" r:id="rId11" tooltip="Twitter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575" y="4314825"/>
          <a:ext cx="219456" cy="219456"/>
        </a:xfrm>
        <a:prstGeom prst="rect">
          <a:avLst/>
        </a:prstGeom>
      </xdr:spPr>
    </xdr:pic>
    <xdr:clientData/>
  </xdr:twoCellAnchor>
  <xdr:twoCellAnchor editAs="oneCell">
    <xdr:from>
      <xdr:col>3</xdr:col>
      <xdr:colOff>121425</xdr:colOff>
      <xdr:row>22</xdr:row>
      <xdr:rowOff>121425</xdr:rowOff>
    </xdr:from>
    <xdr:to>
      <xdr:col>3</xdr:col>
      <xdr:colOff>340881</xdr:colOff>
      <xdr:row>23</xdr:row>
      <xdr:rowOff>150381</xdr:rowOff>
    </xdr:to>
    <xdr:pic>
      <xdr:nvPicPr>
        <xdr:cNvPr id="17" name="Google+" hidden="1">
          <a:hlinkClick xmlns:r="http://schemas.openxmlformats.org/officeDocument/2006/relationships" r:id="rId11" tooltip="Google+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825" y="4312425"/>
          <a:ext cx="219456" cy="219456"/>
        </a:xfrm>
        <a:prstGeom prst="rect">
          <a:avLst/>
        </a:prstGeom>
      </xdr:spPr>
    </xdr:pic>
    <xdr:clientData/>
  </xdr:twoCellAnchor>
  <xdr:twoCellAnchor editAs="oneCell">
    <xdr:from>
      <xdr:col>3</xdr:col>
      <xdr:colOff>385725</xdr:colOff>
      <xdr:row>22</xdr:row>
      <xdr:rowOff>119025</xdr:rowOff>
    </xdr:from>
    <xdr:to>
      <xdr:col>3</xdr:col>
      <xdr:colOff>605181</xdr:colOff>
      <xdr:row>23</xdr:row>
      <xdr:rowOff>147981</xdr:rowOff>
    </xdr:to>
    <xdr:pic>
      <xdr:nvPicPr>
        <xdr:cNvPr id="18" name="Youtube" hidden="1">
          <a:hlinkClick xmlns:r="http://schemas.openxmlformats.org/officeDocument/2006/relationships" r:id="rId14" tooltip="YouTube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3125" y="4310025"/>
          <a:ext cx="219456" cy="219456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22</xdr:row>
      <xdr:rowOff>133350</xdr:rowOff>
    </xdr:from>
    <xdr:to>
      <xdr:col>2</xdr:col>
      <xdr:colOff>286131</xdr:colOff>
      <xdr:row>23</xdr:row>
      <xdr:rowOff>148616</xdr:rowOff>
    </xdr:to>
    <xdr:pic>
      <xdr:nvPicPr>
        <xdr:cNvPr id="19" name="Web" hidden="1">
          <a:hlinkClick xmlns:r="http://schemas.openxmlformats.org/officeDocument/2006/relationships" r:id="rId16" tooltip="Website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8275" y="4324350"/>
          <a:ext cx="219456" cy="205766"/>
        </a:xfrm>
        <a:prstGeom prst="rect">
          <a:avLst/>
        </a:prstGeom>
      </xdr:spPr>
    </xdr:pic>
    <xdr:clientData/>
  </xdr:twoCellAnchor>
  <xdr:twoCellAnchor>
    <xdr:from>
      <xdr:col>0</xdr:col>
      <xdr:colOff>57148</xdr:colOff>
      <xdr:row>3</xdr:row>
      <xdr:rowOff>161924</xdr:rowOff>
    </xdr:from>
    <xdr:to>
      <xdr:col>3</xdr:col>
      <xdr:colOff>609599</xdr:colOff>
      <xdr:row>5</xdr:row>
      <xdr:rowOff>155828</xdr:rowOff>
    </xdr:to>
    <xdr:sp macro="[0]!EnterNewProductSheet" textlink="">
      <xdr:nvSpPr>
        <xdr:cNvPr id="7" name="NewProduct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48" y="733424"/>
          <a:ext cx="2609851" cy="374904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twoCellAnchor>
    <xdr:from>
      <xdr:col>0</xdr:col>
      <xdr:colOff>57150</xdr:colOff>
      <xdr:row>15</xdr:row>
      <xdr:rowOff>142874</xdr:rowOff>
    </xdr:from>
    <xdr:to>
      <xdr:col>3</xdr:col>
      <xdr:colOff>600075</xdr:colOff>
      <xdr:row>17</xdr:row>
      <xdr:rowOff>190499</xdr:rowOff>
    </xdr:to>
    <xdr:sp macro="[0]!StockReport" textlink="">
      <xdr:nvSpPr>
        <xdr:cNvPr id="43" name="StockReport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57150" y="3000374"/>
          <a:ext cx="2600325" cy="428625"/>
        </a:xfrm>
        <a:prstGeom prst="roundRect">
          <a:avLst>
            <a:gd name="adj" fmla="val 50000"/>
          </a:avLst>
        </a:prstGeom>
        <a:solidFill>
          <a:srgbClr val="00B05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0</xdr:col>
      <xdr:colOff>76200</xdr:colOff>
      <xdr:row>12</xdr:row>
      <xdr:rowOff>180974</xdr:rowOff>
    </xdr:from>
    <xdr:to>
      <xdr:col>3</xdr:col>
      <xdr:colOff>600076</xdr:colOff>
      <xdr:row>14</xdr:row>
      <xdr:rowOff>174878</xdr:rowOff>
    </xdr:to>
    <xdr:sp macro="[0]!ProductMasterSheet" textlink="">
      <xdr:nvSpPr>
        <xdr:cNvPr id="29" name="ProductMaster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76200" y="2466974"/>
          <a:ext cx="2581276" cy="374904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Master</a:t>
          </a:r>
        </a:p>
      </xdr:txBody>
    </xdr:sp>
    <xdr:clientData/>
  </xdr:twoCellAnchor>
  <xdr:twoCellAnchor>
    <xdr:from>
      <xdr:col>0</xdr:col>
      <xdr:colOff>0</xdr:colOff>
      <xdr:row>1</xdr:row>
      <xdr:rowOff>180975</xdr:rowOff>
    </xdr:from>
    <xdr:to>
      <xdr:col>3</xdr:col>
      <xdr:colOff>523876</xdr:colOff>
      <xdr:row>3</xdr:row>
      <xdr:rowOff>171450</xdr:rowOff>
    </xdr:to>
    <xdr:sp macro="" textlink="">
      <xdr:nvSpPr>
        <xdr:cNvPr id="30" name="UserformHeading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0" y="371475"/>
          <a:ext cx="2581276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Userforms</a:t>
          </a:r>
        </a:p>
      </xdr:txBody>
    </xdr:sp>
    <xdr:clientData/>
  </xdr:twoCellAnchor>
  <xdr:twoCellAnchor>
    <xdr:from>
      <xdr:col>0</xdr:col>
      <xdr:colOff>9525</xdr:colOff>
      <xdr:row>0</xdr:row>
      <xdr:rowOff>19050</xdr:rowOff>
    </xdr:from>
    <xdr:to>
      <xdr:col>19</xdr:col>
      <xdr:colOff>0</xdr:colOff>
      <xdr:row>24</xdr:row>
      <xdr:rowOff>0</xdr:rowOff>
    </xdr:to>
    <xdr:sp macro="" textlink="">
      <xdr:nvSpPr>
        <xdr:cNvPr id="3" name="WelcomeMat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525" y="19050"/>
          <a:ext cx="12477750" cy="455295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Welcome To Inventory</a:t>
          </a:r>
          <a:r>
            <a:rPr lang="en-US" sz="2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Management Template</a:t>
          </a:r>
        </a:p>
        <a:p>
          <a:pPr algn="ctr"/>
          <a:endParaRPr lang="en-US" sz="10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en-US" sz="11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Powered By</a:t>
          </a: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en-US" sz="28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ExcelChamps.com</a:t>
          </a:r>
        </a:p>
        <a:p>
          <a:pPr algn="ctr"/>
          <a:r>
            <a:rPr lang="en-US" sz="900" i="1" u="none" baseline="0">
              <a:solidFill>
                <a:schemeClr val="tx1">
                  <a:lumMod val="50000"/>
                  <a:lumOff val="50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Most Amazing Excel Tips On Internet</a:t>
          </a:r>
          <a:endParaRPr lang="en-US" sz="1100" i="1" u="none" baseline="0">
            <a:solidFill>
              <a:schemeClr val="tx1">
                <a:lumMod val="50000"/>
                <a:lumOff val="50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en-US" sz="11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Press Below Buttons To Share This Template With Your Best Buddies</a:t>
          </a: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en-US" sz="1100" b="0" i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Press Continue To Go Ahead</a:t>
          </a: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7</xdr:col>
      <xdr:colOff>333375</xdr:colOff>
      <xdr:row>18</xdr:row>
      <xdr:rowOff>152399</xdr:rowOff>
    </xdr:from>
    <xdr:to>
      <xdr:col>10</xdr:col>
      <xdr:colOff>523875</xdr:colOff>
      <xdr:row>22</xdr:row>
      <xdr:rowOff>9524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5133975" y="3581399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361950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twoCellAnchor editAs="oneCell">
    <xdr:from>
      <xdr:col>7</xdr:col>
      <xdr:colOff>400050</xdr:colOff>
      <xdr:row>14</xdr:row>
      <xdr:rowOff>19050</xdr:rowOff>
    </xdr:from>
    <xdr:to>
      <xdr:col>8</xdr:col>
      <xdr:colOff>80010</xdr:colOff>
      <xdr:row>16</xdr:row>
      <xdr:rowOff>3810</xdr:rowOff>
    </xdr:to>
    <xdr:pic>
      <xdr:nvPicPr>
        <xdr:cNvPr id="54" name="ShareOnTwitter" hidden="1">
          <a:hlinkClick xmlns:r="http://schemas.openxmlformats.org/officeDocument/2006/relationships" r:id="rId19" tooltip="ShareOnTwitter"/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00650" y="2686050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14</xdr:row>
      <xdr:rowOff>9525</xdr:rowOff>
    </xdr:from>
    <xdr:to>
      <xdr:col>11</xdr:col>
      <xdr:colOff>441960</xdr:colOff>
      <xdr:row>15</xdr:row>
      <xdr:rowOff>184785</xdr:rowOff>
    </xdr:to>
    <xdr:pic>
      <xdr:nvPicPr>
        <xdr:cNvPr id="55" name="MailYourBuddies" hidden="1">
          <a:hlinkClick xmlns:r="http://schemas.openxmlformats.org/officeDocument/2006/relationships" r:id="rId21" tooltip="Mail Your Buddies"/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2676525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9</xdr:col>
      <xdr:colOff>266700</xdr:colOff>
      <xdr:row>14</xdr:row>
      <xdr:rowOff>9525</xdr:rowOff>
    </xdr:from>
    <xdr:to>
      <xdr:col>9</xdr:col>
      <xdr:colOff>632460</xdr:colOff>
      <xdr:row>15</xdr:row>
      <xdr:rowOff>184785</xdr:rowOff>
    </xdr:to>
    <xdr:pic>
      <xdr:nvPicPr>
        <xdr:cNvPr id="56" name="ShareOnLinkedIn" hidden="1">
          <a:hlinkClick xmlns:r="http://schemas.openxmlformats.org/officeDocument/2006/relationships" r:id="rId23" tooltip="Share On LinkedIn"/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2676525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8</xdr:col>
      <xdr:colOff>352425</xdr:colOff>
      <xdr:row>14</xdr:row>
      <xdr:rowOff>9525</xdr:rowOff>
    </xdr:from>
    <xdr:to>
      <xdr:col>9</xdr:col>
      <xdr:colOff>32385</xdr:colOff>
      <xdr:row>15</xdr:row>
      <xdr:rowOff>184785</xdr:rowOff>
    </xdr:to>
    <xdr:pic>
      <xdr:nvPicPr>
        <xdr:cNvPr id="58" name="ShareOnPinterest" hidden="1">
          <a:hlinkClick xmlns:r="http://schemas.openxmlformats.org/officeDocument/2006/relationships" r:id="rId25" tooltip="Share On Pinterest"/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38825" y="2676525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10</xdr:col>
      <xdr:colOff>171450</xdr:colOff>
      <xdr:row>14</xdr:row>
      <xdr:rowOff>9525</xdr:rowOff>
    </xdr:from>
    <xdr:to>
      <xdr:col>10</xdr:col>
      <xdr:colOff>537210</xdr:colOff>
      <xdr:row>15</xdr:row>
      <xdr:rowOff>184785</xdr:rowOff>
    </xdr:to>
    <xdr:pic>
      <xdr:nvPicPr>
        <xdr:cNvPr id="57" name="ShareOnGoogle+" hidden="1">
          <a:hlinkClick xmlns:r="http://schemas.openxmlformats.org/officeDocument/2006/relationships" r:id="rId27" tooltip="Share On Google+"/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676525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6</xdr:col>
      <xdr:colOff>457200</xdr:colOff>
      <xdr:row>14</xdr:row>
      <xdr:rowOff>28575</xdr:rowOff>
    </xdr:from>
    <xdr:to>
      <xdr:col>7</xdr:col>
      <xdr:colOff>137160</xdr:colOff>
      <xdr:row>16</xdr:row>
      <xdr:rowOff>13335</xdr:rowOff>
    </xdr:to>
    <xdr:pic>
      <xdr:nvPicPr>
        <xdr:cNvPr id="59" name="ShareOnFacebook" hidden="1">
          <a:hlinkClick xmlns:r="http://schemas.openxmlformats.org/officeDocument/2006/relationships" r:id="rId29" tooltip="ShareOnFacebook"/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0" y="2695575"/>
          <a:ext cx="365760" cy="36576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20</xdr:row>
      <xdr:rowOff>95250</xdr:rowOff>
    </xdr:from>
    <xdr:to>
      <xdr:col>3</xdr:col>
      <xdr:colOff>533400</xdr:colOff>
      <xdr:row>22</xdr:row>
      <xdr:rowOff>9525</xdr:rowOff>
    </xdr:to>
    <xdr:sp macro="" textlink="">
      <xdr:nvSpPr>
        <xdr:cNvPr id="61" name="WantMore" hidden="1">
          <a:hlinkClick xmlns:r="http://schemas.openxmlformats.org/officeDocument/2006/relationships" r:id="rId4" tooltip="More Features"/>
          <a:extLst>
            <a:ext uri="{FF2B5EF4-FFF2-40B4-BE49-F238E27FC236}">
              <a16:creationId xmlns:a16="http://schemas.microsoft.com/office/drawing/2014/main" id="{1879A4EE-32D4-4759-B541-095C667C93A8}"/>
            </a:ext>
          </a:extLst>
        </xdr:cNvPr>
        <xdr:cNvSpPr/>
      </xdr:nvSpPr>
      <xdr:spPr>
        <a:xfrm>
          <a:off x="95250" y="3905250"/>
          <a:ext cx="2495550" cy="295275"/>
        </a:xfrm>
        <a:prstGeom prst="roundRect">
          <a:avLst>
            <a:gd name="adj" fmla="val 17742"/>
          </a:avLst>
        </a:prstGeom>
        <a:gradFill>
          <a:gsLst>
            <a:gs pos="0">
              <a:schemeClr val="bg1"/>
            </a:gs>
            <a:gs pos="53000">
              <a:schemeClr val="bg1">
                <a:lumMod val="95000"/>
              </a:schemeClr>
            </a:gs>
            <a:gs pos="100000">
              <a:schemeClr val="bg1">
                <a:lumMod val="91000"/>
              </a:schemeClr>
            </a:gs>
          </a:gsLst>
          <a:lin ang="5400000" scaled="1"/>
        </a:gradFill>
        <a:ln>
          <a:solidFill>
            <a:schemeClr val="tx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2"/>
              </a:solidFill>
            </a:rPr>
            <a:t>Want More Features?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57150</xdr:rowOff>
    </xdr:from>
    <xdr:to>
      <xdr:col>9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9525</xdr:rowOff>
    </xdr:from>
    <xdr:to>
      <xdr:col>9</xdr:col>
      <xdr:colOff>257175</xdr:colOff>
      <xdr:row>2</xdr:row>
      <xdr:rowOff>142875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91875" y="1619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1</xdr:row>
      <xdr:rowOff>28575</xdr:rowOff>
    </xdr:from>
    <xdr:to>
      <xdr:col>10</xdr:col>
      <xdr:colOff>238125</xdr:colOff>
      <xdr:row>2</xdr:row>
      <xdr:rowOff>161925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334750" y="18097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clgulf" refreshedDate="43787.661997800926" createdVersion="5" refreshedVersion="6" minRefreshableVersion="3" recordCount="10" xr:uid="{00000000-000A-0000-FFFF-FFFF18000000}">
  <cacheSource type="worksheet">
    <worksheetSource name="ProductMaster"/>
  </cacheSource>
  <cacheFields count="9">
    <cacheField name="S No." numFmtId="0">
      <sharedItems containsSemiMixedTypes="0" containsString="0" containsNumber="1" containsInteger="1" minValue="1" maxValue="10"/>
    </cacheField>
    <cacheField name="Product ID" numFmtId="0">
      <sharedItems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ntainsBlank="1" count="5">
        <s v="Home Appliances"/>
        <s v="Mobile Phone"/>
        <s v="Tablet"/>
        <s v="Laptop"/>
        <m u="1"/>
      </sharedItems>
    </cacheField>
    <cacheField name="Unit Price" numFmtId="42">
      <sharedItems containsSemiMixedTypes="0" containsString="0" containsNumber="1" minValue="169" maxValue="5599"/>
    </cacheField>
    <cacheField name="Reorder Level" numFmtId="0">
      <sharedItems containsSemiMixedTypes="0" containsString="0" containsNumber="1" containsInteger="1" minValue="5" maxValue="120"/>
    </cacheField>
    <cacheField name="Current Stock" numFmtId="0">
      <sharedItems containsSemiMixedTypes="0" containsString="0" containsNumber="1" containsInteger="1" minValue="5" maxValue="180"/>
    </cacheField>
    <cacheField name="Value" numFmtId="42">
      <sharedItems containsSemiMixedTypes="0" containsString="0" containsNumber="1" minValue="2535" maxValue="2519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n v="1"/>
    <s v="P000024"/>
    <s v="Add Wash"/>
    <s v="Washing Machine"/>
    <x v="0"/>
    <n v="350"/>
    <n v="20"/>
    <n v="65"/>
    <n v="22750"/>
  </r>
  <r>
    <n v="2"/>
    <s v="P000036"/>
    <s v="4 Door Flex"/>
    <s v="Refrigerator"/>
    <x v="0"/>
    <n v="5599"/>
    <n v="15"/>
    <n v="45"/>
    <n v="251955"/>
  </r>
  <r>
    <n v="3"/>
    <s v="P000042"/>
    <s v="Chef Collection"/>
    <s v="Dishwasher"/>
    <x v="0"/>
    <n v="1099"/>
    <n v="10"/>
    <n v="40"/>
    <n v="43960"/>
  </r>
  <r>
    <n v="4"/>
    <s v="P000010"/>
    <s v="Grill"/>
    <s v="Microwave"/>
    <x v="0"/>
    <n v="169"/>
    <n v="8"/>
    <n v="15"/>
    <n v="2535"/>
  </r>
  <r>
    <n v="5"/>
    <s v="P000020"/>
    <s v="Power Bot"/>
    <s v="Vaccum Cleaner"/>
    <x v="0"/>
    <n v="999.99"/>
    <n v="5"/>
    <n v="5"/>
    <n v="4999.95"/>
  </r>
  <r>
    <n v="6"/>
    <s v="P000018"/>
    <s v="Galaxy S7"/>
    <s v="Smart Phone"/>
    <x v="1"/>
    <n v="849.99"/>
    <n v="120"/>
    <n v="180"/>
    <n v="152998.20000000001"/>
  </r>
  <r>
    <n v="7"/>
    <s v="P000006"/>
    <s v="Galaxy Note 7"/>
    <s v="Smart Phone"/>
    <x v="1"/>
    <n v="699.99"/>
    <n v="80"/>
    <n v="150"/>
    <n v="104998.5"/>
  </r>
  <r>
    <n v="8"/>
    <s v="P000015"/>
    <s v="Galaxy Tab A"/>
    <s v="Smart Phone"/>
    <x v="2"/>
    <n v="279.89999999999998"/>
    <n v="60"/>
    <n v="70"/>
    <n v="19593"/>
  </r>
  <r>
    <n v="9"/>
    <s v="P000017"/>
    <s v="Galaxy Tab S2"/>
    <s v="Smart Phone"/>
    <x v="2"/>
    <n v="399.99"/>
    <n v="15"/>
    <n v="30"/>
    <n v="11999.7"/>
  </r>
  <r>
    <n v="10"/>
    <s v="P000022"/>
    <s v="Notebook 9"/>
    <s v="Laptop"/>
    <x v="3"/>
    <n v="1199.99"/>
    <n v="30"/>
    <n v="30"/>
    <n v="35999.6999999999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129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6" firstHeaderRow="1" firstDataRow="1" firstDataCol="1"/>
  <pivotFields count="9">
    <pivotField showAll="0"/>
    <pivotField showAll="0"/>
    <pivotField showAll="0"/>
    <pivotField showAll="0"/>
    <pivotField axis="axisRow" showAll="0">
      <items count="6">
        <item x="0"/>
        <item m="1" x="4"/>
        <item x="1"/>
        <item x="2"/>
        <item x="3"/>
        <item t="default"/>
      </items>
    </pivotField>
    <pivotField showAll="0"/>
    <pivotField showAll="0"/>
    <pivotField dataField="1" showAll="0"/>
    <pivotField showAll="0"/>
  </pivotFields>
  <rowFields count="1">
    <field x="4"/>
  </rowFields>
  <rowItems count="5">
    <i>
      <x/>
    </i>
    <i>
      <x v="2"/>
    </i>
    <i>
      <x v="3"/>
    </i>
    <i>
      <x v="4"/>
    </i>
    <i t="grand">
      <x/>
    </i>
  </rowItems>
  <colItems count="1">
    <i/>
  </colItems>
  <dataFields count="1">
    <dataField name="Sum of Current Stock" fld="7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StockInData" displayName="StockInData" ref="A1:H22" totalsRowShown="0" headerRowDxfId="30" dataDxfId="29">
  <tableColumns count="8">
    <tableColumn id="1" xr3:uid="{00000000-0010-0000-0000-000001000000}" name="S No." dataDxfId="28"/>
    <tableColumn id="2" xr3:uid="{00000000-0010-0000-0000-000002000000}" name="Date" dataDxfId="27"/>
    <tableColumn id="3" xr3:uid="{00000000-0010-0000-0000-000003000000}" name="Product ID" dataDxfId="26"/>
    <tableColumn id="4" xr3:uid="{00000000-0010-0000-0000-000004000000}" name="Product Name" dataDxfId="25"/>
    <tableColumn id="5" xr3:uid="{00000000-0010-0000-0000-000005000000}" name="Product Description" dataDxfId="24"/>
    <tableColumn id="6" xr3:uid="{00000000-0010-0000-0000-000006000000}" name="Product Category" dataDxfId="23"/>
    <tableColumn id="7" xr3:uid="{00000000-0010-0000-0000-000007000000}" name="Quantity" dataDxfId="22"/>
    <tableColumn id="8" xr3:uid="{00000000-0010-0000-0000-000008000000}" name="Value" dataDxfId="21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StockOutData" displayName="StockOutData" ref="A1:H7" totalsRowShown="0" headerRowDxfId="20" dataDxfId="19">
  <tableColumns count="8">
    <tableColumn id="1" xr3:uid="{00000000-0010-0000-0100-000001000000}" name="S No." dataDxfId="18"/>
    <tableColumn id="2" xr3:uid="{00000000-0010-0000-0100-000002000000}" name="Date" dataDxfId="17"/>
    <tableColumn id="3" xr3:uid="{00000000-0010-0000-0100-000003000000}" name="Product ID" dataDxfId="16"/>
    <tableColumn id="4" xr3:uid="{00000000-0010-0000-0100-000004000000}" name="Product Name" dataDxfId="15"/>
    <tableColumn id="5" xr3:uid="{00000000-0010-0000-0100-000005000000}" name="Product Description" dataDxfId="14"/>
    <tableColumn id="6" xr3:uid="{00000000-0010-0000-0100-000006000000}" name="Product Category" dataDxfId="13"/>
    <tableColumn id="7" xr3:uid="{00000000-0010-0000-0100-000007000000}" name="Quantity" dataDxfId="12"/>
    <tableColumn id="8" xr3:uid="{00000000-0010-0000-0100-000008000000}" name="Value" dataDxfId="11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ProductMaster" displayName="ProductMaster" ref="A1:I11" totalsRowShown="0" headerRowDxfId="10" dataDxfId="9">
  <tableColumns count="9">
    <tableColumn id="1" xr3:uid="{00000000-0010-0000-0200-000001000000}" name="S No." dataDxfId="8"/>
    <tableColumn id="2" xr3:uid="{00000000-0010-0000-0200-000002000000}" name="Product ID" dataDxfId="7"/>
    <tableColumn id="3" xr3:uid="{00000000-0010-0000-0200-000003000000}" name="Product Name" dataDxfId="6"/>
    <tableColumn id="4" xr3:uid="{00000000-0010-0000-0200-000004000000}" name="Product Description" dataDxfId="5"/>
    <tableColumn id="5" xr3:uid="{00000000-0010-0000-0200-000005000000}" name="Product Category" dataDxfId="4"/>
    <tableColumn id="8" xr3:uid="{00000000-0010-0000-0200-000008000000}" name="Unit Price" dataDxfId="3"/>
    <tableColumn id="6" xr3:uid="{00000000-0010-0000-0200-000006000000}" name="Reorder Level" dataDxfId="2"/>
    <tableColumn id="7" xr3:uid="{00000000-0010-0000-0200-000007000000}" name="Current Stock" dataDxfId="1">
      <calculatedColumnFormula>SUMIFS(StockInData[Quantity],StockInData[Product ID],ProductMaster[[#This Row],[Product ID]])-SUMIFS(StockOutData[Quantity],StockOutData[Product ID],ProductMaster[[#This Row],[Product ID]])</calculatedColumnFormula>
    </tableColumn>
    <tableColumn id="9" xr3:uid="{00000000-0010-0000-0200-000009000000}" name="Value" dataDxfId="0">
      <calculatedColumnFormula>SUMIFS(StockInData[Value],StockInData[Product ID],ProductMaster[[#This Row],[Product ID]])-SUMIFS(StockOutData[Value],StockOutData[Product ID],ProductMaster[[#This Row],[Product ID]])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4"/>
  <sheetViews>
    <sheetView showGridLines="0" showRowColHeaders="0" tabSelected="1" zoomScaleNormal="100" workbookViewId="0"/>
  </sheetViews>
  <sheetFormatPr defaultColWidth="0" defaultRowHeight="15" zeroHeight="1" x14ac:dyDescent="0.25"/>
  <cols>
    <col min="1" max="18" width="9" customWidth="1"/>
    <col min="19" max="19" width="1.875" customWidth="1"/>
    <col min="20" max="16384" width="9" hidden="1"/>
  </cols>
  <sheetData>
    <row r="1" spans="1:19" x14ac:dyDescent="0.25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</row>
    <row r="2" spans="1:19" x14ac:dyDescent="0.2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</row>
    <row r="3" spans="1:19" x14ac:dyDescent="0.25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</row>
    <row r="4" spans="1:19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</row>
    <row r="5" spans="1:19" x14ac:dyDescent="0.2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</row>
    <row r="6" spans="1:19" x14ac:dyDescent="0.25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</row>
    <row r="7" spans="1:19" x14ac:dyDescent="0.25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</row>
    <row r="8" spans="1:19" x14ac:dyDescent="0.25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</row>
    <row r="9" spans="1:19" x14ac:dyDescent="0.25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</row>
    <row r="10" spans="1:19" x14ac:dyDescent="0.25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1:19" x14ac:dyDescent="0.25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1:19" x14ac:dyDescent="0.2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56" t="s">
        <v>46</v>
      </c>
      <c r="L12" s="56"/>
      <c r="M12" s="27"/>
      <c r="N12" s="27"/>
      <c r="O12" s="27"/>
      <c r="P12" s="27"/>
      <c r="Q12" s="27"/>
      <c r="R12" s="27"/>
      <c r="S12" s="27"/>
    </row>
    <row r="13" spans="1:19" x14ac:dyDescent="0.25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1:19" x14ac:dyDescent="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1:19" x14ac:dyDescent="0.2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1:19" x14ac:dyDescent="0.25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1:19" x14ac:dyDescent="0.25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1:19" x14ac:dyDescent="0.2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1:19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1:19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1:19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1:19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1:19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1:19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</row>
  </sheetData>
  <mergeCells count="1">
    <mergeCell ref="K12:L12"/>
  </mergeCells>
  <dataValidations count="1">
    <dataValidation type="list" allowBlank="1" showInputMessage="1" showErrorMessage="1" sqref="K12:L12" xr:uid="{00000000-0002-0000-0000-000000000000}">
      <formula1>INDIRECT("ProductMaster[Product Name]")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G47"/>
  <sheetViews>
    <sheetView workbookViewId="0">
      <selection activeCell="A11" sqref="A11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3.875" bestFit="1" customWidth="1"/>
    <col min="7" max="7" width="19.75" bestFit="1" customWidth="1"/>
    <col min="9" max="9" width="12.625" customWidth="1"/>
    <col min="10" max="10" width="13.625" customWidth="1"/>
    <col min="11" max="11" width="14" bestFit="1" customWidth="1"/>
    <col min="14" max="18" width="18.625" customWidth="1"/>
  </cols>
  <sheetData>
    <row r="1" spans="1:7" x14ac:dyDescent="0.25">
      <c r="A1" t="s">
        <v>12</v>
      </c>
      <c r="B1" s="1" t="str">
        <f>SUM(ProductMaster[Current Stock])&amp; " Unit(s)"</f>
        <v>630 Unit(s)</v>
      </c>
      <c r="D1" s="14"/>
      <c r="E1" s="14"/>
      <c r="F1" s="15" t="s">
        <v>31</v>
      </c>
      <c r="G1" t="s">
        <v>37</v>
      </c>
    </row>
    <row r="2" spans="1:7" x14ac:dyDescent="0.25">
      <c r="A2" t="s">
        <v>26</v>
      </c>
      <c r="B2" s="13">
        <f>SUM(ProductMaster[Value])</f>
        <v>651789.04999999993</v>
      </c>
      <c r="F2" s="16" t="s">
        <v>10</v>
      </c>
      <c r="G2" s="17">
        <v>170</v>
      </c>
    </row>
    <row r="3" spans="1:7" x14ac:dyDescent="0.25">
      <c r="A3" t="s">
        <v>27</v>
      </c>
      <c r="B3" s="14">
        <f ca="1">DATE(YEAR(TODAY()),MONTH(TODAY()),1)-1</f>
        <v>43769</v>
      </c>
      <c r="F3" s="16" t="s">
        <v>33</v>
      </c>
      <c r="G3" s="17">
        <v>330</v>
      </c>
    </row>
    <row r="4" spans="1:7" x14ac:dyDescent="0.25">
      <c r="A4" t="s">
        <v>28</v>
      </c>
      <c r="B4" s="14">
        <f ca="1">EOMONTH(TODAY(),0)+1</f>
        <v>43800</v>
      </c>
      <c r="F4" s="16" t="s">
        <v>35</v>
      </c>
      <c r="G4" s="17">
        <v>100</v>
      </c>
    </row>
    <row r="5" spans="1:7" x14ac:dyDescent="0.25">
      <c r="A5" t="s">
        <v>29</v>
      </c>
      <c r="B5" s="1" t="str">
        <f ca="1">SUMIFS(StockInData[Quantity],StockInData[Date],"&gt;"&amp;Help!B3,StockInData[Date],"&lt;"&amp;Help!B4)&amp;" Unit(s)"</f>
        <v>5 Unit(s)</v>
      </c>
      <c r="F5" s="16" t="s">
        <v>36</v>
      </c>
      <c r="G5" s="17">
        <v>30</v>
      </c>
    </row>
    <row r="6" spans="1:7" x14ac:dyDescent="0.25">
      <c r="A6" t="s">
        <v>30</v>
      </c>
      <c r="B6" s="1" t="str">
        <f ca="1">SUMIFS(StockOutData[Quantity],StockOutData[Date],"&gt;"&amp;Help!B3,StockOutData[Date],"&lt;"&amp;Help!B4)&amp;" Unit(s)"</f>
        <v>0 Unit(s)</v>
      </c>
      <c r="F6" s="16" t="s">
        <v>32</v>
      </c>
      <c r="G6" s="17">
        <v>630</v>
      </c>
    </row>
    <row r="7" spans="1:7" x14ac:dyDescent="0.25">
      <c r="A7" t="s">
        <v>52</v>
      </c>
      <c r="B7" s="21">
        <f>MATCH(Dashboard!K12,ProductMaster[Product Name],0)</f>
        <v>3</v>
      </c>
    </row>
    <row r="8" spans="1:7" x14ac:dyDescent="0.25">
      <c r="A8" t="s">
        <v>3</v>
      </c>
      <c r="B8" s="21" t="str">
        <f>VLOOKUP(B7,ProductMaster[#All],3,0)</f>
        <v>Chef Collection</v>
      </c>
    </row>
    <row r="9" spans="1:7" x14ac:dyDescent="0.25">
      <c r="A9" t="s">
        <v>11</v>
      </c>
      <c r="B9">
        <f>VLOOKUP(B7,ProductMaster[#All],7,0)</f>
        <v>10</v>
      </c>
    </row>
    <row r="10" spans="1:7" x14ac:dyDescent="0.25">
      <c r="A10" t="s">
        <v>55</v>
      </c>
      <c r="B10">
        <f>VLOOKUP(B7,ProductMaster[#All],8,0)</f>
        <v>40</v>
      </c>
    </row>
    <row r="11" spans="1:7" x14ac:dyDescent="0.25">
      <c r="A11" t="s">
        <v>26</v>
      </c>
      <c r="B11" s="13">
        <f>VLOOKUP(B7,ProductMaster[#All],6,0)</f>
        <v>1099</v>
      </c>
    </row>
    <row r="12" spans="1:7" x14ac:dyDescent="0.25">
      <c r="A12" t="s">
        <v>53</v>
      </c>
      <c r="B12" t="str">
        <f>"Current Stock is "&amp;B10&amp;" Unit(s). And, Stock Value is "&amp;TEXT(B11,"$0")</f>
        <v>Current Stock is 40 Unit(s). And, Stock Value is $1099</v>
      </c>
    </row>
    <row r="13" spans="1:7" x14ac:dyDescent="0.25">
      <c r="A13" t="s">
        <v>54</v>
      </c>
      <c r="B13" t="str">
        <f>B8&amp;"'s"</f>
        <v>Chef Collection's</v>
      </c>
    </row>
    <row r="15" spans="1:7" x14ac:dyDescent="0.25">
      <c r="A15" t="str">
        <f>IF(B10&gt;B9,"Relax! Stock Is Above Re-Order Level.","")</f>
        <v>Relax! Stock Is Above Re-Order Level.</v>
      </c>
    </row>
    <row r="16" spans="1:7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13"/>
  <sheetViews>
    <sheetView showGridLines="0" workbookViewId="0">
      <selection activeCell="B5" sqref="B5:B12"/>
    </sheetView>
  </sheetViews>
  <sheetFormatPr defaultColWidth="0" defaultRowHeight="15" zeroHeight="1" x14ac:dyDescent="0.25"/>
  <cols>
    <col min="1" max="1" width="28.5" bestFit="1" customWidth="1"/>
    <col min="2" max="2" width="31.5" style="9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31"/>
      <c r="B1" s="32"/>
      <c r="C1" s="31"/>
    </row>
    <row r="2" spans="1:3" x14ac:dyDescent="0.25">
      <c r="A2" s="31"/>
      <c r="B2" s="32"/>
      <c r="C2" s="31"/>
    </row>
    <row r="3" spans="1:3" ht="15.75" thickBot="1" x14ac:dyDescent="0.3">
      <c r="A3" s="33"/>
      <c r="B3" s="34"/>
      <c r="C3" s="33"/>
    </row>
    <row r="4" spans="1:3" x14ac:dyDescent="0.25">
      <c r="A4" s="27"/>
      <c r="B4" s="28"/>
      <c r="C4" s="27"/>
    </row>
    <row r="5" spans="1:3" s="40" customFormat="1" ht="27.75" customHeight="1" x14ac:dyDescent="0.2">
      <c r="A5" s="41" t="s">
        <v>0</v>
      </c>
      <c r="B5" s="42" t="str">
        <f>IF(B8="","",(MAX(StockInData[S No.])+1))</f>
        <v/>
      </c>
      <c r="C5" s="39"/>
    </row>
    <row r="6" spans="1:3" s="40" customFormat="1" ht="27.75" customHeight="1" x14ac:dyDescent="0.2">
      <c r="A6" s="41" t="s">
        <v>1</v>
      </c>
      <c r="B6" s="43" t="str">
        <f ca="1">IF(B8="","",TODAY())</f>
        <v/>
      </c>
      <c r="C6" s="39"/>
    </row>
    <row r="7" spans="1:3" s="40" customFormat="1" ht="27.75" customHeight="1" x14ac:dyDescent="0.2">
      <c r="A7" s="41" t="s">
        <v>2</v>
      </c>
      <c r="B7" s="44" t="str">
        <f>IFERROR(INDEX(ProductMaster[Product ID],MATCH(EnterStockIn!B8,ProductMaster[Product Name],0),0),"")</f>
        <v/>
      </c>
      <c r="C7" s="39"/>
    </row>
    <row r="8" spans="1:3" s="40" customFormat="1" ht="27.75" customHeight="1" x14ac:dyDescent="0.2">
      <c r="A8" s="41" t="s">
        <v>3</v>
      </c>
      <c r="B8" s="35"/>
      <c r="C8" s="39"/>
    </row>
    <row r="9" spans="1:3" s="40" customFormat="1" ht="27.75" customHeight="1" x14ac:dyDescent="0.2">
      <c r="A9" s="41" t="s">
        <v>4</v>
      </c>
      <c r="B9" s="44" t="str">
        <f>IFERROR(INDEX(ProductMaster[Product Description],MATCH(EnterStockIn!B8,ProductMaster[Product Name],0),0),"")</f>
        <v/>
      </c>
      <c r="C9" s="39"/>
    </row>
    <row r="10" spans="1:3" s="40" customFormat="1" ht="27.75" customHeight="1" x14ac:dyDescent="0.2">
      <c r="A10" s="41" t="s">
        <v>5</v>
      </c>
      <c r="B10" s="44" t="str">
        <f>IFERROR(INDEX(ProductMaster[Product Category],MATCH(EnterStockIn!B8,ProductMaster[Product Name],0),0),"")</f>
        <v/>
      </c>
      <c r="C10" s="39"/>
    </row>
    <row r="11" spans="1:3" s="40" customFormat="1" ht="27.75" customHeight="1" x14ac:dyDescent="0.2">
      <c r="A11" s="41" t="s">
        <v>6</v>
      </c>
      <c r="B11" s="35"/>
      <c r="C11" s="39"/>
    </row>
    <row r="12" spans="1:3" s="40" customFormat="1" ht="27.75" customHeight="1" thickBot="1" x14ac:dyDescent="0.25">
      <c r="A12" s="45" t="s">
        <v>7</v>
      </c>
      <c r="B12" s="46" t="str">
        <f>IF(B11="","",(IFERROR(INDEX(ProductMaster[Unit Price],MATCH(EnterStockIn!B8,ProductMaster[Product Name],0),0),0)*B11))</f>
        <v/>
      </c>
      <c r="C12" s="39"/>
    </row>
    <row r="13" spans="1:3" ht="15.75" thickTop="1" x14ac:dyDescent="0.25">
      <c r="A13" s="27"/>
      <c r="B13" s="28"/>
      <c r="C13" s="27"/>
    </row>
  </sheetData>
  <sheetProtection sheet="1" objects="1" scenarios="1"/>
  <dataValidations xWindow="554" yWindow="394" count="2">
    <dataValidation type="list" allowBlank="1" showInputMessage="1" showErrorMessage="1" promptTitle="Select Product" prompt="Select Product Name From Drop Down. Rest Data Will Be Added Automatically" sqref="B8" xr:uid="{00000000-0002-0000-0200-000000000000}">
      <formula1>INDIRECT("ProductMaster[Product Name]")</formula1>
    </dataValidation>
    <dataValidation allowBlank="1" showInputMessage="1" showErrorMessage="1" promptTitle="Enter Quantity" prompt="Enter Stock Unit._x000a_" sqref="B11" xr:uid="{00000000-0002-0000-0200-000001000000}"/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13"/>
  <sheetViews>
    <sheetView showGridLines="0" workbookViewId="0">
      <selection activeCell="B5" sqref="B5"/>
    </sheetView>
  </sheetViews>
  <sheetFormatPr defaultColWidth="0" defaultRowHeight="15" customHeight="1" zeroHeight="1" x14ac:dyDescent="0.25"/>
  <cols>
    <col min="1" max="1" width="28.5" bestFit="1" customWidth="1"/>
    <col min="2" max="2" width="31.5" style="9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31"/>
      <c r="B1" s="32"/>
      <c r="C1" s="31"/>
    </row>
    <row r="2" spans="1:3" x14ac:dyDescent="0.25">
      <c r="A2" s="31"/>
      <c r="B2" s="32"/>
      <c r="C2" s="31"/>
    </row>
    <row r="3" spans="1:3" ht="15.75" thickBot="1" x14ac:dyDescent="0.3">
      <c r="A3" s="33"/>
      <c r="B3" s="34"/>
      <c r="C3" s="33"/>
    </row>
    <row r="4" spans="1:3" x14ac:dyDescent="0.25">
      <c r="A4" s="27"/>
      <c r="B4" s="28"/>
      <c r="C4" s="27"/>
    </row>
    <row r="5" spans="1:3" ht="27" customHeight="1" x14ac:dyDescent="0.25">
      <c r="A5" s="41" t="s">
        <v>0</v>
      </c>
      <c r="B5" s="42" t="str">
        <f>IF(B8="","",(MAX(StockOutData[S No.])+1))</f>
        <v/>
      </c>
      <c r="C5" s="27"/>
    </row>
    <row r="6" spans="1:3" ht="27" customHeight="1" x14ac:dyDescent="0.25">
      <c r="A6" s="41" t="s">
        <v>1</v>
      </c>
      <c r="B6" s="43" t="str">
        <f ca="1">IF(B8="","",TODAY())</f>
        <v/>
      </c>
      <c r="C6" s="27"/>
    </row>
    <row r="7" spans="1:3" ht="27" customHeight="1" x14ac:dyDescent="0.25">
      <c r="A7" s="41" t="s">
        <v>2</v>
      </c>
      <c r="B7" s="44" t="str">
        <f>IFERROR(INDEX(ProductMaster[Product ID],MATCH(EnterStockOut!B8,ProductMaster[Product Name],0),0),"")</f>
        <v/>
      </c>
      <c r="C7" s="27"/>
    </row>
    <row r="8" spans="1:3" ht="27" customHeight="1" x14ac:dyDescent="0.25">
      <c r="A8" s="41" t="s">
        <v>3</v>
      </c>
      <c r="B8" s="35"/>
      <c r="C8" s="27"/>
    </row>
    <row r="9" spans="1:3" ht="27" customHeight="1" x14ac:dyDescent="0.25">
      <c r="A9" s="41" t="s">
        <v>4</v>
      </c>
      <c r="B9" s="44" t="str">
        <f>IFERROR(INDEX(ProductMaster[Product Description],MATCH(EnterStockOut!B8,ProductMaster[Product Name],0),0),"")</f>
        <v/>
      </c>
      <c r="C9" s="27"/>
    </row>
    <row r="10" spans="1:3" ht="27" customHeight="1" x14ac:dyDescent="0.25">
      <c r="A10" s="41" t="s">
        <v>5</v>
      </c>
      <c r="B10" s="44" t="str">
        <f>IFERROR(INDEX(ProductMaster[Product Category],MATCH(EnterStockOut!B8,ProductMaster[Product Name],0),0),"")</f>
        <v/>
      </c>
      <c r="C10" s="27"/>
    </row>
    <row r="11" spans="1:3" ht="27" customHeight="1" x14ac:dyDescent="0.25">
      <c r="A11" s="41" t="s">
        <v>6</v>
      </c>
      <c r="B11" s="35"/>
      <c r="C11" s="27"/>
    </row>
    <row r="12" spans="1:3" ht="27" customHeight="1" thickBot="1" x14ac:dyDescent="0.3">
      <c r="A12" s="45" t="s">
        <v>7</v>
      </c>
      <c r="B12" s="46" t="str">
        <f>IF(B11="","",(IFERROR(INDEX(ProductMaster[Unit Price],MATCH(EnterStockOut!B8,ProductMaster[Product Name],0),0),0)*B11))</f>
        <v/>
      </c>
      <c r="C12" s="27"/>
    </row>
    <row r="13" spans="1:3" ht="15.75" thickTop="1" x14ac:dyDescent="0.25">
      <c r="A13" s="27"/>
      <c r="B13" s="28"/>
      <c r="C13" s="27"/>
    </row>
  </sheetData>
  <sheetProtection sheet="1" objects="1" scenarios="1"/>
  <dataValidations xWindow="546" yWindow="382" count="2">
    <dataValidation type="list" allowBlank="1" showInputMessage="1" showErrorMessage="1" promptTitle="Select Product" prompt="Select Product Name From Drop Down. Rest Data Will Be Added Automatically" sqref="B8" xr:uid="{00000000-0002-0000-0300-000000000000}">
      <formula1>INDIRECT("ProductMaster[Product Name]")</formula1>
    </dataValidation>
    <dataValidation allowBlank="1" showInputMessage="1" showErrorMessage="1" promptTitle="Enter Quantity" prompt="Enter Stock Unit._x000a_" sqref="B11" xr:uid="{00000000-0002-0000-0300-000001000000}"/>
  </dataValidations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H22"/>
  <sheetViews>
    <sheetView showGridLines="0" workbookViewId="0">
      <pane ySplit="1" topLeftCell="A2" activePane="bottomLeft" state="frozen"/>
      <selection pane="bottomLeft" activeCell="A22" sqref="A22:H22"/>
    </sheetView>
  </sheetViews>
  <sheetFormatPr defaultRowHeight="15" x14ac:dyDescent="0.25"/>
  <cols>
    <col min="1" max="1" width="5" style="1" customWidth="1"/>
    <col min="2" max="2" width="10.125" style="11" customWidth="1"/>
    <col min="3" max="3" width="9.75" style="1" customWidth="1"/>
    <col min="4" max="4" width="15.125" style="1" customWidth="1"/>
    <col min="5" max="5" width="17.125" style="1" customWidth="1"/>
    <col min="6" max="6" width="17.125" customWidth="1"/>
    <col min="7" max="7" width="7.125" customWidth="1"/>
    <col min="8" max="8" width="12.25" customWidth="1"/>
  </cols>
  <sheetData>
    <row r="1" spans="1:8" s="5" customFormat="1" ht="12" x14ac:dyDescent="0.25">
      <c r="A1" s="3" t="s">
        <v>0</v>
      </c>
      <c r="B1" s="10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2">
        <v>1</v>
      </c>
      <c r="B2" s="4">
        <v>42588</v>
      </c>
      <c r="C2" s="2" t="s">
        <v>14</v>
      </c>
      <c r="D2" s="18" t="s">
        <v>40</v>
      </c>
      <c r="E2" s="18" t="s">
        <v>41</v>
      </c>
      <c r="F2" s="2" t="s">
        <v>10</v>
      </c>
      <c r="G2" s="2">
        <v>20</v>
      </c>
      <c r="H2" s="12">
        <v>8400</v>
      </c>
    </row>
    <row r="3" spans="1:8" x14ac:dyDescent="0.25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2">
        <v>7000</v>
      </c>
    </row>
    <row r="4" spans="1:8" x14ac:dyDescent="0.25">
      <c r="A4" s="2">
        <v>2</v>
      </c>
      <c r="B4" s="4">
        <v>42588</v>
      </c>
      <c r="C4" s="2" t="s">
        <v>13</v>
      </c>
      <c r="D4" s="2" t="s">
        <v>9</v>
      </c>
      <c r="E4" s="2" t="s">
        <v>8</v>
      </c>
      <c r="F4" s="2" t="s">
        <v>10</v>
      </c>
      <c r="G4" s="2">
        <v>20</v>
      </c>
      <c r="H4" s="12">
        <v>7000</v>
      </c>
    </row>
    <row r="5" spans="1:8" x14ac:dyDescent="0.25">
      <c r="A5" s="2">
        <v>2</v>
      </c>
      <c r="B5" s="4">
        <v>42588</v>
      </c>
      <c r="C5" s="2" t="s">
        <v>13</v>
      </c>
      <c r="D5" s="2" t="s">
        <v>9</v>
      </c>
      <c r="E5" s="2" t="s">
        <v>8</v>
      </c>
      <c r="F5" s="2" t="s">
        <v>10</v>
      </c>
      <c r="G5" s="2">
        <v>20</v>
      </c>
      <c r="H5" s="12">
        <v>7000</v>
      </c>
    </row>
    <row r="6" spans="1:8" x14ac:dyDescent="0.25">
      <c r="A6" s="2">
        <v>2</v>
      </c>
      <c r="B6" s="4">
        <v>42588</v>
      </c>
      <c r="C6" s="2" t="s">
        <v>13</v>
      </c>
      <c r="D6" s="2" t="s">
        <v>9</v>
      </c>
      <c r="E6" s="2" t="s">
        <v>8</v>
      </c>
      <c r="F6" s="2" t="s">
        <v>10</v>
      </c>
      <c r="G6" s="2">
        <v>20</v>
      </c>
      <c r="H6" s="12">
        <v>7000</v>
      </c>
    </row>
    <row r="7" spans="1:8" x14ac:dyDescent="0.25">
      <c r="A7" s="18">
        <v>3</v>
      </c>
      <c r="B7" s="19">
        <v>42590</v>
      </c>
      <c r="C7" s="18" t="s">
        <v>16</v>
      </c>
      <c r="D7" s="18" t="s">
        <v>45</v>
      </c>
      <c r="E7" s="18" t="s">
        <v>44</v>
      </c>
      <c r="F7" s="18" t="s">
        <v>10</v>
      </c>
      <c r="G7" s="18">
        <v>10</v>
      </c>
      <c r="H7" s="20">
        <v>1690</v>
      </c>
    </row>
    <row r="8" spans="1:8" x14ac:dyDescent="0.25">
      <c r="A8" s="18">
        <v>4</v>
      </c>
      <c r="B8" s="19">
        <v>42590</v>
      </c>
      <c r="C8" s="18" t="s">
        <v>14</v>
      </c>
      <c r="D8" s="18" t="s">
        <v>40</v>
      </c>
      <c r="E8" s="18" t="s">
        <v>41</v>
      </c>
      <c r="F8" s="18" t="s">
        <v>10</v>
      </c>
      <c r="G8" s="18">
        <v>10</v>
      </c>
      <c r="H8" s="20">
        <v>55990</v>
      </c>
    </row>
    <row r="9" spans="1:8" x14ac:dyDescent="0.25">
      <c r="A9" s="18">
        <v>5</v>
      </c>
      <c r="B9" s="19">
        <v>42590</v>
      </c>
      <c r="C9" s="18" t="s">
        <v>13</v>
      </c>
      <c r="D9" s="18" t="s">
        <v>47</v>
      </c>
      <c r="E9" s="18" t="s">
        <v>8</v>
      </c>
      <c r="F9" s="18" t="s">
        <v>10</v>
      </c>
      <c r="G9" s="18">
        <v>5</v>
      </c>
      <c r="H9" s="20">
        <v>1750</v>
      </c>
    </row>
    <row r="10" spans="1:8" x14ac:dyDescent="0.25">
      <c r="A10" s="18">
        <v>6</v>
      </c>
      <c r="B10" s="19">
        <v>42590</v>
      </c>
      <c r="C10" s="18" t="s">
        <v>14</v>
      </c>
      <c r="D10" s="18" t="s">
        <v>40</v>
      </c>
      <c r="E10" s="18" t="s">
        <v>41</v>
      </c>
      <c r="F10" s="18" t="s">
        <v>10</v>
      </c>
      <c r="G10" s="18">
        <v>10</v>
      </c>
      <c r="H10" s="20">
        <v>55990</v>
      </c>
    </row>
    <row r="11" spans="1:8" x14ac:dyDescent="0.25">
      <c r="A11" s="18">
        <v>7</v>
      </c>
      <c r="B11" s="19">
        <v>42590</v>
      </c>
      <c r="C11" s="18" t="s">
        <v>15</v>
      </c>
      <c r="D11" s="18" t="s">
        <v>46</v>
      </c>
      <c r="E11" s="18" t="s">
        <v>43</v>
      </c>
      <c r="F11" s="18" t="s">
        <v>10</v>
      </c>
      <c r="G11" s="18">
        <v>50</v>
      </c>
      <c r="H11" s="20">
        <v>54950</v>
      </c>
    </row>
    <row r="12" spans="1:8" x14ac:dyDescent="0.25">
      <c r="A12" s="18">
        <v>8</v>
      </c>
      <c r="B12" s="19">
        <v>42590</v>
      </c>
      <c r="C12" s="18" t="s">
        <v>18</v>
      </c>
      <c r="D12" s="18" t="s">
        <v>50</v>
      </c>
      <c r="E12" s="18" t="s">
        <v>34</v>
      </c>
      <c r="F12" s="18" t="s">
        <v>33</v>
      </c>
      <c r="G12" s="18">
        <v>200</v>
      </c>
      <c r="H12" s="20">
        <v>169998</v>
      </c>
    </row>
    <row r="13" spans="1:8" x14ac:dyDescent="0.25">
      <c r="A13" s="18">
        <v>9</v>
      </c>
      <c r="B13" s="19">
        <v>42590</v>
      </c>
      <c r="C13" s="18" t="s">
        <v>19</v>
      </c>
      <c r="D13" s="18" t="s">
        <v>49</v>
      </c>
      <c r="E13" s="18" t="s">
        <v>34</v>
      </c>
      <c r="F13" s="18" t="s">
        <v>33</v>
      </c>
      <c r="G13" s="18">
        <v>150</v>
      </c>
      <c r="H13" s="20">
        <v>104998.5</v>
      </c>
    </row>
    <row r="14" spans="1:8" x14ac:dyDescent="0.25">
      <c r="A14" s="18">
        <v>10</v>
      </c>
      <c r="B14" s="19">
        <v>42590</v>
      </c>
      <c r="C14" s="18" t="s">
        <v>20</v>
      </c>
      <c r="D14" s="18" t="s">
        <v>38</v>
      </c>
      <c r="E14" s="18" t="s">
        <v>34</v>
      </c>
      <c r="F14" s="18" t="s">
        <v>35</v>
      </c>
      <c r="G14" s="18">
        <v>70</v>
      </c>
      <c r="H14" s="20">
        <v>19593</v>
      </c>
    </row>
    <row r="15" spans="1:8" x14ac:dyDescent="0.25">
      <c r="A15" s="18">
        <v>11</v>
      </c>
      <c r="B15" s="19">
        <v>42590</v>
      </c>
      <c r="C15" s="18" t="s">
        <v>22</v>
      </c>
      <c r="D15" s="18" t="s">
        <v>42</v>
      </c>
      <c r="E15" s="18" t="s">
        <v>36</v>
      </c>
      <c r="F15" s="18" t="s">
        <v>36</v>
      </c>
      <c r="G15" s="18">
        <v>30</v>
      </c>
      <c r="H15" s="20">
        <v>35999.699999999997</v>
      </c>
    </row>
    <row r="16" spans="1:8" x14ac:dyDescent="0.25">
      <c r="A16" s="18">
        <v>12</v>
      </c>
      <c r="B16" s="19">
        <v>42590</v>
      </c>
      <c r="C16" s="18" t="s">
        <v>21</v>
      </c>
      <c r="D16" s="18" t="s">
        <v>39</v>
      </c>
      <c r="E16" s="18" t="s">
        <v>34</v>
      </c>
      <c r="F16" s="18" t="s">
        <v>35</v>
      </c>
      <c r="G16" s="18">
        <v>30</v>
      </c>
      <c r="H16" s="20">
        <v>11999.7</v>
      </c>
    </row>
    <row r="17" spans="1:8" x14ac:dyDescent="0.25">
      <c r="A17" s="18">
        <v>13</v>
      </c>
      <c r="B17" s="19">
        <v>42590</v>
      </c>
      <c r="C17" s="18" t="s">
        <v>17</v>
      </c>
      <c r="D17" s="18" t="s">
        <v>48</v>
      </c>
      <c r="E17" s="18" t="s">
        <v>51</v>
      </c>
      <c r="F17" s="18" t="s">
        <v>10</v>
      </c>
      <c r="G17" s="18">
        <v>10</v>
      </c>
      <c r="H17" s="20">
        <v>9999.9</v>
      </c>
    </row>
    <row r="18" spans="1:8" x14ac:dyDescent="0.25">
      <c r="A18" s="18">
        <v>14</v>
      </c>
      <c r="B18" s="19">
        <v>42590</v>
      </c>
      <c r="C18" s="18" t="s">
        <v>16</v>
      </c>
      <c r="D18" s="18" t="s">
        <v>45</v>
      </c>
      <c r="E18" s="18" t="s">
        <v>44</v>
      </c>
      <c r="F18" s="18" t="s">
        <v>10</v>
      </c>
      <c r="G18" s="18">
        <v>10</v>
      </c>
      <c r="H18" s="20">
        <v>1690</v>
      </c>
    </row>
    <row r="19" spans="1:8" x14ac:dyDescent="0.25">
      <c r="A19" s="2">
        <v>15</v>
      </c>
      <c r="B19" s="4">
        <v>42590</v>
      </c>
      <c r="C19" s="2" t="s">
        <v>14</v>
      </c>
      <c r="D19" s="2" t="s">
        <v>40</v>
      </c>
      <c r="E19" s="2" t="s">
        <v>41</v>
      </c>
      <c r="F19" s="2" t="s">
        <v>10</v>
      </c>
      <c r="G19" s="2">
        <v>10</v>
      </c>
      <c r="H19" s="12">
        <v>55990</v>
      </c>
    </row>
    <row r="20" spans="1:8" x14ac:dyDescent="0.25">
      <c r="A20" s="2">
        <v>16</v>
      </c>
      <c r="B20" s="4">
        <v>42591</v>
      </c>
      <c r="C20" s="2" t="s">
        <v>14</v>
      </c>
      <c r="D20" s="2" t="s">
        <v>40</v>
      </c>
      <c r="E20" s="2" t="s">
        <v>41</v>
      </c>
      <c r="F20" s="2" t="s">
        <v>10</v>
      </c>
      <c r="G20" s="2">
        <v>10</v>
      </c>
      <c r="H20" s="12">
        <v>55990</v>
      </c>
    </row>
    <row r="21" spans="1:8" x14ac:dyDescent="0.25">
      <c r="A21" s="53" t="s">
        <v>56</v>
      </c>
      <c r="B21" s="54" t="s">
        <v>56</v>
      </c>
      <c r="C21" s="53" t="s">
        <v>56</v>
      </c>
      <c r="D21" s="53"/>
      <c r="E21" s="53" t="s">
        <v>56</v>
      </c>
      <c r="F21" s="53" t="s">
        <v>56</v>
      </c>
      <c r="G21" s="53"/>
      <c r="H21" s="55" t="s">
        <v>56</v>
      </c>
    </row>
    <row r="22" spans="1:8" x14ac:dyDescent="0.25">
      <c r="A22" s="53">
        <v>17</v>
      </c>
      <c r="B22" s="54">
        <v>43786</v>
      </c>
      <c r="C22" s="53" t="s">
        <v>14</v>
      </c>
      <c r="D22" s="53" t="s">
        <v>40</v>
      </c>
      <c r="E22" s="53" t="s">
        <v>41</v>
      </c>
      <c r="F22" s="53" t="s">
        <v>10</v>
      </c>
      <c r="G22" s="53">
        <v>5</v>
      </c>
      <c r="H22" s="55">
        <v>27995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7"/>
  <sheetViews>
    <sheetView showGridLines="0" workbookViewId="0">
      <pane ySplit="1" topLeftCell="A2" activePane="bottomLeft" state="frozen"/>
      <selection pane="bottomLeft" activeCell="H16" sqref="H16"/>
    </sheetView>
  </sheetViews>
  <sheetFormatPr defaultRowHeight="15" x14ac:dyDescent="0.25"/>
  <cols>
    <col min="1" max="1" width="5" style="1" bestFit="1" customWidth="1"/>
    <col min="2" max="2" width="11" style="11" bestFit="1" customWidth="1"/>
    <col min="3" max="3" width="9.75" style="1" bestFit="1" customWidth="1"/>
    <col min="4" max="4" width="13" style="1" bestFit="1" customWidth="1"/>
    <col min="5" max="5" width="17.125" style="1" bestFit="1" customWidth="1"/>
    <col min="6" max="6" width="17.125" bestFit="1" customWidth="1"/>
    <col min="7" max="7" width="7.125" bestFit="1" customWidth="1"/>
    <col min="8" max="8" width="11" bestFit="1" customWidth="1"/>
  </cols>
  <sheetData>
    <row r="1" spans="1:8" s="5" customFormat="1" ht="12" x14ac:dyDescent="0.25">
      <c r="A1" s="3" t="s">
        <v>0</v>
      </c>
      <c r="B1" s="10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2">
        <v>1</v>
      </c>
      <c r="B2" s="4">
        <v>42588</v>
      </c>
      <c r="C2" s="2" t="s">
        <v>14</v>
      </c>
      <c r="D2" s="2" t="s">
        <v>23</v>
      </c>
      <c r="E2" s="2" t="s">
        <v>24</v>
      </c>
      <c r="F2" s="2" t="s">
        <v>10</v>
      </c>
      <c r="G2" s="2">
        <v>20</v>
      </c>
      <c r="H2" s="12">
        <v>8400</v>
      </c>
    </row>
    <row r="3" spans="1:8" x14ac:dyDescent="0.25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2">
        <v>7000</v>
      </c>
    </row>
    <row r="4" spans="1:8" x14ac:dyDescent="0.25">
      <c r="A4" s="2">
        <v>16</v>
      </c>
      <c r="B4" s="4">
        <v>42590</v>
      </c>
      <c r="C4" s="2" t="s">
        <v>17</v>
      </c>
      <c r="D4" s="2" t="s">
        <v>48</v>
      </c>
      <c r="E4" s="2" t="s">
        <v>51</v>
      </c>
      <c r="F4" s="2" t="s">
        <v>10</v>
      </c>
      <c r="G4" s="2">
        <v>5</v>
      </c>
      <c r="H4" s="12">
        <v>4999.95</v>
      </c>
    </row>
    <row r="5" spans="1:8" x14ac:dyDescent="0.25">
      <c r="A5" s="2">
        <v>16</v>
      </c>
      <c r="B5" s="4">
        <v>42590</v>
      </c>
      <c r="C5" s="2" t="s">
        <v>16</v>
      </c>
      <c r="D5" s="2" t="s">
        <v>45</v>
      </c>
      <c r="E5" s="2" t="s">
        <v>44</v>
      </c>
      <c r="F5" s="2" t="s">
        <v>10</v>
      </c>
      <c r="G5" s="2">
        <v>5</v>
      </c>
      <c r="H5" s="12">
        <v>845</v>
      </c>
    </row>
    <row r="6" spans="1:8" x14ac:dyDescent="0.25">
      <c r="A6" s="2">
        <v>17</v>
      </c>
      <c r="B6" s="4">
        <v>42591</v>
      </c>
      <c r="C6" s="2" t="s">
        <v>18</v>
      </c>
      <c r="D6" s="2" t="s">
        <v>50</v>
      </c>
      <c r="E6" s="2" t="s">
        <v>34</v>
      </c>
      <c r="F6" s="2" t="s">
        <v>33</v>
      </c>
      <c r="G6" s="2">
        <v>20</v>
      </c>
      <c r="H6" s="12">
        <v>16999.8</v>
      </c>
    </row>
    <row r="7" spans="1:8" x14ac:dyDescent="0.25">
      <c r="A7" s="50">
        <v>17</v>
      </c>
      <c r="B7" s="51">
        <v>42754</v>
      </c>
      <c r="C7" s="50" t="s">
        <v>15</v>
      </c>
      <c r="D7" s="50" t="s">
        <v>46</v>
      </c>
      <c r="E7" s="50" t="s">
        <v>43</v>
      </c>
      <c r="F7" s="50" t="s">
        <v>10</v>
      </c>
      <c r="G7" s="50">
        <v>10</v>
      </c>
      <c r="H7" s="52">
        <v>10990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I11"/>
  <sheetViews>
    <sheetView showGridLines="0" workbookViewId="0">
      <pane ySplit="1" topLeftCell="A2" activePane="bottomLeft" state="frozen"/>
      <selection pane="bottomLeft" activeCell="B5" sqref="B5"/>
    </sheetView>
  </sheetViews>
  <sheetFormatPr defaultRowHeight="15" x14ac:dyDescent="0.25"/>
  <cols>
    <col min="1" max="1" width="5" customWidth="1"/>
    <col min="2" max="2" width="9.75" bestFit="1" customWidth="1"/>
    <col min="3" max="3" width="15.125" bestFit="1" customWidth="1"/>
    <col min="4" max="5" width="17.125" bestFit="1" customWidth="1"/>
    <col min="6" max="6" width="9.75" style="13" bestFit="1" customWidth="1"/>
    <col min="7" max="7" width="11.125" bestFit="1" customWidth="1"/>
    <col min="8" max="8" width="10.875" bestFit="1" customWidth="1"/>
    <col min="9" max="9" width="12.25" bestFit="1" customWidth="1"/>
  </cols>
  <sheetData>
    <row r="1" spans="1:9" s="8" customFormat="1" ht="12" x14ac:dyDescent="0.2">
      <c r="A1" s="6" t="s">
        <v>0</v>
      </c>
      <c r="B1" s="6" t="s">
        <v>2</v>
      </c>
      <c r="C1" s="6" t="s">
        <v>3</v>
      </c>
      <c r="D1" s="6" t="s">
        <v>4</v>
      </c>
      <c r="E1" s="6" t="s">
        <v>5</v>
      </c>
      <c r="F1" s="22" t="s">
        <v>25</v>
      </c>
      <c r="G1" s="6" t="s">
        <v>11</v>
      </c>
      <c r="H1" s="7" t="s">
        <v>12</v>
      </c>
      <c r="I1" s="7" t="s">
        <v>7</v>
      </c>
    </row>
    <row r="2" spans="1:9" x14ac:dyDescent="0.25">
      <c r="A2" s="23">
        <v>1</v>
      </c>
      <c r="B2" s="23" t="s">
        <v>13</v>
      </c>
      <c r="C2" s="23" t="s">
        <v>47</v>
      </c>
      <c r="D2" s="23" t="s">
        <v>8</v>
      </c>
      <c r="E2" s="23" t="s">
        <v>10</v>
      </c>
      <c r="F2" s="24">
        <v>350</v>
      </c>
      <c r="G2" s="23">
        <v>20</v>
      </c>
      <c r="H2" s="25">
        <f>SUMIFS(StockInData[Quantity],StockInData[Product ID],ProductMaster[[#This Row],[Product ID]])-SUMIFS(StockOutData[Quantity],StockOutData[Product ID],ProductMaster[[#This Row],[Product ID]])</f>
        <v>65</v>
      </c>
      <c r="I2" s="26">
        <f>SUMIFS(StockInData[Value],StockInData[Product ID],ProductMaster[[#This Row],[Product ID]])-SUMIFS(StockOutData[Value],StockOutData[Product ID],ProductMaster[[#This Row],[Product ID]])</f>
        <v>22750</v>
      </c>
    </row>
    <row r="3" spans="1:9" x14ac:dyDescent="0.25">
      <c r="A3" s="25">
        <v>2</v>
      </c>
      <c r="B3" s="23" t="s">
        <v>14</v>
      </c>
      <c r="C3" s="25" t="s">
        <v>40</v>
      </c>
      <c r="D3" s="25" t="s">
        <v>41</v>
      </c>
      <c r="E3" s="23" t="s">
        <v>10</v>
      </c>
      <c r="F3" s="24">
        <v>5599</v>
      </c>
      <c r="G3" s="25">
        <v>15</v>
      </c>
      <c r="H3" s="25">
        <f>SUMIFS(StockInData[Quantity],StockInData[Product ID],ProductMaster[[#This Row],[Product ID]])-SUMIFS(StockOutData[Quantity],StockOutData[Product ID],ProductMaster[[#This Row],[Product ID]])</f>
        <v>45</v>
      </c>
      <c r="I3" s="26">
        <f>SUMIFS(StockInData[Value],StockInData[Product ID],ProductMaster[[#This Row],[Product ID]])-SUMIFS(StockOutData[Value],StockOutData[Product ID],ProductMaster[[#This Row],[Product ID]])</f>
        <v>251955</v>
      </c>
    </row>
    <row r="4" spans="1:9" x14ac:dyDescent="0.25">
      <c r="A4" s="25">
        <v>3</v>
      </c>
      <c r="B4" s="23" t="s">
        <v>15</v>
      </c>
      <c r="C4" s="25" t="s">
        <v>46</v>
      </c>
      <c r="D4" s="25" t="s">
        <v>43</v>
      </c>
      <c r="E4" s="23" t="s">
        <v>10</v>
      </c>
      <c r="F4" s="24">
        <v>1099</v>
      </c>
      <c r="G4" s="25">
        <v>10</v>
      </c>
      <c r="H4" s="25">
        <f>SUMIFS(StockInData[Quantity],StockInData[Product ID],ProductMaster[[#This Row],[Product ID]])-SUMIFS(StockOutData[Quantity],StockOutData[Product ID],ProductMaster[[#This Row],[Product ID]])</f>
        <v>40</v>
      </c>
      <c r="I4" s="26">
        <f>SUMIFS(StockInData[Value],StockInData[Product ID],ProductMaster[[#This Row],[Product ID]])-SUMIFS(StockOutData[Value],StockOutData[Product ID],ProductMaster[[#This Row],[Product ID]])</f>
        <v>43960</v>
      </c>
    </row>
    <row r="5" spans="1:9" x14ac:dyDescent="0.25">
      <c r="A5" s="25">
        <v>4</v>
      </c>
      <c r="B5" s="23" t="s">
        <v>16</v>
      </c>
      <c r="C5" s="25" t="s">
        <v>45</v>
      </c>
      <c r="D5" s="25" t="s">
        <v>44</v>
      </c>
      <c r="E5" s="23" t="s">
        <v>10</v>
      </c>
      <c r="F5" s="24">
        <v>169</v>
      </c>
      <c r="G5" s="25">
        <v>8</v>
      </c>
      <c r="H5" s="25">
        <f>SUMIFS(StockInData[Quantity],StockInData[Product ID],ProductMaster[[#This Row],[Product ID]])-SUMIFS(StockOutData[Quantity],StockOutData[Product ID],ProductMaster[[#This Row],[Product ID]])</f>
        <v>15</v>
      </c>
      <c r="I5" s="26">
        <f>SUMIFS(StockInData[Value],StockInData[Product ID],ProductMaster[[#This Row],[Product ID]])-SUMIFS(StockOutData[Value],StockOutData[Product ID],ProductMaster[[#This Row],[Product ID]])</f>
        <v>2535</v>
      </c>
    </row>
    <row r="6" spans="1:9" x14ac:dyDescent="0.25">
      <c r="A6" s="25">
        <v>5</v>
      </c>
      <c r="B6" s="23" t="s">
        <v>17</v>
      </c>
      <c r="C6" s="25" t="s">
        <v>48</v>
      </c>
      <c r="D6" s="25" t="s">
        <v>51</v>
      </c>
      <c r="E6" s="23" t="s">
        <v>10</v>
      </c>
      <c r="F6" s="24">
        <v>999.99</v>
      </c>
      <c r="G6" s="25">
        <v>5</v>
      </c>
      <c r="H6" s="25">
        <f>SUMIFS(StockInData[Quantity],StockInData[Product ID],ProductMaster[[#This Row],[Product ID]])-SUMIFS(StockOutData[Quantity],StockOutData[Product ID],ProductMaster[[#This Row],[Product ID]])</f>
        <v>5</v>
      </c>
      <c r="I6" s="26">
        <f>SUMIFS(StockInData[Value],StockInData[Product ID],ProductMaster[[#This Row],[Product ID]])-SUMIFS(StockOutData[Value],StockOutData[Product ID],ProductMaster[[#This Row],[Product ID]])</f>
        <v>4999.95</v>
      </c>
    </row>
    <row r="7" spans="1:9" x14ac:dyDescent="0.25">
      <c r="A7" s="25">
        <v>6</v>
      </c>
      <c r="B7" s="23" t="s">
        <v>18</v>
      </c>
      <c r="C7" s="25" t="s">
        <v>50</v>
      </c>
      <c r="D7" s="25" t="s">
        <v>34</v>
      </c>
      <c r="E7" s="25" t="s">
        <v>33</v>
      </c>
      <c r="F7" s="24">
        <v>849.99</v>
      </c>
      <c r="G7" s="25">
        <v>120</v>
      </c>
      <c r="H7" s="25">
        <f>SUMIFS(StockInData[Quantity],StockInData[Product ID],ProductMaster[[#This Row],[Product ID]])-SUMIFS(StockOutData[Quantity],StockOutData[Product ID],ProductMaster[[#This Row],[Product ID]])</f>
        <v>180</v>
      </c>
      <c r="I7" s="26">
        <f>SUMIFS(StockInData[Value],StockInData[Product ID],ProductMaster[[#This Row],[Product ID]])-SUMIFS(StockOutData[Value],StockOutData[Product ID],ProductMaster[[#This Row],[Product ID]])</f>
        <v>152998.20000000001</v>
      </c>
    </row>
    <row r="8" spans="1:9" x14ac:dyDescent="0.25">
      <c r="A8" s="25">
        <v>7</v>
      </c>
      <c r="B8" s="23" t="s">
        <v>19</v>
      </c>
      <c r="C8" s="25" t="s">
        <v>49</v>
      </c>
      <c r="D8" s="25" t="s">
        <v>34</v>
      </c>
      <c r="E8" s="25" t="s">
        <v>33</v>
      </c>
      <c r="F8" s="24">
        <v>699.99</v>
      </c>
      <c r="G8" s="25">
        <v>80</v>
      </c>
      <c r="H8" s="25">
        <f>SUMIFS(StockInData[Quantity],StockInData[Product ID],ProductMaster[[#This Row],[Product ID]])-SUMIFS(StockOutData[Quantity],StockOutData[Product ID],ProductMaster[[#This Row],[Product ID]])</f>
        <v>150</v>
      </c>
      <c r="I8" s="26">
        <f>SUMIFS(StockInData[Value],StockInData[Product ID],ProductMaster[[#This Row],[Product ID]])-SUMIFS(StockOutData[Value],StockOutData[Product ID],ProductMaster[[#This Row],[Product ID]])</f>
        <v>104998.5</v>
      </c>
    </row>
    <row r="9" spans="1:9" x14ac:dyDescent="0.25">
      <c r="A9" s="25">
        <v>8</v>
      </c>
      <c r="B9" s="23" t="s">
        <v>20</v>
      </c>
      <c r="C9" s="25" t="s">
        <v>38</v>
      </c>
      <c r="D9" s="25" t="s">
        <v>34</v>
      </c>
      <c r="E9" s="25" t="s">
        <v>35</v>
      </c>
      <c r="F9" s="24">
        <v>279.89999999999998</v>
      </c>
      <c r="G9" s="25">
        <v>60</v>
      </c>
      <c r="H9" s="25">
        <f>SUMIFS(StockInData[Quantity],StockInData[Product ID],ProductMaster[[#This Row],[Product ID]])-SUMIFS(StockOutData[Quantity],StockOutData[Product ID],ProductMaster[[#This Row],[Product ID]])</f>
        <v>70</v>
      </c>
      <c r="I9" s="26">
        <f>SUMIFS(StockInData[Value],StockInData[Product ID],ProductMaster[[#This Row],[Product ID]])-SUMIFS(StockOutData[Value],StockOutData[Product ID],ProductMaster[[#This Row],[Product ID]])</f>
        <v>19593</v>
      </c>
    </row>
    <row r="10" spans="1:9" x14ac:dyDescent="0.25">
      <c r="A10" s="25">
        <v>9</v>
      </c>
      <c r="B10" s="23" t="s">
        <v>21</v>
      </c>
      <c r="C10" s="25" t="s">
        <v>39</v>
      </c>
      <c r="D10" s="25" t="s">
        <v>34</v>
      </c>
      <c r="E10" s="25" t="s">
        <v>35</v>
      </c>
      <c r="F10" s="24">
        <v>399.99</v>
      </c>
      <c r="G10" s="25">
        <v>15</v>
      </c>
      <c r="H10" s="25">
        <f>SUMIFS(StockInData[Quantity],StockInData[Product ID],ProductMaster[[#This Row],[Product ID]])-SUMIFS(StockOutData[Quantity],StockOutData[Product ID],ProductMaster[[#This Row],[Product ID]])</f>
        <v>30</v>
      </c>
      <c r="I10" s="26">
        <f>SUMIFS(StockInData[Value],StockInData[Product ID],ProductMaster[[#This Row],[Product ID]])-SUMIFS(StockOutData[Value],StockOutData[Product ID],ProductMaster[[#This Row],[Product ID]])</f>
        <v>11999.7</v>
      </c>
    </row>
    <row r="11" spans="1:9" x14ac:dyDescent="0.25">
      <c r="A11" s="25">
        <v>10</v>
      </c>
      <c r="B11" s="25" t="s">
        <v>22</v>
      </c>
      <c r="C11" s="25" t="s">
        <v>42</v>
      </c>
      <c r="D11" s="25" t="s">
        <v>36</v>
      </c>
      <c r="E11" s="25" t="s">
        <v>36</v>
      </c>
      <c r="F11" s="26">
        <v>1199.99</v>
      </c>
      <c r="G11" s="25">
        <v>30</v>
      </c>
      <c r="H11" s="25">
        <f>SUMIFS(StockInData[Quantity],StockInData[Product ID],ProductMaster[[#This Row],[Product ID]])-SUMIFS(StockOutData[Quantity],StockOutData[Product ID],ProductMaster[[#This Row],[Product ID]])</f>
        <v>30</v>
      </c>
      <c r="I11" s="26">
        <f>SUMIFS(StockInData[Value],StockInData[Product ID],ProductMaster[[#This Row],[Product ID]])-SUMIFS(StockOutData[Value],StockOutData[Product ID],ProductMaster[[#This Row],[Product ID]])</f>
        <v>35999.699999999997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3"/>
  <sheetViews>
    <sheetView showGridLines="0" workbookViewId="0">
      <selection activeCell="A9" sqref="A9"/>
    </sheetView>
  </sheetViews>
  <sheetFormatPr defaultColWidth="0" defaultRowHeight="15" customHeight="1" zeroHeight="1" x14ac:dyDescent="0.25"/>
  <cols>
    <col min="1" max="1" width="28.5" bestFit="1" customWidth="1"/>
    <col min="2" max="2" width="31.5" style="9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31"/>
      <c r="B1" s="32"/>
      <c r="C1" s="31"/>
    </row>
    <row r="2" spans="1:3" x14ac:dyDescent="0.25">
      <c r="A2" s="31"/>
      <c r="B2" s="32"/>
      <c r="C2" s="31"/>
    </row>
    <row r="3" spans="1:3" ht="15.75" thickBot="1" x14ac:dyDescent="0.3">
      <c r="A3" s="33"/>
      <c r="B3" s="34"/>
      <c r="C3" s="33"/>
    </row>
    <row r="4" spans="1:3" x14ac:dyDescent="0.25">
      <c r="A4" s="29"/>
      <c r="B4" s="30"/>
      <c r="C4" s="29"/>
    </row>
    <row r="5" spans="1:3" ht="30.75" customHeight="1" x14ac:dyDescent="0.25">
      <c r="A5" s="47" t="s">
        <v>0</v>
      </c>
      <c r="B5" s="48" t="str">
        <f>IF(B6="","",(MAX(ProductMaster[S No.])+1))</f>
        <v/>
      </c>
      <c r="C5" s="29"/>
    </row>
    <row r="6" spans="1:3" ht="30.75" customHeight="1" x14ac:dyDescent="0.25">
      <c r="A6" s="47" t="s">
        <v>2</v>
      </c>
      <c r="B6" s="36"/>
      <c r="C6" s="29"/>
    </row>
    <row r="7" spans="1:3" ht="30.75" customHeight="1" x14ac:dyDescent="0.25">
      <c r="A7" s="47" t="s">
        <v>3</v>
      </c>
      <c r="B7" s="35"/>
      <c r="C7" s="29"/>
    </row>
    <row r="8" spans="1:3" ht="30.75" customHeight="1" x14ac:dyDescent="0.25">
      <c r="A8" s="47" t="s">
        <v>4</v>
      </c>
      <c r="B8" s="35"/>
      <c r="C8" s="29"/>
    </row>
    <row r="9" spans="1:3" ht="30.75" customHeight="1" x14ac:dyDescent="0.25">
      <c r="A9" s="47" t="s">
        <v>5</v>
      </c>
      <c r="B9" s="35"/>
      <c r="C9" s="29"/>
    </row>
    <row r="10" spans="1:3" ht="30.75" customHeight="1" x14ac:dyDescent="0.25">
      <c r="A10" s="47" t="s">
        <v>25</v>
      </c>
      <c r="B10" s="37"/>
      <c r="C10" s="29"/>
    </row>
    <row r="11" spans="1:3" ht="30.75" customHeight="1" thickBot="1" x14ac:dyDescent="0.3">
      <c r="A11" s="49" t="s">
        <v>11</v>
      </c>
      <c r="B11" s="38"/>
      <c r="C11" s="29"/>
    </row>
    <row r="12" spans="1:3" ht="15.75" thickTop="1" x14ac:dyDescent="0.25">
      <c r="A12" s="29"/>
      <c r="B12" s="30"/>
      <c r="C12" s="29"/>
    </row>
    <row r="13" spans="1:3" ht="15" hidden="1" customHeight="1" x14ac:dyDescent="0.25"/>
  </sheetData>
  <sheetProtection sheet="1" objects="1" scenarios="1"/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ExcelChamps.com</dc:creator>
  <cp:lastModifiedBy>Cclgulf</cp:lastModifiedBy>
  <dcterms:created xsi:type="dcterms:W3CDTF">2016-08-05T04:56:17Z</dcterms:created>
  <dcterms:modified xsi:type="dcterms:W3CDTF">2019-11-18T11:53:16Z</dcterms:modified>
  <cp:contentStatus/>
</cp:coreProperties>
</file>