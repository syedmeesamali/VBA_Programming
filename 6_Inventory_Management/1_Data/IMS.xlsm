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tables/table1.xml" ContentType="application/vnd.openxmlformats-officedocument.spreadsheetml.table+xml"/>
  <Override PartName="/xl/drawings/drawing5.xml" ContentType="application/vnd.openxmlformats-officedocument.drawing+xml"/>
  <Override PartName="/xl/tables/table2.xml" ContentType="application/vnd.openxmlformats-officedocument.spreadsheetml.table+xml"/>
  <Override PartName="/xl/drawings/drawing6.xml" ContentType="application/vnd.openxmlformats-officedocument.drawing+xml"/>
  <Override PartName="/xl/tables/table3.xml" ContentType="application/vnd.openxmlformats-officedocument.spreadsheetml.table+xml"/>
  <Override PartName="/xl/drawings/drawing7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hidePivotFieldList="1" defaultThemeVersion="153222"/>
  <mc:AlternateContent xmlns:mc="http://schemas.openxmlformats.org/markup-compatibility/2006">
    <mc:Choice Requires="x15">
      <x15ac:absPath xmlns:x15ac="http://schemas.microsoft.com/office/spreadsheetml/2010/11/ac" url="C:\Users\SYED\Desktop\VBA_Programming\6_Inventory_Management\"/>
    </mc:Choice>
  </mc:AlternateContent>
  <bookViews>
    <workbookView xWindow="-120" yWindow="-120" windowWidth="20730" windowHeight="11160"/>
  </bookViews>
  <sheets>
    <sheet name="Dashboard" sheetId="1" r:id="rId1"/>
    <sheet name="Help" sheetId="7" state="hidden" r:id="rId2"/>
    <sheet name="EnterStockIn" sheetId="2" state="hidden" r:id="rId3"/>
    <sheet name="EnterStockOut" sheetId="5" state="hidden" r:id="rId4"/>
    <sheet name="StockIn" sheetId="3" state="hidden" r:id="rId5"/>
    <sheet name="StockOut" sheetId="6" state="hidden" r:id="rId6"/>
    <sheet name="ProductMaster" sheetId="4" state="hidden" r:id="rId7"/>
    <sheet name="EnterNewProduct" sheetId="10" state="hidden" r:id="rId8"/>
  </sheets>
  <definedNames>
    <definedName name="Puneet">INDEX(Help!XFB1:XFB3,MATCH(Help!XEY1,Help!XFA1:XFA3,0),0)</definedName>
  </definedNames>
  <calcPr calcId="162913"/>
  <pivotCaches>
    <pivotCache cacheId="6" r:id="rId9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5" i="5" l="1"/>
  <c r="B7" i="7"/>
  <c r="B11" i="7" s="1"/>
  <c r="H11" i="4"/>
  <c r="I11" i="4"/>
  <c r="H3" i="4"/>
  <c r="H4" i="4"/>
  <c r="H5" i="4"/>
  <c r="H6" i="4"/>
  <c r="H7" i="4"/>
  <c r="H8" i="4"/>
  <c r="H9" i="4"/>
  <c r="H10" i="4"/>
  <c r="H2" i="4"/>
  <c r="B3" i="7"/>
  <c r="B4" i="7"/>
  <c r="B5" i="10"/>
  <c r="I2" i="4"/>
  <c r="I3" i="4"/>
  <c r="I4" i="4"/>
  <c r="I5" i="4"/>
  <c r="I6" i="4"/>
  <c r="I7" i="4"/>
  <c r="I8" i="4"/>
  <c r="I9" i="4"/>
  <c r="I10" i="4"/>
  <c r="B12" i="5"/>
  <c r="B10" i="5"/>
  <c r="B9" i="5"/>
  <c r="B7" i="5"/>
  <c r="B6" i="5"/>
  <c r="B5" i="2"/>
  <c r="B6" i="2"/>
  <c r="B12" i="2"/>
  <c r="B10" i="2"/>
  <c r="B9" i="2"/>
  <c r="B7" i="2"/>
  <c r="B1" i="7" l="1"/>
  <c r="B8" i="7"/>
  <c r="B13" i="7" s="1"/>
  <c r="B9" i="7"/>
  <c r="B10" i="7"/>
  <c r="B12" i="7" s="1"/>
  <c r="B2" i="7"/>
  <c r="B6" i="7"/>
  <c r="B5" i="7"/>
  <c r="A16" i="7" l="1"/>
  <c r="A15" i="7"/>
  <c r="A17" i="7"/>
</calcChain>
</file>

<file path=xl/sharedStrings.xml><?xml version="1.0" encoding="utf-8"?>
<sst xmlns="http://schemas.openxmlformats.org/spreadsheetml/2006/main" count="223" uniqueCount="57">
  <si>
    <t>S No.</t>
  </si>
  <si>
    <t>Date</t>
  </si>
  <si>
    <t>Product ID</t>
  </si>
  <si>
    <t>Product Name</t>
  </si>
  <si>
    <t>Product Description</t>
  </si>
  <si>
    <t>Product Category</t>
  </si>
  <si>
    <t>Quantity</t>
  </si>
  <si>
    <t>Value</t>
  </si>
  <si>
    <t>Washing Machine</t>
  </si>
  <si>
    <t>Bubble Wash</t>
  </si>
  <si>
    <t>Home Appliances</t>
  </si>
  <si>
    <t>Reorder Level</t>
  </si>
  <si>
    <t>Current Stock</t>
  </si>
  <si>
    <t>P000024</t>
  </si>
  <si>
    <t>P000036</t>
  </si>
  <si>
    <t>P000042</t>
  </si>
  <si>
    <t>P000010</t>
  </si>
  <si>
    <t>P000020</t>
  </si>
  <si>
    <t>P000018</t>
  </si>
  <si>
    <t>P000006</t>
  </si>
  <si>
    <t>P000015</t>
  </si>
  <si>
    <t>P000017</t>
  </si>
  <si>
    <t>P000022</t>
  </si>
  <si>
    <t>Cool Breeze</t>
  </si>
  <si>
    <t>Refiri`</t>
  </si>
  <si>
    <t>Unit Price</t>
  </si>
  <si>
    <t>Stock Value</t>
  </si>
  <si>
    <t>Month Start</t>
  </si>
  <si>
    <t>Month End</t>
  </si>
  <si>
    <t>Current Month Stock In</t>
  </si>
  <si>
    <t>Current Month Stock Out</t>
  </si>
  <si>
    <t>Row Labels</t>
  </si>
  <si>
    <t>Grand Total</t>
  </si>
  <si>
    <t>Mobile Phone</t>
  </si>
  <si>
    <t>Smart Phone</t>
  </si>
  <si>
    <t>Tablet</t>
  </si>
  <si>
    <t>Laptop</t>
  </si>
  <si>
    <t>Sum of Current Stock</t>
  </si>
  <si>
    <t>Galaxy Tab A</t>
  </si>
  <si>
    <t>Galaxy Tab S2</t>
  </si>
  <si>
    <t>4 Door Flex</t>
  </si>
  <si>
    <t>Refrigerator</t>
  </si>
  <si>
    <t>Notebook 9</t>
  </si>
  <si>
    <t>Dishwasher</t>
  </si>
  <si>
    <t>Microwave</t>
  </si>
  <si>
    <t>Grill</t>
  </si>
  <si>
    <t>Chef Collection</t>
  </si>
  <si>
    <t>Add Wash</t>
  </si>
  <si>
    <t>Power Bot</t>
  </si>
  <si>
    <t>Galaxy Note 7</t>
  </si>
  <si>
    <t>Galaxy S7</t>
  </si>
  <si>
    <t>Vaccum Cleaner</t>
  </si>
  <si>
    <t>Linked Cell</t>
  </si>
  <si>
    <t>Message-1</t>
  </si>
  <si>
    <t>Name Label</t>
  </si>
  <si>
    <t>Total Stock</t>
  </si>
  <si>
    <t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</si>
</sst>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42" formatCode="_(&quot;$&quot;* #,##0_);_(&quot;$&quot;* \(#,##0\);_(&quot;$&quot;* &quot;-&quot;_);_(@_)"/>
  </numFmts>
  <fonts count="11" x14ac:knownFonts="1">
    <font>
      <sz val="11"/>
      <color theme="1"/>
      <name val="Calibri Light"/>
      <family val="2"/>
    </font>
    <font>
      <sz val="11"/>
      <color theme="1"/>
      <name val="Verdana"/>
      <family val="2"/>
    </font>
    <font>
      <sz val="9"/>
      <color theme="1"/>
      <name val="Yu Gothic UI Light"/>
      <family val="2"/>
    </font>
    <font>
      <b/>
      <sz val="9"/>
      <color theme="0"/>
      <name val="Yu Gothic UI Light"/>
      <family val="2"/>
    </font>
    <font>
      <sz val="9"/>
      <color theme="1"/>
      <name val="Calibri Light"/>
      <family val="2"/>
    </font>
    <font>
      <sz val="11"/>
      <color theme="1"/>
      <name val="Verdana"/>
      <family val="2"/>
    </font>
    <font>
      <sz val="11"/>
      <color theme="7" tint="0.39997558519241921"/>
      <name val="Calibri Light"/>
      <family val="2"/>
    </font>
    <font>
      <i/>
      <sz val="11"/>
      <color theme="0" tint="-0.499984740745262"/>
      <name val="Calibri Light"/>
      <family val="2"/>
    </font>
    <font>
      <sz val="12"/>
      <name val="Verdana"/>
      <family val="2"/>
    </font>
    <font>
      <sz val="12"/>
      <color theme="1"/>
      <name val="Verdana"/>
      <family val="2"/>
    </font>
    <font>
      <sz val="11"/>
      <color theme="1"/>
      <name val="Verdana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</fills>
  <borders count="7">
    <border>
      <left/>
      <right/>
      <top/>
      <bottom/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/>
      <right/>
      <top/>
      <bottom style="thin">
        <color theme="0" tint="-0.249977111117893"/>
      </bottom>
      <diagonal/>
    </border>
    <border>
      <left/>
      <right/>
      <top/>
      <bottom style="medium">
        <color theme="0" tint="-0.249977111117893"/>
      </bottom>
      <diagonal/>
    </border>
  </borders>
  <cellStyleXfs count="1">
    <xf numFmtId="0" fontId="0" fillId="0" borderId="0"/>
  </cellStyleXfs>
  <cellXfs count="57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2" fillId="0" borderId="0" xfId="0" applyFont="1" applyAlignment="1">
      <alignment horizontal="center" vertical="center"/>
    </xf>
    <xf numFmtId="15" fontId="1" fillId="0" borderId="0" xfId="0" applyNumberFormat="1" applyFont="1" applyAlignment="1">
      <alignment horizontal="center"/>
    </xf>
    <xf numFmtId="0" fontId="4" fillId="0" borderId="0" xfId="0" applyFont="1" applyAlignment="1">
      <alignment vertical="center"/>
    </xf>
    <xf numFmtId="0" fontId="3" fillId="0" borderId="0" xfId="0" applyFont="1" applyFill="1" applyBorder="1" applyAlignment="1">
      <alignment horizontal="center" vertical="center"/>
    </xf>
    <xf numFmtId="0" fontId="3" fillId="0" borderId="0" xfId="0" applyFont="1" applyFill="1" applyAlignment="1">
      <alignment horizontal="center" vertical="center"/>
    </xf>
    <xf numFmtId="0" fontId="4" fillId="0" borderId="0" xfId="0" applyFont="1"/>
    <xf numFmtId="0" fontId="0" fillId="0" borderId="0" xfId="0" applyAlignment="1">
      <alignment horizontal="right"/>
    </xf>
    <xf numFmtId="15" fontId="2" fillId="0" borderId="0" xfId="0" applyNumberFormat="1" applyFont="1" applyAlignment="1">
      <alignment horizontal="center" vertical="center"/>
    </xf>
    <xf numFmtId="15" fontId="0" fillId="0" borderId="0" xfId="0" applyNumberFormat="1" applyAlignment="1">
      <alignment horizontal="center"/>
    </xf>
    <xf numFmtId="42" fontId="1" fillId="0" borderId="0" xfId="0" applyNumberFormat="1" applyFont="1" applyAlignment="1">
      <alignment horizontal="center"/>
    </xf>
    <xf numFmtId="42" fontId="0" fillId="0" borderId="0" xfId="0" applyNumberFormat="1"/>
    <xf numFmtId="15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5" fillId="0" borderId="0" xfId="0" applyFont="1" applyAlignment="1">
      <alignment horizontal="center"/>
    </xf>
    <xf numFmtId="15" fontId="5" fillId="0" borderId="0" xfId="0" applyNumberFormat="1" applyFont="1" applyAlignment="1">
      <alignment horizontal="center"/>
    </xf>
    <xf numFmtId="42" fontId="5" fillId="0" borderId="0" xfId="0" applyNumberFormat="1" applyFont="1" applyAlignment="1">
      <alignment horizontal="center"/>
    </xf>
    <xf numFmtId="0" fontId="0" fillId="0" borderId="0" xfId="0" applyAlignment="1">
      <alignment horizontal="center" vertical="center"/>
    </xf>
    <xf numFmtId="42" fontId="3" fillId="0" borderId="0" xfId="0" applyNumberFormat="1" applyFont="1" applyFill="1" applyBorder="1" applyAlignment="1">
      <alignment horizontal="center" vertical="center"/>
    </xf>
    <xf numFmtId="0" fontId="1" fillId="0" borderId="0" xfId="0" applyFont="1" applyFill="1" applyBorder="1" applyAlignment="1">
      <alignment horizontal="center" vertical="center"/>
    </xf>
    <xf numFmtId="42" fontId="1" fillId="0" borderId="0" xfId="0" applyNumberFormat="1" applyFont="1" applyFill="1" applyBorder="1" applyAlignment="1">
      <alignment horizontal="center" vertical="center"/>
    </xf>
    <xf numFmtId="0" fontId="1" fillId="0" borderId="0" xfId="0" applyFont="1" applyFill="1" applyAlignment="1">
      <alignment horizontal="center" vertical="center"/>
    </xf>
    <xf numFmtId="42" fontId="1" fillId="0" borderId="0" xfId="0" applyNumberFormat="1" applyFont="1" applyFill="1" applyAlignment="1">
      <alignment horizontal="center" vertical="center"/>
    </xf>
    <xf numFmtId="0" fontId="0" fillId="2" borderId="0" xfId="0" applyFill="1"/>
    <xf numFmtId="0" fontId="0" fillId="2" borderId="0" xfId="0" applyFill="1" applyAlignment="1">
      <alignment horizontal="right"/>
    </xf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0" fillId="3" borderId="0" xfId="0" applyFill="1" applyBorder="1"/>
    <xf numFmtId="0" fontId="0" fillId="3" borderId="0" xfId="0" applyFill="1" applyBorder="1" applyAlignment="1">
      <alignment horizontal="right"/>
    </xf>
    <xf numFmtId="0" fontId="0" fillId="3" borderId="6" xfId="0" applyFill="1" applyBorder="1"/>
    <xf numFmtId="0" fontId="0" fillId="3" borderId="6" xfId="0" applyFill="1" applyBorder="1" applyAlignment="1">
      <alignment horizontal="right"/>
    </xf>
    <xf numFmtId="0" fontId="9" fillId="2" borderId="3" xfId="0" applyFont="1" applyFill="1" applyBorder="1" applyAlignment="1" applyProtection="1">
      <alignment horizontal="right"/>
      <protection locked="0"/>
    </xf>
    <xf numFmtId="15" fontId="9" fillId="2" borderId="3" xfId="0" applyNumberFormat="1" applyFont="1" applyFill="1" applyBorder="1" applyAlignment="1" applyProtection="1">
      <alignment horizontal="right" vertical="center"/>
      <protection locked="0"/>
    </xf>
    <xf numFmtId="42" fontId="9" fillId="2" borderId="3" xfId="0" applyNumberFormat="1" applyFont="1" applyFill="1" applyBorder="1" applyAlignment="1" applyProtection="1">
      <alignment horizontal="right" indent="3"/>
      <protection locked="0"/>
    </xf>
    <xf numFmtId="0" fontId="9" fillId="2" borderId="1" xfId="0" applyFont="1" applyFill="1" applyBorder="1" applyAlignment="1" applyProtection="1">
      <alignment horizontal="right"/>
      <protection locked="0"/>
    </xf>
    <xf numFmtId="0" fontId="9" fillId="2" borderId="0" xfId="0" applyFont="1" applyFill="1"/>
    <xf numFmtId="0" fontId="9" fillId="0" borderId="0" xfId="0" applyFont="1"/>
    <xf numFmtId="0" fontId="9" fillId="4" borderId="2" xfId="0" applyFont="1" applyFill="1" applyBorder="1" applyAlignment="1">
      <alignment vertical="center"/>
    </xf>
    <xf numFmtId="0" fontId="9" fillId="4" borderId="3" xfId="0" applyFont="1" applyFill="1" applyBorder="1" applyAlignment="1">
      <alignment horizontal="right" vertical="center"/>
    </xf>
    <xf numFmtId="15" fontId="9" fillId="4" borderId="3" xfId="0" applyNumberFormat="1" applyFont="1" applyFill="1" applyBorder="1" applyAlignment="1">
      <alignment horizontal="right" vertical="center"/>
    </xf>
    <xf numFmtId="0" fontId="9" fillId="4" borderId="3" xfId="0" applyFont="1" applyFill="1" applyBorder="1" applyAlignment="1">
      <alignment horizontal="right"/>
    </xf>
    <xf numFmtId="0" fontId="9" fillId="4" borderId="4" xfId="0" applyFont="1" applyFill="1" applyBorder="1" applyAlignment="1">
      <alignment vertical="center"/>
    </xf>
    <xf numFmtId="42" fontId="9" fillId="4" borderId="1" xfId="0" applyNumberFormat="1" applyFont="1" applyFill="1" applyBorder="1" applyAlignment="1">
      <alignment horizontal="right"/>
    </xf>
    <xf numFmtId="0" fontId="8" fillId="4" borderId="2" xfId="0" applyFont="1" applyFill="1" applyBorder="1" applyAlignment="1">
      <alignment vertical="center"/>
    </xf>
    <xf numFmtId="0" fontId="8" fillId="4" borderId="3" xfId="0" applyFont="1" applyFill="1" applyBorder="1" applyAlignment="1">
      <alignment horizontal="right" vertical="center"/>
    </xf>
    <xf numFmtId="0" fontId="8" fillId="4" borderId="4" xfId="0" applyFont="1" applyFill="1" applyBorder="1" applyAlignment="1">
      <alignment vertical="center"/>
    </xf>
    <xf numFmtId="0" fontId="1" fillId="0" borderId="0" xfId="0" applyFont="1" applyBorder="1" applyAlignment="1">
      <alignment horizontal="center"/>
    </xf>
    <xf numFmtId="15" fontId="1" fillId="0" borderId="0" xfId="0" applyNumberFormat="1" applyFont="1" applyBorder="1" applyAlignment="1">
      <alignment horizontal="center"/>
    </xf>
    <xf numFmtId="42" fontId="1" fillId="0" borderId="0" xfId="0" applyNumberFormat="1" applyFont="1" applyBorder="1" applyAlignment="1">
      <alignment horizontal="center"/>
    </xf>
    <xf numFmtId="0" fontId="10" fillId="0" borderId="0" xfId="0" applyFont="1" applyAlignment="1">
      <alignment horizontal="center"/>
    </xf>
    <xf numFmtId="15" fontId="10" fillId="0" borderId="0" xfId="0" applyNumberFormat="1" applyFont="1" applyAlignment="1">
      <alignment horizontal="center"/>
    </xf>
    <xf numFmtId="42" fontId="10" fillId="0" borderId="0" xfId="0" applyNumberFormat="1" applyFont="1" applyAlignment="1">
      <alignment horizontal="center"/>
    </xf>
    <xf numFmtId="0" fontId="7" fillId="5" borderId="5" xfId="0" applyFont="1" applyFill="1" applyBorder="1" applyAlignment="1" applyProtection="1">
      <alignment horizontal="center" vertical="center"/>
      <protection locked="0"/>
    </xf>
  </cellXfs>
  <cellStyles count="1">
    <cellStyle name="Normal" xfId="0" builtinId="0"/>
  </cellStyles>
  <dxfs count="31"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numFmt numFmtId="32" formatCode="_(&quot;$&quot;* #,##0_);_(&quot;$&quot;* \(#,##0\);_(&quot;$&quot;* &quot;-&quot;_);_(@_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scheme val="none"/>
      </font>
      <numFmt numFmtId="32" formatCode="_(&quot;$&quot;* #,##0_);_(&quot;$&quot;* \(#,##0\);_(&quot;$&quot;* &quot;-&quot;_);_(@_)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Yu Gothic UI Light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numFmt numFmtId="32" formatCode="_(&quot;$&quot;* #,##0_);_(&quot;$&quot;* \(#,##0\);_(&quot;$&quot;* &quot;-&quot;_);_(@_)"/>
      <alignment horizont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alignment horizont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alignment horizont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numFmt numFmtId="20" formatCode="d\-mmm\-yy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alignment horizont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Yu Gothic UI Light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numFmt numFmtId="32" formatCode="_(&quot;$&quot;* #,##0_);_(&quot;$&quot;* \(#,##0\);_(&quot;$&quot;* &quot;-&quot;_);_(@_)"/>
      <alignment horizont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alignment horizont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alignment horizont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numFmt numFmtId="20" formatCode="d\-mmm\-yy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alignment horizont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Yu Gothic UI Light"/>
        <scheme val="none"/>
      </font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096789"/>
      <color rgb="FF0000EE"/>
      <color rgb="FF365899"/>
      <color rgb="FF3D6AD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215434083601288E-2"/>
          <c:y val="8.5596685629970345E-2"/>
          <c:w val="0.95445134575569357"/>
          <c:h val="0.85514407047235785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Help!$A$10</c:f>
              <c:strCache>
                <c:ptCount val="1"/>
                <c:pt idx="0">
                  <c:v>Total Stock</c:v>
                </c:pt>
              </c:strCache>
            </c:strRef>
          </c:tx>
          <c:spPr>
            <a:solidFill>
              <a:srgbClr val="92D050"/>
            </a:solidFill>
            <a:ln>
              <a:solidFill>
                <a:schemeClr val="tx1"/>
              </a:solidFill>
            </a:ln>
            <a:effectLst/>
          </c:spPr>
          <c:invertIfNegative val="0"/>
          <c:dLbls>
            <c:dLbl>
              <c:idx val="0"/>
              <c:layout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0-A1A6-420D-B364-8AD24C51D5C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Help!$B$10</c:f>
              <c:numCache>
                <c:formatCode>General</c:formatCode>
                <c:ptCount val="1"/>
                <c:pt idx="0">
                  <c:v>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1A6-420D-B364-8AD24C51D5C3}"/>
            </c:ext>
          </c:extLst>
        </c:ser>
        <c:ser>
          <c:idx val="0"/>
          <c:order val="1"/>
          <c:tx>
            <c:strRef>
              <c:f>Help!$A$9</c:f>
              <c:strCache>
                <c:ptCount val="1"/>
                <c:pt idx="0">
                  <c:v>Reorder Level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Help!$B$9</c:f>
              <c:numCache>
                <c:formatCode>General</c:formatCode>
                <c:ptCount val="1"/>
                <c:pt idx="0">
                  <c:v>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1A6-420D-B364-8AD24C51D5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overlap val="100"/>
        <c:axId val="134263168"/>
        <c:axId val="134264704"/>
      </c:barChart>
      <c:catAx>
        <c:axId val="134263168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one"/>
        <c:crossAx val="134264704"/>
        <c:crosses val="autoZero"/>
        <c:auto val="1"/>
        <c:lblAlgn val="ctr"/>
        <c:lblOffset val="100"/>
        <c:noMultiLvlLbl val="0"/>
      </c:catAx>
      <c:valAx>
        <c:axId val="134264704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one"/>
        <c:crossAx val="134263168"/>
        <c:crosses val="autoZero"/>
        <c:crossBetween val="between"/>
      </c:valAx>
      <c:spPr>
        <a:noFill/>
        <a:ln>
          <a:noFill/>
        </a:ln>
        <a:effectLst>
          <a:outerShdw blurRad="50800" dist="2540000" algn="ctr" rotWithShape="0">
            <a:srgbClr val="000000">
              <a:alpha val="43137"/>
            </a:srgbClr>
          </a:outerShdw>
          <a:softEdge rad="1270000"/>
        </a:effectLst>
      </c:spPr>
    </c:plotArea>
    <c:legend>
      <c:legendPos val="t"/>
      <c:layout>
        <c:manualLayout>
          <c:xMode val="edge"/>
          <c:yMode val="edge"/>
          <c:x val="0.68285893611124693"/>
          <c:y val="0.69135784547283741"/>
          <c:w val="0.2802448606967608"/>
          <c:h val="0.1111118599885007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[IMS.xlsm]Help!PivotTable1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accent5">
                    <a:lumMod val="50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Verdana" panose="020B0604030504040204" pitchFamily="34" charset="0"/>
              </a:defRPr>
            </a:pPr>
            <a:r>
              <a:rPr lang="en-US" sz="1200" u="none">
                <a:solidFill>
                  <a:schemeClr val="tx1"/>
                </a:solidFill>
                <a:latin typeface="Verdana" panose="020B0604030504040204" pitchFamily="34" charset="0"/>
                <a:ea typeface="Verdana" panose="020B0604030504040204" pitchFamily="34" charset="0"/>
                <a:cs typeface="Verdana" panose="020B0604030504040204" pitchFamily="34" charset="0"/>
              </a:rPr>
              <a:t>Category Wise Current Stock</a:t>
            </a:r>
          </a:p>
        </c:rich>
      </c:tx>
      <c:layout>
        <c:manualLayout>
          <c:xMode val="edge"/>
          <c:yMode val="edge"/>
          <c:x val="0.60926208399774173"/>
          <c:y val="3.3195020746887967E-2"/>
        </c:manualLayout>
      </c:layout>
      <c:overlay val="1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4">
              <a:lumMod val="60000"/>
              <a:lumOff val="40000"/>
            </a:schemeClr>
          </a:solidFill>
          <a:ln w="19050">
            <a:solidFill>
              <a:schemeClr val="accent4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4">
              <a:lumMod val="60000"/>
              <a:lumOff val="40000"/>
            </a:schemeClr>
          </a:solidFill>
          <a:ln w="19050">
            <a:solidFill>
              <a:schemeClr val="accent4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pattFill prst="narHorz">
            <a:fgClr>
              <a:schemeClr val="bg1">
                <a:lumMod val="85000"/>
              </a:schemeClr>
            </a:fgClr>
            <a:bgClr>
              <a:schemeClr val="bg1"/>
            </a:bgClr>
          </a:pattFill>
          <a:ln w="9525">
            <a:solidFill>
              <a:schemeClr val="bg1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layout/>
          <c:numFmt formatCode="#,##0;\-#,##0;;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sng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Verdana" panose="020B0604030504040204" pitchFamily="34" charset="0"/>
                  <a:ea typeface="Verdana" panose="020B0604030504040204" pitchFamily="34" charset="0"/>
                  <a:cs typeface="Verdana" panose="020B0604030504040204" pitchFamily="34" charset="0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Help!$G$1</c:f>
              <c:strCache>
                <c:ptCount val="1"/>
                <c:pt idx="0">
                  <c:v>Total</c:v>
                </c:pt>
              </c:strCache>
            </c:strRef>
          </c:tx>
          <c:spPr>
            <a:pattFill prst="narHorz">
              <a:fgClr>
                <a:schemeClr val="bg1">
                  <a:lumMod val="85000"/>
                </a:schemeClr>
              </a:fgClr>
              <a:bgClr>
                <a:schemeClr val="bg1"/>
              </a:bgClr>
            </a:pattFill>
            <a:ln w="9525">
              <a:solidFill>
                <a:schemeClr val="bg1">
                  <a:lumMod val="75000"/>
                </a:schemeClr>
              </a:solidFill>
            </a:ln>
            <a:effectLst/>
          </c:spPr>
          <c:invertIfNegative val="0"/>
          <c:dLbls>
            <c:numFmt formatCode="#,##0;\-#,##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sng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Verdana" panose="020B0604030504040204" pitchFamily="34" charset="0"/>
                    <a:ea typeface="Verdana" panose="020B0604030504040204" pitchFamily="34" charset="0"/>
                    <a:cs typeface="Verdana" panose="020B0604030504040204" pitchFamily="34" charset="0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</c:ext>
            </c:extLst>
          </c:dLbls>
          <c:cat>
            <c:strRef>
              <c:f>Help!$F$2:$F$6</c:f>
              <c:strCache>
                <c:ptCount val="4"/>
                <c:pt idx="0">
                  <c:v>Home Appliances</c:v>
                </c:pt>
                <c:pt idx="1">
                  <c:v>Mobile Phone</c:v>
                </c:pt>
                <c:pt idx="2">
                  <c:v>Tablet</c:v>
                </c:pt>
                <c:pt idx="3">
                  <c:v>Laptop</c:v>
                </c:pt>
              </c:strCache>
            </c:strRef>
          </c:cat>
          <c:val>
            <c:numRef>
              <c:f>Help!$G$2:$G$6</c:f>
              <c:numCache>
                <c:formatCode>General</c:formatCode>
                <c:ptCount val="4"/>
                <c:pt idx="0">
                  <c:v>170</c:v>
                </c:pt>
                <c:pt idx="1">
                  <c:v>240</c:v>
                </c:pt>
                <c:pt idx="2">
                  <c:v>100</c:v>
                </c:pt>
                <c:pt idx="3">
                  <c:v>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4B4-4FCB-8F58-3B2E5988F8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34079232"/>
        <c:axId val="134080768"/>
      </c:barChart>
      <c:catAx>
        <c:axId val="1340792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3175" cap="flat" cmpd="sng" algn="ctr">
            <a:solidFill>
              <a:schemeClr val="bg1">
                <a:lumMod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Verdana" panose="020B0604030504040204" pitchFamily="34" charset="0"/>
                <a:ea typeface="Verdana" panose="020B0604030504040204" pitchFamily="34" charset="0"/>
                <a:cs typeface="Verdana" panose="020B0604030504040204" pitchFamily="34" charset="0"/>
              </a:defRPr>
            </a:pPr>
            <a:endParaRPr lang="en-US"/>
          </a:p>
        </c:txPr>
        <c:crossAx val="134080768"/>
        <c:crosses val="autoZero"/>
        <c:auto val="1"/>
        <c:lblAlgn val="ctr"/>
        <c:lblOffset val="100"/>
        <c:noMultiLvlLbl val="0"/>
      </c:catAx>
      <c:valAx>
        <c:axId val="134080768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one"/>
        <c:crossAx val="1340792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000000000000056" l="0.70000000000000051" r="0.70000000000000051" t="0.75000000000000056" header="0.30000000000000027" footer="0.30000000000000027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</c:extLst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5.png"/><Relationship Id="rId3" Type="http://schemas.openxmlformats.org/officeDocument/2006/relationships/hyperlink" Target="https://gumroad.com/l/PlHCF" TargetMode="External"/><Relationship Id="rId7" Type="http://schemas.openxmlformats.org/officeDocument/2006/relationships/image" Target="../media/image4.png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image" Target="../media/image3.png"/><Relationship Id="rId5" Type="http://schemas.openxmlformats.org/officeDocument/2006/relationships/image" Target="../media/image2.png"/><Relationship Id="rId4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9</xdr:col>
      <xdr:colOff>142875</xdr:colOff>
      <xdr:row>20</xdr:row>
      <xdr:rowOff>95250</xdr:rowOff>
    </xdr:from>
    <xdr:ext cx="6081056" cy="341697"/>
    <xdr:sp macro="" textlink="Help!A17">
      <xdr:nvSpPr>
        <xdr:cNvPr id="52" name="ReorderLevelMessage1">
          <a:extLst>
            <a:ext uri="{FF2B5EF4-FFF2-40B4-BE49-F238E27FC236}">
              <a16:creationId xmlns:a16="http://schemas.microsoft.com/office/drawing/2014/main" id="{00000000-0008-0000-0000-000034000000}"/>
            </a:ext>
          </a:extLst>
        </xdr:cNvPr>
        <xdr:cNvSpPr/>
      </xdr:nvSpPr>
      <xdr:spPr>
        <a:xfrm>
          <a:off x="6315075" y="3924300"/>
          <a:ext cx="6081056" cy="341697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marL="0" indent="0" algn="l"/>
          <a:fld id="{AC4F996E-66F2-47F1-96EB-8824D1787E48}" type="TxLink">
            <a:rPr lang="en-US" sz="1600" b="0" i="0" u="none" strike="noStrike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pPr marL="0" indent="0" algn="l"/>
            <a:t> </a:t>
          </a:fld>
          <a:endParaRPr lang="en-US" sz="2800" b="0" i="0" u="none" strike="noStrike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twoCellAnchor>
    <xdr:from>
      <xdr:col>12</xdr:col>
      <xdr:colOff>228599</xdr:colOff>
      <xdr:row>10</xdr:row>
      <xdr:rowOff>123825</xdr:rowOff>
    </xdr:from>
    <xdr:to>
      <xdr:col>18</xdr:col>
      <xdr:colOff>142874</xdr:colOff>
      <xdr:row>12</xdr:row>
      <xdr:rowOff>22197</xdr:rowOff>
    </xdr:to>
    <xdr:sp macro="" textlink="">
      <xdr:nvSpPr>
        <xdr:cNvPr id="53" name="CurrentStockVsReOrderLevel">
          <a:extLst>
            <a:ext uri="{FF2B5EF4-FFF2-40B4-BE49-F238E27FC236}">
              <a16:creationId xmlns:a16="http://schemas.microsoft.com/office/drawing/2014/main" id="{00000000-0008-0000-0000-000035000000}"/>
            </a:ext>
          </a:extLst>
        </xdr:cNvPr>
        <xdr:cNvSpPr/>
      </xdr:nvSpPr>
      <xdr:spPr>
        <a:xfrm>
          <a:off x="8458199" y="2028825"/>
          <a:ext cx="4029075" cy="279372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0" i="0" u="none" strike="noStrike" kern="1200" spc="0" baseline="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Product Wise Current Stock Vs. Re-Order Level</a:t>
          </a:r>
        </a:p>
      </xdr:txBody>
    </xdr:sp>
    <xdr:clientData/>
  </xdr:twoCellAnchor>
  <xdr:oneCellAnchor>
    <xdr:from>
      <xdr:col>9</xdr:col>
      <xdr:colOff>119719</xdr:colOff>
      <xdr:row>20</xdr:row>
      <xdr:rowOff>150310</xdr:rowOff>
    </xdr:from>
    <xdr:ext cx="6081056" cy="341697"/>
    <xdr:sp macro="" textlink="Help!A15">
      <xdr:nvSpPr>
        <xdr:cNvPr id="37" name="ReorderLevelMessage2">
          <a:extLst>
            <a:ext uri="{FF2B5EF4-FFF2-40B4-BE49-F238E27FC236}">
              <a16:creationId xmlns:a16="http://schemas.microsoft.com/office/drawing/2014/main" id="{00000000-0008-0000-0000-000025000000}"/>
            </a:ext>
          </a:extLst>
        </xdr:cNvPr>
        <xdr:cNvSpPr/>
      </xdr:nvSpPr>
      <xdr:spPr>
        <a:xfrm>
          <a:off x="6291919" y="3979360"/>
          <a:ext cx="6081056" cy="341697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marL="0" indent="0" algn="l"/>
          <a:fld id="{38773ABC-2FB9-43E1-A621-562D2796E8DF}" type="TxLink">
            <a:rPr lang="en-US" sz="1600" b="0" i="0" u="none" strike="noStrike" cap="none" spc="0">
              <a:ln w="0"/>
              <a:solidFill>
                <a:srgbClr val="00B05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pPr marL="0" indent="0" algn="l"/>
            <a:t>Relax! Stock Is Above Re-Order Level.</a:t>
          </a:fld>
          <a:endParaRPr lang="en-US" sz="1600" b="0" i="0" u="none" strike="noStrike" cap="none" spc="0">
            <a:ln w="0"/>
            <a:solidFill>
              <a:srgbClr val="00B05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oneCellAnchor>
    <xdr:from>
      <xdr:col>9</xdr:col>
      <xdr:colOff>195919</xdr:colOff>
      <xdr:row>20</xdr:row>
      <xdr:rowOff>121735</xdr:rowOff>
    </xdr:from>
    <xdr:ext cx="6081056" cy="341697"/>
    <xdr:sp macro="" textlink="Help!A16">
      <xdr:nvSpPr>
        <xdr:cNvPr id="51" name="ReorderLevelMessage3">
          <a:extLst>
            <a:ext uri="{FF2B5EF4-FFF2-40B4-BE49-F238E27FC236}">
              <a16:creationId xmlns:a16="http://schemas.microsoft.com/office/drawing/2014/main" id="{00000000-0008-0000-0000-000033000000}"/>
            </a:ext>
          </a:extLst>
        </xdr:cNvPr>
        <xdr:cNvSpPr/>
      </xdr:nvSpPr>
      <xdr:spPr>
        <a:xfrm>
          <a:off x="6368119" y="3950785"/>
          <a:ext cx="6081056" cy="341697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marL="0" indent="0" algn="l"/>
          <a:fld id="{1693FB33-1718-49B7-963D-46B826D991D5}" type="TxLink">
            <a:rPr lang="en-US" sz="1600" b="0" i="0" u="none" strike="noStrike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pPr marL="0" indent="0" algn="l"/>
            <a:t> </a:t>
          </a:fld>
          <a:endParaRPr lang="en-US" sz="2800" b="0" i="0" u="none" strike="noStrike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oneCellAnchor>
    <xdr:from>
      <xdr:col>9</xdr:col>
      <xdr:colOff>112248</xdr:colOff>
      <xdr:row>12</xdr:row>
      <xdr:rowOff>142875</xdr:rowOff>
    </xdr:from>
    <xdr:ext cx="6107577" cy="466410"/>
    <xdr:sp macro="" textlink="Help!B13">
      <xdr:nvSpPr>
        <xdr:cNvPr id="50" name="ProductName">
          <a:extLst>
            <a:ext uri="{FF2B5EF4-FFF2-40B4-BE49-F238E27FC236}">
              <a16:creationId xmlns:a16="http://schemas.microsoft.com/office/drawing/2014/main" id="{00000000-0008-0000-0000-000032000000}"/>
            </a:ext>
          </a:extLst>
        </xdr:cNvPr>
        <xdr:cNvSpPr/>
      </xdr:nvSpPr>
      <xdr:spPr>
        <a:xfrm>
          <a:off x="6284448" y="2447925"/>
          <a:ext cx="6107577" cy="466410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marL="0" indent="0" algn="l"/>
          <a:fld id="{6D6B6DB6-E122-4224-8CFC-2C3A3923A21C}" type="TxLink">
            <a:rPr lang="en-US" sz="2400" b="0" i="0" u="none" strike="noStrike" cap="none" spc="0">
              <a:ln w="0"/>
              <a:solidFill>
                <a:schemeClr val="accent5">
                  <a:lumMod val="50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pPr marL="0" indent="0" algn="l"/>
            <a:t>Galaxy Tab A's</a:t>
          </a:fld>
          <a:endParaRPr lang="en-US" sz="2400" b="0" i="0" u="none" strike="noStrike" cap="none" spc="0">
            <a:ln w="0"/>
            <a:solidFill>
              <a:schemeClr val="accent5">
                <a:lumMod val="50000"/>
              </a:schemeClr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oneCellAnchor>
    <xdr:from>
      <xdr:col>9</xdr:col>
      <xdr:colOff>152400</xdr:colOff>
      <xdr:row>15</xdr:row>
      <xdr:rowOff>47625</xdr:rowOff>
    </xdr:from>
    <xdr:ext cx="6115049" cy="263790"/>
    <xdr:sp macro="" textlink="Help!B12">
      <xdr:nvSpPr>
        <xdr:cNvPr id="49" name="ProductCurrentStock">
          <a:extLst>
            <a:ext uri="{FF2B5EF4-FFF2-40B4-BE49-F238E27FC236}">
              <a16:creationId xmlns:a16="http://schemas.microsoft.com/office/drawing/2014/main" id="{00000000-0008-0000-0000-000031000000}"/>
            </a:ext>
          </a:extLst>
        </xdr:cNvPr>
        <xdr:cNvSpPr/>
      </xdr:nvSpPr>
      <xdr:spPr>
        <a:xfrm>
          <a:off x="6324600" y="2924175"/>
          <a:ext cx="6115049" cy="263790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l"/>
          <a:fld id="{4BFE79CE-A386-4EB3-861A-A49EBDD0EA82}" type="TxLink">
            <a:rPr lang="en-US" sz="1100" b="0" i="0" u="none" strike="noStrike" cap="none" spc="0">
              <a:ln w="0"/>
              <a:solidFill>
                <a:schemeClr val="accent5">
                  <a:lumMod val="50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pPr algn="l"/>
            <a:t>Current Stock is 70 Unit(s). And, Stock Value is $280</a:t>
          </a:fld>
          <a:endParaRPr lang="en-US" sz="11500" b="0" cap="none" spc="0">
            <a:ln w="0"/>
            <a:solidFill>
              <a:schemeClr val="accent5">
                <a:lumMod val="50000"/>
              </a:schemeClr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twoCellAnchor>
    <xdr:from>
      <xdr:col>9</xdr:col>
      <xdr:colOff>57150</xdr:colOff>
      <xdr:row>13</xdr:row>
      <xdr:rowOff>128587</xdr:rowOff>
    </xdr:from>
    <xdr:to>
      <xdr:col>18</xdr:col>
      <xdr:colOff>19050</xdr:colOff>
      <xdr:row>23</xdr:row>
      <xdr:rowOff>152400</xdr:rowOff>
    </xdr:to>
    <xdr:graphicFrame macro="">
      <xdr:nvGraphicFramePr>
        <xdr:cNvPr id="48" name="ProductChart">
          <a:extLst>
            <a:ext uri="{FF2B5EF4-FFF2-40B4-BE49-F238E27FC236}">
              <a16:creationId xmlns:a16="http://schemas.microsoft.com/office/drawing/2014/main" id="{00000000-0008-0000-0000-00003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76199</xdr:colOff>
      <xdr:row>10</xdr:row>
      <xdr:rowOff>66675</xdr:rowOff>
    </xdr:from>
    <xdr:to>
      <xdr:col>8</xdr:col>
      <xdr:colOff>657224</xdr:colOff>
      <xdr:row>22</xdr:row>
      <xdr:rowOff>76200</xdr:rowOff>
    </xdr:to>
    <xdr:graphicFrame macro="">
      <xdr:nvGraphicFramePr>
        <xdr:cNvPr id="45" name="ProductWiseStock">
          <a:extLst>
            <a:ext uri="{FF2B5EF4-FFF2-40B4-BE49-F238E27FC236}">
              <a16:creationId xmlns:a16="http://schemas.microsoft.com/office/drawing/2014/main" id="{00000000-0008-0000-0000-00002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oneCellAnchor>
    <xdr:from>
      <xdr:col>13</xdr:col>
      <xdr:colOff>497650</xdr:colOff>
      <xdr:row>3</xdr:row>
      <xdr:rowOff>57150</xdr:rowOff>
    </xdr:from>
    <xdr:ext cx="2988500" cy="466410"/>
    <xdr:sp macro="" textlink="">
      <xdr:nvSpPr>
        <xdr:cNvPr id="35" name="StockValueLabel">
          <a:extLst>
            <a:ext uri="{FF2B5EF4-FFF2-40B4-BE49-F238E27FC236}">
              <a16:creationId xmlns:a16="http://schemas.microsoft.com/office/drawing/2014/main" id="{00000000-0008-0000-0000-000023000000}"/>
            </a:ext>
          </a:extLst>
        </xdr:cNvPr>
        <xdr:cNvSpPr/>
      </xdr:nvSpPr>
      <xdr:spPr>
        <a:xfrm>
          <a:off x="9413050" y="628650"/>
          <a:ext cx="2988500" cy="466410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en-US" sz="2400" b="0" cap="none" spc="0">
              <a:ln w="0"/>
              <a:solidFill>
                <a:schemeClr val="accent4">
                  <a:lumMod val="7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Stock Out</a:t>
          </a:r>
        </a:p>
      </xdr:txBody>
    </xdr:sp>
    <xdr:clientData/>
  </xdr:oneCellAnchor>
  <xdr:oneCellAnchor>
    <xdr:from>
      <xdr:col>4</xdr:col>
      <xdr:colOff>447675</xdr:colOff>
      <xdr:row>3</xdr:row>
      <xdr:rowOff>85725</xdr:rowOff>
    </xdr:from>
    <xdr:ext cx="2988500" cy="466410"/>
    <xdr:sp macro="" textlink="">
      <xdr:nvSpPr>
        <xdr:cNvPr id="32" name="StockValueLabel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SpPr/>
      </xdr:nvSpPr>
      <xdr:spPr>
        <a:xfrm>
          <a:off x="3190875" y="657225"/>
          <a:ext cx="2988500" cy="466410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en-US" sz="2400" b="0" cap="none" spc="0">
              <a:ln w="0"/>
              <a:solidFill>
                <a:schemeClr val="accent4">
                  <a:lumMod val="7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Stock Value</a:t>
          </a:r>
        </a:p>
      </xdr:txBody>
    </xdr:sp>
    <xdr:clientData/>
  </xdr:oneCellAnchor>
  <xdr:twoCellAnchor>
    <xdr:from>
      <xdr:col>9</xdr:col>
      <xdr:colOff>104775</xdr:colOff>
      <xdr:row>10</xdr:row>
      <xdr:rowOff>66675</xdr:rowOff>
    </xdr:from>
    <xdr:to>
      <xdr:col>18</xdr:col>
      <xdr:colOff>57150</xdr:colOff>
      <xdr:row>22</xdr:row>
      <xdr:rowOff>142875</xdr:rowOff>
    </xdr:to>
    <xdr:sp macro="" textlink="">
      <xdr:nvSpPr>
        <xdr:cNvPr id="26" name="Rounded Rectangle 25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SpPr/>
      </xdr:nvSpPr>
      <xdr:spPr>
        <a:xfrm>
          <a:off x="6276975" y="1971675"/>
          <a:ext cx="6124575" cy="2381250"/>
        </a:xfrm>
        <a:prstGeom prst="roundRect">
          <a:avLst>
            <a:gd name="adj" fmla="val 3690"/>
          </a:avLst>
        </a:prstGeom>
        <a:noFill/>
        <a:ln w="3175"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050"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oneCellAnchor>
    <xdr:from>
      <xdr:col>4</xdr:col>
      <xdr:colOff>438151</xdr:colOff>
      <xdr:row>6</xdr:row>
      <xdr:rowOff>0</xdr:rowOff>
    </xdr:from>
    <xdr:ext cx="2990850" cy="528734"/>
    <xdr:sp macro="" textlink="Help!B2">
      <xdr:nvSpPr>
        <xdr:cNvPr id="33" name="CurrentStock">
          <a:extLs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SpPr/>
      </xdr:nvSpPr>
      <xdr:spPr>
        <a:xfrm>
          <a:off x="3181351" y="1143000"/>
          <a:ext cx="2990850" cy="528734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marL="0" indent="0" algn="ctr"/>
          <a:fld id="{14A8A086-4BB5-4A19-AE59-2E7D7A7E72E2}" type="TxLink">
            <a:rPr lang="en-US" sz="2800" b="0" i="0" u="none" strike="noStrike" cap="none" spc="0">
              <a:ln w="0"/>
              <a:solidFill>
                <a:schemeClr val="accent5">
                  <a:lumMod val="50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pPr marL="0" indent="0" algn="ctr"/>
            <a:t> $588,790 </a:t>
          </a:fld>
          <a:endParaRPr lang="en-US" sz="2800" b="0" i="0" u="none" strike="noStrike" cap="none" spc="0">
            <a:ln w="0"/>
            <a:solidFill>
              <a:schemeClr val="accent5">
                <a:lumMod val="50000"/>
              </a:schemeClr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twoCellAnchor>
    <xdr:from>
      <xdr:col>0</xdr:col>
      <xdr:colOff>57150</xdr:colOff>
      <xdr:row>10</xdr:row>
      <xdr:rowOff>66675</xdr:rowOff>
    </xdr:from>
    <xdr:to>
      <xdr:col>9</xdr:col>
      <xdr:colOff>9525</xdr:colOff>
      <xdr:row>22</xdr:row>
      <xdr:rowOff>142875</xdr:rowOff>
    </xdr:to>
    <xdr:sp macro="" textlink="">
      <xdr:nvSpPr>
        <xdr:cNvPr id="25" name="Rounded Rectangle 24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SpPr/>
      </xdr:nvSpPr>
      <xdr:spPr>
        <a:xfrm>
          <a:off x="57150" y="1971675"/>
          <a:ext cx="6124575" cy="2362200"/>
        </a:xfrm>
        <a:prstGeom prst="roundRect">
          <a:avLst>
            <a:gd name="adj" fmla="val 3690"/>
          </a:avLst>
        </a:prstGeom>
        <a:noFill/>
        <a:ln w="3175"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050">
            <a:solidFill>
              <a:schemeClr val="tx1"/>
            </a:solidFill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oneCellAnchor>
    <xdr:from>
      <xdr:col>0</xdr:col>
      <xdr:colOff>59501</xdr:colOff>
      <xdr:row>3</xdr:row>
      <xdr:rowOff>64585</xdr:rowOff>
    </xdr:from>
    <xdr:ext cx="2988500" cy="466410"/>
    <xdr:sp macro="" textlink="">
      <xdr:nvSpPr>
        <xdr:cNvPr id="20" name="CurrentStockLabel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/>
      </xdr:nvSpPr>
      <xdr:spPr>
        <a:xfrm>
          <a:off x="59501" y="636085"/>
          <a:ext cx="2988500" cy="466410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en-US" sz="2400" b="0" cap="none" spc="0">
              <a:ln w="0"/>
              <a:solidFill>
                <a:schemeClr val="accent4">
                  <a:lumMod val="7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Current Stock</a:t>
          </a:r>
        </a:p>
      </xdr:txBody>
    </xdr:sp>
    <xdr:clientData/>
  </xdr:oneCellAnchor>
  <xdr:oneCellAnchor>
    <xdr:from>
      <xdr:col>9</xdr:col>
      <xdr:colOff>114300</xdr:colOff>
      <xdr:row>6</xdr:row>
      <xdr:rowOff>9525</xdr:rowOff>
    </xdr:from>
    <xdr:ext cx="2990850" cy="528734"/>
    <xdr:sp macro="" textlink="Help!B5">
      <xdr:nvSpPr>
        <xdr:cNvPr id="38" name="CurrentStock">
          <a:extLst>
            <a:ext uri="{FF2B5EF4-FFF2-40B4-BE49-F238E27FC236}">
              <a16:creationId xmlns:a16="http://schemas.microsoft.com/office/drawing/2014/main" id="{00000000-0008-0000-0000-000026000000}"/>
            </a:ext>
          </a:extLst>
        </xdr:cNvPr>
        <xdr:cNvSpPr/>
      </xdr:nvSpPr>
      <xdr:spPr>
        <a:xfrm>
          <a:off x="6286500" y="1152525"/>
          <a:ext cx="2990850" cy="528734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marL="0" indent="0" algn="ctr"/>
          <a:fld id="{C53A5328-6FBA-4D25-945F-259525999725}" type="TxLink">
            <a:rPr lang="en-US" sz="2800" b="0" i="0" u="none" strike="noStrike" cap="none" spc="0">
              <a:ln w="0"/>
              <a:solidFill>
                <a:schemeClr val="accent5">
                  <a:lumMod val="50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pPr marL="0" indent="0" algn="ctr"/>
            <a:t>5 Unit(s)</a:t>
          </a:fld>
          <a:endParaRPr lang="en-US" sz="2800" b="0" i="0" u="none" strike="noStrike" cap="none" spc="0">
            <a:ln w="0"/>
            <a:solidFill>
              <a:schemeClr val="accent5">
                <a:lumMod val="50000"/>
              </a:schemeClr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oneCellAnchor>
    <xdr:from>
      <xdr:col>13</xdr:col>
      <xdr:colOff>514350</xdr:colOff>
      <xdr:row>6</xdr:row>
      <xdr:rowOff>0</xdr:rowOff>
    </xdr:from>
    <xdr:ext cx="2990850" cy="528734"/>
    <xdr:sp macro="" textlink="Help!B6">
      <xdr:nvSpPr>
        <xdr:cNvPr id="39" name="CurrentStock">
          <a:extLst>
            <a:ext uri="{FF2B5EF4-FFF2-40B4-BE49-F238E27FC236}">
              <a16:creationId xmlns:a16="http://schemas.microsoft.com/office/drawing/2014/main" id="{00000000-0008-0000-0000-000027000000}"/>
            </a:ext>
          </a:extLst>
        </xdr:cNvPr>
        <xdr:cNvSpPr/>
      </xdr:nvSpPr>
      <xdr:spPr>
        <a:xfrm>
          <a:off x="9429750" y="1143000"/>
          <a:ext cx="2990850" cy="528734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marL="0" indent="0" algn="ctr"/>
          <a:fld id="{0D6D6E42-318B-4529-ABA8-7D563E412156}" type="TxLink">
            <a:rPr lang="en-US" sz="2800" b="0" i="0" u="none" strike="noStrike" cap="none" spc="0">
              <a:ln w="0"/>
              <a:solidFill>
                <a:schemeClr val="accent5">
                  <a:lumMod val="50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pPr marL="0" indent="0" algn="ctr"/>
            <a:t>90 Unit(s)</a:t>
          </a:fld>
          <a:endParaRPr lang="en-US" sz="2800" b="0" i="0" u="none" strike="noStrike" cap="none" spc="0">
            <a:ln w="0"/>
            <a:solidFill>
              <a:schemeClr val="accent5">
                <a:lumMod val="50000"/>
              </a:schemeClr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oneCellAnchor>
    <xdr:from>
      <xdr:col>12</xdr:col>
      <xdr:colOff>138677</xdr:colOff>
      <xdr:row>8</xdr:row>
      <xdr:rowOff>150310</xdr:rowOff>
    </xdr:from>
    <xdr:ext cx="894219" cy="201465"/>
    <xdr:sp macro="" textlink="">
      <xdr:nvSpPr>
        <xdr:cNvPr id="40" name="CurrentMonthTag">
          <a:extLst>
            <a:ext uri="{FF2B5EF4-FFF2-40B4-BE49-F238E27FC236}">
              <a16:creationId xmlns:a16="http://schemas.microsoft.com/office/drawing/2014/main" id="{00000000-0008-0000-0000-000028000000}"/>
            </a:ext>
          </a:extLst>
        </xdr:cNvPr>
        <xdr:cNvSpPr/>
      </xdr:nvSpPr>
      <xdr:spPr>
        <a:xfrm>
          <a:off x="8368277" y="1674310"/>
          <a:ext cx="894219" cy="201465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en-US" sz="7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*Current Month</a:t>
          </a:r>
        </a:p>
      </xdr:txBody>
    </xdr:sp>
    <xdr:clientData/>
  </xdr:oneCellAnchor>
  <xdr:oneCellAnchor>
    <xdr:from>
      <xdr:col>16</xdr:col>
      <xdr:colOff>523785</xdr:colOff>
      <xdr:row>8</xdr:row>
      <xdr:rowOff>161925</xdr:rowOff>
    </xdr:from>
    <xdr:ext cx="894219" cy="201465"/>
    <xdr:sp macro="" textlink="">
      <xdr:nvSpPr>
        <xdr:cNvPr id="41" name="CurrentMonthTag">
          <a:extLst>
            <a:ext uri="{FF2B5EF4-FFF2-40B4-BE49-F238E27FC236}">
              <a16:creationId xmlns:a16="http://schemas.microsoft.com/office/drawing/2014/main" id="{00000000-0008-0000-0000-000029000000}"/>
            </a:ext>
          </a:extLst>
        </xdr:cNvPr>
        <xdr:cNvSpPr/>
      </xdr:nvSpPr>
      <xdr:spPr>
        <a:xfrm>
          <a:off x="11496585" y="1685925"/>
          <a:ext cx="894219" cy="201465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en-US" sz="7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*Current Month</a:t>
          </a:r>
        </a:p>
      </xdr:txBody>
    </xdr:sp>
    <xdr:clientData/>
  </xdr:oneCellAnchor>
  <xdr:oneCellAnchor>
    <xdr:from>
      <xdr:col>0</xdr:col>
      <xdr:colOff>57150</xdr:colOff>
      <xdr:row>5</xdr:row>
      <xdr:rowOff>171450</xdr:rowOff>
    </xdr:from>
    <xdr:ext cx="3000375" cy="528734"/>
    <xdr:sp macro="" textlink="Help!B1">
      <xdr:nvSpPr>
        <xdr:cNvPr id="31" name="CurrentStock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SpPr/>
      </xdr:nvSpPr>
      <xdr:spPr>
        <a:xfrm>
          <a:off x="57150" y="1123950"/>
          <a:ext cx="3000375" cy="528734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fld id="{3D15B8E7-67D6-4C05-B3EC-D9F772DEF47E}" type="TxLink">
            <a:rPr lang="en-US" sz="2800" b="0" i="0" u="none" strike="noStrike" cap="none" spc="0">
              <a:ln w="0"/>
              <a:solidFill>
                <a:schemeClr val="accent5">
                  <a:lumMod val="50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pPr algn="ctr"/>
            <a:t>540 Unit(s)</a:t>
          </a:fld>
          <a:endParaRPr lang="en-US" sz="2800" b="0" cap="none" spc="0">
            <a:ln w="0"/>
            <a:solidFill>
              <a:schemeClr val="accent5">
                <a:lumMod val="50000"/>
              </a:schemeClr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oneCellAnchor>
    <xdr:from>
      <xdr:col>9</xdr:col>
      <xdr:colOff>114300</xdr:colOff>
      <xdr:row>3</xdr:row>
      <xdr:rowOff>66675</xdr:rowOff>
    </xdr:from>
    <xdr:ext cx="2988500" cy="466410"/>
    <xdr:sp macro="" textlink="">
      <xdr:nvSpPr>
        <xdr:cNvPr id="34" name="StockValueLabel">
          <a:extLs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SpPr/>
      </xdr:nvSpPr>
      <xdr:spPr>
        <a:xfrm>
          <a:off x="6286500" y="638175"/>
          <a:ext cx="2988500" cy="466410"/>
        </a:xfrm>
        <a:prstGeom prst="rect">
          <a:avLst/>
        </a:prstGeom>
        <a:noFill/>
      </xdr:spPr>
      <xdr:txBody>
        <a:bodyPr wrap="square" lIns="91440" tIns="45720" rIns="91440" bIns="45720" anchor="t">
          <a:spAutoFit/>
        </a:bodyPr>
        <a:lstStyle/>
        <a:p>
          <a:pPr algn="ctr"/>
          <a:r>
            <a:rPr lang="en-US" sz="2400" b="0" cap="none" spc="0">
              <a:ln w="0"/>
              <a:solidFill>
                <a:schemeClr val="accent4">
                  <a:lumMod val="7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Stock In</a:t>
          </a:r>
          <a:r>
            <a:rPr lang="en-US" sz="1600" b="0" cap="none" spc="0" baseline="10000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*</a:t>
          </a:r>
          <a:endParaRPr lang="en-US" sz="1000" b="0" cap="none" spc="0" baseline="10000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twoCellAnchor>
    <xdr:from>
      <xdr:col>13</xdr:col>
      <xdr:colOff>495300</xdr:colOff>
      <xdr:row>3</xdr:row>
      <xdr:rowOff>47625</xdr:rowOff>
    </xdr:from>
    <xdr:to>
      <xdr:col>18</xdr:col>
      <xdr:colOff>66675</xdr:colOff>
      <xdr:row>9</xdr:row>
      <xdr:rowOff>152400</xdr:rowOff>
    </xdr:to>
    <xdr:sp macro="" textlink="">
      <xdr:nvSpPr>
        <xdr:cNvPr id="24" name="Rounded Rectangle 23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SpPr/>
      </xdr:nvSpPr>
      <xdr:spPr>
        <a:xfrm>
          <a:off x="9410700" y="619125"/>
          <a:ext cx="3000375" cy="1247775"/>
        </a:xfrm>
        <a:prstGeom prst="roundRect">
          <a:avLst>
            <a:gd name="adj" fmla="val 3690"/>
          </a:avLst>
        </a:prstGeom>
        <a:noFill/>
        <a:ln w="3175"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050">
            <a:solidFill>
              <a:schemeClr val="lt1"/>
            </a:solidFill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twoCellAnchor>
    <xdr:from>
      <xdr:col>0</xdr:col>
      <xdr:colOff>57149</xdr:colOff>
      <xdr:row>3</xdr:row>
      <xdr:rowOff>47625</xdr:rowOff>
    </xdr:from>
    <xdr:to>
      <xdr:col>4</xdr:col>
      <xdr:colOff>314324</xdr:colOff>
      <xdr:row>9</xdr:row>
      <xdr:rowOff>152400</xdr:rowOff>
    </xdr:to>
    <xdr:sp macro="" textlink="">
      <xdr:nvSpPr>
        <xdr:cNvPr id="9" name="Rounded Rectangl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57149" y="619125"/>
          <a:ext cx="3000375" cy="1247775"/>
        </a:xfrm>
        <a:prstGeom prst="roundRect">
          <a:avLst>
            <a:gd name="adj" fmla="val 3690"/>
          </a:avLst>
        </a:prstGeom>
        <a:noFill/>
        <a:ln w="3175"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050">
            <a:solidFill>
              <a:schemeClr val="lt1"/>
            </a:solidFill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twoCellAnchor>
    <xdr:from>
      <xdr:col>4</xdr:col>
      <xdr:colOff>438150</xdr:colOff>
      <xdr:row>3</xdr:row>
      <xdr:rowOff>47625</xdr:rowOff>
    </xdr:from>
    <xdr:to>
      <xdr:col>9</xdr:col>
      <xdr:colOff>9525</xdr:colOff>
      <xdr:row>9</xdr:row>
      <xdr:rowOff>152400</xdr:rowOff>
    </xdr:to>
    <xdr:sp macro="" textlink="">
      <xdr:nvSpPr>
        <xdr:cNvPr id="22" name="Rounded Rectangle 21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/>
      </xdr:nvSpPr>
      <xdr:spPr>
        <a:xfrm>
          <a:off x="3181350" y="619125"/>
          <a:ext cx="3000375" cy="1247775"/>
        </a:xfrm>
        <a:prstGeom prst="roundRect">
          <a:avLst>
            <a:gd name="adj" fmla="val 3690"/>
          </a:avLst>
        </a:prstGeom>
        <a:noFill/>
        <a:ln w="3175"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050"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twoCellAnchor>
    <xdr:from>
      <xdr:col>9</xdr:col>
      <xdr:colOff>114300</xdr:colOff>
      <xdr:row>3</xdr:row>
      <xdr:rowOff>38100</xdr:rowOff>
    </xdr:from>
    <xdr:to>
      <xdr:col>13</xdr:col>
      <xdr:colOff>371475</xdr:colOff>
      <xdr:row>9</xdr:row>
      <xdr:rowOff>142875</xdr:rowOff>
    </xdr:to>
    <xdr:sp macro="" textlink="">
      <xdr:nvSpPr>
        <xdr:cNvPr id="23" name="Rounded Rectangle 22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SpPr/>
      </xdr:nvSpPr>
      <xdr:spPr>
        <a:xfrm>
          <a:off x="6286500" y="609600"/>
          <a:ext cx="3000375" cy="1247775"/>
        </a:xfrm>
        <a:prstGeom prst="roundRect">
          <a:avLst>
            <a:gd name="adj" fmla="val 3690"/>
          </a:avLst>
        </a:prstGeom>
        <a:noFill/>
        <a:ln w="3175"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050">
            <a:solidFill>
              <a:schemeClr val="lt1"/>
            </a:solidFill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19</xdr:col>
      <xdr:colOff>0</xdr:colOff>
      <xdr:row>2</xdr:row>
      <xdr:rowOff>180975</xdr:rowOff>
    </xdr:to>
    <xdr:sp macro="" textlink="">
      <xdr:nvSpPr>
        <xdr:cNvPr id="6" name="HeadingBar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0" y="0"/>
          <a:ext cx="12487275" cy="561975"/>
        </a:xfrm>
        <a:prstGeom prst="rect">
          <a:avLst/>
        </a:prstGeom>
        <a:solidFill>
          <a:schemeClr val="tx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050"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twoCellAnchor>
    <xdr:from>
      <xdr:col>14</xdr:col>
      <xdr:colOff>495300</xdr:colOff>
      <xdr:row>0</xdr:row>
      <xdr:rowOff>133350</xdr:rowOff>
    </xdr:from>
    <xdr:to>
      <xdr:col>17</xdr:col>
      <xdr:colOff>76200</xdr:colOff>
      <xdr:row>2</xdr:row>
      <xdr:rowOff>57150</xdr:rowOff>
    </xdr:to>
    <xdr:sp macro="" textlink="">
      <xdr:nvSpPr>
        <xdr:cNvPr id="60" name="Rectangle: Rounded Corners 59" hidden="1">
          <a:hlinkClick xmlns:r="http://schemas.openxmlformats.org/officeDocument/2006/relationships" r:id="rId3" tooltip="More Features"/>
          <a:extLst>
            <a:ext uri="{FF2B5EF4-FFF2-40B4-BE49-F238E27FC236}">
              <a16:creationId xmlns:a16="http://schemas.microsoft.com/office/drawing/2014/main" id="{22E5EEBC-327E-424F-8720-078EF7A85CC6}"/>
            </a:ext>
          </a:extLst>
        </xdr:cNvPr>
        <xdr:cNvSpPr/>
      </xdr:nvSpPr>
      <xdr:spPr>
        <a:xfrm>
          <a:off x="10096500" y="133350"/>
          <a:ext cx="1638300" cy="304800"/>
        </a:xfrm>
        <a:prstGeom prst="roundRect">
          <a:avLst>
            <a:gd name="adj" fmla="val 50000"/>
          </a:avLst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chemeClr val="accent2"/>
              </a:solidFill>
              <a:latin typeface="Rockwell" panose="02060603020205020403" pitchFamily="18" charset="0"/>
            </a:rPr>
            <a:t>Try Pro Version</a:t>
          </a:r>
        </a:p>
      </xdr:txBody>
    </xdr:sp>
    <xdr:clientData/>
  </xdr:twoCellAnchor>
  <xdr:twoCellAnchor editAs="oneCell">
    <xdr:from>
      <xdr:col>17</xdr:col>
      <xdr:colOff>295275</xdr:colOff>
      <xdr:row>0</xdr:row>
      <xdr:rowOff>76200</xdr:rowOff>
    </xdr:from>
    <xdr:to>
      <xdr:col>18</xdr:col>
      <xdr:colOff>39243</xdr:colOff>
      <xdr:row>2</xdr:row>
      <xdr:rowOff>124968</xdr:rowOff>
    </xdr:to>
    <xdr:pic macro="[0]!ShutDown">
      <xdr:nvPicPr>
        <xdr:cNvPr id="44" name="ShutDown">
          <a:extLst>
            <a:ext uri="{FF2B5EF4-FFF2-40B4-BE49-F238E27FC236}">
              <a16:creationId xmlns:a16="http://schemas.microsoft.com/office/drawing/2014/main" id="{00000000-0008-0000-00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953875" y="76200"/>
          <a:ext cx="429768" cy="429768"/>
        </a:xfrm>
        <a:prstGeom prst="rect">
          <a:avLst/>
        </a:prstGeom>
      </xdr:spPr>
    </xdr:pic>
    <xdr:clientData/>
  </xdr:twoCellAnchor>
  <xdr:twoCellAnchor editAs="oneCell">
    <xdr:from>
      <xdr:col>11</xdr:col>
      <xdr:colOff>161925</xdr:colOff>
      <xdr:row>0</xdr:row>
      <xdr:rowOff>0</xdr:rowOff>
    </xdr:from>
    <xdr:to>
      <xdr:col>12</xdr:col>
      <xdr:colOff>257175</xdr:colOff>
      <xdr:row>3</xdr:row>
      <xdr:rowOff>107538</xdr:rowOff>
    </xdr:to>
    <xdr:pic>
      <xdr:nvPicPr>
        <xdr:cNvPr id="42" name="StockIcon">
          <a:extLst>
            <a:ext uri="{FF2B5EF4-FFF2-40B4-BE49-F238E27FC236}">
              <a16:creationId xmlns:a16="http://schemas.microsoft.com/office/drawing/2014/main" id="{00000000-0008-0000-00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705725" y="0"/>
          <a:ext cx="781050" cy="679038"/>
        </a:xfrm>
        <a:prstGeom prst="rect">
          <a:avLst/>
        </a:prstGeom>
      </xdr:spPr>
    </xdr:pic>
    <xdr:clientData/>
  </xdr:twoCellAnchor>
  <xdr:oneCellAnchor>
    <xdr:from>
      <xdr:col>0</xdr:col>
      <xdr:colOff>667193</xdr:colOff>
      <xdr:row>0</xdr:row>
      <xdr:rowOff>0</xdr:rowOff>
    </xdr:from>
    <xdr:ext cx="6943282" cy="542925"/>
    <xdr:sp macro="" textlink="">
      <xdr:nvSpPr>
        <xdr:cNvPr id="8" name="HeadingText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667193" y="0"/>
          <a:ext cx="6943282" cy="542925"/>
        </a:xfrm>
        <a:prstGeom prst="rect">
          <a:avLst/>
        </a:prstGeom>
        <a:noFill/>
      </xdr:spPr>
      <xdr:txBody>
        <a:bodyPr wrap="none" lIns="91440" tIns="45720" rIns="91440" bIns="45720">
          <a:noAutofit/>
        </a:bodyPr>
        <a:lstStyle/>
        <a:p>
          <a:pPr algn="ctr"/>
          <a:r>
            <a:rPr lang="en-US" sz="32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Inventory Management System</a:t>
          </a:r>
        </a:p>
      </xdr:txBody>
    </xdr:sp>
    <xdr:clientData/>
  </xdr:oneCellAnchor>
  <xdr:twoCellAnchor editAs="absolute">
    <xdr:from>
      <xdr:col>0</xdr:col>
      <xdr:colOff>0</xdr:colOff>
      <xdr:row>0</xdr:row>
      <xdr:rowOff>0</xdr:rowOff>
    </xdr:from>
    <xdr:to>
      <xdr:col>3</xdr:col>
      <xdr:colOff>657225</xdr:colOff>
      <xdr:row>24</xdr:row>
      <xdr:rowOff>0</xdr:rowOff>
    </xdr:to>
    <xdr:sp macro="" textlink="">
      <xdr:nvSpPr>
        <xdr:cNvPr id="4" name="MenuBar" hidden="1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0" y="0"/>
          <a:ext cx="2714625" cy="4572000"/>
        </a:xfrm>
        <a:prstGeom prst="rect">
          <a:avLst/>
        </a:prstGeom>
        <a:gradFill flip="none" rotWithShape="1">
          <a:gsLst>
            <a:gs pos="0">
              <a:schemeClr val="accent2">
                <a:lumMod val="67000"/>
              </a:schemeClr>
            </a:gs>
            <a:gs pos="48000">
              <a:schemeClr val="accent2">
                <a:lumMod val="97000"/>
                <a:lumOff val="3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0</xdr:col>
      <xdr:colOff>66675</xdr:colOff>
      <xdr:row>0</xdr:row>
      <xdr:rowOff>28575</xdr:rowOff>
    </xdr:from>
    <xdr:to>
      <xdr:col>0</xdr:col>
      <xdr:colOff>561974</xdr:colOff>
      <xdr:row>2</xdr:row>
      <xdr:rowOff>142874</xdr:rowOff>
    </xdr:to>
    <xdr:pic macro="[0]!CloseMenu">
      <xdr:nvPicPr>
        <xdr:cNvPr id="21" name="Back" hidden="1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675" y="28575"/>
          <a:ext cx="495299" cy="495299"/>
        </a:xfrm>
        <a:prstGeom prst="rect">
          <a:avLst/>
        </a:prstGeom>
      </xdr:spPr>
    </xdr:pic>
    <xdr:clientData/>
  </xdr:twoCellAnchor>
  <xdr:twoCellAnchor editAs="oneCell">
    <xdr:from>
      <xdr:col>0</xdr:col>
      <xdr:colOff>133350</xdr:colOff>
      <xdr:row>0</xdr:row>
      <xdr:rowOff>85725</xdr:rowOff>
    </xdr:from>
    <xdr:to>
      <xdr:col>0</xdr:col>
      <xdr:colOff>542925</xdr:colOff>
      <xdr:row>2</xdr:row>
      <xdr:rowOff>114300</xdr:rowOff>
    </xdr:to>
    <xdr:pic macro="[0]!OpenMenu">
      <xdr:nvPicPr>
        <xdr:cNvPr id="2" name="Open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350" y="85725"/>
          <a:ext cx="409575" cy="409575"/>
        </a:xfrm>
        <a:prstGeom prst="rect">
          <a:avLst/>
        </a:prstGeom>
      </xdr:spPr>
    </xdr:pic>
    <xdr:clientData/>
  </xdr:twoCellAnchor>
  <xdr:twoCellAnchor>
    <xdr:from>
      <xdr:col>3</xdr:col>
      <xdr:colOff>647700</xdr:colOff>
      <xdr:row>0</xdr:row>
      <xdr:rowOff>0</xdr:rowOff>
    </xdr:from>
    <xdr:to>
      <xdr:col>19</xdr:col>
      <xdr:colOff>0</xdr:colOff>
      <xdr:row>24</xdr:row>
      <xdr:rowOff>0</xdr:rowOff>
    </xdr:to>
    <xdr:sp macro="" textlink="">
      <xdr:nvSpPr>
        <xdr:cNvPr id="27" name="Instructions" hidden="1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SpPr/>
      </xdr:nvSpPr>
      <xdr:spPr>
        <a:xfrm>
          <a:off x="2705100" y="0"/>
          <a:ext cx="9782175" cy="4572000"/>
        </a:xfrm>
        <a:prstGeom prst="rect">
          <a:avLst/>
        </a:prstGeom>
        <a:solidFill>
          <a:schemeClr val="accent3"/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ctr"/>
          <a:r>
            <a:rPr lang="en-US" sz="1800" b="0" u="sng" cap="none" spc="0">
              <a:ln>
                <a:noFill/>
              </a:ln>
              <a:solidFill>
                <a:srgbClr val="FFFF00"/>
              </a:solidFill>
              <a:effectLst/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Instructions</a:t>
          </a:r>
        </a:p>
        <a:p>
          <a:pPr marL="0" indent="0" algn="ctr"/>
          <a:endParaRPr lang="en-US" sz="1800" b="0" cap="none" spc="0">
            <a:ln>
              <a:noFill/>
            </a:ln>
            <a:solidFill>
              <a:srgbClr val="FFFF00"/>
            </a:solidFill>
            <a:effectLst/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  <a:p>
          <a:pPr marL="914400" lvl="1" indent="-457200" algn="l">
            <a:buFont typeface="Wingdings" panose="05000000000000000000" pitchFamily="2" charset="2"/>
            <a:buChar char="Ø"/>
          </a:pPr>
          <a:r>
            <a:rPr lang="en-US" sz="1200" b="0" cap="none" spc="0">
              <a:ln>
                <a:noFill/>
              </a:ln>
              <a:solidFill>
                <a:srgbClr val="FFFF00"/>
              </a:solidFill>
              <a:effectLst/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Use Menu Buttons To Navigate To Different Worksheets.</a:t>
          </a:r>
        </a:p>
        <a:p>
          <a:pPr marL="914400" lvl="1" indent="-457200" algn="l">
            <a:buFont typeface="Wingdings" panose="05000000000000000000" pitchFamily="2" charset="2"/>
            <a:buChar char="Ø"/>
          </a:pPr>
          <a:endParaRPr lang="en-US" sz="1200" b="0" cap="none" spc="0">
            <a:ln>
              <a:noFill/>
            </a:ln>
            <a:solidFill>
              <a:srgbClr val="FFFF00"/>
            </a:solidFill>
            <a:effectLst/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  <a:p>
          <a:pPr marL="914400" lvl="1" indent="-457200" algn="l">
            <a:buFont typeface="Wingdings" panose="05000000000000000000" pitchFamily="2" charset="2"/>
            <a:buChar char="Ø"/>
          </a:pPr>
          <a:r>
            <a:rPr lang="en-US" sz="1200" b="0" cap="none" spc="0">
              <a:ln>
                <a:noFill/>
              </a:ln>
              <a:solidFill>
                <a:srgbClr val="FFFF00"/>
              </a:solidFill>
              <a:effectLst/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Once you fill user</a:t>
          </a:r>
          <a:r>
            <a:rPr lang="en-US" sz="1200" b="0" cap="none" spc="0" baseline="0">
              <a:ln>
                <a:noFill/>
              </a:ln>
              <a:solidFill>
                <a:srgbClr val="FFFF00"/>
              </a:solidFill>
              <a:effectLst/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 form click on enter button to save the entry in data sheet.</a:t>
          </a:r>
        </a:p>
        <a:p>
          <a:pPr marL="914400" lvl="1" indent="-457200" algn="l">
            <a:buFont typeface="Wingdings" panose="05000000000000000000" pitchFamily="2" charset="2"/>
            <a:buChar char="Ø"/>
          </a:pPr>
          <a:endParaRPr lang="en-US" sz="1200" b="0" cap="none" spc="0" baseline="0">
            <a:ln>
              <a:noFill/>
            </a:ln>
            <a:solidFill>
              <a:srgbClr val="FFFF00"/>
            </a:solidFill>
            <a:effectLst/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  <a:p>
          <a:pPr marL="914400" lvl="1" indent="-457200" algn="l">
            <a:buFont typeface="Wingdings" panose="05000000000000000000" pitchFamily="2" charset="2"/>
            <a:buChar char="Ø"/>
          </a:pPr>
          <a:r>
            <a:rPr lang="en-US" sz="1200" b="0" cap="none" spc="0" baseline="0">
              <a:ln>
                <a:noFill/>
              </a:ln>
              <a:solidFill>
                <a:srgbClr val="FFFF00"/>
              </a:solidFill>
              <a:effectLst/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Do not change the name of any worksheet.</a:t>
          </a:r>
        </a:p>
        <a:p>
          <a:pPr marL="914400" lvl="1" indent="-457200" algn="l">
            <a:buFont typeface="Wingdings" panose="05000000000000000000" pitchFamily="2" charset="2"/>
            <a:buChar char="Ø"/>
          </a:pPr>
          <a:endParaRPr lang="en-US" sz="1200" b="0" cap="none" spc="0" baseline="0">
            <a:ln>
              <a:noFill/>
            </a:ln>
            <a:solidFill>
              <a:srgbClr val="FFFF00"/>
            </a:solidFill>
            <a:effectLst/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  <a:p>
          <a:pPr marL="914400" lvl="1" indent="-457200" algn="l">
            <a:buFont typeface="Wingdings" panose="05000000000000000000" pitchFamily="2" charset="2"/>
            <a:buChar char="Ø"/>
          </a:pPr>
          <a:r>
            <a:rPr lang="en-US" sz="1200" b="0" cap="none" spc="0" baseline="0">
              <a:ln>
                <a:noFill/>
              </a:ln>
              <a:solidFill>
                <a:srgbClr val="FFFF00"/>
              </a:solidFill>
              <a:effectLst/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If you want to change heading name in any data sheet make sure to change it other data sheets as well.</a:t>
          </a:r>
        </a:p>
        <a:p>
          <a:pPr marL="914400" lvl="1" indent="-457200" algn="l">
            <a:buFont typeface="Wingdings" panose="05000000000000000000" pitchFamily="2" charset="2"/>
            <a:buChar char="Ø"/>
          </a:pPr>
          <a:endParaRPr lang="en-US" sz="1200" b="0" cap="none" spc="0" baseline="0">
            <a:ln>
              <a:noFill/>
            </a:ln>
            <a:solidFill>
              <a:srgbClr val="FFFF00"/>
            </a:solidFill>
            <a:effectLst/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  <a:p>
          <a:pPr marL="914400" lvl="1" indent="-457200" algn="l">
            <a:buFont typeface="Wingdings" panose="05000000000000000000" pitchFamily="2" charset="2"/>
            <a:buChar char="Ø"/>
          </a:pPr>
          <a:r>
            <a:rPr lang="en-US" sz="1200" b="0" cap="none" spc="0" baseline="0">
              <a:ln>
                <a:noFill/>
              </a:ln>
              <a:solidFill>
                <a:srgbClr val="FFFF00"/>
              </a:solidFill>
              <a:effectLst/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Do not delete or add any cell from user form.</a:t>
          </a:r>
        </a:p>
        <a:p>
          <a:pPr marL="914400" lvl="1" indent="-457200" algn="l">
            <a:buFont typeface="Wingdings" panose="05000000000000000000" pitchFamily="2" charset="2"/>
            <a:buChar char="Ø"/>
          </a:pPr>
          <a:endParaRPr lang="en-US" sz="1200" b="0" cap="none" spc="0" baseline="0">
            <a:ln>
              <a:noFill/>
            </a:ln>
            <a:solidFill>
              <a:srgbClr val="FFFF00"/>
            </a:solidFill>
            <a:effectLst/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twoCellAnchor>
    <xdr:from>
      <xdr:col>1</xdr:col>
      <xdr:colOff>495300</xdr:colOff>
      <xdr:row>0</xdr:row>
      <xdr:rowOff>38100</xdr:rowOff>
    </xdr:from>
    <xdr:to>
      <xdr:col>4</xdr:col>
      <xdr:colOff>390525</xdr:colOff>
      <xdr:row>2</xdr:row>
      <xdr:rowOff>142875</xdr:rowOff>
    </xdr:to>
    <xdr:sp macro="" textlink="">
      <xdr:nvSpPr>
        <xdr:cNvPr id="5" name="MenuHeading" hidden="1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1181100" y="38100"/>
          <a:ext cx="1952625" cy="485775"/>
        </a:xfrm>
        <a:prstGeom prst="round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Menu</a:t>
          </a:r>
          <a:endParaRPr lang="en-US" sz="2800" b="1">
            <a:solidFill>
              <a:schemeClr val="tx1"/>
            </a:solidFill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twoCellAnchor>
    <xdr:from>
      <xdr:col>0</xdr:col>
      <xdr:colOff>66675</xdr:colOff>
      <xdr:row>7</xdr:row>
      <xdr:rowOff>47625</xdr:rowOff>
    </xdr:from>
    <xdr:to>
      <xdr:col>1</xdr:col>
      <xdr:colOff>651891</xdr:colOff>
      <xdr:row>9</xdr:row>
      <xdr:rowOff>38100</xdr:rowOff>
    </xdr:to>
    <xdr:sp macro="[0]!EnterStockInSheet" textlink="">
      <xdr:nvSpPr>
        <xdr:cNvPr id="10" name="EnterStockIn" hidden="1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>
          <a:off x="66675" y="1381125"/>
          <a:ext cx="1271016" cy="371475"/>
        </a:xfrm>
        <a:prstGeom prst="roundRect">
          <a:avLst>
            <a:gd name="adj" fmla="val 6140"/>
          </a:avLst>
        </a:prstGeom>
        <a:ln/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4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Stock In</a:t>
          </a:r>
        </a:p>
      </xdr:txBody>
    </xdr:sp>
    <xdr:clientData/>
  </xdr:twoCellAnchor>
  <xdr:twoCellAnchor>
    <xdr:from>
      <xdr:col>2</xdr:col>
      <xdr:colOff>28576</xdr:colOff>
      <xdr:row>7</xdr:row>
      <xdr:rowOff>47623</xdr:rowOff>
    </xdr:from>
    <xdr:to>
      <xdr:col>3</xdr:col>
      <xdr:colOff>613792</xdr:colOff>
      <xdr:row>9</xdr:row>
      <xdr:rowOff>41527</xdr:rowOff>
    </xdr:to>
    <xdr:sp macro="[0]!EnterStockOutSheet" textlink="">
      <xdr:nvSpPr>
        <xdr:cNvPr id="11" name="EnterStockOut" hidden="1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/>
      </xdr:nvSpPr>
      <xdr:spPr>
        <a:xfrm>
          <a:off x="1400176" y="1381123"/>
          <a:ext cx="1271016" cy="374904"/>
        </a:xfrm>
        <a:prstGeom prst="roundRect">
          <a:avLst>
            <a:gd name="adj" fmla="val 6140"/>
          </a:avLst>
        </a:prstGeom>
        <a:ln/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4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Stock Out</a:t>
          </a:r>
        </a:p>
      </xdr:txBody>
    </xdr:sp>
    <xdr:clientData/>
  </xdr:twoCellAnchor>
  <xdr:twoCellAnchor>
    <xdr:from>
      <xdr:col>0</xdr:col>
      <xdr:colOff>0</xdr:colOff>
      <xdr:row>9</xdr:row>
      <xdr:rowOff>133350</xdr:rowOff>
    </xdr:from>
    <xdr:to>
      <xdr:col>3</xdr:col>
      <xdr:colOff>523876</xdr:colOff>
      <xdr:row>11</xdr:row>
      <xdr:rowOff>123825</xdr:rowOff>
    </xdr:to>
    <xdr:sp macro="" textlink="">
      <xdr:nvSpPr>
        <xdr:cNvPr id="12" name="ReportHeading" hidden="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/>
      </xdr:nvSpPr>
      <xdr:spPr>
        <a:xfrm>
          <a:off x="0" y="1847850"/>
          <a:ext cx="2581276" cy="371475"/>
        </a:xfrm>
        <a:prstGeom prst="roundRect">
          <a:avLst>
            <a:gd name="adj" fmla="val 6140"/>
          </a:avLst>
        </a:prstGeom>
        <a:solidFill>
          <a:schemeClr val="accent2">
            <a:lumMod val="60000"/>
            <a:lumOff val="40000"/>
          </a:schemeClr>
        </a:solidFill>
        <a:ln w="190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l"/>
          <a:r>
            <a:rPr lang="en-US" sz="1400" b="0">
              <a:solidFill>
                <a:srgbClr val="0070C0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Original Data</a:t>
          </a:r>
          <a:r>
            <a:rPr lang="en-US" sz="1400" b="0" baseline="0">
              <a:solidFill>
                <a:srgbClr val="0070C0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 Sheets</a:t>
          </a:r>
          <a:endParaRPr lang="en-US" sz="1400" b="0">
            <a:solidFill>
              <a:srgbClr val="0070C0"/>
            </a:solidFill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twoCellAnchor>
    <xdr:from>
      <xdr:col>0</xdr:col>
      <xdr:colOff>66674</xdr:colOff>
      <xdr:row>12</xdr:row>
      <xdr:rowOff>57149</xdr:rowOff>
    </xdr:from>
    <xdr:to>
      <xdr:col>1</xdr:col>
      <xdr:colOff>647699</xdr:colOff>
      <xdr:row>14</xdr:row>
      <xdr:rowOff>60197</xdr:rowOff>
    </xdr:to>
    <xdr:sp macro="[0]!StockInSheet" textlink="">
      <xdr:nvSpPr>
        <xdr:cNvPr id="13" name="StockInSheet" hidden="1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/>
      </xdr:nvSpPr>
      <xdr:spPr>
        <a:xfrm>
          <a:off x="66674" y="2343149"/>
          <a:ext cx="1266825" cy="384048"/>
        </a:xfrm>
        <a:prstGeom prst="roundRect">
          <a:avLst>
            <a:gd name="adj" fmla="val 6140"/>
          </a:avLst>
        </a:prstGeom>
        <a:ln/>
      </xdr:spPr>
      <xdr:style>
        <a:lnRef idx="3">
          <a:schemeClr val="lt1"/>
        </a:lnRef>
        <a:fillRef idx="1">
          <a:schemeClr val="accent1"/>
        </a:fillRef>
        <a:effectRef idx="1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4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Stock In</a:t>
          </a:r>
        </a:p>
      </xdr:txBody>
    </xdr:sp>
    <xdr:clientData/>
  </xdr:twoCellAnchor>
  <xdr:twoCellAnchor>
    <xdr:from>
      <xdr:col>2</xdr:col>
      <xdr:colOff>19050</xdr:colOff>
      <xdr:row>12</xdr:row>
      <xdr:rowOff>57150</xdr:rowOff>
    </xdr:from>
    <xdr:to>
      <xdr:col>3</xdr:col>
      <xdr:colOff>604266</xdr:colOff>
      <xdr:row>14</xdr:row>
      <xdr:rowOff>60198</xdr:rowOff>
    </xdr:to>
    <xdr:sp macro="[0]!StockOutSheet" textlink="">
      <xdr:nvSpPr>
        <xdr:cNvPr id="14" name="StockOutSheet" hidden="1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/>
      </xdr:nvSpPr>
      <xdr:spPr>
        <a:xfrm>
          <a:off x="1390650" y="2343150"/>
          <a:ext cx="1271016" cy="384048"/>
        </a:xfrm>
        <a:prstGeom prst="roundRect">
          <a:avLst>
            <a:gd name="adj" fmla="val 6140"/>
          </a:avLst>
        </a:prstGeom>
        <a:ln/>
      </xdr:spPr>
      <xdr:style>
        <a:lnRef idx="3">
          <a:schemeClr val="lt1"/>
        </a:lnRef>
        <a:fillRef idx="1">
          <a:schemeClr val="accent1"/>
        </a:fillRef>
        <a:effectRef idx="1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4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Stock Out</a:t>
          </a:r>
        </a:p>
      </xdr:txBody>
    </xdr:sp>
    <xdr:clientData/>
  </xdr:twoCellAnchor>
  <xdr:twoCellAnchor>
    <xdr:from>
      <xdr:col>0</xdr:col>
      <xdr:colOff>57148</xdr:colOff>
      <xdr:row>4</xdr:row>
      <xdr:rowOff>85724</xdr:rowOff>
    </xdr:from>
    <xdr:to>
      <xdr:col>3</xdr:col>
      <xdr:colOff>609599</xdr:colOff>
      <xdr:row>6</xdr:row>
      <xdr:rowOff>79628</xdr:rowOff>
    </xdr:to>
    <xdr:sp macro="[0]!EnterNewProductSheet" textlink="">
      <xdr:nvSpPr>
        <xdr:cNvPr id="7" name="NewProduct" hidden="1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57148" y="847724"/>
          <a:ext cx="2609851" cy="374904"/>
        </a:xfrm>
        <a:prstGeom prst="roundRect">
          <a:avLst>
            <a:gd name="adj" fmla="val 6140"/>
          </a:avLst>
        </a:prstGeom>
        <a:ln/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New Product</a:t>
          </a:r>
        </a:p>
      </xdr:txBody>
    </xdr:sp>
    <xdr:clientData/>
  </xdr:twoCellAnchor>
  <xdr:twoCellAnchor>
    <xdr:from>
      <xdr:col>0</xdr:col>
      <xdr:colOff>38100</xdr:colOff>
      <xdr:row>19</xdr:row>
      <xdr:rowOff>57149</xdr:rowOff>
    </xdr:from>
    <xdr:to>
      <xdr:col>3</xdr:col>
      <xdr:colOff>581025</xdr:colOff>
      <xdr:row>22</xdr:row>
      <xdr:rowOff>0</xdr:rowOff>
    </xdr:to>
    <xdr:sp macro="[0]!StockReport" textlink="">
      <xdr:nvSpPr>
        <xdr:cNvPr id="43" name="StockReport" hidden="1">
          <a:extLst>
            <a:ext uri="{FF2B5EF4-FFF2-40B4-BE49-F238E27FC236}">
              <a16:creationId xmlns:a16="http://schemas.microsoft.com/office/drawing/2014/main" id="{00000000-0008-0000-0000-00002B000000}"/>
            </a:ext>
          </a:extLst>
        </xdr:cNvPr>
        <xdr:cNvSpPr/>
      </xdr:nvSpPr>
      <xdr:spPr>
        <a:xfrm>
          <a:off x="38100" y="3676649"/>
          <a:ext cx="2600325" cy="514351"/>
        </a:xfrm>
        <a:prstGeom prst="roundRect">
          <a:avLst>
            <a:gd name="adj" fmla="val 50000"/>
          </a:avLst>
        </a:prstGeom>
        <a:ln/>
      </xdr:spPr>
      <xdr:style>
        <a:lnRef idx="1">
          <a:schemeClr val="accent4"/>
        </a:lnRef>
        <a:fillRef idx="3">
          <a:schemeClr val="accent4"/>
        </a:fillRef>
        <a:effectRef idx="2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 cap="none" spc="0">
              <a:ln w="10160">
                <a:solidFill>
                  <a:schemeClr val="accent5"/>
                </a:solidFill>
                <a:prstDash val="solid"/>
              </a:ln>
              <a:solidFill>
                <a:srgbClr val="FFFFFF"/>
              </a:solidFill>
              <a:effectLst>
                <a:outerShdw blurRad="38100" dist="22860" dir="5400000" algn="tl" rotWithShape="0">
                  <a:srgbClr val="000000">
                    <a:alpha val="30000"/>
                  </a:srgb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Stock Report</a:t>
          </a:r>
        </a:p>
      </xdr:txBody>
    </xdr:sp>
    <xdr:clientData/>
  </xdr:twoCellAnchor>
  <xdr:twoCellAnchor>
    <xdr:from>
      <xdr:col>0</xdr:col>
      <xdr:colOff>76200</xdr:colOff>
      <xdr:row>15</xdr:row>
      <xdr:rowOff>38099</xdr:rowOff>
    </xdr:from>
    <xdr:to>
      <xdr:col>3</xdr:col>
      <xdr:colOff>600076</xdr:colOff>
      <xdr:row>17</xdr:row>
      <xdr:rowOff>32003</xdr:rowOff>
    </xdr:to>
    <xdr:sp macro="[0]!ProductMasterSheet" textlink="">
      <xdr:nvSpPr>
        <xdr:cNvPr id="29" name="ProductMaster" hidden="1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SpPr/>
      </xdr:nvSpPr>
      <xdr:spPr>
        <a:xfrm>
          <a:off x="76200" y="2895599"/>
          <a:ext cx="2581276" cy="374904"/>
        </a:xfrm>
        <a:prstGeom prst="roundRect">
          <a:avLst>
            <a:gd name="adj" fmla="val 6140"/>
          </a:avLst>
        </a:prstGeom>
        <a:ln/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Product Master</a:t>
          </a:r>
        </a:p>
      </xdr:txBody>
    </xdr:sp>
    <xdr:clientData/>
  </xdr:twoCellAnchor>
  <xdr:twoCellAnchor>
    <xdr:from>
      <xdr:col>0</xdr:col>
      <xdr:colOff>0</xdr:colOff>
      <xdr:row>2</xdr:row>
      <xdr:rowOff>76200</xdr:rowOff>
    </xdr:from>
    <xdr:to>
      <xdr:col>3</xdr:col>
      <xdr:colOff>523876</xdr:colOff>
      <xdr:row>4</xdr:row>
      <xdr:rowOff>66675</xdr:rowOff>
    </xdr:to>
    <xdr:sp macro="" textlink="">
      <xdr:nvSpPr>
        <xdr:cNvPr id="30" name="UserformHeading" hidden="1">
          <a:extLst>
            <a:ext uri="{FF2B5EF4-FFF2-40B4-BE49-F238E27FC236}">
              <a16:creationId xmlns:a16="http://schemas.microsoft.com/office/drawing/2014/main" id="{00000000-0008-0000-0000-00001E000000}"/>
            </a:ext>
          </a:extLst>
        </xdr:cNvPr>
        <xdr:cNvSpPr/>
      </xdr:nvSpPr>
      <xdr:spPr>
        <a:xfrm>
          <a:off x="0" y="457200"/>
          <a:ext cx="2581276" cy="371475"/>
        </a:xfrm>
        <a:prstGeom prst="roundRect">
          <a:avLst>
            <a:gd name="adj" fmla="val 6140"/>
          </a:avLst>
        </a:prstGeom>
        <a:noFill/>
        <a:ln w="190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600" b="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Userforms</a:t>
          </a:r>
        </a:p>
      </xdr:txBody>
    </xdr:sp>
    <xdr:clientData/>
  </xdr:twoCellAnchor>
  <xdr:twoCellAnchor>
    <xdr:from>
      <xdr:col>9</xdr:col>
      <xdr:colOff>457200</xdr:colOff>
      <xdr:row>18</xdr:row>
      <xdr:rowOff>180974</xdr:rowOff>
    </xdr:from>
    <xdr:to>
      <xdr:col>12</xdr:col>
      <xdr:colOff>647700</xdr:colOff>
      <xdr:row>22</xdr:row>
      <xdr:rowOff>38099</xdr:rowOff>
    </xdr:to>
    <xdr:sp macro="[0]!Continue" textlink="">
      <xdr:nvSpPr>
        <xdr:cNvPr id="36" name="Continue" hidden="1">
          <a:extLs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SpPr/>
      </xdr:nvSpPr>
      <xdr:spPr>
        <a:xfrm>
          <a:off x="6629400" y="3609974"/>
          <a:ext cx="2247900" cy="619125"/>
        </a:xfrm>
        <a:prstGeom prst="roundRect">
          <a:avLst>
            <a:gd name="adj" fmla="val 50000"/>
          </a:avLst>
        </a:prstGeom>
        <a:solidFill>
          <a:srgbClr val="00B05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400" b="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CONTINUE</a:t>
          </a:r>
        </a:p>
      </xdr:txBody>
    </xdr:sp>
    <xdr:clientData/>
  </xdr:twoCellAnchor>
  <xdr:twoCellAnchor editAs="oneCell">
    <xdr:from>
      <xdr:col>8</xdr:col>
      <xdr:colOff>504825</xdr:colOff>
      <xdr:row>4</xdr:row>
      <xdr:rowOff>161925</xdr:rowOff>
    </xdr:from>
    <xdr:to>
      <xdr:col>9</xdr:col>
      <xdr:colOff>361950</xdr:colOff>
      <xdr:row>7</xdr:row>
      <xdr:rowOff>133350</xdr:rowOff>
    </xdr:to>
    <xdr:pic>
      <xdr:nvPicPr>
        <xdr:cNvPr id="46" name="Logo" hidden="1">
          <a:extLst>
            <a:ext uri="{FF2B5EF4-FFF2-40B4-BE49-F238E27FC236}">
              <a16:creationId xmlns:a16="http://schemas.microsoft.com/office/drawing/2014/main" id="{00000000-0008-0000-00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91225" y="923925"/>
          <a:ext cx="542925" cy="54292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</xdr:col>
      <xdr:colOff>2009775</xdr:colOff>
      <xdr:row>2</xdr:row>
      <xdr:rowOff>180974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0" y="0"/>
          <a:ext cx="6581775" cy="561974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l"/>
          <a:r>
            <a:rPr lang="en-US" sz="3200">
              <a:ln>
                <a:noFill/>
              </a:ln>
              <a:solidFill>
                <a:schemeClr val="bg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 Stock In</a:t>
          </a:r>
        </a:p>
      </xdr:txBody>
    </xdr:sp>
    <xdr:clientData/>
  </xdr:twoCellAnchor>
  <xdr:twoCellAnchor>
    <xdr:from>
      <xdr:col>2</xdr:col>
      <xdr:colOff>66675</xdr:colOff>
      <xdr:row>4</xdr:row>
      <xdr:rowOff>28576</xdr:rowOff>
    </xdr:from>
    <xdr:to>
      <xdr:col>2</xdr:col>
      <xdr:colOff>1971675</xdr:colOff>
      <xdr:row>4</xdr:row>
      <xdr:rowOff>314325</xdr:rowOff>
    </xdr:to>
    <xdr:sp macro="[0]!EnterStockIn" textlink="">
      <xdr:nvSpPr>
        <xdr:cNvPr id="5" name="Rounded Rectangle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4638675" y="800101"/>
          <a:ext cx="1905000" cy="285749"/>
        </a:xfrm>
        <a:prstGeom prst="roundRect">
          <a:avLst>
            <a:gd name="adj" fmla="val 11141"/>
          </a:avLst>
        </a:prstGeom>
        <a:solidFill>
          <a:schemeClr val="accent4">
            <a:lumMod val="60000"/>
            <a:lumOff val="40000"/>
          </a:schemeClr>
        </a:solidFill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</a:t>
          </a:r>
        </a:p>
      </xdr:txBody>
    </xdr:sp>
    <xdr:clientData/>
  </xdr:twoCellAnchor>
  <xdr:twoCellAnchor>
    <xdr:from>
      <xdr:col>2</xdr:col>
      <xdr:colOff>352425</xdr:colOff>
      <xdr:row>0</xdr:row>
      <xdr:rowOff>114300</xdr:rowOff>
    </xdr:from>
    <xdr:to>
      <xdr:col>2</xdr:col>
      <xdr:colOff>1933575</xdr:colOff>
      <xdr:row>2</xdr:row>
      <xdr:rowOff>95250</xdr:rowOff>
    </xdr:to>
    <xdr:sp macro="[0]!ShowDashboard" textlink="">
      <xdr:nvSpPr>
        <xdr:cNvPr id="7" name="Rounded Rectangle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/>
      </xdr:nvSpPr>
      <xdr:spPr>
        <a:xfrm>
          <a:off x="4924425" y="114300"/>
          <a:ext cx="1581150" cy="361950"/>
        </a:xfrm>
        <a:prstGeom prst="roundRect">
          <a:avLst>
            <a:gd name="adj" fmla="val 9849"/>
          </a:avLst>
        </a:prstGeom>
        <a:solidFill>
          <a:schemeClr val="tx2"/>
        </a:solidFill>
        <a:ln w="3175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Back To Dashboard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</xdr:col>
      <xdr:colOff>2009775</xdr:colOff>
      <xdr:row>2</xdr:row>
      <xdr:rowOff>180974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0" y="0"/>
          <a:ext cx="6581775" cy="561974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l"/>
          <a:r>
            <a:rPr lang="en-US" sz="3200">
              <a:ln>
                <a:noFill/>
              </a:ln>
              <a:solidFill>
                <a:schemeClr val="bg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 Stock Out</a:t>
          </a:r>
        </a:p>
      </xdr:txBody>
    </xdr:sp>
    <xdr:clientData/>
  </xdr:twoCellAnchor>
  <xdr:twoCellAnchor>
    <xdr:from>
      <xdr:col>2</xdr:col>
      <xdr:colOff>66675</xdr:colOff>
      <xdr:row>4</xdr:row>
      <xdr:rowOff>28577</xdr:rowOff>
    </xdr:from>
    <xdr:to>
      <xdr:col>2</xdr:col>
      <xdr:colOff>1971675</xdr:colOff>
      <xdr:row>4</xdr:row>
      <xdr:rowOff>323851</xdr:rowOff>
    </xdr:to>
    <xdr:sp macro="[0]!EnterStockOut" textlink="">
      <xdr:nvSpPr>
        <xdr:cNvPr id="4" name="Rounded Rectangl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/>
      </xdr:nvSpPr>
      <xdr:spPr>
        <a:xfrm>
          <a:off x="4638675" y="800102"/>
          <a:ext cx="1905000" cy="295274"/>
        </a:xfrm>
        <a:prstGeom prst="roundRect">
          <a:avLst>
            <a:gd name="adj" fmla="val 13641"/>
          </a:avLst>
        </a:prstGeom>
        <a:solidFill>
          <a:schemeClr val="accent4">
            <a:lumMod val="60000"/>
            <a:lumOff val="40000"/>
          </a:schemeClr>
        </a:solidFill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</a:t>
          </a:r>
        </a:p>
      </xdr:txBody>
    </xdr:sp>
    <xdr:clientData/>
  </xdr:twoCellAnchor>
  <xdr:twoCellAnchor>
    <xdr:from>
      <xdr:col>2</xdr:col>
      <xdr:colOff>361950</xdr:colOff>
      <xdr:row>0</xdr:row>
      <xdr:rowOff>114300</xdr:rowOff>
    </xdr:from>
    <xdr:to>
      <xdr:col>2</xdr:col>
      <xdr:colOff>1943100</xdr:colOff>
      <xdr:row>2</xdr:row>
      <xdr:rowOff>95250</xdr:rowOff>
    </xdr:to>
    <xdr:sp macro="[0]!ShowDashboard" textlink="">
      <xdr:nvSpPr>
        <xdr:cNvPr id="7" name="Rounded Rectangle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/>
      </xdr:nvSpPr>
      <xdr:spPr>
        <a:xfrm>
          <a:off x="4933950" y="114300"/>
          <a:ext cx="1581150" cy="361950"/>
        </a:xfrm>
        <a:prstGeom prst="roundRect">
          <a:avLst>
            <a:gd name="adj" fmla="val 9849"/>
          </a:avLst>
        </a:prstGeom>
        <a:solidFill>
          <a:schemeClr val="tx2"/>
        </a:solidFill>
        <a:ln w="3175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Back To Dashboard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66675</xdr:colOff>
      <xdr:row>1</xdr:row>
      <xdr:rowOff>57150</xdr:rowOff>
    </xdr:from>
    <xdr:to>
      <xdr:col>9</xdr:col>
      <xdr:colOff>276225</xdr:colOff>
      <xdr:row>3</xdr:row>
      <xdr:rowOff>0</xdr:rowOff>
    </xdr:to>
    <xdr:sp macro="[0]!ShowDashboard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11210925" y="209550"/>
          <a:ext cx="895350" cy="323850"/>
        </a:xfrm>
        <a:prstGeom prst="roundRect">
          <a:avLst>
            <a:gd name="adj" fmla="val 9849"/>
          </a:avLst>
        </a:prstGeom>
        <a:solidFill>
          <a:schemeClr val="tx2"/>
        </a:solidFill>
        <a:ln w="19050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latin typeface="Georgia" panose="02040502050405020303" pitchFamily="18" charset="0"/>
            </a:rPr>
            <a:t>Dashboard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47625</xdr:colOff>
      <xdr:row>1</xdr:row>
      <xdr:rowOff>9525</xdr:rowOff>
    </xdr:from>
    <xdr:to>
      <xdr:col>9</xdr:col>
      <xdr:colOff>257175</xdr:colOff>
      <xdr:row>2</xdr:row>
      <xdr:rowOff>142875</xdr:rowOff>
    </xdr:to>
    <xdr:sp macro="[0]!ShowDashboard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11191875" y="161925"/>
          <a:ext cx="895350" cy="323850"/>
        </a:xfrm>
        <a:prstGeom prst="roundRect">
          <a:avLst>
            <a:gd name="adj" fmla="val 9849"/>
          </a:avLst>
        </a:prstGeom>
        <a:solidFill>
          <a:schemeClr val="tx2"/>
        </a:solidFill>
        <a:ln w="19050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latin typeface="Georgia" panose="02040502050405020303" pitchFamily="18" charset="0"/>
            </a:rPr>
            <a:t>Dashboard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28575</xdr:colOff>
      <xdr:row>1</xdr:row>
      <xdr:rowOff>28575</xdr:rowOff>
    </xdr:from>
    <xdr:to>
      <xdr:col>10</xdr:col>
      <xdr:colOff>238125</xdr:colOff>
      <xdr:row>2</xdr:row>
      <xdr:rowOff>161925</xdr:rowOff>
    </xdr:to>
    <xdr:sp macro="[0]!ShowDashboard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/>
      </xdr:nvSpPr>
      <xdr:spPr>
        <a:xfrm>
          <a:off x="11334750" y="180975"/>
          <a:ext cx="895350" cy="323850"/>
        </a:xfrm>
        <a:prstGeom prst="roundRect">
          <a:avLst>
            <a:gd name="adj" fmla="val 9849"/>
          </a:avLst>
        </a:prstGeom>
        <a:solidFill>
          <a:schemeClr val="tx2"/>
        </a:solidFill>
        <a:ln w="19050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latin typeface="Georgia" panose="02040502050405020303" pitchFamily="18" charset="0"/>
            </a:rPr>
            <a:t>Dashboard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</xdr:col>
      <xdr:colOff>2009775</xdr:colOff>
      <xdr:row>2</xdr:row>
      <xdr:rowOff>180974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/>
      </xdr:nvSpPr>
      <xdr:spPr>
        <a:xfrm>
          <a:off x="0" y="0"/>
          <a:ext cx="6581775" cy="561974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3200">
              <a:ln>
                <a:noFill/>
              </a:ln>
              <a:solidFill>
                <a:schemeClr val="bg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 New Product</a:t>
          </a:r>
        </a:p>
      </xdr:txBody>
    </xdr:sp>
    <xdr:clientData/>
  </xdr:twoCellAnchor>
  <xdr:twoCellAnchor>
    <xdr:from>
      <xdr:col>2</xdr:col>
      <xdr:colOff>361950</xdr:colOff>
      <xdr:row>0</xdr:row>
      <xdr:rowOff>114300</xdr:rowOff>
    </xdr:from>
    <xdr:to>
      <xdr:col>2</xdr:col>
      <xdr:colOff>1943100</xdr:colOff>
      <xdr:row>2</xdr:row>
      <xdr:rowOff>95250</xdr:rowOff>
    </xdr:to>
    <xdr:sp macro="[0]!ShowDashboard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SpPr/>
      </xdr:nvSpPr>
      <xdr:spPr>
        <a:xfrm>
          <a:off x="4933950" y="114300"/>
          <a:ext cx="1581150" cy="361950"/>
        </a:xfrm>
        <a:prstGeom prst="roundRect">
          <a:avLst>
            <a:gd name="adj" fmla="val 9849"/>
          </a:avLst>
        </a:prstGeom>
        <a:solidFill>
          <a:schemeClr val="tx2"/>
        </a:solidFill>
        <a:ln w="3175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Back To Dashboard</a:t>
          </a:r>
        </a:p>
      </xdr:txBody>
    </xdr:sp>
    <xdr:clientData/>
  </xdr:twoCellAnchor>
  <xdr:twoCellAnchor>
    <xdr:from>
      <xdr:col>2</xdr:col>
      <xdr:colOff>66675</xdr:colOff>
      <xdr:row>4</xdr:row>
      <xdr:rowOff>28576</xdr:rowOff>
    </xdr:from>
    <xdr:to>
      <xdr:col>2</xdr:col>
      <xdr:colOff>1971675</xdr:colOff>
      <xdr:row>4</xdr:row>
      <xdr:rowOff>314325</xdr:rowOff>
    </xdr:to>
    <xdr:sp macro="[0]!EnterNewProduct" textlink="">
      <xdr:nvSpPr>
        <xdr:cNvPr id="4" name="Rounded Rectangle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SpPr/>
      </xdr:nvSpPr>
      <xdr:spPr>
        <a:xfrm>
          <a:off x="4638675" y="800101"/>
          <a:ext cx="1905000" cy="285749"/>
        </a:xfrm>
        <a:prstGeom prst="roundRect">
          <a:avLst>
            <a:gd name="adj" fmla="val 13641"/>
          </a:avLst>
        </a:prstGeom>
        <a:solidFill>
          <a:schemeClr val="accent4">
            <a:lumMod val="60000"/>
            <a:lumOff val="40000"/>
          </a:schemeClr>
        </a:solidFill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</a:t>
          </a: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SYED" refreshedDate="43792.292992361108" createdVersion="5" refreshedVersion="6" minRefreshableVersion="3" recordCount="10">
  <cacheSource type="worksheet">
    <worksheetSource name="ProductMaster"/>
  </cacheSource>
  <cacheFields count="9">
    <cacheField name="S No." numFmtId="0">
      <sharedItems containsSemiMixedTypes="0" containsString="0" containsNumber="1" containsInteger="1" minValue="1" maxValue="10"/>
    </cacheField>
    <cacheField name="Product ID" numFmtId="0">
      <sharedItems/>
    </cacheField>
    <cacheField name="Product Name" numFmtId="0">
      <sharedItems/>
    </cacheField>
    <cacheField name="Product Description" numFmtId="0">
      <sharedItems/>
    </cacheField>
    <cacheField name="Product Category" numFmtId="0">
      <sharedItems containsBlank="1" count="5">
        <s v="Home Appliances"/>
        <s v="Mobile Phone"/>
        <s v="Tablet"/>
        <s v="Laptop"/>
        <m u="1"/>
      </sharedItems>
    </cacheField>
    <cacheField name="Unit Price" numFmtId="42">
      <sharedItems containsSemiMixedTypes="0" containsString="0" containsNumber="1" minValue="169" maxValue="5599"/>
    </cacheField>
    <cacheField name="Reorder Level" numFmtId="0">
      <sharedItems containsSemiMixedTypes="0" containsString="0" containsNumber="1" containsInteger="1" minValue="5" maxValue="120"/>
    </cacheField>
    <cacheField name="Current Stock" numFmtId="0">
      <sharedItems containsSemiMixedTypes="0" containsString="0" containsNumber="1" containsInteger="1" minValue="5" maxValue="180"/>
    </cacheField>
    <cacheField name="Value" numFmtId="42">
      <sharedItems containsSemiMixedTypes="0" containsString="0" containsNumber="1" minValue="2535" maxValue="25195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0">
  <r>
    <n v="1"/>
    <s v="P000024"/>
    <s v="Add Wash"/>
    <s v="Washing Machine"/>
    <x v="0"/>
    <n v="350"/>
    <n v="20"/>
    <n v="65"/>
    <n v="22750"/>
  </r>
  <r>
    <n v="2"/>
    <s v="P000036"/>
    <s v="4 Door Flex"/>
    <s v="Refrigerator"/>
    <x v="0"/>
    <n v="5599"/>
    <n v="15"/>
    <n v="45"/>
    <n v="251955"/>
  </r>
  <r>
    <n v="3"/>
    <s v="P000042"/>
    <s v="Chef Collection"/>
    <s v="Dishwasher"/>
    <x v="0"/>
    <n v="1099"/>
    <n v="10"/>
    <n v="40"/>
    <n v="43960"/>
  </r>
  <r>
    <n v="4"/>
    <s v="P000010"/>
    <s v="Grill"/>
    <s v="Microwave"/>
    <x v="0"/>
    <n v="169"/>
    <n v="8"/>
    <n v="15"/>
    <n v="2535"/>
  </r>
  <r>
    <n v="5"/>
    <s v="P000020"/>
    <s v="Power Bot"/>
    <s v="Vaccum Cleaner"/>
    <x v="0"/>
    <n v="999.99"/>
    <n v="5"/>
    <n v="5"/>
    <n v="4999.95"/>
  </r>
  <r>
    <n v="6"/>
    <s v="P000018"/>
    <s v="Galaxy S7"/>
    <s v="Smart Phone"/>
    <x v="1"/>
    <n v="849.99"/>
    <n v="120"/>
    <n v="180"/>
    <n v="152998.20000000001"/>
  </r>
  <r>
    <n v="7"/>
    <s v="P000006"/>
    <s v="Galaxy Note 7"/>
    <s v="Smart Phone"/>
    <x v="1"/>
    <n v="699.99"/>
    <n v="80"/>
    <n v="60"/>
    <n v="41999.4"/>
  </r>
  <r>
    <n v="8"/>
    <s v="P000015"/>
    <s v="Galaxy Tab A"/>
    <s v="Smart Phone"/>
    <x v="2"/>
    <n v="279.89999999999998"/>
    <n v="60"/>
    <n v="70"/>
    <n v="19593"/>
  </r>
  <r>
    <n v="9"/>
    <s v="P000017"/>
    <s v="Galaxy Tab S2"/>
    <s v="Smart Phone"/>
    <x v="2"/>
    <n v="399.99"/>
    <n v="15"/>
    <n v="30"/>
    <n v="11999.7"/>
  </r>
  <r>
    <n v="10"/>
    <s v="P000022"/>
    <s v="Notebook 9"/>
    <s v="Laptop"/>
    <x v="3"/>
    <n v="1199.99"/>
    <n v="30"/>
    <n v="30"/>
    <n v="35999.699999999997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6" applyNumberFormats="0" applyBorderFormats="0" applyFontFormats="0" applyPatternFormats="0" applyAlignmentFormats="0" applyWidthHeightFormats="1" dataCaption="Values" updatedVersion="6" minRefreshableVersion="3" useAutoFormatting="1" itemPrintTitles="1" createdVersion="5" indent="0" outline="1" outlineData="1" multipleFieldFilters="0" chartFormat="8">
  <location ref="F1:G6" firstHeaderRow="1" firstDataRow="1" firstDataCol="1"/>
  <pivotFields count="9">
    <pivotField showAll="0"/>
    <pivotField showAll="0"/>
    <pivotField showAll="0"/>
    <pivotField showAll="0"/>
    <pivotField axis="axisRow" showAll="0">
      <items count="6">
        <item x="0"/>
        <item m="1" x="4"/>
        <item x="1"/>
        <item x="2"/>
        <item x="3"/>
        <item t="default"/>
      </items>
    </pivotField>
    <pivotField showAll="0"/>
    <pivotField showAll="0"/>
    <pivotField dataField="1" showAll="0"/>
    <pivotField showAll="0"/>
  </pivotFields>
  <rowFields count="1">
    <field x="4"/>
  </rowFields>
  <rowItems count="5">
    <i>
      <x/>
    </i>
    <i>
      <x v="2"/>
    </i>
    <i>
      <x v="3"/>
    </i>
    <i>
      <x v="4"/>
    </i>
    <i t="grand">
      <x/>
    </i>
  </rowItems>
  <colItems count="1">
    <i/>
  </colItems>
  <dataFields count="1">
    <dataField name="Sum of Current Stock" fld="7" baseField="0" baseItem="0"/>
  </dataFields>
  <chartFormats count="1">
    <chartFormat chart="3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id="2" name="StockInData" displayName="StockInData" ref="A1:H22" totalsRowShown="0" headerRowDxfId="30" dataDxfId="29">
  <tableColumns count="8">
    <tableColumn id="1" name="S No." dataDxfId="28"/>
    <tableColumn id="2" name="Date" dataDxfId="27"/>
    <tableColumn id="3" name="Product ID" dataDxfId="26"/>
    <tableColumn id="4" name="Product Name" dataDxfId="25"/>
    <tableColumn id="5" name="Product Description" dataDxfId="24"/>
    <tableColumn id="6" name="Product Category" dataDxfId="23"/>
    <tableColumn id="7" name="Quantity" dataDxfId="22"/>
    <tableColumn id="8" name="Value" dataDxfId="21"/>
  </tableColumns>
  <tableStyleInfo name="TableStyleMedium20" showFirstColumn="0" showLastColumn="0" showRowStripes="1" showColumnStripes="0"/>
</table>
</file>

<file path=xl/tables/table2.xml><?xml version="1.0" encoding="utf-8"?>
<table xmlns="http://schemas.openxmlformats.org/spreadsheetml/2006/main" id="1" name="StockOutData" displayName="StockOutData" ref="A1:H8" totalsRowShown="0" headerRowDxfId="20" dataDxfId="19">
  <tableColumns count="8">
    <tableColumn id="1" name="S No." dataDxfId="18"/>
    <tableColumn id="2" name="Date" dataDxfId="17"/>
    <tableColumn id="3" name="Product ID" dataDxfId="16"/>
    <tableColumn id="4" name="Product Name" dataDxfId="15"/>
    <tableColumn id="5" name="Product Description" dataDxfId="14"/>
    <tableColumn id="6" name="Product Category" dataDxfId="13"/>
    <tableColumn id="7" name="Quantity" dataDxfId="12"/>
    <tableColumn id="8" name="Value" dataDxfId="11"/>
  </tableColumns>
  <tableStyleInfo name="TableStyleMedium20" showFirstColumn="0" showLastColumn="0" showRowStripes="1" showColumnStripes="0"/>
</table>
</file>

<file path=xl/tables/table3.xml><?xml version="1.0" encoding="utf-8"?>
<table xmlns="http://schemas.openxmlformats.org/spreadsheetml/2006/main" id="3" name="ProductMaster" displayName="ProductMaster" ref="A1:I11" totalsRowShown="0" headerRowDxfId="10" dataDxfId="9">
  <tableColumns count="9">
    <tableColumn id="1" name="S No." dataDxfId="8"/>
    <tableColumn id="2" name="Product ID" dataDxfId="7"/>
    <tableColumn id="3" name="Product Name" dataDxfId="6"/>
    <tableColumn id="4" name="Product Description" dataDxfId="5"/>
    <tableColumn id="5" name="Product Category" dataDxfId="4"/>
    <tableColumn id="8" name="Unit Price" dataDxfId="3"/>
    <tableColumn id="6" name="Reorder Level" dataDxfId="2"/>
    <tableColumn id="7" name="Current Stock" dataDxfId="1">
      <calculatedColumnFormula>SUMIFS(StockInData[Quantity],StockInData[Product ID],ProductMaster[[#This Row],[Product ID]])-SUMIFS(StockOutData[Quantity],StockOutData[Product ID],ProductMaster[[#This Row],[Product ID]])</calculatedColumnFormula>
    </tableColumn>
    <tableColumn id="9" name="Value" dataDxfId="0">
      <calculatedColumnFormula>SUMIFS(StockInData[Value],StockInData[Product ID],ProductMaster[[#This Row],[Product ID]])-SUMIFS(StockOutData[Value],StockOutData[Product ID],ProductMaster[[#This Row],[Product ID]])</calculatedColumnFormula>
    </tableColumn>
  </tableColumns>
  <tableStyleInfo name="TableStyleMedium16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S35"/>
  <sheetViews>
    <sheetView showGridLines="0" showRowColHeaders="0" tabSelected="1" zoomScaleNormal="100" workbookViewId="0"/>
  </sheetViews>
  <sheetFormatPr defaultColWidth="0" defaultRowHeight="15" zeroHeight="1" x14ac:dyDescent="0.25"/>
  <cols>
    <col min="1" max="18" width="9" customWidth="1"/>
    <col min="19" max="19" width="1.875" customWidth="1"/>
    <col min="20" max="16384" width="9" hidden="1"/>
  </cols>
  <sheetData>
    <row r="1" spans="1:19" x14ac:dyDescent="0.25">
      <c r="A1" s="27"/>
      <c r="B1" s="27"/>
      <c r="C1" s="27"/>
      <c r="D1" s="27"/>
      <c r="E1" s="27"/>
      <c r="F1" s="27"/>
      <c r="G1" s="27"/>
      <c r="H1" s="27"/>
      <c r="I1" s="27"/>
      <c r="J1" s="27"/>
      <c r="K1" s="27"/>
      <c r="L1" s="27"/>
      <c r="M1" s="27"/>
      <c r="N1" s="27"/>
      <c r="O1" s="27"/>
      <c r="P1" s="27"/>
      <c r="Q1" s="27"/>
      <c r="R1" s="27"/>
      <c r="S1" s="27"/>
    </row>
    <row r="2" spans="1:19" x14ac:dyDescent="0.25">
      <c r="A2" s="27"/>
      <c r="B2" s="27"/>
      <c r="C2" s="27"/>
      <c r="D2" s="27"/>
      <c r="E2" s="27"/>
      <c r="F2" s="27"/>
      <c r="G2" s="27"/>
      <c r="H2" s="27"/>
      <c r="I2" s="27"/>
      <c r="J2" s="27"/>
      <c r="K2" s="27"/>
      <c r="L2" s="27"/>
      <c r="M2" s="27"/>
      <c r="N2" s="27"/>
      <c r="O2" s="27"/>
      <c r="P2" s="27"/>
      <c r="Q2" s="27"/>
      <c r="R2" s="27"/>
      <c r="S2" s="27"/>
    </row>
    <row r="3" spans="1:19" x14ac:dyDescent="0.25">
      <c r="A3" s="27"/>
      <c r="B3" s="27"/>
      <c r="C3" s="27"/>
      <c r="D3" s="27"/>
      <c r="E3" s="27"/>
      <c r="F3" s="27"/>
      <c r="G3" s="27"/>
      <c r="H3" s="27"/>
      <c r="I3" s="27"/>
      <c r="J3" s="27"/>
      <c r="K3" s="27"/>
      <c r="L3" s="27"/>
      <c r="M3" s="27"/>
      <c r="N3" s="27"/>
      <c r="O3" s="27"/>
      <c r="P3" s="27"/>
      <c r="Q3" s="27"/>
      <c r="R3" s="27"/>
      <c r="S3" s="27"/>
    </row>
    <row r="4" spans="1:19" x14ac:dyDescent="0.25">
      <c r="A4" s="27"/>
      <c r="B4" s="27"/>
      <c r="C4" s="27"/>
      <c r="D4" s="27"/>
      <c r="E4" s="27"/>
      <c r="F4" s="27"/>
      <c r="G4" s="27"/>
      <c r="H4" s="27"/>
      <c r="I4" s="27"/>
      <c r="J4" s="27"/>
      <c r="K4" s="27"/>
      <c r="L4" s="27"/>
      <c r="M4" s="27"/>
      <c r="N4" s="27"/>
      <c r="O4" s="27"/>
      <c r="P4" s="27"/>
      <c r="Q4" s="27"/>
      <c r="R4" s="27"/>
      <c r="S4" s="27"/>
    </row>
    <row r="5" spans="1:19" x14ac:dyDescent="0.25">
      <c r="A5" s="27"/>
      <c r="B5" s="27"/>
      <c r="C5" s="27"/>
      <c r="D5" s="27"/>
      <c r="E5" s="27"/>
      <c r="F5" s="27"/>
      <c r="G5" s="27"/>
      <c r="H5" s="27"/>
      <c r="I5" s="27"/>
      <c r="J5" s="27"/>
      <c r="K5" s="27"/>
      <c r="L5" s="27"/>
      <c r="M5" s="27"/>
      <c r="N5" s="27"/>
      <c r="O5" s="27"/>
      <c r="P5" s="27"/>
      <c r="Q5" s="27"/>
      <c r="R5" s="27"/>
      <c r="S5" s="27"/>
    </row>
    <row r="6" spans="1:19" x14ac:dyDescent="0.25">
      <c r="A6" s="27"/>
      <c r="B6" s="27"/>
      <c r="C6" s="27"/>
      <c r="D6" s="27"/>
      <c r="E6" s="27"/>
      <c r="F6" s="27"/>
      <c r="G6" s="27"/>
      <c r="H6" s="27"/>
      <c r="I6" s="27"/>
      <c r="J6" s="27"/>
      <c r="K6" s="27"/>
      <c r="L6" s="27"/>
      <c r="M6" s="27"/>
      <c r="N6" s="27"/>
      <c r="O6" s="27"/>
      <c r="P6" s="27"/>
      <c r="Q6" s="27"/>
      <c r="R6" s="27"/>
      <c r="S6" s="27"/>
    </row>
    <row r="7" spans="1:19" x14ac:dyDescent="0.25">
      <c r="A7" s="27"/>
      <c r="B7" s="27"/>
      <c r="C7" s="27"/>
      <c r="D7" s="27"/>
      <c r="E7" s="27"/>
      <c r="F7" s="27"/>
      <c r="G7" s="27"/>
      <c r="H7" s="27"/>
      <c r="I7" s="27"/>
      <c r="J7" s="27"/>
      <c r="K7" s="27"/>
      <c r="L7" s="27"/>
      <c r="M7" s="27"/>
      <c r="N7" s="27"/>
      <c r="O7" s="27"/>
      <c r="P7" s="27"/>
      <c r="Q7" s="27"/>
      <c r="R7" s="27"/>
      <c r="S7" s="27"/>
    </row>
    <row r="8" spans="1:19" x14ac:dyDescent="0.25">
      <c r="A8" s="27"/>
      <c r="B8" s="27"/>
      <c r="C8" s="27"/>
      <c r="D8" s="27"/>
      <c r="E8" s="27"/>
      <c r="F8" s="27"/>
      <c r="G8" s="27"/>
      <c r="H8" s="27"/>
      <c r="I8" s="27"/>
      <c r="J8" s="27"/>
      <c r="K8" s="27"/>
      <c r="L8" s="27"/>
      <c r="M8" s="27"/>
      <c r="N8" s="27"/>
      <c r="O8" s="27"/>
      <c r="P8" s="27"/>
      <c r="Q8" s="27"/>
      <c r="R8" s="27"/>
      <c r="S8" s="27"/>
    </row>
    <row r="9" spans="1:19" x14ac:dyDescent="0.25">
      <c r="A9" s="27"/>
      <c r="B9" s="27"/>
      <c r="C9" s="27"/>
      <c r="D9" s="27"/>
      <c r="E9" s="27"/>
      <c r="F9" s="27"/>
      <c r="G9" s="27"/>
      <c r="H9" s="27"/>
      <c r="I9" s="27"/>
      <c r="J9" s="27"/>
      <c r="K9" s="27"/>
      <c r="L9" s="27"/>
      <c r="M9" s="27"/>
      <c r="N9" s="27"/>
      <c r="O9" s="27"/>
      <c r="P9" s="27"/>
      <c r="Q9" s="27"/>
      <c r="R9" s="27"/>
      <c r="S9" s="27"/>
    </row>
    <row r="10" spans="1:19" x14ac:dyDescent="0.25">
      <c r="A10" s="27"/>
      <c r="B10" s="27"/>
      <c r="C10" s="27"/>
      <c r="D10" s="27"/>
      <c r="E10" s="27"/>
      <c r="F10" s="27"/>
      <c r="G10" s="27"/>
      <c r="H10" s="27"/>
      <c r="I10" s="27"/>
      <c r="J10" s="27"/>
      <c r="K10" s="27"/>
      <c r="L10" s="27"/>
      <c r="M10" s="27"/>
      <c r="N10" s="27"/>
      <c r="O10" s="27"/>
      <c r="P10" s="27"/>
      <c r="Q10" s="27"/>
      <c r="R10" s="27"/>
      <c r="S10" s="27"/>
    </row>
    <row r="11" spans="1:19" x14ac:dyDescent="0.25">
      <c r="A11" s="27"/>
      <c r="B11" s="27"/>
      <c r="C11" s="27"/>
      <c r="D11" s="27"/>
      <c r="E11" s="27"/>
      <c r="F11" s="27"/>
      <c r="G11" s="27"/>
      <c r="H11" s="27"/>
      <c r="I11" s="27"/>
      <c r="J11" s="27"/>
      <c r="K11" s="27"/>
      <c r="L11" s="27"/>
      <c r="M11" s="27"/>
      <c r="N11" s="27"/>
      <c r="O11" s="27"/>
      <c r="P11" s="27"/>
      <c r="Q11" s="27"/>
      <c r="R11" s="27"/>
      <c r="S11" s="27"/>
    </row>
    <row r="12" spans="1:19" x14ac:dyDescent="0.25">
      <c r="A12" s="27"/>
      <c r="B12" s="27"/>
      <c r="C12" s="27"/>
      <c r="D12" s="27"/>
      <c r="E12" s="27"/>
      <c r="F12" s="27"/>
      <c r="G12" s="27"/>
      <c r="H12" s="27"/>
      <c r="I12" s="27"/>
      <c r="J12" s="27"/>
      <c r="K12" s="56" t="s">
        <v>38</v>
      </c>
      <c r="L12" s="56"/>
      <c r="M12" s="27"/>
      <c r="N12" s="27"/>
      <c r="O12" s="27"/>
      <c r="P12" s="27"/>
      <c r="Q12" s="27"/>
      <c r="R12" s="27"/>
      <c r="S12" s="27"/>
    </row>
    <row r="13" spans="1:19" x14ac:dyDescent="0.25">
      <c r="A13" s="27"/>
      <c r="B13" s="27"/>
      <c r="C13" s="27"/>
      <c r="D13" s="27"/>
      <c r="E13" s="27"/>
      <c r="F13" s="27"/>
      <c r="G13" s="27"/>
      <c r="H13" s="27"/>
      <c r="I13" s="27"/>
      <c r="J13" s="27"/>
      <c r="K13" s="27"/>
      <c r="L13" s="27"/>
      <c r="M13" s="27"/>
      <c r="N13" s="27"/>
      <c r="O13" s="27"/>
      <c r="P13" s="27"/>
      <c r="Q13" s="27"/>
      <c r="R13" s="27"/>
      <c r="S13" s="27"/>
    </row>
    <row r="14" spans="1:19" x14ac:dyDescent="0.25">
      <c r="A14" s="27"/>
      <c r="B14" s="27"/>
      <c r="C14" s="27"/>
      <c r="D14" s="27"/>
      <c r="E14" s="27"/>
      <c r="F14" s="27"/>
      <c r="G14" s="27"/>
      <c r="H14" s="27"/>
      <c r="I14" s="27"/>
      <c r="J14" s="27"/>
      <c r="K14" s="27"/>
      <c r="L14" s="27"/>
      <c r="M14" s="27"/>
      <c r="N14" s="27"/>
      <c r="O14" s="27"/>
      <c r="P14" s="27"/>
      <c r="Q14" s="27"/>
      <c r="R14" s="27"/>
      <c r="S14" s="27"/>
    </row>
    <row r="15" spans="1:19" x14ac:dyDescent="0.25">
      <c r="A15" s="27"/>
      <c r="B15" s="27"/>
      <c r="C15" s="27"/>
      <c r="D15" s="27"/>
      <c r="E15" s="27"/>
      <c r="F15" s="27"/>
      <c r="G15" s="27"/>
      <c r="H15" s="27"/>
      <c r="I15" s="27"/>
      <c r="J15" s="27"/>
      <c r="K15" s="27"/>
      <c r="L15" s="27"/>
      <c r="M15" s="27"/>
      <c r="N15" s="27"/>
      <c r="O15" s="27"/>
      <c r="P15" s="27"/>
      <c r="Q15" s="27"/>
      <c r="R15" s="27"/>
      <c r="S15" s="27"/>
    </row>
    <row r="16" spans="1:19" x14ac:dyDescent="0.25">
      <c r="A16" s="27"/>
      <c r="B16" s="27"/>
      <c r="C16" s="27"/>
      <c r="D16" s="27"/>
      <c r="E16" s="27"/>
      <c r="F16" s="27"/>
      <c r="G16" s="27"/>
      <c r="H16" s="27"/>
      <c r="I16" s="27"/>
      <c r="J16" s="27"/>
      <c r="K16" s="27"/>
      <c r="L16" s="27"/>
      <c r="M16" s="27"/>
      <c r="N16" s="27"/>
      <c r="O16" s="27"/>
      <c r="P16" s="27"/>
      <c r="Q16" s="27"/>
      <c r="R16" s="27"/>
      <c r="S16" s="27"/>
    </row>
    <row r="17" spans="1:19" x14ac:dyDescent="0.25">
      <c r="A17" s="27"/>
      <c r="B17" s="27"/>
      <c r="C17" s="27"/>
      <c r="D17" s="27"/>
      <c r="E17" s="27"/>
      <c r="F17" s="27"/>
      <c r="G17" s="27"/>
      <c r="H17" s="27"/>
      <c r="I17" s="27"/>
      <c r="J17" s="27"/>
      <c r="K17" s="27"/>
      <c r="L17" s="27"/>
      <c r="M17" s="27"/>
      <c r="N17" s="27"/>
      <c r="O17" s="27"/>
      <c r="P17" s="27"/>
      <c r="Q17" s="27"/>
      <c r="R17" s="27"/>
      <c r="S17" s="27"/>
    </row>
    <row r="18" spans="1:19" x14ac:dyDescent="0.25">
      <c r="A18" s="27"/>
      <c r="B18" s="27"/>
      <c r="C18" s="27"/>
      <c r="D18" s="27"/>
      <c r="E18" s="27"/>
      <c r="F18" s="27"/>
      <c r="G18" s="27"/>
      <c r="H18" s="27"/>
      <c r="I18" s="27"/>
      <c r="J18" s="27"/>
      <c r="K18" s="27"/>
      <c r="L18" s="27"/>
      <c r="M18" s="27"/>
      <c r="N18" s="27"/>
      <c r="O18" s="27"/>
      <c r="P18" s="27"/>
      <c r="Q18" s="27"/>
      <c r="R18" s="27"/>
      <c r="S18" s="27"/>
    </row>
    <row r="19" spans="1:19" x14ac:dyDescent="0.25">
      <c r="A19" s="27"/>
      <c r="B19" s="27"/>
      <c r="C19" s="27"/>
      <c r="D19" s="27"/>
      <c r="E19" s="27"/>
      <c r="F19" s="27"/>
      <c r="G19" s="27"/>
      <c r="H19" s="27"/>
      <c r="I19" s="27"/>
      <c r="J19" s="27"/>
      <c r="K19" s="27"/>
      <c r="L19" s="27"/>
      <c r="M19" s="27"/>
      <c r="N19" s="27"/>
      <c r="O19" s="27"/>
      <c r="P19" s="27"/>
      <c r="Q19" s="27"/>
      <c r="R19" s="27"/>
      <c r="S19" s="27"/>
    </row>
    <row r="20" spans="1:19" x14ac:dyDescent="0.25">
      <c r="A20" s="27"/>
      <c r="B20" s="27"/>
      <c r="C20" s="27"/>
      <c r="D20" s="27"/>
      <c r="E20" s="27"/>
      <c r="F20" s="27"/>
      <c r="G20" s="27"/>
      <c r="H20" s="27"/>
      <c r="I20" s="27"/>
      <c r="J20" s="27"/>
      <c r="K20" s="27"/>
      <c r="L20" s="27"/>
      <c r="M20" s="27"/>
      <c r="N20" s="27"/>
      <c r="O20" s="27"/>
      <c r="P20" s="27"/>
      <c r="Q20" s="27"/>
      <c r="R20" s="27"/>
      <c r="S20" s="27"/>
    </row>
    <row r="21" spans="1:19" x14ac:dyDescent="0.25">
      <c r="A21" s="27"/>
      <c r="B21" s="27"/>
      <c r="C21" s="27"/>
      <c r="D21" s="27"/>
      <c r="E21" s="27"/>
      <c r="F21" s="27"/>
      <c r="G21" s="27"/>
      <c r="H21" s="27"/>
      <c r="I21" s="27"/>
      <c r="J21" s="27"/>
      <c r="K21" s="27"/>
      <c r="L21" s="27"/>
      <c r="M21" s="27"/>
      <c r="N21" s="27"/>
      <c r="O21" s="27"/>
      <c r="P21" s="27"/>
      <c r="Q21" s="27"/>
      <c r="R21" s="27"/>
      <c r="S21" s="27"/>
    </row>
    <row r="22" spans="1:19" x14ac:dyDescent="0.25">
      <c r="A22" s="27"/>
      <c r="B22" s="27"/>
      <c r="C22" s="27"/>
      <c r="D22" s="27"/>
      <c r="E22" s="27"/>
      <c r="F22" s="27"/>
      <c r="G22" s="27"/>
      <c r="H22" s="27"/>
      <c r="I22" s="27"/>
      <c r="J22" s="27"/>
      <c r="K22" s="27"/>
      <c r="L22" s="27"/>
      <c r="M22" s="27"/>
      <c r="N22" s="27"/>
      <c r="O22" s="27"/>
      <c r="P22" s="27"/>
      <c r="Q22" s="27"/>
      <c r="R22" s="27"/>
      <c r="S22" s="27"/>
    </row>
    <row r="23" spans="1:19" x14ac:dyDescent="0.25">
      <c r="A23" s="27"/>
      <c r="B23" s="27"/>
      <c r="C23" s="27"/>
      <c r="D23" s="27"/>
      <c r="E23" s="27"/>
      <c r="F23" s="27"/>
      <c r="G23" s="27"/>
      <c r="H23" s="27"/>
      <c r="I23" s="27"/>
      <c r="J23" s="27"/>
      <c r="K23" s="27"/>
      <c r="L23" s="27"/>
      <c r="M23" s="27"/>
      <c r="N23" s="27"/>
      <c r="O23" s="27"/>
      <c r="P23" s="27"/>
      <c r="Q23" s="27"/>
      <c r="R23" s="27"/>
      <c r="S23" s="27"/>
    </row>
    <row r="24" spans="1:19" x14ac:dyDescent="0.25">
      <c r="A24" s="27"/>
      <c r="B24" s="27"/>
      <c r="C24" s="27"/>
      <c r="D24" s="27"/>
      <c r="E24" s="27"/>
      <c r="F24" s="27"/>
      <c r="G24" s="27"/>
      <c r="H24" s="27"/>
      <c r="I24" s="27"/>
      <c r="J24" s="27"/>
      <c r="K24" s="27"/>
      <c r="L24" s="27"/>
      <c r="M24" s="27"/>
      <c r="N24" s="27"/>
      <c r="O24" s="27"/>
      <c r="P24" s="27"/>
      <c r="Q24" s="27"/>
      <c r="R24" s="27"/>
      <c r="S24" s="27"/>
    </row>
    <row r="25" spans="1:19" hidden="1" x14ac:dyDescent="0.25"/>
    <row r="26" spans="1:19" hidden="1" x14ac:dyDescent="0.25"/>
    <row r="27" spans="1:19" hidden="1" x14ac:dyDescent="0.25"/>
    <row r="28" spans="1:19" hidden="1" x14ac:dyDescent="0.25"/>
    <row r="29" spans="1:19" hidden="1" x14ac:dyDescent="0.25"/>
    <row r="30" spans="1:19" hidden="1" x14ac:dyDescent="0.25"/>
    <row r="31" spans="1:19" hidden="1" x14ac:dyDescent="0.25"/>
    <row r="32" spans="1:19" hidden="1" x14ac:dyDescent="0.25"/>
    <row r="33" hidden="1" x14ac:dyDescent="0.25"/>
    <row r="34" hidden="1" x14ac:dyDescent="0.25"/>
    <row r="35" hidden="1" x14ac:dyDescent="0.25"/>
  </sheetData>
  <sheetProtection password="CC72" sheet="1" objects="1" scenarios="1" formatCells="0" formatColumns="0" formatRows="0" insertColumns="0" insertRows="0" insertHyperlinks="0" deleteColumns="0" deleteRows="0" sort="0" autoFilter="0"/>
  <mergeCells count="1">
    <mergeCell ref="K12:L12"/>
  </mergeCells>
  <dataValidations count="1">
    <dataValidation type="list" allowBlank="1" showInputMessage="1" showErrorMessage="1" sqref="K12:L12">
      <formula1>INDIRECT("ProductMaster[Product Name]")</formula1>
    </dataValidation>
  </dataValidation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G47"/>
  <sheetViews>
    <sheetView workbookViewId="0">
      <selection activeCell="A11" sqref="A11"/>
    </sheetView>
  </sheetViews>
  <sheetFormatPr defaultRowHeight="15" x14ac:dyDescent="0.25"/>
  <cols>
    <col min="1" max="1" width="29" bestFit="1" customWidth="1"/>
    <col min="2" max="2" width="12" bestFit="1" customWidth="1"/>
    <col min="4" max="4" width="10" customWidth="1"/>
    <col min="6" max="6" width="13.875" bestFit="1" customWidth="1"/>
    <col min="7" max="7" width="19.75" bestFit="1" customWidth="1"/>
    <col min="9" max="9" width="12.625" customWidth="1"/>
    <col min="10" max="10" width="13.625" customWidth="1"/>
    <col min="11" max="11" width="14" bestFit="1" customWidth="1"/>
    <col min="14" max="18" width="18.625" customWidth="1"/>
  </cols>
  <sheetData>
    <row r="1" spans="1:7" x14ac:dyDescent="0.25">
      <c r="A1" t="s">
        <v>12</v>
      </c>
      <c r="B1" s="1" t="str">
        <f>SUM(ProductMaster[Current Stock])&amp; " Unit(s)"</f>
        <v>540 Unit(s)</v>
      </c>
      <c r="D1" s="14"/>
      <c r="E1" s="14"/>
      <c r="F1" s="15" t="s">
        <v>31</v>
      </c>
      <c r="G1" t="s">
        <v>37</v>
      </c>
    </row>
    <row r="2" spans="1:7" x14ac:dyDescent="0.25">
      <c r="A2" t="s">
        <v>26</v>
      </c>
      <c r="B2" s="13">
        <f>SUM(ProductMaster[Value])</f>
        <v>588789.94999999995</v>
      </c>
      <c r="F2" s="16" t="s">
        <v>10</v>
      </c>
      <c r="G2" s="17">
        <v>170</v>
      </c>
    </row>
    <row r="3" spans="1:7" x14ac:dyDescent="0.25">
      <c r="A3" t="s">
        <v>27</v>
      </c>
      <c r="B3" s="14">
        <f ca="1">DATE(YEAR(TODAY()),MONTH(TODAY()),1)-1</f>
        <v>43769</v>
      </c>
      <c r="F3" s="16" t="s">
        <v>33</v>
      </c>
      <c r="G3" s="17">
        <v>240</v>
      </c>
    </row>
    <row r="4" spans="1:7" x14ac:dyDescent="0.25">
      <c r="A4" t="s">
        <v>28</v>
      </c>
      <c r="B4" s="14">
        <f ca="1">EOMONTH(TODAY(),0)+1</f>
        <v>43800</v>
      </c>
      <c r="F4" s="16" t="s">
        <v>35</v>
      </c>
      <c r="G4" s="17">
        <v>100</v>
      </c>
    </row>
    <row r="5" spans="1:7" x14ac:dyDescent="0.25">
      <c r="A5" t="s">
        <v>29</v>
      </c>
      <c r="B5" s="1" t="str">
        <f ca="1">SUMIFS(StockInData[Quantity],StockInData[Date],"&gt;"&amp;Help!B3,StockInData[Date],"&lt;"&amp;Help!B4)&amp;" Unit(s)"</f>
        <v>5 Unit(s)</v>
      </c>
      <c r="F5" s="16" t="s">
        <v>36</v>
      </c>
      <c r="G5" s="17">
        <v>30</v>
      </c>
    </row>
    <row r="6" spans="1:7" x14ac:dyDescent="0.25">
      <c r="A6" t="s">
        <v>30</v>
      </c>
      <c r="B6" s="1" t="str">
        <f ca="1">SUMIFS(StockOutData[Quantity],StockOutData[Date],"&gt;"&amp;Help!B3,StockOutData[Date],"&lt;"&amp;Help!B4)&amp;" Unit(s)"</f>
        <v>90 Unit(s)</v>
      </c>
      <c r="F6" s="16" t="s">
        <v>32</v>
      </c>
      <c r="G6" s="17">
        <v>540</v>
      </c>
    </row>
    <row r="7" spans="1:7" x14ac:dyDescent="0.25">
      <c r="A7" t="s">
        <v>52</v>
      </c>
      <c r="B7" s="21">
        <f>MATCH(Dashboard!K12,ProductMaster[Product Name],0)</f>
        <v>8</v>
      </c>
    </row>
    <row r="8" spans="1:7" x14ac:dyDescent="0.25">
      <c r="A8" t="s">
        <v>3</v>
      </c>
      <c r="B8" s="21" t="str">
        <f>VLOOKUP(B7,ProductMaster[#All],3,0)</f>
        <v>Galaxy Tab A</v>
      </c>
    </row>
    <row r="9" spans="1:7" x14ac:dyDescent="0.25">
      <c r="A9" t="s">
        <v>11</v>
      </c>
      <c r="B9">
        <f>VLOOKUP(B7,ProductMaster[#All],7,0)</f>
        <v>60</v>
      </c>
    </row>
    <row r="10" spans="1:7" x14ac:dyDescent="0.25">
      <c r="A10" t="s">
        <v>55</v>
      </c>
      <c r="B10">
        <f>VLOOKUP(B7,ProductMaster[#All],8,0)</f>
        <v>70</v>
      </c>
    </row>
    <row r="11" spans="1:7" x14ac:dyDescent="0.25">
      <c r="A11" t="s">
        <v>26</v>
      </c>
      <c r="B11" s="13">
        <f>VLOOKUP(B7,ProductMaster[#All],6,0)</f>
        <v>279.89999999999998</v>
      </c>
    </row>
    <row r="12" spans="1:7" x14ac:dyDescent="0.25">
      <c r="A12" t="s">
        <v>53</v>
      </c>
      <c r="B12" t="str">
        <f>"Current Stock is "&amp;B10&amp;" Unit(s). And, Stock Value is "&amp;TEXT(B11,"$0")</f>
        <v>Current Stock is 70 Unit(s). And, Stock Value is $280</v>
      </c>
    </row>
    <row r="13" spans="1:7" x14ac:dyDescent="0.25">
      <c r="A13" t="s">
        <v>54</v>
      </c>
      <c r="B13" t="str">
        <f>B8&amp;"'s"</f>
        <v>Galaxy Tab A's</v>
      </c>
    </row>
    <row r="15" spans="1:7" x14ac:dyDescent="0.25">
      <c r="A15" t="str">
        <f>IF(B10&gt;B9,"Relax! Stock Is Above Re-Order Level.","")</f>
        <v>Relax! Stock Is Above Re-Order Level.</v>
      </c>
    </row>
    <row r="16" spans="1:7" ht="37.5" customHeight="1" x14ac:dyDescent="0.25">
      <c r="A16" t="str">
        <f>IF(B9&gt;B10,"Do Something, Stock is Below Re-Order Level.","")</f>
        <v/>
      </c>
    </row>
    <row r="17" spans="1:1" ht="37.5" customHeight="1" x14ac:dyDescent="0.25">
      <c r="A17" t="str">
        <f>IF(B10=B9,"Hurry Up You Need More Stock","")</f>
        <v/>
      </c>
    </row>
    <row r="18" spans="1:1" ht="37.5" customHeight="1" x14ac:dyDescent="0.25"/>
    <row r="19" spans="1:1" ht="52.5" customHeight="1" x14ac:dyDescent="0.25"/>
    <row r="20" spans="1:1" ht="52.5" customHeight="1" x14ac:dyDescent="0.25"/>
    <row r="38" ht="31.5" customHeight="1" x14ac:dyDescent="0.25"/>
    <row r="39" ht="79.5" customHeight="1" x14ac:dyDescent="0.25"/>
    <row r="40" ht="31.5" customHeight="1" x14ac:dyDescent="0.25"/>
    <row r="41" ht="31.5" customHeight="1" x14ac:dyDescent="0.25"/>
    <row r="42" ht="31.5" customHeight="1" x14ac:dyDescent="0.25"/>
    <row r="43" ht="31.5" customHeight="1" x14ac:dyDescent="0.25"/>
    <row r="44" ht="31.5" customHeight="1" x14ac:dyDescent="0.25"/>
    <row r="45" ht="31.5" customHeight="1" x14ac:dyDescent="0.25"/>
    <row r="46" ht="31.5" customHeight="1" x14ac:dyDescent="0.25"/>
    <row r="47" ht="31.5" customHeight="1" x14ac:dyDescent="0.25"/>
  </sheetData>
  <pageMargins left="0.7" right="0.7" top="0.75" bottom="0.75" header="0.3" footer="0.3"/>
  <pageSetup orientation="portrait" verticalDpi="0"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H13"/>
  <sheetViews>
    <sheetView showGridLines="0" workbookViewId="0">
      <selection activeCell="B5" sqref="B5:B12"/>
    </sheetView>
  </sheetViews>
  <sheetFormatPr defaultColWidth="0" defaultRowHeight="15" zeroHeight="1" x14ac:dyDescent="0.25"/>
  <cols>
    <col min="1" max="1" width="28.5" bestFit="1" customWidth="1"/>
    <col min="2" max="2" width="31.5" style="9" customWidth="1"/>
    <col min="3" max="3" width="26.5" customWidth="1"/>
    <col min="4" max="8" width="0" hidden="1" customWidth="1"/>
    <col min="9" max="16384" width="9" hidden="1"/>
  </cols>
  <sheetData>
    <row r="1" spans="1:3" x14ac:dyDescent="0.25">
      <c r="A1" s="31"/>
      <c r="B1" s="32"/>
      <c r="C1" s="31"/>
    </row>
    <row r="2" spans="1:3" x14ac:dyDescent="0.25">
      <c r="A2" s="31"/>
      <c r="B2" s="32"/>
      <c r="C2" s="31"/>
    </row>
    <row r="3" spans="1:3" ht="15.75" thickBot="1" x14ac:dyDescent="0.3">
      <c r="A3" s="33"/>
      <c r="B3" s="34"/>
      <c r="C3" s="33"/>
    </row>
    <row r="4" spans="1:3" x14ac:dyDescent="0.25">
      <c r="A4" s="27"/>
      <c r="B4" s="28"/>
      <c r="C4" s="27"/>
    </row>
    <row r="5" spans="1:3" s="40" customFormat="1" ht="27.75" customHeight="1" x14ac:dyDescent="0.2">
      <c r="A5" s="41" t="s">
        <v>0</v>
      </c>
      <c r="B5" s="42" t="str">
        <f>IF(B8="","",(MAX(StockInData[S No.])+1))</f>
        <v/>
      </c>
      <c r="C5" s="39"/>
    </row>
    <row r="6" spans="1:3" s="40" customFormat="1" ht="27.75" customHeight="1" x14ac:dyDescent="0.2">
      <c r="A6" s="41" t="s">
        <v>1</v>
      </c>
      <c r="B6" s="43" t="str">
        <f ca="1">IF(B8="","",TODAY())</f>
        <v/>
      </c>
      <c r="C6" s="39"/>
    </row>
    <row r="7" spans="1:3" s="40" customFormat="1" ht="27.75" customHeight="1" x14ac:dyDescent="0.2">
      <c r="A7" s="41" t="s">
        <v>2</v>
      </c>
      <c r="B7" s="44" t="str">
        <f>IFERROR(INDEX(ProductMaster[Product ID],MATCH(EnterStockIn!B8,ProductMaster[Product Name],0),0),"")</f>
        <v/>
      </c>
      <c r="C7" s="39"/>
    </row>
    <row r="8" spans="1:3" s="40" customFormat="1" ht="27.75" customHeight="1" x14ac:dyDescent="0.2">
      <c r="A8" s="41" t="s">
        <v>3</v>
      </c>
      <c r="B8" s="35"/>
      <c r="C8" s="39"/>
    </row>
    <row r="9" spans="1:3" s="40" customFormat="1" ht="27.75" customHeight="1" x14ac:dyDescent="0.2">
      <c r="A9" s="41" t="s">
        <v>4</v>
      </c>
      <c r="B9" s="44" t="str">
        <f>IFERROR(INDEX(ProductMaster[Product Description],MATCH(EnterStockIn!B8,ProductMaster[Product Name],0),0),"")</f>
        <v/>
      </c>
      <c r="C9" s="39"/>
    </row>
    <row r="10" spans="1:3" s="40" customFormat="1" ht="27.75" customHeight="1" x14ac:dyDescent="0.2">
      <c r="A10" s="41" t="s">
        <v>5</v>
      </c>
      <c r="B10" s="44" t="str">
        <f>IFERROR(INDEX(ProductMaster[Product Category],MATCH(EnterStockIn!B8,ProductMaster[Product Name],0),0),"")</f>
        <v/>
      </c>
      <c r="C10" s="39"/>
    </row>
    <row r="11" spans="1:3" s="40" customFormat="1" ht="27.75" customHeight="1" x14ac:dyDescent="0.2">
      <c r="A11" s="41" t="s">
        <v>6</v>
      </c>
      <c r="B11" s="35"/>
      <c r="C11" s="39"/>
    </row>
    <row r="12" spans="1:3" s="40" customFormat="1" ht="27.75" customHeight="1" thickBot="1" x14ac:dyDescent="0.25">
      <c r="A12" s="45" t="s">
        <v>7</v>
      </c>
      <c r="B12" s="46" t="str">
        <f>IF(B11="","",(IFERROR(INDEX(ProductMaster[Unit Price],MATCH(EnterStockIn!B8,ProductMaster[Product Name],0),0),0)*B11))</f>
        <v/>
      </c>
      <c r="C12" s="39"/>
    </row>
    <row r="13" spans="1:3" ht="15.75" thickTop="1" x14ac:dyDescent="0.25">
      <c r="A13" s="27"/>
      <c r="B13" s="28"/>
      <c r="C13" s="27"/>
    </row>
  </sheetData>
  <sheetProtection sheet="1" objects="1" scenarios="1"/>
  <dataValidations xWindow="554" yWindow="394" count="2">
    <dataValidation type="list" allowBlank="1" showInputMessage="1" showErrorMessage="1" promptTitle="Select Product" prompt="Select Product Name From Drop Down. Rest Data Will Be Added Automatically" sqref="B8">
      <formula1>INDIRECT("ProductMaster[Product Name]")</formula1>
    </dataValidation>
    <dataValidation allowBlank="1" showInputMessage="1" showErrorMessage="1" promptTitle="Enter Quantity" prompt="Enter Stock Unit._x000a_" sqref="B11"/>
  </dataValidation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H13"/>
  <sheetViews>
    <sheetView showGridLines="0" workbookViewId="0">
      <selection activeCell="B5" sqref="B5:B12"/>
    </sheetView>
  </sheetViews>
  <sheetFormatPr defaultColWidth="0" defaultRowHeight="15" customHeight="1" zeroHeight="1" x14ac:dyDescent="0.25"/>
  <cols>
    <col min="1" max="1" width="28.5" bestFit="1" customWidth="1"/>
    <col min="2" max="2" width="31.5" style="9" customWidth="1"/>
    <col min="3" max="3" width="26.5" customWidth="1"/>
    <col min="4" max="8" width="0" hidden="1" customWidth="1"/>
    <col min="9" max="16384" width="9" hidden="1"/>
  </cols>
  <sheetData>
    <row r="1" spans="1:3" x14ac:dyDescent="0.25">
      <c r="A1" s="31"/>
      <c r="B1" s="32"/>
      <c r="C1" s="31"/>
    </row>
    <row r="2" spans="1:3" x14ac:dyDescent="0.25">
      <c r="A2" s="31"/>
      <c r="B2" s="32"/>
      <c r="C2" s="31"/>
    </row>
    <row r="3" spans="1:3" ht="15.75" thickBot="1" x14ac:dyDescent="0.3">
      <c r="A3" s="33"/>
      <c r="B3" s="34"/>
      <c r="C3" s="33"/>
    </row>
    <row r="4" spans="1:3" x14ac:dyDescent="0.25">
      <c r="A4" s="27"/>
      <c r="B4" s="28"/>
      <c r="C4" s="27"/>
    </row>
    <row r="5" spans="1:3" ht="27" customHeight="1" x14ac:dyDescent="0.25">
      <c r="A5" s="41" t="s">
        <v>0</v>
      </c>
      <c r="B5" s="42" t="str">
        <f>IF(B8="","",(MAX(StockOutData[S No.])+1))</f>
        <v/>
      </c>
      <c r="C5" s="27"/>
    </row>
    <row r="6" spans="1:3" ht="27" customHeight="1" x14ac:dyDescent="0.25">
      <c r="A6" s="41" t="s">
        <v>1</v>
      </c>
      <c r="B6" s="43" t="str">
        <f ca="1">IF(B8="","",TODAY())</f>
        <v/>
      </c>
      <c r="C6" s="27"/>
    </row>
    <row r="7" spans="1:3" ht="27" customHeight="1" x14ac:dyDescent="0.25">
      <c r="A7" s="41" t="s">
        <v>2</v>
      </c>
      <c r="B7" s="44" t="str">
        <f>IFERROR(INDEX(ProductMaster[Product ID],MATCH(EnterStockOut!B8,ProductMaster[Product Name],0),0),"")</f>
        <v/>
      </c>
      <c r="C7" s="27"/>
    </row>
    <row r="8" spans="1:3" ht="27" customHeight="1" x14ac:dyDescent="0.25">
      <c r="A8" s="41" t="s">
        <v>3</v>
      </c>
      <c r="B8" s="35"/>
      <c r="C8" s="27"/>
    </row>
    <row r="9" spans="1:3" ht="27" customHeight="1" x14ac:dyDescent="0.25">
      <c r="A9" s="41" t="s">
        <v>4</v>
      </c>
      <c r="B9" s="44" t="str">
        <f>IFERROR(INDEX(ProductMaster[Product Description],MATCH(EnterStockOut!B8,ProductMaster[Product Name],0),0),"")</f>
        <v/>
      </c>
      <c r="C9" s="27"/>
    </row>
    <row r="10" spans="1:3" ht="27" customHeight="1" x14ac:dyDescent="0.25">
      <c r="A10" s="41" t="s">
        <v>5</v>
      </c>
      <c r="B10" s="44" t="str">
        <f>IFERROR(INDEX(ProductMaster[Product Category],MATCH(EnterStockOut!B8,ProductMaster[Product Name],0),0),"")</f>
        <v/>
      </c>
      <c r="C10" s="27"/>
    </row>
    <row r="11" spans="1:3" ht="27" customHeight="1" x14ac:dyDescent="0.25">
      <c r="A11" s="41" t="s">
        <v>6</v>
      </c>
      <c r="B11" s="35"/>
      <c r="C11" s="27"/>
    </row>
    <row r="12" spans="1:3" ht="27" customHeight="1" thickBot="1" x14ac:dyDescent="0.3">
      <c r="A12" s="45" t="s">
        <v>7</v>
      </c>
      <c r="B12" s="46" t="str">
        <f>IF(B11="","",(IFERROR(INDEX(ProductMaster[Unit Price],MATCH(EnterStockOut!B8,ProductMaster[Product Name],0),0),0)*B11))</f>
        <v/>
      </c>
      <c r="C12" s="27"/>
    </row>
    <row r="13" spans="1:3" ht="15.75" thickTop="1" x14ac:dyDescent="0.25">
      <c r="A13" s="27"/>
      <c r="B13" s="28"/>
      <c r="C13" s="27"/>
    </row>
  </sheetData>
  <sheetProtection sheet="1" objects="1" scenarios="1"/>
  <dataValidations xWindow="546" yWindow="382" count="2">
    <dataValidation type="list" allowBlank="1" showInputMessage="1" showErrorMessage="1" promptTitle="Select Product" prompt="Select Product Name From Drop Down. Rest Data Will Be Added Automatically" sqref="B8">
      <formula1>INDIRECT("ProductMaster[Product Name]")</formula1>
    </dataValidation>
    <dataValidation allowBlank="1" showInputMessage="1" showErrorMessage="1" promptTitle="Enter Quantity" prompt="Enter Stock Unit._x000a_" sqref="B11"/>
  </dataValidations>
  <pageMargins left="0.7" right="0.7" top="0.75" bottom="0.75" header="0.3" footer="0.3"/>
  <pageSetup orientation="portrait" verticalDpi="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22"/>
  <sheetViews>
    <sheetView showGridLines="0" workbookViewId="0">
      <pane ySplit="1" topLeftCell="A2" activePane="bottomLeft" state="frozen"/>
      <selection pane="bottomLeft" activeCell="A22" sqref="A22:H22"/>
    </sheetView>
  </sheetViews>
  <sheetFormatPr defaultRowHeight="15" x14ac:dyDescent="0.25"/>
  <cols>
    <col min="1" max="1" width="5" style="1" customWidth="1"/>
    <col min="2" max="2" width="10.125" style="11" customWidth="1"/>
    <col min="3" max="3" width="9.75" style="1" customWidth="1"/>
    <col min="4" max="4" width="15.125" style="1" customWidth="1"/>
    <col min="5" max="5" width="17.125" style="1" customWidth="1"/>
    <col min="6" max="6" width="17.125" customWidth="1"/>
    <col min="7" max="7" width="7.125" customWidth="1"/>
    <col min="8" max="8" width="12.25" customWidth="1"/>
  </cols>
  <sheetData>
    <row r="1" spans="1:8" s="5" customFormat="1" ht="12" x14ac:dyDescent="0.25">
      <c r="A1" s="3" t="s">
        <v>0</v>
      </c>
      <c r="B1" s="10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</row>
    <row r="2" spans="1:8" x14ac:dyDescent="0.25">
      <c r="A2" s="2">
        <v>1</v>
      </c>
      <c r="B2" s="4">
        <v>42588</v>
      </c>
      <c r="C2" s="2" t="s">
        <v>14</v>
      </c>
      <c r="D2" s="18" t="s">
        <v>40</v>
      </c>
      <c r="E2" s="18" t="s">
        <v>41</v>
      </c>
      <c r="F2" s="2" t="s">
        <v>10</v>
      </c>
      <c r="G2" s="2">
        <v>20</v>
      </c>
      <c r="H2" s="12">
        <v>8400</v>
      </c>
    </row>
    <row r="3" spans="1:8" x14ac:dyDescent="0.25">
      <c r="A3" s="2">
        <v>2</v>
      </c>
      <c r="B3" s="4">
        <v>42588</v>
      </c>
      <c r="C3" s="2" t="s">
        <v>13</v>
      </c>
      <c r="D3" s="2" t="s">
        <v>9</v>
      </c>
      <c r="E3" s="2" t="s">
        <v>8</v>
      </c>
      <c r="F3" s="2" t="s">
        <v>10</v>
      </c>
      <c r="G3" s="2">
        <v>20</v>
      </c>
      <c r="H3" s="12">
        <v>7000</v>
      </c>
    </row>
    <row r="4" spans="1:8" x14ac:dyDescent="0.25">
      <c r="A4" s="2">
        <v>2</v>
      </c>
      <c r="B4" s="4">
        <v>42588</v>
      </c>
      <c r="C4" s="2" t="s">
        <v>13</v>
      </c>
      <c r="D4" s="2" t="s">
        <v>9</v>
      </c>
      <c r="E4" s="2" t="s">
        <v>8</v>
      </c>
      <c r="F4" s="2" t="s">
        <v>10</v>
      </c>
      <c r="G4" s="2">
        <v>20</v>
      </c>
      <c r="H4" s="12">
        <v>7000</v>
      </c>
    </row>
    <row r="5" spans="1:8" x14ac:dyDescent="0.25">
      <c r="A5" s="2">
        <v>2</v>
      </c>
      <c r="B5" s="4">
        <v>42588</v>
      </c>
      <c r="C5" s="2" t="s">
        <v>13</v>
      </c>
      <c r="D5" s="2" t="s">
        <v>9</v>
      </c>
      <c r="E5" s="2" t="s">
        <v>8</v>
      </c>
      <c r="F5" s="2" t="s">
        <v>10</v>
      </c>
      <c r="G5" s="2">
        <v>20</v>
      </c>
      <c r="H5" s="12">
        <v>7000</v>
      </c>
    </row>
    <row r="6" spans="1:8" x14ac:dyDescent="0.25">
      <c r="A6" s="2">
        <v>2</v>
      </c>
      <c r="B6" s="4">
        <v>42588</v>
      </c>
      <c r="C6" s="2" t="s">
        <v>13</v>
      </c>
      <c r="D6" s="2" t="s">
        <v>9</v>
      </c>
      <c r="E6" s="2" t="s">
        <v>8</v>
      </c>
      <c r="F6" s="2" t="s">
        <v>10</v>
      </c>
      <c r="G6" s="2">
        <v>20</v>
      </c>
      <c r="H6" s="12">
        <v>7000</v>
      </c>
    </row>
    <row r="7" spans="1:8" x14ac:dyDescent="0.25">
      <c r="A7" s="18">
        <v>3</v>
      </c>
      <c r="B7" s="19">
        <v>42590</v>
      </c>
      <c r="C7" s="18" t="s">
        <v>16</v>
      </c>
      <c r="D7" s="18" t="s">
        <v>45</v>
      </c>
      <c r="E7" s="18" t="s">
        <v>44</v>
      </c>
      <c r="F7" s="18" t="s">
        <v>10</v>
      </c>
      <c r="G7" s="18">
        <v>10</v>
      </c>
      <c r="H7" s="20">
        <v>1690</v>
      </c>
    </row>
    <row r="8" spans="1:8" x14ac:dyDescent="0.25">
      <c r="A8" s="18">
        <v>4</v>
      </c>
      <c r="B8" s="19">
        <v>42590</v>
      </c>
      <c r="C8" s="18" t="s">
        <v>14</v>
      </c>
      <c r="D8" s="18" t="s">
        <v>40</v>
      </c>
      <c r="E8" s="18" t="s">
        <v>41</v>
      </c>
      <c r="F8" s="18" t="s">
        <v>10</v>
      </c>
      <c r="G8" s="18">
        <v>10</v>
      </c>
      <c r="H8" s="20">
        <v>55990</v>
      </c>
    </row>
    <row r="9" spans="1:8" x14ac:dyDescent="0.25">
      <c r="A9" s="18">
        <v>5</v>
      </c>
      <c r="B9" s="19">
        <v>42590</v>
      </c>
      <c r="C9" s="18" t="s">
        <v>13</v>
      </c>
      <c r="D9" s="18" t="s">
        <v>47</v>
      </c>
      <c r="E9" s="18" t="s">
        <v>8</v>
      </c>
      <c r="F9" s="18" t="s">
        <v>10</v>
      </c>
      <c r="G9" s="18">
        <v>5</v>
      </c>
      <c r="H9" s="20">
        <v>1750</v>
      </c>
    </row>
    <row r="10" spans="1:8" x14ac:dyDescent="0.25">
      <c r="A10" s="18">
        <v>6</v>
      </c>
      <c r="B10" s="19">
        <v>42590</v>
      </c>
      <c r="C10" s="18" t="s">
        <v>14</v>
      </c>
      <c r="D10" s="18" t="s">
        <v>40</v>
      </c>
      <c r="E10" s="18" t="s">
        <v>41</v>
      </c>
      <c r="F10" s="18" t="s">
        <v>10</v>
      </c>
      <c r="G10" s="18">
        <v>10</v>
      </c>
      <c r="H10" s="20">
        <v>55990</v>
      </c>
    </row>
    <row r="11" spans="1:8" x14ac:dyDescent="0.25">
      <c r="A11" s="18">
        <v>7</v>
      </c>
      <c r="B11" s="19">
        <v>42590</v>
      </c>
      <c r="C11" s="18" t="s">
        <v>15</v>
      </c>
      <c r="D11" s="18" t="s">
        <v>46</v>
      </c>
      <c r="E11" s="18" t="s">
        <v>43</v>
      </c>
      <c r="F11" s="18" t="s">
        <v>10</v>
      </c>
      <c r="G11" s="18">
        <v>50</v>
      </c>
      <c r="H11" s="20">
        <v>54950</v>
      </c>
    </row>
    <row r="12" spans="1:8" x14ac:dyDescent="0.25">
      <c r="A12" s="18">
        <v>8</v>
      </c>
      <c r="B12" s="19">
        <v>42590</v>
      </c>
      <c r="C12" s="18" t="s">
        <v>18</v>
      </c>
      <c r="D12" s="18" t="s">
        <v>50</v>
      </c>
      <c r="E12" s="18" t="s">
        <v>34</v>
      </c>
      <c r="F12" s="18" t="s">
        <v>33</v>
      </c>
      <c r="G12" s="18">
        <v>200</v>
      </c>
      <c r="H12" s="20">
        <v>169998</v>
      </c>
    </row>
    <row r="13" spans="1:8" x14ac:dyDescent="0.25">
      <c r="A13" s="18">
        <v>9</v>
      </c>
      <c r="B13" s="19">
        <v>42590</v>
      </c>
      <c r="C13" s="18" t="s">
        <v>19</v>
      </c>
      <c r="D13" s="18" t="s">
        <v>49</v>
      </c>
      <c r="E13" s="18" t="s">
        <v>34</v>
      </c>
      <c r="F13" s="18" t="s">
        <v>33</v>
      </c>
      <c r="G13" s="18">
        <v>150</v>
      </c>
      <c r="H13" s="20">
        <v>104998.5</v>
      </c>
    </row>
    <row r="14" spans="1:8" x14ac:dyDescent="0.25">
      <c r="A14" s="18">
        <v>10</v>
      </c>
      <c r="B14" s="19">
        <v>42590</v>
      </c>
      <c r="C14" s="18" t="s">
        <v>20</v>
      </c>
      <c r="D14" s="18" t="s">
        <v>38</v>
      </c>
      <c r="E14" s="18" t="s">
        <v>34</v>
      </c>
      <c r="F14" s="18" t="s">
        <v>35</v>
      </c>
      <c r="G14" s="18">
        <v>70</v>
      </c>
      <c r="H14" s="20">
        <v>19593</v>
      </c>
    </row>
    <row r="15" spans="1:8" x14ac:dyDescent="0.25">
      <c r="A15" s="18">
        <v>11</v>
      </c>
      <c r="B15" s="19">
        <v>42590</v>
      </c>
      <c r="C15" s="18" t="s">
        <v>22</v>
      </c>
      <c r="D15" s="18" t="s">
        <v>42</v>
      </c>
      <c r="E15" s="18" t="s">
        <v>36</v>
      </c>
      <c r="F15" s="18" t="s">
        <v>36</v>
      </c>
      <c r="G15" s="18">
        <v>30</v>
      </c>
      <c r="H15" s="20">
        <v>35999.699999999997</v>
      </c>
    </row>
    <row r="16" spans="1:8" x14ac:dyDescent="0.25">
      <c r="A16" s="18">
        <v>12</v>
      </c>
      <c r="B16" s="19">
        <v>42590</v>
      </c>
      <c r="C16" s="18" t="s">
        <v>21</v>
      </c>
      <c r="D16" s="18" t="s">
        <v>39</v>
      </c>
      <c r="E16" s="18" t="s">
        <v>34</v>
      </c>
      <c r="F16" s="18" t="s">
        <v>35</v>
      </c>
      <c r="G16" s="18">
        <v>30</v>
      </c>
      <c r="H16" s="20">
        <v>11999.7</v>
      </c>
    </row>
    <row r="17" spans="1:8" x14ac:dyDescent="0.25">
      <c r="A17" s="18">
        <v>13</v>
      </c>
      <c r="B17" s="19">
        <v>42590</v>
      </c>
      <c r="C17" s="18" t="s">
        <v>17</v>
      </c>
      <c r="D17" s="18" t="s">
        <v>48</v>
      </c>
      <c r="E17" s="18" t="s">
        <v>51</v>
      </c>
      <c r="F17" s="18" t="s">
        <v>10</v>
      </c>
      <c r="G17" s="18">
        <v>10</v>
      </c>
      <c r="H17" s="20">
        <v>9999.9</v>
      </c>
    </row>
    <row r="18" spans="1:8" x14ac:dyDescent="0.25">
      <c r="A18" s="18">
        <v>14</v>
      </c>
      <c r="B18" s="19">
        <v>42590</v>
      </c>
      <c r="C18" s="18" t="s">
        <v>16</v>
      </c>
      <c r="D18" s="18" t="s">
        <v>45</v>
      </c>
      <c r="E18" s="18" t="s">
        <v>44</v>
      </c>
      <c r="F18" s="18" t="s">
        <v>10</v>
      </c>
      <c r="G18" s="18">
        <v>10</v>
      </c>
      <c r="H18" s="20">
        <v>1690</v>
      </c>
    </row>
    <row r="19" spans="1:8" x14ac:dyDescent="0.25">
      <c r="A19" s="2">
        <v>15</v>
      </c>
      <c r="B19" s="4">
        <v>42590</v>
      </c>
      <c r="C19" s="2" t="s">
        <v>14</v>
      </c>
      <c r="D19" s="2" t="s">
        <v>40</v>
      </c>
      <c r="E19" s="2" t="s">
        <v>41</v>
      </c>
      <c r="F19" s="2" t="s">
        <v>10</v>
      </c>
      <c r="G19" s="2">
        <v>10</v>
      </c>
      <c r="H19" s="12">
        <v>55990</v>
      </c>
    </row>
    <row r="20" spans="1:8" x14ac:dyDescent="0.25">
      <c r="A20" s="2">
        <v>16</v>
      </c>
      <c r="B20" s="4">
        <v>42591</v>
      </c>
      <c r="C20" s="2" t="s">
        <v>14</v>
      </c>
      <c r="D20" s="2" t="s">
        <v>40</v>
      </c>
      <c r="E20" s="2" t="s">
        <v>41</v>
      </c>
      <c r="F20" s="2" t="s">
        <v>10</v>
      </c>
      <c r="G20" s="2">
        <v>10</v>
      </c>
      <c r="H20" s="12">
        <v>55990</v>
      </c>
    </row>
    <row r="21" spans="1:8" x14ac:dyDescent="0.25">
      <c r="A21" s="53" t="s">
        <v>56</v>
      </c>
      <c r="B21" s="54" t="s">
        <v>56</v>
      </c>
      <c r="C21" s="53" t="s">
        <v>56</v>
      </c>
      <c r="D21" s="53"/>
      <c r="E21" s="53" t="s">
        <v>56</v>
      </c>
      <c r="F21" s="53" t="s">
        <v>56</v>
      </c>
      <c r="G21" s="53"/>
      <c r="H21" s="55" t="s">
        <v>56</v>
      </c>
    </row>
    <row r="22" spans="1:8" x14ac:dyDescent="0.25">
      <c r="A22" s="53">
        <v>17</v>
      </c>
      <c r="B22" s="54">
        <v>43786</v>
      </c>
      <c r="C22" s="53" t="s">
        <v>14</v>
      </c>
      <c r="D22" s="53" t="s">
        <v>40</v>
      </c>
      <c r="E22" s="53" t="s">
        <v>41</v>
      </c>
      <c r="F22" s="53" t="s">
        <v>10</v>
      </c>
      <c r="G22" s="53">
        <v>5</v>
      </c>
      <c r="H22" s="55">
        <v>27995</v>
      </c>
    </row>
  </sheetData>
  <pageMargins left="0.7" right="0.7" top="0.75" bottom="0.75" header="0.3" footer="0.3"/>
  <pageSetup orientation="portrait" verticalDpi="0" r:id="rId1"/>
  <drawing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H8"/>
  <sheetViews>
    <sheetView showGridLines="0" workbookViewId="0">
      <pane ySplit="1" topLeftCell="A2" activePane="bottomLeft" state="frozen"/>
      <selection pane="bottomLeft" activeCell="A8" sqref="A8:H8"/>
    </sheetView>
  </sheetViews>
  <sheetFormatPr defaultRowHeight="15" x14ac:dyDescent="0.25"/>
  <cols>
    <col min="1" max="1" width="5" style="1" bestFit="1" customWidth="1"/>
    <col min="2" max="2" width="11" style="11" bestFit="1" customWidth="1"/>
    <col min="3" max="3" width="9.75" style="1" bestFit="1" customWidth="1"/>
    <col min="4" max="4" width="13" style="1" bestFit="1" customWidth="1"/>
    <col min="5" max="5" width="17.125" style="1" bestFit="1" customWidth="1"/>
    <col min="6" max="6" width="17.125" bestFit="1" customWidth="1"/>
    <col min="7" max="7" width="7.125" bestFit="1" customWidth="1"/>
    <col min="8" max="8" width="11" bestFit="1" customWidth="1"/>
  </cols>
  <sheetData>
    <row r="1" spans="1:8" s="5" customFormat="1" ht="12" x14ac:dyDescent="0.25">
      <c r="A1" s="3" t="s">
        <v>0</v>
      </c>
      <c r="B1" s="10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</row>
    <row r="2" spans="1:8" x14ac:dyDescent="0.25">
      <c r="A2" s="2">
        <v>1</v>
      </c>
      <c r="B2" s="4">
        <v>42588</v>
      </c>
      <c r="C2" s="2" t="s">
        <v>14</v>
      </c>
      <c r="D2" s="2" t="s">
        <v>23</v>
      </c>
      <c r="E2" s="2" t="s">
        <v>24</v>
      </c>
      <c r="F2" s="2" t="s">
        <v>10</v>
      </c>
      <c r="G2" s="2">
        <v>20</v>
      </c>
      <c r="H2" s="12">
        <v>8400</v>
      </c>
    </row>
    <row r="3" spans="1:8" x14ac:dyDescent="0.25">
      <c r="A3" s="2">
        <v>2</v>
      </c>
      <c r="B3" s="4">
        <v>42588</v>
      </c>
      <c r="C3" s="2" t="s">
        <v>13</v>
      </c>
      <c r="D3" s="2" t="s">
        <v>9</v>
      </c>
      <c r="E3" s="2" t="s">
        <v>8</v>
      </c>
      <c r="F3" s="2" t="s">
        <v>10</v>
      </c>
      <c r="G3" s="2">
        <v>20</v>
      </c>
      <c r="H3" s="12">
        <v>7000</v>
      </c>
    </row>
    <row r="4" spans="1:8" x14ac:dyDescent="0.25">
      <c r="A4" s="2">
        <v>16</v>
      </c>
      <c r="B4" s="4">
        <v>42590</v>
      </c>
      <c r="C4" s="2" t="s">
        <v>17</v>
      </c>
      <c r="D4" s="2" t="s">
        <v>48</v>
      </c>
      <c r="E4" s="2" t="s">
        <v>51</v>
      </c>
      <c r="F4" s="2" t="s">
        <v>10</v>
      </c>
      <c r="G4" s="2">
        <v>5</v>
      </c>
      <c r="H4" s="12">
        <v>4999.95</v>
      </c>
    </row>
    <row r="5" spans="1:8" x14ac:dyDescent="0.25">
      <c r="A5" s="2">
        <v>16</v>
      </c>
      <c r="B5" s="4">
        <v>42590</v>
      </c>
      <c r="C5" s="2" t="s">
        <v>16</v>
      </c>
      <c r="D5" s="2" t="s">
        <v>45</v>
      </c>
      <c r="E5" s="2" t="s">
        <v>44</v>
      </c>
      <c r="F5" s="2" t="s">
        <v>10</v>
      </c>
      <c r="G5" s="2">
        <v>5</v>
      </c>
      <c r="H5" s="12">
        <v>845</v>
      </c>
    </row>
    <row r="6" spans="1:8" x14ac:dyDescent="0.25">
      <c r="A6" s="2">
        <v>17</v>
      </c>
      <c r="B6" s="4">
        <v>42591</v>
      </c>
      <c r="C6" s="2" t="s">
        <v>18</v>
      </c>
      <c r="D6" s="2" t="s">
        <v>50</v>
      </c>
      <c r="E6" s="2" t="s">
        <v>34</v>
      </c>
      <c r="F6" s="2" t="s">
        <v>33</v>
      </c>
      <c r="G6" s="2">
        <v>20</v>
      </c>
      <c r="H6" s="12">
        <v>16999.8</v>
      </c>
    </row>
    <row r="7" spans="1:8" x14ac:dyDescent="0.25">
      <c r="A7" s="50">
        <v>17</v>
      </c>
      <c r="B7" s="51">
        <v>42754</v>
      </c>
      <c r="C7" s="50" t="s">
        <v>15</v>
      </c>
      <c r="D7" s="50" t="s">
        <v>46</v>
      </c>
      <c r="E7" s="50" t="s">
        <v>43</v>
      </c>
      <c r="F7" s="50" t="s">
        <v>10</v>
      </c>
      <c r="G7" s="50">
        <v>10</v>
      </c>
      <c r="H7" s="52">
        <v>10990</v>
      </c>
    </row>
    <row r="8" spans="1:8" x14ac:dyDescent="0.25">
      <c r="A8" s="53">
        <v>18</v>
      </c>
      <c r="B8" s="54">
        <v>43787</v>
      </c>
      <c r="C8" s="53" t="s">
        <v>19</v>
      </c>
      <c r="D8" s="53" t="s">
        <v>49</v>
      </c>
      <c r="E8" s="53" t="s">
        <v>34</v>
      </c>
      <c r="F8" s="53" t="s">
        <v>33</v>
      </c>
      <c r="G8" s="53">
        <v>90</v>
      </c>
      <c r="H8" s="55">
        <v>62999.1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I11"/>
  <sheetViews>
    <sheetView showGridLines="0" workbookViewId="0">
      <pane ySplit="1" topLeftCell="A2" activePane="bottomLeft" state="frozen"/>
      <selection pane="bottomLeft" activeCell="B1" sqref="B1:I11"/>
    </sheetView>
  </sheetViews>
  <sheetFormatPr defaultRowHeight="15" x14ac:dyDescent="0.25"/>
  <cols>
    <col min="1" max="1" width="5" customWidth="1"/>
    <col min="2" max="2" width="9.75" bestFit="1" customWidth="1"/>
    <col min="3" max="3" width="15.125" bestFit="1" customWidth="1"/>
    <col min="4" max="5" width="17.125" bestFit="1" customWidth="1"/>
    <col min="6" max="6" width="9.75" style="13" bestFit="1" customWidth="1"/>
    <col min="7" max="7" width="11.125" bestFit="1" customWidth="1"/>
    <col min="8" max="8" width="10.875" bestFit="1" customWidth="1"/>
    <col min="9" max="9" width="12.25" bestFit="1" customWidth="1"/>
  </cols>
  <sheetData>
    <row r="1" spans="1:9" s="8" customFormat="1" ht="12" x14ac:dyDescent="0.2">
      <c r="A1" s="6" t="s">
        <v>0</v>
      </c>
      <c r="B1" s="6" t="s">
        <v>2</v>
      </c>
      <c r="C1" s="6" t="s">
        <v>3</v>
      </c>
      <c r="D1" s="6" t="s">
        <v>4</v>
      </c>
      <c r="E1" s="6" t="s">
        <v>5</v>
      </c>
      <c r="F1" s="22" t="s">
        <v>25</v>
      </c>
      <c r="G1" s="6" t="s">
        <v>11</v>
      </c>
      <c r="H1" s="7" t="s">
        <v>12</v>
      </c>
      <c r="I1" s="7" t="s">
        <v>7</v>
      </c>
    </row>
    <row r="2" spans="1:9" x14ac:dyDescent="0.25">
      <c r="A2" s="23">
        <v>1</v>
      </c>
      <c r="B2" s="23" t="s">
        <v>13</v>
      </c>
      <c r="C2" s="23" t="s">
        <v>47</v>
      </c>
      <c r="D2" s="23" t="s">
        <v>8</v>
      </c>
      <c r="E2" s="23" t="s">
        <v>10</v>
      </c>
      <c r="F2" s="24">
        <v>350</v>
      </c>
      <c r="G2" s="23">
        <v>20</v>
      </c>
      <c r="H2" s="25">
        <f>SUMIFS(StockInData[Quantity],StockInData[Product ID],ProductMaster[[#This Row],[Product ID]])-SUMIFS(StockOutData[Quantity],StockOutData[Product ID],ProductMaster[[#This Row],[Product ID]])</f>
        <v>65</v>
      </c>
      <c r="I2" s="26">
        <f>SUMIFS(StockInData[Value],StockInData[Product ID],ProductMaster[[#This Row],[Product ID]])-SUMIFS(StockOutData[Value],StockOutData[Product ID],ProductMaster[[#This Row],[Product ID]])</f>
        <v>22750</v>
      </c>
    </row>
    <row r="3" spans="1:9" x14ac:dyDescent="0.25">
      <c r="A3" s="25">
        <v>2</v>
      </c>
      <c r="B3" s="23" t="s">
        <v>14</v>
      </c>
      <c r="C3" s="25" t="s">
        <v>40</v>
      </c>
      <c r="D3" s="25" t="s">
        <v>41</v>
      </c>
      <c r="E3" s="23" t="s">
        <v>10</v>
      </c>
      <c r="F3" s="24">
        <v>5599</v>
      </c>
      <c r="G3" s="25">
        <v>15</v>
      </c>
      <c r="H3" s="25">
        <f>SUMIFS(StockInData[Quantity],StockInData[Product ID],ProductMaster[[#This Row],[Product ID]])-SUMIFS(StockOutData[Quantity],StockOutData[Product ID],ProductMaster[[#This Row],[Product ID]])</f>
        <v>45</v>
      </c>
      <c r="I3" s="26">
        <f>SUMIFS(StockInData[Value],StockInData[Product ID],ProductMaster[[#This Row],[Product ID]])-SUMIFS(StockOutData[Value],StockOutData[Product ID],ProductMaster[[#This Row],[Product ID]])</f>
        <v>251955</v>
      </c>
    </row>
    <row r="4" spans="1:9" x14ac:dyDescent="0.25">
      <c r="A4" s="25">
        <v>3</v>
      </c>
      <c r="B4" s="23" t="s">
        <v>15</v>
      </c>
      <c r="C4" s="25" t="s">
        <v>46</v>
      </c>
      <c r="D4" s="25" t="s">
        <v>43</v>
      </c>
      <c r="E4" s="23" t="s">
        <v>10</v>
      </c>
      <c r="F4" s="24">
        <v>1099</v>
      </c>
      <c r="G4" s="25">
        <v>10</v>
      </c>
      <c r="H4" s="25">
        <f>SUMIFS(StockInData[Quantity],StockInData[Product ID],ProductMaster[[#This Row],[Product ID]])-SUMIFS(StockOutData[Quantity],StockOutData[Product ID],ProductMaster[[#This Row],[Product ID]])</f>
        <v>40</v>
      </c>
      <c r="I4" s="26">
        <f>SUMIFS(StockInData[Value],StockInData[Product ID],ProductMaster[[#This Row],[Product ID]])-SUMIFS(StockOutData[Value],StockOutData[Product ID],ProductMaster[[#This Row],[Product ID]])</f>
        <v>43960</v>
      </c>
    </row>
    <row r="5" spans="1:9" x14ac:dyDescent="0.25">
      <c r="A5" s="25">
        <v>4</v>
      </c>
      <c r="B5" s="23" t="s">
        <v>16</v>
      </c>
      <c r="C5" s="25" t="s">
        <v>45</v>
      </c>
      <c r="D5" s="25" t="s">
        <v>44</v>
      </c>
      <c r="E5" s="23" t="s">
        <v>10</v>
      </c>
      <c r="F5" s="24">
        <v>169</v>
      </c>
      <c r="G5" s="25">
        <v>8</v>
      </c>
      <c r="H5" s="25">
        <f>SUMIFS(StockInData[Quantity],StockInData[Product ID],ProductMaster[[#This Row],[Product ID]])-SUMIFS(StockOutData[Quantity],StockOutData[Product ID],ProductMaster[[#This Row],[Product ID]])</f>
        <v>15</v>
      </c>
      <c r="I5" s="26">
        <f>SUMIFS(StockInData[Value],StockInData[Product ID],ProductMaster[[#This Row],[Product ID]])-SUMIFS(StockOutData[Value],StockOutData[Product ID],ProductMaster[[#This Row],[Product ID]])</f>
        <v>2535</v>
      </c>
    </row>
    <row r="6" spans="1:9" x14ac:dyDescent="0.25">
      <c r="A6" s="25">
        <v>5</v>
      </c>
      <c r="B6" s="23" t="s">
        <v>17</v>
      </c>
      <c r="C6" s="25" t="s">
        <v>48</v>
      </c>
      <c r="D6" s="25" t="s">
        <v>51</v>
      </c>
      <c r="E6" s="23" t="s">
        <v>10</v>
      </c>
      <c r="F6" s="24">
        <v>999.99</v>
      </c>
      <c r="G6" s="25">
        <v>5</v>
      </c>
      <c r="H6" s="25">
        <f>SUMIFS(StockInData[Quantity],StockInData[Product ID],ProductMaster[[#This Row],[Product ID]])-SUMIFS(StockOutData[Quantity],StockOutData[Product ID],ProductMaster[[#This Row],[Product ID]])</f>
        <v>5</v>
      </c>
      <c r="I6" s="26">
        <f>SUMIFS(StockInData[Value],StockInData[Product ID],ProductMaster[[#This Row],[Product ID]])-SUMIFS(StockOutData[Value],StockOutData[Product ID],ProductMaster[[#This Row],[Product ID]])</f>
        <v>4999.95</v>
      </c>
    </row>
    <row r="7" spans="1:9" x14ac:dyDescent="0.25">
      <c r="A7" s="25">
        <v>6</v>
      </c>
      <c r="B7" s="23" t="s">
        <v>18</v>
      </c>
      <c r="C7" s="25" t="s">
        <v>50</v>
      </c>
      <c r="D7" s="25" t="s">
        <v>34</v>
      </c>
      <c r="E7" s="25" t="s">
        <v>33</v>
      </c>
      <c r="F7" s="24">
        <v>849.99</v>
      </c>
      <c r="G7" s="25">
        <v>120</v>
      </c>
      <c r="H7" s="25">
        <f>SUMIFS(StockInData[Quantity],StockInData[Product ID],ProductMaster[[#This Row],[Product ID]])-SUMIFS(StockOutData[Quantity],StockOutData[Product ID],ProductMaster[[#This Row],[Product ID]])</f>
        <v>180</v>
      </c>
      <c r="I7" s="26">
        <f>SUMIFS(StockInData[Value],StockInData[Product ID],ProductMaster[[#This Row],[Product ID]])-SUMIFS(StockOutData[Value],StockOutData[Product ID],ProductMaster[[#This Row],[Product ID]])</f>
        <v>152998.20000000001</v>
      </c>
    </row>
    <row r="8" spans="1:9" x14ac:dyDescent="0.25">
      <c r="A8" s="25">
        <v>7</v>
      </c>
      <c r="B8" s="23" t="s">
        <v>19</v>
      </c>
      <c r="C8" s="25" t="s">
        <v>49</v>
      </c>
      <c r="D8" s="25" t="s">
        <v>34</v>
      </c>
      <c r="E8" s="25" t="s">
        <v>33</v>
      </c>
      <c r="F8" s="24">
        <v>699.99</v>
      </c>
      <c r="G8" s="25">
        <v>80</v>
      </c>
      <c r="H8" s="25">
        <f>SUMIFS(StockInData[Quantity],StockInData[Product ID],ProductMaster[[#This Row],[Product ID]])-SUMIFS(StockOutData[Quantity],StockOutData[Product ID],ProductMaster[[#This Row],[Product ID]])</f>
        <v>60</v>
      </c>
      <c r="I8" s="26">
        <f>SUMIFS(StockInData[Value],StockInData[Product ID],ProductMaster[[#This Row],[Product ID]])-SUMIFS(StockOutData[Value],StockOutData[Product ID],ProductMaster[[#This Row],[Product ID]])</f>
        <v>41999.4</v>
      </c>
    </row>
    <row r="9" spans="1:9" x14ac:dyDescent="0.25">
      <c r="A9" s="25">
        <v>8</v>
      </c>
      <c r="B9" s="23" t="s">
        <v>20</v>
      </c>
      <c r="C9" s="25" t="s">
        <v>38</v>
      </c>
      <c r="D9" s="25" t="s">
        <v>34</v>
      </c>
      <c r="E9" s="25" t="s">
        <v>35</v>
      </c>
      <c r="F9" s="24">
        <v>279.89999999999998</v>
      </c>
      <c r="G9" s="25">
        <v>60</v>
      </c>
      <c r="H9" s="25">
        <f>SUMIFS(StockInData[Quantity],StockInData[Product ID],ProductMaster[[#This Row],[Product ID]])-SUMIFS(StockOutData[Quantity],StockOutData[Product ID],ProductMaster[[#This Row],[Product ID]])</f>
        <v>70</v>
      </c>
      <c r="I9" s="26">
        <f>SUMIFS(StockInData[Value],StockInData[Product ID],ProductMaster[[#This Row],[Product ID]])-SUMIFS(StockOutData[Value],StockOutData[Product ID],ProductMaster[[#This Row],[Product ID]])</f>
        <v>19593</v>
      </c>
    </row>
    <row r="10" spans="1:9" x14ac:dyDescent="0.25">
      <c r="A10" s="25">
        <v>9</v>
      </c>
      <c r="B10" s="23" t="s">
        <v>21</v>
      </c>
      <c r="C10" s="25" t="s">
        <v>39</v>
      </c>
      <c r="D10" s="25" t="s">
        <v>34</v>
      </c>
      <c r="E10" s="25" t="s">
        <v>35</v>
      </c>
      <c r="F10" s="24">
        <v>399.99</v>
      </c>
      <c r="G10" s="25">
        <v>15</v>
      </c>
      <c r="H10" s="25">
        <f>SUMIFS(StockInData[Quantity],StockInData[Product ID],ProductMaster[[#This Row],[Product ID]])-SUMIFS(StockOutData[Quantity],StockOutData[Product ID],ProductMaster[[#This Row],[Product ID]])</f>
        <v>30</v>
      </c>
      <c r="I10" s="26">
        <f>SUMIFS(StockInData[Value],StockInData[Product ID],ProductMaster[[#This Row],[Product ID]])-SUMIFS(StockOutData[Value],StockOutData[Product ID],ProductMaster[[#This Row],[Product ID]])</f>
        <v>11999.7</v>
      </c>
    </row>
    <row r="11" spans="1:9" x14ac:dyDescent="0.25">
      <c r="A11" s="25">
        <v>10</v>
      </c>
      <c r="B11" s="25" t="s">
        <v>22</v>
      </c>
      <c r="C11" s="25" t="s">
        <v>42</v>
      </c>
      <c r="D11" s="25" t="s">
        <v>36</v>
      </c>
      <c r="E11" s="25" t="s">
        <v>36</v>
      </c>
      <c r="F11" s="26">
        <v>1199.99</v>
      </c>
      <c r="G11" s="25">
        <v>30</v>
      </c>
      <c r="H11" s="25">
        <f>SUMIFS(StockInData[Quantity],StockInData[Product ID],ProductMaster[[#This Row],[Product ID]])-SUMIFS(StockOutData[Quantity],StockOutData[Product ID],ProductMaster[[#This Row],[Product ID]])</f>
        <v>30</v>
      </c>
      <c r="I11" s="26">
        <f>SUMIFS(StockInData[Value],StockInData[Product ID],ProductMaster[[#This Row],[Product ID]])-SUMIFS(StockOutData[Value],StockOutData[Product ID],ProductMaster[[#This Row],[Product ID]])</f>
        <v>35999.699999999997</v>
      </c>
    </row>
  </sheetData>
  <pageMargins left="0.7" right="0.7" top="0.75" bottom="0.75" header="0.3" footer="0.3"/>
  <pageSetup orientation="portrait" verticalDpi="0" r:id="rId1"/>
  <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H13"/>
  <sheetViews>
    <sheetView showGridLines="0" workbookViewId="0">
      <selection activeCell="A9" sqref="A9"/>
    </sheetView>
  </sheetViews>
  <sheetFormatPr defaultColWidth="0" defaultRowHeight="15" customHeight="1" zeroHeight="1" x14ac:dyDescent="0.25"/>
  <cols>
    <col min="1" max="1" width="28.5" bestFit="1" customWidth="1"/>
    <col min="2" max="2" width="31.5" style="9" customWidth="1"/>
    <col min="3" max="3" width="26.5" customWidth="1"/>
    <col min="4" max="8" width="0" hidden="1" customWidth="1"/>
    <col min="9" max="16384" width="9" hidden="1"/>
  </cols>
  <sheetData>
    <row r="1" spans="1:3" x14ac:dyDescent="0.25">
      <c r="A1" s="31"/>
      <c r="B1" s="32"/>
      <c r="C1" s="31"/>
    </row>
    <row r="2" spans="1:3" x14ac:dyDescent="0.25">
      <c r="A2" s="31"/>
      <c r="B2" s="32"/>
      <c r="C2" s="31"/>
    </row>
    <row r="3" spans="1:3" ht="15.75" thickBot="1" x14ac:dyDescent="0.3">
      <c r="A3" s="33"/>
      <c r="B3" s="34"/>
      <c r="C3" s="33"/>
    </row>
    <row r="4" spans="1:3" x14ac:dyDescent="0.25">
      <c r="A4" s="29"/>
      <c r="B4" s="30"/>
      <c r="C4" s="29"/>
    </row>
    <row r="5" spans="1:3" ht="30.75" customHeight="1" x14ac:dyDescent="0.25">
      <c r="A5" s="47" t="s">
        <v>0</v>
      </c>
      <c r="B5" s="48" t="str">
        <f>IF(B6="","",(MAX(ProductMaster[S No.])+1))</f>
        <v/>
      </c>
      <c r="C5" s="29"/>
    </row>
    <row r="6" spans="1:3" ht="30.75" customHeight="1" x14ac:dyDescent="0.25">
      <c r="A6" s="47" t="s">
        <v>2</v>
      </c>
      <c r="B6" s="36"/>
      <c r="C6" s="29"/>
    </row>
    <row r="7" spans="1:3" ht="30.75" customHeight="1" x14ac:dyDescent="0.25">
      <c r="A7" s="47" t="s">
        <v>3</v>
      </c>
      <c r="B7" s="35"/>
      <c r="C7" s="29"/>
    </row>
    <row r="8" spans="1:3" ht="30.75" customHeight="1" x14ac:dyDescent="0.25">
      <c r="A8" s="47" t="s">
        <v>4</v>
      </c>
      <c r="B8" s="35"/>
      <c r="C8" s="29"/>
    </row>
    <row r="9" spans="1:3" ht="30.75" customHeight="1" x14ac:dyDescent="0.25">
      <c r="A9" s="47" t="s">
        <v>5</v>
      </c>
      <c r="B9" s="35"/>
      <c r="C9" s="29"/>
    </row>
    <row r="10" spans="1:3" ht="30.75" customHeight="1" x14ac:dyDescent="0.25">
      <c r="A10" s="47" t="s">
        <v>25</v>
      </c>
      <c r="B10" s="37"/>
      <c r="C10" s="29"/>
    </row>
    <row r="11" spans="1:3" ht="30.75" customHeight="1" thickBot="1" x14ac:dyDescent="0.3">
      <c r="A11" s="49" t="s">
        <v>11</v>
      </c>
      <c r="B11" s="38"/>
      <c r="C11" s="29"/>
    </row>
    <row r="12" spans="1:3" ht="15.75" thickTop="1" x14ac:dyDescent="0.25">
      <c r="A12" s="29"/>
      <c r="B12" s="30"/>
      <c r="C12" s="29"/>
    </row>
    <row r="13" spans="1:3" ht="15" hidden="1" customHeight="1" x14ac:dyDescent="0.25"/>
  </sheetData>
  <sheetProtection sheet="1" objects="1" scenarios="1"/>
  <pageMargins left="0.7" right="0.7" top="0.75" bottom="0.75" header="0.3" footer="0.3"/>
  <pageSetup orientation="portrait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Dashboard</vt:lpstr>
      <vt:lpstr>Help</vt:lpstr>
      <vt:lpstr>EnterStockIn</vt:lpstr>
      <vt:lpstr>EnterStockOut</vt:lpstr>
      <vt:lpstr>StockIn</vt:lpstr>
      <vt:lpstr>StockOut</vt:lpstr>
      <vt:lpstr>ProductMaster</vt:lpstr>
      <vt:lpstr>EnterNewProduct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SYED MEESAM ALI</dc:creator>
  <cp:lastModifiedBy>SYED</cp:lastModifiedBy>
  <dcterms:created xsi:type="dcterms:W3CDTF">2016-08-05T04:56:17Z</dcterms:created>
  <dcterms:modified xsi:type="dcterms:W3CDTF">2019-11-23T03:01:54Z</dcterms:modified>
  <cp:contentStatus/>
</cp:coreProperties>
</file>