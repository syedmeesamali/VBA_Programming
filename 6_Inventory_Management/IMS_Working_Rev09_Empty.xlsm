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repos\VBA_Programming\6_Inventory_Management\"/>
    </mc:Choice>
  </mc:AlternateContent>
  <bookViews>
    <workbookView xWindow="-120" yWindow="-120" windowWidth="20730" windowHeight="11160" tabRatio="711"/>
  </bookViews>
  <sheets>
    <sheet name="Dashboard" sheetId="1" r:id="rId1"/>
    <sheet name="Help" sheetId="7" state="hidden" r:id="rId2"/>
    <sheet name="EnterStockIn" sheetId="2" state="hidden" r:id="rId3"/>
    <sheet name="EnterStockOut" sheetId="5" state="hidden" r:id="rId4"/>
    <sheet name="StockIn" sheetId="3" state="hidden" r:id="rId5"/>
    <sheet name="StockOut" sheetId="6" state="hidden" r:id="rId6"/>
    <sheet name="ProductMaster" sheetId="4" state="hidden" r:id="rId7"/>
    <sheet name="EnterNewProduct" sheetId="13" state="hidden" r:id="rId8"/>
    <sheet name="EnterNewSupplier" sheetId="11" state="hidden" r:id="rId9"/>
    <sheet name="EnterNewCustomer" sheetId="12" state="hidden" r:id="rId10"/>
  </sheets>
  <functionGroups builtInGroupCount="18"/>
  <externalReferences>
    <externalReference r:id="rId11"/>
  </externalReferences>
  <definedNames>
    <definedName name="MasterB">"ProductMaster[Product Name]"</definedName>
    <definedName name="_xlnm.Print_Titles" localSheetId="0">Dashboard!$1:$1</definedName>
    <definedName name="_xlnm.Print_Titles" localSheetId="9">EnterNewCustomer!$1:$1</definedName>
    <definedName name="_xlnm.Print_Titles" localSheetId="7">EnterNewProduct!$1:$1</definedName>
    <definedName name="_xlnm.Print_Titles" localSheetId="8">EnterNewSupplier!$1:$1</definedName>
    <definedName name="_xlnm.Print_Titles" localSheetId="2">EnterStockIn!$1:$1</definedName>
    <definedName name="_xlnm.Print_Titles" localSheetId="3">EnterStockOut!$1:$1</definedName>
    <definedName name="_xlnm.Print_Titles" localSheetId="1">Help!$1:$1</definedName>
    <definedName name="_xlnm.Print_Titles" localSheetId="6">ProductMaster!$1:$1</definedName>
    <definedName name="_xlnm.Print_Titles" localSheetId="4">StockIn!$1:$1</definedName>
    <definedName name="_xlnm.Print_Titles" localSheetId="5">StockOut!$1:$1</definedName>
    <definedName name="Puneet" localSheetId="7">INDEX([1]Help!XFB1:XFB3,MATCH([1]Help!XEY1,[1]Help!XFA1:XFA3,0),0)</definedName>
  </definedNames>
  <calcPr calcId="162913"/>
  <pivotCaches>
    <pivotCache cacheId="9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" i="4" l="1"/>
  <c r="G2" i="4"/>
  <c r="B7" i="2"/>
  <c r="B14" i="5" l="1"/>
  <c r="B12" i="5"/>
  <c r="B11" i="5"/>
  <c r="B12" i="2" l="1"/>
  <c r="B15" i="2"/>
  <c r="B11" i="2"/>
  <c r="B9" i="2"/>
  <c r="I3" i="4" l="1"/>
  <c r="I2" i="4"/>
  <c r="B1" i="7" l="1"/>
  <c r="B7" i="7"/>
  <c r="B9" i="7" s="1"/>
  <c r="B8" i="7" l="1"/>
  <c r="B11" i="7"/>
  <c r="B10" i="7"/>
  <c r="Q17" i="1" s="1"/>
  <c r="B7" i="5" l="1"/>
  <c r="B4" i="7" l="1"/>
  <c r="B3" i="7"/>
  <c r="B5" i="7" l="1"/>
  <c r="H17" i="1"/>
  <c r="J3" i="4" l="1"/>
  <c r="J2" i="4"/>
  <c r="B2" i="7" l="1"/>
  <c r="B5" i="5" l="1"/>
  <c r="A15" i="7"/>
  <c r="B5" i="2"/>
  <c r="B5" i="13" l="1"/>
  <c r="B13" i="7"/>
  <c r="B6" i="7"/>
  <c r="B12" i="7" l="1"/>
  <c r="A16" i="7" l="1"/>
  <c r="A17" i="7"/>
  <c r="B13" i="2"/>
  <c r="B14" i="7"/>
  <c r="Q19" i="1" s="1"/>
</calcChain>
</file>

<file path=xl/sharedStrings.xml><?xml version="1.0" encoding="utf-8"?>
<sst xmlns="http://schemas.openxmlformats.org/spreadsheetml/2006/main" count="101" uniqueCount="60">
  <si>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</si>
  <si>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</si>
  <si>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</si>
  <si>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</si>
  <si>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</si>
  <si>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</si>
  <si>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</si>
  <si>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</si>
  <si>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Reorder Level</t>
  </si>
  <si>
    <t>Current Stock</t>
  </si>
  <si>
    <t>Unit Price</t>
  </si>
  <si>
    <t>Stock Value</t>
  </si>
  <si>
    <t>Current Month Stock In</t>
  </si>
  <si>
    <t>Current Month Stock Out</t>
  </si>
  <si>
    <t>Row Labels</t>
  </si>
  <si>
    <t>Grand Total</t>
  </si>
  <si>
    <t>Sum of Current Stock</t>
  </si>
  <si>
    <t>Linked Cell</t>
  </si>
  <si>
    <t>Message-1</t>
  </si>
  <si>
    <t>Name Label</t>
  </si>
  <si>
    <t>Total Stock</t>
  </si>
  <si>
    <t>Expiry</t>
  </si>
  <si>
    <t>Expiry:</t>
  </si>
  <si>
    <t>Supplier ID</t>
  </si>
  <si>
    <t>Date:</t>
  </si>
  <si>
    <t>Record Start</t>
  </si>
  <si>
    <t>Record End</t>
  </si>
  <si>
    <t>Expiry Date</t>
  </si>
  <si>
    <t>Customer ID</t>
  </si>
  <si>
    <t>Supplier:</t>
  </si>
  <si>
    <t>Product ID:</t>
  </si>
  <si>
    <t>Product Name:</t>
  </si>
  <si>
    <t>Product Description:</t>
  </si>
  <si>
    <t>Product Category:</t>
  </si>
  <si>
    <t>Quantity:</t>
  </si>
  <si>
    <t>Customer:</t>
  </si>
  <si>
    <t>Value:</t>
  </si>
  <si>
    <t>Supplier</t>
  </si>
  <si>
    <t>Customer</t>
  </si>
  <si>
    <t>Sup-ID</t>
  </si>
  <si>
    <t>Cust-ID</t>
  </si>
  <si>
    <t>Supplier-ID:</t>
  </si>
  <si>
    <t>Customer-ID:</t>
  </si>
  <si>
    <t>Customer ID:</t>
  </si>
  <si>
    <t>Customer Name:</t>
  </si>
  <si>
    <t>Supplier ID:</t>
  </si>
  <si>
    <t>Supplier Name:</t>
  </si>
  <si>
    <t xml:space="preserve"> A16</t>
  </si>
  <si>
    <t>CIPOLE FRESCO 5 kg</t>
  </si>
  <si>
    <t>MARVEL TEA RED PREMIUM 1KGX14</t>
  </si>
  <si>
    <t xml:space="preserve">WSA CASHEW KERNELS 100 G X20   </t>
  </si>
  <si>
    <t>(blank)</t>
  </si>
  <si>
    <t>Sup-1</t>
  </si>
  <si>
    <t>Guru</t>
  </si>
  <si>
    <t>Cust-01</t>
  </si>
  <si>
    <t>CustomerA</t>
  </si>
  <si>
    <t>In Stock:</t>
  </si>
  <si>
    <t>(within last 30 days)</t>
  </si>
  <si>
    <t>Sup-2</t>
  </si>
  <si>
    <t>Nanak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</si>
</sst>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dd\-mm\-yyyy"/>
    <numFmt numFmtId="165" formatCode="[$-409]d\-mmm\-yyyy;@"/>
    <numFmt numFmtId="166" formatCode="_(&quot;$&quot;* #,##0_);_(&quot;$&quot;* \(#,##0\);_(&quot;$&quot;* &quot;-&quot;??_);_(@_)"/>
    <numFmt numFmtId="167" formatCode="[$-409]d\-mmm\-yy;@"/>
  </numFmts>
  <fonts count="29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sz val="9"/>
      <color theme="1"/>
      <name val="Calibri Light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Calibri Light"/>
      <family val="2"/>
    </font>
    <font>
      <b/>
      <sz val="15"/>
      <color rgb="FFFF0000"/>
      <name val="Arial"/>
      <family val="2"/>
    </font>
    <font>
      <b/>
      <sz val="15"/>
      <color rgb="FF0000EE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3"/>
      <color rgb="FF0000EE"/>
      <name val="Arial"/>
      <family val="2"/>
    </font>
    <font>
      <b/>
      <sz val="9"/>
      <color theme="0"/>
      <name val="Verdana"/>
      <family val="2"/>
    </font>
    <font>
      <sz val="9"/>
      <color theme="1"/>
      <name val="Verdana"/>
      <family val="2"/>
    </font>
    <font>
      <b/>
      <sz val="17"/>
      <color rgb="FFC00000"/>
      <name val="Verdana"/>
      <family val="2"/>
    </font>
    <font>
      <sz val="11"/>
      <color rgb="FFFF0000"/>
      <name val="Verdana"/>
      <family val="2"/>
    </font>
    <font>
      <sz val="11"/>
      <color rgb="FFC00000"/>
      <name val="Verdana"/>
      <family val="2"/>
    </font>
    <font>
      <sz val="11"/>
      <color theme="0" tint="-0.249977111117893"/>
      <name val="Verdana"/>
      <family val="2"/>
    </font>
    <font>
      <b/>
      <sz val="9"/>
      <color theme="1"/>
      <name val="Verdana"/>
      <family val="2"/>
    </font>
    <font>
      <b/>
      <sz val="11"/>
      <color theme="1"/>
      <name val="Calibri Light"/>
      <family val="2"/>
    </font>
    <font>
      <b/>
      <sz val="11"/>
      <color rgb="FFC00000"/>
      <name val="Verdana"/>
      <family val="2"/>
    </font>
    <font>
      <sz val="12"/>
      <color rgb="FFC00000"/>
      <name val="Verdana"/>
      <family val="2"/>
    </font>
    <font>
      <sz val="12"/>
      <color rgb="FF0000EE"/>
      <name val="Verdana"/>
      <family val="2"/>
    </font>
    <font>
      <sz val="11"/>
      <color theme="1"/>
      <name val="Verdana"/>
      <family val="2"/>
    </font>
    <font>
      <b/>
      <sz val="18"/>
      <color rgb="FF0000EE"/>
      <name val="Arial"/>
      <family val="2"/>
    </font>
    <font>
      <b/>
      <sz val="15"/>
      <color rgb="FF7030A0"/>
      <name val="Arial"/>
      <family val="2"/>
    </font>
    <font>
      <sz val="11"/>
      <color theme="1"/>
      <name val="Calibri"/>
      <family val="2"/>
      <scheme val="minor"/>
    </font>
    <font>
      <sz val="11"/>
      <color rgb="FF000000"/>
      <name val="Calibri Light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99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theme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theme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1"/>
      </left>
      <right/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7" fillId="0" borderId="0"/>
    <xf numFmtId="44" fontId="7" fillId="0" borderId="0" applyFont="0" applyFill="0" applyBorder="0" applyAlignment="0" applyProtection="0"/>
    <xf numFmtId="0" fontId="27" fillId="0" borderId="0"/>
  </cellStyleXfs>
  <cellXfs count="97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5" xfId="0" applyFill="1" applyBorder="1"/>
    <xf numFmtId="0" fontId="0" fillId="3" borderId="5" xfId="0" applyFill="1" applyBorder="1" applyAlignment="1">
      <alignment horizontal="right"/>
    </xf>
    <xf numFmtId="0" fontId="6" fillId="0" borderId="0" xfId="0" applyFont="1"/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center"/>
    </xf>
    <xf numFmtId="15" fontId="1" fillId="0" borderId="2" xfId="0" applyNumberFormat="1" applyFont="1" applyBorder="1" applyAlignment="1">
      <alignment horizontal="center"/>
    </xf>
    <xf numFmtId="42" fontId="1" fillId="0" borderId="2" xfId="0" applyNumberFormat="1" applyFont="1" applyBorder="1" applyAlignment="1">
      <alignment horizontal="center"/>
    </xf>
    <xf numFmtId="14" fontId="0" fillId="0" borderId="0" xfId="0" applyNumberFormat="1"/>
    <xf numFmtId="0" fontId="0" fillId="8" borderId="0" xfId="0" applyFill="1"/>
    <xf numFmtId="0" fontId="6" fillId="2" borderId="2" xfId="0" applyFont="1" applyFill="1" applyBorder="1" applyAlignment="1" applyProtection="1">
      <alignment horizontal="right" vertical="center"/>
      <protection locked="0"/>
    </xf>
    <xf numFmtId="0" fontId="0" fillId="2" borderId="7" xfId="0" applyFill="1" applyBorder="1" applyAlignment="1"/>
    <xf numFmtId="0" fontId="0" fillId="2" borderId="0" xfId="0" applyFill="1" applyAlignment="1"/>
    <xf numFmtId="0" fontId="13" fillId="6" borderId="0" xfId="0" applyFont="1" applyFill="1" applyBorder="1" applyAlignment="1">
      <alignment horizontal="center" vertical="center"/>
    </xf>
    <xf numFmtId="0" fontId="13" fillId="6" borderId="6" xfId="0" applyFont="1" applyFill="1" applyBorder="1" applyAlignment="1">
      <alignment horizontal="center" vertical="center"/>
    </xf>
    <xf numFmtId="42" fontId="13" fillId="6" borderId="6" xfId="0" applyNumberFormat="1" applyFont="1" applyFill="1" applyBorder="1" applyAlignment="1">
      <alignment horizontal="center" vertical="center"/>
    </xf>
    <xf numFmtId="14" fontId="13" fillId="6" borderId="6" xfId="0" applyNumberFormat="1" applyFont="1" applyFill="1" applyBorder="1" applyAlignment="1">
      <alignment horizontal="center" vertical="center"/>
    </xf>
    <xf numFmtId="15" fontId="6" fillId="2" borderId="2" xfId="0" applyNumberFormat="1" applyFont="1" applyFill="1" applyBorder="1" applyAlignment="1" applyProtection="1">
      <alignment horizontal="right" vertical="center"/>
      <protection locked="0"/>
    </xf>
    <xf numFmtId="42" fontId="6" fillId="2" borderId="2" xfId="0" applyNumberFormat="1" applyFont="1" applyFill="1" applyBorder="1" applyAlignment="1" applyProtection="1">
      <alignment horizontal="right" vertical="center" indent="3"/>
      <protection locked="0"/>
    </xf>
    <xf numFmtId="14" fontId="6" fillId="2" borderId="2" xfId="0" applyNumberFormat="1" applyFont="1" applyFill="1" applyBorder="1" applyAlignment="1" applyProtection="1">
      <alignment horizontal="right" vertical="center" indent="3"/>
      <protection locked="0"/>
    </xf>
    <xf numFmtId="0" fontId="6" fillId="2" borderId="9" xfId="0" applyFont="1" applyFill="1" applyBorder="1" applyAlignment="1" applyProtection="1">
      <alignment horizontal="right" vertical="center"/>
      <protection locked="0"/>
    </xf>
    <xf numFmtId="0" fontId="5" fillId="4" borderId="2" xfId="0" applyFont="1" applyFill="1" applyBorder="1" applyAlignment="1" applyProtection="1">
      <alignment horizontal="right" vertical="center"/>
      <protection hidden="1"/>
    </xf>
    <xf numFmtId="0" fontId="0" fillId="2" borderId="0" xfId="0" applyFill="1" applyBorder="1"/>
    <xf numFmtId="0" fontId="0" fillId="0" borderId="0" xfId="0" applyBorder="1"/>
    <xf numFmtId="15" fontId="1" fillId="0" borderId="2" xfId="0" applyNumberFormat="1" applyFont="1" applyBorder="1" applyAlignment="1">
      <alignment horizontal="left"/>
    </xf>
    <xf numFmtId="0" fontId="14" fillId="0" borderId="2" xfId="0" applyFont="1" applyBorder="1" applyAlignment="1">
      <alignment horizontal="center" vertical="center"/>
    </xf>
    <xf numFmtId="42" fontId="14" fillId="0" borderId="2" xfId="0" applyNumberFormat="1" applyFont="1" applyBorder="1" applyAlignment="1">
      <alignment horizontal="center" vertical="center"/>
    </xf>
    <xf numFmtId="0" fontId="20" fillId="0" borderId="0" xfId="0" applyFont="1"/>
    <xf numFmtId="0" fontId="17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right" vertical="center"/>
      <protection hidden="1"/>
    </xf>
    <xf numFmtId="0" fontId="21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left" vertical="center"/>
      <protection hidden="1"/>
    </xf>
    <xf numFmtId="0" fontId="16" fillId="2" borderId="2" xfId="0" applyFont="1" applyFill="1" applyBorder="1" applyAlignment="1" applyProtection="1">
      <alignment horizontal="left" vertical="center"/>
      <protection locked="0"/>
    </xf>
    <xf numFmtId="0" fontId="1" fillId="2" borderId="2" xfId="0" applyFont="1" applyFill="1" applyBorder="1" applyAlignment="1" applyProtection="1">
      <alignment horizontal="left" vertical="center"/>
      <protection locked="0"/>
    </xf>
    <xf numFmtId="166" fontId="1" fillId="4" borderId="9" xfId="2" applyNumberFormat="1" applyFont="1" applyFill="1" applyBorder="1" applyAlignment="1" applyProtection="1">
      <alignment horizontal="left" vertical="center"/>
      <protection hidden="1"/>
    </xf>
    <xf numFmtId="15" fontId="1" fillId="0" borderId="2" xfId="0" applyNumberFormat="1" applyFont="1" applyFill="1" applyBorder="1" applyAlignment="1" applyProtection="1">
      <alignment horizontal="left" vertical="center"/>
      <protection locked="0"/>
    </xf>
    <xf numFmtId="14" fontId="1" fillId="4" borderId="2" xfId="0" applyNumberFormat="1" applyFont="1" applyFill="1" applyBorder="1" applyAlignment="1" applyProtection="1">
      <alignment horizontal="left" vertical="center"/>
      <protection hidden="1"/>
    </xf>
    <xf numFmtId="166" fontId="1" fillId="4" borderId="2" xfId="2" applyNumberFormat="1" applyFont="1" applyFill="1" applyBorder="1" applyAlignment="1" applyProtection="1">
      <alignment horizontal="left" vertical="center"/>
      <protection hidden="1"/>
    </xf>
    <xf numFmtId="0" fontId="19" fillId="0" borderId="10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42" fontId="14" fillId="0" borderId="11" xfId="0" applyNumberFormat="1" applyFont="1" applyBorder="1" applyAlignment="1">
      <alignment horizontal="center" vertical="center"/>
    </xf>
    <xf numFmtId="14" fontId="14" fillId="0" borderId="11" xfId="0" applyNumberFormat="1" applyFont="1" applyBorder="1" applyAlignment="1">
      <alignment horizontal="center" vertical="center"/>
    </xf>
    <xf numFmtId="42" fontId="19" fillId="0" borderId="12" xfId="0" applyNumberFormat="1" applyFont="1" applyBorder="1" applyAlignment="1">
      <alignment horizontal="center" vertical="center"/>
    </xf>
    <xf numFmtId="0" fontId="1" fillId="4" borderId="2" xfId="0" applyFont="1" applyFill="1" applyBorder="1" applyAlignment="1" applyProtection="1">
      <alignment vertical="center"/>
      <protection hidden="1"/>
    </xf>
    <xf numFmtId="0" fontId="1" fillId="4" borderId="9" xfId="0" applyFont="1" applyFill="1" applyBorder="1" applyAlignment="1" applyProtection="1">
      <alignment vertical="center"/>
      <protection hidden="1"/>
    </xf>
    <xf numFmtId="0" fontId="5" fillId="4" borderId="2" xfId="0" applyFont="1" applyFill="1" applyBorder="1" applyAlignment="1" applyProtection="1">
      <alignment vertical="center"/>
      <protection hidden="1"/>
    </xf>
    <xf numFmtId="0" fontId="5" fillId="4" borderId="9" xfId="0" applyFont="1" applyFill="1" applyBorder="1" applyAlignment="1" applyProtection="1">
      <alignment vertical="center"/>
      <protection hidden="1"/>
    </xf>
    <xf numFmtId="0" fontId="0" fillId="0" borderId="0" xfId="0" applyAlignment="1">
      <alignment horizontal="left" vertical="center"/>
    </xf>
    <xf numFmtId="0" fontId="5" fillId="4" borderId="4" xfId="0" applyFont="1" applyFill="1" applyBorder="1" applyAlignment="1" applyProtection="1">
      <alignment vertical="center"/>
      <protection hidden="1"/>
    </xf>
    <xf numFmtId="15" fontId="22" fillId="2" borderId="3" xfId="0" applyNumberFormat="1" applyFont="1" applyFill="1" applyBorder="1" applyAlignment="1" applyProtection="1">
      <alignment horizontal="left" vertical="center"/>
      <protection locked="0"/>
    </xf>
    <xf numFmtId="0" fontId="22" fillId="2" borderId="1" xfId="0" applyFont="1" applyFill="1" applyBorder="1" applyAlignment="1" applyProtection="1">
      <alignment horizontal="left" vertical="center"/>
      <protection locked="0"/>
    </xf>
    <xf numFmtId="15" fontId="23" fillId="2" borderId="3" xfId="0" applyNumberFormat="1" applyFont="1" applyFill="1" applyBorder="1" applyAlignment="1" applyProtection="1">
      <alignment horizontal="left" vertical="center"/>
      <protection locked="0"/>
    </xf>
    <xf numFmtId="0" fontId="23" fillId="2" borderId="1" xfId="0" applyFont="1" applyFill="1" applyBorder="1" applyAlignment="1" applyProtection="1">
      <alignment horizontal="left" vertical="center"/>
      <protection locked="0"/>
    </xf>
    <xf numFmtId="167" fontId="24" fillId="0" borderId="13" xfId="1" applyNumberFormat="1" applyFont="1" applyFill="1" applyBorder="1" applyAlignment="1">
      <alignment horizontal="center"/>
    </xf>
    <xf numFmtId="42" fontId="24" fillId="0" borderId="13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9" borderId="0" xfId="0" applyFill="1"/>
    <xf numFmtId="0" fontId="8" fillId="9" borderId="2" xfId="0" applyFont="1" applyFill="1" applyBorder="1" applyAlignment="1" applyProtection="1">
      <alignment horizontal="right" vertical="center"/>
      <protection hidden="1"/>
    </xf>
    <xf numFmtId="0" fontId="26" fillId="5" borderId="2" xfId="0" applyFont="1" applyFill="1" applyBorder="1" applyAlignment="1" applyProtection="1">
      <alignment horizontal="right" vertical="center"/>
      <protection hidden="1"/>
    </xf>
    <xf numFmtId="0" fontId="0" fillId="9" borderId="0" xfId="0" applyFill="1" applyProtection="1">
      <protection hidden="1"/>
    </xf>
    <xf numFmtId="0" fontId="18" fillId="9" borderId="0" xfId="0" applyFont="1" applyFill="1" applyProtection="1">
      <protection hidden="1"/>
    </xf>
    <xf numFmtId="0" fontId="19" fillId="0" borderId="14" xfId="0" applyFont="1" applyBorder="1" applyAlignment="1">
      <alignment horizontal="center" vertical="center"/>
    </xf>
    <xf numFmtId="0" fontId="14" fillId="0" borderId="2" xfId="3" applyFont="1" applyBorder="1" applyAlignment="1">
      <alignment horizontal="center"/>
    </xf>
    <xf numFmtId="0" fontId="13" fillId="6" borderId="6" xfId="0" applyFont="1" applyFill="1" applyBorder="1" applyAlignment="1">
      <alignment horizontal="left" vertical="center"/>
    </xf>
    <xf numFmtId="0" fontId="14" fillId="0" borderId="2" xfId="3" applyFont="1" applyBorder="1" applyAlignment="1">
      <alignment horizontal="left"/>
    </xf>
    <xf numFmtId="0" fontId="0" fillId="8" borderId="0" xfId="0" applyFill="1" applyAlignment="1">
      <alignment horizontal="center"/>
    </xf>
    <xf numFmtId="165" fontId="9" fillId="9" borderId="2" xfId="0" applyNumberFormat="1" applyFont="1" applyFill="1" applyBorder="1" applyAlignment="1" applyProtection="1">
      <alignment horizontal="center" vertical="center"/>
      <protection hidden="1"/>
    </xf>
    <xf numFmtId="0" fontId="12" fillId="9" borderId="0" xfId="0" applyFont="1" applyFill="1" applyBorder="1" applyAlignment="1" applyProtection="1">
      <alignment horizontal="left" vertical="center"/>
      <protection locked="0" hidden="1"/>
    </xf>
    <xf numFmtId="164" fontId="11" fillId="5" borderId="0" xfId="0" applyNumberFormat="1" applyFont="1" applyFill="1" applyBorder="1" applyAlignment="1" applyProtection="1">
      <alignment horizontal="center" vertical="top"/>
      <protection locked="0"/>
    </xf>
    <xf numFmtId="0" fontId="15" fillId="8" borderId="0" xfId="0" applyFont="1" applyFill="1" applyAlignment="1" applyProtection="1">
      <alignment horizontal="left" vertical="center"/>
      <protection hidden="1"/>
    </xf>
    <xf numFmtId="0" fontId="10" fillId="7" borderId="0" xfId="0" applyFont="1" applyFill="1" applyBorder="1" applyAlignment="1" applyProtection="1">
      <alignment horizontal="center" vertical="top"/>
      <protection hidden="1"/>
    </xf>
    <xf numFmtId="0" fontId="25" fillId="5" borderId="2" xfId="0" applyNumberFormat="1" applyFont="1" applyFill="1" applyBorder="1" applyAlignment="1" applyProtection="1">
      <alignment horizontal="center" vertical="center"/>
      <protection hidden="1"/>
    </xf>
    <xf numFmtId="0" fontId="0" fillId="2" borderId="8" xfId="0" applyFill="1" applyBorder="1" applyAlignment="1">
      <alignment horizontal="center"/>
    </xf>
  </cellXfs>
  <cellStyles count="4">
    <cellStyle name="Currency" xfId="2" builtinId="4"/>
    <cellStyle name="Normal" xfId="0" builtinId="0"/>
    <cellStyle name="Normal 5" xfId="1"/>
    <cellStyle name="Normal_ProductMaster" xfId="3"/>
  </cellStyles>
  <dxfs count="38"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theme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9" formatCode="m/d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auto="1"/>
        </top>
        <bottom/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</dxf>
  </dxfs>
  <tableStyles count="0" defaultTableStyle="TableStyleMedium2" defaultPivotStyle="PivotStyleLight16"/>
  <colors>
    <mruColors>
      <color rgb="FFFFFF99"/>
      <color rgb="FF0000EE"/>
      <color rgb="FF365899"/>
      <color rgb="FFFFFFCC"/>
      <color rgb="FF00CC00"/>
      <color rgb="FF3D6AD6"/>
      <color rgb="FF096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gumroad.com/l/PlHCF" TargetMode="External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19050</xdr:rowOff>
    </xdr:from>
    <xdr:to>
      <xdr:col>8</xdr:col>
      <xdr:colOff>523874</xdr:colOff>
      <xdr:row>23</xdr:row>
      <xdr:rowOff>190499</xdr:rowOff>
    </xdr:to>
    <xdr:sp macro="" textlink="">
      <xdr:nvSpPr>
        <xdr:cNvPr id="49" name="MainBack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0" y="3533775"/>
          <a:ext cx="5848349" cy="1257299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2</xdr:row>
      <xdr:rowOff>180976</xdr:rowOff>
    </xdr:from>
    <xdr:to>
      <xdr:col>8</xdr:col>
      <xdr:colOff>523874</xdr:colOff>
      <xdr:row>16</xdr:row>
      <xdr:rowOff>0</xdr:rowOff>
    </xdr:to>
    <xdr:sp macro="" textlink="">
      <xdr:nvSpPr>
        <xdr:cNvPr id="3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561976"/>
          <a:ext cx="5848349" cy="2505074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142875</xdr:colOff>
      <xdr:row>20</xdr:row>
      <xdr:rowOff>95250</xdr:rowOff>
    </xdr:from>
    <xdr:ext cx="6081056" cy="341697"/>
    <xdr:sp macro="" textlink="Help!K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123825</xdr:colOff>
      <xdr:row>12</xdr:row>
      <xdr:rowOff>114300</xdr:rowOff>
    </xdr:from>
    <xdr:to>
      <xdr:col>19</xdr:col>
      <xdr:colOff>0</xdr:colOff>
      <xdr:row>14</xdr:row>
      <xdr:rowOff>118335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9953625" y="2400300"/>
          <a:ext cx="3028950" cy="4040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 Re-Order Level</a:t>
          </a:r>
        </a:p>
      </xdr:txBody>
    </xdr:sp>
    <xdr:clientData/>
  </xdr:twoCellAnchor>
  <xdr:oneCellAnchor>
    <xdr:from>
      <xdr:col>9</xdr:col>
      <xdr:colOff>434044</xdr:colOff>
      <xdr:row>20</xdr:row>
      <xdr:rowOff>102685</xdr:rowOff>
    </xdr:from>
    <xdr:ext cx="3956981" cy="279372"/>
    <xdr:sp macro="" textlink="Help!A15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282394" y="4131760"/>
          <a:ext cx="3956981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7050C9D9-1DFC-4299-A367-2B126CAB5991}" type="TxLink">
            <a:rPr lang="en-US" sz="1200" b="0" i="0" u="none" strike="noStrike" cap="none" spc="0">
              <a:ln w="0"/>
              <a:solidFill>
                <a:srgbClr val="0000EE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#N/A</a:t>
          </a:fld>
          <a:endParaRPr lang="en-US" sz="1200" b="0" i="0" u="none" strike="noStrike" cap="none" spc="0">
            <a:ln w="0"/>
            <a:solidFill>
              <a:srgbClr val="0000EE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502773</xdr:colOff>
      <xdr:row>14</xdr:row>
      <xdr:rowOff>85725</xdr:rowOff>
    </xdr:from>
    <xdr:ext cx="4774077" cy="276225"/>
    <xdr:sp macro="" textlink="Help!B8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351123" y="2771775"/>
          <a:ext cx="4774077" cy="2762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marL="0" indent="0" algn="l"/>
          <a:fld id="{455EFD9E-04D8-4D37-90F2-BBA855E61CE9}" type="TxLink">
            <a:rPr lang="en-US" sz="1300" b="0" i="0" u="none" strike="noStrike" cap="none" spc="0">
              <a:ln w="0"/>
              <a:solidFill>
                <a:srgbClr val="7030A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marL="0" indent="0" algn="l"/>
            <a:t>#N/A</a:t>
          </a:fld>
          <a:endParaRPr lang="en-US" sz="1300" b="0" i="0" u="none" strike="noStrike" cap="none" spc="0">
            <a:ln w="0"/>
            <a:solidFill>
              <a:srgbClr val="7030A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323851</xdr:colOff>
      <xdr:row>15</xdr:row>
      <xdr:rowOff>123826</xdr:rowOff>
    </xdr:from>
    <xdr:to>
      <xdr:col>14</xdr:col>
      <xdr:colOff>381001</xdr:colOff>
      <xdr:row>20</xdr:row>
      <xdr:rowOff>142876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180975</xdr:colOff>
      <xdr:row>7</xdr:row>
      <xdr:rowOff>142875</xdr:rowOff>
    </xdr:from>
    <xdr:ext cx="1857376" cy="310534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0010775" y="1476375"/>
          <a:ext cx="1857376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276225</xdr:colOff>
      <xdr:row>7</xdr:row>
      <xdr:rowOff>171450</xdr:rowOff>
    </xdr:from>
    <xdr:ext cx="1962150" cy="310534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667500" y="1504950"/>
          <a:ext cx="1962150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342900</xdr:colOff>
      <xdr:row>12</xdr:row>
      <xdr:rowOff>19049</xdr:rowOff>
    </xdr:from>
    <xdr:to>
      <xdr:col>18</xdr:col>
      <xdr:colOff>57150</xdr:colOff>
      <xdr:row>22</xdr:row>
      <xdr:rowOff>142874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191250" y="2305049"/>
          <a:ext cx="6248400" cy="20669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9</xdr:col>
      <xdr:colOff>421451</xdr:colOff>
      <xdr:row>3</xdr:row>
      <xdr:rowOff>74110</xdr:rowOff>
    </xdr:from>
    <xdr:ext cx="2693224" cy="310534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69801" y="645610"/>
          <a:ext cx="2693224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13</xdr:col>
      <xdr:colOff>609600</xdr:colOff>
      <xdr:row>5</xdr:row>
      <xdr:rowOff>19050</xdr:rowOff>
    </xdr:from>
    <xdr:ext cx="2628900" cy="341697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9791700" y="971550"/>
          <a:ext cx="262890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1600" b="0" i="0" u="none" strike="noStrike" cap="none" spc="0">
              <a:ln w="0"/>
              <a:solidFill>
                <a:srgbClr val="00CC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00CC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295275</xdr:colOff>
      <xdr:row>9</xdr:row>
      <xdr:rowOff>38100</xdr:rowOff>
    </xdr:from>
    <xdr:ext cx="2038350" cy="341697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0163175" y="1752600"/>
          <a:ext cx="203835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16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200025</xdr:colOff>
      <xdr:row>4</xdr:row>
      <xdr:rowOff>180975</xdr:rowOff>
    </xdr:from>
    <xdr:ext cx="2105025" cy="3105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591300" y="942975"/>
          <a:ext cx="210502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14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0 Unit(s)</a:t>
          </a:fld>
          <a:endParaRPr lang="en-US" sz="14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390525</xdr:colOff>
      <xdr:row>3</xdr:row>
      <xdr:rowOff>123825</xdr:rowOff>
    </xdr:from>
    <xdr:ext cx="1533526" cy="310534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0258425" y="695325"/>
          <a:ext cx="1533526" cy="310534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endParaRPr lang="en-US" sz="14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66676</xdr:colOff>
      <xdr:row>7</xdr:row>
      <xdr:rowOff>114300</xdr:rowOff>
    </xdr:from>
    <xdr:to>
      <xdr:col>17</xdr:col>
      <xdr:colOff>514350</xdr:colOff>
      <xdr:row>11</xdr:row>
      <xdr:rowOff>66675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896476" y="1447800"/>
          <a:ext cx="2771774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85726</xdr:colOff>
      <xdr:row>3</xdr:row>
      <xdr:rowOff>95251</xdr:rowOff>
    </xdr:from>
    <xdr:to>
      <xdr:col>12</xdr:col>
      <xdr:colOff>476250</xdr:colOff>
      <xdr:row>7</xdr:row>
      <xdr:rowOff>38100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477001" y="666751"/>
          <a:ext cx="2752724" cy="704849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95249</xdr:colOff>
      <xdr:row>7</xdr:row>
      <xdr:rowOff>161925</xdr:rowOff>
    </xdr:from>
    <xdr:to>
      <xdr:col>12</xdr:col>
      <xdr:colOff>466724</xdr:colOff>
      <xdr:row>11</xdr:row>
      <xdr:rowOff>95250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486524" y="1495425"/>
          <a:ext cx="2733675" cy="69532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66675</xdr:colOff>
      <xdr:row>3</xdr:row>
      <xdr:rowOff>76200</xdr:rowOff>
    </xdr:from>
    <xdr:to>
      <xdr:col>17</xdr:col>
      <xdr:colOff>533400</xdr:colOff>
      <xdr:row>7</xdr:row>
      <xdr:rowOff>28575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9896475" y="647700"/>
          <a:ext cx="2790825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2" tooltip="More Features"/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28575</xdr:colOff>
      <xdr:row>0</xdr:row>
      <xdr:rowOff>76200</xdr:rowOff>
    </xdr:from>
    <xdr:to>
      <xdr:col>17</xdr:col>
      <xdr:colOff>458343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292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10</xdr:col>
      <xdr:colOff>342900</xdr:colOff>
      <xdr:row>0</xdr:row>
      <xdr:rowOff>0</xdr:rowOff>
    </xdr:from>
    <xdr:to>
      <xdr:col>11</xdr:col>
      <xdr:colOff>47625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41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57593</xdr:colOff>
      <xdr:row>0</xdr:row>
      <xdr:rowOff>0</xdr:rowOff>
    </xdr:from>
    <xdr:ext cx="6562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7593" y="0"/>
          <a:ext cx="6562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>
    <xdr:from>
      <xdr:col>0</xdr:col>
      <xdr:colOff>57150</xdr:colOff>
      <xdr:row>7</xdr:row>
      <xdr:rowOff>19050</xdr:rowOff>
    </xdr:from>
    <xdr:to>
      <xdr:col>1</xdr:col>
      <xdr:colOff>642366</xdr:colOff>
      <xdr:row>9</xdr:row>
      <xdr:rowOff>9525</xdr:rowOff>
    </xdr:to>
    <xdr:sp macro="[0]!EnterStockInSheet" textlink="">
      <xdr:nvSpPr>
        <xdr:cNvPr id="10" name="EnterStockI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7150" y="1352550"/>
          <a:ext cx="1271016" cy="371475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209551</xdr:colOff>
      <xdr:row>7</xdr:row>
      <xdr:rowOff>19048</xdr:rowOff>
    </xdr:from>
    <xdr:to>
      <xdr:col>4</xdr:col>
      <xdr:colOff>333375</xdr:colOff>
      <xdr:row>9</xdr:row>
      <xdr:rowOff>12952</xdr:rowOff>
    </xdr:to>
    <xdr:sp macro="[0]!EnterStockOutSheet" textlink="">
      <xdr:nvSpPr>
        <xdr:cNvPr id="11" name="EnterStockOu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581151" y="1352548"/>
          <a:ext cx="1333499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57149</xdr:colOff>
      <xdr:row>13</xdr:row>
      <xdr:rowOff>28574</xdr:rowOff>
    </xdr:from>
    <xdr:to>
      <xdr:col>2</xdr:col>
      <xdr:colOff>285750</xdr:colOff>
      <xdr:row>15</xdr:row>
      <xdr:rowOff>12572</xdr:rowOff>
    </xdr:to>
    <xdr:sp macro="[0]!StockInSheet" textlink="">
      <xdr:nvSpPr>
        <xdr:cNvPr id="13" name="StockInSheet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149" y="2505074"/>
          <a:ext cx="1600201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StockIn Sheet</a:t>
          </a:r>
        </a:p>
      </xdr:txBody>
    </xdr:sp>
    <xdr:clientData/>
  </xdr:twoCellAnchor>
  <xdr:twoCellAnchor>
    <xdr:from>
      <xdr:col>2</xdr:col>
      <xdr:colOff>428625</xdr:colOff>
      <xdr:row>13</xdr:row>
      <xdr:rowOff>28575</xdr:rowOff>
    </xdr:from>
    <xdr:to>
      <xdr:col>5</xdr:col>
      <xdr:colOff>238125</xdr:colOff>
      <xdr:row>15</xdr:row>
      <xdr:rowOff>12573</xdr:rowOff>
    </xdr:to>
    <xdr:sp macro="[0]!StockOutSheet" textlink="">
      <xdr:nvSpPr>
        <xdr:cNvPr id="14" name="StockOutSheet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800225" y="2505075"/>
          <a:ext cx="1704975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StockOut Sheet</a:t>
          </a:r>
        </a:p>
      </xdr:txBody>
    </xdr:sp>
    <xdr:clientData/>
  </xdr:twoCellAnchor>
  <xdr:twoCellAnchor>
    <xdr:from>
      <xdr:col>5</xdr:col>
      <xdr:colOff>504823</xdr:colOff>
      <xdr:row>10</xdr:row>
      <xdr:rowOff>47624</xdr:rowOff>
    </xdr:from>
    <xdr:to>
      <xdr:col>7</xdr:col>
      <xdr:colOff>552450</xdr:colOff>
      <xdr:row>12</xdr:row>
      <xdr:rowOff>41528</xdr:rowOff>
    </xdr:to>
    <xdr:sp macro="[0]!EnterNewSupplierSheet" textlink="">
      <xdr:nvSpPr>
        <xdr:cNvPr id="7" name="NewSupplier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71898" y="1952624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Supplier</a:t>
          </a:r>
        </a:p>
      </xdr:txBody>
    </xdr:sp>
    <xdr:clientData/>
  </xdr:twoCellAnchor>
  <xdr:twoCellAnchor>
    <xdr:from>
      <xdr:col>0</xdr:col>
      <xdr:colOff>19051</xdr:colOff>
      <xdr:row>15</xdr:row>
      <xdr:rowOff>276225</xdr:rowOff>
    </xdr:from>
    <xdr:to>
      <xdr:col>3</xdr:col>
      <xdr:colOff>333375</xdr:colOff>
      <xdr:row>17</xdr:row>
      <xdr:rowOff>9526</xdr:rowOff>
    </xdr:to>
    <xdr:sp macro="[0]!StockReport" textlink="">
      <xdr:nvSpPr>
        <xdr:cNvPr id="43" name="StockReport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9051" y="3152775"/>
          <a:ext cx="2209799" cy="371476"/>
        </a:xfrm>
        <a:prstGeom prst="rect">
          <a:avLst/>
        </a:prstGeom>
        <a:ln w="28575">
          <a:solidFill>
            <a:schemeClr val="bg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5</xdr:col>
      <xdr:colOff>400051</xdr:colOff>
      <xdr:row>13</xdr:row>
      <xdr:rowOff>38099</xdr:rowOff>
    </xdr:from>
    <xdr:to>
      <xdr:col>7</xdr:col>
      <xdr:colOff>590551</xdr:colOff>
      <xdr:row>15</xdr:row>
      <xdr:rowOff>3428</xdr:rowOff>
    </xdr:to>
    <xdr:sp macro="[0]!ProductMasterSheet" textlink="">
      <xdr:nvSpPr>
        <xdr:cNvPr id="29" name="ProductMaster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3667126" y="2514599"/>
          <a:ext cx="1562100" cy="365379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Master Sheet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11</xdr:col>
      <xdr:colOff>323850</xdr:colOff>
      <xdr:row>9</xdr:row>
      <xdr:rowOff>152400</xdr:rowOff>
    </xdr:from>
    <xdr:ext cx="2009775" cy="310534"/>
    <xdr:sp macro="" textlink="Help!B2">
      <xdr:nvSpPr>
        <xdr:cNvPr id="47" name="StockValue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7791450" y="1866900"/>
          <a:ext cx="200977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14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$- </a:t>
          </a:fld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47623</xdr:colOff>
      <xdr:row>4</xdr:row>
      <xdr:rowOff>19049</xdr:rowOff>
    </xdr:from>
    <xdr:to>
      <xdr:col>3</xdr:col>
      <xdr:colOff>571500</xdr:colOff>
      <xdr:row>6</xdr:row>
      <xdr:rowOff>12953</xdr:rowOff>
    </xdr:to>
    <xdr:sp macro="[0]!SaleDataInput" textlink="">
      <xdr:nvSpPr>
        <xdr:cNvPr id="54" name="Sal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4762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Sale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19050</xdr:colOff>
      <xdr:row>18</xdr:row>
      <xdr:rowOff>9524</xdr:rowOff>
    </xdr:from>
    <xdr:to>
      <xdr:col>3</xdr:col>
      <xdr:colOff>342900</xdr:colOff>
      <xdr:row>20</xdr:row>
      <xdr:rowOff>47625</xdr:rowOff>
    </xdr:to>
    <xdr:sp macro="[0]!MainModule.ExpiryReport" textlink="">
      <xdr:nvSpPr>
        <xdr:cNvPr id="57" name="ExpiryReport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19050" y="3714749"/>
          <a:ext cx="2219325" cy="361951"/>
        </a:xfrm>
        <a:prstGeom prst="rect">
          <a:avLst/>
        </a:prstGeom>
        <a:ln w="28575"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Expiry Report</a:t>
          </a:r>
        </a:p>
      </xdr:txBody>
    </xdr:sp>
    <xdr:clientData/>
  </xdr:twoCellAnchor>
  <xdr:twoCellAnchor>
    <xdr:from>
      <xdr:col>2</xdr:col>
      <xdr:colOff>380998</xdr:colOff>
      <xdr:row>10</xdr:row>
      <xdr:rowOff>38099</xdr:rowOff>
    </xdr:from>
    <xdr:to>
      <xdr:col>5</xdr:col>
      <xdr:colOff>28575</xdr:colOff>
      <xdr:row>12</xdr:row>
      <xdr:rowOff>32003</xdr:rowOff>
    </xdr:to>
    <xdr:sp macro="[0]!EnterNewCustomerSheet" textlink="">
      <xdr:nvSpPr>
        <xdr:cNvPr id="58" name="NewCustomer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1752598" y="1943099"/>
          <a:ext cx="15430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Customer</a:t>
          </a:r>
        </a:p>
      </xdr:txBody>
    </xdr:sp>
    <xdr:clientData/>
  </xdr:twoCellAnchor>
  <xdr:twoCellAnchor>
    <xdr:from>
      <xdr:col>0</xdr:col>
      <xdr:colOff>47623</xdr:colOff>
      <xdr:row>10</xdr:row>
      <xdr:rowOff>38099</xdr:rowOff>
    </xdr:from>
    <xdr:to>
      <xdr:col>2</xdr:col>
      <xdr:colOff>95250</xdr:colOff>
      <xdr:row>12</xdr:row>
      <xdr:rowOff>32003</xdr:rowOff>
    </xdr:to>
    <xdr:sp macro="[0]!EnterNewProductSheet" textlink="">
      <xdr:nvSpPr>
        <xdr:cNvPr id="59" name="NewProduct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47623" y="1943099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oneCellAnchor>
    <xdr:from>
      <xdr:col>10</xdr:col>
      <xdr:colOff>95250</xdr:colOff>
      <xdr:row>9</xdr:row>
      <xdr:rowOff>85725</xdr:rowOff>
    </xdr:from>
    <xdr:ext cx="2105025" cy="353687"/>
    <xdr:sp macro="" textlink="Help!B2">
      <xdr:nvSpPr>
        <xdr:cNvPr id="41" name="CurrentStock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6486525" y="1800225"/>
          <a:ext cx="2105025" cy="35368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63BAFF0B-7523-455E-9633-EB70075BC5BE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algn="ctr"/>
            <a:t> $- </a:t>
          </a:fld>
          <a:endParaRPr lang="en-US" sz="16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4</xdr:col>
      <xdr:colOff>190498</xdr:colOff>
      <xdr:row>4</xdr:row>
      <xdr:rowOff>19049</xdr:rowOff>
    </xdr:from>
    <xdr:to>
      <xdr:col>7</xdr:col>
      <xdr:colOff>552450</xdr:colOff>
      <xdr:row>6</xdr:row>
      <xdr:rowOff>12953</xdr:rowOff>
    </xdr:to>
    <xdr:sp macro="[0]!PurchaseDataInput" textlink="">
      <xdr:nvSpPr>
        <xdr:cNvPr id="45" name="PurchaseInput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277177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Purchase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542925</xdr:colOff>
          <xdr:row>12</xdr:row>
          <xdr:rowOff>171450</xdr:rowOff>
        </xdr:from>
        <xdr:to>
          <xdr:col>13</xdr:col>
          <xdr:colOff>381000</xdr:colOff>
          <xdr:row>14</xdr:row>
          <xdr:rowOff>57150</xdr:rowOff>
        </xdr:to>
        <xdr:sp macro="" textlink="">
          <xdr:nvSpPr>
            <xdr:cNvPr id="1028" name="cboItem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7</xdr:row>
          <xdr:rowOff>19050</xdr:rowOff>
        </xdr:from>
        <xdr:to>
          <xdr:col>7</xdr:col>
          <xdr:colOff>457200</xdr:colOff>
          <xdr:row>8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Override 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</xdr:colOff>
      <xdr:row>0</xdr:row>
      <xdr:rowOff>66675</xdr:rowOff>
    </xdr:from>
    <xdr:to>
      <xdr:col>12</xdr:col>
      <xdr:colOff>276225</xdr:colOff>
      <xdr:row>2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0896600" y="66675"/>
          <a:ext cx="895350" cy="27622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9525</xdr:rowOff>
    </xdr:from>
    <xdr:to>
      <xdr:col>11</xdr:col>
      <xdr:colOff>247650</xdr:colOff>
      <xdr:row>1</xdr:row>
      <xdr:rowOff>76200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449050" y="9525"/>
          <a:ext cx="895350" cy="21907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0</xdr:rowOff>
    </xdr:from>
    <xdr:to>
      <xdr:col>11</xdr:col>
      <xdr:colOff>247650</xdr:colOff>
      <xdr:row>1</xdr:row>
      <xdr:rowOff>95250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496675" y="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Supplier</a:t>
          </a:r>
        </a:p>
      </xdr:txBody>
    </xdr:sp>
    <xdr:clientData/>
  </xdr:twoCellAnchor>
  <xdr:twoCellAnchor>
    <xdr:from>
      <xdr:col>1</xdr:col>
      <xdr:colOff>2743200</xdr:colOff>
      <xdr:row>0</xdr:row>
      <xdr:rowOff>114300</xdr:rowOff>
    </xdr:from>
    <xdr:to>
      <xdr:col>2</xdr:col>
      <xdr:colOff>723900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5148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1704975</xdr:colOff>
      <xdr:row>6</xdr:row>
      <xdr:rowOff>190501</xdr:rowOff>
    </xdr:from>
    <xdr:to>
      <xdr:col>2</xdr:col>
      <xdr:colOff>9525</xdr:colOff>
      <xdr:row>7</xdr:row>
      <xdr:rowOff>85725</xdr:rowOff>
    </xdr:to>
    <xdr:sp macro="[0]!EnterNewSuppli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476625" y="1743076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1390650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0" y="0"/>
          <a:ext cx="621982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0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Customer</a:t>
          </a:r>
        </a:p>
      </xdr:txBody>
    </xdr:sp>
    <xdr:clientData/>
  </xdr:twoCellAnchor>
  <xdr:twoCellAnchor>
    <xdr:from>
      <xdr:col>1</xdr:col>
      <xdr:colOff>2933700</xdr:colOff>
      <xdr:row>0</xdr:row>
      <xdr:rowOff>114300</xdr:rowOff>
    </xdr:from>
    <xdr:to>
      <xdr:col>2</xdr:col>
      <xdr:colOff>1247775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49580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1371600</xdr:colOff>
      <xdr:row>6</xdr:row>
      <xdr:rowOff>238126</xdr:rowOff>
    </xdr:from>
    <xdr:to>
      <xdr:col>2</xdr:col>
      <xdr:colOff>9525</xdr:colOff>
      <xdr:row>7</xdr:row>
      <xdr:rowOff>133350</xdr:rowOff>
    </xdr:to>
    <xdr:sp macro="[0]!EnterNewCustom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2933700" y="17907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YED\Desktop\VBA_Programming\6_Inventory_Management\3_Revisions\IMS_Working_Rev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Help"/>
      <sheetName val="EnterStockIn"/>
      <sheetName val="EnterStockOut"/>
      <sheetName val="StockIn"/>
      <sheetName val="StockOut"/>
      <sheetName val="ProductMaster"/>
      <sheetName val="EnterNewProduct"/>
      <sheetName val="IMS_Working_Rev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YED" refreshedDate="43837.088505671294" createdVersion="6" refreshedVersion="6" minRefreshableVersion="3" recordCount="2">
  <cacheSource type="worksheet">
    <worksheetSource ref="A1:J3" sheet="ProductMaster"/>
  </cacheSource>
  <cacheFields count="10">
    <cacheField name="S No." numFmtId="0">
      <sharedItems containsSemiMixedTypes="0" containsString="0" containsNumber="1" containsInteger="1" minValue="1" maxValue="2"/>
    </cacheField>
    <cacheField name="Product ID" numFmtId="0">
      <sharedItems containsMixedTypes="1" containsNumber="1" containsInteger="1" minValue="106" maxValue="106"/>
    </cacheField>
    <cacheField name="Product Name" numFmtId="0">
      <sharedItems/>
    </cacheField>
    <cacheField name="Product Description" numFmtId="0">
      <sharedItems containsNonDate="0" containsString="0" containsBlank="1"/>
    </cacheField>
    <cacheField name="Product Category" numFmtId="0">
      <sharedItems containsNonDate="0" containsBlank="1" count="6">
        <m/>
        <s v="Plastic" u="1"/>
        <s v="Bottles" u="1"/>
        <s v="Bottled" u="1"/>
        <s v="Latest" u="1"/>
        <s v="Special" u="1"/>
      </sharedItems>
    </cacheField>
    <cacheField name="Unit Price" numFmtId="42">
      <sharedItems containsNonDate="0" containsString="0" containsBlank="1"/>
    </cacheField>
    <cacheField name="Expiry" numFmtId="14">
      <sharedItems/>
    </cacheField>
    <cacheField name="Reorder Level" numFmtId="0">
      <sharedItems containsNonDate="0" containsString="0" containsBlank="1"/>
    </cacheField>
    <cacheField name="Current Stock" numFmtId="0">
      <sharedItems containsSemiMixedTypes="0" containsString="0" containsNumber="1" containsInteger="1" minValue="0" maxValue="0"/>
    </cacheField>
    <cacheField name="Value" numFmtId="42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">
  <r>
    <n v="1"/>
    <s v=" A16"/>
    <s v="CIPOLE FRESCO 5 kg"/>
    <m/>
    <x v="0"/>
    <m/>
    <s v=""/>
    <m/>
    <n v="0"/>
    <n v="0"/>
  </r>
  <r>
    <n v="2"/>
    <n v="106"/>
    <s v="MARVEL TEA RED PREMIUM 1KGX14"/>
    <m/>
    <x v="0"/>
    <m/>
    <s v=""/>
    <m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9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E1:F3" firstHeaderRow="1" firstDataRow="1" firstDataCol="1"/>
  <pivotFields count="10"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6">
        <item m="1" x="3"/>
        <item m="1" x="2"/>
        <item m="1" x="4"/>
        <item m="1" x="1"/>
        <item m="1" x="5"/>
        <item x="0"/>
      </items>
    </pivotField>
    <pivotField numFmtId="42" showAll="0" defaultSubtotal="0"/>
    <pivotField numFmtId="14" showAll="0" defaultSubtotal="0"/>
    <pivotField showAll="0" defaultSubtotal="0"/>
    <pivotField dataField="1" showAll="0" defaultSubtotal="0"/>
    <pivotField numFmtId="42" showAll="0" defaultSubtotal="0"/>
  </pivotFields>
  <rowFields count="1">
    <field x="4"/>
  </rowFields>
  <rowItems count="2">
    <i>
      <x v="5"/>
    </i>
    <i t="grand">
      <x/>
    </i>
  </rowItems>
  <colItems count="1">
    <i/>
  </colItems>
  <dataFields count="1">
    <dataField name="Sum of Current Stock" fld="8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3" name="CustSup" displayName="CustSup" ref="H1:K5" totalsRowShown="0" headerRowDxfId="37">
  <autoFilter ref="H1:K5"/>
  <tableColumns count="4">
    <tableColumn id="1" name="Sup-ID"/>
    <tableColumn id="2" name="Supplier"/>
    <tableColumn id="3" name="Cust-ID"/>
    <tableColumn id="4" name="Custom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tockInData" displayName="StockInData" ref="A1:K2" totalsRowShown="0" headerRowDxfId="36" dataDxfId="35">
  <tableColumns count="11">
    <tableColumn id="1" name="S No." dataDxfId="34"/>
    <tableColumn id="2" name="Date" dataDxfId="33"/>
    <tableColumn id="11" name="Supplier ID" dataDxfId="32"/>
    <tableColumn id="10" name="Supplier" dataDxfId="31"/>
    <tableColumn id="3" name="Product ID" dataDxfId="30"/>
    <tableColumn id="4" name="Product Name" dataDxfId="29"/>
    <tableColumn id="5" name="Product Description" dataDxfId="28"/>
    <tableColumn id="6" name="Product Category" dataDxfId="27"/>
    <tableColumn id="9" name="Expiry" dataDxfId="26"/>
    <tableColumn id="7" name="Quantity" dataDxfId="25"/>
    <tableColumn id="8" name="Value" dataDxfId="24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id="1" name="StockOutData" displayName="StockOutData" ref="A1:J2" insertRow="1" totalsRowShown="0" headerRowDxfId="23" dataDxfId="22">
  <tableColumns count="10">
    <tableColumn id="1" name="S No." dataDxfId="21"/>
    <tableColumn id="2" name="Date" dataDxfId="20"/>
    <tableColumn id="14" name="Customer ID" dataDxfId="19"/>
    <tableColumn id="13" name="Customer" dataDxfId="18"/>
    <tableColumn id="3" name="Product ID" dataDxfId="17"/>
    <tableColumn id="4" name="Product Name" dataDxfId="16"/>
    <tableColumn id="5" name="Product Description" dataDxfId="15"/>
    <tableColumn id="6" name="Product Category" dataDxfId="14"/>
    <tableColumn id="7" name="Quantity" dataDxfId="13"/>
    <tableColumn id="8" name="Value" dataDxfId="12"/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id="4" name="ProductMaster" displayName="ProductMaster" ref="A1:J3" totalsRowShown="0" headerRowDxfId="11" tableBorderDxfId="10">
  <autoFilter ref="A1:J3"/>
  <tableColumns count="10">
    <tableColumn id="1" name="S No." dataDxfId="9"/>
    <tableColumn id="2" name="Product ID" dataDxfId="8"/>
    <tableColumn id="3" name="Product Name" dataDxfId="7"/>
    <tableColumn id="4" name="Product Description" dataDxfId="6"/>
    <tableColumn id="5" name="Product Category" dataDxfId="5"/>
    <tableColumn id="6" name="Unit Price" dataDxfId="4"/>
    <tableColumn id="7" name="Expiry" dataDxfId="3"/>
    <tableColumn id="8" name="Reorder Level" dataDxfId="2"/>
    <tableColumn id="9" name="Current Stock" dataDxfId="1"/>
    <tableColumn id="10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59"/>
  <sheetViews>
    <sheetView showGridLines="0" showRowColHeaders="0" tabSelected="1" zoomScaleNormal="100" workbookViewId="0">
      <selection activeCell="K14" sqref="K14:M14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9" customWidth="1"/>
    <col min="14" max="14" width="5.125" customWidth="1"/>
    <col min="15" max="15" width="6.5" customWidth="1"/>
    <col min="16" max="16" width="14.5" customWidth="1"/>
    <col min="17" max="17" width="9.5" customWidth="1"/>
    <col min="18" max="18" width="9" customWidth="1"/>
    <col min="19" max="19" width="1.875" customWidth="1"/>
    <col min="20" max="16384" width="9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83"/>
      <c r="K4" s="83"/>
      <c r="L4" s="83"/>
      <c r="M4" s="83"/>
      <c r="N4" s="83"/>
      <c r="O4" s="83"/>
      <c r="P4" s="83"/>
      <c r="Q4" s="83"/>
      <c r="R4" s="83"/>
      <c r="S4" s="80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83"/>
      <c r="K5" s="83"/>
      <c r="L5" s="83"/>
      <c r="M5" s="83"/>
      <c r="N5" s="83"/>
      <c r="O5" s="83"/>
      <c r="P5" s="83"/>
      <c r="Q5" s="83" t="s">
        <v>57</v>
      </c>
      <c r="R5" s="83"/>
      <c r="S5" s="80"/>
    </row>
    <row r="6" spans="1:19" x14ac:dyDescent="0.25">
      <c r="A6" s="14"/>
      <c r="B6" s="14"/>
      <c r="C6" s="14"/>
      <c r="D6" s="14"/>
      <c r="E6" s="14"/>
      <c r="F6" s="14"/>
      <c r="G6" s="14"/>
      <c r="H6" s="14"/>
      <c r="I6" s="14"/>
      <c r="J6" s="83"/>
      <c r="K6" s="83"/>
      <c r="L6" s="83"/>
      <c r="M6" s="83"/>
      <c r="N6" s="83"/>
      <c r="O6" s="83"/>
      <c r="P6" s="83"/>
      <c r="Q6" s="83"/>
      <c r="R6" s="83"/>
      <c r="S6" s="80"/>
    </row>
    <row r="7" spans="1:19" x14ac:dyDescent="0.25">
      <c r="A7" s="14"/>
      <c r="B7" s="14"/>
      <c r="C7" s="14"/>
      <c r="D7" s="14"/>
      <c r="E7" s="14"/>
      <c r="F7" s="14"/>
      <c r="G7" s="14"/>
      <c r="H7" s="14"/>
      <c r="I7" s="14"/>
      <c r="J7" s="83"/>
      <c r="K7" s="83"/>
      <c r="L7" s="83"/>
      <c r="M7" s="83"/>
      <c r="N7" s="83"/>
      <c r="O7" s="83"/>
      <c r="P7" s="83"/>
      <c r="Q7" s="83"/>
      <c r="R7" s="83"/>
      <c r="S7" s="80"/>
    </row>
    <row r="8" spans="1:19" x14ac:dyDescent="0.25">
      <c r="A8" s="14"/>
      <c r="B8" s="14"/>
      <c r="C8" s="14"/>
      <c r="D8" s="14"/>
      <c r="E8" s="14"/>
      <c r="F8" s="14"/>
      <c r="G8" s="14"/>
      <c r="H8" s="14"/>
      <c r="I8" s="14"/>
      <c r="J8" s="83"/>
      <c r="K8" s="83"/>
      <c r="L8" s="83"/>
      <c r="M8" s="83"/>
      <c r="N8" s="83"/>
      <c r="O8" s="83"/>
      <c r="P8" s="83"/>
      <c r="Q8" s="83"/>
      <c r="R8" s="83"/>
      <c r="S8" s="80"/>
    </row>
    <row r="9" spans="1:19" x14ac:dyDescent="0.25">
      <c r="A9" s="14"/>
      <c r="B9" s="14"/>
      <c r="C9" s="14"/>
      <c r="D9" s="14"/>
      <c r="E9" s="14"/>
      <c r="F9" s="14"/>
      <c r="G9" s="14"/>
      <c r="H9" s="14"/>
      <c r="I9" s="14"/>
      <c r="J9" s="83"/>
      <c r="K9" s="83"/>
      <c r="L9" s="83"/>
      <c r="M9" s="83"/>
      <c r="N9" s="83"/>
      <c r="O9" s="83"/>
      <c r="P9" s="83"/>
      <c r="Q9" s="83" t="s">
        <v>57</v>
      </c>
      <c r="R9" s="83"/>
      <c r="S9" s="80"/>
    </row>
    <row r="10" spans="1:19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83"/>
      <c r="K10" s="83"/>
      <c r="L10" s="83"/>
      <c r="M10" s="83"/>
      <c r="N10" s="83"/>
      <c r="O10" s="83"/>
      <c r="P10" s="83"/>
      <c r="Q10" s="83"/>
      <c r="R10" s="83"/>
      <c r="S10" s="80"/>
    </row>
    <row r="11" spans="1:19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83"/>
      <c r="K11" s="83"/>
      <c r="L11" s="83"/>
      <c r="M11" s="83"/>
      <c r="N11" s="83"/>
      <c r="O11" s="83"/>
      <c r="P11" s="83"/>
      <c r="Q11" s="83"/>
      <c r="R11" s="83"/>
      <c r="S11" s="80"/>
    </row>
    <row r="12" spans="1:19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83"/>
      <c r="K12" s="83"/>
      <c r="L12" s="83"/>
      <c r="M12" s="83"/>
      <c r="N12" s="83"/>
      <c r="O12" s="83"/>
      <c r="P12" s="83"/>
      <c r="Q12" s="83"/>
      <c r="R12" s="83"/>
      <c r="S12" s="80"/>
    </row>
    <row r="13" spans="1:19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83"/>
      <c r="K13" s="83"/>
      <c r="L13" s="83"/>
      <c r="M13" s="83"/>
      <c r="N13" s="83"/>
      <c r="O13" s="83"/>
      <c r="P13" s="83"/>
      <c r="Q13" s="83"/>
      <c r="R13" s="83"/>
      <c r="S13" s="80"/>
    </row>
    <row r="14" spans="1:19" ht="16.5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83"/>
      <c r="K14" s="91" t="s">
        <v>50</v>
      </c>
      <c r="L14" s="91"/>
      <c r="M14" s="91"/>
      <c r="N14" s="84"/>
      <c r="O14" s="83"/>
      <c r="P14" s="83"/>
      <c r="Q14" s="83"/>
      <c r="R14" s="83"/>
      <c r="S14" s="80"/>
    </row>
    <row r="15" spans="1:19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83"/>
      <c r="K15" s="83"/>
      <c r="L15" s="83"/>
      <c r="M15" s="83"/>
      <c r="N15" s="83"/>
      <c r="O15" s="83"/>
      <c r="P15" s="83"/>
      <c r="Q15" s="83"/>
      <c r="R15" s="83"/>
      <c r="S15" s="80"/>
    </row>
    <row r="16" spans="1:19" ht="23.25" customHeight="1" x14ac:dyDescent="0.25">
      <c r="A16" s="31"/>
      <c r="B16" s="31"/>
      <c r="C16" s="31"/>
      <c r="D16" s="31"/>
      <c r="E16" s="31"/>
      <c r="F16" s="31"/>
      <c r="G16" s="31"/>
      <c r="H16" s="31"/>
      <c r="I16" s="31"/>
      <c r="J16" s="83"/>
      <c r="K16" s="83"/>
      <c r="L16" s="83"/>
      <c r="M16" s="83"/>
      <c r="N16" s="83"/>
      <c r="O16" s="83"/>
      <c r="P16" s="83"/>
      <c r="Q16" s="83"/>
      <c r="R16" s="83"/>
      <c r="S16" s="80"/>
    </row>
    <row r="17" spans="1:19" ht="27" customHeight="1" x14ac:dyDescent="0.25">
      <c r="A17" s="89"/>
      <c r="B17" s="89"/>
      <c r="C17" s="89"/>
      <c r="D17" s="94" t="s">
        <v>24</v>
      </c>
      <c r="E17" s="94"/>
      <c r="F17" s="92">
        <v>44245</v>
      </c>
      <c r="G17" s="92"/>
      <c r="H17" s="93" t="str">
        <f>TEXT(F17,"DDD")</f>
        <v>Thu</v>
      </c>
      <c r="I17" s="93"/>
      <c r="J17" s="80"/>
      <c r="K17" s="80"/>
      <c r="L17" s="80"/>
      <c r="M17" s="80"/>
      <c r="N17" s="80"/>
      <c r="O17" s="80"/>
      <c r="P17" s="82" t="s">
        <v>56</v>
      </c>
      <c r="Q17" s="95" t="e">
        <f>Help!B10</f>
        <v>#N/A</v>
      </c>
      <c r="R17" s="95"/>
      <c r="S17" s="80"/>
    </row>
    <row r="18" spans="1:19" x14ac:dyDescent="0.25">
      <c r="A18" s="89"/>
      <c r="B18" s="89"/>
      <c r="C18" s="89"/>
      <c r="D18" s="89"/>
      <c r="E18" s="89"/>
      <c r="F18" s="89"/>
      <c r="G18" s="89"/>
      <c r="H18" s="89"/>
      <c r="I18" s="89"/>
      <c r="J18" s="80"/>
      <c r="K18" s="80"/>
      <c r="L18" s="80"/>
      <c r="M18" s="80"/>
      <c r="N18" s="80"/>
      <c r="O18" s="80"/>
      <c r="P18" s="80"/>
      <c r="Q18" s="80"/>
      <c r="R18" s="80"/>
      <c r="S18" s="80"/>
    </row>
    <row r="19" spans="1:19" ht="19.5" x14ac:dyDescent="0.25">
      <c r="A19" s="89"/>
      <c r="B19" s="89"/>
      <c r="C19" s="89"/>
      <c r="D19" s="89"/>
      <c r="E19" s="89"/>
      <c r="F19" s="89"/>
      <c r="G19" s="89"/>
      <c r="H19" s="89"/>
      <c r="I19" s="89"/>
      <c r="J19" s="80"/>
      <c r="K19" s="80"/>
      <c r="L19" s="80"/>
      <c r="M19" s="80"/>
      <c r="N19" s="80"/>
      <c r="O19" s="80"/>
      <c r="P19" s="81" t="s">
        <v>22</v>
      </c>
      <c r="Q19" s="90" t="str">
        <f>IFERROR(Help!B14,"")</f>
        <v/>
      </c>
      <c r="R19" s="90"/>
      <c r="S19" s="80"/>
    </row>
    <row r="20" spans="1:19" ht="10.5" customHeight="1" x14ac:dyDescent="0.25">
      <c r="A20" s="89"/>
      <c r="B20" s="89"/>
      <c r="C20" s="89"/>
      <c r="D20" s="89"/>
      <c r="E20" s="89"/>
      <c r="F20" s="89"/>
      <c r="G20" s="89"/>
      <c r="H20" s="89"/>
      <c r="I20" s="89"/>
      <c r="J20" s="80"/>
      <c r="K20" s="80"/>
      <c r="L20" s="80"/>
      <c r="M20" s="80"/>
      <c r="N20" s="80"/>
      <c r="O20" s="80"/>
      <c r="P20" s="80"/>
      <c r="Q20" s="80"/>
      <c r="R20" s="80"/>
      <c r="S20" s="80"/>
    </row>
    <row r="21" spans="1:19" x14ac:dyDescent="0.25">
      <c r="A21" s="89"/>
      <c r="B21" s="89"/>
      <c r="C21" s="89"/>
      <c r="D21" s="89"/>
      <c r="E21" s="89"/>
      <c r="F21" s="89"/>
      <c r="G21" s="89"/>
      <c r="H21" s="89"/>
      <c r="I21" s="89"/>
      <c r="J21" s="80"/>
      <c r="K21" s="80"/>
      <c r="L21" s="80"/>
      <c r="M21" s="80"/>
      <c r="N21" s="80"/>
      <c r="O21" s="80"/>
      <c r="P21" s="80"/>
      <c r="Q21" s="80"/>
      <c r="R21" s="80"/>
      <c r="S21" s="80"/>
    </row>
    <row r="22" spans="1:19" x14ac:dyDescent="0.25">
      <c r="A22" s="89"/>
      <c r="B22" s="89"/>
      <c r="C22" s="89"/>
      <c r="D22" s="89"/>
      <c r="E22" s="89"/>
      <c r="F22" s="89"/>
      <c r="G22" s="89"/>
      <c r="H22" s="89"/>
      <c r="I22" s="89"/>
      <c r="J22" s="80"/>
      <c r="K22" s="80"/>
      <c r="L22" s="80"/>
      <c r="M22" s="80"/>
      <c r="N22" s="80"/>
      <c r="O22" s="80"/>
      <c r="P22" s="80"/>
      <c r="Q22" s="80"/>
      <c r="R22" s="80"/>
      <c r="S22" s="80"/>
    </row>
    <row r="23" spans="1:19" x14ac:dyDescent="0.25">
      <c r="A23" s="89"/>
      <c r="B23" s="89"/>
      <c r="C23" s="89"/>
      <c r="D23" s="89"/>
      <c r="E23" s="89"/>
      <c r="F23" s="89"/>
      <c r="G23" s="89"/>
      <c r="H23" s="89"/>
      <c r="I23" s="89"/>
      <c r="J23" s="80"/>
      <c r="K23" s="80"/>
      <c r="L23" s="80"/>
      <c r="M23" s="80"/>
      <c r="N23" s="80"/>
      <c r="O23" s="80"/>
      <c r="P23" s="80"/>
      <c r="Q23" s="80"/>
      <c r="R23" s="80"/>
      <c r="S23" s="80"/>
    </row>
    <row r="24" spans="1:19" x14ac:dyDescent="0.25">
      <c r="A24" s="89"/>
      <c r="B24" s="89"/>
      <c r="C24" s="89"/>
      <c r="D24" s="89"/>
      <c r="E24" s="89"/>
      <c r="F24" s="89"/>
      <c r="G24" s="89"/>
      <c r="H24" s="89"/>
      <c r="I24" s="89"/>
      <c r="J24" s="80"/>
      <c r="K24" s="80"/>
      <c r="L24" s="80"/>
      <c r="M24" s="80"/>
      <c r="N24" s="80"/>
      <c r="O24" s="80"/>
      <c r="P24" s="80"/>
      <c r="Q24" s="80"/>
      <c r="R24" s="80"/>
      <c r="S24" s="80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</sheetData>
  <sheetProtection password="CC72" sheet="1" objects="1" scenarios="1" selectLockedCells="1"/>
  <mergeCells count="8">
    <mergeCell ref="A18:I24"/>
    <mergeCell ref="Q19:R19"/>
    <mergeCell ref="K14:M14"/>
    <mergeCell ref="F17:G17"/>
    <mergeCell ref="A17:C17"/>
    <mergeCell ref="H17:I17"/>
    <mergeCell ref="D17:E17"/>
    <mergeCell ref="Q17:R17"/>
  </mergeCells>
  <dataValidations count="1">
    <dataValidation type="list" allowBlank="1" showInputMessage="1" showErrorMessage="1" sqref="K14">
      <formula1>INDIRECT("ProductMaster[Product Name]")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boItems">
          <controlPr defaultSize="0" autoLine="0" autoPict="0" linkedCell="K14" r:id="rId5">
            <anchor moveWithCells="1">
              <from>
                <xdr:col>9</xdr:col>
                <xdr:colOff>542925</xdr:colOff>
                <xdr:row>12</xdr:row>
                <xdr:rowOff>171450</xdr:rowOff>
              </from>
              <to>
                <xdr:col>13</xdr:col>
                <xdr:colOff>381000</xdr:colOff>
                <xdr:row>14</xdr:row>
                <xdr:rowOff>57150</xdr:rowOff>
              </to>
            </anchor>
          </controlPr>
        </control>
      </mc:Choice>
      <mc:Fallback>
        <control shapeId="1028" r:id="rId4" name="cboItems"/>
      </mc:Fallback>
    </mc:AlternateContent>
    <mc:AlternateContent xmlns:mc="http://schemas.openxmlformats.org/markup-compatibility/2006">
      <mc:Choice Requires="x14">
        <control shapeId="1029" r:id="rId6" name="Button 5">
          <controlPr defaultSize="0" print="0" autoFill="0" autoPict="0" macro="[0]!Button5_Click">
            <anchor moveWithCells="1" sizeWithCells="1">
              <from>
                <xdr:col>5</xdr:col>
                <xdr:colOff>590550</xdr:colOff>
                <xdr:row>7</xdr:row>
                <xdr:rowOff>19050</xdr:rowOff>
              </from>
              <to>
                <xdr:col>7</xdr:col>
                <xdr:colOff>457200</xdr:colOff>
                <xdr:row>8</xdr:row>
                <xdr:rowOff>152400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7"/>
  <sheetViews>
    <sheetView workbookViewId="0">
      <selection activeCell="M1" sqref="M1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5" max="5" width="12.625" bestFit="1" customWidth="1"/>
    <col min="6" max="6" width="19.75" bestFit="1" customWidth="1"/>
    <col min="8" max="8" width="9" bestFit="1" customWidth="1"/>
    <col min="10" max="10" width="10.875" bestFit="1" customWidth="1"/>
    <col min="11" max="11" width="9.625" bestFit="1" customWidth="1"/>
    <col min="12" max="12" width="11.5" bestFit="1" customWidth="1"/>
    <col min="14" max="18" width="18.625" customWidth="1"/>
  </cols>
  <sheetData>
    <row r="1" spans="1:11" x14ac:dyDescent="0.25">
      <c r="A1" t="s">
        <v>9</v>
      </c>
      <c r="B1" s="1" t="str">
        <f>ROUNDUP(SUM(ProductMaster!$I$2:INDEX(ProductMaster!$I:$I,COUNTA(ProductMaster!$I:$I),0)),0)&amp; " Unit(s)"</f>
        <v>0 Unit(s)</v>
      </c>
      <c r="D1" s="9"/>
      <c r="E1" s="10" t="s">
        <v>14</v>
      </c>
      <c r="F1" t="s">
        <v>16</v>
      </c>
      <c r="H1" s="49" t="s">
        <v>39</v>
      </c>
      <c r="I1" s="49" t="s">
        <v>37</v>
      </c>
      <c r="J1" s="49" t="s">
        <v>40</v>
      </c>
      <c r="K1" s="49" t="s">
        <v>38</v>
      </c>
    </row>
    <row r="2" spans="1:11" x14ac:dyDescent="0.25">
      <c r="A2" t="s">
        <v>11</v>
      </c>
      <c r="B2" s="8">
        <f>SUM(ProductMaster!$J$2:INDEX(ProductMaster!$J:$J,COUNTA(ProductMaster!$J:$J),0))</f>
        <v>0</v>
      </c>
      <c r="E2" s="11" t="s">
        <v>51</v>
      </c>
      <c r="F2" s="12">
        <v>0</v>
      </c>
      <c r="H2" t="s">
        <v>52</v>
      </c>
      <c r="I2" t="s">
        <v>53</v>
      </c>
      <c r="J2" t="s">
        <v>54</v>
      </c>
      <c r="K2" t="s">
        <v>55</v>
      </c>
    </row>
    <row r="3" spans="1:11" x14ac:dyDescent="0.25">
      <c r="A3" t="s">
        <v>25</v>
      </c>
      <c r="B3" s="9">
        <f ca="1">TODAY()-30</f>
        <v>43807</v>
      </c>
      <c r="E3" s="11" t="s">
        <v>15</v>
      </c>
      <c r="F3" s="12">
        <v>0</v>
      </c>
      <c r="H3" t="s">
        <v>58</v>
      </c>
      <c r="I3" t="s">
        <v>59</v>
      </c>
    </row>
    <row r="4" spans="1:11" x14ac:dyDescent="0.25">
      <c r="A4" t="s">
        <v>26</v>
      </c>
      <c r="B4" s="9">
        <f ca="1">TODAY()</f>
        <v>43837</v>
      </c>
    </row>
    <row r="5" spans="1:11" x14ac:dyDescent="0.25">
      <c r="A5" t="s">
        <v>12</v>
      </c>
      <c r="B5" s="1" t="str">
        <f ca="1">ROUNDUP(SUMIFS(StockInData[Quantity],StockInData[Date],"&gt;"&amp;Help!B3,StockInData[Date],"&lt;"&amp;Help!B4),0)&amp;" Unit(s)"</f>
        <v>0 Unit(s)</v>
      </c>
    </row>
    <row r="6" spans="1:11" x14ac:dyDescent="0.25">
      <c r="A6" t="s">
        <v>13</v>
      </c>
      <c r="B6" s="1" t="str">
        <f ca="1">SUMIFS(StockOutData[Quantity],StockOutData[Date],"&gt;"&amp;Help!B3,StockOutData[Date],"&lt;"&amp;Help!B4)&amp;" Unit(s)"</f>
        <v>0 Unit(s)</v>
      </c>
    </row>
    <row r="7" spans="1:11" x14ac:dyDescent="0.25">
      <c r="A7" t="s">
        <v>17</v>
      </c>
      <c r="B7" s="13" t="e">
        <f>MATCH(Dashboard!K14,ProductMaster!$C$2:INDEX(ProductMaster!$C:$C,COUNTA(ProductMaster!$C:$C),0),0)</f>
        <v>#N/A</v>
      </c>
    </row>
    <row r="8" spans="1:11" x14ac:dyDescent="0.25">
      <c r="A8" t="s">
        <v>3</v>
      </c>
      <c r="B8" s="69" t="e">
        <f>VLOOKUP(B7,ProductMaster!$A$2:$J$3,3,0)</f>
        <v>#N/A</v>
      </c>
    </row>
    <row r="9" spans="1:11" x14ac:dyDescent="0.25">
      <c r="A9" t="s">
        <v>8</v>
      </c>
      <c r="B9" t="e">
        <f>ROUNDUP(VLOOKUP(B7,ProductMaster!$A$2:$J$3,8,0),2)</f>
        <v>#N/A</v>
      </c>
    </row>
    <row r="10" spans="1:11" x14ac:dyDescent="0.25">
      <c r="A10" t="s">
        <v>20</v>
      </c>
      <c r="B10" t="e">
        <f>ROUNDUP(VLOOKUP(B7,ProductMaster!$A$2:$J$3,9,0),2)</f>
        <v>#N/A</v>
      </c>
    </row>
    <row r="11" spans="1:11" x14ac:dyDescent="0.25">
      <c r="A11" t="s">
        <v>11</v>
      </c>
      <c r="B11" s="8" t="e">
        <f>VLOOKUP(B7,ProductMaster!$A$2:$J$3,6,0)</f>
        <v>#N/A</v>
      </c>
    </row>
    <row r="12" spans="1:11" x14ac:dyDescent="0.25">
      <c r="A12" t="s">
        <v>18</v>
      </c>
      <c r="B12" t="e">
        <f>"Current Stock is "&amp;B10&amp;" Unit(s). And, Stock Value is "&amp;TEXT(B11,"$0")</f>
        <v>#N/A</v>
      </c>
    </row>
    <row r="13" spans="1:11" x14ac:dyDescent="0.25">
      <c r="A13" t="s">
        <v>19</v>
      </c>
      <c r="B13" t="e">
        <f>B8&amp;"'s"</f>
        <v>#N/A</v>
      </c>
    </row>
    <row r="14" spans="1:11" x14ac:dyDescent="0.25">
      <c r="A14" t="s">
        <v>21</v>
      </c>
      <c r="B14" s="30" t="e">
        <f>VLOOKUP(B7,ProductMaster!$A$2:$J$3,7,0)</f>
        <v>#N/A</v>
      </c>
    </row>
    <row r="15" spans="1:11" x14ac:dyDescent="0.25">
      <c r="A15" t="e">
        <f>IF(B10&gt;B9,"Relax! Stock Is Above Re-Order Level.","Order NOW!")</f>
        <v>#N/A</v>
      </c>
    </row>
    <row r="16" spans="1:11" ht="37.5" customHeight="1" x14ac:dyDescent="0.25">
      <c r="A16" t="e">
        <f>IF(B9&gt;B10,"Do Something, Stock is Below Re-Order Level.","")</f>
        <v>#N/A</v>
      </c>
    </row>
    <row r="17" spans="1:1" ht="37.5" customHeight="1" x14ac:dyDescent="0.25">
      <c r="A17" t="e">
        <f>IF(B10=B9,"Hurry Up You Need More Stock","")</f>
        <v>#N/A</v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5"/>
  <sheetViews>
    <sheetView showGridLines="0" showRowColHeaders="0" workbookViewId="0">
      <selection activeCell="B8" sqref="B8"/>
    </sheetView>
  </sheetViews>
  <sheetFormatPr defaultColWidth="0" defaultRowHeight="15" zeroHeight="1" x14ac:dyDescent="0.25"/>
  <cols>
    <col min="1" max="1" width="24.625" customWidth="1"/>
    <col min="2" max="2" width="43.12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0.5" customHeight="1" x14ac:dyDescent="0.25">
      <c r="A4" s="96"/>
      <c r="B4" s="96"/>
      <c r="C4" s="33"/>
    </row>
    <row r="5" spans="1:3" s="22" customFormat="1" ht="18" customHeight="1" x14ac:dyDescent="0.25">
      <c r="A5" s="65" t="s">
        <v>0</v>
      </c>
      <c r="B5" s="51" t="str">
        <f>IF(B10="","",(MAX(StockInData[S No.])+1))</f>
        <v/>
      </c>
      <c r="C5" s="34"/>
    </row>
    <row r="6" spans="1:3" s="22" customFormat="1" ht="18" customHeight="1" x14ac:dyDescent="0.25">
      <c r="A6" s="65" t="s">
        <v>24</v>
      </c>
      <c r="B6" s="57"/>
      <c r="C6" s="34"/>
    </row>
    <row r="7" spans="1:3" s="22" customFormat="1" ht="18" customHeight="1" x14ac:dyDescent="0.25">
      <c r="A7" s="65" t="s">
        <v>41</v>
      </c>
      <c r="B7" s="53" t="str">
        <f>IFERROR(INDEX(CustSup[Sup-ID],MATCH(B8,CustSup[Supplier],0)),"")</f>
        <v/>
      </c>
      <c r="C7" s="34"/>
    </row>
    <row r="8" spans="1:3" s="22" customFormat="1" ht="18" customHeight="1" x14ac:dyDescent="0.25">
      <c r="A8" s="65" t="s">
        <v>29</v>
      </c>
      <c r="B8" s="52"/>
      <c r="C8" s="34"/>
    </row>
    <row r="9" spans="1:3" s="22" customFormat="1" ht="18" customHeight="1" x14ac:dyDescent="0.25">
      <c r="A9" s="65" t="s">
        <v>30</v>
      </c>
      <c r="B9" s="53" t="str">
        <f>IFERROR(INDEX(ProductMaster!$B$2:INDEX(ProductMaster!$B:$B,COUNTA(ProductMaster!$B:$B)),MATCH(EnterStockIn!B10,ProductMaster!$C$2:INDEX(ProductMaster!$C:$C,COUNTA(ProductMaster!$C:$C)),0),0),"")</f>
        <v/>
      </c>
      <c r="C9" s="34"/>
    </row>
    <row r="10" spans="1:3" s="22" customFormat="1" ht="18" customHeight="1" x14ac:dyDescent="0.25">
      <c r="A10" s="65" t="s">
        <v>31</v>
      </c>
      <c r="B10" s="50"/>
      <c r="C10" s="34"/>
    </row>
    <row r="11" spans="1:3" s="22" customFormat="1" ht="18" customHeight="1" x14ac:dyDescent="0.25">
      <c r="A11" s="65" t="s">
        <v>32</v>
      </c>
      <c r="B11" s="53" t="str">
        <f>IFERROR(INDEX(ProductMaster!$D$2:INDEX(ProductMaster!$D:$D,COUNTA(ProductMaster!$D:$D)),MATCH(EnterStockIn!B10,ProductMaster!$C$2:INDEX(ProductMaster!$C:$C,COUNTA(ProductMaster!$C:$C)),0),0),"")</f>
        <v/>
      </c>
      <c r="C11" s="34"/>
    </row>
    <row r="12" spans="1:3" s="22" customFormat="1" ht="18" customHeight="1" x14ac:dyDescent="0.25">
      <c r="A12" s="65" t="s">
        <v>33</v>
      </c>
      <c r="B12" s="53" t="str">
        <f>IFERROR(INDEX(ProductMaster!$E$2:INDEX(ProductMaster!$E:$E,COUNTA(ProductMaster!$E:$E)),MATCH(EnterStockIn!B10,ProductMaster!$C$2:INDEX(ProductMaster!$C:$C,COUNTA(ProductMaster!$C:$C)),0),0),"")</f>
        <v/>
      </c>
      <c r="C12" s="34"/>
    </row>
    <row r="13" spans="1:3" s="22" customFormat="1" ht="18" customHeight="1" x14ac:dyDescent="0.25">
      <c r="A13" s="65" t="s">
        <v>22</v>
      </c>
      <c r="B13" s="58" t="str">
        <f>IFERROR(INDEX(ProductMaster!$G$2:INDEX(ProductMaster!$G:$G,COUNTA(ProductMaster!$G:$G)),MATCH(EnterStockIn!B10,ProductMaster!$C$2:INDEX(ProductMaster!$C:$C,COUNTA(ProductMaster!$C:$C)),0),0),"")</f>
        <v/>
      </c>
      <c r="C13" s="34"/>
    </row>
    <row r="14" spans="1:3" s="22" customFormat="1" ht="18" customHeight="1" x14ac:dyDescent="0.25">
      <c r="A14" s="65" t="s">
        <v>34</v>
      </c>
      <c r="B14" s="55"/>
      <c r="C14" s="34"/>
    </row>
    <row r="15" spans="1:3" s="22" customFormat="1" ht="18" customHeight="1" x14ac:dyDescent="0.25">
      <c r="A15" s="65" t="s">
        <v>7</v>
      </c>
      <c r="B15" s="59" t="str">
        <f>IFERROR(INDEX(ProductMaster!$F$2:INDEX(ProductMaster!$F:$F,COUNTA(ProductMaster!$F:$F)),MATCH(EnterStockIn!B10,ProductMaster!$C$2:INDEX(ProductMaster!$C:$C,COUNTA(ProductMaster!$C:$C)),0),0)*B14,"")</f>
        <v/>
      </c>
      <c r="C15" s="34"/>
    </row>
    <row r="16" spans="1:3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x14ac:dyDescent="0.25"/>
    <row r="23" hidden="1" x14ac:dyDescent="0.25"/>
    <row r="24" x14ac:dyDescent="0.25"/>
    <row r="25" x14ac:dyDescent="0.25"/>
  </sheetData>
  <sheetProtection password="CC72" sheet="1" objects="1" scenarios="1" selectLockedCells="1"/>
  <mergeCells count="1">
    <mergeCell ref="A4:B4"/>
  </mergeCells>
  <dataValidations xWindow="553" yWindow="477" count="3">
    <dataValidation type="list" allowBlank="1" showInputMessage="1" showErrorMessage="1" promptTitle="Select Product" prompt="Select Product Name From Drop Down List" sqref="B10">
      <formula1>INDIRECT("ProductMaster[Product Name]")</formula1>
    </dataValidation>
    <dataValidation type="decimal" allowBlank="1" showInputMessage="1" showErrorMessage="1" errorTitle="Wrong Value" error="Please enter valid number!" promptTitle="Enter Quantity" prompt="Enter Stock Units_x000a_" sqref="B14">
      <formula1>1</formula1>
      <formula2>999999</formula2>
    </dataValidation>
    <dataValidation type="list" allowBlank="1" showInputMessage="1" showErrorMessage="1" promptTitle="Select Supplier" sqref="B8">
      <formula1>INDIRECT("CustSup[Supplier]")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4"/>
  <sheetViews>
    <sheetView showGridLines="0" showRowColHeaders="0" workbookViewId="0">
      <selection activeCell="B8" sqref="B8"/>
    </sheetView>
  </sheetViews>
  <sheetFormatPr defaultColWidth="0" defaultRowHeight="15" customHeight="1" zeroHeight="1" x14ac:dyDescent="0.25"/>
  <cols>
    <col min="1" max="1" width="24.625" customWidth="1"/>
    <col min="2" max="2" width="38.7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4"/>
      <c r="B4" s="15"/>
      <c r="C4" s="14"/>
    </row>
    <row r="5" spans="1:3" ht="18" customHeight="1" x14ac:dyDescent="0.25">
      <c r="A5" s="65" t="s">
        <v>0</v>
      </c>
      <c r="B5" s="51" t="str">
        <f>IF(B10="","",(MAX(StockOutData[S No.])+1))</f>
        <v/>
      </c>
      <c r="C5" s="14"/>
    </row>
    <row r="6" spans="1:3" ht="18" customHeight="1" x14ac:dyDescent="0.25">
      <c r="A6" s="65" t="s">
        <v>24</v>
      </c>
      <c r="B6" s="57"/>
      <c r="C6" s="14"/>
    </row>
    <row r="7" spans="1:3" ht="18" customHeight="1" x14ac:dyDescent="0.25">
      <c r="A7" s="65" t="s">
        <v>42</v>
      </c>
      <c r="B7" s="53" t="str">
        <f>IFERROR(INDEX(CustSup[Cust-ID],MATCH(B8,CustSup[Customer],0)),"")</f>
        <v/>
      </c>
      <c r="C7" s="14"/>
    </row>
    <row r="8" spans="1:3" ht="18" customHeight="1" x14ac:dyDescent="0.25">
      <c r="A8" s="65" t="s">
        <v>35</v>
      </c>
      <c r="B8" s="52"/>
      <c r="C8" s="14"/>
    </row>
    <row r="9" spans="1:3" s="45" customFormat="1" ht="18" customHeight="1" x14ac:dyDescent="0.25">
      <c r="A9" s="65" t="s">
        <v>30</v>
      </c>
      <c r="B9" s="53"/>
      <c r="C9" s="44"/>
    </row>
    <row r="10" spans="1:3" ht="18" customHeight="1" x14ac:dyDescent="0.25">
      <c r="A10" s="65" t="s">
        <v>31</v>
      </c>
      <c r="B10" s="54"/>
      <c r="C10" s="14"/>
    </row>
    <row r="11" spans="1:3" ht="18" customHeight="1" x14ac:dyDescent="0.25">
      <c r="A11" s="65" t="s">
        <v>32</v>
      </c>
      <c r="B11" s="53" t="str">
        <f>IFERROR(INDEX(ProductMaster!$D$2:INDEX(ProductMaster!$D:$D,COUNTA(ProductMaster!$D:$D)),MATCH(EnterStockOut!B10,ProductMaster!$C$2:INDEX(ProductMaster!$C:$C,COUNTA(ProductMaster!$C:$C)),0),0),"")</f>
        <v/>
      </c>
      <c r="C11" s="14"/>
    </row>
    <row r="12" spans="1:3" ht="18" customHeight="1" x14ac:dyDescent="0.25">
      <c r="A12" s="65" t="s">
        <v>33</v>
      </c>
      <c r="B12" s="53" t="str">
        <f>IFERROR(INDEX(ProductMaster!$E$2:INDEX(ProductMaster!$E:$E,COUNTA(ProductMaster!$E:$E)),MATCH(EnterStockOut!B10,ProductMaster!$C$2:INDEX(ProductMaster!$C:$C,COUNTA(ProductMaster!$C:$C)),0),0),"")</f>
        <v/>
      </c>
      <c r="C12" s="14"/>
    </row>
    <row r="13" spans="1:3" ht="18" customHeight="1" x14ac:dyDescent="0.25">
      <c r="A13" s="65" t="s">
        <v>34</v>
      </c>
      <c r="B13" s="55"/>
      <c r="C13" s="14"/>
    </row>
    <row r="14" spans="1:3" ht="18" customHeight="1" thickBot="1" x14ac:dyDescent="0.3">
      <c r="A14" s="66" t="s">
        <v>36</v>
      </c>
      <c r="B14" s="56" t="str">
        <f>IFERROR(INDEX(ProductMaster!$F$2:INDEX(ProductMaster!$F:$F,COUNTA(ProductMaster!$F:$F)),MATCH(EnterStockOut!B10,ProductMaster!$C$2:INDEX(ProductMaster!$C:$C,COUNTA(ProductMaster!$C:$C)),0),0)*B13,"")</f>
        <v/>
      </c>
      <c r="C14" s="14"/>
    </row>
    <row r="15" spans="1:3" x14ac:dyDescent="0.25">
      <c r="A15" s="14"/>
      <c r="B15" s="15"/>
      <c r="C15" s="14"/>
    </row>
    <row r="16" spans="1:3" ht="15" hidden="1" customHeight="1" x14ac:dyDescent="0.25"/>
    <row r="17" ht="15" hidden="1" customHeight="1" x14ac:dyDescent="0.25"/>
    <row r="18" ht="15" hidden="1" customHeight="1" x14ac:dyDescent="0.25"/>
    <row r="19" ht="15" hidden="1" customHeight="1" x14ac:dyDescent="0.25"/>
    <row r="20" ht="15" hidden="1" customHeight="1" x14ac:dyDescent="0.25"/>
    <row r="21" ht="15" hidden="1" customHeight="1" x14ac:dyDescent="0.25"/>
    <row r="22" ht="15" customHeight="1" x14ac:dyDescent="0.25"/>
    <row r="23" ht="15" customHeight="1" x14ac:dyDescent="0.25"/>
    <row r="24" ht="15" customHeight="1" x14ac:dyDescent="0.25"/>
  </sheetData>
  <sheetProtection password="CC72" sheet="1" objects="1" scenarios="1" selectLockedCells="1"/>
  <dataValidations xWindow="546" yWindow="382" count="3">
    <dataValidation type="list" allowBlank="1" showInputMessage="1" showErrorMessage="1" promptTitle="Select Product" prompt="Select Product Name From Drop Down. Rest Data Will Be Added Automatically" sqref="B10">
      <formula1>INDIRECT("ProductMaster[Product Name]")</formula1>
    </dataValidation>
    <dataValidation allowBlank="1" showInputMessage="1" showErrorMessage="1" promptTitle="Enter Quantity" prompt="Enter Stock Unit._x000a_" sqref="B13"/>
    <dataValidation type="list" allowBlank="1" showInputMessage="1" showErrorMessage="1" promptTitle="Select Customer" sqref="B8">
      <formula1>INDIRECT("CustSup[Customer]")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"/>
  <sheetViews>
    <sheetView showGridLines="0" workbookViewId="0">
      <pane xSplit="10" ySplit="2" topLeftCell="K3" activePane="bottomRight" state="frozen"/>
      <selection pane="topRight" activeCell="J1" sqref="J1"/>
      <selection pane="bottomLeft" activeCell="A4" sqref="A4"/>
      <selection pane="bottomRight" activeCell="A2" sqref="A2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" style="79" bestFit="1" customWidth="1"/>
    <col min="4" max="4" width="13.625" style="1" bestFit="1" customWidth="1"/>
    <col min="5" max="5" width="8.875" style="1" bestFit="1" customWidth="1"/>
    <col min="6" max="6" width="33.5" style="1" customWidth="1"/>
    <col min="7" max="7" width="14.125" bestFit="1" customWidth="1"/>
    <col min="8" max="9" width="12.875" bestFit="1" customWidth="1"/>
    <col min="10" max="11" width="9.75" bestFit="1" customWidth="1"/>
  </cols>
  <sheetData>
    <row r="1" spans="1:15" s="3" customFormat="1" ht="12" x14ac:dyDescent="0.25">
      <c r="A1" s="2" t="s">
        <v>0</v>
      </c>
      <c r="B1" s="6" t="s">
        <v>1</v>
      </c>
      <c r="C1" s="78" t="s">
        <v>23</v>
      </c>
      <c r="D1" s="6" t="s">
        <v>37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21</v>
      </c>
      <c r="J1" s="2" t="s">
        <v>6</v>
      </c>
      <c r="K1" s="2" t="s">
        <v>7</v>
      </c>
    </row>
    <row r="2" spans="1:15" x14ac:dyDescent="0.25">
      <c r="A2" s="27"/>
      <c r="B2" s="28"/>
      <c r="C2" s="77"/>
      <c r="D2" s="46"/>
      <c r="E2" s="25"/>
      <c r="F2" s="26"/>
      <c r="G2" s="25"/>
      <c r="H2" s="25"/>
      <c r="I2" s="75"/>
      <c r="J2" s="27"/>
      <c r="K2" s="76"/>
      <c r="O2" s="30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2"/>
  <sheetViews>
    <sheetView showGridLines="0" workbookViewId="0">
      <pane xSplit="10" ySplit="2" topLeftCell="K3" activePane="bottomRight" state="frozen"/>
      <selection pane="topRight" activeCell="I1" sqref="I1"/>
      <selection pane="bottomLeft" activeCell="A4" sqref="A4"/>
      <selection pane="bottomRight" activeCell="F38" sqref="F38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4" width="11.625" style="79" customWidth="1"/>
    <col min="5" max="5" width="9.75" style="1" bestFit="1" customWidth="1"/>
    <col min="6" max="6" width="46.625" style="1" customWidth="1"/>
    <col min="7" max="7" width="17.125" style="1" bestFit="1" customWidth="1"/>
    <col min="8" max="8" width="17.125" bestFit="1" customWidth="1"/>
    <col min="9" max="9" width="7.125" bestFit="1" customWidth="1"/>
    <col min="10" max="10" width="11" bestFit="1" customWidth="1"/>
  </cols>
  <sheetData>
    <row r="1" spans="1:10" s="3" customFormat="1" ht="12" x14ac:dyDescent="0.25">
      <c r="A1" s="2" t="s">
        <v>0</v>
      </c>
      <c r="B1" s="6" t="s">
        <v>1</v>
      </c>
      <c r="C1" s="78" t="s">
        <v>28</v>
      </c>
      <c r="D1" s="78" t="s">
        <v>38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</row>
    <row r="2" spans="1:10" x14ac:dyDescent="0.25">
      <c r="A2" s="27"/>
      <c r="B2" s="28"/>
      <c r="C2" s="77"/>
      <c r="D2" s="77"/>
      <c r="E2" s="25"/>
      <c r="F2" s="26"/>
      <c r="G2" s="25"/>
      <c r="H2" s="25"/>
      <c r="I2" s="27"/>
      <c r="J2" s="29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3"/>
  <sheetViews>
    <sheetView showGridLines="0" workbookViewId="0">
      <pane xSplit="10" ySplit="3" topLeftCell="K4" activePane="bottomRight" state="frozen"/>
      <selection pane="topRight" activeCell="K1" sqref="K1"/>
      <selection pane="bottomLeft" activeCell="A4" sqref="A4"/>
      <selection pane="bottomRight" activeCell="B3" sqref="B3"/>
    </sheetView>
  </sheetViews>
  <sheetFormatPr defaultRowHeight="15" x14ac:dyDescent="0.25"/>
  <cols>
    <col min="1" max="1" width="7.125" customWidth="1"/>
    <col min="2" max="2" width="11.625" customWidth="1"/>
    <col min="3" max="3" width="34" style="11" customWidth="1"/>
    <col min="4" max="4" width="19" customWidth="1"/>
    <col min="5" max="5" width="17.125" bestFit="1" customWidth="1"/>
    <col min="6" max="6" width="11.875" style="8" customWidth="1"/>
    <col min="7" max="7" width="11.25" style="30" bestFit="1" customWidth="1"/>
    <col min="8" max="8" width="14.375" customWidth="1"/>
    <col min="9" max="9" width="14.125" customWidth="1"/>
    <col min="10" max="10" width="9.875" customWidth="1"/>
  </cols>
  <sheetData>
    <row r="1" spans="1:10" s="4" customFormat="1" ht="18" customHeight="1" x14ac:dyDescent="0.2">
      <c r="A1" s="35" t="s">
        <v>0</v>
      </c>
      <c r="B1" s="36" t="s">
        <v>2</v>
      </c>
      <c r="C1" s="87" t="s">
        <v>3</v>
      </c>
      <c r="D1" s="36" t="s">
        <v>4</v>
      </c>
      <c r="E1" s="36" t="s">
        <v>5</v>
      </c>
      <c r="F1" s="37" t="s">
        <v>10</v>
      </c>
      <c r="G1" s="38" t="s">
        <v>21</v>
      </c>
      <c r="H1" s="36" t="s">
        <v>8</v>
      </c>
      <c r="I1" s="36" t="s">
        <v>9</v>
      </c>
      <c r="J1" s="36" t="s">
        <v>7</v>
      </c>
    </row>
    <row r="2" spans="1:10" x14ac:dyDescent="0.25">
      <c r="A2" s="85">
        <v>1</v>
      </c>
      <c r="B2" s="86" t="s">
        <v>47</v>
      </c>
      <c r="C2" s="88" t="s">
        <v>48</v>
      </c>
      <c r="D2" s="47"/>
      <c r="E2" s="47"/>
      <c r="F2" s="48"/>
      <c r="G2" s="63" t="str">
        <f>IFERROR(INDEX(StockInData[Expiry],MATCH(ProductMaster[[#This Row],[Product ID]],StockInData[Product ID],0)),"")</f>
        <v/>
      </c>
      <c r="H2" s="47"/>
      <c r="I2" s="61">
        <f>SUMIFS(StockInData[Quantity],StockInData[Product ID],ProductMaster!$B2)-SUMIFS(StockOutData[Quantity],StockOutData[Product ID],ProductMaster!$B2)</f>
        <v>0</v>
      </c>
      <c r="J2" s="64">
        <f>SUMIFS(StockInData[Value],StockInData[Product ID],ProductMaster!$B2)-SUMIFS(StockOutData[Value],StockOutData[Product ID],ProductMaster!$B2)</f>
        <v>0</v>
      </c>
    </row>
    <row r="3" spans="1:10" x14ac:dyDescent="0.25">
      <c r="A3" s="60">
        <v>2</v>
      </c>
      <c r="B3" s="86">
        <v>106</v>
      </c>
      <c r="C3" s="88" t="s">
        <v>49</v>
      </c>
      <c r="D3" s="61"/>
      <c r="E3" s="61"/>
      <c r="F3" s="62"/>
      <c r="G3" s="63" t="str">
        <f>IFERROR(INDEX(StockInData[Expiry],MATCH(ProductMaster[[#This Row],[Product ID]],StockInData[Product ID],0)),"")</f>
        <v/>
      </c>
      <c r="H3" s="61"/>
      <c r="I3" s="61">
        <f>SUMIFS(StockInData[Quantity],StockInData[Product ID],ProductMaster!$B3)-SUMIFS(StockOutData[Quantity],StockOutData[Product ID],ProductMaster!$B3)</f>
        <v>0</v>
      </c>
      <c r="J3" s="64">
        <f>SUMIFS(StockInData[Value],StockInData[Product ID],ProductMaster!$B3)-SUMIFS(StockOutData[Value],StockOutData[Product ID],ProductMaster!$B3)</f>
        <v>0</v>
      </c>
    </row>
  </sheetData>
  <sortState ref="A2:J2134">
    <sortCondition ref="G1"/>
  </sortState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5"/>
  <sheetViews>
    <sheetView showGridLines="0" showRowColHeaders="0" workbookViewId="0">
      <selection activeCell="B7" sqref="B7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21.95" customHeight="1" x14ac:dyDescent="0.25">
      <c r="A5" s="67" t="s">
        <v>0</v>
      </c>
      <c r="B5" s="43">
        <f>INDEX(ProductMaster!A:A,COUNT(ProductMaster!A:A)+1)+1</f>
        <v>3</v>
      </c>
      <c r="C5" s="16"/>
    </row>
    <row r="6" spans="1:3" ht="21.95" customHeight="1" x14ac:dyDescent="0.25">
      <c r="A6" s="67" t="s">
        <v>30</v>
      </c>
      <c r="B6" s="39"/>
      <c r="C6" s="16"/>
    </row>
    <row r="7" spans="1:3" ht="21.95" customHeight="1" x14ac:dyDescent="0.25">
      <c r="A7" s="67" t="s">
        <v>3</v>
      </c>
      <c r="B7" s="39"/>
      <c r="C7" s="16"/>
    </row>
    <row r="8" spans="1:3" ht="21.95" customHeight="1" x14ac:dyDescent="0.25">
      <c r="A8" s="67" t="s">
        <v>4</v>
      </c>
      <c r="B8" s="32"/>
      <c r="C8" s="16"/>
    </row>
    <row r="9" spans="1:3" ht="21.95" customHeight="1" x14ac:dyDescent="0.25">
      <c r="A9" s="67" t="s">
        <v>5</v>
      </c>
      <c r="B9" s="32"/>
      <c r="C9" s="16"/>
    </row>
    <row r="10" spans="1:3" ht="21.95" customHeight="1" x14ac:dyDescent="0.25">
      <c r="A10" s="67" t="s">
        <v>10</v>
      </c>
      <c r="B10" s="40"/>
      <c r="C10" s="16"/>
    </row>
    <row r="11" spans="1:3" ht="21.95" customHeight="1" x14ac:dyDescent="0.25">
      <c r="A11" s="67" t="s">
        <v>27</v>
      </c>
      <c r="B11" s="41"/>
      <c r="C11" s="16"/>
    </row>
    <row r="12" spans="1:3" ht="21.95" customHeight="1" thickBot="1" x14ac:dyDescent="0.3">
      <c r="A12" s="68" t="s">
        <v>8</v>
      </c>
      <c r="B12" s="42"/>
      <c r="C12" s="16"/>
    </row>
    <row r="13" spans="1:3" ht="12" customHeight="1" x14ac:dyDescent="0.25">
      <c r="A13" s="16"/>
      <c r="B13" s="17"/>
      <c r="C13" s="16"/>
    </row>
    <row r="14" spans="1:3" ht="15" hidden="1" customHeight="1" x14ac:dyDescent="0.25"/>
    <row r="15" spans="1:3" ht="15" hidden="1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3"/>
  <sheetViews>
    <sheetView showGridLines="0" showRowColHeaders="0" zoomScaleNormal="100" workbookViewId="0">
      <selection activeCell="B5" sqref="B5"/>
    </sheetView>
  </sheetViews>
  <sheetFormatPr defaultColWidth="0" defaultRowHeight="0" customHeight="1" zeroHeight="1" x14ac:dyDescent="0.25"/>
  <cols>
    <col min="1" max="1" width="23.25" customWidth="1"/>
    <col min="2" max="2" width="47.25" style="5" customWidth="1"/>
    <col min="3" max="3" width="10.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67" t="s">
        <v>45</v>
      </c>
      <c r="B5" s="73"/>
      <c r="C5" s="16"/>
    </row>
    <row r="6" spans="1:3" ht="30.75" customHeight="1" thickBot="1" x14ac:dyDescent="0.3">
      <c r="A6" s="70" t="s">
        <v>46</v>
      </c>
      <c r="B6" s="74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3"/>
  <sheetViews>
    <sheetView showGridLines="0" showRowColHeaders="0" zoomScaleNormal="100" workbookViewId="0">
      <selection activeCell="B6" sqref="B6"/>
    </sheetView>
  </sheetViews>
  <sheetFormatPr defaultColWidth="0" defaultRowHeight="0" customHeight="1" zeroHeight="1" x14ac:dyDescent="0.25"/>
  <cols>
    <col min="1" max="1" width="20.5" customWidth="1"/>
    <col min="2" max="2" width="42.875" style="5" customWidth="1"/>
    <col min="3" max="3" width="17.3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23" t="s">
        <v>43</v>
      </c>
      <c r="B5" s="71"/>
      <c r="C5" s="16"/>
    </row>
    <row r="6" spans="1:3" ht="30.75" customHeight="1" thickBot="1" x14ac:dyDescent="0.3">
      <c r="A6" s="24" t="s">
        <v>44</v>
      </c>
      <c r="B6" s="72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  <vt:lpstr>EnterNewSupplier</vt:lpstr>
      <vt:lpstr>EnterNewCustomer</vt:lpstr>
      <vt:lpstr>Dashboard!Print_Titles</vt:lpstr>
      <vt:lpstr>EnterNewCustomer!Print_Titles</vt:lpstr>
      <vt:lpstr>EnterNewProduct!Print_Titles</vt:lpstr>
      <vt:lpstr>EnterNewSupplier!Print_Titles</vt:lpstr>
      <vt:lpstr>EnterStockIn!Print_Titles</vt:lpstr>
      <vt:lpstr>EnterStockOut!Print_Titles</vt:lpstr>
      <vt:lpstr>Help!Print_Titles</vt:lpstr>
      <vt:lpstr>ProductMaster!Print_Titles</vt:lpstr>
      <vt:lpstr>StockIn!Print_Titles</vt:lpstr>
      <vt:lpstr>StockOut!Print_Titles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cp:lastPrinted>2019-12-30T23:22:08Z</cp:lastPrinted>
  <dcterms:created xsi:type="dcterms:W3CDTF">2016-08-05T04:56:17Z</dcterms:created>
  <dcterms:modified xsi:type="dcterms:W3CDTF">2020-01-06T22:08:16Z</dcterms:modified>
  <cp:contentStatus/>
</cp:coreProperties>
</file>