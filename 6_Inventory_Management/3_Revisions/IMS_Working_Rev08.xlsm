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-120" yWindow="-120" windowWidth="20730" windowHeight="11160" tabRatio="711" activeTab="1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0" i="7"/>
  <c r="Q17" i="1" s="1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<sst xmlns="http://schemas.openxmlformats.org/spreadsheetml/2006/main" count="4577" uniqueCount="4326">
  <si>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</si>
  <si>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</si>
  <si>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</si>
  <si>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</si>
  <si>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</si>
  <si>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</si>
  <si>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</si>
  <si>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</si>
  <si>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</si>
  <si>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</si>
  <si>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</si>
  <si>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</si>
  <si>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</si>
  <si>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</si>
  <si>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</si>
  <si>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</si>
  <si>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</si>
  <si>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</si>
  <si>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</si>
  <si>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</si>
  <si>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</si>
  <si>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</si>
  <si>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</si>
  <si>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</si>
  <si>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</si>
  <si>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</si>
  <si>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</si>
  <si>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</si>
  <si>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</si>
  <si>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</si>
  <si>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</si>
  <si>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</si>
  <si>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</si>
  <si>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</si>
  <si>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</si>
  <si>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</si>
  <si>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</si>
  <si>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</si>
  <si>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</si>
  <si>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</si>
  <si>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</si>
  <si>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</si>
  <si>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</si>
  <si>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</si>
  <si>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</si>
  <si>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</si>
  <si>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</si>
  <si>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</si>
  <si>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</si>
  <si>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</si>
  <si>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</si>
  <si>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</si>
  <si>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</si>
  <si>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</si>
  <si>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</si>
  <si>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</si>
  <si>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</si>
  <si>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</si>
  <si>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</si>
  <si>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</si>
  <si>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</si>
  <si>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</si>
  <si>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</si>
  <si>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</si>
  <si>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</si>
  <si>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</si>
  <si>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</si>
  <si>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</si>
  <si>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</si>
  <si>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</si>
  <si>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</si>
  <si>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</si>
  <si>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</si>
  <si>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</si>
  <si>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</si>
  <si>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</si>
  <si>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</si>
  <si>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</si>
  <si>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</si>
  <si>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</si>
  <si>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</si>
  <si>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</si>
  <si>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</si>
  <si>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</si>
  <si>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</si>
  <si>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</si>
  <si>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</si>
  <si>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</si>
  <si>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</si>
  <si>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</si>
  <si>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</si>
  <si>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</si>
  <si>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</si>
  <si>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</si>
  <si>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</si>
  <si>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</si>
  <si>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</si>
  <si>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</si>
  <si>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</si>
  <si>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</si>
  <si>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</si>
  <si>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</si>
  <si>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</si>
  <si>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</si>
  <si>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</si>
  <si>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</si>
  <si>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</si>
  <si>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</si>
  <si>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</si>
  <si>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</si>
  <si>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</si>
  <si>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</si>
  <si>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</si>
  <si>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</si>
  <si>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</si>
  <si>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</si>
  <si>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</si>
  <si>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</si>
  <si>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</si>
  <si>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</si>
  <si>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</si>
  <si>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</si>
  <si>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</si>
  <si>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</si>
  <si>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</si>
  <si>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</si>
  <si>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</si>
  <si>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</si>
  <si>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</si>
  <si>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</si>
  <si>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</si>
  <si>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</si>
  <si>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</si>
  <si>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</si>
  <si>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</si>
  <si>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</si>
  <si>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</si>
  <si>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</si>
  <si>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</si>
  <si>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</si>
  <si>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</si>
  <si>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</si>
  <si>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</si>
  <si>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</si>
  <si>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</si>
  <si>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</si>
  <si>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</si>
  <si>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</si>
  <si>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</si>
  <si>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</si>
  <si>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</si>
  <si>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</si>
  <si>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</si>
  <si>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</si>
  <si>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</si>
  <si>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</si>
  <si>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</si>
  <si>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</si>
  <si>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</si>
  <si>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</si>
  <si>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</si>
  <si>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</si>
  <si>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</si>
  <si>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</si>
  <si>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</si>
  <si>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</si>
  <si>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</si>
  <si>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</si>
  <si>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</si>
  <si>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</si>
  <si>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</si>
  <si>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</si>
  <si>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</si>
  <si>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</si>
  <si>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</si>
  <si>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</si>
  <si>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</si>
  <si>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</si>
  <si>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</si>
  <si>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</si>
  <si>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</si>
  <si>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</si>
  <si>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</si>
  <si>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</si>
  <si>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</si>
  <si>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</si>
  <si>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</si>
  <si>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</si>
  <si>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</si>
  <si>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</si>
  <si>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</si>
  <si>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</si>
  <si>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</si>
  <si>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</si>
  <si>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</si>
  <si>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</si>
  <si>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</si>
  <si>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</si>
  <si>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</si>
  <si>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</si>
  <si>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</si>
  <si>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</si>
  <si>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</si>
  <si>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</si>
  <si>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</si>
  <si>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</si>
  <si>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</si>
  <si>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</si>
  <si>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</si>
  <si>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</si>
  <si>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</si>
  <si>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</si>
  <si>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</si>
  <si>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</si>
  <si>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</si>
  <si>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</si>
  <si>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</si>
  <si>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</si>
  <si>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</si>
  <si>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</si>
  <si>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</si>
  <si>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</si>
  <si>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</si>
  <si>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</si>
  <si>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</si>
  <si>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</si>
  <si>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</si>
  <si>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</si>
  <si>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</si>
  <si>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</si>
  <si>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</si>
  <si>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</si>
  <si>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</si>
  <si>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</si>
  <si>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</si>
  <si>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</si>
  <si>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</si>
  <si>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</si>
  <si>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</si>
  <si>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</si>
  <si>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</si>
  <si>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</si>
  <si>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</si>
  <si>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</si>
  <si>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</si>
  <si>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</si>
  <si>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</si>
  <si>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</si>
  <si>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</si>
  <si>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</si>
  <si>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</si>
  <si>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</si>
  <si>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</si>
  <si>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</si>
  <si>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</si>
  <si>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</si>
  <si>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</si>
  <si>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</si>
  <si>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</si>
  <si>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</si>
  <si>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</si>
  <si>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</si>
  <si>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</si>
  <si>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</si>
  <si>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</si>
  <si>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</si>
  <si>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</si>
  <si>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</si>
  <si>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</si>
  <si>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</si>
  <si>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</si>
  <si>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</si>
  <si>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</si>
  <si>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</si>
  <si>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</si>
  <si>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</si>
  <si>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</si>
  <si>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</si>
  <si>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</si>
  <si>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</si>
  <si>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</si>
  <si>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</si>
  <si>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</si>
  <si>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</si>
  <si>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</si>
  <si>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</si>
  <si>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</si>
  <si>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</si>
  <si>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</si>
  <si>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</si>
  <si>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</si>
  <si>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</si>
  <si>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</si>
  <si>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</si>
  <si>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</si>
  <si>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</si>
  <si>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</si>
  <si>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</si>
  <si>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</si>
  <si>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</si>
  <si>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</si>
  <si>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</si>
  <si>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</si>
  <si>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</si>
  <si>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</si>
  <si>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</si>
  <si>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</si>
  <si>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</si>
  <si>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</si>
  <si>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</si>
  <si>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</si>
  <si>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</si>
  <si>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</si>
  <si>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</si>
  <si>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</si>
  <si>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</si>
  <si>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</si>
  <si>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</si>
  <si>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</si>
  <si>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</si>
  <si>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</si>
  <si>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</si>
  <si>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</si>
  <si>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</si>
  <si>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</si>
  <si>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</si>
  <si>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</si>
  <si>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</si>
  <si>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</si>
  <si>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</si>
  <si>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</si>
  <si>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</si>
  <si>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</si>
  <si>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</si>
  <si>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</si>
  <si>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</si>
  <si>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</si>
  <si>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</si>
  <si>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</si>
  <si>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</si>
  <si>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</si>
  <si>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</si>
  <si>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</si>
  <si>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</si>
  <si>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</si>
  <si>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</si>
  <si>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</si>
  <si>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</si>
  <si>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</si>
  <si>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</si>
  <si>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</si>
  <si>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</si>
  <si>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</si>
  <si>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</si>
  <si>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</si>
  <si>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</si>
  <si>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</si>
  <si>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</si>
  <si>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</si>
  <si>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</si>
  <si>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</si>
  <si>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</si>
  <si>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</si>
  <si>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</si>
  <si>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</si>
  <si>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</si>
  <si>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</si>
  <si>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</si>
  <si>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</si>
  <si>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</si>
  <si>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</si>
  <si>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</si>
  <si>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</si>
  <si>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</si>
  <si>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</si>
  <si>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</si>
  <si>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</si>
  <si>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</si>
  <si>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</si>
  <si>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</si>
  <si>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</si>
  <si>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</si>
  <si>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</si>
  <si>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</si>
  <si>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</si>
  <si>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</si>
  <si>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</si>
  <si>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</si>
  <si>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</si>
  <si>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</si>
  <si>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</si>
  <si>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</si>
  <si>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</si>
  <si>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</si>
  <si>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</si>
  <si>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</si>
  <si>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</si>
  <si>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</si>
  <si>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</si>
  <si>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</si>
  <si>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</si>
  <si>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</si>
  <si>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</si>
  <si>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</si>
  <si>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</si>
  <si>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</si>
  <si>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</si>
  <si>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</si>
  <si>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</si>
  <si>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</si>
  <si>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</si>
  <si>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</si>
  <si>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</si>
  <si>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</si>
  <si>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</si>
  <si>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</si>
  <si>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</si>
  <si>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</si>
  <si>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</si>
  <si>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</si>
  <si>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</si>
  <si>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</si>
  <si>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</si>
  <si>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</si>
  <si>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</si>
  <si>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</si>
  <si>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</si>
  <si>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</si>
  <si>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</si>
  <si>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</si>
  <si>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</si>
  <si>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</si>
  <si>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</si>
  <si>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</si>
  <si>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</si>
  <si>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</si>
  <si>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</si>
  <si>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</si>
  <si>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</si>
  <si>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</si>
  <si>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</si>
  <si>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</si>
  <si>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</si>
  <si>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</si>
  <si>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</si>
  <si>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</si>
  <si>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</si>
  <si>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</si>
  <si>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</si>
  <si>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</si>
  <si>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</si>
  <si>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</si>
  <si>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</si>
  <si>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</si>
  <si>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</si>
  <si>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</si>
  <si>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</si>
  <si>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</si>
  <si>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</si>
  <si>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</si>
  <si>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</si>
  <si>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</si>
  <si>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</si>
  <si>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</si>
  <si>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</si>
  <si>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</si>
  <si>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</si>
  <si>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</si>
  <si>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</si>
  <si>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</si>
  <si>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</si>
  <si>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</si>
  <si>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</si>
  <si>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</si>
  <si>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</si>
  <si>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</si>
  <si>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</si>
  <si>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</si>
  <si>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</si>
  <si>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</si>
  <si>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</si>
  <si>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</si>
  <si>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</si>
  <si>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</si>
  <si>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</si>
  <si>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</si>
  <si>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</si>
  <si>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</si>
  <si>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</si>
  <si>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</si>
  <si>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</si>
  <si>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</si>
  <si>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</si>
  <si>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</si>
  <si>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</si>
  <si>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</si>
  <si>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</si>
  <si>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</si>
  <si>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</si>
  <si>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</si>
  <si>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</si>
  <si>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</si>
  <si>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</si>
  <si>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</si>
  <si>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</si>
  <si>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</si>
  <si>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</si>
  <si>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</si>
  <si>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</si>
  <si>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</si>
  <si>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</si>
  <si>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</si>
  <si>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</si>
  <si>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</si>
  <si>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</si>
  <si>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</si>
  <si>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</si>
  <si>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</si>
  <si>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</si>
  <si>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</si>
  <si>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</si>
  <si>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</si>
  <si>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</si>
  <si>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</si>
  <si>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</si>
  <si>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</si>
  <si>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</si>
  <si>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</si>
  <si>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</si>
  <si>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</si>
  <si>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</si>
  <si>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</si>
  <si>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</si>
  <si>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</si>
  <si>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</si>
  <si>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</si>
  <si>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</si>
  <si>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</si>
  <si>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</si>
  <si>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</si>
  <si>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</si>
  <si>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</si>
  <si>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</si>
  <si>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</si>
  <si>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</si>
  <si>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</si>
  <si>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</si>
  <si>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</si>
  <si>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</si>
  <si>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</si>
  <si>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</si>
  <si>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</si>
  <si>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</si>
  <si>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</si>
  <si>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</si>
  <si>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</si>
  <si>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</si>
  <si>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</si>
  <si>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</si>
  <si>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</si>
  <si>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</si>
  <si>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</si>
  <si>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</si>
  <si>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</si>
  <si>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</si>
  <si>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</si>
  <si>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</si>
  <si>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</si>
  <si>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</si>
  <si>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</si>
  <si>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</si>
  <si>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</si>
  <si>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</si>
  <si>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</si>
  <si>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</si>
  <si>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</si>
  <si>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</si>
  <si>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</si>
  <si>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</si>
  <si>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</si>
  <si>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</si>
  <si>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</si>
  <si>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</si>
  <si>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</si>
  <si>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</si>
  <si>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</si>
  <si>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</si>
  <si>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</si>
  <si>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</si>
  <si>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</si>
  <si>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</si>
  <si>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</si>
  <si>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</si>
  <si>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</si>
  <si>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</si>
  <si>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</si>
  <si>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</si>
  <si>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</si>
  <si>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</si>
  <si>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</si>
  <si>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</si>
  <si>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</si>
  <si>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</si>
  <si>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</si>
  <si>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</si>
  <si>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</si>
  <si>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</si>
  <si>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</si>
  <si>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</si>
  <si>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</si>
  <si>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</si>
  <si>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</si>
  <si>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</si>
  <si>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</si>
  <si>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</si>
  <si>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</si>
  <si>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</si>
  <si>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</si>
  <si>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</si>
  <si>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</si>
  <si>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</si>
  <si>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</si>
  <si>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</si>
  <si>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</si>
  <si>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</si>
  <si>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</si>
  <si>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</si>
  <si>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</si>
  <si>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</si>
  <si>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</si>
  <si>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</si>
  <si>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</si>
  <si>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</si>
  <si>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</si>
  <si>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</si>
  <si>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</si>
  <si>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</si>
  <si>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</si>
  <si>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</si>
  <si>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</si>
  <si>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</si>
  <si>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</si>
  <si>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</si>
  <si>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</si>
  <si>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</si>
  <si>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</si>
  <si>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</si>
  <si>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</si>
  <si>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</si>
  <si>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</si>
  <si>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</si>
  <si>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</si>
  <si>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</si>
  <si>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</si>
  <si>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</si>
  <si>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</si>
  <si>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</si>
  <si>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</si>
  <si>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</si>
  <si>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</si>
  <si>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</si>
  <si>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</si>
  <si>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</si>
  <si>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</si>
  <si>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</si>
  <si>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</si>
  <si>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</si>
  <si>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</si>
  <si>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</si>
  <si>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</si>
  <si>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</si>
  <si>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</si>
  <si>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</si>
  <si>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</si>
  <si>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</si>
  <si>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</si>
  <si>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</si>
  <si>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</si>
  <si>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</si>
  <si>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</si>
  <si>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</si>
  <si>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</si>
  <si>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</si>
  <si>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</si>
  <si>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</si>
  <si>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</si>
  <si>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</si>
  <si>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</si>
  <si>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</si>
  <si>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</si>
  <si>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</si>
  <si>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</si>
  <si>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</si>
  <si>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</si>
  <si>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</si>
  <si>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</si>
  <si>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</si>
  <si>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</si>
  <si>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</si>
  <si>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</si>
  <si>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</si>
  <si>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</si>
  <si>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</si>
  <si>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</si>
  <si>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</si>
  <si>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</si>
  <si>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</si>
  <si>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</si>
  <si>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</si>
  <si>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</si>
  <si>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</si>
  <si>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</si>
  <si>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</si>
  <si>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</si>
  <si>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</si>
  <si>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</si>
  <si>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</si>
  <si>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</si>
  <si>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</si>
  <si>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</si>
  <si>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</si>
  <si>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</si>
  <si>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</si>
  <si>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</si>
  <si>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</si>
  <si>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</si>
  <si>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</si>
  <si>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</si>
  <si>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</si>
  <si>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</si>
  <si>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</si>
  <si>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</si>
  <si>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</si>
  <si>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</si>
  <si>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</si>
  <si>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</si>
  <si>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</si>
  <si>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</si>
  <si>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</si>
  <si>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</si>
  <si>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</si>
  <si>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</si>
  <si>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</si>
  <si>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</si>
  <si>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</si>
  <si>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</si>
  <si>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</si>
  <si>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</si>
  <si>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</si>
  <si>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</si>
  <si>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</si>
  <si>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</si>
  <si>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</si>
  <si>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</si>
  <si>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</si>
  <si>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</si>
  <si>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</si>
  <si>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</si>
  <si>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</si>
  <si>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</si>
  <si>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</si>
  <si>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</si>
  <si>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</si>
  <si>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</si>
  <si>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</si>
  <si>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</si>
  <si>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</si>
  <si>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</si>
  <si>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</si>
  <si>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</si>
  <si>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</si>
  <si>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</si>
  <si>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</si>
  <si>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</si>
  <si>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</si>
  <si>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</si>
  <si>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</si>
  <si>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</si>
  <si>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</si>
  <si>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</si>
  <si>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</si>
  <si>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</si>
  <si>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</si>
  <si>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</si>
  <si>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</si>
  <si>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</si>
  <si>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</si>
  <si>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</si>
  <si>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</si>
  <si>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</si>
  <si>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</si>
  <si>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</si>
  <si>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</si>
  <si>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</si>
  <si>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</si>
  <si>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</si>
  <si>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</si>
  <si>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</si>
  <si>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</si>
  <si>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</si>
  <si>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</si>
  <si>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</si>
  <si>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</si>
  <si>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</si>
  <si>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</si>
  <si>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</si>
  <si>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</si>
  <si>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</si>
  <si>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</si>
  <si>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</si>
  <si>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</si>
  <si>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</si>
  <si>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</si>
  <si>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</si>
  <si>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</si>
  <si>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</si>
  <si>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</si>
  <si>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</si>
  <si>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</si>
  <si>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</si>
  <si>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</si>
  <si>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</si>
  <si>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</si>
  <si>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</si>
  <si>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</si>
  <si>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</si>
  <si>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</si>
  <si>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</si>
  <si>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</si>
  <si>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</si>
  <si>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</si>
  <si>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</si>
  <si>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</si>
  <si>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</si>
  <si>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</si>
  <si>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</si>
  <si>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</si>
  <si>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</si>
  <si>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</si>
  <si>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</si>
  <si>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</si>
  <si>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</si>
  <si>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</si>
  <si>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</si>
  <si>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</si>
  <si>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</si>
  <si>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</si>
  <si>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</si>
  <si>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</si>
  <si>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</si>
  <si>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</si>
  <si>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</si>
  <si>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</si>
  <si>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</si>
  <si>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</si>
  <si>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</si>
  <si>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</si>
  <si>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</si>
  <si>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</si>
  <si>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</si>
  <si>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</si>
  <si>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</si>
  <si>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</si>
  <si>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</si>
  <si>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</si>
  <si>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</si>
  <si>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</si>
  <si>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</si>
  <si>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</si>
  <si>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</si>
  <si>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</si>
  <si>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</si>
  <si>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</si>
  <si>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</si>
  <si>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</si>
  <si>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</si>
  <si>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</si>
  <si>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</si>
  <si>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</si>
  <si>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</si>
  <si>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</si>
  <si>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</si>
  <si>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</si>
  <si>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</si>
  <si>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</si>
  <si>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</si>
  <si>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</si>
  <si>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</si>
  <si>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</si>
  <si>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</si>
  <si>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</si>
  <si>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</si>
  <si>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</si>
  <si>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</si>
  <si>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</si>
  <si>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</si>
  <si>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</si>
  <si>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</si>
  <si>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</si>
  <si>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</si>
  <si>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</si>
  <si>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</si>
  <si>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</si>
  <si>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</si>
  <si>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</si>
  <si>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</si>
  <si>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</si>
  <si>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</si>
  <si>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</si>
  <si>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</si>
  <si>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</si>
  <si>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</si>
  <si>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</si>
  <si>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</si>
  <si>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</si>
  <si>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</si>
  <si>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</si>
  <si>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</si>
  <si>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</si>
  <si>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</si>
  <si>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</si>
  <si>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</si>
  <si>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</si>
  <si>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</si>
  <si>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</si>
  <si>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</si>
  <si>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</si>
  <si>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</si>
  <si>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</si>
  <si>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</si>
  <si>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</si>
  <si>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</si>
  <si>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</si>
  <si>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</si>
  <si>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</si>
  <si>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</si>
  <si>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</si>
  <si>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</si>
  <si>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</si>
  <si>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</si>
  <si>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</si>
  <si>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</si>
  <si>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</si>
  <si>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</si>
  <si>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</si>
  <si>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</si>
  <si>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</si>
  <si>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</si>
  <si>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</si>
  <si>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</si>
  <si>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</si>
  <si>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</si>
  <si>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</si>
  <si>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</si>
  <si>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</si>
  <si>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</si>
  <si>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</si>
  <si>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</si>
  <si>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</si>
  <si>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</si>
  <si>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</si>
  <si>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</si>
  <si>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</si>
  <si>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</si>
  <si>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</si>
  <si>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</si>
  <si>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</si>
  <si>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</si>
  <si>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</si>
  <si>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</si>
  <si>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</si>
  <si>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</si>
  <si>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</si>
  <si>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</si>
  <si>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</si>
  <si>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</si>
  <si>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</si>
  <si>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</si>
  <si>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</si>
  <si>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</si>
  <si>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</si>
  <si>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</si>
  <si>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</si>
  <si>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</si>
  <si>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</si>
  <si>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</si>
  <si>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</si>
  <si>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</si>
  <si>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</si>
  <si>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</si>
  <si>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</si>
  <si>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</si>
  <si>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</si>
  <si>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</si>
  <si>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</si>
  <si>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</si>
  <si>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</si>
  <si>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</si>
  <si>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</si>
  <si>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</si>
  <si>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</si>
  <si>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</si>
  <si>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</si>
  <si>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</si>
  <si>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</si>
  <si>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</si>
  <si>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</si>
  <si>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</si>
  <si>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</si>
  <si>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</si>
  <si>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</si>
  <si>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</si>
  <si>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</si>
  <si>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</si>
  <si>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</si>
  <si>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</si>
  <si>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</si>
  <si>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</si>
  <si>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</si>
  <si>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</si>
  <si>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</si>
  <si>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</si>
  <si>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</si>
  <si>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</si>
  <si>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</si>
  <si>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</si>
  <si>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</si>
  <si>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</si>
  <si>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</si>
  <si>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</si>
  <si>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</si>
  <si>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</si>
  <si>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</si>
  <si>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</si>
  <si>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</si>
  <si>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</si>
  <si>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</si>
  <si>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</si>
  <si>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</si>
  <si>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</si>
  <si>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</si>
  <si>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</si>
  <si>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</si>
  <si>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</si>
  <si>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</si>
  <si>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</si>
  <si>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</si>
  <si>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</si>
  <si>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</si>
  <si>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</si>
  <si>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</si>
  <si>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</si>
  <si>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</si>
  <si>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</si>
  <si>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</si>
  <si>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</si>
  <si>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</si>
  <si>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</si>
  <si>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</si>
  <si>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</si>
  <si>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</si>
  <si>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</si>
  <si>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</si>
  <si>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</si>
  <si>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</si>
  <si>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</si>
  <si>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</si>
  <si>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</si>
  <si>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</si>
  <si>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</si>
  <si>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</si>
  <si>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</si>
  <si>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</si>
  <si>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</si>
  <si>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</si>
  <si>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</si>
  <si>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</si>
  <si>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</si>
  <si>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</si>
  <si>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</si>
  <si>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</si>
  <si>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</si>
  <si>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</si>
  <si>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</si>
  <si>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</si>
  <si>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</si>
  <si>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</si>
  <si>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</si>
  <si>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</si>
  <si>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</si>
  <si>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</si>
  <si>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</si>
  <si>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</si>
  <si>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</si>
  <si>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</si>
  <si>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</si>
  <si>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</si>
  <si>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</si>
  <si>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</si>
  <si>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</si>
  <si>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</si>
  <si>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</si>
  <si>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</si>
  <si>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</si>
  <si>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</si>
  <si>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</si>
  <si>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</si>
  <si>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</si>
  <si>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</si>
  <si>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</si>
  <si>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</si>
  <si>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</si>
  <si>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</si>
  <si>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</si>
  <si>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</si>
  <si>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</si>
  <si>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</si>
  <si>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</si>
  <si>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</si>
  <si>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</si>
  <si>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</si>
  <si>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</si>
  <si>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</si>
  <si>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</si>
  <si>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</si>
  <si>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</si>
  <si>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</si>
  <si>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</si>
  <si>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</si>
  <si>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</si>
  <si>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</si>
  <si>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</si>
  <si>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</si>
  <si>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</si>
  <si>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</si>
  <si>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</si>
  <si>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</si>
  <si>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</si>
  <si>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</si>
  <si>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</si>
  <si>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</si>
  <si>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</si>
  <si>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</si>
  <si>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</si>
  <si>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</si>
  <si>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</si>
  <si>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</si>
  <si>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</si>
  <si>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</si>
  <si>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</si>
  <si>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</si>
  <si>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</si>
  <si>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</si>
  <si>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</si>
  <si>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</si>
  <si>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</si>
  <si>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</si>
  <si>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</si>
  <si>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</si>
  <si>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</si>
  <si>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</si>
  <si>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</si>
  <si>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</si>
  <si>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</si>
  <si>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</si>
  <si>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</si>
  <si>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</si>
  <si>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</si>
  <si>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</si>
  <si>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</si>
  <si>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</si>
  <si>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</si>
  <si>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</si>
  <si>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</si>
  <si>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</si>
  <si>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</si>
  <si>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</si>
  <si>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</si>
  <si>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</si>
  <si>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</si>
  <si>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</si>
  <si>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</si>
  <si>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</si>
  <si>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</si>
  <si>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</si>
  <si>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</si>
  <si>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</si>
  <si>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</si>
  <si>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</si>
  <si>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</si>
  <si>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</si>
  <si>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</si>
  <si>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</si>
  <si>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</si>
  <si>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</si>
  <si>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</si>
  <si>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</si>
  <si>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</si>
  <si>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</si>
  <si>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</si>
  <si>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</si>
  <si>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</si>
  <si>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</si>
  <si>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</si>
  <si>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</si>
  <si>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</si>
  <si>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</si>
  <si>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</si>
  <si>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</si>
  <si>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</si>
  <si>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</si>
  <si>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</si>
  <si>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</si>
  <si>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</si>
  <si>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</si>
  <si>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</si>
  <si>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</si>
  <si>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</si>
  <si>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</si>
  <si>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</si>
  <si>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</si>
  <si>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</si>
  <si>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</si>
  <si>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</si>
  <si>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</si>
  <si>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</si>
  <si>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</si>
  <si>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</si>
  <si>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</si>
  <si>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</si>
  <si>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</si>
  <si>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</si>
  <si>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</si>
  <si>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</si>
  <si>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</si>
  <si>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</si>
  <si>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</si>
  <si>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</si>
  <si>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</si>
  <si>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</si>
  <si>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</si>
  <si>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</si>
  <si>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</si>
  <si>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</si>
  <si>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</si>
  <si>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</si>
  <si>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</si>
  <si>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</si>
  <si>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</si>
  <si>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</si>
  <si>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</si>
  <si>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</si>
  <si>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</si>
  <si>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</si>
  <si>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</si>
  <si>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</si>
  <si>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</si>
  <si>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</si>
  <si>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</si>
  <si>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</si>
  <si>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</si>
  <si>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</si>
  <si>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</si>
  <si>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</si>
  <si>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</si>
  <si>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</si>
  <si>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</si>
  <si>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</si>
  <si>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</si>
  <si>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</si>
  <si>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</si>
  <si>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</si>
  <si>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</si>
  <si>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</si>
  <si>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</si>
  <si>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</si>
  <si>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</si>
  <si>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</si>
  <si>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</si>
  <si>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</si>
  <si>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</si>
  <si>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</si>
  <si>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</si>
  <si>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</si>
  <si>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</si>
  <si>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</si>
  <si>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</si>
  <si>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</si>
  <si>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</si>
  <si>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</si>
  <si>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</si>
  <si>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</si>
  <si>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</si>
  <si>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</si>
  <si>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</si>
  <si>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</si>
  <si>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</si>
  <si>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</si>
  <si>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</si>
  <si>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</si>
  <si>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</si>
  <si>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</si>
  <si>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</si>
  <si>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</si>
  <si>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</si>
  <si>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</si>
  <si>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</si>
  <si>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</si>
  <si>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</si>
  <si>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</si>
  <si>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</si>
  <si>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</si>
  <si>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</si>
  <si>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</si>
  <si>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</si>
  <si>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</si>
  <si>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</si>
  <si>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</si>
  <si>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</si>
  <si>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</si>
  <si>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</si>
  <si>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</si>
  <si>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</si>
  <si>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</si>
  <si>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</si>
  <si>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</si>
  <si>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</si>
  <si>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</si>
  <si>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</si>
  <si>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</si>
  <si>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</si>
  <si>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</si>
  <si>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</si>
  <si>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</si>
  <si>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</si>
  <si>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</si>
  <si>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</si>
  <si>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</si>
  <si>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</si>
  <si>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</si>
  <si>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</si>
  <si>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</si>
  <si>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</si>
  <si>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</si>
  <si>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</si>
  <si>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</si>
  <si>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</si>
  <si>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</si>
  <si>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</si>
  <si>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</si>
  <si>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</si>
  <si>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</si>
  <si>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</si>
  <si>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</si>
  <si>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</si>
  <si>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</si>
  <si>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</si>
  <si>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</si>
  <si>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</si>
  <si>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</si>
  <si>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</si>
  <si>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</si>
  <si>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</si>
  <si>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</si>
  <si>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</si>
  <si>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</si>
  <si>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</si>
  <si>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</si>
  <si>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</si>
  <si>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</si>
  <si>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</si>
  <si>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</si>
  <si>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</si>
  <si>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</si>
  <si>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</si>
  <si>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</si>
  <si>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</si>
  <si>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</si>
  <si>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</si>
  <si>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</si>
  <si>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</si>
  <si>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</si>
  <si>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</si>
  <si>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</si>
  <si>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</si>
  <si>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</si>
  <si>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</si>
  <si>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</si>
  <si>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</si>
  <si>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</si>
  <si>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</si>
  <si>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</si>
  <si>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</si>
  <si>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</si>
  <si>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</si>
  <si>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</si>
  <si>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</si>
  <si>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</si>
  <si>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</si>
  <si>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</si>
  <si>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</si>
  <si>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</si>
  <si>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</si>
  <si>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</si>
  <si>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</si>
  <si>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</si>
  <si>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</si>
  <si>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</si>
  <si>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</si>
  <si>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</si>
  <si>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</si>
  <si>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</si>
  <si>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</si>
  <si>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</si>
  <si>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</si>
  <si>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</si>
  <si>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</si>
  <si>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</si>
  <si>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</si>
  <si>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</si>
  <si>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</si>
  <si>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</si>
  <si>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</si>
  <si>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</si>
  <si>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</si>
  <si>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</si>
  <si>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</si>
  <si>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</si>
  <si>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</si>
  <si>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</si>
  <si>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</si>
  <si>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</si>
  <si>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</si>
  <si>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</si>
  <si>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</si>
  <si>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</si>
  <si>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</si>
  <si>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</si>
  <si>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</si>
  <si>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</si>
  <si>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</si>
  <si>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</si>
  <si>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</si>
  <si>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</si>
  <si>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</si>
  <si>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</si>
  <si>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</si>
  <si>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</si>
  <si>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</si>
  <si>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</si>
  <si>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</si>
  <si>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</si>
  <si>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</si>
  <si>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</si>
  <si>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</si>
  <si>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</si>
  <si>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</si>
  <si>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</si>
  <si>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</si>
  <si>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</si>
  <si>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</si>
  <si>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</si>
  <si>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</si>
  <si>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</si>
  <si>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</si>
  <si>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</si>
  <si>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</si>
  <si>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</si>
  <si>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</si>
  <si>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</si>
  <si>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</si>
  <si>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</si>
  <si>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</si>
  <si>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</si>
  <si>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</si>
  <si>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</si>
  <si>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</si>
  <si>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</si>
  <si>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</si>
  <si>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</si>
  <si>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</si>
  <si>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</si>
  <si>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</si>
  <si>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</si>
  <si>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</si>
  <si>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</si>
  <si>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</si>
  <si>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</si>
  <si>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</si>
  <si>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</si>
  <si>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</si>
  <si>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</si>
  <si>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</si>
  <si>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</si>
  <si>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</si>
  <si>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</si>
  <si>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</si>
  <si>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</si>
  <si>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</si>
  <si>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</si>
  <si>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</si>
  <si>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</si>
  <si>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</si>
  <si>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</si>
  <si>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</si>
  <si>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</si>
  <si>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</si>
  <si>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</si>
  <si>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</si>
  <si>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</si>
  <si>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</si>
  <si>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</si>
  <si>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</si>
  <si>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</si>
  <si>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</si>
  <si>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</si>
  <si>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</si>
  <si>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</si>
  <si>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</si>
  <si>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</si>
  <si>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</si>
  <si>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</si>
  <si>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</si>
  <si>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</si>
  <si>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</si>
  <si>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</si>
  <si>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</si>
  <si>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</si>
  <si>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</si>
  <si>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</si>
  <si>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</si>
  <si>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</si>
  <si>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</si>
  <si>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</si>
  <si>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</si>
  <si>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</si>
  <si>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</si>
  <si>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</si>
  <si>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</si>
  <si>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</si>
  <si>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</si>
  <si>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</si>
  <si>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</si>
  <si>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</si>
  <si>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</si>
  <si>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</si>
  <si>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</si>
  <si>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</si>
  <si>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</si>
  <si>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</si>
  <si>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</si>
  <si>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</si>
  <si>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</si>
  <si>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</si>
  <si>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</si>
  <si>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</si>
  <si>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</si>
  <si>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</si>
  <si>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</si>
  <si>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</si>
  <si>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</si>
  <si>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</si>
  <si>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</si>
  <si>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</si>
  <si>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</si>
  <si>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</si>
  <si>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</si>
  <si>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</si>
  <si>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</si>
  <si>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</si>
  <si>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</si>
  <si>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</si>
  <si>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</si>
  <si>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</si>
  <si>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</si>
  <si>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</si>
  <si>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</si>
  <si>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</si>
  <si>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</si>
  <si>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</si>
  <si>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</si>
  <si>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</si>
  <si>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</si>
  <si>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</si>
  <si>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</si>
  <si>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</si>
  <si>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</si>
  <si>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</si>
  <si>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</si>
  <si>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</si>
  <si>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</si>
  <si>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</si>
  <si>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</si>
  <si>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</si>
  <si>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</si>
  <si>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</si>
  <si>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</si>
  <si>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</si>
  <si>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</si>
  <si>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</si>
  <si>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</si>
  <si>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</si>
  <si>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</si>
  <si>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</si>
  <si>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</si>
  <si>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</si>
  <si>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</si>
  <si>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</si>
  <si>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</si>
  <si>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</si>
  <si>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</si>
  <si>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</si>
  <si>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</si>
  <si>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</si>
  <si>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</si>
  <si>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</si>
  <si>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</si>
  <si>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</si>
  <si>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</si>
  <si>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</si>
  <si>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</si>
  <si>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</si>
  <si>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</si>
  <si>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</si>
  <si>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</si>
  <si>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</si>
  <si>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</si>
  <si>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</si>
  <si>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</si>
  <si>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</si>
  <si>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</si>
  <si>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</si>
  <si>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</si>
  <si>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</si>
  <si>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</si>
  <si>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</si>
  <si>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</si>
  <si>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</si>
  <si>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</si>
  <si>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</si>
  <si>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</si>
  <si>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</si>
  <si>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</si>
  <si>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</si>
  <si>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</si>
  <si>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</si>
  <si>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</si>
  <si>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</si>
  <si>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</si>
  <si>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</si>
  <si>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</si>
  <si>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</si>
  <si>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</si>
  <si>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</si>
  <si>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</si>
  <si>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</si>
  <si>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</si>
  <si>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</si>
  <si>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</si>
  <si>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</si>
  <si>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</si>
  <si>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</si>
  <si>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</si>
  <si>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</si>
  <si>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</si>
  <si>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</si>
  <si>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</si>
  <si>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</si>
  <si>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</si>
  <si>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</si>
  <si>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</si>
  <si>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</si>
  <si>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</si>
  <si>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</si>
  <si>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</si>
  <si>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</si>
  <si>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</si>
  <si>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</si>
  <si>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</si>
  <si>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</si>
  <si>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</si>
  <si>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</si>
  <si>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</si>
  <si>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</si>
  <si>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</si>
  <si>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</si>
  <si>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</si>
  <si>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</si>
  <si>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</si>
  <si>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</si>
  <si>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</si>
  <si>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</si>
  <si>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</si>
  <si>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</si>
  <si>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</si>
  <si>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</si>
  <si>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</si>
  <si>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</si>
  <si>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</si>
  <si>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</si>
  <si>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</si>
  <si>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</si>
  <si>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</si>
  <si>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</si>
  <si>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</si>
  <si>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</si>
  <si>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</si>
  <si>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</si>
  <si>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</si>
  <si>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</si>
  <si>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</si>
  <si>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</si>
  <si>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</si>
  <si>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</si>
  <si>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</si>
  <si>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</si>
  <si>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</si>
  <si>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</si>
  <si>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</si>
  <si>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</si>
  <si>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</si>
  <si>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</si>
  <si>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</si>
  <si>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</si>
  <si>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</si>
  <si>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</si>
  <si>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</si>
  <si>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</si>
  <si>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</si>
  <si>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</si>
  <si>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</si>
  <si>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</si>
  <si>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</si>
  <si>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</si>
  <si>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</si>
  <si>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</si>
  <si>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</si>
  <si>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</si>
  <si>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</si>
  <si>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</si>
  <si>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</si>
  <si>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</si>
  <si>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</si>
  <si>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</si>
  <si>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</si>
  <si>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</si>
  <si>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</si>
  <si>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</si>
  <si>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</si>
  <si>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</si>
  <si>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</si>
  <si>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</si>
  <si>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</si>
  <si>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</si>
  <si>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</si>
  <si>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</si>
  <si>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</si>
  <si>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</si>
  <si>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</si>
  <si>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</si>
  <si>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</si>
  <si>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</si>
  <si>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</si>
  <si>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</si>
  <si>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</si>
  <si>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</si>
  <si>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</si>
  <si>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</si>
  <si>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</si>
  <si>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</si>
  <si>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</si>
  <si>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</si>
  <si>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</si>
  <si>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</si>
  <si>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</si>
  <si>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</si>
  <si>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</si>
  <si>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</si>
  <si>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</si>
  <si>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</si>
  <si>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</si>
  <si>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</si>
  <si>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</si>
  <si>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</si>
  <si>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</si>
  <si>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</si>
  <si>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</si>
  <si>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</si>
  <si>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</si>
  <si>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</si>
  <si>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</si>
  <si>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</si>
  <si>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</si>
  <si>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</si>
  <si>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</si>
  <si>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</si>
  <si>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</si>
  <si>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</si>
  <si>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</si>
  <si>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</si>
  <si>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</si>
  <si>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</si>
  <si>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</si>
  <si>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</si>
  <si>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</si>
  <si>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</si>
  <si>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</si>
  <si>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</si>
  <si>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</si>
  <si>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</si>
  <si>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</si>
  <si>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</si>
  <si>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</si>
  <si>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</si>
  <si>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</si>
  <si>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</si>
  <si>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</si>
  <si>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</si>
  <si>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</si>
  <si>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</si>
  <si>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</si>
  <si>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</si>
  <si>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</si>
  <si>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</si>
  <si>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</si>
  <si>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</si>
  <si>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</si>
  <si>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</si>
  <si>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</si>
  <si>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</si>
  <si>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</si>
  <si>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</si>
  <si>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</si>
  <si>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</si>
  <si>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</si>
  <si>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</si>
  <si>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</si>
  <si>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</si>
  <si>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</si>
  <si>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</si>
  <si>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</si>
  <si>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</si>
  <si>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</si>
  <si>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</si>
  <si>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</si>
  <si>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</si>
  <si>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</si>
  <si>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</si>
  <si>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</si>
  <si>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</si>
  <si>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</si>
  <si>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</si>
  <si>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</si>
  <si>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</si>
  <si>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</si>
  <si>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</si>
  <si>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</si>
  <si>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</si>
  <si>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</si>
  <si>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</si>
  <si>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</si>
  <si>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</si>
  <si>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</si>
  <si>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</si>
  <si>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</si>
  <si>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</si>
  <si>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</si>
  <si>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</si>
  <si>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</si>
  <si>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</si>
  <si>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</si>
  <si>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</si>
  <si>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</si>
  <si>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</si>
  <si>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</si>
  <si>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</si>
  <si>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</si>
  <si>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</si>
  <si>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</si>
  <si>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</si>
  <si>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</si>
  <si>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</si>
  <si>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</si>
  <si>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</si>
  <si>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</si>
  <si>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</si>
  <si>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</si>
  <si>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</si>
  <si>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</si>
  <si>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</si>
  <si>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</si>
  <si>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</si>
  <si>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</si>
  <si>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</si>
  <si>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</si>
  <si>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</si>
  <si>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</si>
  <si>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</si>
  <si>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</si>
  <si>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</si>
  <si>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</si>
  <si>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</si>
  <si>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</si>
  <si>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</si>
  <si>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</si>
  <si>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</si>
  <si>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</si>
  <si>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</si>
  <si>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</si>
  <si>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</si>
  <si>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</si>
  <si>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</si>
  <si>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</si>
  <si>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</si>
  <si>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</si>
  <si>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</si>
  <si>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</si>
  <si>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</si>
  <si>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</si>
  <si>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</si>
  <si>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</si>
  <si>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</si>
  <si>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</si>
  <si>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</si>
  <si>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</si>
  <si>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</si>
  <si>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</si>
  <si>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</si>
  <si>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</si>
  <si>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</si>
  <si>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</si>
  <si>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</si>
  <si>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</si>
  <si>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</si>
  <si>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</si>
  <si>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</si>
  <si>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</si>
  <si>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</si>
  <si>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</si>
  <si>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</si>
  <si>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</si>
  <si>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</si>
  <si>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</si>
  <si>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</si>
  <si>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</si>
  <si>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</si>
  <si>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</si>
  <si>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</si>
  <si>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</si>
  <si>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</si>
  <si>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</si>
  <si>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</si>
  <si>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</si>
  <si>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</si>
  <si>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</si>
  <si>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</si>
  <si>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</si>
  <si>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</si>
  <si>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</si>
  <si>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</si>
  <si>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</si>
  <si>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</si>
  <si>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</si>
  <si>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</si>
  <si>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</si>
  <si>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</si>
  <si>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</si>
  <si>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</si>
  <si>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</si>
  <si>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</si>
  <si>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</si>
  <si>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</si>
  <si>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</si>
  <si>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</si>
  <si>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</si>
  <si>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</si>
  <si>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</si>
  <si>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</si>
  <si>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</si>
  <si>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</si>
  <si>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</si>
  <si>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</si>
  <si>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</si>
  <si>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</si>
  <si>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</si>
  <si>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</si>
  <si>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</si>
  <si>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</si>
  <si>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</si>
  <si>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</si>
  <si>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</si>
  <si>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</si>
  <si>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</si>
  <si>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</si>
  <si>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</si>
  <si>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</si>
  <si>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</si>
  <si>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</si>
  <si>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</si>
  <si>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</si>
  <si>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</si>
  <si>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</si>
  <si>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</si>
  <si>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</si>
  <si>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</si>
  <si>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</si>
  <si>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</si>
  <si>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</si>
  <si>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</si>
  <si>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</si>
  <si>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</si>
  <si>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</si>
  <si>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</si>
  <si>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</si>
  <si>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</si>
  <si>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</si>
  <si>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</si>
  <si>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</si>
  <si>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</si>
  <si>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</si>
  <si>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</si>
  <si>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</si>
  <si>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</si>
  <si>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</si>
  <si>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</si>
  <si>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</si>
  <si>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</si>
  <si>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</si>
  <si>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</si>
  <si>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</si>
  <si>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</si>
  <si>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</si>
  <si>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</si>
  <si>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</si>
  <si>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</si>
  <si>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</si>
  <si>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</si>
  <si>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</si>
  <si>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</si>
  <si>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</si>
  <si>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</si>
  <si>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</si>
  <si>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</si>
  <si>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</si>
  <si>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</si>
  <si>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</si>
  <si>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</si>
  <si>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</si>
  <si>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</si>
  <si>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</si>
  <si>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</si>
  <si>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</si>
  <si>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</si>
  <si>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</si>
  <si>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</si>
  <si>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</si>
  <si>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</si>
  <si>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</si>
  <si>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</si>
  <si>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</si>
  <si>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</si>
  <si>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</si>
  <si>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</si>
  <si>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</si>
  <si>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</si>
  <si>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</si>
  <si>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</si>
  <si>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</si>
  <si>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</si>
  <si>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</si>
  <si>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</si>
  <si>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</si>
  <si>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</si>
  <si>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</si>
  <si>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</si>
  <si>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</si>
  <si>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</si>
  <si>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</si>
  <si>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</si>
  <si>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</si>
  <si>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</si>
  <si>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</si>
  <si>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</si>
  <si>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</si>
  <si>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</si>
  <si>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</si>
  <si>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</si>
  <si>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</si>
  <si>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</si>
  <si>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</si>
  <si>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</si>
  <si>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</si>
  <si>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</si>
  <si>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</si>
  <si>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</si>
  <si>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</si>
  <si>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</si>
  <si>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</si>
  <si>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</si>
  <si>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</si>
  <si>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</si>
  <si>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</si>
  <si>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</si>
  <si>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</si>
  <si>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</si>
  <si>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</si>
  <si>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</si>
  <si>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</si>
  <si>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</si>
  <si>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</si>
  <si>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</si>
  <si>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</si>
  <si>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</si>
  <si>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</si>
  <si>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</si>
  <si>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</si>
  <si>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</si>
  <si>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</si>
  <si>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</si>
  <si>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</si>
  <si>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</si>
  <si>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</si>
  <si>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</si>
  <si>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</si>
  <si>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</si>
  <si>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</si>
  <si>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</si>
  <si>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</si>
  <si>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</si>
  <si>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</si>
  <si>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</si>
  <si>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</si>
  <si>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</si>
  <si>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</si>
  <si>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</si>
  <si>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</si>
  <si>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</si>
  <si>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</si>
  <si>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</si>
  <si>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</si>
  <si>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</si>
  <si>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</si>
  <si>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</si>
  <si>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</si>
  <si>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</si>
  <si>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</si>
  <si>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</si>
  <si>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</si>
  <si>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</si>
  <si>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</si>
  <si>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</si>
  <si>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</si>
  <si>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</si>
  <si>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</si>
  <si>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</si>
  <si>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</si>
  <si>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</si>
  <si>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</si>
  <si>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</si>
  <si>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</si>
  <si>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</si>
  <si>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</si>
  <si>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</si>
  <si>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</si>
  <si>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</si>
  <si>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</si>
  <si>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</si>
  <si>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</si>
  <si>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</si>
  <si>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</si>
  <si>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</si>
  <si>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</si>
  <si>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</si>
  <si>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</si>
  <si>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</si>
  <si>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</si>
  <si>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</si>
  <si>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</si>
  <si>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</si>
  <si>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</si>
  <si>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</si>
  <si>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</si>
  <si>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</si>
  <si>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</si>
  <si>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</si>
  <si>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</si>
  <si>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</si>
  <si>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</si>
  <si>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</si>
  <si>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</si>
  <si>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</si>
  <si>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</si>
  <si>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</si>
  <si>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</si>
  <si>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</si>
  <si>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</si>
  <si>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</si>
  <si>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</si>
  <si>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</si>
  <si>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</si>
  <si>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</si>
  <si>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</si>
  <si>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</si>
  <si>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</si>
  <si>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</si>
  <si>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</si>
  <si>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</si>
  <si>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</si>
  <si>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</si>
  <si>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</si>
  <si>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</si>
  <si>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</si>
  <si>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</si>
  <si>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</si>
  <si>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</si>
  <si>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</si>
  <si>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</si>
  <si>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</si>
  <si>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</si>
  <si>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</si>
  <si>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</si>
  <si>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</si>
  <si>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</si>
  <si>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</si>
  <si>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</si>
  <si>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</si>
  <si>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</si>
  <si>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</si>
  <si>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</si>
  <si>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</si>
  <si>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</si>
  <si>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</si>
  <si>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</si>
  <si>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</si>
  <si>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</si>
  <si>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</si>
  <si>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</si>
  <si>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</si>
  <si>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</si>
  <si>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</si>
  <si>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</si>
  <si>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</si>
  <si>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</si>
  <si>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</si>
  <si>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</si>
  <si>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</si>
  <si>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</si>
  <si>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</si>
  <si>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</si>
  <si>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</si>
  <si>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</si>
  <si>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</si>
  <si>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</si>
  <si>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</si>
  <si>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</si>
  <si>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</si>
  <si>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</si>
  <si>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</si>
  <si>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</si>
  <si>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</si>
  <si>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</si>
  <si>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</si>
  <si>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</si>
  <si>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</si>
  <si>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</si>
  <si>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</si>
  <si>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</si>
  <si>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</si>
  <si>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</si>
  <si>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</si>
  <si>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</si>
  <si>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</si>
  <si>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</si>
  <si>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</si>
  <si>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</si>
  <si>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</si>
  <si>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</si>
  <si>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</si>
  <si>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</si>
  <si>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</si>
  <si>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</si>
  <si>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</si>
  <si>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</si>
  <si>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</si>
  <si>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</si>
  <si>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</si>
  <si>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</si>
  <si>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</si>
  <si>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</si>
  <si>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</si>
  <si>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</si>
  <si>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</si>
  <si>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</si>
  <si>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</si>
  <si>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</si>
  <si>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</si>
  <si>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</si>
  <si>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</si>
  <si>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</si>
  <si>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</si>
  <si>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</si>
  <si>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</si>
  <si>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</si>
  <si>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</si>
  <si>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</si>
  <si>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</si>
  <si>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</si>
  <si>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</si>
  <si>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</si>
  <si>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</si>
  <si>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</si>
  <si>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</si>
  <si>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</si>
  <si>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</si>
  <si>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</si>
  <si>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</si>
  <si>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</si>
  <si>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</si>
  <si>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</si>
  <si>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</si>
  <si>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</si>
  <si>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</si>
  <si>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</si>
  <si>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</si>
  <si>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</si>
  <si>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</si>
  <si>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</si>
  <si>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</si>
  <si>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</si>
  <si>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</si>
  <si>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</si>
  <si>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</si>
  <si>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</si>
  <si>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</si>
  <si>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</si>
  <si>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</si>
  <si>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</si>
  <si>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</si>
  <si>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</si>
  <si>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</si>
  <si>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</si>
  <si>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</si>
  <si>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</si>
  <si>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</si>
  <si>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</si>
  <si>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</si>
  <si>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</si>
  <si>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</si>
  <si>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</si>
  <si>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</si>
  <si>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</si>
  <si>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</si>
  <si>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</si>
  <si>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</si>
  <si>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</si>
  <si>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</si>
  <si>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</si>
  <si>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</si>
  <si>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</si>
  <si>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</si>
  <si>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</si>
  <si>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</si>
  <si>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</si>
  <si>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</si>
  <si>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</si>
  <si>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</si>
  <si>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</si>
  <si>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</si>
  <si>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</si>
  <si>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</si>
  <si>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</si>
  <si>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</si>
  <si>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</si>
  <si>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</si>
  <si>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</si>
  <si>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</si>
  <si>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</si>
  <si>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</si>
  <si>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</si>
  <si>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</si>
  <si>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</si>
  <si>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</si>
  <si>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</si>
  <si>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</si>
  <si>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</si>
  <si>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</si>
  <si>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</si>
  <si>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</si>
  <si>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</si>
  <si>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</si>
  <si>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</si>
  <si>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</si>
  <si>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</si>
  <si>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</si>
  <si>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</si>
  <si>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</si>
  <si>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</si>
  <si>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</si>
  <si>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</si>
  <si>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</si>
  <si>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</si>
  <si>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</si>
  <si>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</si>
  <si>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</si>
  <si>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</si>
  <si>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</si>
  <si>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</si>
  <si>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</si>
  <si>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</si>
  <si>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</si>
  <si>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</si>
  <si>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</si>
  <si>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</si>
  <si>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</si>
  <si>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</si>
  <si>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</si>
  <si>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</si>
  <si>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</si>
  <si>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</si>
  <si>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</si>
  <si>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</si>
  <si>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</si>
  <si>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</si>
  <si>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</si>
  <si>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</si>
  <si>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</si>
  <si>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</si>
  <si>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</si>
  <si>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</si>
  <si>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</si>
  <si>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</si>
  <si>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</si>
  <si>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</si>
  <si>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</si>
  <si>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</si>
  <si>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</si>
  <si>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</si>
  <si>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</si>
  <si>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</si>
  <si>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</si>
  <si>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</si>
  <si>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</si>
  <si>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</si>
  <si>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</si>
  <si>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</si>
  <si>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</si>
  <si>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</si>
  <si>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</si>
  <si>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</si>
  <si>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</si>
  <si>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</si>
  <si>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</si>
  <si>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</si>
  <si>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</si>
  <si>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</si>
  <si>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</si>
  <si>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</si>
  <si>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</si>
  <si>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</si>
  <si>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</si>
  <si>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</si>
  <si>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</si>
  <si>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</si>
  <si>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</si>
  <si>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</si>
  <si>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</si>
  <si>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</si>
  <si>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</si>
  <si>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</si>
  <si>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</si>
  <si>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</si>
  <si>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</si>
  <si>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</si>
  <si>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</si>
  <si>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</si>
  <si>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</si>
  <si>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</si>
  <si>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</si>
  <si>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</si>
  <si>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</si>
  <si>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</si>
  <si>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</si>
  <si>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</si>
  <si>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</si>
  <si>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</si>
  <si>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</si>
  <si>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</si>
  <si>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</si>
  <si>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</si>
  <si>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</si>
  <si>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</si>
  <si>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</si>
  <si>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</si>
  <si>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</si>
  <si>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</si>
  <si>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</si>
  <si>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</si>
  <si>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</si>
  <si>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</si>
  <si>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</si>
  <si>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</si>
  <si>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</si>
  <si>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</si>
  <si>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</si>
  <si>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</si>
  <si>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</si>
  <si>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</si>
  <si>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</si>
  <si>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</si>
  <si>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</si>
  <si>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</si>
  <si>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</si>
  <si>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</si>
  <si>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</si>
  <si>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</si>
  <si>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</si>
  <si>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</si>
  <si>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</si>
  <si>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</si>
  <si>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</si>
  <si>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</si>
  <si>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</si>
  <si>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</si>
  <si>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</si>
  <si>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</si>
  <si>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</si>
  <si>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</si>
  <si>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</si>
  <si>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</si>
  <si>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</si>
  <si>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</si>
  <si>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</si>
  <si>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</si>
  <si>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</si>
  <si>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</si>
  <si>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</si>
  <si>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</si>
  <si>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</si>
  <si>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</si>
  <si>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</si>
  <si>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</si>
  <si>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</si>
  <si>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</si>
  <si>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</si>
  <si>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</si>
  <si>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</si>
  <si>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</si>
  <si>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</si>
  <si>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</si>
  <si>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</si>
  <si>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</si>
  <si>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</si>
  <si>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</si>
  <si>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</si>
  <si>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</si>
  <si>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</si>
  <si>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</si>
  <si>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</si>
  <si>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</si>
  <si>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</si>
  <si>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</si>
  <si>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</si>
  <si>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</si>
  <si>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</si>
  <si>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</si>
  <si>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</si>
  <si>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</si>
  <si>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</si>
  <si>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</si>
  <si>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</si>
  <si>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</si>
  <si>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</si>
  <si>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</si>
  <si>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</si>
  <si>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</si>
  <si>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</si>
  <si>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</si>
  <si>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</si>
  <si>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</si>
  <si>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</si>
  <si>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</si>
  <si>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</si>
  <si>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</si>
  <si>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</si>
  <si>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</si>
  <si>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</si>
  <si>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</si>
  <si>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</si>
  <si>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</si>
  <si>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</si>
  <si>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</si>
  <si>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</si>
  <si>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</si>
  <si>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</si>
  <si>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</si>
  <si>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</si>
  <si>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</si>
  <si>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</si>
  <si>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</si>
  <si>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</si>
  <si>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</si>
  <si>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</si>
  <si>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</si>
  <si>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</si>
  <si>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</si>
  <si>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</si>
  <si>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</si>
  <si>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</si>
  <si>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</si>
  <si>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</si>
  <si>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</si>
  <si>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</si>
  <si>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</si>
  <si>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</si>
  <si>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</si>
  <si>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</si>
  <si>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</si>
  <si>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</si>
  <si>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</si>
  <si>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</si>
  <si>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</si>
  <si>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</si>
  <si>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</si>
  <si>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</si>
  <si>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</si>
  <si>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</si>
  <si>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</si>
  <si>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</si>
  <si>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</si>
  <si>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</si>
  <si>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</si>
  <si>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</si>
  <si>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</si>
  <si>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</si>
  <si>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</si>
  <si>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</si>
  <si>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</si>
  <si>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</si>
  <si>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</si>
  <si>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</si>
  <si>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</si>
  <si>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</si>
  <si>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</si>
  <si>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</si>
  <si>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</si>
  <si>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</si>
  <si>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</si>
  <si>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</si>
  <si>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</si>
  <si>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</si>
  <si>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</si>
  <si>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</si>
  <si>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</si>
  <si>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</si>
  <si>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</si>
  <si>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</si>
  <si>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</si>
  <si>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</si>
  <si>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</si>
  <si>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</si>
  <si>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</si>
  <si>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</si>
  <si>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</si>
  <si>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</si>
  <si>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</si>
  <si>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</si>
  <si>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</si>
  <si>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</si>
  <si>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</si>
  <si>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</si>
  <si>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</si>
  <si>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</si>
  <si>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</si>
  <si>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</si>
  <si>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</si>
  <si>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</si>
  <si>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</si>
  <si>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</si>
  <si>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</si>
  <si>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</si>
  <si>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</si>
  <si>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</si>
  <si>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</si>
  <si>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</si>
  <si>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</si>
  <si>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</si>
  <si>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</si>
  <si>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</si>
  <si>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</si>
  <si>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</si>
  <si>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</si>
  <si>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</si>
  <si>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</si>
  <si>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</si>
  <si>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</si>
  <si>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</si>
  <si>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</si>
  <si>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</si>
  <si>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</si>
  <si>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</si>
  <si>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</si>
  <si>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</si>
  <si>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</si>
  <si>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</si>
  <si>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</si>
  <si>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</si>
  <si>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</si>
  <si>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</si>
  <si>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</si>
  <si>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</si>
  <si>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</si>
  <si>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</si>
  <si>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</si>
  <si>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</si>
  <si>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</si>
  <si>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</si>
  <si>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</si>
  <si>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</si>
  <si>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</si>
  <si>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</si>
  <si>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</si>
  <si>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</si>
  <si>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</si>
  <si>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</si>
  <si>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</si>
  <si>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</si>
  <si>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</si>
  <si>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</si>
  <si>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</si>
  <si>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</si>
  <si>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</si>
  <si>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</si>
  <si>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</si>
  <si>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</si>
  <si>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</si>
  <si>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</si>
  <si>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</si>
  <si>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</si>
  <si>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</si>
  <si>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</si>
  <si>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</si>
  <si>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</si>
  <si>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</si>
  <si>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</si>
  <si>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</si>
  <si>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</si>
  <si>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</si>
  <si>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</si>
  <si>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</si>
  <si>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</si>
  <si>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</si>
  <si>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</si>
  <si>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</si>
  <si>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</si>
  <si>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</si>
  <si>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</si>
  <si>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</si>
  <si>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</si>
  <si>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</si>
  <si>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</si>
  <si>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</si>
  <si>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</si>
  <si>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</si>
  <si>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</si>
  <si>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</si>
  <si>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</si>
  <si>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</si>
  <si>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</si>
  <si>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</si>
  <si>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</si>
  <si>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</si>
  <si>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</si>
  <si>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</si>
  <si>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</si>
  <si>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</si>
  <si>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</si>
  <si>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</si>
  <si>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</si>
  <si>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</si>
  <si>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</si>
  <si>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</si>
  <si>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</si>
  <si>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</si>
  <si>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</si>
  <si>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</si>
  <si>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</si>
  <si>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</si>
  <si>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</si>
  <si>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</si>
  <si>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</si>
  <si>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</si>
  <si>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</si>
  <si>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</si>
  <si>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</si>
  <si>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</si>
  <si>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</si>
  <si>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</si>
  <si>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</si>
  <si>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</si>
  <si>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</si>
  <si>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</si>
  <si>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</si>
  <si>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</si>
  <si>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</si>
  <si>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</si>
  <si>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</si>
  <si>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</si>
  <si>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</si>
  <si>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</si>
  <si>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</si>
  <si>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</si>
  <si>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</si>
  <si>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</si>
  <si>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</si>
  <si>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</si>
  <si>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</si>
  <si>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</si>
  <si>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</si>
  <si>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</si>
  <si>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</si>
  <si>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</si>
  <si>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</si>
  <si>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</si>
  <si>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</si>
  <si>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</si>
  <si>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</si>
  <si>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</si>
  <si>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</si>
  <si>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</si>
  <si>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</si>
  <si>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</si>
  <si>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</si>
  <si>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</si>
  <si>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</si>
  <si>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</si>
  <si>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</si>
  <si>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</si>
  <si>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</si>
  <si>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</si>
  <si>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</si>
  <si>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</si>
  <si>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</si>
  <si>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</si>
  <si>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</si>
  <si>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</si>
  <si>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</si>
  <si>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</si>
  <si>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</si>
  <si>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</si>
  <si>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</si>
  <si>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</si>
  <si>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</si>
  <si>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</si>
  <si>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</si>
  <si>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</si>
  <si>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</si>
  <si>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</si>
  <si>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</si>
  <si>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</si>
  <si>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</si>
  <si>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</si>
  <si>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</si>
  <si>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</si>
  <si>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</si>
  <si>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</si>
  <si>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</si>
  <si>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</si>
  <si>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</si>
  <si>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</si>
  <si>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</si>
  <si>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</si>
  <si>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</si>
  <si>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</si>
  <si>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</si>
  <si>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</si>
  <si>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</si>
  <si>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</si>
  <si>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</si>
  <si>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</si>
  <si>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</si>
  <si>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</si>
  <si>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</si>
  <si>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</si>
  <si>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</si>
  <si>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</si>
  <si>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</si>
  <si>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</si>
  <si>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</si>
  <si>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</si>
  <si>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</si>
  <si>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</si>
  <si>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</si>
  <si>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</si>
  <si>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</si>
  <si>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</si>
  <si>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</si>
  <si>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</si>
  <si>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</si>
  <si>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</si>
  <si>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</si>
  <si>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</si>
  <si>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</si>
  <si>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</si>
  <si>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</si>
  <si>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</si>
  <si>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</si>
  <si>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</si>
  <si>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</si>
  <si>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</si>
  <si>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</si>
  <si>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</si>
  <si>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</si>
  <si>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</si>
  <si>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</si>
  <si>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</si>
  <si>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</si>
  <si>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</si>
  <si>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</si>
  <si>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</si>
  <si>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</si>
  <si>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</si>
  <si>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</si>
  <si>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</si>
  <si>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</si>
  <si>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</si>
  <si>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</si>
  <si>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</si>
  <si>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</si>
  <si>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</si>
  <si>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</si>
  <si>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</si>
  <si>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</si>
  <si>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</si>
  <si>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</si>
  <si>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</si>
  <si>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</si>
  <si>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</si>
  <si>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</si>
  <si>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</si>
  <si>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</si>
  <si>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</si>
  <si>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</si>
  <si>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</si>
  <si>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</si>
  <si>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</si>
  <si>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</si>
  <si>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</si>
  <si>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</si>
  <si>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</si>
  <si>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</si>
  <si>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</si>
  <si>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</si>
  <si>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</si>
  <si>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</si>
  <si>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</si>
  <si>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</si>
  <si>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</si>
  <si>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</si>
  <si>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</si>
  <si>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</si>
  <si>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</si>
  <si>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</si>
  <si>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</si>
  <si>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</si>
  <si>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</si>
  <si>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</si>
  <si>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</si>
  <si>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</si>
  <si>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</si>
  <si>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</si>
  <si>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</si>
  <si>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</si>
  <si>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</si>
  <si>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</si>
  <si>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</si>
  <si>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</si>
  <si>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</si>
  <si>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</si>
  <si>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</si>
  <si>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</si>
  <si>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</si>
  <si>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</si>
  <si>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</si>
  <si>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</si>
  <si>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</si>
  <si>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</si>
  <si>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</si>
  <si>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</si>
  <si>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</si>
  <si>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</si>
  <si>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</si>
  <si>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</si>
  <si>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</si>
  <si>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</si>
  <si>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</si>
  <si>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</si>
  <si>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</si>
  <si>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</si>
  <si>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</si>
  <si>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</si>
  <si>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</si>
  <si>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</si>
  <si>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</si>
  <si>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</si>
  <si>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</si>
  <si>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</si>
  <si>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</si>
  <si>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</si>
  <si>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</si>
  <si>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</si>
  <si>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</si>
  <si>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</si>
  <si>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</si>
  <si>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</si>
  <si>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</si>
  <si>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</si>
  <si>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</si>
  <si>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</si>
  <si>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</si>
  <si>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</si>
  <si>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</si>
  <si>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</si>
  <si>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</si>
  <si>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</si>
  <si>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</si>
  <si>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</si>
  <si>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</si>
  <si>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</si>
  <si>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</si>
  <si>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</si>
  <si>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</si>
  <si>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</si>
  <si>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</si>
  <si>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</si>
  <si>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</si>
  <si>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</si>
  <si>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</si>
  <si>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</si>
  <si>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</si>
  <si>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</si>
  <si>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</si>
  <si>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</si>
  <si>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</si>
  <si>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</si>
  <si>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</si>
  <si>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</si>
  <si>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</si>
  <si>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</si>
  <si>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</si>
  <si>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</si>
  <si>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</si>
  <si>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</si>
  <si>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</si>
  <si>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</si>
  <si>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</si>
  <si>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</si>
  <si>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</si>
  <si>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</si>
  <si>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</si>
  <si>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</si>
  <si>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</si>
  <si>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</si>
  <si>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</si>
  <si>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</si>
  <si>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</si>
  <si>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</si>
  <si>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</si>
  <si>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</si>
  <si>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</si>
  <si>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</si>
  <si>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</si>
  <si>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</si>
  <si>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</si>
  <si>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</si>
  <si>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</si>
  <si>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</si>
  <si>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</si>
  <si>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</si>
  <si>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</si>
  <si>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</si>
  <si>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</si>
  <si>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</si>
  <si>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</si>
  <si>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</si>
  <si>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</si>
  <si>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</si>
  <si>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</si>
  <si>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</si>
  <si>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</si>
  <si>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</si>
  <si>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</si>
  <si>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</si>
  <si>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</si>
  <si>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</si>
  <si>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</si>
  <si>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</si>
  <si>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</si>
  <si>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</si>
  <si>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</si>
  <si>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</si>
  <si>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</si>
  <si>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</si>
  <si>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</si>
  <si>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</si>
  <si>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</si>
  <si>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</si>
  <si>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</si>
  <si>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</si>
  <si>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</si>
  <si>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</si>
  <si>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</si>
  <si>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</si>
  <si>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</si>
  <si>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</si>
  <si>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</si>
  <si>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</si>
  <si>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</si>
  <si>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</si>
  <si>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</si>
  <si>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</si>
  <si>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</si>
  <si>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</si>
  <si>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</si>
  <si>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</si>
  <si>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</si>
  <si>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</si>
  <si>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</si>
  <si>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</si>
  <si>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</si>
  <si>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</si>
  <si>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</si>
  <si>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</si>
  <si>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</si>
  <si>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</si>
  <si>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</si>
  <si>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</si>
  <si>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</si>
  <si>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</si>
  <si>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</si>
  <si>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</si>
  <si>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</si>
  <si>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</si>
  <si>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</si>
  <si>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</si>
  <si>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</si>
  <si>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</si>
  <si>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</si>
  <si>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</si>
  <si>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</si>
  <si>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</si>
  <si>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</si>
  <si>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</si>
  <si>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</si>
  <si>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</si>
  <si>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</si>
  <si>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</si>
  <si>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</si>
  <si>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</si>
  <si>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</si>
  <si>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</si>
  <si>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</si>
  <si>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</si>
  <si>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</si>
  <si>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</si>
  <si>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</si>
  <si>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</si>
  <si>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</si>
  <si>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</si>
  <si>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</si>
  <si>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</si>
  <si>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</si>
  <si>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</si>
  <si>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</si>
  <si>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</si>
  <si>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</si>
  <si>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</si>
  <si>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</si>
  <si>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</si>
  <si>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</si>
  <si>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</si>
  <si>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</si>
  <si>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</si>
  <si>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</si>
  <si>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</si>
  <si>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</si>
  <si>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</si>
  <si>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</si>
  <si>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</si>
  <si>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</si>
  <si>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</si>
  <si>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</si>
  <si>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</si>
  <si>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</si>
  <si>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</si>
  <si>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</si>
  <si>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</si>
  <si>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</si>
  <si>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</si>
  <si>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</si>
  <si>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</si>
  <si>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</si>
  <si>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</si>
  <si>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</si>
  <si>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</si>
  <si>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</si>
  <si>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</si>
  <si>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</si>
  <si>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</si>
  <si>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</si>
  <si>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</si>
  <si>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</si>
  <si>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</si>
  <si>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</si>
  <si>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</si>
  <si>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</si>
  <si>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</si>
  <si>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</si>
  <si>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</si>
  <si>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</si>
  <si>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</si>
  <si>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</si>
  <si>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</si>
  <si>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</si>
  <si>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</si>
  <si>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</si>
  <si>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</si>
  <si>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</si>
  <si>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</si>
  <si>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</si>
  <si>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</si>
  <si>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</si>
  <si>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</si>
  <si>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</si>
  <si>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</si>
  <si>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</si>
  <si>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</si>
  <si>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</si>
  <si>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</si>
  <si>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</si>
  <si>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</si>
  <si>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</si>
  <si>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</si>
  <si>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</si>
  <si>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</si>
  <si>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</si>
  <si>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</si>
  <si>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</si>
  <si>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</si>
  <si>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</si>
  <si>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</si>
  <si>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</si>
  <si>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</si>
  <si>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</si>
  <si>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</si>
  <si>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</si>
  <si>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</si>
  <si>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</si>
  <si>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</si>
  <si>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</si>
  <si>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</si>
  <si>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</si>
  <si>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</si>
  <si>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</si>
  <si>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</si>
  <si>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</si>
  <si>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</si>
  <si>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</si>
  <si>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</si>
  <si>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</si>
  <si>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</si>
  <si>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</si>
  <si>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</si>
  <si>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</si>
  <si>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</si>
  <si>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</si>
  <si>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</si>
  <si>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</si>
  <si>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</si>
  <si>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</si>
  <si>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</si>
  <si>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</si>
  <si>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</si>
  <si>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</si>
  <si>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</si>
  <si>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</si>
  <si>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</si>
  <si>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</si>
  <si>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</si>
  <si>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</si>
  <si>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</si>
  <si>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</si>
  <si>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</si>
  <si>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</si>
  <si>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</si>
  <si>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</si>
  <si>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</si>
  <si>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</si>
  <si>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</si>
  <si>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</si>
  <si>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</si>
  <si>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</si>
  <si>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</si>
  <si>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</si>
  <si>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</si>
  <si>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</si>
  <si>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</si>
  <si>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</si>
  <si>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</si>
  <si>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</si>
  <si>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</si>
  <si>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</si>
  <si>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</si>
  <si>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</si>
  <si>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</si>
  <si>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</si>
  <si>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</si>
  <si>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</si>
  <si>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</si>
  <si>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</si>
  <si>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</si>
  <si>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</si>
  <si>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</si>
  <si>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</si>
  <si>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</si>
  <si>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</si>
  <si>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</si>
  <si>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</si>
  <si>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</si>
  <si>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</si>
  <si>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</si>
  <si>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</si>
  <si>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</si>
  <si>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</si>
  <si>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</si>
  <si>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</si>
  <si>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</si>
  <si>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</si>
  <si>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</si>
  <si>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</si>
  <si>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</si>
  <si>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</si>
  <si>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</si>
  <si>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</si>
  <si>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</si>
  <si>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</si>
  <si>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</si>
  <si>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</si>
  <si>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</si>
  <si>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</si>
  <si>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</si>
  <si>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</si>
  <si>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</si>
  <si>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</si>
  <si>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</si>
  <si>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</si>
  <si>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</si>
  <si>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</si>
  <si>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</si>
  <si>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</si>
  <si>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</si>
  <si>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</si>
  <si>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</si>
  <si>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</si>
  <si>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</si>
  <si>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</si>
  <si>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</si>
  <si>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</si>
  <si>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</si>
  <si>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</si>
  <si>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</si>
  <si>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</si>
  <si>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</si>
  <si>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</si>
  <si>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</si>
  <si>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</si>
  <si>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</si>
  <si>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</si>
  <si>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</si>
  <si>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</si>
  <si>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</si>
  <si>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</si>
  <si>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</si>
  <si>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</si>
  <si>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</si>
  <si>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</si>
  <si>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</si>
  <si>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</si>
  <si>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</si>
  <si>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</si>
  <si>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</si>
  <si>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</si>
  <si>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</si>
  <si>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</si>
  <si>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</si>
  <si>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</si>
  <si>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</si>
  <si>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</si>
  <si>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</si>
  <si>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</si>
  <si>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</si>
  <si>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</si>
  <si>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</si>
  <si>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</si>
  <si>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</si>
  <si>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</si>
  <si>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</si>
  <si>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</si>
  <si>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</si>
  <si>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</si>
  <si>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</si>
  <si>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</si>
  <si>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</si>
  <si>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</si>
  <si>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</si>
  <si>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</si>
  <si>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</si>
  <si>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</si>
  <si>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</si>
  <si>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</si>
  <si>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</si>
  <si>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</si>
  <si>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</si>
  <si>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</si>
  <si>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</si>
  <si>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</si>
  <si>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</si>
  <si>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</si>
  <si>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</si>
  <si>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</si>
  <si>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</si>
  <si>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</si>
  <si>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</si>
  <si>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</si>
  <si>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</si>
  <si>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</si>
  <si>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</si>
  <si>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</si>
  <si>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</si>
  <si>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</si>
  <si>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</si>
  <si>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</si>
  <si>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</si>
  <si>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</si>
  <si>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</si>
  <si>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</si>
  <si>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</si>
  <si>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</si>
  <si>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</si>
  <si>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</si>
  <si>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</si>
  <si>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</si>
  <si>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</si>
  <si>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</si>
  <si>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</si>
  <si>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</si>
  <si>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</si>
  <si>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</si>
  <si>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</si>
  <si>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</si>
  <si>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</si>
  <si>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</si>
  <si>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</si>
  <si>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</si>
  <si>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</si>
  <si>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</si>
  <si>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</si>
  <si>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</si>
  <si>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</si>
  <si>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</si>
  <si>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</si>
  <si>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</si>
  <si>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</si>
  <si>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</si>
  <si>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</si>
  <si>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</si>
  <si>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</si>
  <si>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</si>
  <si>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</si>
  <si>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</si>
  <si>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</si>
  <si>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</si>
  <si>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</si>
  <si>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</si>
  <si>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</si>
  <si>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</si>
  <si>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</si>
  <si>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</si>
  <si>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</si>
  <si>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</si>
  <si>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</si>
  <si>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</si>
  <si>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</si>
  <si>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</si>
  <si>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</si>
  <si>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</si>
  <si>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</si>
  <si>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</si>
  <si>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</si>
  <si>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</si>
  <si>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</si>
  <si>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</si>
  <si>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</si>
  <si>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</si>
  <si>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</si>
  <si>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</si>
  <si>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</si>
  <si>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</si>
  <si>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</si>
  <si>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</si>
  <si>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</si>
  <si>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</si>
  <si>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</si>
  <si>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</si>
  <si>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</si>
  <si>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</si>
  <si>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</si>
  <si>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</si>
  <si>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</si>
  <si>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</si>
  <si>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</si>
  <si>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</si>
  <si>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</si>
  <si>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</si>
  <si>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</si>
  <si>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</si>
  <si>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</si>
  <si>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</si>
  <si>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</si>
  <si>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</si>
  <si>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</si>
  <si>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</si>
  <si>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</si>
  <si>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</si>
  <si>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</si>
  <si>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</si>
  <si>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</si>
  <si>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</si>
  <si>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</si>
  <si>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</si>
  <si>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</si>
  <si>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</si>
  <si>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</si>
  <si>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</si>
  <si>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</si>
  <si>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</si>
  <si>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</si>
  <si>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</si>
  <si>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</si>
  <si>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</si>
  <si>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</si>
  <si>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</si>
  <si>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</si>
  <si>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</si>
  <si>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</si>
  <si>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</si>
  <si>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</si>
  <si>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</si>
  <si>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</si>
  <si>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</si>
  <si>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</si>
  <si>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</si>
  <si>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</si>
  <si>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</si>
  <si>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</si>
  <si>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</si>
  <si>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</si>
  <si>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</si>
  <si>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</si>
  <si>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</si>
  <si>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</si>
  <si>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</si>
  <si>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</si>
  <si>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</si>
  <si>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</si>
  <si>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</si>
  <si>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</si>
  <si>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</si>
  <si>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</si>
  <si>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</si>
  <si>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</si>
  <si>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</si>
  <si>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</si>
  <si>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</si>
  <si>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</si>
  <si>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</si>
  <si>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</si>
  <si>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</si>
  <si>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</si>
  <si>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</si>
  <si>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</si>
  <si>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</si>
  <si>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</si>
  <si>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</si>
  <si>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</si>
  <si>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</si>
  <si>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</si>
  <si>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</si>
  <si>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</si>
  <si>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</si>
  <si>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</si>
  <si>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</si>
  <si>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</si>
  <si>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</si>
  <si>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</si>
  <si>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</si>
  <si>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</si>
  <si>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</si>
  <si>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</si>
  <si>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</si>
  <si>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</si>
  <si>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</si>
  <si>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</si>
  <si>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</si>
  <si>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</si>
  <si>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</si>
  <si>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</si>
  <si>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</si>
  <si>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</si>
  <si>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</si>
  <si>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</si>
  <si>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</si>
  <si>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</si>
  <si>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</si>
  <si>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</si>
  <si>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</si>
  <si>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</si>
  <si>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</si>
  <si>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</si>
  <si>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</si>
  <si>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</si>
  <si>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</si>
  <si>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</si>
  <si>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</si>
  <si>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</si>
  <si>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</si>
  <si>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</si>
  <si>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</si>
  <si>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</si>
  <si>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</si>
  <si>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</si>
  <si>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</si>
  <si>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</si>
  <si>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</si>
  <si>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</si>
  <si>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</si>
  <si>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</si>
  <si>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</si>
  <si>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</si>
  <si>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</si>
  <si>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</si>
  <si>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</si>
  <si>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</si>
  <si>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</si>
  <si>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</si>
  <si>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</si>
  <si>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</si>
  <si>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</si>
  <si>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</si>
  <si>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</si>
  <si>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</si>
  <si>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</si>
  <si>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</si>
  <si>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</si>
  <si>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</si>
  <si>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</si>
  <si>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</si>
  <si>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</si>
  <si>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</si>
  <si>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</si>
  <si>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</si>
  <si>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</si>
  <si>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</si>
  <si>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</si>
  <si>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</si>
  <si>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</si>
  <si>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</si>
  <si>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</si>
  <si>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</si>
  <si>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</si>
  <si>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</si>
  <si>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</si>
  <si>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</si>
  <si>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</si>
  <si>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</si>
  <si>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</si>
  <si>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</si>
  <si>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</si>
  <si>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</si>
  <si>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</si>
  <si>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</si>
  <si>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</si>
  <si>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</si>
  <si>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</si>
  <si>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</si>
  <si>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</si>
  <si>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</si>
  <si>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</si>
  <si>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</si>
  <si>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</si>
  <si>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</si>
  <si>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</si>
  <si>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</si>
  <si>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</si>
  <si>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</si>
  <si>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</si>
  <si>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</si>
  <si>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</si>
  <si>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</si>
  <si>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</si>
  <si>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</si>
  <si>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</si>
  <si>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</si>
  <si>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</si>
  <si>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</si>
  <si>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</si>
  <si>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</si>
  <si>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</si>
  <si>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</si>
  <si>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</si>
  <si>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</si>
  <si>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</si>
  <si>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</si>
  <si>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</si>
  <si>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</si>
  <si>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</si>
  <si>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</si>
  <si>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</si>
  <si>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</si>
  <si>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</si>
  <si>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</si>
  <si>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</si>
  <si>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</si>
  <si>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</si>
  <si>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</si>
  <si>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</si>
  <si>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</si>
  <si>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</si>
  <si>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</si>
  <si>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</si>
  <si>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</si>
  <si>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</si>
  <si>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</si>
  <si>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</si>
  <si>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</si>
  <si>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</si>
  <si>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</si>
  <si>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</si>
  <si>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</si>
  <si>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</si>
  <si>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</si>
  <si>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</si>
  <si>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</si>
  <si>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</si>
  <si>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</si>
  <si>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</si>
  <si>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</si>
  <si>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</si>
  <si>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</si>
  <si>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</si>
  <si>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</si>
  <si>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</si>
  <si>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</si>
  <si>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</si>
  <si>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</si>
  <si>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</si>
  <si>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</si>
  <si>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</si>
  <si>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</si>
  <si>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</si>
  <si>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</si>
  <si>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</si>
  <si>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</si>
  <si>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</si>
  <si>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</si>
  <si>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</si>
  <si>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</si>
  <si>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</si>
  <si>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</si>
  <si>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</si>
  <si>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</si>
  <si>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</si>
  <si>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</si>
  <si>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</si>
  <si>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</si>
  <si>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</si>
  <si>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</si>
  <si>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</si>
  <si>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</si>
  <si>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</si>
  <si>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</si>
  <si>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</si>
  <si>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</si>
  <si>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</si>
  <si>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</si>
  <si>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</si>
  <si>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</si>
  <si>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</si>
  <si>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</si>
  <si>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</si>
  <si>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</si>
  <si>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</si>
  <si>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</si>
  <si>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</si>
  <si>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</si>
  <si>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</si>
  <si>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</si>
  <si>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</si>
  <si>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</si>
  <si>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</si>
  <si>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</si>
  <si>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</si>
  <si>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</si>
  <si>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</si>
  <si>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</si>
  <si>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</si>
  <si>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</si>
  <si>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</si>
  <si>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</si>
  <si>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</si>
  <si>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</si>
  <si>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</si>
  <si>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</si>
  <si>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</si>
  <si>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</si>
  <si>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</si>
  <si>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</si>
  <si>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</si>
  <si>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</si>
  <si>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</si>
  <si>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</si>
  <si>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</si>
  <si>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</si>
  <si>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</si>
  <si>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</si>
  <si>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</si>
  <si>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</si>
  <si>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</si>
  <si>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</si>
  <si>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</si>
  <si>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</si>
  <si>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</si>
  <si>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</si>
  <si>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</si>
  <si>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</si>
  <si>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</si>
  <si>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</si>
  <si>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</si>
  <si>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</si>
  <si>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</si>
  <si>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</si>
  <si>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</si>
  <si>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</si>
  <si>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</si>
  <si>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</si>
  <si>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</si>
  <si>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</si>
  <si>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</si>
  <si>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</si>
  <si>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</si>
  <si>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</si>
  <si>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</si>
  <si>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</si>
  <si>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</si>
  <si>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</si>
  <si>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</si>
  <si>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</si>
  <si>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</si>
  <si>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</si>
  <si>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</si>
  <si>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</si>
  <si>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</si>
  <si>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</si>
  <si>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</si>
  <si>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</si>
  <si>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</si>
  <si>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</si>
  <si>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</si>
  <si>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</si>
  <si>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</si>
  <si>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</si>
  <si>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</si>
  <si>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</si>
  <si>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</si>
  <si>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</si>
  <si>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</si>
  <si>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</si>
  <si>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</si>
  <si>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</si>
  <si>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</si>
  <si>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</si>
  <si>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</si>
  <si>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</si>
  <si>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</si>
  <si>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</si>
  <si>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</si>
  <si>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</si>
  <si>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</si>
  <si>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</si>
  <si>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</si>
  <si>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</si>
  <si>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</si>
  <si>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</si>
  <si>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</si>
  <si>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</si>
  <si>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</si>
  <si>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</si>
  <si>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</si>
  <si>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</si>
  <si>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</si>
  <si>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</si>
  <si>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</si>
  <si>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</si>
  <si>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</si>
  <si>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</si>
  <si>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</si>
  <si>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</si>
  <si>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</si>
  <si>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</si>
  <si>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</si>
  <si>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</si>
  <si>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</si>
  <si>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</si>
  <si>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</si>
  <si>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</si>
  <si>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</si>
  <si>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</si>
  <si>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</si>
  <si>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</si>
  <si>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</si>
  <si>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</si>
  <si>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</si>
  <si>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</si>
  <si>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</si>
  <si>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</si>
  <si>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</si>
  <si>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</si>
  <si>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</si>
  <si>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</si>
  <si>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</si>
  <si>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</si>
  <si>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</si>
  <si>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</si>
  <si>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</si>
  <si>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</si>
  <si>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</si>
  <si>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</si>
  <si>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</si>
  <si>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</si>
  <si>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</si>
  <si>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</si>
  <si>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</si>
  <si>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</si>
  <si>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</si>
  <si>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</si>
  <si>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</si>
  <si>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</si>
  <si>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</si>
  <si>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</si>
  <si>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</si>
  <si>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</si>
  <si>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</si>
  <si>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</si>
  <si>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</si>
  <si>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</si>
  <si>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</si>
  <si>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</si>
  <si>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</si>
  <si>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</si>
  <si>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</si>
  <si>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</si>
  <si>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</si>
  <si>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</si>
  <si>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</si>
  <si>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</si>
  <si>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</si>
  <si>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</si>
  <si>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</si>
  <si>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</si>
  <si>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</si>
  <si>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</si>
  <si>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</si>
  <si>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</si>
  <si>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</si>
  <si>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</si>
  <si>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</si>
  <si>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</si>
  <si>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</si>
  <si>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</si>
  <si>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</si>
  <si>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</si>
  <si>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</si>
  <si>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</si>
  <si>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</si>
  <si>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</si>
  <si>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</si>
  <si>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</si>
  <si>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</si>
  <si>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</si>
  <si>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</si>
  <si>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</si>
  <si>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</si>
  <si>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</si>
  <si>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</si>
  <si>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</si>
  <si>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</si>
  <si>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</si>
  <si>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</si>
  <si>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</si>
  <si>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</si>
  <si>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</si>
  <si>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</si>
  <si>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</si>
  <si>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</si>
  <si>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</si>
  <si>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</si>
  <si>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</si>
  <si>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</si>
  <si>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</si>
  <si>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</si>
  <si>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</si>
  <si>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</si>
  <si>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</si>
  <si>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</si>
  <si>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</si>
  <si>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</si>
  <si>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</si>
  <si>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</si>
  <si>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</si>
  <si>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</si>
  <si>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</si>
  <si>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</si>
  <si>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</si>
  <si>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</si>
  <si>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</si>
  <si>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</si>
  <si>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</si>
  <si>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</si>
  <si>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</si>
  <si>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</si>
  <si>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</si>
  <si>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</si>
  <si>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</si>
  <si>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</si>
  <si>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</si>
  <si>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</si>
  <si>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</si>
  <si>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</si>
  <si>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</si>
  <si>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</si>
  <si>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</si>
  <si>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</si>
  <si>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</si>
  <si>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</si>
  <si>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</si>
  <si>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</si>
  <si>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</si>
  <si>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</si>
  <si>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</si>
  <si>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</si>
  <si>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</si>
  <si>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</si>
  <si>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</si>
  <si>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</si>
  <si>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</si>
  <si>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</si>
  <si>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</si>
  <si>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</si>
  <si>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</si>
  <si>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</si>
  <si>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</si>
  <si>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</si>
  <si>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</si>
  <si>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</si>
  <si>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</si>
  <si>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</si>
  <si>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</si>
  <si>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</si>
  <si>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</si>
  <si>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</si>
  <si>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</si>
  <si>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</si>
  <si>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</si>
  <si>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</si>
  <si>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</si>
  <si>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</si>
  <si>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</si>
  <si>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</si>
  <si>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</si>
  <si>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</si>
  <si>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</si>
  <si>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</si>
  <si>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</si>
  <si>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</si>
  <si>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</si>
  <si>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</si>
  <si>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</si>
  <si>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</si>
  <si>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</si>
  <si>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</si>
  <si>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</si>
  <si>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</si>
  <si>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</si>
  <si>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</si>
  <si>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</si>
  <si>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</si>
  <si>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</si>
  <si>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</si>
  <si>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</si>
  <si>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</si>
  <si>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</si>
  <si>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</si>
  <si>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</si>
  <si>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</si>
  <si>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</si>
  <si>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</si>
  <si>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</si>
  <si>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</si>
  <si>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</si>
  <si>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</si>
  <si>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</si>
  <si>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</si>
  <si>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</si>
  <si>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</si>
  <si>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</si>
  <si>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</si>
  <si>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</si>
  <si>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</si>
  <si>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</si>
  <si>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</si>
  <si>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</si>
  <si>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</si>
  <si>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</si>
  <si>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</si>
  <si>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</si>
  <si>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</si>
  <si>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</si>
  <si>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</si>
  <si>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</si>
  <si>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</si>
  <si>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</si>
  <si>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</si>
  <si>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</si>
  <si>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</si>
  <si>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</si>
  <si>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</si>
  <si>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</si>
  <si>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</si>
  <si>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</si>
  <si>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</si>
  <si>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</si>
  <si>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</si>
  <si>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</si>
  <si>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</si>
  <si>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</si>
  <si>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</si>
  <si>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</si>
  <si>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</si>
  <si>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</si>
  <si>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</si>
  <si>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</si>
  <si>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</si>
  <si>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</si>
  <si>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</si>
  <si>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</si>
  <si>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</si>
  <si>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</si>
  <si>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</si>
  <si>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</si>
  <si>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</si>
  <si>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</si>
  <si>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</si>
  <si>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</si>
  <si>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</si>
  <si>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</si>
  <si>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</si>
  <si>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</si>
  <si>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</si>
  <si>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</si>
  <si>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</si>
  <si>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</si>
  <si>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</si>
  <si>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</si>
  <si>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</si>
  <si>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</si>
  <si>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</si>
  <si>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</si>
  <si>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</si>
  <si>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</si>
  <si>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</si>
  <si>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</si>
  <si>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</si>
  <si>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</si>
  <si>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</si>
  <si>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</si>
  <si>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</si>
  <si>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</si>
  <si>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</si>
  <si>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</si>
  <si>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</si>
  <si>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</si>
  <si>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</si>
  <si>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</si>
  <si>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</si>
  <si>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</si>
  <si>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</si>
  <si>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</si>
  <si>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</si>
  <si>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</si>
  <si>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</si>
  <si>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</si>
  <si>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</si>
  <si>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</si>
  <si>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</si>
  <si>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</si>
  <si>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</si>
  <si>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</si>
  <si>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</si>
  <si>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</si>
  <si>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</si>
  <si>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</si>
  <si>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</si>
  <si>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</si>
  <si>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</si>
  <si>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</si>
  <si>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</si>
  <si>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</si>
  <si>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</si>
  <si>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</si>
  <si>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</si>
  <si>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</si>
  <si>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</si>
  <si>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</si>
  <si>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</si>
  <si>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</si>
  <si>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</si>
  <si>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</si>
  <si>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</si>
  <si>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</si>
  <si>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</si>
  <si>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</si>
  <si>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</si>
  <si>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</si>
  <si>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</si>
  <si>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</si>
  <si>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</si>
  <si>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</si>
  <si>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</si>
  <si>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</si>
  <si>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</si>
  <si>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</si>
  <si>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</si>
  <si>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</si>
  <si>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</si>
  <si>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</si>
  <si>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</si>
  <si>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</si>
  <si>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</si>
  <si>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</si>
  <si>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</si>
  <si>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</si>
  <si>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</si>
  <si>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</si>
  <si>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</si>
  <si>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</si>
  <si>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</si>
  <si>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</si>
  <si>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</si>
  <si>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</si>
  <si>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</si>
  <si>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</si>
  <si>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</si>
  <si>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</si>
  <si>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</si>
  <si>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</si>
  <si>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</si>
  <si>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</si>
  <si>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</si>
  <si>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</si>
  <si>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</si>
  <si>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</si>
  <si>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</si>
  <si>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</si>
  <si>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</si>
  <si>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</si>
  <si>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</si>
  <si>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</si>
  <si>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</si>
  <si>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</si>
  <si>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</si>
  <si>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</si>
  <si>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</si>
  <si>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</si>
  <si>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</si>
  <si>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</si>
  <si>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</si>
  <si>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</si>
  <si>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</si>
  <si>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</si>
  <si>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</si>
  <si>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</si>
  <si>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</si>
  <si>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</si>
  <si>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</si>
  <si>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</si>
  <si>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</si>
  <si>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</si>
  <si>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</si>
  <si>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</si>
  <si>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</si>
  <si>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</si>
  <si>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</si>
  <si>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</si>
  <si>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</si>
  <si>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Sup-2</t>
  </si>
  <si>
    <t>Nanak</t>
  </si>
  <si>
    <t>ABC123</t>
  </si>
  <si>
    <t>SINGH RUPINDER</t>
  </si>
  <si>
    <t xml:space="preserve">WSA BLACK EYE BEANS 1KGX16   </t>
  </si>
  <si>
    <t xml:space="preserve">WSA MASOOR WHOLE 1KGX16  </t>
  </si>
  <si>
    <t>WSA MOONG DAL 1 KG X 16</t>
  </si>
  <si>
    <t xml:space="preserve">WSA MOONG WHOLE 1KGX16  </t>
  </si>
  <si>
    <t xml:space="preserve">WSA URID DAL 1 KG X 16  </t>
  </si>
  <si>
    <t>ALIMENTARI ABBIGLIAMENTO DI RAJ HANS</t>
  </si>
  <si>
    <t xml:space="preserve">WSA JEERA WHOLE 1KG X 8 </t>
  </si>
  <si>
    <t>NORD WSA SRL</t>
  </si>
  <si>
    <t>PJ ALOE VERA GEL 60 ML X 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</si>
</sst>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0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42" fontId="1" fillId="0" borderId="13" xfId="0" applyNumberFormat="1" applyFont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CASHEW KERNELS 100 G X20   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-186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$(5,383)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$(5,383)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7.049400925927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-116" maxValue="0"/>
    </cacheField>
    <cacheField name="Value" numFmtId="42">
      <sharedItems containsSemiMixedTypes="0" containsString="0" containsNumber="1" minValue="-3939.36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s v=""/>
    <m/>
    <n v="0"/>
    <n v="0"/>
  </r>
  <r>
    <n v="4"/>
    <n v="581"/>
    <s v="TRS MADRAS PAPADS PLAIN 200GX60"/>
    <m/>
    <x v="0"/>
    <m/>
    <s v=""/>
    <m/>
    <n v="0"/>
    <n v="0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s v=""/>
    <m/>
    <n v="0"/>
    <n v="0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s v=""/>
    <m/>
    <n v="0"/>
    <n v="0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s v=""/>
    <m/>
    <n v="0"/>
    <n v="0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s v=""/>
    <m/>
    <n v="0"/>
    <n v="0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s v=""/>
    <m/>
    <n v="0"/>
    <n v="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0"/>
    <n v="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s v=""/>
    <m/>
    <n v="0"/>
    <n v="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-2"/>
    <n v="-46.08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s v=""/>
    <m/>
    <n v="0"/>
    <n v="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s v=""/>
    <m/>
    <n v="0"/>
    <n v="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s v=""/>
    <m/>
    <n v="0"/>
    <n v="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0"/>
    <n v="0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s v=""/>
    <m/>
    <n v="0"/>
    <n v="0"/>
  </r>
  <r>
    <n v="148"/>
    <s v="AG11"/>
    <s v="AG MIX 1x6"/>
    <m/>
    <x v="0"/>
    <m/>
    <s v=""/>
    <m/>
    <n v="0"/>
    <n v="0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s v=""/>
    <m/>
    <n v="0"/>
    <n v="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0"/>
    <n v="0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0"/>
    <n v="0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0"/>
    <n v="0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s v=""/>
    <m/>
    <n v="0"/>
    <n v="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0"/>
    <n v="0"/>
  </r>
  <r>
    <n v="201"/>
    <s v="AH7"/>
    <s v="PRAN JUICE ANAR 1LTX12"/>
    <m/>
    <x v="0"/>
    <m/>
    <s v=""/>
    <m/>
    <n v="0"/>
    <n v="0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s v=""/>
    <m/>
    <n v="0"/>
    <n v="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-2"/>
    <n v="-13.080000000000002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0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-2"/>
    <n v="-18.899999999999999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-2"/>
    <n v="-35.76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0"/>
    <n v="0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s v=""/>
    <m/>
    <n v="0"/>
    <n v="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0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s v=""/>
    <m/>
    <n v="0"/>
    <n v="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0"/>
    <n v="0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0"/>
    <n v="0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s v=""/>
    <m/>
    <n v="0"/>
    <n v="0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0"/>
    <n v="0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0"/>
    <n v="0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0"/>
    <n v="0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0"/>
    <n v="0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s v=""/>
    <m/>
    <n v="0"/>
    <n v="0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0"/>
    <n v="0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0"/>
    <n v="0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s v=""/>
    <m/>
    <n v="0"/>
    <n v="0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-2"/>
    <n v="-167.76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s v=""/>
    <m/>
    <n v="0"/>
    <n v="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-4"/>
    <n v="-33.119999999999997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0"/>
    <n v="0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0"/>
    <n v="0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0"/>
    <n v="0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0"/>
    <n v="0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0"/>
    <n v="0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0"/>
    <n v="0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-2"/>
    <n v="-17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0"/>
    <n v="0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s v=""/>
    <m/>
    <n v="0"/>
    <n v="0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0"/>
    <n v="0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0"/>
    <n v="0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0"/>
    <n v="0"/>
  </r>
  <r>
    <n v="1274"/>
    <s v="PG2"/>
    <s v="PG TEA 160 TEA BAGS X 8 "/>
    <m/>
    <x v="0"/>
    <m/>
    <s v=""/>
    <m/>
    <n v="0"/>
    <n v="0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-1"/>
    <n v="-75.84"/>
  </r>
  <r>
    <n v="1289"/>
    <s v="PJ16"/>
    <s v="PJ FACE WASH NEEM &amp;TULSI 60GMX96"/>
    <m/>
    <x v="0"/>
    <m/>
    <s v=""/>
    <m/>
    <n v="-1"/>
    <n v="-75.84"/>
  </r>
  <r>
    <n v="1290"/>
    <s v="PJ17"/>
    <s v="PJ FACE WASH ORANGE&amp;ALOVERA 60GMX96"/>
    <m/>
    <x v="0"/>
    <m/>
    <s v=""/>
    <m/>
    <n v="-1"/>
    <n v="-75.84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-1"/>
    <n v="-95.039999999999992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-116"/>
    <n v="-3939.36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0"/>
    <n v="0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0"/>
    <n v="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s v=""/>
    <m/>
    <n v="0"/>
    <n v="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s v=""/>
    <m/>
    <n v="0"/>
    <n v="0"/>
  </r>
  <r>
    <n v="1561"/>
    <s v="SH1"/>
    <s v="SOHNA PALAK PANEER 450GX24"/>
    <m/>
    <x v="0"/>
    <m/>
    <s v=""/>
    <m/>
    <n v="0"/>
    <n v="0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s v=""/>
    <m/>
    <n v="0"/>
    <n v="0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0"/>
    <n v="0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0"/>
    <n v="0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0"/>
    <n v="0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0"/>
    <n v="0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s v=""/>
    <m/>
    <n v="0"/>
    <n v="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0"/>
    <n v="0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-2"/>
    <n v="-12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0"/>
    <n v="0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0"/>
    <n v="0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-2"/>
    <n v="-50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0"/>
    <n v="0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0"/>
    <n v="0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0"/>
    <n v="0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s v=""/>
    <m/>
    <n v="0"/>
    <n v="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s v=""/>
    <m/>
    <n v="0"/>
    <n v="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-2"/>
    <n v="-54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0"/>
    <n v="0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0"/>
    <n v="0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-2"/>
    <n v="-26.7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-2"/>
    <n v="-28.48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0"/>
    <n v="0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-2"/>
    <n v="-41.28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-2"/>
    <n v="-44.48"/>
  </r>
  <r>
    <n v="1956"/>
    <s v="W131"/>
    <s v="WSA MOONG WHOLE 1KGX15"/>
    <m/>
    <x v="0"/>
    <m/>
    <s v=""/>
    <m/>
    <n v="-2"/>
    <n v="-38.08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0"/>
    <n v="0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0"/>
    <n v="0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-2"/>
    <n v="-47.68"/>
  </r>
  <r>
    <n v="2019"/>
    <s v="W189"/>
    <s v="WSA URID WHOLE 1KGX15"/>
    <m/>
    <x v="0"/>
    <m/>
    <s v=""/>
    <m/>
    <n v="-2"/>
    <n v="-37.5"/>
  </r>
  <r>
    <n v="2020"/>
    <s v="W19"/>
    <s v="WSA BLACK EYE BEANS 1KGX15  "/>
    <m/>
    <x v="0"/>
    <m/>
    <s v=""/>
    <m/>
    <n v="-2"/>
    <n v="-44.48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s v=""/>
    <m/>
    <n v="0"/>
    <n v="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-2"/>
    <n v="-32.700000000000003"/>
  </r>
  <r>
    <n v="2048"/>
    <s v="W38"/>
    <s v="WSA CHANA DAL 2 KG X 8   "/>
    <m/>
    <x v="0"/>
    <m/>
    <s v=""/>
    <m/>
    <n v="0"/>
    <n v="0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0"/>
    <n v="0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s v=""/>
    <m/>
    <n v="0"/>
    <n v="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s v=""/>
    <m/>
    <n v="0"/>
    <n v="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0"/>
    <n v="0"/>
  </r>
  <r>
    <n v="2115"/>
    <s v="W88"/>
    <s v="WSA HALDI(CURCUMA) PWD 400GX10"/>
    <m/>
    <x v="0"/>
    <m/>
    <s v=""/>
    <m/>
    <n v="-20"/>
    <n v="-198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0"/>
    <n v="0"/>
  </r>
  <r>
    <n v="2122"/>
    <s v="W94"/>
    <s v="WSA JEERA WHOLE 1KG X 6"/>
    <m/>
    <x v="0"/>
    <m/>
    <s v=""/>
    <m/>
    <n v="-2"/>
    <n v="-68.64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-2"/>
    <n v="-35.799999999999997"/>
  </r>
  <r>
    <n v="2125"/>
    <s v="W97"/>
    <s v="WSA KALA CHANA 1KGX15  "/>
    <m/>
    <x v="0"/>
    <m/>
    <s v=""/>
    <m/>
    <n v="-2"/>
    <n v="-29.7"/>
  </r>
  <r>
    <n v="2126"/>
    <s v="W98"/>
    <s v="WSA KALA CHANA 2KGX8  "/>
    <m/>
    <x v="0"/>
    <m/>
    <s v=""/>
    <m/>
    <n v="0"/>
    <n v="0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55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1" t="s">
        <v>3400</v>
      </c>
      <c r="L14" s="91"/>
      <c r="M14" s="9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89"/>
      <c r="B17" s="89"/>
      <c r="C17" s="89"/>
      <c r="D17" s="94" t="s">
        <v>866</v>
      </c>
      <c r="E17" s="94"/>
      <c r="F17" s="92">
        <v>44245</v>
      </c>
      <c r="G17" s="92"/>
      <c r="H17" s="93" t="str">
        <f>TEXT(F17,"DDD")</f>
        <v>Thu</v>
      </c>
      <c r="I17" s="93"/>
      <c r="J17" s="80"/>
      <c r="K17" s="80"/>
      <c r="L17" s="80"/>
      <c r="M17" s="80"/>
      <c r="N17" s="80"/>
      <c r="O17" s="80"/>
      <c r="P17" s="82" t="s">
        <v>4260</v>
      </c>
      <c r="Q17" s="95">
        <f>Help!B10</f>
        <v>0</v>
      </c>
      <c r="R17" s="95"/>
      <c r="S17" s="80"/>
    </row>
    <row r="18" spans="1:19" x14ac:dyDescent="0.25">
      <c r="A18" s="89"/>
      <c r="B18" s="89"/>
      <c r="C18" s="89"/>
      <c r="D18" s="89"/>
      <c r="E18" s="89"/>
      <c r="F18" s="89"/>
      <c r="G18" s="89"/>
      <c r="H18" s="89"/>
      <c r="I18" s="8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89"/>
      <c r="B19" s="89"/>
      <c r="C19" s="89"/>
      <c r="D19" s="89"/>
      <c r="E19" s="89"/>
      <c r="F19" s="89"/>
      <c r="G19" s="89"/>
      <c r="H19" s="89"/>
      <c r="I19" s="89"/>
      <c r="J19" s="80"/>
      <c r="K19" s="80"/>
      <c r="L19" s="80"/>
      <c r="M19" s="80"/>
      <c r="N19" s="80"/>
      <c r="O19" s="80"/>
      <c r="P19" s="81" t="s">
        <v>864</v>
      </c>
      <c r="Q19" s="90" t="str">
        <f>IFERROR(Help!B14,"")</f>
        <v/>
      </c>
      <c r="R19" s="90"/>
      <c r="S19" s="80"/>
    </row>
    <row r="20" spans="1:19" ht="10.5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tabSelected="1" topLeftCell="F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-186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</row>
    <row r="2" spans="1:11" x14ac:dyDescent="0.25">
      <c r="A2" t="s">
        <v>11</v>
      </c>
      <c r="B2" s="8">
        <f>SUM(ProductMaster!$J$2:INDEX(ProductMaster!$J:$J,COUNTA(ProductMaster!$J:$J),0))</f>
        <v>-5383.1399999999985</v>
      </c>
      <c r="E2" s="11" t="s">
        <v>4255</v>
      </c>
      <c r="F2" s="12">
        <v>-186</v>
      </c>
      <c r="H2" t="s">
        <v>4256</v>
      </c>
      <c r="I2" t="s">
        <v>4257</v>
      </c>
      <c r="J2" t="s">
        <v>4258</v>
      </c>
      <c r="K2" t="s">
        <v>4259</v>
      </c>
    </row>
    <row r="3" spans="1:11" x14ac:dyDescent="0.25">
      <c r="A3" t="s">
        <v>867</v>
      </c>
      <c r="B3" s="9">
        <f ca="1">TODAY()-30</f>
        <v>43807</v>
      </c>
      <c r="E3" s="11" t="s">
        <v>15</v>
      </c>
      <c r="F3" s="12">
        <v>-186</v>
      </c>
      <c r="H3" t="s">
        <v>4313</v>
      </c>
      <c r="I3" t="s">
        <v>4314</v>
      </c>
    </row>
    <row r="4" spans="1:11" x14ac:dyDescent="0.25">
      <c r="A4" t="s">
        <v>868</v>
      </c>
      <c r="B4" s="9">
        <f ca="1">TODAY()</f>
        <v>43837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2042</v>
      </c>
    </row>
    <row r="8" spans="1:11" x14ac:dyDescent="0.25">
      <c r="A8" t="s">
        <v>3</v>
      </c>
      <c r="B8" s="69" t="str">
        <f>VLOOKUP(B7,ProductMaster!$A$2:$J$2134,3,0)</f>
        <v xml:space="preserve">WSA CASHEW KERNELS 100 G X20   </v>
      </c>
    </row>
    <row r="9" spans="1:11" x14ac:dyDescent="0.25">
      <c r="A9" t="s">
        <v>8</v>
      </c>
      <c r="B9">
        <f>ROUNDUP(VLOOKUP(B7,ProductMaster!$A$2:$J$2134,8,0),2)</f>
        <v>0</v>
      </c>
    </row>
    <row r="10" spans="1:11" x14ac:dyDescent="0.25">
      <c r="A10" t="s">
        <v>20</v>
      </c>
      <c r="B10">
        <f>ROUNDUP(VLOOKUP(B7,ProductMaster!$A$2:$J$2134,9,0),2)</f>
        <v>0</v>
      </c>
    </row>
    <row r="11" spans="1:11" x14ac:dyDescent="0.25">
      <c r="A11" t="s">
        <v>11</v>
      </c>
      <c r="B11" s="8">
        <f>VLOOKUP(B7,ProductMaster!$A$2:$J$2134,6,0)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WSA CASHEW KERNELS 100 G X20   's</v>
      </c>
    </row>
    <row r="14" spans="1:11" x14ac:dyDescent="0.25">
      <c r="A14" t="s">
        <v>863</v>
      </c>
      <c r="B14" s="30" t="str">
        <f>VLOOKUP(B7,ProductMaster!$A$2:$J$2134,7,0)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6"/>
      <c r="B4" s="9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>
        <v>1</v>
      </c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55"/>
  <sheetViews>
    <sheetView showGridLines="0" workbookViewId="0">
      <pane xSplit="10" ySplit="2" topLeftCell="K9" activePane="bottomRight" state="frozen"/>
      <selection pane="topRight" activeCell="I1" sqref="I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43533</v>
      </c>
      <c r="C2" s="77" t="s">
        <v>4315</v>
      </c>
      <c r="D2" s="77" t="s">
        <v>4316</v>
      </c>
      <c r="E2" s="25" t="s">
        <v>33</v>
      </c>
      <c r="F2" s="26" t="s">
        <v>34</v>
      </c>
      <c r="G2" s="25"/>
      <c r="H2" s="25"/>
      <c r="I2" s="27">
        <v>1</v>
      </c>
      <c r="J2" s="29">
        <v>6.5400000000000009</v>
      </c>
    </row>
    <row r="3" spans="1:10" x14ac:dyDescent="0.25">
      <c r="A3" s="97">
        <v>2</v>
      </c>
      <c r="B3" s="98">
        <v>43533</v>
      </c>
      <c r="C3" s="99" t="s">
        <v>4315</v>
      </c>
      <c r="D3" s="99" t="s">
        <v>4316</v>
      </c>
      <c r="E3" s="100" t="s">
        <v>870</v>
      </c>
      <c r="F3" s="101" t="s">
        <v>871</v>
      </c>
      <c r="G3" s="100"/>
      <c r="H3" s="100"/>
      <c r="I3" s="97">
        <v>1</v>
      </c>
      <c r="J3" s="102">
        <v>8.2799999999999994</v>
      </c>
    </row>
    <row r="4" spans="1:10" x14ac:dyDescent="0.25">
      <c r="A4" s="97">
        <v>3</v>
      </c>
      <c r="B4" s="98">
        <v>43533</v>
      </c>
      <c r="C4" s="99" t="s">
        <v>4315</v>
      </c>
      <c r="D4" s="99" t="s">
        <v>4316</v>
      </c>
      <c r="E4" s="100" t="s">
        <v>872</v>
      </c>
      <c r="F4" s="101" t="s">
        <v>4317</v>
      </c>
      <c r="G4" s="100"/>
      <c r="H4" s="100"/>
      <c r="I4" s="97">
        <v>1</v>
      </c>
      <c r="J4" s="102">
        <v>22.24</v>
      </c>
    </row>
    <row r="5" spans="1:10" x14ac:dyDescent="0.25">
      <c r="A5" s="97">
        <v>4</v>
      </c>
      <c r="B5" s="98">
        <v>43533</v>
      </c>
      <c r="C5" s="99" t="s">
        <v>4315</v>
      </c>
      <c r="D5" s="99" t="s">
        <v>4316</v>
      </c>
      <c r="E5" s="100" t="s">
        <v>873</v>
      </c>
      <c r="F5" s="101" t="s">
        <v>874</v>
      </c>
      <c r="G5" s="100"/>
      <c r="H5" s="100"/>
      <c r="I5" s="97">
        <v>1</v>
      </c>
      <c r="J5" s="102">
        <v>16.350000000000001</v>
      </c>
    </row>
    <row r="6" spans="1:10" x14ac:dyDescent="0.25">
      <c r="A6" s="97">
        <v>5</v>
      </c>
      <c r="B6" s="98">
        <v>43533</v>
      </c>
      <c r="C6" s="99" t="s">
        <v>4315</v>
      </c>
      <c r="D6" s="99" t="s">
        <v>4316</v>
      </c>
      <c r="E6" s="100" t="s">
        <v>875</v>
      </c>
      <c r="F6" s="101" t="s">
        <v>876</v>
      </c>
      <c r="G6" s="100"/>
      <c r="H6" s="100"/>
      <c r="I6" s="97">
        <v>1</v>
      </c>
      <c r="J6" s="102">
        <v>14.85</v>
      </c>
    </row>
    <row r="7" spans="1:10" x14ac:dyDescent="0.25">
      <c r="A7" s="97">
        <v>6</v>
      </c>
      <c r="B7" s="98">
        <v>43533</v>
      </c>
      <c r="C7" s="99" t="s">
        <v>4315</v>
      </c>
      <c r="D7" s="99" t="s">
        <v>4316</v>
      </c>
      <c r="E7" s="100" t="s">
        <v>877</v>
      </c>
      <c r="F7" s="101" t="s">
        <v>878</v>
      </c>
      <c r="G7" s="100"/>
      <c r="H7" s="100"/>
      <c r="I7" s="97">
        <v>1</v>
      </c>
      <c r="J7" s="102">
        <v>13.35</v>
      </c>
    </row>
    <row r="8" spans="1:10" x14ac:dyDescent="0.25">
      <c r="A8" s="97">
        <v>7</v>
      </c>
      <c r="B8" s="98">
        <v>43533</v>
      </c>
      <c r="C8" s="99" t="s">
        <v>4315</v>
      </c>
      <c r="D8" s="99" t="s">
        <v>4316</v>
      </c>
      <c r="E8" s="100" t="s">
        <v>879</v>
      </c>
      <c r="F8" s="101" t="s">
        <v>4318</v>
      </c>
      <c r="G8" s="100"/>
      <c r="H8" s="100"/>
      <c r="I8" s="97">
        <v>1</v>
      </c>
      <c r="J8" s="102">
        <v>14.24</v>
      </c>
    </row>
    <row r="9" spans="1:10" x14ac:dyDescent="0.25">
      <c r="A9" s="97">
        <v>8</v>
      </c>
      <c r="B9" s="98">
        <v>43533</v>
      </c>
      <c r="C9" s="99" t="s">
        <v>4315</v>
      </c>
      <c r="D9" s="99" t="s">
        <v>4316</v>
      </c>
      <c r="E9" s="100" t="s">
        <v>880</v>
      </c>
      <c r="F9" s="101" t="s">
        <v>4319</v>
      </c>
      <c r="G9" s="100"/>
      <c r="H9" s="100"/>
      <c r="I9" s="97">
        <v>1</v>
      </c>
      <c r="J9" s="102">
        <v>22.24</v>
      </c>
    </row>
    <row r="10" spans="1:10" x14ac:dyDescent="0.25">
      <c r="A10" s="97">
        <v>9</v>
      </c>
      <c r="B10" s="98">
        <v>43533</v>
      </c>
      <c r="C10" s="99" t="s">
        <v>4315</v>
      </c>
      <c r="D10" s="99" t="s">
        <v>4316</v>
      </c>
      <c r="E10" s="100" t="s">
        <v>881</v>
      </c>
      <c r="F10" s="101" t="s">
        <v>882</v>
      </c>
      <c r="G10" s="100"/>
      <c r="H10" s="100"/>
      <c r="I10" s="97">
        <v>1</v>
      </c>
      <c r="J10" s="102">
        <v>20.64</v>
      </c>
    </row>
    <row r="11" spans="1:10" x14ac:dyDescent="0.25">
      <c r="A11" s="97">
        <v>10</v>
      </c>
      <c r="B11" s="98">
        <v>43533</v>
      </c>
      <c r="C11" s="99" t="s">
        <v>4315</v>
      </c>
      <c r="D11" s="99" t="s">
        <v>4316</v>
      </c>
      <c r="E11" s="100" t="s">
        <v>883</v>
      </c>
      <c r="F11" s="101" t="s">
        <v>4320</v>
      </c>
      <c r="G11" s="100"/>
      <c r="H11" s="100"/>
      <c r="I11" s="97">
        <v>1</v>
      </c>
      <c r="J11" s="102">
        <v>19.04</v>
      </c>
    </row>
    <row r="12" spans="1:10" x14ac:dyDescent="0.25">
      <c r="A12" s="97">
        <v>11</v>
      </c>
      <c r="B12" s="98">
        <v>43533</v>
      </c>
      <c r="C12" s="99" t="s">
        <v>4315</v>
      </c>
      <c r="D12" s="99" t="s">
        <v>4316</v>
      </c>
      <c r="E12" s="100" t="s">
        <v>884</v>
      </c>
      <c r="F12" s="101" t="s">
        <v>4321</v>
      </c>
      <c r="G12" s="100"/>
      <c r="H12" s="100"/>
      <c r="I12" s="97">
        <v>1</v>
      </c>
      <c r="J12" s="102">
        <v>23.84</v>
      </c>
    </row>
    <row r="13" spans="1:10" x14ac:dyDescent="0.25">
      <c r="A13" s="97">
        <v>12</v>
      </c>
      <c r="B13" s="98">
        <v>43533</v>
      </c>
      <c r="C13" s="99" t="s">
        <v>4315</v>
      </c>
      <c r="D13" s="99" t="s">
        <v>4316</v>
      </c>
      <c r="E13" s="100" t="s">
        <v>885</v>
      </c>
      <c r="F13" s="101" t="s">
        <v>886</v>
      </c>
      <c r="G13" s="100"/>
      <c r="H13" s="100"/>
      <c r="I13" s="97">
        <v>1</v>
      </c>
      <c r="J13" s="102">
        <v>18.75</v>
      </c>
    </row>
    <row r="14" spans="1:10" x14ac:dyDescent="0.25">
      <c r="A14" s="97">
        <v>13</v>
      </c>
      <c r="B14" s="98">
        <v>43533</v>
      </c>
      <c r="C14" s="99" t="s">
        <v>4315</v>
      </c>
      <c r="D14" s="99" t="s">
        <v>4322</v>
      </c>
      <c r="E14" s="100" t="s">
        <v>43</v>
      </c>
      <c r="F14" s="101" t="s">
        <v>44</v>
      </c>
      <c r="G14" s="100"/>
      <c r="H14" s="100"/>
      <c r="I14" s="97">
        <v>1</v>
      </c>
      <c r="J14" s="102">
        <v>9.4499999999999993</v>
      </c>
    </row>
    <row r="15" spans="1:10" x14ac:dyDescent="0.25">
      <c r="A15" s="97">
        <v>14</v>
      </c>
      <c r="B15" s="98">
        <v>43533</v>
      </c>
      <c r="C15" s="99" t="s">
        <v>4315</v>
      </c>
      <c r="D15" s="99" t="s">
        <v>4322</v>
      </c>
      <c r="E15" s="100" t="s">
        <v>95</v>
      </c>
      <c r="F15" s="101" t="s">
        <v>96</v>
      </c>
      <c r="G15" s="100"/>
      <c r="H15" s="100"/>
      <c r="I15" s="97">
        <v>1</v>
      </c>
      <c r="J15" s="102">
        <v>17.88</v>
      </c>
    </row>
    <row r="16" spans="1:10" x14ac:dyDescent="0.25">
      <c r="A16" s="97">
        <v>15</v>
      </c>
      <c r="B16" s="98">
        <v>43533</v>
      </c>
      <c r="C16" s="99" t="s">
        <v>4315</v>
      </c>
      <c r="D16" s="99" t="s">
        <v>4322</v>
      </c>
      <c r="E16" s="100" t="s">
        <v>609</v>
      </c>
      <c r="F16" s="101" t="s">
        <v>610</v>
      </c>
      <c r="G16" s="100"/>
      <c r="H16" s="100"/>
      <c r="I16" s="97">
        <v>1</v>
      </c>
      <c r="J16" s="102">
        <v>83.88</v>
      </c>
    </row>
    <row r="17" spans="1:10" x14ac:dyDescent="0.25">
      <c r="A17" s="97">
        <v>16</v>
      </c>
      <c r="B17" s="98">
        <v>43533</v>
      </c>
      <c r="C17" s="99" t="s">
        <v>4315</v>
      </c>
      <c r="D17" s="99" t="s">
        <v>4322</v>
      </c>
      <c r="E17" s="100" t="s">
        <v>870</v>
      </c>
      <c r="F17" s="101" t="s">
        <v>871</v>
      </c>
      <c r="G17" s="100"/>
      <c r="H17" s="100"/>
      <c r="I17" s="97">
        <v>1</v>
      </c>
      <c r="J17" s="102">
        <v>8.2799999999999994</v>
      </c>
    </row>
    <row r="18" spans="1:10" x14ac:dyDescent="0.25">
      <c r="A18" s="97">
        <v>17</v>
      </c>
      <c r="B18" s="98">
        <v>43533</v>
      </c>
      <c r="C18" s="99" t="s">
        <v>4315</v>
      </c>
      <c r="D18" s="99" t="s">
        <v>4322</v>
      </c>
      <c r="E18" s="100" t="s">
        <v>887</v>
      </c>
      <c r="F18" s="101" t="s">
        <v>888</v>
      </c>
      <c r="G18" s="100"/>
      <c r="H18" s="100"/>
      <c r="I18" s="97">
        <v>1</v>
      </c>
      <c r="J18" s="102">
        <v>23.04</v>
      </c>
    </row>
    <row r="19" spans="1:10" x14ac:dyDescent="0.25">
      <c r="A19" s="97">
        <v>18</v>
      </c>
      <c r="B19" s="98">
        <v>43533</v>
      </c>
      <c r="C19" s="99" t="s">
        <v>4315</v>
      </c>
      <c r="D19" s="99" t="s">
        <v>4322</v>
      </c>
      <c r="E19" s="100" t="s">
        <v>889</v>
      </c>
      <c r="F19" s="101" t="s">
        <v>890</v>
      </c>
      <c r="G19" s="100"/>
      <c r="H19" s="100"/>
      <c r="I19" s="97">
        <v>1</v>
      </c>
      <c r="J19" s="102">
        <v>8.5</v>
      </c>
    </row>
    <row r="20" spans="1:10" x14ac:dyDescent="0.25">
      <c r="A20" s="97">
        <v>19</v>
      </c>
      <c r="B20" s="98">
        <v>43533</v>
      </c>
      <c r="C20" s="99" t="s">
        <v>4315</v>
      </c>
      <c r="D20" s="99" t="s">
        <v>4322</v>
      </c>
      <c r="E20" s="100" t="s">
        <v>891</v>
      </c>
      <c r="F20" s="101" t="s">
        <v>892</v>
      </c>
      <c r="G20" s="100"/>
      <c r="H20" s="100"/>
      <c r="I20" s="97">
        <v>2</v>
      </c>
      <c r="J20" s="102">
        <v>67.92</v>
      </c>
    </row>
    <row r="21" spans="1:10" x14ac:dyDescent="0.25">
      <c r="A21" s="97">
        <v>20</v>
      </c>
      <c r="B21" s="98">
        <v>43533</v>
      </c>
      <c r="C21" s="99" t="s">
        <v>4315</v>
      </c>
      <c r="D21" s="99" t="s">
        <v>4322</v>
      </c>
      <c r="E21" s="100" t="s">
        <v>893</v>
      </c>
      <c r="F21" s="101" t="s">
        <v>894</v>
      </c>
      <c r="G21" s="100"/>
      <c r="H21" s="100"/>
      <c r="I21" s="97">
        <v>1</v>
      </c>
      <c r="J21" s="102">
        <v>25</v>
      </c>
    </row>
    <row r="22" spans="1:10" x14ac:dyDescent="0.25">
      <c r="A22" s="97">
        <v>21</v>
      </c>
      <c r="B22" s="98">
        <v>43533</v>
      </c>
      <c r="C22" s="99" t="s">
        <v>4315</v>
      </c>
      <c r="D22" s="99" t="s">
        <v>4322</v>
      </c>
      <c r="E22" s="100" t="s">
        <v>895</v>
      </c>
      <c r="F22" s="101" t="s">
        <v>896</v>
      </c>
      <c r="G22" s="100"/>
      <c r="H22" s="100"/>
      <c r="I22" s="97">
        <v>1</v>
      </c>
      <c r="J22" s="102">
        <v>27</v>
      </c>
    </row>
    <row r="23" spans="1:10" x14ac:dyDescent="0.25">
      <c r="A23" s="97">
        <v>22</v>
      </c>
      <c r="B23" s="98">
        <v>43533</v>
      </c>
      <c r="C23" s="99" t="s">
        <v>4315</v>
      </c>
      <c r="D23" s="99" t="s">
        <v>4322</v>
      </c>
      <c r="E23" s="100" t="s">
        <v>897</v>
      </c>
      <c r="F23" s="101" t="s">
        <v>898</v>
      </c>
      <c r="G23" s="100"/>
      <c r="H23" s="100"/>
      <c r="I23" s="97">
        <v>1</v>
      </c>
      <c r="J23" s="102">
        <v>6</v>
      </c>
    </row>
    <row r="24" spans="1:10" x14ac:dyDescent="0.25">
      <c r="A24" s="97">
        <v>23</v>
      </c>
      <c r="B24" s="98">
        <v>43533</v>
      </c>
      <c r="C24" s="99" t="s">
        <v>4315</v>
      </c>
      <c r="D24" s="99" t="s">
        <v>4322</v>
      </c>
      <c r="E24" s="100" t="s">
        <v>899</v>
      </c>
      <c r="F24" s="101" t="s">
        <v>4323</v>
      </c>
      <c r="G24" s="100"/>
      <c r="H24" s="100"/>
      <c r="I24" s="97">
        <v>1</v>
      </c>
      <c r="J24" s="102">
        <v>34.32</v>
      </c>
    </row>
    <row r="25" spans="1:10" x14ac:dyDescent="0.25">
      <c r="A25" s="97">
        <v>24</v>
      </c>
      <c r="B25" s="98">
        <v>43533</v>
      </c>
      <c r="C25" s="99" t="s">
        <v>4315</v>
      </c>
      <c r="D25" s="99" t="s">
        <v>4322</v>
      </c>
      <c r="E25" s="100" t="s">
        <v>900</v>
      </c>
      <c r="F25" s="101" t="s">
        <v>901</v>
      </c>
      <c r="G25" s="100"/>
      <c r="H25" s="100"/>
      <c r="I25" s="97">
        <v>1</v>
      </c>
      <c r="J25" s="102">
        <v>17.899999999999999</v>
      </c>
    </row>
    <row r="26" spans="1:10" x14ac:dyDescent="0.25">
      <c r="A26" s="97">
        <v>25</v>
      </c>
      <c r="B26" s="98">
        <v>43891</v>
      </c>
      <c r="C26" s="99" t="s">
        <v>4315</v>
      </c>
      <c r="D26" s="99" t="s">
        <v>4324</v>
      </c>
      <c r="E26" s="100" t="s">
        <v>891</v>
      </c>
      <c r="F26" s="101" t="s">
        <v>892</v>
      </c>
      <c r="G26" s="100"/>
      <c r="H26" s="100"/>
      <c r="I26" s="97">
        <v>112</v>
      </c>
      <c r="J26" s="102">
        <v>3803.52</v>
      </c>
    </row>
    <row r="27" spans="1:10" x14ac:dyDescent="0.25">
      <c r="A27" s="97">
        <v>26</v>
      </c>
      <c r="B27" s="98">
        <v>43891</v>
      </c>
      <c r="C27" s="99" t="s">
        <v>4315</v>
      </c>
      <c r="D27" s="99" t="s">
        <v>4324</v>
      </c>
      <c r="E27" s="100" t="s">
        <v>2130</v>
      </c>
      <c r="F27" s="101" t="s">
        <v>4325</v>
      </c>
      <c r="G27" s="100"/>
      <c r="H27" s="100"/>
      <c r="I27" s="97">
        <v>1</v>
      </c>
      <c r="J27" s="102">
        <v>95.039999999999992</v>
      </c>
    </row>
    <row r="28" spans="1:10" x14ac:dyDescent="0.25">
      <c r="A28" s="97">
        <v>27</v>
      </c>
      <c r="B28" s="98">
        <v>43891</v>
      </c>
      <c r="C28" s="99" t="s">
        <v>4315</v>
      </c>
      <c r="D28" s="99" t="s">
        <v>4324</v>
      </c>
      <c r="E28" s="100" t="s">
        <v>2146</v>
      </c>
      <c r="F28" s="101" t="s">
        <v>2147</v>
      </c>
      <c r="G28" s="100"/>
      <c r="H28" s="100"/>
      <c r="I28" s="97">
        <v>1</v>
      </c>
      <c r="J28" s="102">
        <v>75.84</v>
      </c>
    </row>
    <row r="29" spans="1:10" x14ac:dyDescent="0.25">
      <c r="A29" s="97">
        <v>28</v>
      </c>
      <c r="B29" s="98">
        <v>43891</v>
      </c>
      <c r="C29" s="99" t="s">
        <v>4315</v>
      </c>
      <c r="D29" s="99" t="s">
        <v>4324</v>
      </c>
      <c r="E29" s="100" t="s">
        <v>2148</v>
      </c>
      <c r="F29" s="101" t="s">
        <v>2149</v>
      </c>
      <c r="G29" s="100"/>
      <c r="H29" s="100"/>
      <c r="I29" s="97">
        <v>1</v>
      </c>
      <c r="J29" s="102">
        <v>75.84</v>
      </c>
    </row>
    <row r="30" spans="1:10" x14ac:dyDescent="0.25">
      <c r="A30" s="97">
        <v>29</v>
      </c>
      <c r="B30" s="98">
        <v>43891</v>
      </c>
      <c r="C30" s="99" t="s">
        <v>4315</v>
      </c>
      <c r="D30" s="99" t="s">
        <v>4324</v>
      </c>
      <c r="E30" s="100" t="s">
        <v>2150</v>
      </c>
      <c r="F30" s="101" t="s">
        <v>2151</v>
      </c>
      <c r="G30" s="100"/>
      <c r="H30" s="100"/>
      <c r="I30" s="97">
        <v>1</v>
      </c>
      <c r="J30" s="102">
        <v>75.84</v>
      </c>
    </row>
    <row r="31" spans="1:10" x14ac:dyDescent="0.25">
      <c r="A31" s="97">
        <v>30</v>
      </c>
      <c r="B31" s="98">
        <v>43891</v>
      </c>
      <c r="C31" s="99" t="s">
        <v>4315</v>
      </c>
      <c r="D31" s="99" t="s">
        <v>4324</v>
      </c>
      <c r="E31" s="100" t="s">
        <v>3515</v>
      </c>
      <c r="F31" s="101" t="s">
        <v>3516</v>
      </c>
      <c r="G31" s="100"/>
      <c r="H31" s="100"/>
      <c r="I31" s="97">
        <v>20</v>
      </c>
      <c r="J31" s="102">
        <v>198</v>
      </c>
    </row>
    <row r="32" spans="1:10" x14ac:dyDescent="0.25">
      <c r="A32" s="97">
        <v>32</v>
      </c>
      <c r="B32" s="98">
        <v>43533</v>
      </c>
      <c r="C32" s="99" t="s">
        <v>4315</v>
      </c>
      <c r="D32" s="99" t="s">
        <v>4316</v>
      </c>
      <c r="E32" s="100" t="s">
        <v>33</v>
      </c>
      <c r="F32" s="101" t="s">
        <v>34</v>
      </c>
      <c r="G32" s="100"/>
      <c r="H32" s="100"/>
      <c r="I32" s="97">
        <v>1</v>
      </c>
      <c r="J32" s="102">
        <v>6.5400000000000009</v>
      </c>
    </row>
    <row r="33" spans="1:10" x14ac:dyDescent="0.25">
      <c r="A33" s="97">
        <v>33</v>
      </c>
      <c r="B33" s="98">
        <v>43533</v>
      </c>
      <c r="C33" s="99" t="s">
        <v>4315</v>
      </c>
      <c r="D33" s="99" t="s">
        <v>4316</v>
      </c>
      <c r="E33" s="100" t="s">
        <v>870</v>
      </c>
      <c r="F33" s="101" t="s">
        <v>871</v>
      </c>
      <c r="G33" s="100"/>
      <c r="H33" s="100"/>
      <c r="I33" s="97">
        <v>1</v>
      </c>
      <c r="J33" s="102">
        <v>8.2799999999999994</v>
      </c>
    </row>
    <row r="34" spans="1:10" x14ac:dyDescent="0.25">
      <c r="A34" s="97">
        <v>34</v>
      </c>
      <c r="B34" s="98">
        <v>43533</v>
      </c>
      <c r="C34" s="99" t="s">
        <v>4315</v>
      </c>
      <c r="D34" s="99" t="s">
        <v>4316</v>
      </c>
      <c r="E34" s="100" t="s">
        <v>872</v>
      </c>
      <c r="F34" s="101" t="s">
        <v>4317</v>
      </c>
      <c r="G34" s="100"/>
      <c r="H34" s="100"/>
      <c r="I34" s="97">
        <v>1</v>
      </c>
      <c r="J34" s="102">
        <v>22.24</v>
      </c>
    </row>
    <row r="35" spans="1:10" x14ac:dyDescent="0.25">
      <c r="A35" s="97">
        <v>35</v>
      </c>
      <c r="B35" s="98">
        <v>43533</v>
      </c>
      <c r="C35" s="99" t="s">
        <v>4315</v>
      </c>
      <c r="D35" s="99" t="s">
        <v>4316</v>
      </c>
      <c r="E35" s="100" t="s">
        <v>873</v>
      </c>
      <c r="F35" s="101" t="s">
        <v>874</v>
      </c>
      <c r="G35" s="100"/>
      <c r="H35" s="100"/>
      <c r="I35" s="97">
        <v>1</v>
      </c>
      <c r="J35" s="102">
        <v>16.350000000000001</v>
      </c>
    </row>
    <row r="36" spans="1:10" x14ac:dyDescent="0.25">
      <c r="A36" s="97">
        <v>36</v>
      </c>
      <c r="B36" s="98">
        <v>43533</v>
      </c>
      <c r="C36" s="99" t="s">
        <v>4315</v>
      </c>
      <c r="D36" s="99" t="s">
        <v>4316</v>
      </c>
      <c r="E36" s="100" t="s">
        <v>875</v>
      </c>
      <c r="F36" s="101" t="s">
        <v>876</v>
      </c>
      <c r="G36" s="100"/>
      <c r="H36" s="100"/>
      <c r="I36" s="97">
        <v>1</v>
      </c>
      <c r="J36" s="102">
        <v>14.85</v>
      </c>
    </row>
    <row r="37" spans="1:10" x14ac:dyDescent="0.25">
      <c r="A37" s="97">
        <v>37</v>
      </c>
      <c r="B37" s="98">
        <v>43533</v>
      </c>
      <c r="C37" s="99" t="s">
        <v>4315</v>
      </c>
      <c r="D37" s="99" t="s">
        <v>4316</v>
      </c>
      <c r="E37" s="100" t="s">
        <v>877</v>
      </c>
      <c r="F37" s="101" t="s">
        <v>878</v>
      </c>
      <c r="G37" s="100"/>
      <c r="H37" s="100"/>
      <c r="I37" s="97">
        <v>1</v>
      </c>
      <c r="J37" s="102">
        <v>13.35</v>
      </c>
    </row>
    <row r="38" spans="1:10" x14ac:dyDescent="0.25">
      <c r="A38" s="97">
        <v>38</v>
      </c>
      <c r="B38" s="98">
        <v>43533</v>
      </c>
      <c r="C38" s="99" t="s">
        <v>4315</v>
      </c>
      <c r="D38" s="99" t="s">
        <v>4316</v>
      </c>
      <c r="E38" s="100" t="s">
        <v>879</v>
      </c>
      <c r="F38" s="101" t="s">
        <v>4318</v>
      </c>
      <c r="G38" s="100"/>
      <c r="H38" s="100"/>
      <c r="I38" s="97">
        <v>1</v>
      </c>
      <c r="J38" s="102">
        <v>14.24</v>
      </c>
    </row>
    <row r="39" spans="1:10" x14ac:dyDescent="0.25">
      <c r="A39" s="97">
        <v>39</v>
      </c>
      <c r="B39" s="98">
        <v>43533</v>
      </c>
      <c r="C39" s="99" t="s">
        <v>4315</v>
      </c>
      <c r="D39" s="99" t="s">
        <v>4316</v>
      </c>
      <c r="E39" s="100" t="s">
        <v>880</v>
      </c>
      <c r="F39" s="101" t="s">
        <v>4319</v>
      </c>
      <c r="G39" s="100"/>
      <c r="H39" s="100"/>
      <c r="I39" s="97">
        <v>1</v>
      </c>
      <c r="J39" s="102">
        <v>22.24</v>
      </c>
    </row>
    <row r="40" spans="1:10" x14ac:dyDescent="0.25">
      <c r="A40" s="97">
        <v>40</v>
      </c>
      <c r="B40" s="98">
        <v>43533</v>
      </c>
      <c r="C40" s="99" t="s">
        <v>4315</v>
      </c>
      <c r="D40" s="99" t="s">
        <v>4316</v>
      </c>
      <c r="E40" s="100" t="s">
        <v>881</v>
      </c>
      <c r="F40" s="101" t="s">
        <v>882</v>
      </c>
      <c r="G40" s="100"/>
      <c r="H40" s="100"/>
      <c r="I40" s="97">
        <v>1</v>
      </c>
      <c r="J40" s="102">
        <v>20.64</v>
      </c>
    </row>
    <row r="41" spans="1:10" x14ac:dyDescent="0.25">
      <c r="A41" s="97">
        <v>41</v>
      </c>
      <c r="B41" s="98">
        <v>43533</v>
      </c>
      <c r="C41" s="99" t="s">
        <v>4315</v>
      </c>
      <c r="D41" s="99" t="s">
        <v>4316</v>
      </c>
      <c r="E41" s="100" t="s">
        <v>883</v>
      </c>
      <c r="F41" s="101" t="s">
        <v>4320</v>
      </c>
      <c r="G41" s="100"/>
      <c r="H41" s="100"/>
      <c r="I41" s="97">
        <v>1</v>
      </c>
      <c r="J41" s="102">
        <v>19.04</v>
      </c>
    </row>
    <row r="42" spans="1:10" x14ac:dyDescent="0.25">
      <c r="A42" s="97">
        <v>42</v>
      </c>
      <c r="B42" s="98">
        <v>43533</v>
      </c>
      <c r="C42" s="99" t="s">
        <v>4315</v>
      </c>
      <c r="D42" s="99" t="s">
        <v>4316</v>
      </c>
      <c r="E42" s="100" t="s">
        <v>884</v>
      </c>
      <c r="F42" s="101" t="s">
        <v>4321</v>
      </c>
      <c r="G42" s="100"/>
      <c r="H42" s="100"/>
      <c r="I42" s="97">
        <v>1</v>
      </c>
      <c r="J42" s="102">
        <v>23.84</v>
      </c>
    </row>
    <row r="43" spans="1:10" x14ac:dyDescent="0.25">
      <c r="A43" s="97">
        <v>43</v>
      </c>
      <c r="B43" s="98">
        <v>43533</v>
      </c>
      <c r="C43" s="99" t="s">
        <v>4315</v>
      </c>
      <c r="D43" s="99" t="s">
        <v>4316</v>
      </c>
      <c r="E43" s="100" t="s">
        <v>885</v>
      </c>
      <c r="F43" s="101" t="s">
        <v>886</v>
      </c>
      <c r="G43" s="100"/>
      <c r="H43" s="100"/>
      <c r="I43" s="97">
        <v>1</v>
      </c>
      <c r="J43" s="102">
        <v>18.75</v>
      </c>
    </row>
    <row r="44" spans="1:10" x14ac:dyDescent="0.25">
      <c r="A44" s="97">
        <v>44</v>
      </c>
      <c r="B44" s="98">
        <v>43533</v>
      </c>
      <c r="C44" s="99" t="s">
        <v>4315</v>
      </c>
      <c r="D44" s="99" t="s">
        <v>4322</v>
      </c>
      <c r="E44" s="100" t="s">
        <v>43</v>
      </c>
      <c r="F44" s="101" t="s">
        <v>44</v>
      </c>
      <c r="G44" s="100"/>
      <c r="H44" s="100"/>
      <c r="I44" s="97">
        <v>1</v>
      </c>
      <c r="J44" s="102">
        <v>9.4499999999999993</v>
      </c>
    </row>
    <row r="45" spans="1:10" x14ac:dyDescent="0.25">
      <c r="A45" s="97">
        <v>45</v>
      </c>
      <c r="B45" s="98">
        <v>43533</v>
      </c>
      <c r="C45" s="99" t="s">
        <v>4315</v>
      </c>
      <c r="D45" s="99" t="s">
        <v>4322</v>
      </c>
      <c r="E45" s="100" t="s">
        <v>95</v>
      </c>
      <c r="F45" s="101" t="s">
        <v>96</v>
      </c>
      <c r="G45" s="100"/>
      <c r="H45" s="100"/>
      <c r="I45" s="97">
        <v>1</v>
      </c>
      <c r="J45" s="102">
        <v>17.88</v>
      </c>
    </row>
    <row r="46" spans="1:10" x14ac:dyDescent="0.25">
      <c r="A46" s="97">
        <v>46</v>
      </c>
      <c r="B46" s="98">
        <v>43533</v>
      </c>
      <c r="C46" s="99" t="s">
        <v>4315</v>
      </c>
      <c r="D46" s="99" t="s">
        <v>4322</v>
      </c>
      <c r="E46" s="100" t="s">
        <v>609</v>
      </c>
      <c r="F46" s="101" t="s">
        <v>610</v>
      </c>
      <c r="G46" s="100"/>
      <c r="H46" s="100"/>
      <c r="I46" s="97">
        <v>1</v>
      </c>
      <c r="J46" s="102">
        <v>83.88</v>
      </c>
    </row>
    <row r="47" spans="1:10" x14ac:dyDescent="0.25">
      <c r="A47" s="97">
        <v>47</v>
      </c>
      <c r="B47" s="98">
        <v>43533</v>
      </c>
      <c r="C47" s="99" t="s">
        <v>4315</v>
      </c>
      <c r="D47" s="99" t="s">
        <v>4322</v>
      </c>
      <c r="E47" s="100" t="s">
        <v>870</v>
      </c>
      <c r="F47" s="101" t="s">
        <v>871</v>
      </c>
      <c r="G47" s="100"/>
      <c r="H47" s="100"/>
      <c r="I47" s="97">
        <v>1</v>
      </c>
      <c r="J47" s="102">
        <v>8.2799999999999994</v>
      </c>
    </row>
    <row r="48" spans="1:10" x14ac:dyDescent="0.25">
      <c r="A48" s="97">
        <v>48</v>
      </c>
      <c r="B48" s="98">
        <v>43533</v>
      </c>
      <c r="C48" s="99" t="s">
        <v>4315</v>
      </c>
      <c r="D48" s="99" t="s">
        <v>4322</v>
      </c>
      <c r="E48" s="100" t="s">
        <v>887</v>
      </c>
      <c r="F48" s="101" t="s">
        <v>888</v>
      </c>
      <c r="G48" s="100"/>
      <c r="H48" s="100"/>
      <c r="I48" s="97">
        <v>1</v>
      </c>
      <c r="J48" s="102">
        <v>23.04</v>
      </c>
    </row>
    <row r="49" spans="1:10" x14ac:dyDescent="0.25">
      <c r="A49" s="97">
        <v>49</v>
      </c>
      <c r="B49" s="98">
        <v>43533</v>
      </c>
      <c r="C49" s="99" t="s">
        <v>4315</v>
      </c>
      <c r="D49" s="99" t="s">
        <v>4322</v>
      </c>
      <c r="E49" s="100" t="s">
        <v>889</v>
      </c>
      <c r="F49" s="101" t="s">
        <v>890</v>
      </c>
      <c r="G49" s="100"/>
      <c r="H49" s="100"/>
      <c r="I49" s="97">
        <v>1</v>
      </c>
      <c r="J49" s="102">
        <v>8.5</v>
      </c>
    </row>
    <row r="50" spans="1:10" x14ac:dyDescent="0.25">
      <c r="A50" s="97">
        <v>50</v>
      </c>
      <c r="B50" s="98">
        <v>43533</v>
      </c>
      <c r="C50" s="99" t="s">
        <v>4315</v>
      </c>
      <c r="D50" s="99" t="s">
        <v>4322</v>
      </c>
      <c r="E50" s="100" t="s">
        <v>891</v>
      </c>
      <c r="F50" s="101" t="s">
        <v>892</v>
      </c>
      <c r="G50" s="100"/>
      <c r="H50" s="100"/>
      <c r="I50" s="97">
        <v>2</v>
      </c>
      <c r="J50" s="102">
        <v>67.92</v>
      </c>
    </row>
    <row r="51" spans="1:10" x14ac:dyDescent="0.25">
      <c r="A51" s="97">
        <v>51</v>
      </c>
      <c r="B51" s="98">
        <v>43533</v>
      </c>
      <c r="C51" s="99" t="s">
        <v>4315</v>
      </c>
      <c r="D51" s="99" t="s">
        <v>4322</v>
      </c>
      <c r="E51" s="100" t="s">
        <v>893</v>
      </c>
      <c r="F51" s="101" t="s">
        <v>894</v>
      </c>
      <c r="G51" s="100"/>
      <c r="H51" s="100"/>
      <c r="I51" s="97">
        <v>1</v>
      </c>
      <c r="J51" s="102">
        <v>25</v>
      </c>
    </row>
    <row r="52" spans="1:10" x14ac:dyDescent="0.25">
      <c r="A52" s="97">
        <v>52</v>
      </c>
      <c r="B52" s="98">
        <v>43533</v>
      </c>
      <c r="C52" s="99" t="s">
        <v>4315</v>
      </c>
      <c r="D52" s="99" t="s">
        <v>4322</v>
      </c>
      <c r="E52" s="100" t="s">
        <v>895</v>
      </c>
      <c r="F52" s="101" t="s">
        <v>896</v>
      </c>
      <c r="G52" s="100"/>
      <c r="H52" s="100"/>
      <c r="I52" s="97">
        <v>1</v>
      </c>
      <c r="J52" s="102">
        <v>27</v>
      </c>
    </row>
    <row r="53" spans="1:10" x14ac:dyDescent="0.25">
      <c r="A53" s="97">
        <v>53</v>
      </c>
      <c r="B53" s="98">
        <v>43533</v>
      </c>
      <c r="C53" s="99" t="s">
        <v>4315</v>
      </c>
      <c r="D53" s="99" t="s">
        <v>4322</v>
      </c>
      <c r="E53" s="100" t="s">
        <v>897</v>
      </c>
      <c r="F53" s="101" t="s">
        <v>898</v>
      </c>
      <c r="G53" s="100"/>
      <c r="H53" s="100"/>
      <c r="I53" s="97">
        <v>1</v>
      </c>
      <c r="J53" s="102">
        <v>6</v>
      </c>
    </row>
    <row r="54" spans="1:10" x14ac:dyDescent="0.25">
      <c r="A54" s="97">
        <v>54</v>
      </c>
      <c r="B54" s="98">
        <v>43533</v>
      </c>
      <c r="C54" s="99" t="s">
        <v>4315</v>
      </c>
      <c r="D54" s="99" t="s">
        <v>4322</v>
      </c>
      <c r="E54" s="100" t="s">
        <v>899</v>
      </c>
      <c r="F54" s="101" t="s">
        <v>4323</v>
      </c>
      <c r="G54" s="100"/>
      <c r="H54" s="100"/>
      <c r="I54" s="97">
        <v>1</v>
      </c>
      <c r="J54" s="102">
        <v>34.32</v>
      </c>
    </row>
    <row r="55" spans="1:10" x14ac:dyDescent="0.25">
      <c r="A55" s="97">
        <v>55</v>
      </c>
      <c r="B55" s="98">
        <v>43533</v>
      </c>
      <c r="C55" s="99" t="s">
        <v>4315</v>
      </c>
      <c r="D55" s="99" t="s">
        <v>4322</v>
      </c>
      <c r="E55" s="100" t="s">
        <v>900</v>
      </c>
      <c r="F55" s="101" t="s">
        <v>901</v>
      </c>
      <c r="G55" s="100"/>
      <c r="H55" s="100"/>
      <c r="I55" s="97">
        <v>1</v>
      </c>
      <c r="J55" s="102">
        <v>17.899999999999999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1016" activePane="bottomRight" state="frozen"/>
      <selection pane="topRight" activeCell="K1" sqref="K1"/>
      <selection pane="bottomLeft" activeCell="A4" sqref="A4"/>
      <selection pane="bottomRight" activeCell="G994" sqref="G99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 t="str">
        <f>IFERROR(INDEX(StockInData[Expiry],MATCH(ProductMaster[[#This Row],[Product ID]],StockInData[Product ID],0)),"")</f>
        <v/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 t="str">
        <f>IFERROR(INDEX(StockInData[Expiry],MATCH(ProductMaster[[#This Row],[Product ID]],StockInData[Product ID],0)),"")</f>
        <v/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 t="str">
        <f>IFERROR(INDEX(StockInData[Expiry],MATCH(ProductMaster[[#This Row],[Product ID]],StockInData[Product ID],0)),"")</f>
        <v/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 t="str">
        <f>IFERROR(INDEX(StockInData[Expiry],MATCH(ProductMaster[[#This Row],[Product ID]],StockInData[Product ID],0)),"")</f>
        <v/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 t="str">
        <f>IFERROR(INDEX(StockInData[Expiry],MATCH(ProductMaster[[#This Row],[Product ID]],StockInData[Product ID],0)),"")</f>
        <v/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 t="str">
        <f>IFERROR(INDEX(StockInData[Expiry],MATCH(ProductMaster[[#This Row],[Product ID]],StockInData[Product ID],0)),"")</f>
        <v/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 t="str">
        <f>IFERROR(INDEX(StockInData[Expiry],MATCH(ProductMaster[[#This Row],[Product ID]],StockInData[Product ID],0)),"")</f>
        <v/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 t="str">
        <f>IFERROR(INDEX(StockInData[Expiry],MATCH(ProductMaster[[#This Row],[Product ID]],StockInData[Product ID],0)),"")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 t="str">
        <f>IFERROR(INDEX(StockInData[Expiry],MATCH(ProductMaster[[#This Row],[Product ID]],StockInData[Product ID],0)),"")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 t="str">
        <f>IFERROR(INDEX(StockInData[Expiry],MATCH(ProductMaster[[#This Row],[Product ID]],StockInData[Product ID],0)),"")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 t="str">
        <f>IFERROR(INDEX(StockInData[Expiry],MATCH(ProductMaster[[#This Row],[Product ID]],StockInData[Product ID],0)),"")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 t="str">
        <f>IFERROR(INDEX(StockInData[Expiry],MATCH(ProductMaster[[#This Row],[Product ID]],StockInData[Product ID],0)),"")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 t="str">
        <f>IFERROR(INDEX(StockInData[Expiry],MATCH(ProductMaster[[#This Row],[Product ID]],StockInData[Product ID],0)),"")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 t="str">
        <f>IFERROR(INDEX(StockInData[Expiry],MATCH(ProductMaster[[#This Row],[Product ID]],StockInData[Product ID],0)),"")</f>
        <v/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 t="str">
        <f>IFERROR(INDEX(StockInData[Expiry],MATCH(ProductMaster[[#This Row],[Product ID]],StockInData[Product ID],0)),"")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 t="str">
        <f>IFERROR(INDEX(StockInData[Expiry],MATCH(ProductMaster[[#This Row],[Product ID]],StockInData[Product ID],0)),"")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 t="str">
        <f>IFERROR(INDEX(StockInData[Expiry],MATCH(ProductMaster[[#This Row],[Product ID]],StockInData[Product ID],0)),"")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 t="str">
        <f>IFERROR(INDEX(StockInData[Expiry],MATCH(ProductMaster[[#This Row],[Product ID]],StockInData[Product ID],0)),"")</f>
        <v/>
      </c>
      <c r="H105" s="61"/>
      <c r="I105" s="61">
        <f>SUMIFS(StockInData[Quantity],StockInData[Product ID],ProductMaster!$B105)-SUMIFS(StockOutData[Quantity],StockOutData[Product ID],ProductMaster!$B105)</f>
        <v>-2</v>
      </c>
      <c r="J105" s="64">
        <f>SUMIFS(StockInData[Value],StockInData[Product ID],ProductMaster!$B105)-SUMIFS(StockOutData[Value],StockOutData[Product ID],ProductMaster!$B105)</f>
        <v>-46.08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 t="str">
        <f>IFERROR(INDEX(StockInData[Expiry],MATCH(ProductMaster[[#This Row],[Product ID]],StockInData[Product ID],0)),"")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 t="str">
        <f>IFERROR(INDEX(StockInData[Expiry],MATCH(ProductMaster[[#This Row],[Product ID]],StockInData[Product ID],0)),"")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 t="str">
        <f>IFERROR(INDEX(StockInData[Expiry],MATCH(ProductMaster[[#This Row],[Product ID]],StockInData[Product ID],0)),"")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 t="str">
        <f>IFERROR(INDEX(StockInData[Expiry],MATCH(ProductMaster[[#This Row],[Product ID]],StockInData[Product ID],0)),"")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 t="str">
        <f>IFERROR(INDEX(StockInData[Expiry],MATCH(ProductMaster[[#This Row],[Product ID]],StockInData[Product ID],0)),"")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 t="str">
        <f>IFERROR(INDEX(StockInData[Expiry],MATCH(ProductMaster[[#This Row],[Product ID]],StockInData[Product ID],0)),"")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 t="str">
        <f>IFERROR(INDEX(StockInData[Expiry],MATCH(ProductMaster[[#This Row],[Product ID]],StockInData[Product ID],0)),"")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 t="str">
        <f>IFERROR(INDEX(StockInData[Expiry],MATCH(ProductMaster[[#This Row],[Product ID]],StockInData[Product ID],0)),"")</f>
        <v/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 t="str">
        <f>IFERROR(INDEX(StockInData[Expiry],MATCH(ProductMaster[[#This Row],[Product ID]],StockInData[Product ID],0)),"")</f>
        <v/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 t="str">
        <f>IFERROR(INDEX(StockInData[Expiry],MATCH(ProductMaster[[#This Row],[Product ID]],StockInData[Product ID],0)),"")</f>
        <v/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 t="str">
        <f>IFERROR(INDEX(StockInData[Expiry],MATCH(ProductMaster[[#This Row],[Product ID]],StockInData[Product ID],0)),"")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 t="str">
        <f>IFERROR(INDEX(StockInData[Expiry],MATCH(ProductMaster[[#This Row],[Product ID]],StockInData[Product ID],0)),"")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 t="str">
        <f>IFERROR(INDEX(StockInData[Expiry],MATCH(ProductMaster[[#This Row],[Product ID]],StockInData[Product ID],0)),"")</f>
        <v/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 t="str">
        <f>IFERROR(INDEX(StockInData[Expiry],MATCH(ProductMaster[[#This Row],[Product ID]],StockInData[Product ID],0)),"")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 t="str">
        <f>IFERROR(INDEX(StockInData[Expiry],MATCH(ProductMaster[[#This Row],[Product ID]],StockInData[Product ID],0)),"")</f>
        <v/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 t="str">
        <f>IFERROR(INDEX(StockInData[Expiry],MATCH(ProductMaster[[#This Row],[Product ID]],StockInData[Product ID],0)),"")</f>
        <v/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 t="str">
        <f>IFERROR(INDEX(StockInData[Expiry],MATCH(ProductMaster[[#This Row],[Product ID]],StockInData[Product ID],0)),"")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 t="str">
        <f>IFERROR(INDEX(StockInData[Expiry],MATCH(ProductMaster[[#This Row],[Product ID]],StockInData[Product ID],0)),"")</f>
        <v/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 t="str">
        <f>IFERROR(INDEX(StockInData[Expiry],MATCH(ProductMaster[[#This Row],[Product ID]],StockInData[Product ID],0)),"")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 t="str">
        <f>IFERROR(INDEX(StockInData[Expiry],MATCH(ProductMaster[[#This Row],[Product ID]],StockInData[Product ID],0)),"")</f>
        <v/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 t="str">
        <f>IFERROR(INDEX(StockInData[Expiry],MATCH(ProductMaster[[#This Row],[Product ID]],StockInData[Product ID],0)),"")</f>
        <v/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 t="str">
        <f>IFERROR(INDEX(StockInData[Expiry],MATCH(ProductMaster[[#This Row],[Product ID]],StockInData[Product ID],0)),"")</f>
        <v/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 t="str">
        <f>IFERROR(INDEX(StockInData[Expiry],MATCH(ProductMaster[[#This Row],[Product ID]],StockInData[Product ID],0)),"")</f>
        <v/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 t="str">
        <f>IFERROR(INDEX(StockInData[Expiry],MATCH(ProductMaster[[#This Row],[Product ID]],StockInData[Product ID],0)),"")</f>
        <v/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 t="str">
        <f>IFERROR(INDEX(StockInData[Expiry],MATCH(ProductMaster[[#This Row],[Product ID]],StockInData[Product ID],0)),"")</f>
        <v/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 t="str">
        <f>IFERROR(INDEX(StockInData[Expiry],MATCH(ProductMaster[[#This Row],[Product ID]],StockInData[Product ID],0)),"")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 t="str">
        <f>IFERROR(INDEX(StockInData[Expiry],MATCH(ProductMaster[[#This Row],[Product ID]],StockInData[Product ID],0)),"")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 t="str">
        <f>IFERROR(INDEX(StockInData[Expiry],MATCH(ProductMaster[[#This Row],[Product ID]],StockInData[Product ID],0)),"")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 t="str">
        <f>IFERROR(INDEX(StockInData[Expiry],MATCH(ProductMaster[[#This Row],[Product ID]],StockInData[Product ID],0)),"")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 t="str">
        <f>IFERROR(INDEX(StockInData[Expiry],MATCH(ProductMaster[[#This Row],[Product ID]],StockInData[Product ID],0)),"")</f>
        <v/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 t="str">
        <f>IFERROR(INDEX(StockInData[Expiry],MATCH(ProductMaster[[#This Row],[Product ID]],StockInData[Product ID],0)),"")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 t="str">
        <f>IFERROR(INDEX(StockInData[Expiry],MATCH(ProductMaster[[#This Row],[Product ID]],StockInData[Product ID],0)),"")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 t="str">
        <f>IFERROR(INDEX(StockInData[Expiry],MATCH(ProductMaster[[#This Row],[Product ID]],StockInData[Product ID],0)),"")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 t="str">
        <f>IFERROR(INDEX(StockInData[Expiry],MATCH(ProductMaster[[#This Row],[Product ID]],StockInData[Product ID],0)),"")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 t="str">
        <f>IFERROR(INDEX(StockInData[Expiry],MATCH(ProductMaster[[#This Row],[Product ID]],StockInData[Product ID],0)),"")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 t="str">
        <f>IFERROR(INDEX(StockInData[Expiry],MATCH(ProductMaster[[#This Row],[Product ID]],StockInData[Product ID],0)),"")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 t="str">
        <f>IFERROR(INDEX(StockInData[Expiry],MATCH(ProductMaster[[#This Row],[Product ID]],StockInData[Product ID],0)),"")</f>
        <v/>
      </c>
      <c r="H233" s="61"/>
      <c r="I233" s="61">
        <f>SUMIFS(StockInData[Quantity],StockInData[Product ID],ProductMaster!$B233)-SUMIFS(StockOutData[Quantity],StockOutData[Product ID],ProductMaster!$B233)</f>
        <v>-2</v>
      </c>
      <c r="J233" s="64">
        <f>SUMIFS(StockInData[Value],StockInData[Product ID],ProductMaster!$B233)-SUMIFS(StockOutData[Value],StockOutData[Product ID],ProductMaster!$B233)</f>
        <v>-13.080000000000002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 t="str">
        <f>IFERROR(INDEX(StockInData[Expiry],MATCH(ProductMaster[[#This Row],[Product ID]],StockInData[Product ID],0)),"")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 t="str">
        <f>IFERROR(INDEX(StockInData[Expiry],MATCH(ProductMaster[[#This Row],[Product ID]],StockInData[Product ID],0)),"")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 t="str">
        <f>IFERROR(INDEX(StockInData[Expiry],MATCH(ProductMaster[[#This Row],[Product ID]],StockInData[Product ID],0)),"")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 t="str">
        <f>IFERROR(INDEX(StockInData[Expiry],MATCH(ProductMaster[[#This Row],[Product ID]],StockInData[Product ID],0)),"")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 t="str">
        <f>IFERROR(INDEX(StockInData[Expiry],MATCH(ProductMaster[[#This Row],[Product ID]],StockInData[Product ID],0)),"")</f>
        <v/>
      </c>
      <c r="H239" s="61"/>
      <c r="I239" s="61">
        <f>SUMIFS(StockInData[Quantity],StockInData[Product ID],ProductMaster!$B239)-SUMIFS(StockOutData[Quantity],StockOutData[Product ID],ProductMaster!$B239)</f>
        <v>-2</v>
      </c>
      <c r="J239" s="64">
        <f>SUMIFS(StockInData[Value],StockInData[Product ID],ProductMaster!$B239)-SUMIFS(StockOutData[Value],StockOutData[Product ID],ProductMaster!$B239)</f>
        <v>-18.899999999999999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 t="str">
        <f>IFERROR(INDEX(StockInData[Expiry],MATCH(ProductMaster[[#This Row],[Product ID]],StockInData[Product ID],0)),"")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 t="str">
        <f>IFERROR(INDEX(StockInData[Expiry],MATCH(ProductMaster[[#This Row],[Product ID]],StockInData[Product ID],0)),"")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 t="str">
        <f>IFERROR(INDEX(StockInData[Expiry],MATCH(ProductMaster[[#This Row],[Product ID]],StockInData[Product ID],0)),"")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 t="str">
        <f>IFERROR(INDEX(StockInData[Expiry],MATCH(ProductMaster[[#This Row],[Product ID]],StockInData[Product ID],0)),"")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 t="str">
        <f>IFERROR(INDEX(StockInData[Expiry],MATCH(ProductMaster[[#This Row],[Product ID]],StockInData[Product ID],0)),"")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 t="str">
        <f>IFERROR(INDEX(StockInData[Expiry],MATCH(ProductMaster[[#This Row],[Product ID]],StockInData[Product ID],0)),"")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 t="str">
        <f>IFERROR(INDEX(StockInData[Expiry],MATCH(ProductMaster[[#This Row],[Product ID]],StockInData[Product ID],0)),"")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-2</v>
      </c>
      <c r="J256" s="64">
        <f>SUMIFS(StockInData[Value],StockInData[Product ID],ProductMaster!$B256)-SUMIFS(StockOutData[Value],StockOutData[Product ID],ProductMaster!$B256)</f>
        <v>-35.76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 t="str">
        <f>IFERROR(INDEX(StockInData[Expiry],MATCH(ProductMaster[[#This Row],[Product ID]],StockInData[Product ID],0)),"")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 t="str">
        <f>IFERROR(INDEX(StockInData[Expiry],MATCH(ProductMaster[[#This Row],[Product ID]],StockInData[Product ID],0)),"")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 t="str">
        <f>IFERROR(INDEX(StockInData[Expiry],MATCH(ProductMaster[[#This Row],[Product ID]],StockInData[Product ID],0)),"")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 t="str">
        <f>IFERROR(INDEX(StockInData[Expiry],MATCH(ProductMaster[[#This Row],[Product ID]],StockInData[Product ID],0)),"")</f>
        <v/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 t="str">
        <f>IFERROR(INDEX(StockInData[Expiry],MATCH(ProductMaster[[#This Row],[Product ID]],StockInData[Product ID],0)),"")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 t="str">
        <f>IFERROR(INDEX(StockInData[Expiry],MATCH(ProductMaster[[#This Row],[Product ID]],StockInData[Product ID],0)),"")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 t="str">
        <f>IFERROR(INDEX(StockInData[Expiry],MATCH(ProductMaster[[#This Row],[Product ID]],StockInData[Product ID],0)),"")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 t="str">
        <f>IFERROR(INDEX(StockInData[Expiry],MATCH(ProductMaster[[#This Row],[Product ID]],StockInData[Product ID],0)),"")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 t="str">
        <f>IFERROR(INDEX(StockInData[Expiry],MATCH(ProductMaster[[#This Row],[Product ID]],StockInData[Product ID],0)),"")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 t="str">
        <f>IFERROR(INDEX(StockInData[Expiry],MATCH(ProductMaster[[#This Row],[Product ID]],StockInData[Product ID],0)),"")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 t="str">
        <f>IFERROR(INDEX(StockInData[Expiry],MATCH(ProductMaster[[#This Row],[Product ID]],StockInData[Product ID],0)),"")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 t="str">
        <f>IFERROR(INDEX(StockInData[Expiry],MATCH(ProductMaster[[#This Row],[Product ID]],StockInData[Product ID],0)),"")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 t="str">
        <f>IFERROR(INDEX(StockInData[Expiry],MATCH(ProductMaster[[#This Row],[Product ID]],StockInData[Product ID],0)),"")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 t="str">
        <f>IFERROR(INDEX(StockInData[Expiry],MATCH(ProductMaster[[#This Row],[Product ID]],StockInData[Product ID],0)),"")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 t="str">
        <f>IFERROR(INDEX(StockInData[Expiry],MATCH(ProductMaster[[#This Row],[Product ID]],StockInData[Product ID],0)),"")</f>
        <v/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 t="str">
        <f>IFERROR(INDEX(StockInData[Expiry],MATCH(ProductMaster[[#This Row],[Product ID]],StockInData[Product ID],0)),"")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 t="str">
        <f>IFERROR(INDEX(StockInData[Expiry],MATCH(ProductMaster[[#This Row],[Product ID]],StockInData[Product ID],0)),"")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 t="str">
        <f>IFERROR(INDEX(StockInData[Expiry],MATCH(ProductMaster[[#This Row],[Product ID]],StockInData[Product ID],0)),"")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 t="str">
        <f>IFERROR(INDEX(StockInData[Expiry],MATCH(ProductMaster[[#This Row],[Product ID]],StockInData[Product ID],0)),"")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 t="str">
        <f>IFERROR(INDEX(StockInData[Expiry],MATCH(ProductMaster[[#This Row],[Product ID]],StockInData[Product ID],0)),"")</f>
        <v/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 t="str">
        <f>IFERROR(INDEX(StockInData[Expiry],MATCH(ProductMaster[[#This Row],[Product ID]],StockInData[Product ID],0)),"")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 t="str">
        <f>IFERROR(INDEX(StockInData[Expiry],MATCH(ProductMaster[[#This Row],[Product ID]],StockInData[Product ID],0)),"")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 t="str">
        <f>IFERROR(INDEX(StockInData[Expiry],MATCH(ProductMaster[[#This Row],[Product ID]],StockInData[Product ID],0)),"")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 t="str">
        <f>IFERROR(INDEX(StockInData[Expiry],MATCH(ProductMaster[[#This Row],[Product ID]],StockInData[Product ID],0)),"")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 t="str">
        <f>IFERROR(INDEX(StockInData[Expiry],MATCH(ProductMaster[[#This Row],[Product ID]],StockInData[Product ID],0)),"")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 t="str">
        <f>IFERROR(INDEX(StockInData[Expiry],MATCH(ProductMaster[[#This Row],[Product ID]],StockInData[Product ID],0)),"")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 t="str">
        <f>IFERROR(INDEX(StockInData[Expiry],MATCH(ProductMaster[[#This Row],[Product ID]],StockInData[Product ID],0)),"")</f>
        <v/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 t="str">
        <f>IFERROR(INDEX(StockInData[Expiry],MATCH(ProductMaster[[#This Row],[Product ID]],StockInData[Product ID],0)),"")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 t="str">
        <f>IFERROR(INDEX(StockInData[Expiry],MATCH(ProductMaster[[#This Row],[Product ID]],StockInData[Product ID],0)),"")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 t="str">
        <f>IFERROR(INDEX(StockInData[Expiry],MATCH(ProductMaster[[#This Row],[Product ID]],StockInData[Product ID],0)),"")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 t="str">
        <f>IFERROR(INDEX(StockInData[Expiry],MATCH(ProductMaster[[#This Row],[Product ID]],StockInData[Product ID],0)),"")</f>
        <v/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 t="str">
        <f>IFERROR(INDEX(StockInData[Expiry],MATCH(ProductMaster[[#This Row],[Product ID]],StockInData[Product ID],0)),"")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 t="str">
        <f>IFERROR(INDEX(StockInData[Expiry],MATCH(ProductMaster[[#This Row],[Product ID]],StockInData[Product ID],0)),"")</f>
        <v/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 t="str">
        <f>IFERROR(INDEX(StockInData[Expiry],MATCH(ProductMaster[[#This Row],[Product ID]],StockInData[Product ID],0)),"")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 t="str">
        <f>IFERROR(INDEX(StockInData[Expiry],MATCH(ProductMaster[[#This Row],[Product ID]],StockInData[Product ID],0)),"")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 t="str">
        <f>IFERROR(INDEX(StockInData[Expiry],MATCH(ProductMaster[[#This Row],[Product ID]],StockInData[Product ID],0)),"")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 t="str">
        <f>IFERROR(INDEX(StockInData[Expiry],MATCH(ProductMaster[[#This Row],[Product ID]],StockInData[Product ID],0)),"")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 t="str">
        <f>IFERROR(INDEX(StockInData[Expiry],MATCH(ProductMaster[[#This Row],[Product ID]],StockInData[Product ID],0)),"")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 t="str">
        <f>IFERROR(INDEX(StockInData[Expiry],MATCH(ProductMaster[[#This Row],[Product ID]],StockInData[Product ID],0)),"")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 t="str">
        <f>IFERROR(INDEX(StockInData[Expiry],MATCH(ProductMaster[[#This Row],[Product ID]],StockInData[Product ID],0)),"")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 t="str">
        <f>IFERROR(INDEX(StockInData[Expiry],MATCH(ProductMaster[[#This Row],[Product ID]],StockInData[Product ID],0)),"")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 t="str">
        <f>IFERROR(INDEX(StockInData[Expiry],MATCH(ProductMaster[[#This Row],[Product ID]],StockInData[Product ID],0)),"")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 t="str">
        <f>IFERROR(INDEX(StockInData[Expiry],MATCH(ProductMaster[[#This Row],[Product ID]],StockInData[Product ID],0)),"")</f>
        <v/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 t="str">
        <f>IFERROR(INDEX(StockInData[Expiry],MATCH(ProductMaster[[#This Row],[Product ID]],StockInData[Product ID],0)),"")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 t="str">
        <f>IFERROR(INDEX(StockInData[Expiry],MATCH(ProductMaster[[#This Row],[Product ID]],StockInData[Product ID],0)),"")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 t="str">
        <f>IFERROR(INDEX(StockInData[Expiry],MATCH(ProductMaster[[#This Row],[Product ID]],StockInData[Product ID],0)),"")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 t="str">
        <f>IFERROR(INDEX(StockInData[Expiry],MATCH(ProductMaster[[#This Row],[Product ID]],StockInData[Product ID],0)),"")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 t="str">
        <f>IFERROR(INDEX(StockInData[Expiry],MATCH(ProductMaster[[#This Row],[Product ID]],StockInData[Product ID],0)),"")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 t="str">
        <f>IFERROR(INDEX(StockInData[Expiry],MATCH(ProductMaster[[#This Row],[Product ID]],StockInData[Product ID],0)),"")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 t="str">
        <f>IFERROR(INDEX(StockInData[Expiry],MATCH(ProductMaster[[#This Row],[Product ID]],StockInData[Product ID],0)),"")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 t="str">
        <f>IFERROR(INDEX(StockInData[Expiry],MATCH(ProductMaster[[#This Row],[Product ID]],StockInData[Product ID],0)),"")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 t="str">
        <f>IFERROR(INDEX(StockInData[Expiry],MATCH(ProductMaster[[#This Row],[Product ID]],StockInData[Product ID],0)),"")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 t="str">
        <f>IFERROR(INDEX(StockInData[Expiry],MATCH(ProductMaster[[#This Row],[Product ID]],StockInData[Product ID],0)),"")</f>
        <v/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 t="str">
        <f>IFERROR(INDEX(StockInData[Expiry],MATCH(ProductMaster[[#This Row],[Product ID]],StockInData[Product ID],0)),"")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 t="str">
        <f>IFERROR(INDEX(StockInData[Expiry],MATCH(ProductMaster[[#This Row],[Product ID]],StockInData[Product ID],0)),"")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 t="str">
        <f>IFERROR(INDEX(StockInData[Expiry],MATCH(ProductMaster[[#This Row],[Product ID]],StockInData[Product ID],0)),"")</f>
        <v/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 t="str">
        <f>IFERROR(INDEX(StockInData[Expiry],MATCH(ProductMaster[[#This Row],[Product ID]],StockInData[Product ID],0)),"")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 t="str">
        <f>IFERROR(INDEX(StockInData[Expiry],MATCH(ProductMaster[[#This Row],[Product ID]],StockInData[Product ID],0)),"")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 t="str">
        <f>IFERROR(INDEX(StockInData[Expiry],MATCH(ProductMaster[[#This Row],[Product ID]],StockInData[Product ID],0)),"")</f>
        <v/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 t="str">
        <f>IFERROR(INDEX(StockInData[Expiry],MATCH(ProductMaster[[#This Row],[Product ID]],StockInData[Product ID],0)),"")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 t="str">
        <f>IFERROR(INDEX(StockInData[Expiry],MATCH(ProductMaster[[#This Row],[Product ID]],StockInData[Product ID],0)),"")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 t="str">
        <f>IFERROR(INDEX(StockInData[Expiry],MATCH(ProductMaster[[#This Row],[Product ID]],StockInData[Product ID],0)),"")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 t="str">
        <f>IFERROR(INDEX(StockInData[Expiry],MATCH(ProductMaster[[#This Row],[Product ID]],StockInData[Product ID],0)),"")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 t="str">
        <f>IFERROR(INDEX(StockInData[Expiry],MATCH(ProductMaster[[#This Row],[Product ID]],StockInData[Product ID],0)),"")</f>
        <v/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 t="str">
        <f>IFERROR(INDEX(StockInData[Expiry],MATCH(ProductMaster[[#This Row],[Product ID]],StockInData[Product ID],0)),"")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 t="str">
        <f>IFERROR(INDEX(StockInData[Expiry],MATCH(ProductMaster[[#This Row],[Product ID]],StockInData[Product ID],0)),"")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 t="str">
        <f>IFERROR(INDEX(StockInData[Expiry],MATCH(ProductMaster[[#This Row],[Product ID]],StockInData[Product ID],0)),"")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 t="str">
        <f>IFERROR(INDEX(StockInData[Expiry],MATCH(ProductMaster[[#This Row],[Product ID]],StockInData[Product ID],0)),"")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 t="str">
        <f>IFERROR(INDEX(StockInData[Expiry],MATCH(ProductMaster[[#This Row],[Product ID]],StockInData[Product ID],0)),"")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 t="str">
        <f>IFERROR(INDEX(StockInData[Expiry],MATCH(ProductMaster[[#This Row],[Product ID]],StockInData[Product ID],0)),"")</f>
        <v/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 t="str">
        <f>IFERROR(INDEX(StockInData[Expiry],MATCH(ProductMaster[[#This Row],[Product ID]],StockInData[Product ID],0)),"")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 t="str">
        <f>IFERROR(INDEX(StockInData[Expiry],MATCH(ProductMaster[[#This Row],[Product ID]],StockInData[Product ID],0)),"")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 t="str">
        <f>IFERROR(INDEX(StockInData[Expiry],MATCH(ProductMaster[[#This Row],[Product ID]],StockInData[Product ID],0)),"")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 t="str">
        <f>IFERROR(INDEX(StockInData[Expiry],MATCH(ProductMaster[[#This Row],[Product ID]],StockInData[Product ID],0)),"")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 t="str">
        <f>IFERROR(INDEX(StockInData[Expiry],MATCH(ProductMaster[[#This Row],[Product ID]],StockInData[Product ID],0)),"")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 t="str">
        <f>IFERROR(INDEX(StockInData[Expiry],MATCH(ProductMaster[[#This Row],[Product ID]],StockInData[Product ID],0)),"")</f>
        <v/>
      </c>
      <c r="H627" s="61"/>
      <c r="I627" s="61">
        <f>SUMIFS(StockInData[Quantity],StockInData[Product ID],ProductMaster!$B627)-SUMIFS(StockOutData[Quantity],StockOutData[Product ID],ProductMaster!$B627)</f>
        <v>-2</v>
      </c>
      <c r="J627" s="64">
        <f>SUMIFS(StockInData[Value],StockInData[Product ID],ProductMaster!$B627)-SUMIFS(StockOutData[Value],StockOutData[Product ID],ProductMaster!$B627)</f>
        <v>-167.76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 t="str">
        <f>IFERROR(INDEX(StockInData[Expiry],MATCH(ProductMaster[[#This Row],[Product ID]],StockInData[Product ID],0)),"")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 t="str">
        <f>IFERROR(INDEX(StockInData[Expiry],MATCH(ProductMaster[[#This Row],[Product ID]],StockInData[Product ID],0)),"")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 t="str">
        <f>IFERROR(INDEX(StockInData[Expiry],MATCH(ProductMaster[[#This Row],[Product ID]],StockInData[Product ID],0)),"")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 t="str">
        <f>IFERROR(INDEX(StockInData[Expiry],MATCH(ProductMaster[[#This Row],[Product ID]],StockInData[Product ID],0)),"")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 t="str">
        <f>IFERROR(INDEX(StockInData[Expiry],MATCH(ProductMaster[[#This Row],[Product ID]],StockInData[Product ID],0)),"")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 t="str">
        <f>IFERROR(INDEX(StockInData[Expiry],MATCH(ProductMaster[[#This Row],[Product ID]],StockInData[Product ID],0)),"")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 t="str">
        <f>IFERROR(INDEX(StockInData[Expiry],MATCH(ProductMaster[[#This Row],[Product ID]],StockInData[Product ID],0)),"")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 t="str">
        <f>IFERROR(INDEX(StockInData[Expiry],MATCH(ProductMaster[[#This Row],[Product ID]],StockInData[Product ID],0)),"")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 t="str">
        <f>IFERROR(INDEX(StockInData[Expiry],MATCH(ProductMaster[[#This Row],[Product ID]],StockInData[Product ID],0)),"")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 t="str">
        <f>IFERROR(INDEX(StockInData[Expiry],MATCH(ProductMaster[[#This Row],[Product ID]],StockInData[Product ID],0)),"")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 t="str">
        <f>IFERROR(INDEX(StockInData[Expiry],MATCH(ProductMaster[[#This Row],[Product ID]],StockInData[Product ID],0)),"")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 t="str">
        <f>IFERROR(INDEX(StockInData[Expiry],MATCH(ProductMaster[[#This Row],[Product ID]],StockInData[Product ID],0)),"")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 t="str">
        <f>IFERROR(INDEX(StockInData[Expiry],MATCH(ProductMaster[[#This Row],[Product ID]],StockInData[Product ID],0)),"")</f>
        <v/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 t="str">
        <f>IFERROR(INDEX(StockInData[Expiry],MATCH(ProductMaster[[#This Row],[Product ID]],StockInData[Product ID],0)),"")</f>
        <v/>
      </c>
      <c r="H988" s="61"/>
      <c r="I988" s="61">
        <f>SUMIFS(StockInData[Quantity],StockInData[Product ID],ProductMaster!$B988)-SUMIFS(StockOutData[Quantity],StockOutData[Product ID],ProductMaster!$B988)</f>
        <v>-4</v>
      </c>
      <c r="J988" s="64">
        <f>SUMIFS(StockInData[Value],StockInData[Product ID],ProductMaster!$B988)-SUMIFS(StockOutData[Value],StockOutData[Product ID],ProductMaster!$B988)</f>
        <v>-33.119999999999997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 t="str">
        <f>IFERROR(INDEX(StockInData[Expiry],MATCH(ProductMaster[[#This Row],[Product ID]],StockInData[Product ID],0)),"")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 t="str">
        <f>IFERROR(INDEX(StockInData[Expiry],MATCH(ProductMaster[[#This Row],[Product ID]],StockInData[Product ID],0)),"")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 t="str">
        <f>IFERROR(INDEX(StockInData[Expiry],MATCH(ProductMaster[[#This Row],[Product ID]],StockInData[Product ID],0)),"")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 t="str">
        <f>IFERROR(INDEX(StockInData[Expiry],MATCH(ProductMaster[[#This Row],[Product ID]],StockInData[Product ID],0)),"")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 t="str">
        <f>IFERROR(INDEX(StockInData[Expiry],MATCH(ProductMaster[[#This Row],[Product ID]],StockInData[Product ID],0)),"")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 t="str">
        <f>IFERROR(INDEX(StockInData[Expiry],MATCH(ProductMaster[[#This Row],[Product ID]],StockInData[Product ID],0)),"")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 t="str">
        <f>IFERROR(INDEX(StockInData[Expiry],MATCH(ProductMaster[[#This Row],[Product ID]],StockInData[Product ID],0)),"")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 t="str">
        <f>IFERROR(INDEX(StockInData[Expiry],MATCH(ProductMaster[[#This Row],[Product ID]],StockInData[Product ID],0)),"")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 t="str">
        <f>IFERROR(INDEX(StockInData[Expiry],MATCH(ProductMaster[[#This Row],[Product ID]],StockInData[Product ID],0)),"")</f>
        <v/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 t="str">
        <f>IFERROR(INDEX(StockInData[Expiry],MATCH(ProductMaster[[#This Row],[Product ID]],StockInData[Product ID],0)),"")</f>
        <v/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 t="str">
        <f>IFERROR(INDEX(StockInData[Expiry],MATCH(ProductMaster[[#This Row],[Product ID]],StockInData[Product ID],0)),"")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 t="str">
        <f>IFERROR(INDEX(StockInData[Expiry],MATCH(ProductMaster[[#This Row],[Product ID]],StockInData[Product ID],0)),"")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 t="str">
        <f>IFERROR(INDEX(StockInData[Expiry],MATCH(ProductMaster[[#This Row],[Product ID]],StockInData[Product ID],0)),"")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 t="str">
        <f>IFERROR(INDEX(StockInData[Expiry],MATCH(ProductMaster[[#This Row],[Product ID]],StockInData[Product ID],0)),"")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 t="str">
        <f>IFERROR(INDEX(StockInData[Expiry],MATCH(ProductMaster[[#This Row],[Product ID]],StockInData[Product ID],0)),"")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 t="str">
        <f>IFERROR(INDEX(StockInData[Expiry],MATCH(ProductMaster[[#This Row],[Product ID]],StockInData[Product ID],0)),"")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 t="str">
        <f>IFERROR(INDEX(StockInData[Expiry],MATCH(ProductMaster[[#This Row],[Product ID]],StockInData[Product ID],0)),"")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 t="str">
        <f>IFERROR(INDEX(StockInData[Expiry],MATCH(ProductMaster[[#This Row],[Product ID]],StockInData[Product ID],0)),"")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 t="str">
        <f>IFERROR(INDEX(StockInData[Expiry],MATCH(ProductMaster[[#This Row],[Product ID]],StockInData[Product ID],0)),"")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 t="str">
        <f>IFERROR(INDEX(StockInData[Expiry],MATCH(ProductMaster[[#This Row],[Product ID]],StockInData[Product ID],0)),"")</f>
        <v/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 t="str">
        <f>IFERROR(INDEX(StockInData[Expiry],MATCH(ProductMaster[[#This Row],[Product ID]],StockInData[Product ID],0)),"")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 t="str">
        <f>IFERROR(INDEX(StockInData[Expiry],MATCH(ProductMaster[[#This Row],[Product ID]],StockInData[Product ID],0)),"")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 t="str">
        <f>IFERROR(INDEX(StockInData[Expiry],MATCH(ProductMaster[[#This Row],[Product ID]],StockInData[Product ID],0)),"")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 t="str">
        <f>IFERROR(INDEX(StockInData[Expiry],MATCH(ProductMaster[[#This Row],[Product ID]],StockInData[Product ID],0)),"")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 t="str">
        <f>IFERROR(INDEX(StockInData[Expiry],MATCH(ProductMaster[[#This Row],[Product ID]],StockInData[Product ID],0)),"")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 t="str">
        <f>IFERROR(INDEX(StockInData[Expiry],MATCH(ProductMaster[[#This Row],[Product ID]],StockInData[Product ID],0)),"")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 t="str">
        <f>IFERROR(INDEX(StockInData[Expiry],MATCH(ProductMaster[[#This Row],[Product ID]],StockInData[Product ID],0)),"")</f>
        <v/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 t="str">
        <f>IFERROR(INDEX(StockInData[Expiry],MATCH(ProductMaster[[#This Row],[Product ID]],StockInData[Product ID],0)),"")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 t="str">
        <f>IFERROR(INDEX(StockInData[Expiry],MATCH(ProductMaster[[#This Row],[Product ID]],StockInData[Product ID],0)),"")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 t="str">
        <f>IFERROR(INDEX(StockInData[Expiry],MATCH(ProductMaster[[#This Row],[Product ID]],StockInData[Product ID],0)),"")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 t="str">
        <f>IFERROR(INDEX(StockInData[Expiry],MATCH(ProductMaster[[#This Row],[Product ID]],StockInData[Product ID],0)),"")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 t="str">
        <f>IFERROR(INDEX(StockInData[Expiry],MATCH(ProductMaster[[#This Row],[Product ID]],StockInData[Product ID],0)),"")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 t="str">
        <f>IFERROR(INDEX(StockInData[Expiry],MATCH(ProductMaster[[#This Row],[Product ID]],StockInData[Product ID],0)),"")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 t="str">
        <f>IFERROR(INDEX(StockInData[Expiry],MATCH(ProductMaster[[#This Row],[Product ID]],StockInData[Product ID],0)),"")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 t="str">
        <f>IFERROR(INDEX(StockInData[Expiry],MATCH(ProductMaster[[#This Row],[Product ID]],StockInData[Product ID],0)),"")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 t="str">
        <f>IFERROR(INDEX(StockInData[Expiry],MATCH(ProductMaster[[#This Row],[Product ID]],StockInData[Product ID],0)),"")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 t="str">
        <f>IFERROR(INDEX(StockInData[Expiry],MATCH(ProductMaster[[#This Row],[Product ID]],StockInData[Product ID],0)),"")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 t="str">
        <f>IFERROR(INDEX(StockInData[Expiry],MATCH(ProductMaster[[#This Row],[Product ID]],StockInData[Product ID],0)),"")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 t="str">
        <f>IFERROR(INDEX(StockInData[Expiry],MATCH(ProductMaster[[#This Row],[Product ID]],StockInData[Product ID],0)),"")</f>
        <v/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 t="str">
        <f>IFERROR(INDEX(StockInData[Expiry],MATCH(ProductMaster[[#This Row],[Product ID]],StockInData[Product ID],0)),"")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 t="str">
        <f>IFERROR(INDEX(StockInData[Expiry],MATCH(ProductMaster[[#This Row],[Product ID]],StockInData[Product ID],0)),"")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 t="str">
        <f>IFERROR(INDEX(StockInData[Expiry],MATCH(ProductMaster[[#This Row],[Product ID]],StockInData[Product ID],0)),"")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 t="str">
        <f>IFERROR(INDEX(StockInData[Expiry],MATCH(ProductMaster[[#This Row],[Product ID]],StockInData[Product ID],0)),"")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 t="str">
        <f>IFERROR(INDEX(StockInData[Expiry],MATCH(ProductMaster[[#This Row],[Product ID]],StockInData[Product ID],0)),"")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 t="str">
        <f>IFERROR(INDEX(StockInData[Expiry],MATCH(ProductMaster[[#This Row],[Product ID]],StockInData[Product ID],0)),"")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 t="str">
        <f>IFERROR(INDEX(StockInData[Expiry],MATCH(ProductMaster[[#This Row],[Product ID]],StockInData[Product ID],0)),"")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 t="str">
        <f>IFERROR(INDEX(StockInData[Expiry],MATCH(ProductMaster[[#This Row],[Product ID]],StockInData[Product ID],0)),"")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 t="str">
        <f>IFERROR(INDEX(StockInData[Expiry],MATCH(ProductMaster[[#This Row],[Product ID]],StockInData[Product ID],0)),"")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 t="str">
        <f>IFERROR(INDEX(StockInData[Expiry],MATCH(ProductMaster[[#This Row],[Product ID]],StockInData[Product ID],0)),"")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 t="str">
        <f>IFERROR(INDEX(StockInData[Expiry],MATCH(ProductMaster[[#This Row],[Product ID]],StockInData[Product ID],0)),"")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 t="str">
        <f>IFERROR(INDEX(StockInData[Expiry],MATCH(ProductMaster[[#This Row],[Product ID]],StockInData[Product ID],0)),"")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 t="str">
        <f>IFERROR(INDEX(StockInData[Expiry],MATCH(ProductMaster[[#This Row],[Product ID]],StockInData[Product ID],0)),"")</f>
        <v/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 t="str">
        <f>IFERROR(INDEX(StockInData[Expiry],MATCH(ProductMaster[[#This Row],[Product ID]],StockInData[Product ID],0)),"")</f>
        <v/>
      </c>
      <c r="H1166" s="61"/>
      <c r="I1166" s="61">
        <f>SUMIFS(StockInData[Quantity],StockInData[Product ID],ProductMaster!$B1166)-SUMIFS(StockOutData[Quantity],StockOutData[Product ID],ProductMaster!$B1166)</f>
        <v>-2</v>
      </c>
      <c r="J1166" s="64">
        <f>SUMIFS(StockInData[Value],StockInData[Product ID],ProductMaster!$B1166)-SUMIFS(StockOutData[Value],StockOutData[Product ID],ProductMaster!$B1166)</f>
        <v>-17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 t="str">
        <f>IFERROR(INDEX(StockInData[Expiry],MATCH(ProductMaster[[#This Row],[Product ID]],StockInData[Product ID],0)),"")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 t="str">
        <f>IFERROR(INDEX(StockInData[Expiry],MATCH(ProductMaster[[#This Row],[Product ID]],StockInData[Product ID],0)),"")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 t="str">
        <f>IFERROR(INDEX(StockInData[Expiry],MATCH(ProductMaster[[#This Row],[Product ID]],StockInData[Product ID],0)),"")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 t="str">
        <f>IFERROR(INDEX(StockInData[Expiry],MATCH(ProductMaster[[#This Row],[Product ID]],StockInData[Product ID],0)),"")</f>
        <v/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 t="str">
        <f>IFERROR(INDEX(StockInData[Expiry],MATCH(ProductMaster[[#This Row],[Product ID]],StockInData[Product ID],0)),"")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 t="str">
        <f>IFERROR(INDEX(StockInData[Expiry],MATCH(ProductMaster[[#This Row],[Product ID]],StockInData[Product ID],0)),"")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 t="str">
        <f>IFERROR(INDEX(StockInData[Expiry],MATCH(ProductMaster[[#This Row],[Product ID]],StockInData[Product ID],0)),"")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 t="str">
        <f>IFERROR(INDEX(StockInData[Expiry],MATCH(ProductMaster[[#This Row],[Product ID]],StockInData[Product ID],0)),"")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 t="str">
        <f>IFERROR(INDEX(StockInData[Expiry],MATCH(ProductMaster[[#This Row],[Product ID]],StockInData[Product ID],0)),"")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 t="str">
        <f>IFERROR(INDEX(StockInData[Expiry],MATCH(ProductMaster[[#This Row],[Product ID]],StockInData[Product ID],0)),"")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 t="str">
        <f>IFERROR(INDEX(StockInData[Expiry],MATCH(ProductMaster[[#This Row],[Product ID]],StockInData[Product ID],0)),"")</f>
        <v/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 t="str">
        <f>IFERROR(INDEX(StockInData[Expiry],MATCH(ProductMaster[[#This Row],[Product ID]],StockInData[Product ID],0)),"")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 t="str">
        <f>IFERROR(INDEX(StockInData[Expiry],MATCH(ProductMaster[[#This Row],[Product ID]],StockInData[Product ID],0)),"")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 t="str">
        <f>IFERROR(INDEX(StockInData[Expiry],MATCH(ProductMaster[[#This Row],[Product ID]],StockInData[Product ID],0)),"")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 t="str">
        <f>IFERROR(INDEX(StockInData[Expiry],MATCH(ProductMaster[[#This Row],[Product ID]],StockInData[Product ID],0)),"")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 t="str">
        <f>IFERROR(INDEX(StockInData[Expiry],MATCH(ProductMaster[[#This Row],[Product ID]],StockInData[Product ID],0)),"")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 t="str">
        <f>IFERROR(INDEX(StockInData[Expiry],MATCH(ProductMaster[[#This Row],[Product ID]],StockInData[Product ID],0)),"")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 t="str">
        <f>IFERROR(INDEX(StockInData[Expiry],MATCH(ProductMaster[[#This Row],[Product ID]],StockInData[Product ID],0)),"")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 t="str">
        <f>IFERROR(INDEX(StockInData[Expiry],MATCH(ProductMaster[[#This Row],[Product ID]],StockInData[Product ID],0)),"")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 t="str">
        <f>IFERROR(INDEX(StockInData[Expiry],MATCH(ProductMaster[[#This Row],[Product ID]],StockInData[Product ID],0)),"")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 t="str">
        <f>IFERROR(INDEX(StockInData[Expiry],MATCH(ProductMaster[[#This Row],[Product ID]],StockInData[Product ID],0)),"")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 t="str">
        <f>IFERROR(INDEX(StockInData[Expiry],MATCH(ProductMaster[[#This Row],[Product ID]],StockInData[Product ID],0)),"")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 t="str">
        <f>IFERROR(INDEX(StockInData[Expiry],MATCH(ProductMaster[[#This Row],[Product ID]],StockInData[Product ID],0)),"")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 t="str">
        <f>IFERROR(INDEX(StockInData[Expiry],MATCH(ProductMaster[[#This Row],[Product ID]],StockInData[Product ID],0)),"")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 t="str">
        <f>IFERROR(INDEX(StockInData[Expiry],MATCH(ProductMaster[[#This Row],[Product ID]],StockInData[Product ID],0)),"")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 t="str">
        <f>IFERROR(INDEX(StockInData[Expiry],MATCH(ProductMaster[[#This Row],[Product ID]],StockInData[Product ID],0)),"")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 t="str">
        <f>IFERROR(INDEX(StockInData[Expiry],MATCH(ProductMaster[[#This Row],[Product ID]],StockInData[Product ID],0)),"")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 t="str">
        <f>IFERROR(INDEX(StockInData[Expiry],MATCH(ProductMaster[[#This Row],[Product ID]],StockInData[Product ID],0)),"")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 t="str">
        <f>IFERROR(INDEX(StockInData[Expiry],MATCH(ProductMaster[[#This Row],[Product ID]],StockInData[Product ID],0)),"")</f>
        <v/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 t="str">
        <f>IFERROR(INDEX(StockInData[Expiry],MATCH(ProductMaster[[#This Row],[Product ID]],StockInData[Product ID],0)),"")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 t="str">
        <f>IFERROR(INDEX(StockInData[Expiry],MATCH(ProductMaster[[#This Row],[Product ID]],StockInData[Product ID],0)),"")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 t="str">
        <f>IFERROR(INDEX(StockInData[Expiry],MATCH(ProductMaster[[#This Row],[Product ID]],StockInData[Product ID],0)),"")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 t="str">
        <f>IFERROR(INDEX(StockInData[Expiry],MATCH(ProductMaster[[#This Row],[Product ID]],StockInData[Product ID],0)),"")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 t="str">
        <f>IFERROR(INDEX(StockInData[Expiry],MATCH(ProductMaster[[#This Row],[Product ID]],StockInData[Product ID],0)),"")</f>
        <v/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 t="str">
        <f>IFERROR(INDEX(StockInData[Expiry],MATCH(ProductMaster[[#This Row],[Product ID]],StockInData[Product ID],0)),"")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 t="str">
        <f>IFERROR(INDEX(StockInData[Expiry],MATCH(ProductMaster[[#This Row],[Product ID]],StockInData[Product ID],0)),"")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 t="str">
        <f>IFERROR(INDEX(StockInData[Expiry],MATCH(ProductMaster[[#This Row],[Product ID]],StockInData[Product ID],0)),"")</f>
        <v/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 t="str">
        <f>IFERROR(INDEX(StockInData[Expiry],MATCH(ProductMaster[[#This Row],[Product ID]],StockInData[Product ID],0)),"")</f>
        <v/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 t="str">
        <f>IFERROR(INDEX(StockInData[Expiry],MATCH(ProductMaster[[#This Row],[Product ID]],StockInData[Product ID],0)),"")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 t="str">
        <f>IFERROR(INDEX(StockInData[Expiry],MATCH(ProductMaster[[#This Row],[Product ID]],StockInData[Product ID],0)),"")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 t="str">
        <f>IFERROR(INDEX(StockInData[Expiry],MATCH(ProductMaster[[#This Row],[Product ID]],StockInData[Product ID],0)),"")</f>
        <v/>
      </c>
      <c r="H1289" s="61"/>
      <c r="I1289" s="61">
        <f>SUMIFS(StockInData[Quantity],StockInData[Product ID],ProductMaster!$B1289)-SUMIFS(StockOutData[Quantity],StockOutData[Product ID],ProductMaster!$B1289)</f>
        <v>-1</v>
      </c>
      <c r="J1289" s="64">
        <f>SUMIFS(StockInData[Value],StockInData[Product ID],ProductMaster!$B1289)-SUMIFS(StockOutData[Value],StockOutData[Product ID],ProductMaster!$B1289)</f>
        <v>-75.84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 t="str">
        <f>IFERROR(INDEX(StockInData[Expiry],MATCH(ProductMaster[[#This Row],[Product ID]],StockInData[Product ID],0)),"")</f>
        <v/>
      </c>
      <c r="H1290" s="61"/>
      <c r="I1290" s="61">
        <f>SUMIFS(StockInData[Quantity],StockInData[Product ID],ProductMaster!$B1290)-SUMIFS(StockOutData[Quantity],StockOutData[Product ID],ProductMaster!$B1290)</f>
        <v>-1</v>
      </c>
      <c r="J1290" s="64">
        <f>SUMIFS(StockInData[Value],StockInData[Product ID],ProductMaster!$B1290)-SUMIFS(StockOutData[Value],StockOutData[Product ID],ProductMaster!$B1290)</f>
        <v>-75.84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 t="str">
        <f>IFERROR(INDEX(StockInData[Expiry],MATCH(ProductMaster[[#This Row],[Product ID]],StockInData[Product ID],0)),"")</f>
        <v/>
      </c>
      <c r="H1291" s="61"/>
      <c r="I1291" s="61">
        <f>SUMIFS(StockInData[Quantity],StockInData[Product ID],ProductMaster!$B1291)-SUMIFS(StockOutData[Quantity],StockOutData[Product ID],ProductMaster!$B1291)</f>
        <v>-1</v>
      </c>
      <c r="J1291" s="64">
        <f>SUMIFS(StockInData[Value],StockInData[Product ID],ProductMaster!$B1291)-SUMIFS(StockOutData[Value],StockOutData[Product ID],ProductMaster!$B1291)</f>
        <v>-75.84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 t="str">
        <f>IFERROR(INDEX(StockInData[Expiry],MATCH(ProductMaster[[#This Row],[Product ID]],StockInData[Product ID],0)),"")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 t="str">
        <f>IFERROR(INDEX(StockInData[Expiry],MATCH(ProductMaster[[#This Row],[Product ID]],StockInData[Product ID],0)),"")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 t="str">
        <f>IFERROR(INDEX(StockInData[Expiry],MATCH(ProductMaster[[#This Row],[Product ID]],StockInData[Product ID],0)),"")</f>
        <v/>
      </c>
      <c r="H1302" s="61"/>
      <c r="I1302" s="61">
        <f>SUMIFS(StockInData[Quantity],StockInData[Product ID],ProductMaster!$B1302)-SUMIFS(StockOutData[Quantity],StockOutData[Product ID],ProductMaster!$B1302)</f>
        <v>-1</v>
      </c>
      <c r="J1302" s="64">
        <f>SUMIFS(StockInData[Value],StockInData[Product ID],ProductMaster!$B1302)-SUMIFS(StockOutData[Value],StockOutData[Product ID],ProductMaster!$B1302)</f>
        <v>-95.039999999999992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 t="str">
        <f>IFERROR(INDEX(StockInData[Expiry],MATCH(ProductMaster[[#This Row],[Product ID]],StockInData[Product ID],0)),"")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 t="str">
        <f>IFERROR(INDEX(StockInData[Expiry],MATCH(ProductMaster[[#This Row],[Product ID]],StockInData[Product ID],0)),"")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 t="str">
        <f>IFERROR(INDEX(StockInData[Expiry],MATCH(ProductMaster[[#This Row],[Product ID]],StockInData[Product ID],0)),"")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 t="str">
        <f>IFERROR(INDEX(StockInData[Expiry],MATCH(ProductMaster[[#This Row],[Product ID]],StockInData[Product ID],0)),"")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 t="str">
        <f>IFERROR(INDEX(StockInData[Expiry],MATCH(ProductMaster[[#This Row],[Product ID]],StockInData[Product ID],0)),"")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 t="str">
        <f>IFERROR(INDEX(StockInData[Expiry],MATCH(ProductMaster[[#This Row],[Product ID]],StockInData[Product ID],0)),"")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 t="str">
        <f>IFERROR(INDEX(StockInData[Expiry],MATCH(ProductMaster[[#This Row],[Product ID]],StockInData[Product ID],0)),"")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 t="str">
        <f>IFERROR(INDEX(StockInData[Expiry],MATCH(ProductMaster[[#This Row],[Product ID]],StockInData[Product ID],0)),"")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 t="str">
        <f>IFERROR(INDEX(StockInData[Expiry],MATCH(ProductMaster[[#This Row],[Product ID]],StockInData[Product ID],0)),"")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 t="str">
        <f>IFERROR(INDEX(StockInData[Expiry],MATCH(ProductMaster[[#This Row],[Product ID]],StockInData[Product ID],0)),"")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 t="str">
        <f>IFERROR(INDEX(StockInData[Expiry],MATCH(ProductMaster[[#This Row],[Product ID]],StockInData[Product ID],0)),"")</f>
        <v/>
      </c>
      <c r="H1368" s="61"/>
      <c r="I1368" s="61">
        <f>SUMIFS(StockInData[Quantity],StockInData[Product ID],ProductMaster!$B1368)-SUMIFS(StockOutData[Quantity],StockOutData[Product ID],ProductMaster!$B1368)</f>
        <v>-116</v>
      </c>
      <c r="J1368" s="64">
        <f>SUMIFS(StockInData[Value],StockInData[Product ID],ProductMaster!$B1368)-SUMIFS(StockOutData[Value],StockOutData[Product ID],ProductMaster!$B1368)</f>
        <v>-3939.36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 t="str">
        <f>IFERROR(INDEX(StockInData[Expiry],MATCH(ProductMaster[[#This Row],[Product ID]],StockInData[Product ID],0)),"")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 t="str">
        <f>IFERROR(INDEX(StockInData[Expiry],MATCH(ProductMaster[[#This Row],[Product ID]],StockInData[Product ID],0)),"")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 t="str">
        <f>IFERROR(INDEX(StockInData[Expiry],MATCH(ProductMaster[[#This Row],[Product ID]],StockInData[Product ID],0)),"")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 t="str">
        <f>IFERROR(INDEX(StockInData[Expiry],MATCH(ProductMaster[[#This Row],[Product ID]],StockInData[Product ID],0)),"")</f>
        <v/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 t="str">
        <f>IFERROR(INDEX(StockInData[Expiry],MATCH(ProductMaster[[#This Row],[Product ID]],StockInData[Product ID],0)),"")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 t="str">
        <f>IFERROR(INDEX(StockInData[Expiry],MATCH(ProductMaster[[#This Row],[Product ID]],StockInData[Product ID],0)),"")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 t="str">
        <f>IFERROR(INDEX(StockInData[Expiry],MATCH(ProductMaster[[#This Row],[Product ID]],StockInData[Product ID],0)),"")</f>
        <v/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 t="str">
        <f>IFERROR(INDEX(StockInData[Expiry],MATCH(ProductMaster[[#This Row],[Product ID]],StockInData[Product ID],0)),"")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 t="str">
        <f>IFERROR(INDEX(StockInData[Expiry],MATCH(ProductMaster[[#This Row],[Product ID]],StockInData[Product ID],0)),"")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 t="str">
        <f>IFERROR(INDEX(StockInData[Expiry],MATCH(ProductMaster[[#This Row],[Product ID]],StockInData[Product ID],0)),"")</f>
        <v/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 t="str">
        <f>IFERROR(INDEX(StockInData[Expiry],MATCH(ProductMaster[[#This Row],[Product ID]],StockInData[Product ID],0)),"")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 t="str">
        <f>IFERROR(INDEX(StockInData[Expiry],MATCH(ProductMaster[[#This Row],[Product ID]],StockInData[Product ID],0)),"")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 t="str">
        <f>IFERROR(INDEX(StockInData[Expiry],MATCH(ProductMaster[[#This Row],[Product ID]],StockInData[Product ID],0)),"")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 t="str">
        <f>IFERROR(INDEX(StockInData[Expiry],MATCH(ProductMaster[[#This Row],[Product ID]],StockInData[Product ID],0)),"")</f>
        <v/>
      </c>
      <c r="H1561" s="61"/>
      <c r="I1561" s="61">
        <f>SUMIFS(StockInData[Quantity],StockInData[Product ID],ProductMaster!$B1561)-SUMIFS(StockOutData[Quantity],StockOutData[Product ID],ProductMaster!$B1561)</f>
        <v>0</v>
      </c>
      <c r="J1561" s="64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 t="str">
        <f>IFERROR(INDEX(StockInData[Expiry],MATCH(ProductMaster[[#This Row],[Product ID]],StockInData[Product ID],0)),"")</f>
        <v/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 t="str">
        <f>IFERROR(INDEX(StockInData[Expiry],MATCH(ProductMaster[[#This Row],[Product ID]],StockInData[Product ID],0)),"")</f>
        <v/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 t="str">
        <f>IFERROR(INDEX(StockInData[Expiry],MATCH(ProductMaster[[#This Row],[Product ID]],StockInData[Product ID],0)),"")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 t="str">
        <f>IFERROR(INDEX(StockInData[Expiry],MATCH(ProductMaster[[#This Row],[Product ID]],StockInData[Product ID],0)),"")</f>
        <v/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 t="str">
        <f>IFERROR(INDEX(StockInData[Expiry],MATCH(ProductMaster[[#This Row],[Product ID]],StockInData[Product ID],0)),"")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 t="str">
        <f>IFERROR(INDEX(StockInData[Expiry],MATCH(ProductMaster[[#This Row],[Product ID]],StockInData[Product ID],0)),"")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 t="str">
        <f>IFERROR(INDEX(StockInData[Expiry],MATCH(ProductMaster[[#This Row],[Product ID]],StockInData[Product ID],0)),"")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 t="str">
        <f>IFERROR(INDEX(StockInData[Expiry],MATCH(ProductMaster[[#This Row],[Product ID]],StockInData[Product ID],0)),"")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 t="str">
        <f>IFERROR(INDEX(StockInData[Expiry],MATCH(ProductMaster[[#This Row],[Product ID]],StockInData[Product ID],0)),"")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 t="str">
        <f>IFERROR(INDEX(StockInData[Expiry],MATCH(ProductMaster[[#This Row],[Product ID]],StockInData[Product ID],0)),"")</f>
        <v/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 t="str">
        <f>IFERROR(INDEX(StockInData[Expiry],MATCH(ProductMaster[[#This Row],[Product ID]],StockInData[Product ID],0)),"")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 t="str">
        <f>IFERROR(INDEX(StockInData[Expiry],MATCH(ProductMaster[[#This Row],[Product ID]],StockInData[Product ID],0)),"")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 t="str">
        <f>IFERROR(INDEX(StockInData[Expiry],MATCH(ProductMaster[[#This Row],[Product ID]],StockInData[Product ID],0)),"")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 t="str">
        <f>IFERROR(INDEX(StockInData[Expiry],MATCH(ProductMaster[[#This Row],[Product ID]],StockInData[Product ID],0)),"")</f>
        <v/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 t="str">
        <f>IFERROR(INDEX(StockInData[Expiry],MATCH(ProductMaster[[#This Row],[Product ID]],StockInData[Product ID],0)),"")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 t="str">
        <f>IFERROR(INDEX(StockInData[Expiry],MATCH(ProductMaster[[#This Row],[Product ID]],StockInData[Product ID],0)),"")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 t="str">
        <f>IFERROR(INDEX(StockInData[Expiry],MATCH(ProductMaster[[#This Row],[Product ID]],StockInData[Product ID],0)),"")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 t="str">
        <f>IFERROR(INDEX(StockInData[Expiry],MATCH(ProductMaster[[#This Row],[Product ID]],StockInData[Product ID],0)),"")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 t="str">
        <f>IFERROR(INDEX(StockInData[Expiry],MATCH(ProductMaster[[#This Row],[Product ID]],StockInData[Product ID],0)),"")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 t="str">
        <f>IFERROR(INDEX(StockInData[Expiry],MATCH(ProductMaster[[#This Row],[Product ID]],StockInData[Product ID],0)),"")</f>
        <v/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 t="str">
        <f>IFERROR(INDEX(StockInData[Expiry],MATCH(ProductMaster[[#This Row],[Product ID]],StockInData[Product ID],0)),"")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 t="str">
        <f>IFERROR(INDEX(StockInData[Expiry],MATCH(ProductMaster[[#This Row],[Product ID]],StockInData[Product ID],0)),"")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 t="str">
        <f>IFERROR(INDEX(StockInData[Expiry],MATCH(ProductMaster[[#This Row],[Product ID]],StockInData[Product ID],0)),"")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 t="str">
        <f>IFERROR(INDEX(StockInData[Expiry],MATCH(ProductMaster[[#This Row],[Product ID]],StockInData[Product ID],0)),"")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 t="str">
        <f>IFERROR(INDEX(StockInData[Expiry],MATCH(ProductMaster[[#This Row],[Product ID]],StockInData[Product ID],0)),"")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 t="str">
        <f>IFERROR(INDEX(StockInData[Expiry],MATCH(ProductMaster[[#This Row],[Product ID]],StockInData[Product ID],0)),"")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 t="str">
        <f>IFERROR(INDEX(StockInData[Expiry],MATCH(ProductMaster[[#This Row],[Product ID]],StockInData[Product ID],0)),"")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 t="str">
        <f>IFERROR(INDEX(StockInData[Expiry],MATCH(ProductMaster[[#This Row],[Product ID]],StockInData[Product ID],0)),"")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 t="str">
        <f>IFERROR(INDEX(StockInData[Expiry],MATCH(ProductMaster[[#This Row],[Product ID]],StockInData[Product ID],0)),"")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 t="str">
        <f>IFERROR(INDEX(StockInData[Expiry],MATCH(ProductMaster[[#This Row],[Product ID]],StockInData[Product ID],0)),"")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 t="str">
        <f>IFERROR(INDEX(StockInData[Expiry],MATCH(ProductMaster[[#This Row],[Product ID]],StockInData[Product ID],0)),"")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 t="str">
        <f>IFERROR(INDEX(StockInData[Expiry],MATCH(ProductMaster[[#This Row],[Product ID]],StockInData[Product ID],0)),"")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 t="str">
        <f>IFERROR(INDEX(StockInData[Expiry],MATCH(ProductMaster[[#This Row],[Product ID]],StockInData[Product ID],0)),"")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 t="str">
        <f>IFERROR(INDEX(StockInData[Expiry],MATCH(ProductMaster[[#This Row],[Product ID]],StockInData[Product ID],0)),"")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 t="str">
        <f>IFERROR(INDEX(StockInData[Expiry],MATCH(ProductMaster[[#This Row],[Product ID]],StockInData[Product ID],0)),"")</f>
        <v/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 t="str">
        <f>IFERROR(INDEX(StockInData[Expiry],MATCH(ProductMaster[[#This Row],[Product ID]],StockInData[Product ID],0)),"")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 t="str">
        <f>IFERROR(INDEX(StockInData[Expiry],MATCH(ProductMaster[[#This Row],[Product ID]],StockInData[Product ID],0)),"")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 t="str">
        <f>IFERROR(INDEX(StockInData[Expiry],MATCH(ProductMaster[[#This Row],[Product ID]],StockInData[Product ID],0)),"")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 t="str">
        <f>IFERROR(INDEX(StockInData[Expiry],MATCH(ProductMaster[[#This Row],[Product ID]],StockInData[Product ID],0)),"")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 t="str">
        <f>IFERROR(INDEX(StockInData[Expiry],MATCH(ProductMaster[[#This Row],[Product ID]],StockInData[Product ID],0)),"")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 t="str">
        <f>IFERROR(INDEX(StockInData[Expiry],MATCH(ProductMaster[[#This Row],[Product ID]],StockInData[Product ID],0)),"")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 t="str">
        <f>IFERROR(INDEX(StockInData[Expiry],MATCH(ProductMaster[[#This Row],[Product ID]],StockInData[Product ID],0)),"")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 t="str">
        <f>IFERROR(INDEX(StockInData[Expiry],MATCH(ProductMaster[[#This Row],[Product ID]],StockInData[Product ID],0)),"")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 t="str">
        <f>IFERROR(INDEX(StockInData[Expiry],MATCH(ProductMaster[[#This Row],[Product ID]],StockInData[Product ID],0)),"")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 t="str">
        <f>IFERROR(INDEX(StockInData[Expiry],MATCH(ProductMaster[[#This Row],[Product ID]],StockInData[Product ID],0)),"")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 t="str">
        <f>IFERROR(INDEX(StockInData[Expiry],MATCH(ProductMaster[[#This Row],[Product ID]],StockInData[Product ID],0)),"")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 t="str">
        <f>IFERROR(INDEX(StockInData[Expiry],MATCH(ProductMaster[[#This Row],[Product ID]],StockInData[Product ID],0)),"")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 t="str">
        <f>IFERROR(INDEX(StockInData[Expiry],MATCH(ProductMaster[[#This Row],[Product ID]],StockInData[Product ID],0)),"")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 t="str">
        <f>IFERROR(INDEX(StockInData[Expiry],MATCH(ProductMaster[[#This Row],[Product ID]],StockInData[Product ID],0)),"")</f>
        <v/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 t="str">
        <f>IFERROR(INDEX(StockInData[Expiry],MATCH(ProductMaster[[#This Row],[Product ID]],StockInData[Product ID],0)),"")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 t="str">
        <f>IFERROR(INDEX(StockInData[Expiry],MATCH(ProductMaster[[#This Row],[Product ID]],StockInData[Product ID],0)),"")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 t="str">
        <f>IFERROR(INDEX(StockInData[Expiry],MATCH(ProductMaster[[#This Row],[Product ID]],StockInData[Product ID],0)),"")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 t="str">
        <f>IFERROR(INDEX(StockInData[Expiry],MATCH(ProductMaster[[#This Row],[Product ID]],StockInData[Product ID],0)),"")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 t="str">
        <f>IFERROR(INDEX(StockInData[Expiry],MATCH(ProductMaster[[#This Row],[Product ID]],StockInData[Product ID],0)),"")</f>
        <v/>
      </c>
      <c r="H1676" s="61"/>
      <c r="I1676" s="61">
        <f>SUMIFS(StockInData[Quantity],StockInData[Product ID],ProductMaster!$B1676)-SUMIFS(StockOutData[Quantity],StockOutData[Product ID],ProductMaster!$B1676)</f>
        <v>-2</v>
      </c>
      <c r="J1676" s="64">
        <f>SUMIFS(StockInData[Value],StockInData[Product ID],ProductMaster!$B1676)-SUMIFS(StockOutData[Value],StockOutData[Product ID],ProductMaster!$B1676)</f>
        <v>-12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 t="str">
        <f>IFERROR(INDEX(StockInData[Expiry],MATCH(ProductMaster[[#This Row],[Product ID]],StockInData[Product ID],0)),"")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 t="str">
        <f>IFERROR(INDEX(StockInData[Expiry],MATCH(ProductMaster[[#This Row],[Product ID]],StockInData[Product ID],0)),"")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 t="str">
        <f>IFERROR(INDEX(StockInData[Expiry],MATCH(ProductMaster[[#This Row],[Product ID]],StockInData[Product ID],0)),"")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 t="str">
        <f>IFERROR(INDEX(StockInData[Expiry],MATCH(ProductMaster[[#This Row],[Product ID]],StockInData[Product ID],0)),"")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 t="str">
        <f>IFERROR(INDEX(StockInData[Expiry],MATCH(ProductMaster[[#This Row],[Product ID]],StockInData[Product ID],0)),"")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 t="str">
        <f>IFERROR(INDEX(StockInData[Expiry],MATCH(ProductMaster[[#This Row],[Product ID]],StockInData[Product ID],0)),"")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 t="str">
        <f>IFERROR(INDEX(StockInData[Expiry],MATCH(ProductMaster[[#This Row],[Product ID]],StockInData[Product ID],0)),"")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 t="str">
        <f>IFERROR(INDEX(StockInData[Expiry],MATCH(ProductMaster[[#This Row],[Product ID]],StockInData[Product ID],0)),"")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 t="str">
        <f>IFERROR(INDEX(StockInData[Expiry],MATCH(ProductMaster[[#This Row],[Product ID]],StockInData[Product ID],0)),"")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 t="str">
        <f>IFERROR(INDEX(StockInData[Expiry],MATCH(ProductMaster[[#This Row],[Product ID]],StockInData[Product ID],0)),"")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 t="str">
        <f>IFERROR(INDEX(StockInData[Expiry],MATCH(ProductMaster[[#This Row],[Product ID]],StockInData[Product ID],0)),"")</f>
        <v/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 t="str">
        <f>IFERROR(INDEX(StockInData[Expiry],MATCH(ProductMaster[[#This Row],[Product ID]],StockInData[Product ID],0)),"")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 t="str">
        <f>IFERROR(INDEX(StockInData[Expiry],MATCH(ProductMaster[[#This Row],[Product ID]],StockInData[Product ID],0)),"")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 t="str">
        <f>IFERROR(INDEX(StockInData[Expiry],MATCH(ProductMaster[[#This Row],[Product ID]],StockInData[Product ID],0)),"")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 t="str">
        <f>IFERROR(INDEX(StockInData[Expiry],MATCH(ProductMaster[[#This Row],[Product ID]],StockInData[Product ID],0)),"")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 t="str">
        <f>IFERROR(INDEX(StockInData[Expiry],MATCH(ProductMaster[[#This Row],[Product ID]],StockInData[Product ID],0)),"")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 t="str">
        <f>IFERROR(INDEX(StockInData[Expiry],MATCH(ProductMaster[[#This Row],[Product ID]],StockInData[Product ID],0)),"")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 t="str">
        <f>IFERROR(INDEX(StockInData[Expiry],MATCH(ProductMaster[[#This Row],[Product ID]],StockInData[Product ID],0)),"")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 t="str">
        <f>IFERROR(INDEX(StockInData[Expiry],MATCH(ProductMaster[[#This Row],[Product ID]],StockInData[Product ID],0)),"")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 t="str">
        <f>IFERROR(INDEX(StockInData[Expiry],MATCH(ProductMaster[[#This Row],[Product ID]],StockInData[Product ID],0)),"")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 t="str">
        <f>IFERROR(INDEX(StockInData[Expiry],MATCH(ProductMaster[[#This Row],[Product ID]],StockInData[Product ID],0)),"")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 t="str">
        <f>IFERROR(INDEX(StockInData[Expiry],MATCH(ProductMaster[[#This Row],[Product ID]],StockInData[Product ID],0)),"")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 t="str">
        <f>IFERROR(INDEX(StockInData[Expiry],MATCH(ProductMaster[[#This Row],[Product ID]],StockInData[Product ID],0)),"")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 t="str">
        <f>IFERROR(INDEX(StockInData[Expiry],MATCH(ProductMaster[[#This Row],[Product ID]],StockInData[Product ID],0)),"")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 t="str">
        <f>IFERROR(INDEX(StockInData[Expiry],MATCH(ProductMaster[[#This Row],[Product ID]],StockInData[Product ID],0)),"")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 t="str">
        <f>IFERROR(INDEX(StockInData[Expiry],MATCH(ProductMaster[[#This Row],[Product ID]],StockInData[Product ID],0)),"")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 t="str">
        <f>IFERROR(INDEX(StockInData[Expiry],MATCH(ProductMaster[[#This Row],[Product ID]],StockInData[Product ID],0)),"")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 t="str">
        <f>IFERROR(INDEX(StockInData[Expiry],MATCH(ProductMaster[[#This Row],[Product ID]],StockInData[Product ID],0)),"")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 t="str">
        <f>IFERROR(INDEX(StockInData[Expiry],MATCH(ProductMaster[[#This Row],[Product ID]],StockInData[Product ID],0)),"")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 t="str">
        <f>IFERROR(INDEX(StockInData[Expiry],MATCH(ProductMaster[[#This Row],[Product ID]],StockInData[Product ID],0)),"")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 t="str">
        <f>IFERROR(INDEX(StockInData[Expiry],MATCH(ProductMaster[[#This Row],[Product ID]],StockInData[Product ID],0)),"")</f>
        <v/>
      </c>
      <c r="H1750" s="61"/>
      <c r="I1750" s="61">
        <f>SUMIFS(StockInData[Quantity],StockInData[Product ID],ProductMaster!$B1750)-SUMIFS(StockOutData[Quantity],StockOutData[Product ID],ProductMaster!$B1750)</f>
        <v>-2</v>
      </c>
      <c r="J1750" s="64">
        <f>SUMIFS(StockInData[Value],StockInData[Product ID],ProductMaster!$B1750)-SUMIFS(StockOutData[Value],StockOutData[Product ID],ProductMaster!$B1750)</f>
        <v>-50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 t="str">
        <f>IFERROR(INDEX(StockInData[Expiry],MATCH(ProductMaster[[#This Row],[Product ID]],StockInData[Product ID],0)),"")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 t="str">
        <f>IFERROR(INDEX(StockInData[Expiry],MATCH(ProductMaster[[#This Row],[Product ID]],StockInData[Product ID],0)),"")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 t="str">
        <f>IFERROR(INDEX(StockInData[Expiry],MATCH(ProductMaster[[#This Row],[Product ID]],StockInData[Product ID],0)),"")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 t="str">
        <f>IFERROR(INDEX(StockInData[Expiry],MATCH(ProductMaster[[#This Row],[Product ID]],StockInData[Product ID],0)),"")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 t="str">
        <f>IFERROR(INDEX(StockInData[Expiry],MATCH(ProductMaster[[#This Row],[Product ID]],StockInData[Product ID],0)),"")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 t="str">
        <f>IFERROR(INDEX(StockInData[Expiry],MATCH(ProductMaster[[#This Row],[Product ID]],StockInData[Product ID],0)),"")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 t="str">
        <f>IFERROR(INDEX(StockInData[Expiry],MATCH(ProductMaster[[#This Row],[Product ID]],StockInData[Product ID],0)),"")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 t="str">
        <f>IFERROR(INDEX(StockInData[Expiry],MATCH(ProductMaster[[#This Row],[Product ID]],StockInData[Product ID],0)),"")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 t="str">
        <f>IFERROR(INDEX(StockInData[Expiry],MATCH(ProductMaster[[#This Row],[Product ID]],StockInData[Product ID],0)),"")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 t="str">
        <f>IFERROR(INDEX(StockInData[Expiry],MATCH(ProductMaster[[#This Row],[Product ID]],StockInData[Product ID],0)),"")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 t="str">
        <f>IFERROR(INDEX(StockInData[Expiry],MATCH(ProductMaster[[#This Row],[Product ID]],StockInData[Product ID],0)),"")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 t="str">
        <f>IFERROR(INDEX(StockInData[Expiry],MATCH(ProductMaster[[#This Row],[Product ID]],StockInData[Product ID],0)),"")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 t="str">
        <f>IFERROR(INDEX(StockInData[Expiry],MATCH(ProductMaster[[#This Row],[Product ID]],StockInData[Product ID],0)),"")</f>
        <v/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 t="str">
        <f>IFERROR(INDEX(StockInData[Expiry],MATCH(ProductMaster[[#This Row],[Product ID]],StockInData[Product ID],0)),"")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 t="str">
        <f>IFERROR(INDEX(StockInData[Expiry],MATCH(ProductMaster[[#This Row],[Product ID]],StockInData[Product ID],0)),"")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 t="str">
        <f>IFERROR(INDEX(StockInData[Expiry],MATCH(ProductMaster[[#This Row],[Product ID]],StockInData[Product ID],0)),"")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 t="str">
        <f>IFERROR(INDEX(StockInData[Expiry],MATCH(ProductMaster[[#This Row],[Product ID]],StockInData[Product ID],0)),"")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 t="str">
        <f>IFERROR(INDEX(StockInData[Expiry],MATCH(ProductMaster[[#This Row],[Product ID]],StockInData[Product ID],0)),"")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 t="str">
        <f>IFERROR(INDEX(StockInData[Expiry],MATCH(ProductMaster[[#This Row],[Product ID]],StockInData[Product ID],0)),"")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 t="str">
        <f>IFERROR(INDEX(StockInData[Expiry],MATCH(ProductMaster[[#This Row],[Product ID]],StockInData[Product ID],0)),"")</f>
        <v/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 t="str">
        <f>IFERROR(INDEX(StockInData[Expiry],MATCH(ProductMaster[[#This Row],[Product ID]],StockInData[Product ID],0)),"")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 t="str">
        <f>IFERROR(INDEX(StockInData[Expiry],MATCH(ProductMaster[[#This Row],[Product ID]],StockInData[Product ID],0)),"")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 t="str">
        <f>IFERROR(INDEX(StockInData[Expiry],MATCH(ProductMaster[[#This Row],[Product ID]],StockInData[Product ID],0)),"")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 t="str">
        <f>IFERROR(INDEX(StockInData[Expiry],MATCH(ProductMaster[[#This Row],[Product ID]],StockInData[Product ID],0)),"")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 t="str">
        <f>IFERROR(INDEX(StockInData[Expiry],MATCH(ProductMaster[[#This Row],[Product ID]],StockInData[Product ID],0)),"")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 t="str">
        <f>IFERROR(INDEX(StockInData[Expiry],MATCH(ProductMaster[[#This Row],[Product ID]],StockInData[Product ID],0)),"")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 t="str">
        <f>IFERROR(INDEX(StockInData[Expiry],MATCH(ProductMaster[[#This Row],[Product ID]],StockInData[Product ID],0)),"")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 t="str">
        <f>IFERROR(INDEX(StockInData[Expiry],MATCH(ProductMaster[[#This Row],[Product ID]],StockInData[Product ID],0)),"")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 t="str">
        <f>IFERROR(INDEX(StockInData[Expiry],MATCH(ProductMaster[[#This Row],[Product ID]],StockInData[Product ID],0)),"")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 t="str">
        <f>IFERROR(INDEX(StockInData[Expiry],MATCH(ProductMaster[[#This Row],[Product ID]],StockInData[Product ID],0)),"")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 t="str">
        <f>IFERROR(INDEX(StockInData[Expiry],MATCH(ProductMaster[[#This Row],[Product ID]],StockInData[Product ID],0)),"")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 t="str">
        <f>IFERROR(INDEX(StockInData[Expiry],MATCH(ProductMaster[[#This Row],[Product ID]],StockInData[Product ID],0)),"")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 t="str">
        <f>IFERROR(INDEX(StockInData[Expiry],MATCH(ProductMaster[[#This Row],[Product ID]],StockInData[Product ID],0)),"")</f>
        <v/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 t="str">
        <f>IFERROR(INDEX(StockInData[Expiry],MATCH(ProductMaster[[#This Row],[Product ID]],StockInData[Product ID],0)),"")</f>
        <v/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 t="str">
        <f>IFERROR(INDEX(StockInData[Expiry],MATCH(ProductMaster[[#This Row],[Product ID]],StockInData[Product ID],0)),"")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 t="str">
        <f>IFERROR(INDEX(StockInData[Expiry],MATCH(ProductMaster[[#This Row],[Product ID]],StockInData[Product ID],0)),"")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 t="str">
        <f>IFERROR(INDEX(StockInData[Expiry],MATCH(ProductMaster[[#This Row],[Product ID]],StockInData[Product ID],0)),"")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 t="str">
        <f>IFERROR(INDEX(StockInData[Expiry],MATCH(ProductMaster[[#This Row],[Product ID]],StockInData[Product ID],0)),"")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 t="str">
        <f>IFERROR(INDEX(StockInData[Expiry],MATCH(ProductMaster[[#This Row],[Product ID]],StockInData[Product ID],0)),"")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 t="str">
        <f>IFERROR(INDEX(StockInData[Expiry],MATCH(ProductMaster[[#This Row],[Product ID]],StockInData[Product ID],0)),"")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 t="str">
        <f>IFERROR(INDEX(StockInData[Expiry],MATCH(ProductMaster[[#This Row],[Product ID]],StockInData[Product ID],0)),"")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 t="str">
        <f>IFERROR(INDEX(StockInData[Expiry],MATCH(ProductMaster[[#This Row],[Product ID]],StockInData[Product ID],0)),"")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 t="str">
        <f>IFERROR(INDEX(StockInData[Expiry],MATCH(ProductMaster[[#This Row],[Product ID]],StockInData[Product ID],0)),"")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 t="str">
        <f>IFERROR(INDEX(StockInData[Expiry],MATCH(ProductMaster[[#This Row],[Product ID]],StockInData[Product ID],0)),"")</f>
        <v/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 t="str">
        <f>IFERROR(INDEX(StockInData[Expiry],MATCH(ProductMaster[[#This Row],[Product ID]],StockInData[Product ID],0)),"")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 t="str">
        <f>IFERROR(INDEX(StockInData[Expiry],MATCH(ProductMaster[[#This Row],[Product ID]],StockInData[Product ID],0)),"")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 t="str">
        <f>IFERROR(INDEX(StockInData[Expiry],MATCH(ProductMaster[[#This Row],[Product ID]],StockInData[Product ID],0)),"")</f>
        <v/>
      </c>
      <c r="H1828" s="61"/>
      <c r="I1828" s="61">
        <f>SUMIFS(StockInData[Quantity],StockInData[Product ID],ProductMaster!$B1828)-SUMIFS(StockOutData[Quantity],StockOutData[Product ID],ProductMaster!$B1828)</f>
        <v>-2</v>
      </c>
      <c r="J1828" s="64">
        <f>SUMIFS(StockInData[Value],StockInData[Product ID],ProductMaster!$B1828)-SUMIFS(StockOutData[Value],StockOutData[Product ID],ProductMaster!$B1828)</f>
        <v>-54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 t="str">
        <f>IFERROR(INDEX(StockInData[Expiry],MATCH(ProductMaster[[#This Row],[Product ID]],StockInData[Product ID],0)),"")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 t="str">
        <f>IFERROR(INDEX(StockInData[Expiry],MATCH(ProductMaster[[#This Row],[Product ID]],StockInData[Product ID],0)),"")</f>
        <v/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 t="str">
        <f>IFERROR(INDEX(StockInData[Expiry],MATCH(ProductMaster[[#This Row],[Product ID]],StockInData[Product ID],0)),"")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 t="str">
        <f>IFERROR(INDEX(StockInData[Expiry],MATCH(ProductMaster[[#This Row],[Product ID]],StockInData[Product ID],0)),"")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 t="str">
        <f>IFERROR(INDEX(StockInData[Expiry],MATCH(ProductMaster[[#This Row],[Product ID]],StockInData[Product ID],0)),"")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 t="str">
        <f>IFERROR(INDEX(StockInData[Expiry],MATCH(ProductMaster[[#This Row],[Product ID]],StockInData[Product ID],0)),"")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 t="str">
        <f>IFERROR(INDEX(StockInData[Expiry],MATCH(ProductMaster[[#This Row],[Product ID]],StockInData[Product ID],0)),"")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 t="str">
        <f>IFERROR(INDEX(StockInData[Expiry],MATCH(ProductMaster[[#This Row],[Product ID]],StockInData[Product ID],0)),"")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 t="str">
        <f>IFERROR(INDEX(StockInData[Expiry],MATCH(ProductMaster[[#This Row],[Product ID]],StockInData[Product ID],0)),"")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 t="str">
        <f>IFERROR(INDEX(StockInData[Expiry],MATCH(ProductMaster[[#This Row],[Product ID]],StockInData[Product ID],0)),"")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 t="str">
        <f>IFERROR(INDEX(StockInData[Expiry],MATCH(ProductMaster[[#This Row],[Product ID]],StockInData[Product ID],0)),"")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 t="str">
        <f>IFERROR(INDEX(StockInData[Expiry],MATCH(ProductMaster[[#This Row],[Product ID]],StockInData[Product ID],0)),"")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 t="str">
        <f>IFERROR(INDEX(StockInData[Expiry],MATCH(ProductMaster[[#This Row],[Product ID]],StockInData[Product ID],0)),"")</f>
        <v/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 t="str">
        <f>IFERROR(INDEX(StockInData[Expiry],MATCH(ProductMaster[[#This Row],[Product ID]],StockInData[Product ID],0)),"")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-2</v>
      </c>
      <c r="J1939" s="64">
        <f>SUMIFS(StockInData[Value],StockInData[Product ID],ProductMaster!$B1939)-SUMIFS(StockOutData[Value],StockOutData[Product ID],ProductMaster!$B1939)</f>
        <v>-26.7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 t="str">
        <f>IFERROR(INDEX(StockInData[Expiry],MATCH(ProductMaster[[#This Row],[Product ID]],StockInData[Product ID],0)),"")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 t="str">
        <f>IFERROR(INDEX(StockInData[Expiry],MATCH(ProductMaster[[#This Row],[Product ID]],StockInData[Product ID],0)),"")</f>
        <v/>
      </c>
      <c r="H1943" s="61"/>
      <c r="I1943" s="61">
        <f>SUMIFS(StockInData[Quantity],StockInData[Product ID],ProductMaster!$B1943)-SUMIFS(StockOutData[Quantity],StockOutData[Product ID],ProductMaster!$B1943)</f>
        <v>-2</v>
      </c>
      <c r="J1943" s="64">
        <f>SUMIFS(StockInData[Value],StockInData[Product ID],ProductMaster!$B1943)-SUMIFS(StockOutData[Value],StockOutData[Product ID],ProductMaster!$B1943)</f>
        <v>-28.48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 t="str">
        <f>IFERROR(INDEX(StockInData[Expiry],MATCH(ProductMaster[[#This Row],[Product ID]],StockInData[Product ID],0)),"")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 t="str">
        <f>IFERROR(INDEX(StockInData[Expiry],MATCH(ProductMaster[[#This Row],[Product ID]],StockInData[Product ID],0)),"")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 t="str">
        <f>IFERROR(INDEX(StockInData[Expiry],MATCH(ProductMaster[[#This Row],[Product ID]],StockInData[Product ID],0)),"")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 t="str">
        <f>IFERROR(INDEX(StockInData[Expiry],MATCH(ProductMaster[[#This Row],[Product ID]],StockInData[Product ID],0)),"")</f>
        <v/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 t="str">
        <f>IFERROR(INDEX(StockInData[Expiry],MATCH(ProductMaster[[#This Row],[Product ID]],StockInData[Product ID],0)),"")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 t="str">
        <f>IFERROR(INDEX(StockInData[Expiry],MATCH(ProductMaster[[#This Row],[Product ID]],StockInData[Product ID],0)),"")</f>
        <v/>
      </c>
      <c r="H1952" s="61"/>
      <c r="I1952" s="61">
        <f>SUMIFS(StockInData[Quantity],StockInData[Product ID],ProductMaster!$B1952)-SUMIFS(StockOutData[Quantity],StockOutData[Product ID],ProductMaster!$B1952)</f>
        <v>-2</v>
      </c>
      <c r="J1952" s="64">
        <f>SUMIFS(StockInData[Value],StockInData[Product ID],ProductMaster!$B1952)-SUMIFS(StockOutData[Value],StockOutData[Product ID],ProductMaster!$B1952)</f>
        <v>-41.28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 t="str">
        <f>IFERROR(INDEX(StockInData[Expiry],MATCH(ProductMaster[[#This Row],[Product ID]],StockInData[Product ID],0)),"")</f>
        <v/>
      </c>
      <c r="H1956" s="61"/>
      <c r="I1956" s="61">
        <f>SUMIFS(StockInData[Quantity],StockInData[Product ID],ProductMaster!$B1956)-SUMIFS(StockOutData[Quantity],StockOutData[Product ID],ProductMaster!$B1956)</f>
        <v>-2</v>
      </c>
      <c r="J1956" s="64">
        <f>SUMIFS(StockInData[Value],StockInData[Product ID],ProductMaster!$B1956)-SUMIFS(StockOutData[Value],StockOutData[Product ID],ProductMaster!$B1956)</f>
        <v>-44.48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 t="str">
        <f>IFERROR(INDEX(StockInData[Expiry],MATCH(ProductMaster[[#This Row],[Product ID]],StockInData[Product ID],0)),"")</f>
        <v/>
      </c>
      <c r="H1957" s="61"/>
      <c r="I1957" s="61">
        <f>SUMIFS(StockInData[Quantity],StockInData[Product ID],ProductMaster!$B1957)-SUMIFS(StockOutData[Quantity],StockOutData[Product ID],ProductMaster!$B1957)</f>
        <v>-2</v>
      </c>
      <c r="J1957" s="64">
        <f>SUMIFS(StockInData[Value],StockInData[Product ID],ProductMaster!$B1957)-SUMIFS(StockOutData[Value],StockOutData[Product ID],ProductMaster!$B1957)</f>
        <v>-38.08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 t="str">
        <f>IFERROR(INDEX(StockInData[Expiry],MATCH(ProductMaster[[#This Row],[Product ID]],StockInData[Product ID],0)),"")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 t="str">
        <f>IFERROR(INDEX(StockInData[Expiry],MATCH(ProductMaster[[#This Row],[Product ID]],StockInData[Product ID],0)),"")</f>
        <v/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 t="str">
        <f>IFERROR(INDEX(StockInData[Expiry],MATCH(ProductMaster[[#This Row],[Product ID]],StockInData[Product ID],0)),"")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 t="str">
        <f>IFERROR(INDEX(StockInData[Expiry],MATCH(ProductMaster[[#This Row],[Product ID]],StockInData[Product ID],0)),"")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 t="str">
        <f>IFERROR(INDEX(StockInData[Expiry],MATCH(ProductMaster[[#This Row],[Product ID]],StockInData[Product ID],0)),"")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 t="str">
        <f>IFERROR(INDEX(StockInData[Expiry],MATCH(ProductMaster[[#This Row],[Product ID]],StockInData[Product ID],0)),"")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 t="str">
        <f>IFERROR(INDEX(StockInData[Expiry],MATCH(ProductMaster[[#This Row],[Product ID]],StockInData[Product ID],0)),"")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 t="str">
        <f>IFERROR(INDEX(StockInData[Expiry],MATCH(ProductMaster[[#This Row],[Product ID]],StockInData[Product ID],0)),"")</f>
        <v/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 t="str">
        <f>IFERROR(INDEX(StockInData[Expiry],MATCH(ProductMaster[[#This Row],[Product ID]],StockInData[Product ID],0)),"")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 t="str">
        <f>IFERROR(INDEX(StockInData[Expiry],MATCH(ProductMaster[[#This Row],[Product ID]],StockInData[Product ID],0)),"")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 t="str">
        <f>IFERROR(INDEX(StockInData[Expiry],MATCH(ProductMaster[[#This Row],[Product ID]],StockInData[Product ID],0)),"")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 t="str">
        <f>IFERROR(INDEX(StockInData[Expiry],MATCH(ProductMaster[[#This Row],[Product ID]],StockInData[Product ID],0)),"")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 t="str">
        <f>IFERROR(INDEX(StockInData[Expiry],MATCH(ProductMaster[[#This Row],[Product ID]],StockInData[Product ID],0)),"")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 t="str">
        <f>IFERROR(INDEX(StockInData[Expiry],MATCH(ProductMaster[[#This Row],[Product ID]],StockInData[Product ID],0)),"")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 t="str">
        <f>IFERROR(INDEX(StockInData[Expiry],MATCH(ProductMaster[[#This Row],[Product ID]],StockInData[Product ID],0)),"")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 t="str">
        <f>IFERROR(INDEX(StockInData[Expiry],MATCH(ProductMaster[[#This Row],[Product ID]],StockInData[Product ID],0)),"")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 t="str">
        <f>IFERROR(INDEX(StockInData[Expiry],MATCH(ProductMaster[[#This Row],[Product ID]],StockInData[Product ID],0)),"")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 t="str">
        <f>IFERROR(INDEX(StockInData[Expiry],MATCH(ProductMaster[[#This Row],[Product ID]],StockInData[Product ID],0)),"")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 t="str">
        <f>IFERROR(INDEX(StockInData[Expiry],MATCH(ProductMaster[[#This Row],[Product ID]],StockInData[Product ID],0)),"")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 t="str">
        <f>IFERROR(INDEX(StockInData[Expiry],MATCH(ProductMaster[[#This Row],[Product ID]],StockInData[Product ID],0)),"")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 t="str">
        <f>IFERROR(INDEX(StockInData[Expiry],MATCH(ProductMaster[[#This Row],[Product ID]],StockInData[Product ID],0)),"")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-2</v>
      </c>
      <c r="J2019" s="64">
        <f>SUMIFS(StockInData[Value],StockInData[Product ID],ProductMaster!$B2019)-SUMIFS(StockOutData[Value],StockOutData[Product ID],ProductMaster!$B2019)</f>
        <v>-47.68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 t="str">
        <f>IFERROR(INDEX(StockInData[Expiry],MATCH(ProductMaster[[#This Row],[Product ID]],StockInData[Product ID],0)),"")</f>
        <v/>
      </c>
      <c r="H2020" s="61"/>
      <c r="I2020" s="61">
        <f>SUMIFS(StockInData[Quantity],StockInData[Product ID],ProductMaster!$B2020)-SUMIFS(StockOutData[Quantity],StockOutData[Product ID],ProductMaster!$B2020)</f>
        <v>-2</v>
      </c>
      <c r="J2020" s="64">
        <f>SUMIFS(StockInData[Value],StockInData[Product ID],ProductMaster!$B2020)-SUMIFS(StockOutData[Value],StockOutData[Product ID],ProductMaster!$B2020)</f>
        <v>-37.5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 t="str">
        <f>IFERROR(INDEX(StockInData[Expiry],MATCH(ProductMaster[[#This Row],[Product ID]],StockInData[Product ID],0)),"")</f>
        <v/>
      </c>
      <c r="H2021" s="61"/>
      <c r="I2021" s="61">
        <f>SUMIFS(StockInData[Quantity],StockInData[Product ID],ProductMaster!$B2021)-SUMIFS(StockOutData[Quantity],StockOutData[Product ID],ProductMaster!$B2021)</f>
        <v>-2</v>
      </c>
      <c r="J2021" s="64">
        <f>SUMIFS(StockInData[Value],StockInData[Product ID],ProductMaster!$B2021)-SUMIFS(StockOutData[Value],StockOutData[Product ID],ProductMaster!$B2021)</f>
        <v>-44.48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 t="str">
        <f>IFERROR(INDEX(StockInData[Expiry],MATCH(ProductMaster[[#This Row],[Product ID]],StockInData[Product ID],0)),"")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 t="str">
        <f>IFERROR(INDEX(StockInData[Expiry],MATCH(ProductMaster[[#This Row],[Product ID]],StockInData[Product ID],0)),"")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 t="str">
        <f>IFERROR(INDEX(StockInData[Expiry],MATCH(ProductMaster[[#This Row],[Product ID]],StockInData[Product ID],0)),"")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 t="str">
        <f>IFERROR(INDEX(StockInData[Expiry],MATCH(ProductMaster[[#This Row],[Product ID]],StockInData[Product ID],0)),"")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 t="str">
        <f>IFERROR(INDEX(StockInData[Expiry],MATCH(ProductMaster[[#This Row],[Product ID]],StockInData[Product ID],0)),"")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 t="str">
        <f>IFERROR(INDEX(StockInData[Expiry],MATCH(ProductMaster[[#This Row],[Product ID]],StockInData[Product ID],0)),"")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 t="str">
        <f>IFERROR(INDEX(StockInData[Expiry],MATCH(ProductMaster[[#This Row],[Product ID]],StockInData[Product ID],0)),"")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 t="str">
        <f>IFERROR(INDEX(StockInData[Expiry],MATCH(ProductMaster[[#This Row],[Product ID]],StockInData[Product ID],0)),"")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 t="str">
        <f>IFERROR(INDEX(StockInData[Expiry],MATCH(ProductMaster[[#This Row],[Product ID]],StockInData[Product ID],0)),"")</f>
        <v/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 t="str">
        <f>IFERROR(INDEX(StockInData[Expiry],MATCH(ProductMaster[[#This Row],[Product ID]],StockInData[Product ID],0)),"")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 t="str">
        <f>IFERROR(INDEX(StockInData[Expiry],MATCH(ProductMaster[[#This Row],[Product ID]],StockInData[Product ID],0)),"")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 t="str">
        <f>IFERROR(INDEX(StockInData[Expiry],MATCH(ProductMaster[[#This Row],[Product ID]],StockInData[Product ID],0)),"")</f>
        <v/>
      </c>
      <c r="H2048" s="61"/>
      <c r="I2048" s="61">
        <f>SUMIFS(StockInData[Quantity],StockInData[Product ID],ProductMaster!$B2048)-SUMIFS(StockOutData[Quantity],StockOutData[Product ID],ProductMaster!$B2048)</f>
        <v>-2</v>
      </c>
      <c r="J2048" s="64">
        <f>SUMIFS(StockInData[Value],StockInData[Product ID],ProductMaster!$B2048)-SUMIFS(StockOutData[Value],StockOutData[Product ID],ProductMaster!$B2048)</f>
        <v>-32.700000000000003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 t="str">
        <f>IFERROR(INDEX(StockInData[Expiry],MATCH(ProductMaster[[#This Row],[Product ID]],StockInData[Product ID],0)),"")</f>
        <v/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 t="str">
        <f>IFERROR(INDEX(StockInData[Expiry],MATCH(ProductMaster[[#This Row],[Product ID]],StockInData[Product ID],0)),"")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 t="str">
        <f>IFERROR(INDEX(StockInData[Expiry],MATCH(ProductMaster[[#This Row],[Product ID]],StockInData[Product ID],0)),"")</f>
        <v/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 t="str">
        <f>IFERROR(INDEX(StockInData[Expiry],MATCH(ProductMaster[[#This Row],[Product ID]],StockInData[Product ID],0)),"")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 t="str">
        <f>IFERROR(INDEX(StockInData[Expiry],MATCH(ProductMaster[[#This Row],[Product ID]],StockInData[Product ID],0)),"")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 t="str">
        <f>IFERROR(INDEX(StockInData[Expiry],MATCH(ProductMaster[[#This Row],[Product ID]],StockInData[Product ID],0)),"")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 t="str">
        <f>IFERROR(INDEX(StockInData[Expiry],MATCH(ProductMaster[[#This Row],[Product ID]],StockInData[Product ID],0)),"")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 t="str">
        <f>IFERROR(INDEX(StockInData[Expiry],MATCH(ProductMaster[[#This Row],[Product ID]],StockInData[Product ID],0)),"")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 t="str">
        <f>IFERROR(INDEX(StockInData[Expiry],MATCH(ProductMaster[[#This Row],[Product ID]],StockInData[Product ID],0)),"")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 t="str">
        <f>IFERROR(INDEX(StockInData[Expiry],MATCH(ProductMaster[[#This Row],[Product ID]],StockInData[Product ID],0)),"")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 t="str">
        <f>IFERROR(INDEX(StockInData[Expiry],MATCH(ProductMaster[[#This Row],[Product ID]],StockInData[Product ID],0)),"")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 t="str">
        <f>IFERROR(INDEX(StockInData[Expiry],MATCH(ProductMaster[[#This Row],[Product ID]],StockInData[Product ID],0)),"")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 t="str">
        <f>IFERROR(INDEX(StockInData[Expiry],MATCH(ProductMaster[[#This Row],[Product ID]],StockInData[Product ID],0)),"")</f>
        <v/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 t="str">
        <f>IFERROR(INDEX(StockInData[Expiry],MATCH(ProductMaster[[#This Row],[Product ID]],StockInData[Product ID],0)),"")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 t="str">
        <f>IFERROR(INDEX(StockInData[Expiry],MATCH(ProductMaster[[#This Row],[Product ID]],StockInData[Product ID],0)),"")</f>
        <v/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 t="str">
        <f>IFERROR(INDEX(StockInData[Expiry],MATCH(ProductMaster[[#This Row],[Product ID]],StockInData[Product ID],0)),"")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 t="str">
        <f>IFERROR(INDEX(StockInData[Expiry],MATCH(ProductMaster[[#This Row],[Product ID]],StockInData[Product ID],0)),"")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 t="str">
        <f>IFERROR(INDEX(StockInData[Expiry],MATCH(ProductMaster[[#This Row],[Product ID]],StockInData[Product ID],0)),"")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 t="str">
        <f>IFERROR(INDEX(StockInData[Expiry],MATCH(ProductMaster[[#This Row],[Product ID]],StockInData[Product ID],0)),"")</f>
        <v/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 t="str">
        <f>IFERROR(INDEX(StockInData[Expiry],MATCH(ProductMaster[[#This Row],[Product ID]],StockInData[Product ID],0)),"")</f>
        <v/>
      </c>
      <c r="H2116" s="61"/>
      <c r="I2116" s="61">
        <f>SUMIFS(StockInData[Quantity],StockInData[Product ID],ProductMaster!$B2116)-SUMIFS(StockOutData[Quantity],StockOutData[Product ID],ProductMaster!$B2116)</f>
        <v>-20</v>
      </c>
      <c r="J2116" s="64">
        <f>SUMIFS(StockInData[Value],StockInData[Product ID],ProductMaster!$B2116)-SUMIFS(StockOutData[Value],StockOutData[Product ID],ProductMaster!$B2116)</f>
        <v>-198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 t="str">
        <f>IFERROR(INDEX(StockInData[Expiry],MATCH(ProductMaster[[#This Row],[Product ID]],StockInData[Product ID],0)),"")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 t="str">
        <f>IFERROR(INDEX(StockInData[Expiry],MATCH(ProductMaster[[#This Row],[Product ID]],StockInData[Product ID],0)),"")</f>
        <v/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-2</v>
      </c>
      <c r="J2123" s="64">
        <f>SUMIFS(StockInData[Value],StockInData[Product ID],ProductMaster!$B2123)-SUMIFS(StockOutData[Value],StockOutData[Product ID],ProductMaster!$B2123)</f>
        <v>-68.64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 t="str">
        <f>IFERROR(INDEX(StockInData[Expiry],MATCH(ProductMaster[[#This Row],[Product ID]],StockInData[Product ID],0)),"")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 t="str">
        <f>IFERROR(INDEX(StockInData[Expiry],MATCH(ProductMaster[[#This Row],[Product ID]],StockInData[Product ID],0)),"")</f>
        <v/>
      </c>
      <c r="H2125" s="61"/>
      <c r="I2125" s="61">
        <f>SUMIFS(StockInData[Quantity],StockInData[Product ID],ProductMaster!$B2125)-SUMIFS(StockOutData[Quantity],StockOutData[Product ID],ProductMaster!$B2125)</f>
        <v>-2</v>
      </c>
      <c r="J2125" s="64">
        <f>SUMIFS(StockInData[Value],StockInData[Product ID],ProductMaster!$B2125)-SUMIFS(StockOutData[Value],StockOutData[Product ID],ProductMaster!$B2125)</f>
        <v>-35.799999999999997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 t="str">
        <f>IFERROR(INDEX(StockInData[Expiry],MATCH(ProductMaster[[#This Row],[Product ID]],StockInData[Product ID],0)),"")</f>
        <v/>
      </c>
      <c r="H2126" s="61"/>
      <c r="I2126" s="61">
        <f>SUMIFS(StockInData[Quantity],StockInData[Product ID],ProductMaster!$B2126)-SUMIFS(StockOutData[Quantity],StockOutData[Product ID],ProductMaster!$B2126)</f>
        <v>-2</v>
      </c>
      <c r="J2126" s="64">
        <f>SUMIFS(StockInData[Value],StockInData[Product ID],ProductMaster!$B2126)-SUMIFS(StockOutData[Value],StockOutData[Product ID],ProductMaster!$B2126)</f>
        <v>-29.7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 t="str">
        <f>IFERROR(INDEX(StockInData[Expiry],MATCH(ProductMaster[[#This Row],[Product ID]],StockInData[Product ID],0)),"")</f>
        <v/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 t="str">
        <f>IFERROR(INDEX(StockInData[Expiry],MATCH(ProductMaster[[#This Row],[Product ID]],StockInData[Product ID],0)),"")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2020-01-06T21:43:03Z</dcterms:modified>
  <cp:contentStatus/>
</cp:coreProperties>
</file>