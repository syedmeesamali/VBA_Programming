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3_Revisions\"/>
    </mc:Choice>
  </mc:AlternateContent>
  <bookViews>
    <workbookView xWindow="-120" yWindow="-120" windowWidth="20730" windowHeight="11160" tabRatio="711" firstSheet="6" activeTab="6"/>
  </bookViews>
  <sheets>
    <sheet name="Dashboard" sheetId="1" state="hidden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<sst xmlns="http://schemas.openxmlformats.org/spreadsheetml/2006/main" count="4645" uniqueCount="4599">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</sst>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GOA TEA 1 KG X 6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6.189454629632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s v=""/>
    <m/>
    <n v="0"/>
    <n v="0"/>
  </r>
  <r>
    <n v="2"/>
    <s v="A1"/>
    <s v="A1 ALUBUKHARA 200GX10"/>
    <m/>
    <x v="0"/>
    <m/>
    <s v=""/>
    <m/>
    <n v="0"/>
    <n v="0"/>
  </r>
  <r>
    <n v="3"/>
    <s v="A10"/>
    <s v="ALPAVIT MILK PWD 25KG X1"/>
    <m/>
    <x v="0"/>
    <m/>
    <s v=""/>
    <m/>
    <n v="0"/>
    <n v="0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s v=""/>
    <m/>
    <n v="0"/>
    <n v="0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s v=""/>
    <m/>
    <n v="0"/>
    <n v="0"/>
  </r>
  <r>
    <n v="11"/>
    <s v="A107"/>
    <s v="SEWING MACHINE WOODEN X 1"/>
    <m/>
    <x v="0"/>
    <m/>
    <s v=""/>
    <m/>
    <n v="0"/>
    <n v="0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s v=""/>
    <m/>
    <n v="0"/>
    <n v="0"/>
  </r>
  <r>
    <n v="14"/>
    <s v="A11"/>
    <s v="BIGEN  N59-6GX6"/>
    <m/>
    <x v="0"/>
    <m/>
    <s v=""/>
    <m/>
    <n v="0"/>
    <n v="0"/>
  </r>
  <r>
    <n v="15"/>
    <s v="A110"/>
    <s v="TATA TEA 1 KG X 12"/>
    <m/>
    <x v="0"/>
    <m/>
    <s v=""/>
    <m/>
    <n v="0"/>
    <n v="0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s v=""/>
    <m/>
    <n v="0"/>
    <n v="0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s v=""/>
    <m/>
    <n v="0"/>
    <n v="0"/>
  </r>
  <r>
    <n v="27"/>
    <s v="A121"/>
    <s v="VASLINE 50 G X 12"/>
    <m/>
    <x v="0"/>
    <m/>
    <s v=""/>
    <m/>
    <n v="0"/>
    <n v="0"/>
  </r>
  <r>
    <n v="28"/>
    <s v="A122"/>
    <s v="VICCO TOOTHPASTE 100GX10"/>
    <m/>
    <x v="0"/>
    <m/>
    <s v=""/>
    <m/>
    <n v="0"/>
    <n v="0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s v=""/>
    <m/>
    <n v="0"/>
    <n v="0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0"/>
    <n v="0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s v=""/>
    <m/>
    <n v="0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s v=""/>
    <m/>
    <n v="0"/>
    <n v="0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s v=""/>
    <m/>
    <n v="0"/>
    <n v="0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s v=""/>
    <m/>
    <n v="0"/>
    <n v="0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s v=""/>
    <m/>
    <n v="0"/>
    <n v="0"/>
  </r>
  <r>
    <n v="53"/>
    <s v="A150"/>
    <s v="SUPARI BOMBAY 1 X12"/>
    <m/>
    <x v="0"/>
    <m/>
    <s v=""/>
    <m/>
    <n v="0"/>
    <n v="0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s v=""/>
    <m/>
    <n v="0"/>
    <n v="0"/>
  </r>
  <r>
    <n v="61"/>
    <s v="A20"/>
    <s v="COUSCOUS MARAKISH FINE 1KGX10"/>
    <m/>
    <x v="0"/>
    <m/>
    <s v=""/>
    <m/>
    <n v="0"/>
    <n v="0"/>
  </r>
  <r>
    <n v="62"/>
    <s v="A200"/>
    <s v="TATA TEA 1KGX12 (UK)"/>
    <m/>
    <x v="0"/>
    <m/>
    <s v=""/>
    <m/>
    <n v="0"/>
    <n v="0"/>
  </r>
  <r>
    <n v="63"/>
    <s v="A21"/>
    <s v="COUSCOUS MARAKISH MEDIUM 1KGX10"/>
    <m/>
    <x v="0"/>
    <m/>
    <s v=""/>
    <m/>
    <n v="0"/>
    <n v="0"/>
  </r>
  <r>
    <n v="64"/>
    <s v="A22"/>
    <s v="COUSCOUS MEDIO 1KGX12"/>
    <m/>
    <x v="0"/>
    <m/>
    <s v=""/>
    <m/>
    <n v="0"/>
    <n v="0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s v=""/>
    <m/>
    <n v="0"/>
    <n v="0"/>
  </r>
  <r>
    <n v="72"/>
    <s v="A3"/>
    <s v="A1 BANFASHAX12"/>
    <m/>
    <x v="0"/>
    <m/>
    <s v=""/>
    <m/>
    <n v="0"/>
    <n v="0"/>
  </r>
  <r>
    <n v="73"/>
    <s v="A30"/>
    <s v="PEAR SOAP 125GX12"/>
    <m/>
    <x v="0"/>
    <m/>
    <s v=""/>
    <m/>
    <n v="0"/>
    <n v="0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s v=""/>
    <m/>
    <n v="0"/>
    <n v="0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s v=""/>
    <m/>
    <n v="0"/>
    <n v="0"/>
  </r>
  <r>
    <n v="78"/>
    <s v="A35"/>
    <s v="GREEN TEA 200 G X 60"/>
    <m/>
    <x v="0"/>
    <m/>
    <s v=""/>
    <m/>
    <n v="0"/>
    <n v="0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s v=""/>
    <m/>
    <n v="0"/>
    <n v="0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s v=""/>
    <m/>
    <n v="0"/>
    <n v="0"/>
  </r>
  <r>
    <n v="85"/>
    <s v="A41"/>
    <s v="HARISSA 380 G X 24"/>
    <m/>
    <x v="0"/>
    <m/>
    <s v=""/>
    <m/>
    <n v="0"/>
    <n v="0"/>
  </r>
  <r>
    <n v="86"/>
    <s v="A42"/>
    <s v="HASHMI KAJAL X10"/>
    <m/>
    <x v="0"/>
    <m/>
    <s v=""/>
    <m/>
    <n v="0"/>
    <n v="0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s v=""/>
    <m/>
    <n v="0"/>
    <n v="0"/>
  </r>
  <r>
    <n v="90"/>
    <s v="A46"/>
    <s v="HING 50 G X 10"/>
    <m/>
    <x v="0"/>
    <m/>
    <s v=""/>
    <m/>
    <n v="0"/>
    <n v="0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s v=""/>
    <m/>
    <n v="0"/>
    <n v="0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s v=""/>
    <m/>
    <n v="0"/>
    <n v="0"/>
  </r>
  <r>
    <n v="99"/>
    <s v="A54"/>
    <s v="JOHAR JOSHANDA 30 X 1"/>
    <m/>
    <x v="0"/>
    <m/>
    <s v=""/>
    <m/>
    <n v="0"/>
    <n v="0"/>
  </r>
  <r>
    <n v="100"/>
    <s v="A55"/>
    <s v="A1 JOSHANDA 35 G X 12"/>
    <m/>
    <x v="0"/>
    <m/>
    <s v=""/>
    <m/>
    <n v="0"/>
    <n v="0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s v=""/>
    <m/>
    <n v="0"/>
    <n v="0"/>
  </r>
  <r>
    <n v="103"/>
    <s v="A58"/>
    <s v="KALONJI OIL 60 ML X 12"/>
    <m/>
    <x v="0"/>
    <m/>
    <s v=""/>
    <m/>
    <n v="0"/>
    <n v="0"/>
  </r>
  <r>
    <n v="104"/>
    <s v="A59"/>
    <s v="KAYAM CHURAN 100 G X1 0"/>
    <m/>
    <x v="0"/>
    <m/>
    <s v=""/>
    <m/>
    <n v="0"/>
    <n v="0"/>
  </r>
  <r>
    <n v="105"/>
    <s v="A6"/>
    <s v="A1 MALTHI X12"/>
    <m/>
    <x v="0"/>
    <m/>
    <s v=""/>
    <m/>
    <n v="0"/>
    <n v="0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s v=""/>
    <m/>
    <n v="0"/>
    <n v="0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s v=""/>
    <m/>
    <n v="0"/>
    <n v="0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s v=""/>
    <m/>
    <n v="0"/>
    <n v="0"/>
  </r>
  <r>
    <n v="116"/>
    <s v="A7"/>
    <s v="A1 PHENNI 200GX24"/>
    <m/>
    <x v="0"/>
    <m/>
    <s v=""/>
    <m/>
    <n v="0"/>
    <n v="0"/>
  </r>
  <r>
    <n v="117"/>
    <s v="A70"/>
    <s v="NIDO 400 G X 24"/>
    <m/>
    <x v="0"/>
    <m/>
    <s v=""/>
    <m/>
    <n v="0"/>
    <n v="0"/>
  </r>
  <r>
    <n v="118"/>
    <s v="A71"/>
    <s v="NIDO 900 G X 12"/>
    <m/>
    <x v="0"/>
    <m/>
    <s v=""/>
    <m/>
    <n v="0"/>
    <n v="0"/>
  </r>
  <r>
    <n v="119"/>
    <s v="A72"/>
    <s v="NIDO 2500 X 6"/>
    <m/>
    <x v="0"/>
    <m/>
    <s v=""/>
    <m/>
    <n v="0"/>
    <n v="0"/>
  </r>
  <r>
    <n v="120"/>
    <s v="A73"/>
    <s v="PAN PARAG 100 G X 10"/>
    <m/>
    <x v="0"/>
    <m/>
    <s v=""/>
    <m/>
    <n v="0"/>
    <n v="0"/>
  </r>
  <r>
    <n v="121"/>
    <s v="A74"/>
    <s v="PATATE FRESCO 5 KG"/>
    <m/>
    <x v="0"/>
    <m/>
    <s v=""/>
    <m/>
    <n v="0"/>
    <n v="0"/>
  </r>
  <r>
    <n v="122"/>
    <s v="A75"/>
    <s v="PHATKARY X 12"/>
    <m/>
    <x v="0"/>
    <m/>
    <s v=""/>
    <m/>
    <n v="0"/>
    <n v="0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s v=""/>
    <m/>
    <n v="0"/>
    <n v="0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s v=""/>
    <m/>
    <n v="0"/>
    <n v="0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s v=""/>
    <m/>
    <n v="0"/>
    <n v="0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s v=""/>
    <m/>
    <n v="0"/>
    <n v="0"/>
  </r>
  <r>
    <n v="137"/>
    <s v="A89"/>
    <s v="RAKHI FOR KIDS 24 PCS"/>
    <m/>
    <x v="0"/>
    <m/>
    <s v=""/>
    <m/>
    <n v="0"/>
    <n v="0"/>
  </r>
  <r>
    <n v="138"/>
    <s v="A9"/>
    <s v="AGLIO FRESHX1"/>
    <m/>
    <x v="0"/>
    <m/>
    <s v=""/>
    <m/>
    <n v="0"/>
    <n v="0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s v=""/>
    <m/>
    <n v="0"/>
    <n v="0"/>
  </r>
  <r>
    <n v="143"/>
    <s v="A94"/>
    <s v="WSA REWDI 200 G X 15 "/>
    <m/>
    <x v="0"/>
    <m/>
    <s v=""/>
    <m/>
    <n v="0"/>
    <n v="0"/>
  </r>
  <r>
    <n v="144"/>
    <s v="A95"/>
    <s v="ROOH AFZA 800MLX12 *Offerta*"/>
    <m/>
    <x v="0"/>
    <m/>
    <s v=""/>
    <m/>
    <n v="0"/>
    <n v="0"/>
  </r>
  <r>
    <n v="145"/>
    <s v="A96"/>
    <s v="SAFFRAN SPANISH 1 GM X 12"/>
    <m/>
    <x v="0"/>
    <m/>
    <s v=""/>
    <m/>
    <n v="0"/>
    <n v="0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s v=""/>
    <m/>
    <n v="0"/>
    <n v="0"/>
  </r>
  <r>
    <n v="153"/>
    <s v="AFT11"/>
    <s v="AFT SOYA CHUNKS 200GX24"/>
    <m/>
    <x v="0"/>
    <m/>
    <s v=""/>
    <m/>
    <n v="0"/>
    <n v="0"/>
  </r>
  <r>
    <n v="154"/>
    <s v="AFT2"/>
    <s v="FARINA KHUSHBOO CHAKKI 5KG X 2"/>
    <m/>
    <x v="0"/>
    <m/>
    <s v=""/>
    <m/>
    <n v="0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s v=""/>
    <m/>
    <n v="0"/>
    <n v="0"/>
  </r>
  <r>
    <n v="159"/>
    <s v="AFT8"/>
    <s v="AFT SOYA CHUNKS 400GX12"/>
    <m/>
    <x v="0"/>
    <m/>
    <s v=""/>
    <m/>
    <n v="0"/>
    <n v="0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s v=""/>
    <m/>
    <n v="0"/>
    <n v="0"/>
  </r>
  <r>
    <n v="163"/>
    <s v="AG11"/>
    <s v="AG KHUSHBOO  MIX 1x6"/>
    <m/>
    <x v="0"/>
    <m/>
    <s v=""/>
    <m/>
    <n v="0"/>
    <n v="0"/>
  </r>
  <r>
    <n v="164"/>
    <s v="AG12"/>
    <s v="AG MIX1x6"/>
    <m/>
    <x v="0"/>
    <m/>
    <s v=""/>
    <m/>
    <n v="0"/>
    <n v="0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s v=""/>
    <m/>
    <n v="0"/>
    <n v="0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s v=""/>
    <m/>
    <n v="0"/>
    <n v="0"/>
  </r>
  <r>
    <n v="176"/>
    <s v="AG23"/>
    <s v="AG THREE IN ONE 25GX12"/>
    <m/>
    <x v="0"/>
    <m/>
    <s v=""/>
    <m/>
    <n v="0"/>
    <n v="0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s v=""/>
    <m/>
    <n v="0"/>
    <n v="0"/>
  </r>
  <r>
    <n v="179"/>
    <s v="AG26"/>
    <s v="AG AGRBATI INDIA 1 X12PCS"/>
    <m/>
    <x v="0"/>
    <m/>
    <s v=""/>
    <m/>
    <n v="0"/>
    <n v="0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s v=""/>
    <m/>
    <n v="0"/>
    <n v="0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s v=""/>
    <m/>
    <n v="0"/>
    <n v="0"/>
  </r>
  <r>
    <n v="190"/>
    <s v="AG5"/>
    <s v="AG MDH MOGRA 20GX12"/>
    <m/>
    <x v="0"/>
    <m/>
    <s v=""/>
    <m/>
    <n v="0"/>
    <n v="0"/>
  </r>
  <r>
    <n v="191"/>
    <s v="AG6"/>
    <s v="AG MDH CHANDAN 20GX12"/>
    <m/>
    <x v="0"/>
    <m/>
    <s v=""/>
    <m/>
    <n v="0"/>
    <n v="0"/>
  </r>
  <r>
    <n v="192"/>
    <s v="AG7"/>
    <s v="AG MDH ROOH 20GX12"/>
    <m/>
    <x v="0"/>
    <m/>
    <s v=""/>
    <m/>
    <n v="0"/>
    <n v="0"/>
  </r>
  <r>
    <n v="193"/>
    <s v="AG8"/>
    <s v="AG MDH ROSE 20GX12"/>
    <m/>
    <x v="0"/>
    <m/>
    <s v=""/>
    <m/>
    <n v="0"/>
    <n v="0"/>
  </r>
  <r>
    <n v="194"/>
    <s v="AG9"/>
    <s v="AG MDH SANDAL 20GX12"/>
    <m/>
    <x v="0"/>
    <m/>
    <s v=""/>
    <m/>
    <n v="0"/>
    <n v="0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s v=""/>
    <m/>
    <n v="0"/>
    <n v="0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s v=""/>
    <m/>
    <n v="0"/>
    <n v="0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s v=""/>
    <m/>
    <n v="0"/>
    <n v="0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s v=""/>
    <m/>
    <n v="0"/>
    <n v="0"/>
  </r>
  <r>
    <n v="226"/>
    <s v="AS1"/>
    <s v="ASHOKA MATAR PANEER 280GX10"/>
    <m/>
    <x v="0"/>
    <m/>
    <s v=""/>
    <m/>
    <n v="0"/>
    <n v="0"/>
  </r>
  <r>
    <n v="227"/>
    <s v="AS10"/>
    <s v="ASHOKA BOMBAY PAV BHAJI 280GX10"/>
    <m/>
    <x v="0"/>
    <m/>
    <s v=""/>
    <m/>
    <n v="0"/>
    <n v="0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s v=""/>
    <m/>
    <n v="0"/>
    <n v="0"/>
  </r>
  <r>
    <n v="230"/>
    <s v="AS3"/>
    <s v="ASHOKA PUNJABI CHOLAY 280GX10  "/>
    <m/>
    <x v="0"/>
    <m/>
    <s v=""/>
    <m/>
    <n v="0"/>
    <n v="0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s v=""/>
    <m/>
    <n v="0"/>
    <n v="0"/>
  </r>
  <r>
    <n v="233"/>
    <s v="AS6"/>
    <s v="ASHOKA DAL MAKHANI 280GX10"/>
    <m/>
    <x v="0"/>
    <m/>
    <s v=""/>
    <m/>
    <n v="0"/>
    <n v="0"/>
  </r>
  <r>
    <n v="234"/>
    <s v="AS7"/>
    <s v="ASHOKA BENGAN BHARTA 280GX10"/>
    <m/>
    <x v="0"/>
    <m/>
    <s v=""/>
    <m/>
    <n v="0"/>
    <n v="0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s v=""/>
    <m/>
    <n v="0"/>
    <n v="0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s v=""/>
    <m/>
    <n v="0"/>
    <n v="0"/>
  </r>
  <r>
    <n v="242"/>
    <s v="B14"/>
    <s v="BEST MIX LATINA 250MLX30"/>
    <m/>
    <x v="0"/>
    <m/>
    <s v=""/>
    <m/>
    <n v="0"/>
    <n v="0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s v=""/>
    <m/>
    <n v="0"/>
    <n v="0"/>
  </r>
  <r>
    <n v="245"/>
    <s v="B2"/>
    <s v="BEST GUAVA BOTTLE 1LTX6"/>
    <m/>
    <x v="0"/>
    <m/>
    <s v=""/>
    <m/>
    <n v="0"/>
    <n v="0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s v=""/>
    <m/>
    <n v="0"/>
    <n v="0"/>
  </r>
  <r>
    <n v="248"/>
    <s v="B22"/>
    <s v="B GAJJACK PEANUT 400GX28"/>
    <m/>
    <x v="0"/>
    <m/>
    <s v=""/>
    <m/>
    <n v="0"/>
    <n v="0"/>
  </r>
  <r>
    <n v="249"/>
    <s v="B23"/>
    <s v="B SOAN CAKE 480GX12"/>
    <m/>
    <x v="0"/>
    <m/>
    <s v=""/>
    <m/>
    <n v="0"/>
    <n v="0"/>
  </r>
  <r>
    <n v="250"/>
    <s v="B24"/>
    <s v="B GAJJACK AGRA GUR 400GX24"/>
    <m/>
    <x v="0"/>
    <m/>
    <s v=""/>
    <m/>
    <n v="0"/>
    <n v="0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s v=""/>
    <m/>
    <n v="0"/>
    <n v="0"/>
  </r>
  <r>
    <n v="253"/>
    <s v="B4"/>
    <s v="BEST GUAVA CARTA 1LTX6"/>
    <m/>
    <x v="0"/>
    <m/>
    <s v=""/>
    <m/>
    <n v="0"/>
    <n v="0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s v=""/>
    <m/>
    <n v="0"/>
    <n v="0"/>
  </r>
  <r>
    <n v="256"/>
    <s v="B6"/>
    <s v="BEST MANGO BOTTLE 1LTX6"/>
    <m/>
    <x v="0"/>
    <m/>
    <s v=""/>
    <m/>
    <n v="0"/>
    <n v="0"/>
  </r>
  <r>
    <n v="257"/>
    <s v="B7"/>
    <s v="BEST MANGO BOTTLE 250MLX24"/>
    <m/>
    <x v="0"/>
    <m/>
    <s v=""/>
    <m/>
    <n v="0"/>
    <n v="0"/>
  </r>
  <r>
    <n v="258"/>
    <s v="B8"/>
    <s v="BEST MANGO CARTA 1LTX6"/>
    <m/>
    <x v="0"/>
    <m/>
    <s v=""/>
    <m/>
    <n v="0"/>
    <n v="0"/>
  </r>
  <r>
    <n v="259"/>
    <s v="B9"/>
    <s v="BEST MANGO CARTA 200MLX27"/>
    <m/>
    <x v="0"/>
    <m/>
    <s v=""/>
    <m/>
    <n v="0"/>
    <n v="0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s v=""/>
    <m/>
    <n v="0"/>
    <n v="0"/>
  </r>
  <r>
    <n v="263"/>
    <s v="BG1"/>
    <s v="BG BOMBAY MIX 400G X 12"/>
    <m/>
    <x v="0"/>
    <m/>
    <s v=""/>
    <m/>
    <n v="0"/>
    <n v="0"/>
  </r>
  <r>
    <n v="264"/>
    <s v="BG10"/>
    <s v="BG SPICY CHICK PEAS 400G X12"/>
    <m/>
    <x v="0"/>
    <m/>
    <s v=""/>
    <m/>
    <n v="0"/>
    <n v="0"/>
  </r>
  <r>
    <n v="265"/>
    <s v="BG11"/>
    <s v="BG TRADITIONAL MIX 400GX12"/>
    <m/>
    <x v="0"/>
    <m/>
    <s v=""/>
    <m/>
    <n v="0"/>
    <n v="0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s v=""/>
    <m/>
    <n v="0"/>
    <n v="0"/>
  </r>
  <r>
    <n v="270"/>
    <s v="BG16"/>
    <s v="BGD GARLIC PASTE 1KGX6"/>
    <m/>
    <x v="0"/>
    <m/>
    <s v=""/>
    <m/>
    <n v="0"/>
    <n v="0"/>
  </r>
  <r>
    <n v="271"/>
    <s v="BG17"/>
    <s v="BGD GINGER PASTE 1KGX6"/>
    <m/>
    <x v="0"/>
    <m/>
    <s v=""/>
    <m/>
    <n v="0"/>
    <n v="0"/>
  </r>
  <r>
    <n v="272"/>
    <s v="BG18"/>
    <s v="BGD GINGER&amp;GARLIC PASTE1KGX6"/>
    <m/>
    <x v="0"/>
    <m/>
    <s v=""/>
    <m/>
    <n v="0"/>
    <n v="0"/>
  </r>
  <r>
    <n v="273"/>
    <s v="BG19"/>
    <s v="BGD GOOR ( IND)MASALA 1KGX12"/>
    <m/>
    <x v="0"/>
    <m/>
    <s v=""/>
    <m/>
    <n v="0"/>
    <n v="0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s v=""/>
    <m/>
    <n v="0"/>
    <n v="0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s v=""/>
    <m/>
    <n v="0"/>
    <n v="0"/>
  </r>
  <r>
    <n v="282"/>
    <s v="BG27"/>
    <s v="BGD SHAKAR (IND) 500GX12"/>
    <m/>
    <x v="0"/>
    <m/>
    <s v=""/>
    <m/>
    <n v="0"/>
    <n v="0"/>
  </r>
  <r>
    <n v="283"/>
    <s v="BG28"/>
    <s v="BGD SHAKKAR JAR PACK 500GX12"/>
    <m/>
    <x v="0"/>
    <m/>
    <s v=""/>
    <m/>
    <n v="0"/>
    <n v="0"/>
  </r>
  <r>
    <n v="284"/>
    <s v="BG29"/>
    <s v="BGD TEA JAR PACK 500GX20"/>
    <m/>
    <x v="0"/>
    <m/>
    <s v=""/>
    <m/>
    <n v="0"/>
    <n v="0"/>
  </r>
  <r>
    <n v="285"/>
    <s v="BG3"/>
    <s v="BG CHIN CHIN 400G X12"/>
    <m/>
    <x v="0"/>
    <m/>
    <s v=""/>
    <m/>
    <n v="0"/>
    <n v="0"/>
  </r>
  <r>
    <n v="286"/>
    <s v="BG30"/>
    <s v="BGD TEA JAR PACK 1KGX12"/>
    <m/>
    <x v="0"/>
    <m/>
    <s v=""/>
    <m/>
    <n v="0"/>
    <n v="0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s v=""/>
    <m/>
    <n v="0"/>
    <n v="0"/>
  </r>
  <r>
    <n v="291"/>
    <s v="BG35"/>
    <s v="BGD GOOR(IND)MASALA 500GX12"/>
    <m/>
    <x v="0"/>
    <m/>
    <s v=""/>
    <m/>
    <n v="0"/>
    <n v="0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s v=""/>
    <m/>
    <n v="0"/>
    <n v="0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s v=""/>
    <m/>
    <n v="0"/>
    <n v="0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s v=""/>
    <m/>
    <n v="0"/>
    <n v="0"/>
  </r>
  <r>
    <n v="300"/>
    <s v="BG43"/>
    <s v="SUPARI SHAHI MEWA 1 X12"/>
    <m/>
    <x v="0"/>
    <m/>
    <s v=""/>
    <m/>
    <n v="0"/>
    <n v="0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s v=""/>
    <m/>
    <n v="0"/>
    <n v="0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s v=""/>
    <m/>
    <n v="0"/>
    <n v="0"/>
  </r>
  <r>
    <n v="312"/>
    <s v="BG54"/>
    <s v="BGD BIS JEERA 300G X20"/>
    <m/>
    <x v="0"/>
    <m/>
    <s v=""/>
    <m/>
    <n v="0"/>
    <n v="0"/>
  </r>
  <r>
    <n v="313"/>
    <s v="BG55"/>
    <s v="BGD BIS SUJI 300G X20 "/>
    <m/>
    <x v="0"/>
    <m/>
    <s v=""/>
    <m/>
    <n v="0"/>
    <n v="0"/>
  </r>
  <r>
    <n v="314"/>
    <s v="BG56"/>
    <s v="BGD BIS KALONJI 300G X20"/>
    <m/>
    <x v="0"/>
    <m/>
    <s v=""/>
    <m/>
    <n v="0"/>
    <n v="0"/>
  </r>
  <r>
    <n v="315"/>
    <s v="BG57"/>
    <s v="BGD BIS DRY FRUIT 300G X20 "/>
    <m/>
    <x v="0"/>
    <m/>
    <s v=""/>
    <m/>
    <n v="0"/>
    <n v="0"/>
  </r>
  <r>
    <n v="316"/>
    <s v="BG58"/>
    <s v="BGD BIS ALMOND 300G X20  "/>
    <m/>
    <x v="0"/>
    <m/>
    <s v=""/>
    <m/>
    <n v="0"/>
    <n v="0"/>
  </r>
  <r>
    <n v="317"/>
    <s v="BG59"/>
    <s v="BGD CAKE RUSK 400G X20"/>
    <m/>
    <x v="0"/>
    <m/>
    <s v=""/>
    <m/>
    <n v="0"/>
    <n v="0"/>
  </r>
  <r>
    <n v="318"/>
    <s v="BG6"/>
    <s v="BG GUJRATI MIX 400G X12"/>
    <m/>
    <x v="0"/>
    <m/>
    <s v=""/>
    <m/>
    <n v="0"/>
    <n v="0"/>
  </r>
  <r>
    <n v="319"/>
    <s v="BG60"/>
    <s v="BGD CHANA+MAKHANA JAR 350GX12"/>
    <m/>
    <x v="0"/>
    <m/>
    <s v=""/>
    <m/>
    <n v="0"/>
    <n v="0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s v=""/>
    <m/>
    <n v="0"/>
    <n v="0"/>
  </r>
  <r>
    <n v="322"/>
    <s v="BG7"/>
    <s v="BG KASHMIRI MIX 400G X12"/>
    <m/>
    <x v="0"/>
    <m/>
    <s v=""/>
    <m/>
    <n v="0"/>
    <n v="0"/>
  </r>
  <r>
    <n v="323"/>
    <s v="BG8"/>
    <s v="BG LAHORI MIX 400G X 12"/>
    <m/>
    <x v="0"/>
    <m/>
    <s v=""/>
    <m/>
    <n v="0"/>
    <n v="0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s v=""/>
    <m/>
    <n v="0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s v=""/>
    <m/>
    <n v="0"/>
    <n v="0"/>
  </r>
  <r>
    <n v="328"/>
    <s v="BGD52"/>
    <s v="BGD SUNFLOWER OIL 1 L  X 15"/>
    <m/>
    <x v="0"/>
    <m/>
    <s v=""/>
    <m/>
    <n v="0"/>
    <n v="0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s v=""/>
    <m/>
    <n v="0"/>
    <n v="0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s v=""/>
    <m/>
    <n v="0"/>
    <n v="0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s v=""/>
    <m/>
    <n v="0"/>
    <n v="0"/>
  </r>
  <r>
    <n v="341"/>
    <s v="BGD70"/>
    <s v="BGD KARELA IN BRINE 400GX12"/>
    <m/>
    <x v="0"/>
    <m/>
    <s v=""/>
    <m/>
    <n v="0"/>
    <n v="0"/>
  </r>
  <r>
    <n v="342"/>
    <s v="BGD71"/>
    <s v="BGD PICKLE MIX 1KGX 12"/>
    <m/>
    <x v="0"/>
    <m/>
    <s v=""/>
    <m/>
    <n v="0"/>
    <n v="0"/>
  </r>
  <r>
    <n v="343"/>
    <s v="BGD72"/>
    <s v="BGD PICKLE MANGO 1KGX12"/>
    <m/>
    <x v="0"/>
    <m/>
    <s v=""/>
    <m/>
    <n v="0"/>
    <n v="0"/>
  </r>
  <r>
    <n v="344"/>
    <s v="BGD73"/>
    <s v="BGD PICKLE MIX 2KGX4"/>
    <m/>
    <x v="0"/>
    <m/>
    <s v=""/>
    <m/>
    <n v="0"/>
    <n v="0"/>
  </r>
  <r>
    <n v="345"/>
    <s v="BGD74"/>
    <s v="BGD GOOR BHILLI 500GX24 offerta "/>
    <m/>
    <x v="0"/>
    <m/>
    <s v=""/>
    <m/>
    <n v="0"/>
    <n v="0"/>
  </r>
  <r>
    <n v="346"/>
    <s v="BGD75"/>
    <s v="BGD MANGO PULP KESAR 850X6"/>
    <m/>
    <x v="0"/>
    <m/>
    <s v=""/>
    <m/>
    <n v="0"/>
    <n v="0"/>
  </r>
  <r>
    <n v="347"/>
    <s v="BGD76"/>
    <s v="BGD MANGO PULP ALPHONSO SLICE 850GX6"/>
    <m/>
    <x v="0"/>
    <m/>
    <s v=""/>
    <m/>
    <n v="0"/>
    <n v="0"/>
  </r>
  <r>
    <n v="348"/>
    <s v="BGD77"/>
    <s v="BGD PICKLE LIME 1KGX12"/>
    <m/>
    <x v="0"/>
    <m/>
    <s v=""/>
    <m/>
    <n v="0"/>
    <n v="0"/>
  </r>
  <r>
    <n v="349"/>
    <s v="BGD78"/>
    <s v="BGD PICKLE GREEN CHILLI 1KGX12"/>
    <m/>
    <x v="0"/>
    <m/>
    <s v=""/>
    <m/>
    <n v="0"/>
    <n v="0"/>
  </r>
  <r>
    <n v="350"/>
    <s v="BGD79"/>
    <s v="BGD GOOR JAR PACK 2KGX6  offerta "/>
    <m/>
    <x v="0"/>
    <m/>
    <s v=""/>
    <m/>
    <n v="0"/>
    <n v="0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s v=""/>
    <m/>
    <n v="0"/>
    <n v="0"/>
  </r>
  <r>
    <n v="353"/>
    <s v="BI2"/>
    <s v="B TASTY NUT 150GX10"/>
    <m/>
    <x v="0"/>
    <m/>
    <s v=""/>
    <m/>
    <n v="0"/>
    <n v="0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s v=""/>
    <m/>
    <n v="0"/>
    <n v="0"/>
  </r>
  <r>
    <n v="358"/>
    <s v="BI8"/>
    <s v="B SOAN PAPADI 250GX48"/>
    <m/>
    <x v="0"/>
    <m/>
    <s v=""/>
    <m/>
    <n v="0"/>
    <n v="0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s v=""/>
    <m/>
    <n v="0"/>
    <n v="0"/>
  </r>
  <r>
    <n v="361"/>
    <s v="BR2"/>
    <s v="BRAGA CORNMEAL 5KG X1"/>
    <m/>
    <x v="0"/>
    <m/>
    <s v=""/>
    <m/>
    <n v="0"/>
    <n v="0"/>
  </r>
  <r>
    <n v="362"/>
    <s v="BT1"/>
    <s v="BRIT MILK RUSK 504GX6"/>
    <m/>
    <x v="0"/>
    <m/>
    <s v=""/>
    <m/>
    <n v="0"/>
    <n v="0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s v=""/>
    <m/>
    <n v="0"/>
    <n v="0"/>
  </r>
  <r>
    <n v="372"/>
    <s v="BT7"/>
    <s v="BRIT CASHEW COOKIES 72GX24 "/>
    <m/>
    <x v="0"/>
    <m/>
    <s v=""/>
    <m/>
    <n v="0"/>
    <n v="0"/>
  </r>
  <r>
    <n v="373"/>
    <s v="BT8"/>
    <s v="BRIT PISTA/BADAM COOKIES 72GX24 "/>
    <m/>
    <x v="0"/>
    <m/>
    <s v=""/>
    <m/>
    <n v="0"/>
    <n v="0"/>
  </r>
  <r>
    <n v="374"/>
    <s v="BT9"/>
    <s v="BRIT PUNJABI COOKIES 620GX8"/>
    <m/>
    <x v="0"/>
    <m/>
    <s v=""/>
    <m/>
    <n v="0"/>
    <n v="0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s v=""/>
    <m/>
    <n v="0"/>
    <n v="0"/>
  </r>
  <r>
    <n v="377"/>
    <s v="D11"/>
    <s v="DABUR CHAYWANPRASH 250GX6"/>
    <m/>
    <x v="0"/>
    <m/>
    <s v=""/>
    <m/>
    <n v="0"/>
    <n v="0"/>
  </r>
  <r>
    <n v="378"/>
    <s v="D12"/>
    <s v="DABUR CHAYWANPRASH 500GX6"/>
    <m/>
    <x v="0"/>
    <m/>
    <s v=""/>
    <m/>
    <n v="0"/>
    <n v="0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s v=""/>
    <m/>
    <n v="0"/>
    <n v="0"/>
  </r>
  <r>
    <n v="385"/>
    <s v="D19"/>
    <s v="DABUR HAJMOLA PODINA 130GX12"/>
    <m/>
    <x v="0"/>
    <m/>
    <s v=""/>
    <m/>
    <n v="0"/>
    <n v="0"/>
  </r>
  <r>
    <n v="386"/>
    <s v="D2"/>
    <s v="DABUR AMLA GOLD 200MLX6"/>
    <m/>
    <x v="0"/>
    <m/>
    <s v=""/>
    <m/>
    <n v="0"/>
    <n v="0"/>
  </r>
  <r>
    <n v="387"/>
    <s v="D20"/>
    <s v="DABUR HAJMULA IMLY 130GX12"/>
    <m/>
    <x v="0"/>
    <m/>
    <s v=""/>
    <m/>
    <n v="0"/>
    <n v="0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s v=""/>
    <m/>
    <n v="0"/>
    <n v="0"/>
  </r>
  <r>
    <n v="390"/>
    <s v="D23"/>
    <s v="DABUR SOAP ALMOND X4"/>
    <m/>
    <x v="0"/>
    <m/>
    <s v=""/>
    <m/>
    <n v="0"/>
    <n v="0"/>
  </r>
  <r>
    <n v="391"/>
    <s v="D24"/>
    <s v="DABUR SOAP BLACK SEED X4"/>
    <m/>
    <x v="0"/>
    <m/>
    <s v=""/>
    <m/>
    <n v="0"/>
    <n v="0"/>
  </r>
  <r>
    <n v="392"/>
    <s v="D25"/>
    <s v="DABUR SOAP NEEM X4"/>
    <m/>
    <x v="0"/>
    <m/>
    <s v=""/>
    <m/>
    <n v="0"/>
    <n v="0"/>
  </r>
  <r>
    <n v="393"/>
    <s v="D26"/>
    <s v="DABUR SOAP OLIVE X4"/>
    <m/>
    <x v="0"/>
    <m/>
    <s v=""/>
    <m/>
    <n v="0"/>
    <n v="0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s v=""/>
    <m/>
    <n v="0"/>
    <n v="0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s v=""/>
    <m/>
    <n v="0"/>
    <n v="0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s v=""/>
    <m/>
    <n v="0"/>
    <n v="0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s v=""/>
    <m/>
    <n v="0"/>
    <n v="0"/>
  </r>
  <r>
    <n v="404"/>
    <s v="D36"/>
    <s v="DABUR OIL VATIKA ARGAN HAIR 200MLX6"/>
    <m/>
    <x v="0"/>
    <m/>
    <s v=""/>
    <m/>
    <n v="0"/>
    <n v="0"/>
  </r>
  <r>
    <n v="405"/>
    <s v="D37"/>
    <s v="DABUR OIL VATIKA BLACK SEED  200MLX6"/>
    <m/>
    <x v="0"/>
    <m/>
    <s v=""/>
    <m/>
    <n v="0"/>
    <n v="0"/>
  </r>
  <r>
    <n v="406"/>
    <s v="D38"/>
    <s v="DABUR OIL VATIKA CACTUS  200MLX6"/>
    <m/>
    <x v="0"/>
    <m/>
    <s v=""/>
    <m/>
    <n v="0"/>
    <n v="0"/>
  </r>
  <r>
    <n v="407"/>
    <s v="D39"/>
    <s v="DABUR OIL VATIKA COCONUT 200ML X6"/>
    <m/>
    <x v="0"/>
    <m/>
    <s v=""/>
    <m/>
    <n v="0"/>
    <n v="0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s v=""/>
    <m/>
    <n v="0"/>
    <n v="0"/>
  </r>
  <r>
    <n v="412"/>
    <s v="D43"/>
    <s v="DABUR OIL VATIKA COCO HAIR  300MLX6"/>
    <m/>
    <x v="0"/>
    <m/>
    <s v=""/>
    <m/>
    <n v="0"/>
    <n v="0"/>
  </r>
  <r>
    <n v="413"/>
    <s v="D44"/>
    <s v="DABUR OIL VATIKA SHIKAKAI 200MLX6"/>
    <m/>
    <x v="0"/>
    <m/>
    <s v=""/>
    <m/>
    <n v="0"/>
    <n v="0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s v=""/>
    <m/>
    <n v="0"/>
    <n v="0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s v=""/>
    <m/>
    <n v="0"/>
    <n v="0"/>
  </r>
  <r>
    <n v="430"/>
    <s v="D6"/>
    <s v="DABUR AMLA OIL 200MLX6"/>
    <m/>
    <x v="0"/>
    <m/>
    <s v=""/>
    <m/>
    <n v="0"/>
    <n v="0"/>
  </r>
  <r>
    <n v="431"/>
    <s v="D60"/>
    <s v="DABUR TOOTHPASTE BASIL100GX6"/>
    <m/>
    <x v="0"/>
    <m/>
    <s v=""/>
    <m/>
    <n v="0"/>
    <n v="0"/>
  </r>
  <r>
    <n v="432"/>
    <s v="D61"/>
    <s v="DABUR TOOTHPASTE CLOVE 100GX6"/>
    <m/>
    <x v="0"/>
    <m/>
    <s v=""/>
    <m/>
    <n v="0"/>
    <n v="0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s v=""/>
    <m/>
    <n v="0"/>
    <n v="0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s v=""/>
    <m/>
    <n v="0"/>
    <n v="0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s v=""/>
    <m/>
    <n v="0"/>
    <n v="0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s v=""/>
    <m/>
    <n v="0"/>
    <n v="0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s v=""/>
    <m/>
    <n v="0"/>
    <n v="0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s v=""/>
    <m/>
    <n v="0"/>
    <n v="0"/>
  </r>
  <r>
    <n v="467"/>
    <s v="F1"/>
    <s v="FARINA BARAGA CHAPATI 10 KG X 1 "/>
    <m/>
    <x v="0"/>
    <m/>
    <s v=""/>
    <m/>
    <n v="0"/>
    <n v="0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s v=""/>
    <m/>
    <n v="0"/>
    <n v="0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s v=""/>
    <m/>
    <n v="0"/>
    <n v="0"/>
  </r>
  <r>
    <n v="472"/>
    <s v="F3"/>
    <s v="FARINA LAILA BROWN 10 KG X 1"/>
    <m/>
    <x v="0"/>
    <m/>
    <s v=""/>
    <m/>
    <n v="0"/>
    <n v="0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s v=""/>
    <m/>
    <n v="0"/>
    <n v="0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s v=""/>
    <m/>
    <n v="0"/>
    <n v="0"/>
  </r>
  <r>
    <n v="480"/>
    <s v="FC2"/>
    <s v="FOOD COLOUR ORANGE SMALL X 12"/>
    <m/>
    <x v="0"/>
    <m/>
    <s v=""/>
    <m/>
    <n v="0"/>
    <n v="0"/>
  </r>
  <r>
    <n v="481"/>
    <s v="FC3"/>
    <s v="FOOD COLOUR ORANGE BIG(4) X 20"/>
    <m/>
    <x v="0"/>
    <m/>
    <s v=""/>
    <m/>
    <n v="0"/>
    <n v="0"/>
  </r>
  <r>
    <n v="482"/>
    <s v="FC4"/>
    <s v="FOOD COLOUR ORANGE BIG(5)X 20"/>
    <m/>
    <x v="0"/>
    <m/>
    <s v=""/>
    <m/>
    <n v="0"/>
    <n v="0"/>
  </r>
  <r>
    <n v="483"/>
    <s v="FC5"/>
    <s v="FOOD COLOUR RED SMALL X 12"/>
    <m/>
    <x v="0"/>
    <m/>
    <s v=""/>
    <m/>
    <n v="0"/>
    <n v="0"/>
  </r>
  <r>
    <n v="484"/>
    <s v="FC6"/>
    <s v="FOOD COLOUR RED BIG X 20"/>
    <m/>
    <x v="0"/>
    <m/>
    <s v=""/>
    <m/>
    <n v="0"/>
    <n v="0"/>
  </r>
  <r>
    <n v="485"/>
    <s v="FC7"/>
    <s v="FOOD COLOUR YELLOW SMALL X 12"/>
    <m/>
    <x v="0"/>
    <m/>
    <s v=""/>
    <m/>
    <n v="0"/>
    <n v="0"/>
  </r>
  <r>
    <n v="486"/>
    <s v="FC8"/>
    <s v="FOOD COLOUR YELLOW BIG X 20"/>
    <m/>
    <x v="0"/>
    <m/>
    <s v=""/>
    <m/>
    <n v="0"/>
    <n v="0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s v=""/>
    <m/>
    <n v="0"/>
    <n v="0"/>
  </r>
  <r>
    <n v="489"/>
    <s v="FK10"/>
    <s v="SALAM BASMATI RICE 20 KG X 1"/>
    <m/>
    <x v="0"/>
    <m/>
    <s v=""/>
    <m/>
    <n v="0"/>
    <n v="0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s v=""/>
    <m/>
    <n v="0"/>
    <n v="0"/>
  </r>
  <r>
    <n v="493"/>
    <s v="FK4"/>
    <s v="FALAK BASMATI RICE 2 KG X 10"/>
    <m/>
    <x v="0"/>
    <m/>
    <s v=""/>
    <m/>
    <n v="0"/>
    <n v="0"/>
  </r>
  <r>
    <n v="494"/>
    <s v="FK5"/>
    <s v="FALAK BASMATI RICE 5 KG X 4"/>
    <m/>
    <x v="0"/>
    <m/>
    <s v=""/>
    <m/>
    <n v="0"/>
    <n v="0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s v=""/>
    <m/>
    <n v="0"/>
    <n v="0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s v=""/>
    <m/>
    <n v="0"/>
    <n v="0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s v=""/>
    <m/>
    <n v="0"/>
    <n v="0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s v=""/>
    <m/>
    <n v="0"/>
    <n v="0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s v=""/>
    <m/>
    <n v="0"/>
    <n v="0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s v=""/>
    <m/>
    <n v="0"/>
    <n v="0"/>
  </r>
  <r>
    <n v="558"/>
    <s v="HD11"/>
    <s v="HR BOONDI 200 G X 10"/>
    <m/>
    <x v="0"/>
    <m/>
    <s v=""/>
    <m/>
    <n v="0"/>
    <n v="0"/>
  </r>
  <r>
    <n v="559"/>
    <s v="HD110"/>
    <s v="HR GATHIYA MIX 200G X5"/>
    <m/>
    <x v="0"/>
    <m/>
    <s v=""/>
    <m/>
    <n v="0"/>
    <n v="0"/>
  </r>
  <r>
    <n v="560"/>
    <s v="HD111"/>
    <s v="HR LONG SEV 200GX10"/>
    <m/>
    <x v="0"/>
    <m/>
    <s v=""/>
    <m/>
    <n v="0"/>
    <n v="0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s v=""/>
    <m/>
    <n v="0"/>
    <n v="0"/>
  </r>
  <r>
    <n v="566"/>
    <s v="HD115"/>
    <s v="HR GOLDEN MIXTURE 150GX 12"/>
    <m/>
    <x v="0"/>
    <m/>
    <s v=""/>
    <m/>
    <n v="0"/>
    <n v="0"/>
  </r>
  <r>
    <n v="567"/>
    <s v="HD116"/>
    <s v="HR BANANA CHIPS 180G X6"/>
    <m/>
    <x v="0"/>
    <m/>
    <s v=""/>
    <m/>
    <n v="0"/>
    <n v="0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s v=""/>
    <m/>
    <n v="0"/>
    <n v="0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s v=""/>
    <m/>
    <n v="0"/>
    <n v="0"/>
  </r>
  <r>
    <n v="572"/>
    <s v="HD120"/>
    <s v="HR SWEETS MOTICHOOR LADOO 300G X16"/>
    <m/>
    <x v="0"/>
    <m/>
    <s v=""/>
    <m/>
    <n v="0"/>
    <n v="0"/>
  </r>
  <r>
    <n v="573"/>
    <s v="HD121"/>
    <s v="HR SWEETS MILK CAKE 300G X16"/>
    <m/>
    <x v="0"/>
    <m/>
    <s v=""/>
    <m/>
    <n v="0"/>
    <n v="0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s v=""/>
    <m/>
    <n v="0"/>
    <n v="0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s v=""/>
    <m/>
    <n v="0"/>
    <n v="0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s v=""/>
    <m/>
    <n v="0"/>
    <n v="0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s v=""/>
    <m/>
    <n v="0"/>
    <n v="0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s v=""/>
    <m/>
    <n v="0"/>
    <n v="0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s v=""/>
    <m/>
    <n v="0"/>
    <n v="0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s v=""/>
    <m/>
    <n v="0"/>
    <n v="0"/>
  </r>
  <r>
    <n v="601"/>
    <s v="HD37"/>
    <s v="HR KHATTA METHA 400 G X 5"/>
    <m/>
    <x v="0"/>
    <m/>
    <s v=""/>
    <m/>
    <n v="0"/>
    <n v="0"/>
  </r>
  <r>
    <n v="602"/>
    <s v="HD38"/>
    <s v="HR MATHRI 200 G X 10"/>
    <m/>
    <x v="0"/>
    <m/>
    <s v=""/>
    <m/>
    <n v="0"/>
    <n v="0"/>
  </r>
  <r>
    <n v="603"/>
    <s v="HD39"/>
    <s v="HR MINT LACHHA 200 G X 5"/>
    <m/>
    <x v="0"/>
    <m/>
    <s v=""/>
    <m/>
    <n v="0"/>
    <n v="0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s v=""/>
    <m/>
    <n v="0"/>
    <n v="0"/>
  </r>
  <r>
    <n v="606"/>
    <s v="HD41"/>
    <s v="HR MOONG DAL 200 G X 10"/>
    <m/>
    <x v="0"/>
    <m/>
    <s v=""/>
    <m/>
    <n v="0"/>
    <n v="0"/>
  </r>
  <r>
    <n v="607"/>
    <s v="HD42"/>
    <s v="HR NAVRATAN 200 G X 10"/>
    <m/>
    <x v="0"/>
    <m/>
    <s v=""/>
    <m/>
    <n v="0"/>
    <n v="0"/>
  </r>
  <r>
    <n v="608"/>
    <s v="HD43"/>
    <s v="HR NIMBU MAS 200 G X 10"/>
    <m/>
    <x v="0"/>
    <m/>
    <s v=""/>
    <m/>
    <n v="0"/>
    <n v="0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s v=""/>
    <m/>
    <n v="0"/>
    <n v="0"/>
  </r>
  <r>
    <n v="612"/>
    <s v="HD47"/>
    <s v="HR PANI PURI 360 G X 12"/>
    <m/>
    <x v="0"/>
    <m/>
    <s v=""/>
    <m/>
    <n v="0"/>
    <n v="0"/>
  </r>
  <r>
    <n v="613"/>
    <s v="HD48"/>
    <s v="HR PATISHA 500 G X 20"/>
    <m/>
    <x v="0"/>
    <m/>
    <s v=""/>
    <m/>
    <n v="0"/>
    <n v="0"/>
  </r>
  <r>
    <n v="614"/>
    <s v="HD49"/>
    <s v="HR PUNJABI TAKDA 200 G X 10 "/>
    <m/>
    <x v="0"/>
    <m/>
    <s v=""/>
    <m/>
    <n v="0"/>
    <n v="0"/>
  </r>
  <r>
    <n v="615"/>
    <s v="HD5"/>
    <s v="HR BHELPURI 200 G X 10"/>
    <m/>
    <x v="0"/>
    <m/>
    <s v=""/>
    <m/>
    <n v="0"/>
    <n v="0"/>
  </r>
  <r>
    <n v="616"/>
    <s v="HD50"/>
    <s v="HR SWEETS RASGULLA 1 KG X 12 offerta"/>
    <m/>
    <x v="0"/>
    <m/>
    <s v=""/>
    <m/>
    <n v="0"/>
    <n v="0"/>
  </r>
  <r>
    <n v="617"/>
    <s v="HD51"/>
    <s v="HR SWEETS RASMALAI 1 KG X 12 offerta "/>
    <m/>
    <x v="0"/>
    <m/>
    <s v=""/>
    <m/>
    <n v="0"/>
    <n v="0"/>
  </r>
  <r>
    <n v="618"/>
    <s v="HD52"/>
    <s v="HR SAMOSA 200 G X 10"/>
    <m/>
    <x v="0"/>
    <m/>
    <s v=""/>
    <m/>
    <n v="0"/>
    <n v="0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s v=""/>
    <m/>
    <n v="0"/>
    <n v="0"/>
  </r>
  <r>
    <n v="621"/>
    <s v="HD55"/>
    <s v="HR SOAN PAPDI 500 G X 20"/>
    <m/>
    <x v="0"/>
    <m/>
    <s v=""/>
    <m/>
    <n v="0"/>
    <n v="0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s v=""/>
    <m/>
    <n v="0"/>
    <n v="0"/>
  </r>
  <r>
    <n v="624"/>
    <s v="HD58"/>
    <s v="HRR CHOLEY MASALA300 G X 40"/>
    <m/>
    <x v="0"/>
    <m/>
    <s v=""/>
    <m/>
    <n v="0"/>
    <n v="0"/>
  </r>
  <r>
    <n v="625"/>
    <s v="HD59"/>
    <s v="HRR DAL MAKHANI 300 G X 40"/>
    <m/>
    <x v="0"/>
    <m/>
    <s v=""/>
    <m/>
    <n v="0"/>
    <n v="0"/>
  </r>
  <r>
    <n v="626"/>
    <s v="HD6"/>
    <s v="HR BHUJIA MAS 200 G X 10"/>
    <m/>
    <x v="0"/>
    <m/>
    <s v=""/>
    <m/>
    <n v="0"/>
    <n v="0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s v=""/>
    <m/>
    <n v="0"/>
    <n v="0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s v=""/>
    <m/>
    <n v="0"/>
    <n v="0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s v=""/>
    <m/>
    <n v="0"/>
    <n v="0"/>
  </r>
  <r>
    <n v="636"/>
    <s v="HD69"/>
    <s v="HRR PALAK PANNER 300GX40"/>
    <m/>
    <x v="0"/>
    <m/>
    <s v=""/>
    <m/>
    <n v="0"/>
    <n v="0"/>
  </r>
  <r>
    <n v="637"/>
    <s v="HD7"/>
    <s v="HR BHUJJIA PLAIN 200 G X 10 "/>
    <m/>
    <x v="0"/>
    <m/>
    <s v=""/>
    <m/>
    <n v="0"/>
    <n v="0"/>
  </r>
  <r>
    <n v="638"/>
    <s v="HD70"/>
    <s v="HRR MUTTER PANNER300GX40"/>
    <m/>
    <x v="0"/>
    <m/>
    <s v=""/>
    <m/>
    <n v="0"/>
    <n v="0"/>
  </r>
  <r>
    <n v="639"/>
    <s v="HD71"/>
    <s v="HR BHELPURI  WITH CHUTNEY 200GX10"/>
    <m/>
    <x v="0"/>
    <m/>
    <s v=""/>
    <m/>
    <n v="0"/>
    <n v="0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s v=""/>
    <m/>
    <n v="0"/>
    <n v="0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s v=""/>
    <m/>
    <n v="0"/>
    <n v="0"/>
  </r>
  <r>
    <n v="644"/>
    <s v="HD76"/>
    <s v="HR KARANCHI MIX 200 G X 10"/>
    <m/>
    <x v="0"/>
    <m/>
    <s v=""/>
    <m/>
    <n v="0"/>
    <n v="0"/>
  </r>
  <r>
    <n v="645"/>
    <s v="HD77"/>
    <s v="HR CHANA DAL NIBULA 200 G X 10"/>
    <m/>
    <x v="0"/>
    <m/>
    <s v=""/>
    <m/>
    <n v="0"/>
    <n v="0"/>
  </r>
  <r>
    <n v="646"/>
    <s v="HD78"/>
    <s v="HR RATLAMI 200 G X 10"/>
    <m/>
    <x v="0"/>
    <m/>
    <s v=""/>
    <m/>
    <n v="0"/>
    <n v="0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s v=""/>
    <m/>
    <n v="0"/>
    <n v="0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s v=""/>
    <m/>
    <n v="0"/>
    <n v="0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s v=""/>
    <m/>
    <n v="0"/>
    <n v="0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s v=""/>
    <m/>
    <n v="0"/>
    <n v="0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s v=""/>
    <m/>
    <n v="0"/>
    <n v="0"/>
  </r>
  <r>
    <n v="681"/>
    <s v="HE2"/>
    <s v="HEERA CORN FLOUR 500G X 12"/>
    <m/>
    <x v="0"/>
    <m/>
    <s v=""/>
    <m/>
    <n v="0"/>
    <n v="0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s v=""/>
    <m/>
    <n v="0"/>
    <n v="0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s v=""/>
    <m/>
    <n v="0"/>
    <n v="0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s v=""/>
    <m/>
    <n v="0"/>
    <n v="0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s v=""/>
    <m/>
    <n v="0"/>
    <n v="0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s v=""/>
    <m/>
    <n v="0"/>
    <n v="0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s v=""/>
    <m/>
    <n v="0"/>
    <n v="0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s v=""/>
    <m/>
    <n v="0"/>
    <n v="0"/>
  </r>
  <r>
    <n v="700"/>
    <s v="HE37"/>
    <s v="HEERA TIN KARRI PAKORA 450 G X 12"/>
    <m/>
    <x v="0"/>
    <m/>
    <s v=""/>
    <m/>
    <n v="0"/>
    <n v="0"/>
  </r>
  <r>
    <n v="701"/>
    <s v="HE38"/>
    <s v="HEERA TIN MATTAR PANEER 450 G X 12"/>
    <m/>
    <x v="0"/>
    <m/>
    <s v=""/>
    <m/>
    <n v="0"/>
    <n v="0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s v=""/>
    <m/>
    <n v="0"/>
    <n v="0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s v=""/>
    <m/>
    <n v="0"/>
    <n v="0"/>
  </r>
  <r>
    <n v="710"/>
    <s v="HE46"/>
    <s v="HEERA SARSON KA SAAG 800 G X 12"/>
    <m/>
    <x v="0"/>
    <m/>
    <s v=""/>
    <m/>
    <n v="0"/>
    <n v="0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s v=""/>
    <m/>
    <n v="0"/>
    <n v="0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s v=""/>
    <m/>
    <n v="0"/>
    <n v="0"/>
  </r>
  <r>
    <n v="722"/>
    <s v="HE57"/>
    <s v="HEERA TIN NAVRATAN KORMA450GX12"/>
    <m/>
    <x v="0"/>
    <m/>
    <s v=""/>
    <m/>
    <n v="0"/>
    <n v="0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s v=""/>
    <m/>
    <n v="0"/>
    <n v="0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0"/>
    <n v="0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s v=""/>
    <m/>
    <n v="0"/>
    <n v="0"/>
  </r>
  <r>
    <n v="754"/>
    <s v="HM20"/>
    <s v="HM OIL HAIR ARGAN 200ML X12"/>
    <m/>
    <x v="0"/>
    <m/>
    <s v=""/>
    <m/>
    <n v="0"/>
    <n v="0"/>
  </r>
  <r>
    <n v="755"/>
    <s v="HM21"/>
    <s v="HM OIL AMLA GREEN BOX 200ML X12"/>
    <m/>
    <x v="0"/>
    <m/>
    <s v=""/>
    <m/>
    <n v="0"/>
    <n v="0"/>
  </r>
  <r>
    <n v="756"/>
    <s v="HM22"/>
    <s v="HM OIL BLACKSEEDS 60ML X12"/>
    <m/>
    <x v="0"/>
    <m/>
    <s v=""/>
    <m/>
    <n v="0"/>
    <n v="0"/>
  </r>
  <r>
    <n v="757"/>
    <s v="HM23"/>
    <s v="HM OIL NEEM 60ML X12"/>
    <m/>
    <x v="0"/>
    <m/>
    <s v=""/>
    <m/>
    <n v="0"/>
    <n v="0"/>
  </r>
  <r>
    <n v="758"/>
    <s v="HM24"/>
    <s v="HM OIL HAIR ANTI DANDRUFF 75ML X 6"/>
    <m/>
    <x v="0"/>
    <m/>
    <s v=""/>
    <m/>
    <n v="0"/>
    <n v="0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s v=""/>
    <m/>
    <n v="0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s v=""/>
    <m/>
    <n v="0"/>
    <n v="0"/>
  </r>
  <r>
    <n v="766"/>
    <s v="HM31"/>
    <s v="HM OIL CUCUMBER 30ML X12"/>
    <m/>
    <x v="0"/>
    <m/>
    <s v=""/>
    <m/>
    <n v="0"/>
    <n v="0"/>
  </r>
  <r>
    <n v="767"/>
    <s v="HM32"/>
    <s v="HM MIXTURE TEA COLDX 1 (20PCS)"/>
    <m/>
    <x v="0"/>
    <m/>
    <s v=""/>
    <m/>
    <n v="0"/>
    <n v="0"/>
  </r>
  <r>
    <n v="768"/>
    <s v="HM33"/>
    <s v="HM SOAP BLACK SEED 75GM X12"/>
    <m/>
    <x v="0"/>
    <m/>
    <s v=""/>
    <m/>
    <n v="0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s v=""/>
    <m/>
    <n v="0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s v=""/>
    <m/>
    <n v="0"/>
    <n v="0"/>
  </r>
  <r>
    <n v="774"/>
    <s v="HM39"/>
    <s v="HM FS POMEGRANATE/ ALOE VERA 150MLX12"/>
    <m/>
    <x v="0"/>
    <m/>
    <s v=""/>
    <m/>
    <n v="0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s v=""/>
    <m/>
    <n v="0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s v=""/>
    <m/>
    <n v="0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s v=""/>
    <m/>
    <n v="0"/>
    <n v="0"/>
  </r>
  <r>
    <n v="813"/>
    <s v="ID102"/>
    <s v="Z PEAK EVAPORATED 410 G X 24 *"/>
    <m/>
    <x v="0"/>
    <m/>
    <s v=""/>
    <m/>
    <n v="0"/>
    <n v="0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s v=""/>
    <m/>
    <n v="0"/>
    <n v="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s v=""/>
    <m/>
    <n v="0"/>
    <n v="0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s v=""/>
    <m/>
    <n v="0"/>
    <n v="0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s v=""/>
    <m/>
    <n v="0"/>
    <n v="0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s v=""/>
    <m/>
    <n v="0"/>
    <n v="0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0"/>
    <n v="0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0"/>
    <n v="0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s v=""/>
    <m/>
    <n v="0"/>
    <n v="0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0"/>
  </r>
  <r>
    <n v="943"/>
    <s v="ID22"/>
    <s v="Z CHICKEN CUBE X16*"/>
    <m/>
    <x v="0"/>
    <m/>
    <s v=""/>
    <m/>
    <n v="0"/>
    <n v="0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s v=""/>
    <m/>
    <n v="0"/>
    <n v="0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s v=""/>
    <m/>
    <n v="0"/>
    <n v="0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s v=""/>
    <m/>
    <n v="0"/>
    <n v="0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s v=""/>
    <m/>
    <n v="0"/>
    <n v="0"/>
  </r>
  <r>
    <n v="1008"/>
    <s v="ID38"/>
    <s v="Z ELEPHANT RISO 1 VOLTA 20KG X1*"/>
    <m/>
    <x v="0"/>
    <m/>
    <s v=""/>
    <m/>
    <n v="0"/>
    <n v="0"/>
  </r>
  <r>
    <n v="1009"/>
    <s v="ID39"/>
    <s v="Z ELEPHANT RISO 1 VOLTA 5KGX5*"/>
    <m/>
    <x v="0"/>
    <m/>
    <s v=""/>
    <m/>
    <n v="0"/>
    <n v="0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0"/>
    <n v="0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0"/>
    <n v="0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s v=""/>
    <m/>
    <n v="0"/>
    <n v="0"/>
  </r>
  <r>
    <n v="1022"/>
    <s v="ID50"/>
    <s v="Z FLYING RICE 10KGX1 *"/>
    <m/>
    <x v="0"/>
    <m/>
    <s v=""/>
    <m/>
    <n v="0"/>
    <n v="0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0"/>
    <n v="0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s v=""/>
    <m/>
    <n v="0"/>
    <n v="0"/>
  </r>
  <r>
    <n v="1072"/>
    <s v="ID96"/>
    <s v="Z PAN MAIS 1KG BIANCOX10*"/>
    <m/>
    <x v="0"/>
    <m/>
    <s v=""/>
    <m/>
    <n v="0"/>
    <n v="0"/>
  </r>
  <r>
    <n v="1073"/>
    <s v="ID97"/>
    <s v="Z PAN MAIS 1KG YELLOW X10*"/>
    <m/>
    <x v="0"/>
    <m/>
    <s v=""/>
    <m/>
    <n v="0"/>
    <n v="0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s v=""/>
    <m/>
    <n v="0"/>
    <n v="0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s v=""/>
    <m/>
    <n v="0"/>
    <n v="0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s v=""/>
    <m/>
    <n v="0"/>
    <n v="0"/>
  </r>
  <r>
    <n v="1084"/>
    <s v="JA1"/>
    <s v="JUHAYNA MANGO 1LTX12"/>
    <m/>
    <x v="0"/>
    <m/>
    <s v=""/>
    <m/>
    <n v="0"/>
    <n v="0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s v=""/>
    <m/>
    <n v="0"/>
    <n v="0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s v=""/>
    <m/>
    <n v="0"/>
    <n v="0"/>
  </r>
  <r>
    <n v="1090"/>
    <s v="JO4"/>
    <s v="JNS BABY OIL 500 ML X 6"/>
    <m/>
    <x v="0"/>
    <m/>
    <s v=""/>
    <m/>
    <n v="0"/>
    <n v="0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s v=""/>
    <m/>
    <n v="0"/>
    <n v="0"/>
  </r>
  <r>
    <n v="1098"/>
    <s v="K4"/>
    <s v="KH MUSTARD OIL 1LTX12"/>
    <m/>
    <x v="0"/>
    <m/>
    <s v=""/>
    <m/>
    <n v="0"/>
    <n v="0"/>
  </r>
  <r>
    <n v="1099"/>
    <s v="K5"/>
    <s v="KH MUSTARD OIL 750MLX12"/>
    <m/>
    <x v="0"/>
    <m/>
    <s v=""/>
    <m/>
    <n v="0"/>
    <n v="0"/>
  </r>
  <r>
    <n v="1100"/>
    <s v="K6"/>
    <s v="KH MUSTARD OIL 500MLX12"/>
    <m/>
    <x v="0"/>
    <m/>
    <s v=""/>
    <m/>
    <n v="0"/>
    <n v="0"/>
  </r>
  <r>
    <n v="1101"/>
    <s v="K7"/>
    <s v="KH COCONUT OIL 250MLX12"/>
    <m/>
    <x v="0"/>
    <m/>
    <s v=""/>
    <m/>
    <n v="0"/>
    <n v="0"/>
  </r>
  <r>
    <n v="1102"/>
    <s v="K8"/>
    <s v="KH COCONUT OIL 500MLX12"/>
    <m/>
    <x v="0"/>
    <m/>
    <s v=""/>
    <m/>
    <n v="0"/>
    <n v="0"/>
  </r>
  <r>
    <n v="1103"/>
    <s v="K9"/>
    <s v="KH MUSTARD OIL 250MLX12"/>
    <m/>
    <x v="0"/>
    <m/>
    <s v=""/>
    <m/>
    <n v="0"/>
    <n v="0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s v=""/>
    <m/>
    <n v="0"/>
    <n v="0"/>
  </r>
  <r>
    <n v="1106"/>
    <s v="KH2"/>
    <s v="KHANUM GHEE 2 KG X 6"/>
    <m/>
    <x v="0"/>
    <m/>
    <s v=""/>
    <m/>
    <n v="0"/>
    <n v="0"/>
  </r>
  <r>
    <n v="1107"/>
    <s v="KH3"/>
    <s v="KHANUM GHEE 500 G X 12 "/>
    <m/>
    <x v="0"/>
    <m/>
    <s v=""/>
    <m/>
    <n v="0"/>
    <n v="0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s v=""/>
    <m/>
    <n v="0"/>
    <n v="0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s v=""/>
    <m/>
    <n v="0"/>
    <n v="0"/>
  </r>
  <r>
    <n v="1119"/>
    <s v="KI18"/>
    <s v="KITCHEN ART TAWA SIZE 13&quot; X 10"/>
    <m/>
    <x v="0"/>
    <m/>
    <s v=""/>
    <m/>
    <n v="0"/>
    <n v="0"/>
  </r>
  <r>
    <n v="1120"/>
    <s v="KI19"/>
    <s v="KITCHEN ART TAWA SIZE 9&quot; X 10"/>
    <m/>
    <x v="0"/>
    <m/>
    <s v=""/>
    <m/>
    <n v="0"/>
    <n v="0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s v=""/>
    <m/>
    <n v="0"/>
    <n v="0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s v=""/>
    <m/>
    <n v="0"/>
    <n v="0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s v=""/>
    <m/>
    <n v="0"/>
    <n v="0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s v=""/>
    <m/>
    <n v="0"/>
    <n v="0"/>
  </r>
  <r>
    <n v="1135"/>
    <s v="KI8"/>
    <s v="KITCHEN ART IRON KADAI 12&quot;"/>
    <m/>
    <x v="0"/>
    <m/>
    <s v=""/>
    <m/>
    <n v="0"/>
    <n v="0"/>
  </r>
  <r>
    <n v="1136"/>
    <s v="KI9"/>
    <s v="KITCHEN ART IRON KADAI 14&quot;"/>
    <m/>
    <x v="0"/>
    <m/>
    <s v=""/>
    <m/>
    <n v="0"/>
    <n v="0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s v=""/>
    <m/>
    <n v="0"/>
    <n v="0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s v=""/>
    <m/>
    <n v="0"/>
    <n v="0"/>
  </r>
  <r>
    <n v="1162"/>
    <s v="KT12"/>
    <s v="KTC COCONUT OIL 250 ML X 12"/>
    <m/>
    <x v="0"/>
    <m/>
    <s v=""/>
    <m/>
    <n v="0"/>
    <n v="0"/>
  </r>
  <r>
    <n v="1163"/>
    <s v="KT13"/>
    <s v="KTC COCONUT OIL 500 ML X 12"/>
    <m/>
    <x v="0"/>
    <m/>
    <s v=""/>
    <m/>
    <n v="0"/>
    <n v="0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s v=""/>
    <m/>
    <n v="0"/>
    <n v="0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s v=""/>
    <m/>
    <n v="0"/>
    <n v="0"/>
  </r>
  <r>
    <n v="1171"/>
    <s v="KT20"/>
    <s v="KTC MUSTARD OIL 250 ML X 12"/>
    <m/>
    <x v="0"/>
    <m/>
    <s v=""/>
    <m/>
    <n v="0"/>
    <n v="0"/>
  </r>
  <r>
    <n v="1172"/>
    <s v="KT21"/>
    <s v="KTC MUSTARD OIL 4LT X 4"/>
    <m/>
    <x v="0"/>
    <m/>
    <s v=""/>
    <m/>
    <n v="0"/>
    <n v="0"/>
  </r>
  <r>
    <n v="1173"/>
    <s v="KT22"/>
    <s v="KTC MUSTARD OIL 500 ML X 12"/>
    <m/>
    <x v="0"/>
    <m/>
    <s v=""/>
    <m/>
    <n v="0"/>
    <n v="0"/>
  </r>
  <r>
    <n v="1174"/>
    <s v="KT23"/>
    <s v="KTC MUSTARD OIL 750 ML X 12"/>
    <m/>
    <x v="0"/>
    <m/>
    <s v=""/>
    <m/>
    <n v="0"/>
    <n v="0"/>
  </r>
  <r>
    <n v="1175"/>
    <s v="KT24"/>
    <s v="KTC OLIVE OIL 5 LT X 4"/>
    <m/>
    <x v="0"/>
    <m/>
    <s v=""/>
    <m/>
    <n v="0"/>
    <n v="0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s v=""/>
    <m/>
    <n v="0"/>
    <n v="0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s v=""/>
    <m/>
    <n v="0"/>
    <n v="0"/>
  </r>
  <r>
    <n v="1181"/>
    <s v="KT3"/>
    <s v="KTC ALMOND OIL 500 ML X 12"/>
    <m/>
    <x v="0"/>
    <m/>
    <s v=""/>
    <m/>
    <n v="0"/>
    <n v="0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s v=""/>
    <m/>
    <n v="0"/>
    <n v="0"/>
  </r>
  <r>
    <n v="1185"/>
    <s v="KT5"/>
    <s v="KTC ALSI OIL 250 ML X 12"/>
    <m/>
    <x v="0"/>
    <m/>
    <s v=""/>
    <m/>
    <n v="0"/>
    <n v="0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s v=""/>
    <m/>
    <n v="0"/>
    <n v="0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s v=""/>
    <m/>
    <n v="0"/>
    <n v="0"/>
  </r>
  <r>
    <n v="1192"/>
    <s v="LA3"/>
    <s v="LAILA BROKEN RICE 20 KG"/>
    <m/>
    <x v="0"/>
    <m/>
    <s v=""/>
    <m/>
    <n v="0"/>
    <n v="0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s v=""/>
    <m/>
    <n v="0"/>
    <n v="0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s v=""/>
    <m/>
    <n v="0"/>
    <n v="0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s v=""/>
    <m/>
    <n v="0"/>
    <n v="0"/>
  </r>
  <r>
    <n v="1208"/>
    <s v="LZ12"/>
    <s v="LAZ DELHI PULAO BIR 100 GX 6"/>
    <m/>
    <x v="0"/>
    <m/>
    <s v=""/>
    <m/>
    <n v="0"/>
    <n v="0"/>
  </r>
  <r>
    <n v="1209"/>
    <s v="LZ13"/>
    <s v="LAZ FISH MASALA 100 G X 6"/>
    <m/>
    <x v="0"/>
    <m/>
    <s v=""/>
    <m/>
    <n v="0"/>
    <n v="0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s v=""/>
    <m/>
    <n v="0"/>
    <n v="0"/>
  </r>
  <r>
    <n v="1213"/>
    <s v="LZ17"/>
    <s v="LAZ HALEEM MIX MASALA 375 G X 6"/>
    <m/>
    <x v="0"/>
    <m/>
    <s v=""/>
    <m/>
    <n v="0"/>
    <n v="0"/>
  </r>
  <r>
    <n v="1214"/>
    <s v="LZ18"/>
    <s v="LAZ FALOODA JELLY 235 G X 6"/>
    <m/>
    <x v="0"/>
    <m/>
    <s v=""/>
    <m/>
    <n v="0"/>
    <n v="0"/>
  </r>
  <r>
    <n v="1215"/>
    <s v="LZ19"/>
    <s v="LAZ KARAHI/FRY GHOST MAS 90 G X 6 "/>
    <m/>
    <x v="0"/>
    <m/>
    <s v=""/>
    <m/>
    <n v="0"/>
    <n v="0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s v=""/>
    <m/>
    <n v="0"/>
    <n v="0"/>
  </r>
  <r>
    <n v="1218"/>
    <s v="LZ21"/>
    <s v="LAZ KHEER A+S 155 G X 6"/>
    <m/>
    <x v="0"/>
    <m/>
    <s v=""/>
    <m/>
    <n v="0"/>
    <n v="0"/>
  </r>
  <r>
    <n v="1219"/>
    <s v="LZ22"/>
    <s v="LAZ KHEER MIX P+C 155 G X 6"/>
    <m/>
    <x v="0"/>
    <m/>
    <s v=""/>
    <m/>
    <n v="0"/>
    <n v="0"/>
  </r>
  <r>
    <n v="1220"/>
    <s v="LZ23"/>
    <s v="LAZ KHEER MIX STD 155 G X 6"/>
    <m/>
    <x v="0"/>
    <m/>
    <s v=""/>
    <m/>
    <n v="0"/>
    <n v="0"/>
  </r>
  <r>
    <n v="1221"/>
    <s v="LZ24"/>
    <s v="LAZ KOFTA MASALA 130 G X 6"/>
    <m/>
    <x v="0"/>
    <m/>
    <s v=""/>
    <m/>
    <n v="0"/>
    <n v="0"/>
  </r>
  <r>
    <n v="1222"/>
    <s v="LZ25"/>
    <s v="LAZ KULFA KHOYA STD X 6"/>
    <m/>
    <x v="0"/>
    <m/>
    <s v=""/>
    <m/>
    <n v="0"/>
    <n v="0"/>
  </r>
  <r>
    <n v="1223"/>
    <s v="LZ26"/>
    <s v="LAZ KULFI MALAI MIX X 6"/>
    <m/>
    <x v="0"/>
    <m/>
    <s v=""/>
    <m/>
    <n v="0"/>
    <n v="0"/>
  </r>
  <r>
    <n v="1224"/>
    <s v="LZ27"/>
    <s v="LAZ LAHORI CHARGA X 6"/>
    <m/>
    <x v="0"/>
    <m/>
    <s v=""/>
    <m/>
    <n v="0"/>
    <n v="0"/>
  </r>
  <r>
    <n v="1225"/>
    <s v="LZ28"/>
    <s v="LAZ MANGO PICKLE 1 KG X 12"/>
    <m/>
    <x v="0"/>
    <m/>
    <s v=""/>
    <m/>
    <n v="0"/>
    <n v="0"/>
  </r>
  <r>
    <n v="1226"/>
    <s v="LZ29"/>
    <s v="LAZ MIXED PICKLE 1 KG X 12"/>
    <m/>
    <x v="0"/>
    <m/>
    <s v=""/>
    <m/>
    <n v="0"/>
    <n v="0"/>
  </r>
  <r>
    <n v="1227"/>
    <s v="LZ3"/>
    <s v="LAZ BARYANI MASALA 100GX6"/>
    <m/>
    <x v="0"/>
    <m/>
    <s v=""/>
    <m/>
    <n v="0"/>
    <n v="0"/>
  </r>
  <r>
    <n v="1228"/>
    <s v="LZ30"/>
    <s v="LAZ NEHARI MASALA 130 G X 6"/>
    <m/>
    <x v="0"/>
    <m/>
    <s v=""/>
    <m/>
    <n v="0"/>
    <n v="0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s v=""/>
    <m/>
    <n v="0"/>
    <n v="0"/>
  </r>
  <r>
    <n v="1231"/>
    <s v="LZ33"/>
    <s v="LAZ PAYA MASALA 130 G X 6"/>
    <m/>
    <x v="0"/>
    <m/>
    <s v=""/>
    <m/>
    <n v="0"/>
    <n v="0"/>
  </r>
  <r>
    <n v="1232"/>
    <s v="LZ34"/>
    <s v="LAZ FALOODA PISTA X 6"/>
    <m/>
    <x v="0"/>
    <m/>
    <s v=""/>
    <m/>
    <n v="0"/>
    <n v="0"/>
  </r>
  <r>
    <n v="1233"/>
    <s v="LZ35"/>
    <s v="LAZ PLUM CHUTNEY 275 G X 6"/>
    <m/>
    <x v="0"/>
    <m/>
    <s v=""/>
    <m/>
    <n v="0"/>
    <n v="0"/>
  </r>
  <r>
    <n v="1234"/>
    <s v="LZ36"/>
    <s v="LAZ QEEMA MAS 100 G X 6 "/>
    <m/>
    <x v="0"/>
    <m/>
    <s v=""/>
    <m/>
    <n v="0"/>
    <n v="0"/>
  </r>
  <r>
    <n v="1235"/>
    <s v="LZ37"/>
    <s v="LAZ QORMA MASALA 130 G X 6"/>
    <m/>
    <x v="0"/>
    <m/>
    <s v=""/>
    <m/>
    <n v="0"/>
    <n v="0"/>
  </r>
  <r>
    <n v="1236"/>
    <s v="LZ38"/>
    <s v="LAZ FALOODA RABARI 200 G X 6"/>
    <m/>
    <x v="0"/>
    <m/>
    <s v=""/>
    <m/>
    <n v="0"/>
    <n v="0"/>
  </r>
  <r>
    <n v="1237"/>
    <s v="LZ39"/>
    <s v="LAZ RASMALAI PISTA X 6"/>
    <m/>
    <x v="0"/>
    <m/>
    <s v=""/>
    <m/>
    <n v="0"/>
    <n v="0"/>
  </r>
  <r>
    <n v="1238"/>
    <s v="LZ4"/>
    <s v="LAZ CHANA MASALA 100GX6"/>
    <m/>
    <x v="0"/>
    <m/>
    <s v=""/>
    <m/>
    <n v="0"/>
    <n v="0"/>
  </r>
  <r>
    <n v="1239"/>
    <s v="LZ40"/>
    <s v="LAZ RASMALI ALMOND X 6"/>
    <m/>
    <x v="0"/>
    <m/>
    <s v=""/>
    <m/>
    <n v="0"/>
    <n v="0"/>
  </r>
  <r>
    <n v="1240"/>
    <s v="LZ41"/>
    <s v="LAZ RASMALI SAFFRON X 6"/>
    <m/>
    <x v="0"/>
    <m/>
    <s v=""/>
    <m/>
    <n v="0"/>
    <n v="0"/>
  </r>
  <r>
    <n v="1241"/>
    <s v="LZ42"/>
    <s v="LAZ RASMALI STDX 6"/>
    <m/>
    <x v="0"/>
    <m/>
    <s v=""/>
    <m/>
    <n v="0"/>
    <n v="0"/>
  </r>
  <r>
    <n v="1242"/>
    <s v="LZ43"/>
    <s v="LAZ SABAZI MASALA 100 G X 6 "/>
    <m/>
    <x v="0"/>
    <m/>
    <s v=""/>
    <m/>
    <n v="0"/>
    <n v="0"/>
  </r>
  <r>
    <n v="1243"/>
    <s v="LZ44"/>
    <s v="LAZ SEEKH MAS 100 G X 6"/>
    <m/>
    <x v="0"/>
    <m/>
    <s v=""/>
    <m/>
    <n v="0"/>
    <n v="0"/>
  </r>
  <r>
    <n v="1244"/>
    <s v="LZ45"/>
    <s v="LAZ SHAMI KEBAB MASALA 130 G X 6"/>
    <m/>
    <x v="0"/>
    <m/>
    <s v=""/>
    <m/>
    <n v="0"/>
    <n v="0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s v=""/>
    <m/>
    <n v="0"/>
    <n v="0"/>
  </r>
  <r>
    <n v="1247"/>
    <s v="LZ48"/>
    <s v="LAZ FALOODA STRAWBERRY 200 G X 6"/>
    <m/>
    <x v="0"/>
    <m/>
    <s v=""/>
    <m/>
    <n v="0"/>
    <n v="0"/>
  </r>
  <r>
    <n v="1248"/>
    <s v="LZ49"/>
    <s v="LAZ TANDOORI PASTE X 12"/>
    <m/>
    <x v="0"/>
    <m/>
    <s v=""/>
    <m/>
    <n v="0"/>
    <n v="0"/>
  </r>
  <r>
    <n v="1249"/>
    <s v="LZ5"/>
    <s v="LAZ CHAPLI KEBAB 100GX6"/>
    <m/>
    <x v="0"/>
    <m/>
    <s v=""/>
    <m/>
    <n v="0"/>
    <n v="0"/>
  </r>
  <r>
    <n v="1250"/>
    <s v="LZ50"/>
    <s v="LAZ TANDOORI/B.B.Q 100 G X 6"/>
    <m/>
    <x v="0"/>
    <m/>
    <s v=""/>
    <m/>
    <n v="0"/>
    <n v="0"/>
  </r>
  <r>
    <n v="1251"/>
    <s v="LZ51"/>
    <s v="LAZ TIKKA BOTTI MASALA 100 G X 6"/>
    <m/>
    <x v="0"/>
    <m/>
    <s v=""/>
    <m/>
    <n v="0"/>
    <n v="0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s v=""/>
    <m/>
    <n v="0"/>
    <n v="0"/>
  </r>
  <r>
    <n v="1254"/>
    <s v="LZ54"/>
    <s v="LAZ KATKAT MASALA100GX6"/>
    <m/>
    <x v="0"/>
    <m/>
    <s v=""/>
    <m/>
    <n v="0"/>
    <n v="0"/>
  </r>
  <r>
    <n v="1255"/>
    <s v="LZ55"/>
    <s v="LAZ KHEER DRY FRUIT 166GX6"/>
    <m/>
    <x v="0"/>
    <m/>
    <s v=""/>
    <m/>
    <n v="0"/>
    <n v="0"/>
  </r>
  <r>
    <n v="1256"/>
    <s v="LZ56"/>
    <s v="LAZ KHEER VERMICELLI 155GX6"/>
    <m/>
    <x v="0"/>
    <m/>
    <s v=""/>
    <m/>
    <n v="0"/>
    <n v="0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s v=""/>
    <m/>
    <n v="0"/>
    <n v="0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s v=""/>
    <m/>
    <n v="0"/>
    <n v="0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s v=""/>
    <m/>
    <n v="0"/>
    <n v="0"/>
  </r>
  <r>
    <n v="1265"/>
    <s v="LZ8"/>
    <s v="LAZ CHICKEN GINGER X 6"/>
    <m/>
    <x v="0"/>
    <m/>
    <s v=""/>
    <m/>
    <n v="0"/>
    <n v="0"/>
  </r>
  <r>
    <n v="1266"/>
    <s v="LZ9"/>
    <s v="LAZ CHICKEN MASALA X 6"/>
    <m/>
    <x v="0"/>
    <m/>
    <s v=""/>
    <m/>
    <n v="0"/>
    <n v="0"/>
  </r>
  <r>
    <n v="1267"/>
    <s v="M1"/>
    <s v="MEHNDI BLACK ROSE KALI  X 10"/>
    <m/>
    <x v="0"/>
    <m/>
    <s v=""/>
    <m/>
    <n v="0"/>
    <n v="0"/>
  </r>
  <r>
    <n v="1268"/>
    <s v="M10"/>
    <s v="MEHNDI JAMILA HEENA PWD 100GX12"/>
    <m/>
    <x v="0"/>
    <m/>
    <s v=""/>
    <m/>
    <n v="0"/>
    <n v="0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s v=""/>
    <m/>
    <n v="0"/>
    <n v="0"/>
  </r>
  <r>
    <n v="1274"/>
    <s v="M16"/>
    <s v="MEHNDI RED 500G X 10"/>
    <m/>
    <x v="0"/>
    <m/>
    <s v=""/>
    <m/>
    <n v="0"/>
    <n v="0"/>
  </r>
  <r>
    <n v="1275"/>
    <s v="M17"/>
    <s v="MEHNDI ZARQA RED 100 G X 10"/>
    <m/>
    <x v="0"/>
    <m/>
    <s v=""/>
    <m/>
    <n v="0"/>
    <n v="0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s v=""/>
    <m/>
    <n v="0"/>
    <n v="0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s v=""/>
    <m/>
    <n v="0"/>
    <n v="0"/>
  </r>
  <r>
    <n v="1290"/>
    <s v="MH14"/>
    <s v="MDH MEAT MASALA 100GX10"/>
    <m/>
    <x v="0"/>
    <m/>
    <s v=""/>
    <m/>
    <n v="0"/>
    <n v="0"/>
  </r>
  <r>
    <n v="1291"/>
    <s v="MH15"/>
    <s v="MDH KASOORI METHI LEV 100 G X 6"/>
    <m/>
    <x v="0"/>
    <m/>
    <s v=""/>
    <m/>
    <n v="0"/>
    <n v="0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s v=""/>
    <m/>
    <n v="0"/>
    <n v="0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s v=""/>
    <m/>
    <n v="0"/>
    <n v="0"/>
  </r>
  <r>
    <n v="1305"/>
    <s v="MH28"/>
    <s v="MDH GARAM MASALA 100GX10"/>
    <m/>
    <x v="0"/>
    <m/>
    <s v=""/>
    <m/>
    <n v="0"/>
    <n v="0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s v=""/>
    <m/>
    <n v="0"/>
    <n v="0"/>
  </r>
  <r>
    <n v="1309"/>
    <s v="MH31"/>
    <s v="MDH KITCHEN KING 500G X4"/>
    <m/>
    <x v="0"/>
    <m/>
    <s v=""/>
    <m/>
    <n v="0"/>
    <n v="0"/>
  </r>
  <r>
    <n v="1310"/>
    <s v="MH32"/>
    <s v="MDH KASHMIRI MIRCH 100GX10"/>
    <m/>
    <x v="0"/>
    <m/>
    <s v=""/>
    <m/>
    <n v="0"/>
    <n v="0"/>
  </r>
  <r>
    <n v="1311"/>
    <s v="MH4"/>
    <s v="MDH CHANNA MASALA 100 G X 10"/>
    <m/>
    <x v="0"/>
    <m/>
    <s v=""/>
    <m/>
    <n v="0"/>
    <n v="0"/>
  </r>
  <r>
    <n v="1312"/>
    <s v="MH5"/>
    <s v="MDH CHICKEN MASALA 100GX10"/>
    <m/>
    <x v="0"/>
    <m/>
    <s v=""/>
    <m/>
    <n v="0"/>
    <n v="0"/>
  </r>
  <r>
    <n v="1313"/>
    <s v="MH6"/>
    <s v="MDH CHUNKY CHAT MAS 100 G X 10"/>
    <m/>
    <x v="0"/>
    <m/>
    <s v=""/>
    <m/>
    <n v="0"/>
    <n v="0"/>
  </r>
  <r>
    <n v="1314"/>
    <s v="MH7"/>
    <s v="MDH DAHIVADA RAITA 100 G X 10"/>
    <m/>
    <x v="0"/>
    <m/>
    <s v=""/>
    <m/>
    <n v="0"/>
    <n v="0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s v=""/>
    <m/>
    <n v="0"/>
    <n v="0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s v=""/>
    <m/>
    <n v="0"/>
    <n v="0"/>
  </r>
  <r>
    <n v="1320"/>
    <s v="NT11"/>
    <s v="NAT CHICKEN TANDOORI 100 G X 12"/>
    <m/>
    <x v="0"/>
    <m/>
    <s v=""/>
    <m/>
    <n v="0"/>
    <n v="0"/>
  </r>
  <r>
    <n v="1321"/>
    <s v="NT12"/>
    <s v="NAT CHICKEN TIKKA 100 G X 12"/>
    <m/>
    <x v="0"/>
    <m/>
    <s v=""/>
    <m/>
    <n v="0"/>
    <n v="0"/>
  </r>
  <r>
    <n v="1322"/>
    <s v="NT13"/>
    <s v="NAT CHILL&amp;GARLIC SAUCE 300 G X 12"/>
    <m/>
    <x v="0"/>
    <m/>
    <s v=""/>
    <m/>
    <n v="0"/>
    <n v="0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s v=""/>
    <m/>
    <n v="0"/>
    <n v="0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s v=""/>
    <m/>
    <n v="0"/>
    <n v="0"/>
  </r>
  <r>
    <n v="1334"/>
    <s v="NT24"/>
    <s v="NAT GARLIC PICKLE 1 KG X 6"/>
    <m/>
    <x v="0"/>
    <m/>
    <s v=""/>
    <m/>
    <n v="0"/>
    <n v="0"/>
  </r>
  <r>
    <n v="1335"/>
    <s v="NT25"/>
    <s v="NAT GARLIC PASTE BIG X 12 offerta "/>
    <m/>
    <x v="0"/>
    <m/>
    <s v=""/>
    <m/>
    <n v="0"/>
    <n v="0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s v=""/>
    <m/>
    <n v="0"/>
    <n v="0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s v=""/>
    <m/>
    <n v="0"/>
    <n v="0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s v=""/>
    <m/>
    <n v="0"/>
    <n v="0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s v=""/>
    <m/>
    <n v="0"/>
    <n v="0"/>
  </r>
  <r>
    <n v="1356"/>
    <s v="NT44"/>
    <s v="NAT KHEER PISTA 155 G X 12"/>
    <m/>
    <x v="0"/>
    <m/>
    <s v=""/>
    <m/>
    <n v="0"/>
    <n v="0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s v=""/>
    <m/>
    <n v="0"/>
    <n v="0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s v=""/>
    <m/>
    <n v="0"/>
    <n v="0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s v=""/>
    <m/>
    <n v="0"/>
    <n v="0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s v=""/>
    <m/>
    <n v="0"/>
    <n v="0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s v=""/>
    <m/>
    <n v="0"/>
    <n v="0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0"/>
    <n v="0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s v=""/>
    <m/>
    <n v="0"/>
    <n v="0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s v=""/>
    <m/>
    <n v="0"/>
    <n v="0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s v=""/>
    <m/>
    <n v="0"/>
    <n v="0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s v=""/>
    <m/>
    <n v="0"/>
    <n v="0"/>
  </r>
  <r>
    <n v="1387"/>
    <s v="NT72"/>
    <s v="NAT SINDHI BIRYANI 100 G X 12"/>
    <m/>
    <x v="0"/>
    <m/>
    <s v=""/>
    <m/>
    <n v="0"/>
    <n v="0"/>
  </r>
  <r>
    <n v="1388"/>
    <s v="NT73"/>
    <s v="NAT TAMRIND CHUTNEY 325 G X 12"/>
    <m/>
    <x v="0"/>
    <m/>
    <s v=""/>
    <m/>
    <n v="0"/>
    <n v="0"/>
  </r>
  <r>
    <n v="1389"/>
    <s v="NT74"/>
    <s v="NAT TIKKA BOTTI MASALA X 12 "/>
    <m/>
    <x v="0"/>
    <m/>
    <s v=""/>
    <m/>
    <n v="0"/>
    <n v="0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s v=""/>
    <m/>
    <n v="0"/>
    <n v="0"/>
  </r>
  <r>
    <n v="1393"/>
    <s v="NT78"/>
    <s v="NAT YAKHNI PULAO 140 G X 12"/>
    <m/>
    <x v="0"/>
    <m/>
    <s v=""/>
    <m/>
    <n v="0"/>
    <n v="0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s v=""/>
    <m/>
    <n v="0"/>
    <n v="0"/>
  </r>
  <r>
    <n v="1397"/>
    <s v="NT9"/>
    <s v="NAT CHICKEN BROAST X 12"/>
    <m/>
    <x v="0"/>
    <m/>
    <s v=""/>
    <m/>
    <n v="0"/>
    <n v="0"/>
  </r>
  <r>
    <n v="1398"/>
    <s v="PG1"/>
    <s v="PG TEA 1.5 KG LOOSE TEA X 4  offerta "/>
    <m/>
    <x v="0"/>
    <m/>
    <s v=""/>
    <m/>
    <n v="0"/>
    <n v="0"/>
  </r>
  <r>
    <n v="1399"/>
    <s v="PG2"/>
    <s v="PG TEA 160 TEA BAGS X 8 "/>
    <m/>
    <x v="0"/>
    <m/>
    <s v=""/>
    <m/>
    <n v="0"/>
    <n v="0"/>
  </r>
  <r>
    <n v="1400"/>
    <s v="PG3"/>
    <s v="PG TEA 240 TEA BAGS X 4"/>
    <m/>
    <x v="0"/>
    <m/>
    <s v=""/>
    <m/>
    <n v="0"/>
    <n v="0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s v=""/>
    <m/>
    <n v="0"/>
    <n v="0"/>
  </r>
  <r>
    <n v="1403"/>
    <s v="PG6"/>
    <s v="PG TEA 40 TEA BAGS X 12 "/>
    <m/>
    <x v="0"/>
    <m/>
    <s v=""/>
    <m/>
    <n v="0"/>
    <n v="0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s v=""/>
    <m/>
    <n v="0"/>
    <n v="0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s v=""/>
    <m/>
    <n v="0"/>
    <n v="0"/>
  </r>
  <r>
    <n v="1414"/>
    <s v="PJ16"/>
    <s v="PJ FACE WASH NEEM &amp;TULSI 60GMX96"/>
    <m/>
    <x v="0"/>
    <m/>
    <s v=""/>
    <m/>
    <n v="0"/>
    <n v="0"/>
  </r>
  <r>
    <n v="1415"/>
    <s v="PJ17"/>
    <s v="PJ FACE WASH ORANGE&amp;ALOVERA 60GMX96"/>
    <m/>
    <x v="0"/>
    <m/>
    <s v=""/>
    <m/>
    <n v="0"/>
    <n v="0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s v=""/>
    <m/>
    <n v="0"/>
    <n v="0"/>
  </r>
  <r>
    <n v="1427"/>
    <s v="PJ28"/>
    <s v="PJ CAPSULE SHILAJIT 11 GM"/>
    <m/>
    <x v="0"/>
    <m/>
    <s v=""/>
    <m/>
    <n v="0"/>
    <n v="0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s v=""/>
    <m/>
    <n v="0"/>
    <n v="0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s v=""/>
    <m/>
    <n v="0"/>
    <n v="0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s v=""/>
    <m/>
    <n v="0"/>
    <n v="0"/>
  </r>
  <r>
    <n v="1442"/>
    <s v="PR15"/>
    <s v="SP GINGER LIME&amp;CHILLI 800GX12"/>
    <m/>
    <x v="0"/>
    <m/>
    <s v=""/>
    <m/>
    <n v="0"/>
    <n v="0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s v=""/>
    <m/>
    <n v="0"/>
    <n v="0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s v=""/>
    <m/>
    <n v="0"/>
    <n v="0"/>
  </r>
  <r>
    <n v="1449"/>
    <s v="PR21"/>
    <s v="SP LIME PICKLE 800GX12"/>
    <m/>
    <x v="0"/>
    <m/>
    <s v=""/>
    <m/>
    <n v="0"/>
    <n v="0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s v=""/>
    <m/>
    <n v="0"/>
    <n v="0"/>
  </r>
  <r>
    <n v="1452"/>
    <s v="PR24"/>
    <s v="SP MIX PICKLE 2 KG X 12"/>
    <m/>
    <x v="0"/>
    <m/>
    <s v=""/>
    <m/>
    <n v="0"/>
    <n v="0"/>
  </r>
  <r>
    <n v="1453"/>
    <s v="PR25"/>
    <s v="SP MIX PICKLE 800 G X 12"/>
    <m/>
    <x v="0"/>
    <m/>
    <s v=""/>
    <m/>
    <n v="0"/>
    <n v="0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s v=""/>
    <m/>
    <n v="0"/>
    <n v="0"/>
  </r>
  <r>
    <n v="1460"/>
    <s v="PR31"/>
    <s v="SP ZIMIKAND PICKLE 800GX12"/>
    <m/>
    <x v="0"/>
    <m/>
    <s v=""/>
    <m/>
    <n v="0"/>
    <n v="0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s v=""/>
    <m/>
    <n v="0"/>
    <n v="0"/>
  </r>
  <r>
    <n v="1467"/>
    <s v="Q1"/>
    <s v="QARSHI BAZOOROI SYRUP 800MLX12"/>
    <m/>
    <x v="0"/>
    <m/>
    <s v=""/>
    <m/>
    <n v="0"/>
    <n v="0"/>
  </r>
  <r>
    <n v="1468"/>
    <s v="Q2"/>
    <s v="QARSHI CARDAMOM SYRUP 800MLX12"/>
    <m/>
    <x v="0"/>
    <m/>
    <s v=""/>
    <m/>
    <n v="0"/>
    <n v="0"/>
  </r>
  <r>
    <n v="1469"/>
    <s v="Q3"/>
    <s v="QARSHI JAME SHIRIN SYRUP 800MLX12"/>
    <m/>
    <x v="0"/>
    <m/>
    <s v=""/>
    <m/>
    <n v="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s v=""/>
    <m/>
    <n v="0"/>
    <n v="0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s v=""/>
    <m/>
    <n v="0"/>
    <n v="0"/>
  </r>
  <r>
    <n v="1475"/>
    <s v="R100"/>
    <s v="RAW CHANA DAL 25KGX1"/>
    <m/>
    <x v="0"/>
    <m/>
    <s v=""/>
    <m/>
    <n v="0"/>
    <n v="0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s v=""/>
    <m/>
    <n v="0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s v=""/>
    <m/>
    <n v="0"/>
    <n v="0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s v=""/>
    <m/>
    <n v="0"/>
    <n v="0"/>
  </r>
  <r>
    <n v="1492"/>
    <s v="R13"/>
    <s v="PAK KERNEL BASMATI 20 KG X 1"/>
    <m/>
    <x v="0"/>
    <m/>
    <s v=""/>
    <m/>
    <n v="0"/>
    <n v="0"/>
  </r>
  <r>
    <n v="1493"/>
    <s v="R14"/>
    <s v="PAK KERNEL BASMATI 2 KG X 10"/>
    <m/>
    <x v="0"/>
    <m/>
    <s v=""/>
    <m/>
    <n v="0"/>
    <n v="0"/>
  </r>
  <r>
    <n v="1494"/>
    <s v="R15"/>
    <s v="PAK KERNEL BASMATI 5 KG X 4 "/>
    <m/>
    <x v="0"/>
    <m/>
    <s v=""/>
    <m/>
    <n v="0"/>
    <n v="0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s v=""/>
    <m/>
    <n v="0"/>
    <n v="0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s v=""/>
    <m/>
    <n v="0"/>
    <n v="0"/>
  </r>
  <r>
    <n v="1500"/>
    <s v="R200"/>
    <s v="RAW BAJARA FLOUR 30KGX1"/>
    <m/>
    <x v="0"/>
    <m/>
    <s v=""/>
    <m/>
    <n v="0"/>
    <n v="0"/>
  </r>
  <r>
    <n v="1501"/>
    <s v="R201"/>
    <s v="RAW BLACK BEANS 25KG X1"/>
    <m/>
    <x v="0"/>
    <m/>
    <s v=""/>
    <m/>
    <n v="0"/>
    <n v="0"/>
  </r>
  <r>
    <n v="1502"/>
    <s v="R204"/>
    <s v="RAW SAMO 30KGX1"/>
    <m/>
    <x v="0"/>
    <m/>
    <s v=""/>
    <m/>
    <n v="0"/>
    <n v="0"/>
  </r>
  <r>
    <n v="1503"/>
    <s v="R21"/>
    <s v="PUNJAB KERNEL BAS PARBOILED20KGX1"/>
    <m/>
    <x v="0"/>
    <m/>
    <s v=""/>
    <m/>
    <n v="0"/>
    <n v="0"/>
  </r>
  <r>
    <n v="1504"/>
    <s v="R22"/>
    <s v="RAW DHANIA WHOLE 20KGX1"/>
    <m/>
    <x v="0"/>
    <m/>
    <s v=""/>
    <m/>
    <n v="0"/>
    <n v="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s v=""/>
    <m/>
    <n v="0"/>
    <n v="0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s v=""/>
    <m/>
    <n v="0"/>
    <n v="0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s v=""/>
    <m/>
    <n v="0"/>
    <n v="0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s v=""/>
    <m/>
    <n v="0"/>
    <n v="0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s v=""/>
    <m/>
    <n v="0"/>
    <n v="0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s v=""/>
    <m/>
    <n v="0"/>
    <n v="0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s v=""/>
    <m/>
    <n v="0"/>
    <n v="0"/>
  </r>
  <r>
    <n v="1522"/>
    <s v="R39"/>
    <s v="RAW MASOOR WHOLE 25KGX1"/>
    <m/>
    <x v="0"/>
    <m/>
    <s v=""/>
    <m/>
    <n v="0"/>
    <n v="0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s v=""/>
    <m/>
    <n v="0"/>
    <n v="0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s v=""/>
    <m/>
    <n v="0"/>
    <n v="0"/>
  </r>
  <r>
    <n v="1528"/>
    <s v="R44"/>
    <s v="RAW MOONG DAL CHILKA 25KGX1"/>
    <m/>
    <x v="0"/>
    <m/>
    <s v=""/>
    <m/>
    <n v="0"/>
    <n v="0"/>
  </r>
  <r>
    <n v="1529"/>
    <s v="R45"/>
    <s v="RAW MOONG WHOLE 25KGX1"/>
    <m/>
    <x v="0"/>
    <m/>
    <s v=""/>
    <m/>
    <n v="0"/>
    <n v="0"/>
  </r>
  <r>
    <n v="1530"/>
    <s v="R46"/>
    <s v="RAW MOTH 25KGX1"/>
    <m/>
    <x v="0"/>
    <m/>
    <s v=""/>
    <m/>
    <n v="0"/>
    <n v="0"/>
  </r>
  <r>
    <n v="1531"/>
    <s v="R47"/>
    <s v="RAW MUSTARD SEEDS 25KGX1"/>
    <m/>
    <x v="0"/>
    <m/>
    <s v=""/>
    <m/>
    <n v="0"/>
    <n v="0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s v=""/>
    <m/>
    <n v="0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s v=""/>
    <m/>
    <n v="0"/>
    <n v="0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s v=""/>
    <m/>
    <n v="0"/>
    <n v="0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s v=""/>
    <m/>
    <n v="0"/>
    <n v="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s v=""/>
    <m/>
    <n v="0"/>
    <n v="0"/>
  </r>
  <r>
    <n v="1553"/>
    <s v="R67"/>
    <s v="RAW SOYA CHUNKS2OKGX1"/>
    <m/>
    <x v="0"/>
    <m/>
    <s v=""/>
    <m/>
    <n v="0"/>
    <n v="0"/>
  </r>
  <r>
    <n v="1554"/>
    <s v="R68"/>
    <s v="RAW SOYA MINCE 20KG"/>
    <m/>
    <x v="0"/>
    <m/>
    <s v=""/>
    <m/>
    <n v="0"/>
    <n v="0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s v=""/>
    <m/>
    <n v="0"/>
    <n v="0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s v=""/>
    <m/>
    <n v="0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s v=""/>
    <m/>
    <n v="0"/>
    <n v="0"/>
  </r>
  <r>
    <n v="1563"/>
    <s v="R76"/>
    <s v="RAW URID DAL CHILKA 25KGX1"/>
    <m/>
    <x v="0"/>
    <m/>
    <s v=""/>
    <m/>
    <n v="0"/>
    <n v="0"/>
  </r>
  <r>
    <n v="1564"/>
    <s v="R77"/>
    <s v="RAW URID DAL 25KGX1"/>
    <m/>
    <x v="0"/>
    <m/>
    <s v=""/>
    <m/>
    <n v="0"/>
    <n v="0"/>
  </r>
  <r>
    <n v="1565"/>
    <s v="R78"/>
    <s v="RAW URID WHOLE 25KGX1"/>
    <m/>
    <x v="0"/>
    <m/>
    <s v=""/>
    <m/>
    <n v="0"/>
    <n v="0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s v=""/>
    <m/>
    <n v="0"/>
    <n v="0"/>
  </r>
  <r>
    <n v="1568"/>
    <s v="R81"/>
    <s v="RAW AJWAIN 25 KG X 1"/>
    <m/>
    <x v="0"/>
    <m/>
    <s v=""/>
    <m/>
    <n v="0"/>
    <n v="0"/>
  </r>
  <r>
    <n v="1569"/>
    <s v="R82"/>
    <s v="RAW CHICK PEAS 25KGX1"/>
    <m/>
    <x v="0"/>
    <m/>
    <s v=""/>
    <m/>
    <n v="0"/>
    <n v="0"/>
  </r>
  <r>
    <n v="1570"/>
    <s v="R83"/>
    <s v="RAW CLOVES 25KGX1"/>
    <m/>
    <x v="0"/>
    <m/>
    <s v=""/>
    <m/>
    <n v="0"/>
    <n v="0"/>
  </r>
  <r>
    <n v="1571"/>
    <s v="R84"/>
    <s v="RAW COCO PWD25KGX1"/>
    <m/>
    <x v="0"/>
    <m/>
    <s v=""/>
    <m/>
    <n v="0"/>
    <n v="0"/>
  </r>
  <r>
    <n v="1572"/>
    <s v="R85"/>
    <s v="RAW ALMONDS 50 LB X 1"/>
    <m/>
    <x v="0"/>
    <m/>
    <s v=""/>
    <m/>
    <n v="0"/>
    <n v="0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s v=""/>
    <m/>
    <n v="0"/>
    <n v="0"/>
  </r>
  <r>
    <n v="1576"/>
    <s v="R89"/>
    <s v="RAW BLACK EYE BEANS 25KGX1"/>
    <m/>
    <x v="0"/>
    <m/>
    <s v=""/>
    <m/>
    <n v="0"/>
    <n v="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s v=""/>
    <m/>
    <n v="0"/>
    <n v="0"/>
  </r>
  <r>
    <n v="1580"/>
    <s v="R96"/>
    <s v="RAW CARDAMOM BLACK 25KGX1"/>
    <m/>
    <x v="0"/>
    <m/>
    <s v=""/>
    <m/>
    <n v="0"/>
    <n v="0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s v=""/>
    <m/>
    <n v="0"/>
    <n v="0"/>
  </r>
  <r>
    <n v="1585"/>
    <s v="RA29"/>
    <s v="RAW JEERA WHOLE 30KG"/>
    <m/>
    <x v="0"/>
    <m/>
    <s v=""/>
    <m/>
    <n v="0"/>
    <n v="0"/>
  </r>
  <r>
    <n v="1586"/>
    <s v="RA58"/>
    <s v="RAW ROASTED CHANA 30KG"/>
    <m/>
    <x v="0"/>
    <m/>
    <s v=""/>
    <m/>
    <n v="0"/>
    <n v="0"/>
  </r>
  <r>
    <n v="1587"/>
    <s v="RB1"/>
    <s v="RB ANAR JUICE 1 LT X 12"/>
    <m/>
    <x v="0"/>
    <m/>
    <s v=""/>
    <m/>
    <n v="0"/>
    <n v="0"/>
  </r>
  <r>
    <n v="1588"/>
    <s v="RB10"/>
    <s v="RB LYCHEE CANS 330 ML X 24"/>
    <m/>
    <x v="0"/>
    <m/>
    <s v=""/>
    <m/>
    <n v="0"/>
    <n v="0"/>
  </r>
  <r>
    <n v="1589"/>
    <s v="RB11"/>
    <s v="RB LYCHEE JUICE 1 LT X 12 "/>
    <m/>
    <x v="0"/>
    <m/>
    <s v=""/>
    <m/>
    <n v="0"/>
    <n v="0"/>
  </r>
  <r>
    <n v="1590"/>
    <s v="RB12"/>
    <s v="RB LYCHEE JUICE 288 ML X 27"/>
    <m/>
    <x v="0"/>
    <m/>
    <s v=""/>
    <m/>
    <n v="0"/>
    <n v="0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s v=""/>
    <m/>
    <n v="0"/>
    <n v="0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s v=""/>
    <m/>
    <n v="0"/>
    <n v="0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s v=""/>
    <m/>
    <n v="0"/>
    <n v="0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s v=""/>
    <m/>
    <n v="0"/>
    <n v="0"/>
  </r>
  <r>
    <n v="1602"/>
    <s v="RB6"/>
    <s v="RB GUANABNA 1 LT X 12"/>
    <m/>
    <x v="0"/>
    <m/>
    <s v=""/>
    <m/>
    <n v="0"/>
    <n v="0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s v=""/>
    <m/>
    <n v="0"/>
    <n v="0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s v=""/>
    <m/>
    <n v="0"/>
    <n v="0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s v=""/>
    <m/>
    <n v="0"/>
    <n v="0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s v=""/>
    <m/>
    <n v="0"/>
    <n v="0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s v=""/>
    <m/>
    <n v="0"/>
    <n v="0"/>
  </r>
  <r>
    <n v="1659"/>
    <s v="RP6"/>
    <s v="RP MUTTON CURRY MAS 100GX10"/>
    <m/>
    <x v="0"/>
    <m/>
    <s v=""/>
    <m/>
    <n v="0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s v=""/>
    <m/>
    <n v="0"/>
    <n v="0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s v=""/>
    <m/>
    <n v="0"/>
    <n v="0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s v=""/>
    <m/>
    <n v="0"/>
    <n v="0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s v=""/>
    <m/>
    <n v="0"/>
    <n v="0"/>
  </r>
  <r>
    <n v="1671"/>
    <s v="SF16"/>
    <s v="SFI SWEET CHILLI SAUCE SMALL X 24"/>
    <m/>
    <x v="0"/>
    <m/>
    <s v=""/>
    <m/>
    <n v="0"/>
    <n v="0"/>
  </r>
  <r>
    <n v="1672"/>
    <s v="SF17"/>
    <s v="SFI TANDOOR X 1"/>
    <m/>
    <x v="0"/>
    <m/>
    <s v=""/>
    <m/>
    <n v="0"/>
    <n v="0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s v=""/>
    <m/>
    <n v="0"/>
    <n v="0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s v=""/>
    <m/>
    <n v="0"/>
    <n v="0"/>
  </r>
  <r>
    <n v="1684"/>
    <s v="SF28"/>
    <s v="SFI OIL MUSTARD 750MLX12"/>
    <m/>
    <x v="0"/>
    <m/>
    <s v=""/>
    <m/>
    <n v="0"/>
    <n v="0"/>
  </r>
  <r>
    <n v="1685"/>
    <s v="SF29"/>
    <s v="SFI OIL COCONUT 500MLX12"/>
    <m/>
    <x v="0"/>
    <m/>
    <s v=""/>
    <m/>
    <n v="0"/>
    <n v="0"/>
  </r>
  <r>
    <n v="1686"/>
    <s v="SF3"/>
    <s v="SFI BS DRINK COCKTAIL 290 ML X 24"/>
    <m/>
    <x v="0"/>
    <m/>
    <s v=""/>
    <m/>
    <n v="0"/>
    <n v="0"/>
  </r>
  <r>
    <n v="1687"/>
    <s v="SF30"/>
    <s v="SFI OIL MUSTARD 250MLX12"/>
    <m/>
    <x v="0"/>
    <m/>
    <s v=""/>
    <m/>
    <n v="0"/>
    <n v="0"/>
  </r>
  <r>
    <n v="1688"/>
    <s v="SF4"/>
    <s v="SFI BS DRINK COCONUT 290 ML X 24"/>
    <m/>
    <x v="0"/>
    <m/>
    <s v=""/>
    <m/>
    <n v="0"/>
    <n v="0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s v=""/>
    <m/>
    <n v="0"/>
    <n v="0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s v=""/>
    <m/>
    <n v="0"/>
    <n v="0"/>
  </r>
  <r>
    <n v="1694"/>
    <s v="SH1"/>
    <s v="SHAN MANGO PICKLE 1 KG X 6"/>
    <m/>
    <x v="0"/>
    <m/>
    <s v=""/>
    <m/>
    <n v="0"/>
    <n v="0"/>
  </r>
  <r>
    <n v="1695"/>
    <s v="SH10"/>
    <s v="SHAN TANDOORI MASALA 100GX6"/>
    <m/>
    <x v="0"/>
    <m/>
    <s v=""/>
    <m/>
    <n v="0"/>
    <n v="0"/>
  </r>
  <r>
    <n v="1696"/>
    <s v="SH11"/>
    <s v="SHAN SEEKH KEBAB 100GX6"/>
    <m/>
    <x v="0"/>
    <m/>
    <s v=""/>
    <m/>
    <n v="0"/>
    <n v="0"/>
  </r>
  <r>
    <n v="1697"/>
    <s v="SH12"/>
    <s v="SHAN SINDHI BIRYANI MAS 120GX6"/>
    <m/>
    <x v="0"/>
    <m/>
    <s v=""/>
    <m/>
    <n v="0"/>
    <n v="0"/>
  </r>
  <r>
    <n v="1698"/>
    <s v="SH13"/>
    <s v="SHAN PAULO BIRYANI MAS 120GX6"/>
    <m/>
    <x v="0"/>
    <m/>
    <s v=""/>
    <m/>
    <n v="0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s v=""/>
    <m/>
    <n v="0"/>
    <n v="0"/>
  </r>
  <r>
    <n v="1701"/>
    <s v="SH16"/>
    <s v="SHAN KARAHI GOHST 100GX6"/>
    <m/>
    <x v="0"/>
    <m/>
    <s v=""/>
    <m/>
    <n v="0"/>
    <n v="0"/>
  </r>
  <r>
    <n v="1702"/>
    <s v="SH17"/>
    <s v="SHAN CUSTARD BANANA 200GX6"/>
    <m/>
    <x v="0"/>
    <m/>
    <s v=""/>
    <m/>
    <n v="0"/>
    <n v="0"/>
  </r>
  <r>
    <n v="1703"/>
    <s v="SH18"/>
    <s v="SHAN CUSTARD STRAWBERRY 200GX6"/>
    <m/>
    <x v="0"/>
    <m/>
    <s v=""/>
    <m/>
    <n v="0"/>
    <n v="0"/>
  </r>
  <r>
    <n v="1704"/>
    <s v="SH19"/>
    <s v="SHAN NEHARI MASALA 120GX6"/>
    <m/>
    <x v="0"/>
    <m/>
    <s v=""/>
    <m/>
    <n v="0"/>
    <n v="0"/>
  </r>
  <r>
    <n v="1705"/>
    <s v="SH2"/>
    <s v="SHAN MIX PICKLE 1 KG X 6"/>
    <m/>
    <x v="0"/>
    <m/>
    <s v=""/>
    <m/>
    <n v="0"/>
    <n v="0"/>
  </r>
  <r>
    <n v="1706"/>
    <s v="SH20"/>
    <s v="SHAN GAJAR HALWA 100GX6"/>
    <m/>
    <x v="0"/>
    <m/>
    <s v=""/>
    <m/>
    <n v="0"/>
    <n v="0"/>
  </r>
  <r>
    <n v="1707"/>
    <s v="SH21"/>
    <s v="SHAN CHIKEN BROST 100GX6"/>
    <m/>
    <x v="0"/>
    <m/>
    <s v=""/>
    <m/>
    <n v="0"/>
    <n v="0"/>
  </r>
  <r>
    <n v="1708"/>
    <s v="SH22"/>
    <s v="SHAN GREEN CHILLI PICKLE 1KGX6"/>
    <m/>
    <x v="0"/>
    <m/>
    <s v=""/>
    <m/>
    <n v="0"/>
    <n v="0"/>
  </r>
  <r>
    <n v="1709"/>
    <s v="SH23"/>
    <s v="SHAN CUSTARD VANILLA 200GX6"/>
    <m/>
    <x v="0"/>
    <m/>
    <s v=""/>
    <m/>
    <n v="0"/>
    <n v="0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s v=""/>
    <m/>
    <n v="0"/>
    <n v="0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s v=""/>
    <m/>
    <n v="0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s v=""/>
    <m/>
    <n v="0"/>
    <n v="0"/>
  </r>
  <r>
    <n v="1731"/>
    <s v="SO1"/>
    <s v="SOHNA KADI PAKORA 450GX24"/>
    <m/>
    <x v="0"/>
    <m/>
    <s v=""/>
    <m/>
    <n v="0"/>
    <n v="0"/>
  </r>
  <r>
    <n v="1732"/>
    <s v="SO2"/>
    <s v="SOHNA PALAK PANEER 450GX24"/>
    <m/>
    <x v="0"/>
    <m/>
    <s v=""/>
    <m/>
    <n v="0"/>
    <n v="0"/>
  </r>
  <r>
    <n v="1733"/>
    <s v="SO3"/>
    <s v="SOHNA SAAG 450GX24"/>
    <m/>
    <x v="0"/>
    <m/>
    <s v=""/>
    <m/>
    <n v="0"/>
    <n v="0"/>
  </r>
  <r>
    <n v="1734"/>
    <s v="SO4"/>
    <s v="SOHNA SAAG 850GX12"/>
    <m/>
    <x v="0"/>
    <m/>
    <s v=""/>
    <m/>
    <n v="0"/>
    <n v="0"/>
  </r>
  <r>
    <n v="1735"/>
    <s v="SO5"/>
    <s v="SOHNA DAL MAKHANI 450GX24 "/>
    <m/>
    <x v="0"/>
    <m/>
    <s v=""/>
    <m/>
    <n v="0"/>
    <n v="0"/>
  </r>
  <r>
    <n v="1736"/>
    <s v="SO6"/>
    <s v="SOHNA CHATPATEY CHOLEY 450GX24"/>
    <m/>
    <x v="0"/>
    <m/>
    <s v=""/>
    <m/>
    <n v="0"/>
    <n v="0"/>
  </r>
  <r>
    <n v="1737"/>
    <s v="SO7"/>
    <s v="SOHNA AMLA MURABA 1KGX12"/>
    <m/>
    <x v="0"/>
    <m/>
    <s v=""/>
    <m/>
    <n v="0"/>
    <n v="0"/>
  </r>
  <r>
    <n v="1738"/>
    <s v="SO8"/>
    <s v="SOHNA CARROT MURABA 1KGX12"/>
    <m/>
    <x v="0"/>
    <m/>
    <s v=""/>
    <m/>
    <n v="0"/>
    <n v="0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s v=""/>
    <m/>
    <n v="0"/>
    <n v="0"/>
  </r>
  <r>
    <n v="1747"/>
    <s v="SW1"/>
    <s v="SWEET MIX X 1"/>
    <m/>
    <x v="0"/>
    <m/>
    <s v=""/>
    <m/>
    <n v="0"/>
    <n v="0"/>
  </r>
  <r>
    <n v="1748"/>
    <s v="T 248"/>
    <s v="TRS PUFFED RICE 400GX10"/>
    <m/>
    <x v="0"/>
    <m/>
    <s v=""/>
    <m/>
    <n v="0"/>
    <n v="0"/>
  </r>
  <r>
    <n v="1749"/>
    <s v="T1"/>
    <s v="TRS AJWAIN 100GX20"/>
    <m/>
    <x v="0"/>
    <m/>
    <s v=""/>
    <m/>
    <n v="0"/>
    <n v="0"/>
  </r>
  <r>
    <n v="1750"/>
    <s v="T10"/>
    <s v="TRS MOTH 1KG X10"/>
    <m/>
    <x v="0"/>
    <m/>
    <s v=""/>
    <m/>
    <n v="0"/>
    <n v="0"/>
  </r>
  <r>
    <n v="1751"/>
    <s v="T100"/>
    <s v="TRS HALDI PWD(TURMERIC) 100G X 20"/>
    <m/>
    <x v="0"/>
    <m/>
    <s v=""/>
    <m/>
    <n v="0"/>
    <n v="0"/>
  </r>
  <r>
    <n v="1752"/>
    <s v="T101"/>
    <s v="TRS HALDI PWD(TURMERIC) 1KG X 6"/>
    <m/>
    <x v="0"/>
    <m/>
    <s v=""/>
    <m/>
    <n v="0"/>
    <n v="0"/>
  </r>
  <r>
    <n v="1753"/>
    <s v="T102"/>
    <s v="TRS HALDI PWD(TURMERIC) 400G X10"/>
    <m/>
    <x v="0"/>
    <m/>
    <s v=""/>
    <m/>
    <n v="0"/>
    <n v="0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s v=""/>
    <m/>
    <n v="0"/>
    <n v="0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s v=""/>
    <m/>
    <n v="0"/>
    <n v="0"/>
  </r>
  <r>
    <n v="1759"/>
    <s v="T108"/>
    <s v="TRS JEERA PWD 1KGX6"/>
    <m/>
    <x v="0"/>
    <m/>
    <s v=""/>
    <m/>
    <n v="0"/>
    <n v="0"/>
  </r>
  <r>
    <n v="1760"/>
    <s v="T109"/>
    <s v="TRS JEERA PWD 400GX10"/>
    <m/>
    <x v="0"/>
    <m/>
    <s v=""/>
    <m/>
    <n v="0"/>
    <n v="0"/>
  </r>
  <r>
    <n v="1761"/>
    <s v="T11"/>
    <s v="TRS BAY LEAVES 30GX15  "/>
    <m/>
    <x v="0"/>
    <m/>
    <s v=""/>
    <m/>
    <n v="0"/>
    <n v="0"/>
  </r>
  <r>
    <n v="1762"/>
    <s v="T110"/>
    <s v="TRS JEERA WHOLE 100GX20"/>
    <m/>
    <x v="0"/>
    <m/>
    <s v=""/>
    <m/>
    <n v="0"/>
    <n v="0"/>
  </r>
  <r>
    <n v="1763"/>
    <s v="T111"/>
    <s v="TRS JEERA WHOLE 1KGX6"/>
    <m/>
    <x v="0"/>
    <m/>
    <s v=""/>
    <m/>
    <n v="0"/>
    <n v="0"/>
  </r>
  <r>
    <n v="1764"/>
    <s v="T112"/>
    <s v="TRS JEERA WHOLE 400GX10"/>
    <m/>
    <x v="0"/>
    <m/>
    <s v=""/>
    <m/>
    <n v="0"/>
    <n v="0"/>
  </r>
  <r>
    <n v="1765"/>
    <s v="T113"/>
    <s v="TRS KALA CHANA 1KGX10"/>
    <m/>
    <x v="0"/>
    <m/>
    <s v=""/>
    <m/>
    <n v="0"/>
    <n v="0"/>
  </r>
  <r>
    <n v="1766"/>
    <s v="T114"/>
    <s v="TRS KALA CHANA 2KGX6"/>
    <m/>
    <x v="0"/>
    <m/>
    <s v=""/>
    <m/>
    <n v="0"/>
    <n v="0"/>
  </r>
  <r>
    <n v="1767"/>
    <s v="T115"/>
    <s v="TRS KALA CHANA 500GX20"/>
    <m/>
    <x v="0"/>
    <m/>
    <s v=""/>
    <m/>
    <n v="0"/>
    <n v="0"/>
  </r>
  <r>
    <n v="1768"/>
    <s v="T116"/>
    <s v="TRS KALA JEERA 50GX20"/>
    <m/>
    <x v="0"/>
    <m/>
    <s v=""/>
    <m/>
    <n v="0"/>
    <n v="0"/>
  </r>
  <r>
    <n v="1769"/>
    <s v="T117"/>
    <s v="TRS KALA NIMAK PWD100GX20"/>
    <m/>
    <x v="0"/>
    <m/>
    <s v=""/>
    <m/>
    <n v="0"/>
    <n v="0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s v=""/>
    <m/>
    <n v="0"/>
    <n v="0"/>
  </r>
  <r>
    <n v="1772"/>
    <s v="T12"/>
    <s v="TRS BICARBONATE OF SODA 100GX20"/>
    <m/>
    <x v="0"/>
    <m/>
    <s v=""/>
    <m/>
    <n v="0"/>
    <n v="0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s v=""/>
    <m/>
    <n v="0"/>
    <n v="0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s v=""/>
    <m/>
    <n v="0"/>
    <n v="0"/>
  </r>
  <r>
    <n v="1779"/>
    <s v="T126"/>
    <s v="TRS MADRAS CU-PWD HOT 400 GX10"/>
    <m/>
    <x v="0"/>
    <m/>
    <s v=""/>
    <m/>
    <n v="0"/>
    <n v="0"/>
  </r>
  <r>
    <n v="1780"/>
    <s v="T127"/>
    <s v="TRS MADRAS CU-PWD MILD 100 GX20"/>
    <m/>
    <x v="0"/>
    <m/>
    <s v=""/>
    <m/>
    <n v="0"/>
    <n v="0"/>
  </r>
  <r>
    <n v="1781"/>
    <s v="T128"/>
    <s v="TRS MADRAS CU-PWD MILD 400 GX10"/>
    <m/>
    <x v="0"/>
    <m/>
    <s v=""/>
    <m/>
    <n v="0"/>
    <n v="0"/>
  </r>
  <r>
    <n v="1782"/>
    <s v="T129"/>
    <s v="TRS MASOOR DAL 1 KG X 10"/>
    <m/>
    <x v="0"/>
    <m/>
    <s v=""/>
    <m/>
    <n v="0"/>
    <n v="0"/>
  </r>
  <r>
    <n v="1783"/>
    <s v="T13"/>
    <s v="TRS BLACK EYE BEANS 2KGX6"/>
    <m/>
    <x v="0"/>
    <m/>
    <s v=""/>
    <m/>
    <n v="0"/>
    <n v="0"/>
  </r>
  <r>
    <n v="1784"/>
    <s v="T130"/>
    <s v="TRS MASOOR DAL 2 KG X 6"/>
    <m/>
    <x v="0"/>
    <m/>
    <s v=""/>
    <m/>
    <n v="0"/>
    <n v="0"/>
  </r>
  <r>
    <n v="1785"/>
    <s v="T131"/>
    <s v="TRS MASOOR DAL 500 G X 20"/>
    <m/>
    <x v="0"/>
    <m/>
    <s v=""/>
    <m/>
    <n v="0"/>
    <n v="0"/>
  </r>
  <r>
    <n v="1786"/>
    <s v="T132"/>
    <s v="TRS MASOOR WHOLE 500GX20"/>
    <m/>
    <x v="0"/>
    <m/>
    <s v=""/>
    <m/>
    <n v="0"/>
    <n v="0"/>
  </r>
  <r>
    <n v="1787"/>
    <s v="T133"/>
    <s v="TRS MASOOR WHOLE1KGX10"/>
    <m/>
    <x v="0"/>
    <m/>
    <s v=""/>
    <m/>
    <n v="0"/>
    <n v="0"/>
  </r>
  <r>
    <n v="1788"/>
    <s v="T134"/>
    <s v="TRS METHI LEAVES 100GX12"/>
    <m/>
    <x v="0"/>
    <m/>
    <s v=""/>
    <m/>
    <n v="0"/>
    <n v="0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s v=""/>
    <m/>
    <n v="0"/>
    <n v="0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s v=""/>
    <m/>
    <n v="0"/>
    <n v="0"/>
  </r>
  <r>
    <n v="1795"/>
    <s v="T140"/>
    <s v="TRS MOONG DAL CHILKA 2KGX6"/>
    <m/>
    <x v="0"/>
    <m/>
    <s v=""/>
    <m/>
    <n v="0"/>
    <n v="0"/>
  </r>
  <r>
    <n v="1796"/>
    <s v="T141"/>
    <s v="TRS MOONG DAL CHILKA 500GX20"/>
    <m/>
    <x v="0"/>
    <m/>
    <s v=""/>
    <m/>
    <n v="0"/>
    <n v="0"/>
  </r>
  <r>
    <n v="1797"/>
    <s v="T142"/>
    <s v="TRS MOONG DAL 2 KG X 6"/>
    <m/>
    <x v="0"/>
    <m/>
    <s v=""/>
    <m/>
    <n v="0"/>
    <n v="0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s v=""/>
    <m/>
    <n v="0"/>
    <n v="0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s v=""/>
    <m/>
    <n v="0"/>
    <n v="0"/>
  </r>
  <r>
    <n v="1802"/>
    <s v="T147"/>
    <s v="TRS MOONG WHOLE 2KGX6"/>
    <m/>
    <x v="0"/>
    <m/>
    <s v=""/>
    <m/>
    <n v="0"/>
    <n v="0"/>
  </r>
  <r>
    <n v="1803"/>
    <s v="T148"/>
    <s v="TRS MOONG WHOLE 500GX20"/>
    <m/>
    <x v="0"/>
    <m/>
    <s v=""/>
    <m/>
    <n v="0"/>
    <n v="0"/>
  </r>
  <r>
    <n v="1804"/>
    <s v="T149"/>
    <s v="TRS MOTH 2KGX6"/>
    <m/>
    <x v="0"/>
    <m/>
    <s v=""/>
    <m/>
    <n v="0"/>
    <n v="0"/>
  </r>
  <r>
    <n v="1805"/>
    <s v="T15"/>
    <s v="TRS BLACK EYE BEANS1KGX10"/>
    <m/>
    <x v="0"/>
    <m/>
    <s v=""/>
    <m/>
    <n v="0"/>
    <n v="0"/>
  </r>
  <r>
    <n v="1806"/>
    <s v="T150"/>
    <s v="TRS MOTH 500GX20"/>
    <m/>
    <x v="0"/>
    <m/>
    <s v=""/>
    <m/>
    <n v="0"/>
    <n v="0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s v=""/>
    <m/>
    <n v="0"/>
    <n v="0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s v=""/>
    <m/>
    <n v="0"/>
    <n v="0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s v=""/>
    <m/>
    <n v="0"/>
    <n v="0"/>
  </r>
  <r>
    <n v="1814"/>
    <s v="T158"/>
    <s v="TRS PAPRIKA PWD 100GX20"/>
    <m/>
    <x v="0"/>
    <m/>
    <s v=""/>
    <m/>
    <n v="0"/>
    <n v="0"/>
  </r>
  <r>
    <n v="1815"/>
    <s v="T159"/>
    <s v="TRS PAPRIKA PWD 400GX10"/>
    <m/>
    <x v="0"/>
    <m/>
    <s v=""/>
    <m/>
    <n v="0"/>
    <n v="0"/>
  </r>
  <r>
    <n v="1816"/>
    <s v="T16"/>
    <s v="TRS BLACK PEPPER COARSE 100GX20"/>
    <m/>
    <x v="0"/>
    <m/>
    <s v=""/>
    <m/>
    <n v="0"/>
    <n v="0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s v=""/>
    <m/>
    <n v="0"/>
    <n v="0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s v=""/>
    <m/>
    <n v="0"/>
    <n v="0"/>
  </r>
  <r>
    <n v="1821"/>
    <s v="T164"/>
    <s v="TRS POPPY SEEDS 100GX20"/>
    <m/>
    <x v="0"/>
    <m/>
    <s v=""/>
    <m/>
    <n v="0"/>
    <n v="0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s v=""/>
    <m/>
    <n v="0"/>
    <n v="0"/>
  </r>
  <r>
    <n v="1824"/>
    <s v="T167"/>
    <s v="TRS RED KIDNEY 1KGX10"/>
    <m/>
    <x v="0"/>
    <m/>
    <s v=""/>
    <m/>
    <n v="0"/>
    <n v="0"/>
  </r>
  <r>
    <n v="1825"/>
    <s v="T168"/>
    <s v="TRS RED KIDNEY 2KGX6"/>
    <m/>
    <x v="0"/>
    <m/>
    <s v=""/>
    <m/>
    <n v="0"/>
    <n v="0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s v=""/>
    <m/>
    <n v="0"/>
    <n v="0"/>
  </r>
  <r>
    <n v="1828"/>
    <s v="T170"/>
    <s v="TRS RED KIDNEY 500GX20"/>
    <m/>
    <x v="0"/>
    <m/>
    <s v=""/>
    <m/>
    <n v="0"/>
    <n v="0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s v=""/>
    <m/>
    <n v="0"/>
    <n v="0"/>
  </r>
  <r>
    <n v="1831"/>
    <s v="T173"/>
    <s v="TRS RICE GROUND 1.5KGX6"/>
    <m/>
    <x v="0"/>
    <m/>
    <s v=""/>
    <m/>
    <n v="0"/>
    <n v="0"/>
  </r>
  <r>
    <n v="1832"/>
    <s v="T174"/>
    <s v="TRS ROASTED CHANA 300GX20"/>
    <m/>
    <x v="0"/>
    <m/>
    <s v=""/>
    <m/>
    <n v="0"/>
    <n v="0"/>
  </r>
  <r>
    <n v="1833"/>
    <s v="T175"/>
    <s v="TRS ROSE WATER 190MLX12  "/>
    <m/>
    <x v="0"/>
    <m/>
    <s v=""/>
    <m/>
    <n v="0"/>
    <n v="0"/>
  </r>
  <r>
    <n v="1834"/>
    <s v="T176"/>
    <s v="TRS SABUDANA(TAPIOCA) 500GX10"/>
    <m/>
    <x v="0"/>
    <m/>
    <s v=""/>
    <m/>
    <n v="0"/>
    <n v="0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s v=""/>
    <m/>
    <n v="0"/>
    <n v="0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s v=""/>
    <m/>
    <n v="0"/>
    <n v="0"/>
  </r>
  <r>
    <n v="1839"/>
    <s v="T180"/>
    <s v="TRS SEASAME SEEDS WHITE 300GX10"/>
    <m/>
    <x v="0"/>
    <m/>
    <s v=""/>
    <m/>
    <n v="0"/>
    <n v="0"/>
  </r>
  <r>
    <n v="1840"/>
    <s v="T181"/>
    <s v="TRS SEASAME SEEDS WHITE100GX20"/>
    <m/>
    <x v="0"/>
    <m/>
    <s v=""/>
    <m/>
    <n v="0"/>
    <n v="0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s v=""/>
    <m/>
    <n v="0"/>
    <n v="0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s v=""/>
    <m/>
    <n v="0"/>
    <n v="0"/>
  </r>
  <r>
    <n v="1847"/>
    <s v="T188"/>
    <s v="TRS SONGI(RAISINS GREEN) 250GX15"/>
    <m/>
    <x v="0"/>
    <m/>
    <s v=""/>
    <m/>
    <n v="0"/>
    <n v="0"/>
  </r>
  <r>
    <n v="1848"/>
    <s v="T189"/>
    <s v="TRS SOONF(FEENEL SEEDS) 100GX20"/>
    <m/>
    <x v="0"/>
    <m/>
    <s v=""/>
    <m/>
    <n v="0"/>
    <n v="0"/>
  </r>
  <r>
    <n v="1849"/>
    <s v="T19"/>
    <s v="TRS BLACK PEPPER WHOLE 100GX20"/>
    <m/>
    <x v="0"/>
    <m/>
    <s v=""/>
    <m/>
    <n v="0"/>
    <n v="0"/>
  </r>
  <r>
    <n v="1850"/>
    <s v="T190"/>
    <s v="TRS SOONF(FEENEL SEEDS) 1KGX6"/>
    <m/>
    <x v="0"/>
    <m/>
    <s v=""/>
    <m/>
    <n v="0"/>
    <n v="0"/>
  </r>
  <r>
    <n v="1851"/>
    <s v="T191"/>
    <s v="TRS SOONF(FEENL SEEDS) 400GX10"/>
    <m/>
    <x v="0"/>
    <m/>
    <s v=""/>
    <m/>
    <n v="0"/>
    <n v="0"/>
  </r>
  <r>
    <n v="1852"/>
    <s v="T192"/>
    <s v="TRS SOYA CHUNKS 250GX10"/>
    <m/>
    <x v="0"/>
    <m/>
    <s v=""/>
    <m/>
    <n v="0"/>
    <n v="0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s v=""/>
    <m/>
    <n v="0"/>
    <n v="0"/>
  </r>
  <r>
    <n v="1855"/>
    <s v="T195"/>
    <s v="TRS SOYA MINCE 250GX10"/>
    <m/>
    <x v="0"/>
    <m/>
    <s v=""/>
    <m/>
    <n v="0"/>
    <n v="0"/>
  </r>
  <r>
    <n v="1856"/>
    <s v="T196"/>
    <s v="TRS SPINACH PUREE 395GX12"/>
    <m/>
    <x v="0"/>
    <m/>
    <s v=""/>
    <m/>
    <n v="0"/>
    <n v="0"/>
  </r>
  <r>
    <n v="1857"/>
    <s v="T197"/>
    <s v="TRS SPINACH PUREE 795GX12"/>
    <m/>
    <x v="0"/>
    <m/>
    <s v=""/>
    <m/>
    <n v="0"/>
    <n v="0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s v=""/>
    <m/>
    <n v="0"/>
    <n v="0"/>
  </r>
  <r>
    <n v="1860"/>
    <s v="T2"/>
    <s v="TRS AJWAIN 300GX10"/>
    <m/>
    <x v="0"/>
    <m/>
    <s v=""/>
    <m/>
    <n v="0"/>
    <n v="0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s v=""/>
    <m/>
    <n v="0"/>
    <n v="0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s v=""/>
    <m/>
    <n v="0"/>
    <n v="0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s v=""/>
    <m/>
    <n v="0"/>
    <n v="0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s v=""/>
    <m/>
    <n v="0"/>
    <n v="0"/>
  </r>
  <r>
    <n v="1872"/>
    <s v="T21"/>
    <s v="TRS BLACK PEPPER WHOLE 400X10"/>
    <m/>
    <x v="0"/>
    <m/>
    <s v=""/>
    <m/>
    <n v="0"/>
    <n v="0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s v=""/>
    <m/>
    <n v="0"/>
    <n v="0"/>
  </r>
  <r>
    <n v="1875"/>
    <s v="T212"/>
    <s v="TRS URID DAL CHILKA 500 G X 20"/>
    <m/>
    <x v="0"/>
    <m/>
    <s v=""/>
    <m/>
    <n v="0"/>
    <n v="0"/>
  </r>
  <r>
    <n v="1876"/>
    <s v="T213"/>
    <s v="TRS URID DAL 2 KG X 6"/>
    <m/>
    <x v="0"/>
    <m/>
    <s v=""/>
    <m/>
    <n v="0"/>
    <n v="0"/>
  </r>
  <r>
    <n v="1877"/>
    <s v="T214"/>
    <s v="TRS URID DAL 500 G X 20"/>
    <m/>
    <x v="0"/>
    <m/>
    <s v=""/>
    <m/>
    <n v="0"/>
    <n v="0"/>
  </r>
  <r>
    <n v="1878"/>
    <s v="T215"/>
    <s v="TRS URID DAL 1 KG X 10"/>
    <m/>
    <x v="0"/>
    <m/>
    <s v=""/>
    <m/>
    <n v="0"/>
    <n v="0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s v=""/>
    <m/>
    <n v="0"/>
    <n v="0"/>
  </r>
  <r>
    <n v="1881"/>
    <s v="T218"/>
    <s v="TRS URID WHOLE 500 G X 20"/>
    <m/>
    <x v="0"/>
    <m/>
    <s v=""/>
    <m/>
    <n v="0"/>
    <n v="0"/>
  </r>
  <r>
    <n v="1882"/>
    <s v="T219"/>
    <s v="TRS URID WHOLE 1 KG X 10"/>
    <m/>
    <x v="0"/>
    <m/>
    <s v=""/>
    <m/>
    <n v="0"/>
    <n v="0"/>
  </r>
  <r>
    <n v="1883"/>
    <s v="T22"/>
    <s v="TRS BOILED CHICK PEAS 400GX12"/>
    <m/>
    <x v="0"/>
    <m/>
    <s v=""/>
    <m/>
    <n v="0"/>
    <n v="0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s v=""/>
    <m/>
    <n v="0"/>
    <n v="0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s v=""/>
    <m/>
    <n v="0"/>
    <n v="0"/>
  </r>
  <r>
    <n v="1890"/>
    <s v="T226"/>
    <s v="TRS MOONG DAL CHILKA 1KGX10"/>
    <m/>
    <x v="0"/>
    <m/>
    <s v=""/>
    <m/>
    <n v="0"/>
    <n v="0"/>
  </r>
  <r>
    <n v="1891"/>
    <s v="T227"/>
    <s v="TRS URID DAL CHILKA 1KGX10"/>
    <m/>
    <x v="0"/>
    <m/>
    <s v=""/>
    <m/>
    <n v="0"/>
    <n v="0"/>
  </r>
  <r>
    <n v="1892"/>
    <s v="T228"/>
    <s v="TRS TOOR DALL 1KGX10"/>
    <m/>
    <x v="0"/>
    <m/>
    <s v=""/>
    <m/>
    <n v="0"/>
    <n v="0"/>
  </r>
  <r>
    <n v="1893"/>
    <s v="T229"/>
    <s v="TRS FLAKE RICE 1KGX6"/>
    <m/>
    <x v="0"/>
    <m/>
    <s v=""/>
    <m/>
    <n v="0"/>
    <n v="0"/>
  </r>
  <r>
    <n v="1894"/>
    <s v="T23"/>
    <s v="TRS BOILED CHICK PEAS 800GX6"/>
    <m/>
    <x v="0"/>
    <m/>
    <s v=""/>
    <m/>
    <n v="0"/>
    <n v="0"/>
  </r>
  <r>
    <n v="1895"/>
    <s v="T230"/>
    <s v="TRS ROASTED CHANNA UNSALTED 300GX20"/>
    <m/>
    <x v="0"/>
    <m/>
    <s v=""/>
    <m/>
    <n v="0"/>
    <n v="0"/>
  </r>
  <r>
    <n v="1896"/>
    <s v="T231"/>
    <s v="TRS STAR ANIESEEDS X15"/>
    <m/>
    <x v="0"/>
    <m/>
    <s v=""/>
    <m/>
    <n v="0"/>
    <n v="0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s v=""/>
    <m/>
    <n v="0"/>
    <n v="0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s v=""/>
    <m/>
    <n v="0"/>
    <n v="0"/>
  </r>
  <r>
    <n v="1904"/>
    <s v="T240"/>
    <s v="TRS BLACK PEPPER COARSE 400GX10"/>
    <m/>
    <x v="0"/>
    <m/>
    <s v=""/>
    <m/>
    <n v="0"/>
    <n v="0"/>
  </r>
  <r>
    <n v="1905"/>
    <s v="T241"/>
    <s v="TRS TOOR DALL 2KGX6"/>
    <m/>
    <x v="0"/>
    <m/>
    <s v=""/>
    <m/>
    <n v="0"/>
    <n v="0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s v=""/>
    <m/>
    <n v="0"/>
    <n v="0"/>
  </r>
  <r>
    <n v="1911"/>
    <s v="T27"/>
    <s v="TRS CARDAMOM BLACK 50GX20"/>
    <m/>
    <x v="0"/>
    <m/>
    <s v=""/>
    <m/>
    <n v="0"/>
    <n v="0"/>
  </r>
  <r>
    <n v="1912"/>
    <s v="T28"/>
    <s v="TRS CARDAMOM GREEN 200GX10"/>
    <m/>
    <x v="0"/>
    <m/>
    <s v=""/>
    <m/>
    <n v="0"/>
    <n v="0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s v=""/>
    <m/>
    <n v="0"/>
    <n v="0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s v=""/>
    <m/>
    <n v="0"/>
    <n v="0"/>
  </r>
  <r>
    <n v="1919"/>
    <s v="T33"/>
    <s v="TRS CHANA DAL 1 KG X 10"/>
    <m/>
    <x v="0"/>
    <m/>
    <s v=""/>
    <m/>
    <n v="0"/>
    <n v="0"/>
  </r>
  <r>
    <n v="1920"/>
    <s v="T34"/>
    <s v="TRS CHAR MAGAZ 100GX20"/>
    <m/>
    <x v="0"/>
    <m/>
    <s v=""/>
    <m/>
    <n v="0"/>
    <n v="0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s v=""/>
    <m/>
    <n v="0"/>
    <n v="0"/>
  </r>
  <r>
    <n v="1923"/>
    <s v="T37"/>
    <s v="TRS CHICK PEAS 2KGX6"/>
    <m/>
    <x v="0"/>
    <m/>
    <s v=""/>
    <m/>
    <n v="0"/>
    <n v="0"/>
  </r>
  <r>
    <n v="1924"/>
    <s v="T38"/>
    <s v="TRS CHICK PEAS 500GX20"/>
    <m/>
    <x v="0"/>
    <m/>
    <s v=""/>
    <m/>
    <n v="0"/>
    <n v="0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s v=""/>
    <m/>
    <n v="0"/>
    <n v="0"/>
  </r>
  <r>
    <n v="1928"/>
    <s v="T41"/>
    <s v="TRS CHILLI CRUSHED 250GX10"/>
    <m/>
    <x v="0"/>
    <m/>
    <s v=""/>
    <m/>
    <n v="0"/>
    <n v="0"/>
  </r>
  <r>
    <n v="1929"/>
    <s v="T42"/>
    <s v="TRS CHILLI PWD 100GX20"/>
    <m/>
    <x v="0"/>
    <m/>
    <s v=""/>
    <m/>
    <n v="0"/>
    <n v="0"/>
  </r>
  <r>
    <n v="1930"/>
    <s v="T43"/>
    <s v="TRS CHILLI PWD 1KGX6"/>
    <m/>
    <x v="0"/>
    <m/>
    <s v=""/>
    <m/>
    <n v="0"/>
    <n v="0"/>
  </r>
  <r>
    <n v="1931"/>
    <s v="T44"/>
    <s v="TRS CHILLI PWD 400GX10"/>
    <m/>
    <x v="0"/>
    <m/>
    <s v=""/>
    <m/>
    <n v="0"/>
    <n v="0"/>
  </r>
  <r>
    <n v="1932"/>
    <s v="T45"/>
    <s v="TRS CHILLI WHOLE 150 G X 10"/>
    <m/>
    <x v="0"/>
    <m/>
    <s v=""/>
    <m/>
    <n v="0"/>
    <n v="0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s v=""/>
    <m/>
    <n v="0"/>
    <n v="0"/>
  </r>
  <r>
    <n v="1935"/>
    <s v="T48"/>
    <s v="TRS CINNAMON PWD 100X20"/>
    <m/>
    <x v="0"/>
    <m/>
    <s v=""/>
    <m/>
    <n v="0"/>
    <n v="0"/>
  </r>
  <r>
    <n v="1936"/>
    <s v="T49"/>
    <s v="TRS CITRIC ACID PWD 100GX20"/>
    <m/>
    <x v="0"/>
    <m/>
    <s v=""/>
    <m/>
    <n v="0"/>
    <n v="0"/>
  </r>
  <r>
    <n v="1937"/>
    <s v="T5"/>
    <s v="TRS ALUBUKHARA200GX10"/>
    <m/>
    <x v="0"/>
    <m/>
    <s v=""/>
    <m/>
    <n v="0"/>
    <n v="0"/>
  </r>
  <r>
    <n v="1938"/>
    <s v="T50"/>
    <s v="TRS CLOVES 250GX10"/>
    <m/>
    <x v="0"/>
    <m/>
    <s v=""/>
    <m/>
    <n v="0"/>
    <n v="0"/>
  </r>
  <r>
    <n v="1939"/>
    <s v="T51"/>
    <s v="TRS CLOVES 50GX20"/>
    <m/>
    <x v="0"/>
    <m/>
    <s v=""/>
    <m/>
    <n v="0"/>
    <n v="0"/>
  </r>
  <r>
    <n v="1940"/>
    <s v="T52"/>
    <s v="TRS COCO PWD 300GX10"/>
    <m/>
    <x v="0"/>
    <m/>
    <s v=""/>
    <m/>
    <n v="0"/>
    <n v="0"/>
  </r>
  <r>
    <n v="1941"/>
    <s v="T53"/>
    <s v="TRS CORNMEAL 1.5KGX6"/>
    <m/>
    <x v="0"/>
    <m/>
    <s v=""/>
    <m/>
    <n v="0"/>
    <n v="0"/>
  </r>
  <r>
    <n v="1942"/>
    <s v="T54"/>
    <s v="TRS CRACKED WHEAT (LAPSI)1KGX10"/>
    <m/>
    <x v="0"/>
    <m/>
    <s v=""/>
    <m/>
    <n v="0"/>
    <n v="0"/>
  </r>
  <r>
    <n v="1943"/>
    <s v="T55"/>
    <s v="TRS CURRY LEAVES 30GX10"/>
    <m/>
    <x v="0"/>
    <m/>
    <s v=""/>
    <m/>
    <n v="0"/>
    <n v="0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s v=""/>
    <m/>
    <n v="0"/>
    <n v="0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s v=""/>
    <m/>
    <n v="0"/>
    <n v="0"/>
  </r>
  <r>
    <n v="1949"/>
    <s v="T60"/>
    <s v="TRS DALCHINI 400GX6"/>
    <m/>
    <x v="0"/>
    <m/>
    <s v=""/>
    <m/>
    <n v="0"/>
    <n v="0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s v=""/>
    <m/>
    <n v="0"/>
    <n v="0"/>
  </r>
  <r>
    <n v="1953"/>
    <s v="T64"/>
    <s v="TRS DHANIA PWD 1KGX6"/>
    <m/>
    <x v="0"/>
    <m/>
    <s v=""/>
    <m/>
    <n v="0"/>
    <n v="0"/>
  </r>
  <r>
    <n v="1954"/>
    <s v="T65"/>
    <s v="TRS DHANIA PWD 400GX10"/>
    <m/>
    <x v="0"/>
    <m/>
    <s v=""/>
    <m/>
    <n v="0"/>
    <n v="0"/>
  </r>
  <r>
    <n v="1955"/>
    <s v="T66"/>
    <s v="TRS DHANIA WHOLE 100GX15"/>
    <m/>
    <x v="0"/>
    <m/>
    <s v=""/>
    <m/>
    <n v="0"/>
    <n v="0"/>
  </r>
  <r>
    <n v="1956"/>
    <s v="T67"/>
    <s v="TRS DHANIA WHOLE 250GX10"/>
    <m/>
    <x v="0"/>
    <m/>
    <s v=""/>
    <m/>
    <n v="0"/>
    <n v="0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s v=""/>
    <m/>
    <n v="0"/>
    <n v="0"/>
  </r>
  <r>
    <n v="1959"/>
    <s v="T7"/>
    <s v="TRS ANARDANA PWD 100GX20"/>
    <m/>
    <x v="0"/>
    <m/>
    <s v=""/>
    <m/>
    <n v="0"/>
    <n v="0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s v=""/>
    <m/>
    <n v="0"/>
    <n v="0"/>
  </r>
  <r>
    <n v="1963"/>
    <s v="T73"/>
    <s v="TRS ESSENCE BANANA 28MLX12"/>
    <m/>
    <x v="0"/>
    <m/>
    <s v=""/>
    <m/>
    <n v="0"/>
    <n v="0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s v=""/>
    <m/>
    <n v="0"/>
    <n v="0"/>
  </r>
  <r>
    <n v="1967"/>
    <s v="T77"/>
    <s v="TRS GARAM MAS WHOLE 500GX6"/>
    <m/>
    <x v="0"/>
    <m/>
    <s v=""/>
    <m/>
    <n v="0"/>
    <n v="0"/>
  </r>
  <r>
    <n v="1968"/>
    <s v="T78"/>
    <s v="TRS GARAM MASALA PWD 100GX20"/>
    <m/>
    <x v="0"/>
    <m/>
    <s v=""/>
    <m/>
    <n v="0"/>
    <n v="0"/>
  </r>
  <r>
    <n v="1969"/>
    <s v="T79"/>
    <s v="TRS GARAM MASALA PWD 1KGX6"/>
    <m/>
    <x v="0"/>
    <m/>
    <s v=""/>
    <m/>
    <n v="0"/>
    <n v="0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s v=""/>
    <m/>
    <n v="0"/>
    <n v="0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s v=""/>
    <m/>
    <n v="0"/>
    <n v="0"/>
  </r>
  <r>
    <n v="1975"/>
    <s v="T84"/>
    <s v="TRS GARLIC PASTE 300GX6"/>
    <m/>
    <x v="0"/>
    <m/>
    <s v=""/>
    <m/>
    <n v="0"/>
    <n v="0"/>
  </r>
  <r>
    <n v="1976"/>
    <s v="T85"/>
    <s v="TRS GARLIC PWD 100GX20"/>
    <m/>
    <x v="0"/>
    <m/>
    <s v=""/>
    <m/>
    <n v="0"/>
    <n v="0"/>
  </r>
  <r>
    <n v="1977"/>
    <s v="T86"/>
    <s v="TRS GARLIC PWD 400GX10"/>
    <m/>
    <x v="0"/>
    <m/>
    <s v=""/>
    <m/>
    <n v="0"/>
    <n v="0"/>
  </r>
  <r>
    <n v="1978"/>
    <s v="T87"/>
    <s v="TRS GINGER PASTE 1KGX6 "/>
    <m/>
    <x v="0"/>
    <m/>
    <s v=""/>
    <m/>
    <n v="0"/>
    <n v="0"/>
  </r>
  <r>
    <n v="1979"/>
    <s v="T88"/>
    <s v="TRS GINGER PASTE 300GX6"/>
    <m/>
    <x v="0"/>
    <m/>
    <s v=""/>
    <m/>
    <n v="0"/>
    <n v="0"/>
  </r>
  <r>
    <n v="1980"/>
    <s v="T89"/>
    <s v="TRS GINGER PWD 100GX20"/>
    <m/>
    <x v="0"/>
    <m/>
    <s v=""/>
    <m/>
    <n v="0"/>
    <n v="0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s v=""/>
    <m/>
    <n v="0"/>
    <n v="0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s v=""/>
    <m/>
    <n v="0"/>
    <n v="0"/>
  </r>
  <r>
    <n v="1985"/>
    <s v="T93"/>
    <s v="TRS GOLDEN SONGI 250GX15"/>
    <m/>
    <x v="0"/>
    <m/>
    <s v=""/>
    <m/>
    <n v="0"/>
    <n v="0"/>
  </r>
  <r>
    <n v="1986"/>
    <s v="T94"/>
    <s v="TRS GOLDEN SONGI 100GX15 "/>
    <m/>
    <x v="0"/>
    <m/>
    <s v=""/>
    <m/>
    <n v="0"/>
    <n v="0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s v=""/>
    <m/>
    <n v="0"/>
    <n v="0"/>
  </r>
  <r>
    <n v="1989"/>
    <s v="T97"/>
    <s v="TRS GRAM FLOUR 1 KG X 12 "/>
    <m/>
    <x v="0"/>
    <m/>
    <s v=""/>
    <m/>
    <n v="0"/>
    <n v="0"/>
  </r>
  <r>
    <n v="1990"/>
    <s v="T98"/>
    <s v="TRS GRAM FLOUR 2 KG X 6  "/>
    <m/>
    <x v="0"/>
    <m/>
    <s v=""/>
    <m/>
    <n v="0"/>
    <n v="0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s v=""/>
    <m/>
    <n v="0"/>
    <n v="0"/>
  </r>
  <r>
    <n v="1998"/>
    <s v="TP2"/>
    <s v="TAPAL TEA 450GX15"/>
    <m/>
    <x v="0"/>
    <m/>
    <s v=""/>
    <m/>
    <n v="0"/>
    <n v="0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s v=""/>
    <m/>
    <n v="0"/>
    <n v="0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s v=""/>
    <m/>
    <n v="0"/>
    <n v="0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s v=""/>
    <m/>
    <n v="0"/>
    <n v="0"/>
  </r>
  <r>
    <n v="2071"/>
    <s v="W10"/>
    <s v="WSA ALSI POWDER 400GX10"/>
    <m/>
    <x v="0"/>
    <m/>
    <s v=""/>
    <m/>
    <n v="0"/>
    <n v="0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s v=""/>
    <m/>
    <n v="0"/>
    <n v="0"/>
  </r>
  <r>
    <n v="2075"/>
    <s v="W103"/>
    <s v="WSA KAMARKHAS100GX20 "/>
    <m/>
    <x v="0"/>
    <m/>
    <s v=""/>
    <m/>
    <n v="0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s v=""/>
    <m/>
    <n v="0"/>
    <n v="0"/>
  </r>
  <r>
    <n v="2081"/>
    <s v="W109"/>
    <s v="WSA KERNEL BASMATI 5KGX4"/>
    <m/>
    <x v="0"/>
    <m/>
    <s v=""/>
    <m/>
    <n v="0"/>
    <n v="0"/>
  </r>
  <r>
    <n v="2082"/>
    <s v="W11"/>
    <s v="WSA ALSI SEEDS 1KGX10 "/>
    <m/>
    <x v="0"/>
    <m/>
    <s v=""/>
    <m/>
    <n v="0"/>
    <n v="0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s v=""/>
    <m/>
    <n v="0"/>
    <n v="0"/>
  </r>
  <r>
    <n v="2087"/>
    <s v="W114"/>
    <s v="WSA MASOOR DAL500GX15 "/>
    <m/>
    <x v="0"/>
    <m/>
    <s v=""/>
    <m/>
    <n v="0"/>
    <n v="0"/>
  </r>
  <r>
    <n v="2088"/>
    <s v="W115"/>
    <s v="WSA MASOOR DAL 1 KG X 15 "/>
    <m/>
    <x v="0"/>
    <m/>
    <s v=""/>
    <m/>
    <n v="0"/>
    <n v="0"/>
  </r>
  <r>
    <n v="2089"/>
    <s v="W116"/>
    <s v="WSA MASOOR FOOTBALL 2KGX8   "/>
    <m/>
    <x v="0"/>
    <m/>
    <s v=""/>
    <m/>
    <n v="0"/>
    <n v="0"/>
  </r>
  <r>
    <n v="2090"/>
    <s v="W117"/>
    <s v="WSA MASOOR FOOTBALL 500GX15  "/>
    <m/>
    <x v="0"/>
    <m/>
    <s v=""/>
    <m/>
    <n v="0"/>
    <n v="0"/>
  </r>
  <r>
    <n v="2091"/>
    <s v="W118"/>
    <s v="WSA MASOOR FOOTBALL1KGX15 "/>
    <m/>
    <x v="0"/>
    <m/>
    <s v=""/>
    <m/>
    <n v="0"/>
    <n v="0"/>
  </r>
  <r>
    <n v="2092"/>
    <s v="W119"/>
    <s v="WSA MASOOR WHOLE 1KGX15 "/>
    <m/>
    <x v="0"/>
    <m/>
    <s v=""/>
    <m/>
    <n v="0"/>
    <n v="0"/>
  </r>
  <r>
    <n v="2093"/>
    <s v="W12"/>
    <s v="WSA ALSI SEEDS 400GX15 "/>
    <m/>
    <x v="0"/>
    <m/>
    <s v=""/>
    <m/>
    <n v="0"/>
    <n v="0"/>
  </r>
  <r>
    <n v="2094"/>
    <s v="W120"/>
    <s v="WSA MASOOR WHOLE 2KGX8  "/>
    <m/>
    <x v="0"/>
    <m/>
    <s v=""/>
    <m/>
    <n v="0"/>
    <n v="0"/>
  </r>
  <r>
    <n v="2095"/>
    <s v="W121"/>
    <s v="WSA MASOOR WHOLE 500GX15  "/>
    <m/>
    <x v="0"/>
    <m/>
    <s v=""/>
    <m/>
    <n v="0"/>
    <n v="0"/>
  </r>
  <r>
    <n v="2096"/>
    <s v="W122"/>
    <s v="WSA METHI SEEDS  300X15"/>
    <m/>
    <x v="0"/>
    <m/>
    <s v=""/>
    <m/>
    <n v="0"/>
    <n v="0"/>
  </r>
  <r>
    <n v="2097"/>
    <s v="W123"/>
    <s v="WSA METHI SEEDS100GX20  "/>
    <m/>
    <x v="0"/>
    <m/>
    <s v=""/>
    <m/>
    <n v="0"/>
    <n v="0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s v=""/>
    <m/>
    <n v="0"/>
    <n v="0"/>
  </r>
  <r>
    <n v="2100"/>
    <s v="W126"/>
    <s v="WSA MOONG DAL 500GX15  "/>
    <m/>
    <x v="0"/>
    <m/>
    <s v=""/>
    <m/>
    <n v="0"/>
    <n v="0"/>
  </r>
  <r>
    <n v="2101"/>
    <s v="W127"/>
    <s v="WSA MOONG DAL CHILKA 1KGX15 "/>
    <m/>
    <x v="0"/>
    <m/>
    <s v=""/>
    <m/>
    <n v="0"/>
    <n v="0"/>
  </r>
  <r>
    <n v="2102"/>
    <s v="W128"/>
    <s v="WSA MOONG DAL CHILKA 2KGX8  "/>
    <m/>
    <x v="0"/>
    <m/>
    <s v=""/>
    <m/>
    <n v="0"/>
    <n v="0"/>
  </r>
  <r>
    <n v="2103"/>
    <s v="W129"/>
    <s v="WSA MOONG DAL CHILKA 500GX15  "/>
    <m/>
    <x v="0"/>
    <m/>
    <s v=""/>
    <m/>
    <n v="0"/>
    <n v="0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s v=""/>
    <m/>
    <n v="0"/>
    <n v="0"/>
  </r>
  <r>
    <n v="2106"/>
    <s v="W131"/>
    <s v="WSA MOONG WHOLE 1KGX15"/>
    <m/>
    <x v="0"/>
    <m/>
    <s v=""/>
    <m/>
    <n v="0"/>
    <n v="0"/>
  </r>
  <r>
    <n v="2107"/>
    <s v="W132"/>
    <s v="WSA MOONG WHOLE 2KGX8  "/>
    <m/>
    <x v="0"/>
    <m/>
    <s v=""/>
    <m/>
    <n v="0"/>
    <n v="0"/>
  </r>
  <r>
    <n v="2108"/>
    <s v="W133"/>
    <s v="WSA MOONG WHOLE 500GX15  "/>
    <m/>
    <x v="0"/>
    <m/>
    <s v=""/>
    <m/>
    <n v="0"/>
    <n v="0"/>
  </r>
  <r>
    <n v="2109"/>
    <s v="W134"/>
    <s v="WSA MOTH 1KGX15 "/>
    <m/>
    <x v="0"/>
    <m/>
    <s v=""/>
    <m/>
    <n v="0"/>
    <n v="0"/>
  </r>
  <r>
    <n v="2110"/>
    <s v="W135"/>
    <s v="WSA MOTH 2KGX8  "/>
    <m/>
    <x v="0"/>
    <m/>
    <s v=""/>
    <m/>
    <n v="0"/>
    <n v="0"/>
  </r>
  <r>
    <n v="2111"/>
    <s v="W136"/>
    <s v="WSA MOTH 500GX15   "/>
    <m/>
    <x v="0"/>
    <m/>
    <s v=""/>
    <m/>
    <n v="0"/>
    <n v="0"/>
  </r>
  <r>
    <n v="2112"/>
    <s v="W137"/>
    <s v="WSA MUSTARD SEEDS 100X20"/>
    <m/>
    <x v="0"/>
    <m/>
    <s v=""/>
    <m/>
    <n v="0"/>
    <n v="0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s v=""/>
    <m/>
    <n v="0"/>
    <n v="0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s v=""/>
    <m/>
    <n v="0"/>
    <n v="0"/>
  </r>
  <r>
    <n v="2117"/>
    <s v="W141"/>
    <s v="WSA PISTA ROSTED 100GX20   "/>
    <m/>
    <x v="0"/>
    <m/>
    <s v=""/>
    <m/>
    <n v="0"/>
    <n v="0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s v=""/>
    <m/>
    <n v="0"/>
    <n v="0"/>
  </r>
  <r>
    <n v="2120"/>
    <s v="W144"/>
    <s v="WSA PUNCH PURAN100X20"/>
    <m/>
    <x v="0"/>
    <m/>
    <s v=""/>
    <m/>
    <n v="0"/>
    <n v="0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s v=""/>
    <m/>
    <n v="0"/>
    <n v="0"/>
  </r>
  <r>
    <n v="2123"/>
    <s v="W147"/>
    <s v="WSA RED KIDNEY 2KGX8  "/>
    <m/>
    <x v="0"/>
    <m/>
    <s v=""/>
    <m/>
    <n v="0"/>
    <n v="0"/>
  </r>
  <r>
    <n v="2124"/>
    <s v="W148"/>
    <s v="WSA RED KIDNEY 500GX15  "/>
    <m/>
    <x v="0"/>
    <m/>
    <s v=""/>
    <m/>
    <n v="0"/>
    <n v="0"/>
  </r>
  <r>
    <n v="2125"/>
    <s v="W149"/>
    <s v="WSA REWDI 100GX20"/>
    <m/>
    <x v="0"/>
    <m/>
    <s v=""/>
    <m/>
    <n v="0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s v=""/>
    <m/>
    <n v="0"/>
    <n v="0"/>
  </r>
  <r>
    <n v="2128"/>
    <s v="W151"/>
    <s v="WSA ROASTED CHANA 600GX8  offerta "/>
    <m/>
    <x v="0"/>
    <m/>
    <s v=""/>
    <m/>
    <n v="0"/>
    <n v="0"/>
  </r>
  <r>
    <n v="2129"/>
    <s v="W152"/>
    <s v="WSA SABUDANA(TAPIOCA)500GX15  "/>
    <m/>
    <x v="0"/>
    <m/>
    <s v=""/>
    <m/>
    <n v="0"/>
    <n v="0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s v=""/>
    <m/>
    <n v="0"/>
    <n v="0"/>
  </r>
  <r>
    <n v="2132"/>
    <s v="W155"/>
    <s v="WSA SEMOLINA 500GX15  "/>
    <m/>
    <x v="0"/>
    <m/>
    <s v=""/>
    <m/>
    <n v="0"/>
    <n v="0"/>
  </r>
  <r>
    <n v="2133"/>
    <s v="W156"/>
    <s v="WSA SESAME SEED WHITE 100GX20"/>
    <m/>
    <x v="0"/>
    <m/>
    <s v=""/>
    <m/>
    <n v="0"/>
    <n v="0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s v=""/>
    <m/>
    <n v="0"/>
    <n v="0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s v=""/>
    <m/>
    <n v="0"/>
    <n v="0"/>
  </r>
  <r>
    <n v="2139"/>
    <s v="W161"/>
    <s v="WSA SONGI(RAISINS GREEN) 250GX15  "/>
    <m/>
    <x v="0"/>
    <m/>
    <s v=""/>
    <m/>
    <n v="0"/>
    <n v="0"/>
  </r>
  <r>
    <n v="2140"/>
    <s v="W162"/>
    <s v="WSA SOONF(FEEN SEEDS) 800GX8 "/>
    <m/>
    <x v="0"/>
    <m/>
    <s v=""/>
    <m/>
    <n v="0"/>
    <n v="0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s v=""/>
    <m/>
    <n v="0"/>
    <n v="0"/>
  </r>
  <r>
    <n v="2143"/>
    <s v="W165"/>
    <s v="WSA SOONF(FEENL SEEDS) 300GX15  "/>
    <m/>
    <x v="0"/>
    <m/>
    <s v=""/>
    <m/>
    <n v="0"/>
    <n v="0"/>
  </r>
  <r>
    <n v="2144"/>
    <s v="W166"/>
    <s v="WSA SOYA CHUNKS 200GX15"/>
    <m/>
    <x v="0"/>
    <m/>
    <s v=""/>
    <m/>
    <n v="0"/>
    <n v="0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s v=""/>
    <m/>
    <n v="0"/>
    <n v="0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s v=""/>
    <m/>
    <n v="0"/>
    <n v="0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s v=""/>
    <m/>
    <n v="0"/>
    <n v="0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s v=""/>
    <m/>
    <n v="0"/>
    <n v="0"/>
  </r>
  <r>
    <n v="2153"/>
    <s v="W174"/>
    <s v="WSA SUGAR CANDY 100GX20   "/>
    <m/>
    <x v="0"/>
    <m/>
    <s v=""/>
    <m/>
    <n v="0"/>
    <n v="0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s v=""/>
    <m/>
    <n v="0"/>
    <n v="0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s v=""/>
    <m/>
    <n v="0"/>
    <n v="0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s v=""/>
    <m/>
    <n v="0"/>
    <n v="0"/>
  </r>
  <r>
    <n v="2163"/>
    <s v="W183"/>
    <s v="WSA URID DAL 2KGX8  "/>
    <m/>
    <x v="0"/>
    <m/>
    <s v=""/>
    <m/>
    <n v="0"/>
    <n v="0"/>
  </r>
  <r>
    <n v="2164"/>
    <s v="W184"/>
    <s v="WSA URID DAL 500GX15  "/>
    <m/>
    <x v="0"/>
    <m/>
    <s v=""/>
    <m/>
    <n v="0"/>
    <n v="0"/>
  </r>
  <r>
    <n v="2165"/>
    <s v="W185"/>
    <s v="WSA URID DAL CHILKA 1KGX15 "/>
    <m/>
    <x v="0"/>
    <m/>
    <s v=""/>
    <m/>
    <n v="0"/>
    <n v="0"/>
  </r>
  <r>
    <n v="2166"/>
    <s v="W186"/>
    <s v="WSA URID DAL CHILKA 2KGX8 "/>
    <m/>
    <x v="0"/>
    <m/>
    <s v=""/>
    <m/>
    <n v="0"/>
    <n v="0"/>
  </r>
  <r>
    <n v="2167"/>
    <s v="W187"/>
    <s v="WSA URID DAL CHILKA 500GX15  "/>
    <m/>
    <x v="0"/>
    <m/>
    <s v=""/>
    <m/>
    <n v="0"/>
    <n v="0"/>
  </r>
  <r>
    <n v="2168"/>
    <s v="W188"/>
    <s v="WSA URID DAL 1 KG X15 "/>
    <m/>
    <x v="0"/>
    <m/>
    <s v=""/>
    <m/>
    <n v="0"/>
    <n v="0"/>
  </r>
  <r>
    <n v="2169"/>
    <s v="W189"/>
    <s v="WSA URID WHOLE 1KGX15 "/>
    <m/>
    <x v="0"/>
    <m/>
    <s v=""/>
    <m/>
    <n v="0"/>
    <n v="0"/>
  </r>
  <r>
    <n v="2170"/>
    <s v="W19"/>
    <s v="WSA BLACK EYE BEANS 1KG X 15 "/>
    <m/>
    <x v="0"/>
    <m/>
    <s v=""/>
    <m/>
    <n v="0"/>
    <n v="0"/>
  </r>
  <r>
    <n v="2171"/>
    <s v="W190"/>
    <s v="WSA URID WHOLE 2KGX8 "/>
    <m/>
    <x v="0"/>
    <m/>
    <s v=""/>
    <m/>
    <n v="0"/>
    <n v="0"/>
  </r>
  <r>
    <n v="2172"/>
    <s v="W191"/>
    <s v="WSA URID WHOLE 500GX15 "/>
    <m/>
    <x v="0"/>
    <m/>
    <s v=""/>
    <m/>
    <n v="0"/>
    <n v="0"/>
  </r>
  <r>
    <n v="2173"/>
    <s v="W192"/>
    <s v="WSA MEETHI SEEDS PWD 300 G X 15"/>
    <m/>
    <x v="0"/>
    <m/>
    <s v=""/>
    <m/>
    <n v="0"/>
    <n v="0"/>
  </r>
  <r>
    <n v="2174"/>
    <s v="W193"/>
    <s v="WSA CRACKED WHEAT ROASTED 500GX15  "/>
    <m/>
    <x v="0"/>
    <m/>
    <s v=""/>
    <m/>
    <n v="0"/>
    <n v="0"/>
  </r>
  <r>
    <n v="2175"/>
    <s v="W194"/>
    <s v="WSA GREEN CHANA 1KG X 16  offerta"/>
    <m/>
    <x v="0"/>
    <m/>
    <s v=""/>
    <m/>
    <n v="0"/>
    <n v="0"/>
  </r>
  <r>
    <n v="2176"/>
    <s v="W195"/>
    <s v="WSA GREEN CHANA 2KG X 8  offerta"/>
    <m/>
    <x v="0"/>
    <m/>
    <s v=""/>
    <m/>
    <n v="0"/>
    <n v="0"/>
  </r>
  <r>
    <n v="2177"/>
    <s v="W196"/>
    <s v="WSA AMLA CANDY 400GX10"/>
    <m/>
    <x v="0"/>
    <m/>
    <s v=""/>
    <m/>
    <n v="0"/>
    <n v="0"/>
  </r>
  <r>
    <n v="2178"/>
    <s v="W197"/>
    <s v="WSA BAJARA WHOLE 1KGX10 "/>
    <m/>
    <x v="0"/>
    <m/>
    <s v=""/>
    <m/>
    <n v="0"/>
    <n v="0"/>
  </r>
  <r>
    <n v="2179"/>
    <s v="W198"/>
    <s v="WSA BAJARA FLOUR 1KGX10 "/>
    <m/>
    <x v="0"/>
    <m/>
    <s v=""/>
    <m/>
    <n v="0"/>
    <n v="0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s v=""/>
    <m/>
    <n v="0"/>
    <n v="0"/>
  </r>
  <r>
    <n v="2182"/>
    <s v="W20"/>
    <s v="WSA BLACK EYE BEANS 2KGX8"/>
    <m/>
    <x v="0"/>
    <m/>
    <s v=""/>
    <m/>
    <n v="0"/>
    <n v="0"/>
  </r>
  <r>
    <n v="2183"/>
    <s v="W200"/>
    <s v="WSA BLACK BEANS 800GX15 "/>
    <m/>
    <x v="0"/>
    <m/>
    <s v=""/>
    <m/>
    <n v="0"/>
    <n v="0"/>
  </r>
  <r>
    <n v="2184"/>
    <s v="W201"/>
    <s v="WSA HALDI (CURCUMA)WHOLE 100G X20"/>
    <m/>
    <x v="0"/>
    <m/>
    <s v=""/>
    <m/>
    <n v="0"/>
    <n v="0"/>
  </r>
  <r>
    <n v="2185"/>
    <s v="W21"/>
    <s v="WSA BLACK EYE BEANS 500GX15"/>
    <m/>
    <x v="0"/>
    <m/>
    <s v=""/>
    <m/>
    <n v="0"/>
    <n v="0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s v=""/>
    <m/>
    <n v="0"/>
    <n v="0"/>
  </r>
  <r>
    <n v="2189"/>
    <s v="W25"/>
    <s v="WSA BLACK PEPPER WHOLE300GX15  "/>
    <m/>
    <x v="0"/>
    <m/>
    <s v=""/>
    <m/>
    <n v="0"/>
    <n v="0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s v=""/>
    <m/>
    <n v="0"/>
    <n v="0"/>
  </r>
  <r>
    <n v="2192"/>
    <s v="W28"/>
    <s v="WSA CARDAMOM BLACK 50X20"/>
    <m/>
    <x v="0"/>
    <m/>
    <s v=""/>
    <m/>
    <n v="0"/>
    <n v="0"/>
  </r>
  <r>
    <n v="2193"/>
    <s v="W29"/>
    <s v="WSA CARDAMOM GREEN 200GX15  "/>
    <m/>
    <x v="0"/>
    <m/>
    <s v=""/>
    <m/>
    <n v="0"/>
    <n v="0"/>
  </r>
  <r>
    <n v="2194"/>
    <s v="W3"/>
    <s v="WSA AJWAIN 800GX8  "/>
    <m/>
    <x v="0"/>
    <m/>
    <s v=""/>
    <m/>
    <n v="0"/>
    <n v="0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s v=""/>
    <m/>
    <n v="0"/>
    <n v="0"/>
  </r>
  <r>
    <n v="2197"/>
    <s v="W32"/>
    <s v="WSA CASHEW KERNELS 100 G X20  "/>
    <m/>
    <x v="0"/>
    <m/>
    <s v=""/>
    <m/>
    <n v="0"/>
    <n v="0"/>
  </r>
  <r>
    <n v="2198"/>
    <s v="W33"/>
    <s v="WSA CASHEW KERNELS 1KGX10 "/>
    <m/>
    <x v="0"/>
    <m/>
    <s v=""/>
    <m/>
    <n v="0"/>
    <n v="0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s v=""/>
    <m/>
    <n v="0"/>
    <n v="0"/>
  </r>
  <r>
    <n v="2201"/>
    <s v="W36"/>
    <s v="WSA CASHEW KERNELS 700 G X 10 "/>
    <m/>
    <x v="0"/>
    <m/>
    <s v=""/>
    <m/>
    <n v="0"/>
    <n v="0"/>
  </r>
  <r>
    <n v="2202"/>
    <s v="W37"/>
    <s v="WSA CHANA DAL 1 KG X 15 "/>
    <m/>
    <x v="0"/>
    <m/>
    <s v=""/>
    <m/>
    <n v="0"/>
    <n v="0"/>
  </r>
  <r>
    <n v="2203"/>
    <s v="W38"/>
    <s v="WSA CHANA DAL 2 KG X 8   "/>
    <m/>
    <x v="0"/>
    <m/>
    <s v=""/>
    <m/>
    <n v="0"/>
    <n v="0"/>
  </r>
  <r>
    <n v="2204"/>
    <s v="W39"/>
    <s v="WSA CHANA DAL 500GX15 "/>
    <m/>
    <x v="0"/>
    <m/>
    <s v=""/>
    <m/>
    <n v="0"/>
    <n v="0"/>
  </r>
  <r>
    <n v="2205"/>
    <s v="W4"/>
    <s v="WSA ALMONDS 800 G X 10 "/>
    <m/>
    <x v="0"/>
    <m/>
    <s v=""/>
    <m/>
    <n v="0"/>
    <n v="0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s v=""/>
    <m/>
    <n v="0"/>
    <n v="0"/>
  </r>
  <r>
    <n v="2210"/>
    <s v="W44"/>
    <s v="WSA CHICK PEAS 2KGX8"/>
    <m/>
    <x v="0"/>
    <m/>
    <s v=""/>
    <m/>
    <n v="0"/>
    <n v="0"/>
  </r>
  <r>
    <n v="2211"/>
    <s v="W45"/>
    <s v="WSA CHICK PEAS 500GX15 "/>
    <m/>
    <x v="0"/>
    <m/>
    <s v=""/>
    <m/>
    <n v="0"/>
    <n v="0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s v=""/>
    <m/>
    <n v="0"/>
    <n v="0"/>
  </r>
  <r>
    <n v="2218"/>
    <s v="W51"/>
    <s v="WSA CLOVES 50GX20  "/>
    <m/>
    <x v="0"/>
    <m/>
    <s v=""/>
    <m/>
    <n v="0"/>
    <n v="0"/>
  </r>
  <r>
    <n v="2219"/>
    <s v="W52"/>
    <s v="WSA COCO PWD200GX15   "/>
    <m/>
    <x v="0"/>
    <m/>
    <s v=""/>
    <m/>
    <n v="0"/>
    <n v="0"/>
  </r>
  <r>
    <n v="2220"/>
    <s v="W53"/>
    <s v="WSA CRACKED WHEAT 500GX15  "/>
    <m/>
    <x v="0"/>
    <m/>
    <s v=""/>
    <m/>
    <n v="0"/>
    <n v="0"/>
  </r>
  <r>
    <n v="2221"/>
    <s v="W54"/>
    <s v="WSA CRACKED WHEAT FINE 500X15  "/>
    <m/>
    <x v="0"/>
    <m/>
    <s v=""/>
    <m/>
    <n v="0"/>
    <n v="0"/>
  </r>
  <r>
    <n v="2222"/>
    <s v="W55"/>
    <s v="WSA DALCHINI 200GX15"/>
    <m/>
    <x v="0"/>
    <m/>
    <s v=""/>
    <m/>
    <n v="0"/>
    <n v="0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s v=""/>
    <m/>
    <n v="0"/>
    <n v="0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s v=""/>
    <m/>
    <n v="0"/>
    <n v="0"/>
  </r>
  <r>
    <n v="2230"/>
    <s v="W62"/>
    <s v="WSA DHANIA WHOLE 200GX15"/>
    <m/>
    <x v="0"/>
    <m/>
    <s v=""/>
    <m/>
    <n v="0"/>
    <n v="0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s v=""/>
    <m/>
    <n v="0"/>
    <n v="0"/>
  </r>
  <r>
    <n v="2233"/>
    <s v="W65"/>
    <s v="WSA DRIED COCONUT 250X10  "/>
    <m/>
    <x v="0"/>
    <m/>
    <s v=""/>
    <m/>
    <n v="0"/>
    <n v="0"/>
  </r>
  <r>
    <n v="2234"/>
    <s v="W66"/>
    <s v="WSA DRIED DATES 300GX15 "/>
    <m/>
    <x v="0"/>
    <m/>
    <s v=""/>
    <m/>
    <n v="0"/>
    <n v="0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s v=""/>
    <m/>
    <n v="0"/>
    <n v="0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s v=""/>
    <m/>
    <n v="0"/>
    <n v="0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s v=""/>
    <m/>
    <n v="0"/>
    <n v="0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s v=""/>
    <m/>
    <n v="0"/>
    <n v="0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s v=""/>
    <m/>
    <n v="0"/>
    <n v="0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s v=""/>
    <m/>
    <n v="0"/>
    <n v="0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s v=""/>
    <m/>
    <n v="0"/>
    <n v="0"/>
  </r>
  <r>
    <n v="2257"/>
    <s v="W87"/>
    <s v="WSA HALDI(CURCUMA) PWD 1KGX6"/>
    <m/>
    <x v="0"/>
    <m/>
    <s v=""/>
    <m/>
    <n v="0"/>
    <n v="0"/>
  </r>
  <r>
    <n v="2258"/>
    <s v="W88"/>
    <s v="WSA HALDI(CURCUMA) PWD 400GX10"/>
    <m/>
    <x v="0"/>
    <m/>
    <s v=""/>
    <m/>
    <n v="0"/>
    <n v="0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s v=""/>
    <m/>
    <n v="0"/>
    <n v="0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s v=""/>
    <m/>
    <n v="0"/>
    <n v="0"/>
  </r>
  <r>
    <n v="2265"/>
    <s v="W94"/>
    <s v="WSA JEERA WHOLE 1KG X 8 "/>
    <m/>
    <x v="0"/>
    <m/>
    <s v=""/>
    <m/>
    <n v="0"/>
    <n v="0"/>
  </r>
  <r>
    <n v="2266"/>
    <s v="W95"/>
    <s v="WSA JEERA WHOLE 1KGX6 NO"/>
    <m/>
    <x v="0"/>
    <m/>
    <s v=""/>
    <m/>
    <n v="0"/>
    <n v="0"/>
  </r>
  <r>
    <n v="2267"/>
    <s v="W96"/>
    <s v="WSA JEERA WHOLE 400GX10"/>
    <m/>
    <x v="0"/>
    <m/>
    <s v=""/>
    <m/>
    <n v="0"/>
    <n v="0"/>
  </r>
  <r>
    <n v="2268"/>
    <s v="W97"/>
    <s v="WSA KALA CHANA 1KGX15 "/>
    <m/>
    <x v="0"/>
    <m/>
    <s v=""/>
    <m/>
    <n v="0"/>
    <n v="0"/>
  </r>
  <r>
    <n v="2269"/>
    <s v="W98"/>
    <s v="WSA KALA CHANA 2KGX8"/>
    <m/>
    <x v="0"/>
    <m/>
    <s v=""/>
    <m/>
    <n v="0"/>
    <n v="0"/>
  </r>
  <r>
    <n v="2270"/>
    <s v="W99"/>
    <s v="WSA KALA CHANA 500GX15  "/>
    <m/>
    <x v="0"/>
    <m/>
    <s v=""/>
    <m/>
    <n v="0"/>
    <n v="0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s v=""/>
    <m/>
    <n v="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insertRow="1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90" t="s">
        <v>1109</v>
      </c>
      <c r="L14" s="90"/>
      <c r="M14" s="90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88"/>
      <c r="B17" s="88"/>
      <c r="C17" s="88"/>
      <c r="D17" s="93" t="s">
        <v>24</v>
      </c>
      <c r="E17" s="93"/>
      <c r="F17" s="91">
        <v>43846</v>
      </c>
      <c r="G17" s="91"/>
      <c r="H17" s="92" t="str">
        <f>TEXT(F17,"DDD")</f>
        <v>Thu</v>
      </c>
      <c r="I17" s="92"/>
      <c r="J17" s="79"/>
      <c r="K17" s="79"/>
      <c r="L17" s="79"/>
      <c r="M17" s="79"/>
      <c r="N17" s="79"/>
      <c r="O17" s="79"/>
      <c r="P17" s="81" t="s">
        <v>53</v>
      </c>
      <c r="Q17" s="94">
        <f>Help!B10</f>
        <v>0</v>
      </c>
      <c r="R17" s="94"/>
      <c r="S17" s="79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79"/>
      <c r="K19" s="79"/>
      <c r="L19" s="79"/>
      <c r="M19" s="79"/>
      <c r="N19" s="79"/>
      <c r="O19" s="79"/>
      <c r="P19" s="80" t="s">
        <v>22</v>
      </c>
      <c r="Q19" s="89" t="str">
        <f>IFERROR(Help!B14,"")</f>
        <v/>
      </c>
      <c r="R19" s="89"/>
      <c r="S19" s="79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topLeftCell="B1" workbookViewId="0">
      <selection activeCell="J17" sqref="J1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7" max="7" width="4.125" customWidth="1"/>
    <col min="8" max="8" width="6.625" customWidth="1"/>
    <col min="9" max="9" width="6" customWidth="1"/>
    <col min="10" max="10" width="7.625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48</v>
      </c>
      <c r="F2" s="12">
        <v>0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43848</v>
      </c>
      <c r="E3" s="11" t="s">
        <v>15</v>
      </c>
      <c r="F3" s="12">
        <v>0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43878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528</v>
      </c>
    </row>
    <row r="8" spans="1:11" x14ac:dyDescent="0.25">
      <c r="A8" t="s">
        <v>3</v>
      </c>
      <c r="B8" s="68" t="str">
        <f>VLOOKUP(B7,ProductMaster!$A$2:$J$2275,3,0)</f>
        <v>GOA TEA 1 KG X 6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0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GOA TEA 1 KG X 6's</v>
      </c>
    </row>
    <row r="14" spans="1:11" x14ac:dyDescent="0.25">
      <c r="A14" t="s">
        <v>21</v>
      </c>
      <c r="B14" s="30" t="str">
        <f>VLOOKUP(B7,ProductMaster!$A$2:$J$2275,7,0)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5"/>
      <c r="B4" s="95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10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6"/>
      <c r="D2" s="46"/>
      <c r="E2" s="25"/>
      <c r="F2" s="26"/>
      <c r="G2" s="25"/>
      <c r="H2" s="25"/>
      <c r="I2" s="74"/>
      <c r="J2" s="27"/>
      <c r="K2" s="75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12" activePane="bottomRight" state="frozen"/>
      <selection pane="topRight" activeCell="I1" sqref="I1"/>
      <selection pane="bottomLeft" activeCell="A4" sqref="A4"/>
      <selection pane="bottomRight" activeCell="F14" sqref="F1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6"/>
      <c r="D2" s="76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tabSelected="1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D15" sqref="D15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3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 t="str">
        <f>IFERROR(INDEX(StockInData[Expiry],MATCH(ProductMaster[[#This Row],[Product ID]],StockInData[Product ID],0)),"")</f>
        <v/>
      </c>
      <c r="H3" s="47"/>
      <c r="I3" s="61">
        <f>SUMIFS(StockInData[Quantity],StockInData[Product ID],ProductMaster!$B3)-SUMIFS(StockOutData[Quantity],StockOutData[Product ID],ProductMaster!$B3)</f>
        <v>0</v>
      </c>
      <c r="J3" s="63">
        <f>SUMIFS(StockInData[Value],StockInData[Product ID],ProductMaster!$B3)-SUMIFS(StockOutData[Value],StockOutData[Product ID],ProductMaster!$B3)</f>
        <v>0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 t="str">
        <f>IFERROR(INDEX(StockInData[Expiry],MATCH(ProductMaster[[#This Row],[Product ID]],StockInData[Product ID],0)),"")</f>
        <v/>
      </c>
      <c r="H4" s="47"/>
      <c r="I4" s="61">
        <f>SUMIFS(StockInData[Quantity],StockInData[Product ID],ProductMaster!$B4)-SUMIFS(StockOutData[Quantity],StockOutData[Product ID],ProductMaster!$B4)</f>
        <v>0</v>
      </c>
      <c r="J4" s="63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 t="str">
        <f>IFERROR(INDEX(StockInData[Expiry],MATCH(ProductMaster[[#This Row],[Product ID]],StockInData[Product ID],0)),"")</f>
        <v/>
      </c>
      <c r="H8" s="47"/>
      <c r="I8" s="61">
        <f>SUMIFS(StockInData[Quantity],StockInData[Product ID],ProductMaster!$B8)-SUMIFS(StockOutData[Quantity],StockOutData[Product ID],ProductMaster!$B8)</f>
        <v>0</v>
      </c>
      <c r="J8" s="63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 t="str">
        <f>IFERROR(INDEX(StockInData[Expiry],MATCH(ProductMaster[[#This Row],[Product ID]],StockInData[Product ID],0)),"")</f>
        <v/>
      </c>
      <c r="H11" s="47"/>
      <c r="I11" s="61">
        <f>SUMIFS(StockInData[Quantity],StockInData[Product ID],ProductMaster!$B11)-SUMIFS(StockOutData[Quantity],StockOutData[Product ID],ProductMaster!$B11)</f>
        <v>0</v>
      </c>
      <c r="J11" s="63">
        <f>SUMIFS(StockInData[Value],StockInData[Product ID],ProductMaster!$B11)-SUMIFS(StockOutData[Value],StockOutData[Product ID],ProductMaster!$B11)</f>
        <v>0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 t="str">
        <f>IFERROR(INDEX(StockInData[Expiry],MATCH(ProductMaster[[#This Row],[Product ID]],StockInData[Product ID],0)),"")</f>
        <v/>
      </c>
      <c r="H12" s="47"/>
      <c r="I12" s="61">
        <f>SUMIFS(StockInData[Quantity],StockInData[Product ID],ProductMaster!$B12)-SUMIFS(StockOutData[Quantity],StockOutData[Product ID],ProductMaster!$B12)</f>
        <v>0</v>
      </c>
      <c r="J12" s="63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 t="str">
        <f>IFERROR(INDEX(StockInData[Expiry],MATCH(ProductMaster[[#This Row],[Product ID]],StockInData[Product ID],0)),"")</f>
        <v/>
      </c>
      <c r="H14" s="47"/>
      <c r="I14" s="61">
        <f>SUMIFS(StockInData[Quantity],StockInData[Product ID],ProductMaster!$B14)-SUMIFS(StockOutData[Quantity],StockOutData[Product ID],ProductMaster!$B14)</f>
        <v>0</v>
      </c>
      <c r="J14" s="63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 t="str">
        <f>IFERROR(INDEX(StockInData[Expiry],MATCH(ProductMaster[[#This Row],[Product ID]],StockInData[Product ID],0)),"")</f>
        <v/>
      </c>
      <c r="H15" s="47"/>
      <c r="I15" s="61">
        <f>SUMIFS(StockInData[Quantity],StockInData[Product ID],ProductMaster!$B15)-SUMIFS(StockOutData[Quantity],StockOutData[Product ID],ProductMaster!$B15)</f>
        <v>0</v>
      </c>
      <c r="J15" s="63">
        <f>SUMIFS(StockInData[Value],StockInData[Product ID],ProductMaster!$B15)-SUMIFS(StockOutData[Value],StockOutData[Product ID],ProductMaster!$B15)</f>
        <v>0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 t="str">
        <f>IFERROR(INDEX(StockInData[Expiry],MATCH(ProductMaster[[#This Row],[Product ID]],StockInData[Product ID],0)),"")</f>
        <v/>
      </c>
      <c r="H16" s="47"/>
      <c r="I16" s="61">
        <f>SUMIFS(StockInData[Quantity],StockInData[Product ID],ProductMaster!$B16)-SUMIFS(StockOutData[Quantity],StockOutData[Product ID],ProductMaster!$B16)</f>
        <v>0</v>
      </c>
      <c r="J16" s="63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 t="str">
        <f>IFERROR(INDEX(StockInData[Expiry],MATCH(ProductMaster[[#This Row],[Product ID]],StockInData[Product ID],0)),"")</f>
        <v/>
      </c>
      <c r="H18" s="47"/>
      <c r="I18" s="61">
        <f>SUMIFS(StockInData[Quantity],StockInData[Product ID],ProductMaster!$B18)-SUMIFS(StockOutData[Quantity],StockOutData[Product ID],ProductMaster!$B18)</f>
        <v>0</v>
      </c>
      <c r="J18" s="63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 t="str">
        <f>IFERROR(INDEX(StockInData[Expiry],MATCH(ProductMaster[[#This Row],[Product ID]],StockInData[Product ID],0)),"")</f>
        <v/>
      </c>
      <c r="H27" s="47"/>
      <c r="I27" s="61">
        <f>SUMIFS(StockInData[Quantity],StockInData[Product ID],ProductMaster!$B27)-SUMIFS(StockOutData[Quantity],StockOutData[Product ID],ProductMaster!$B27)</f>
        <v>0</v>
      </c>
      <c r="J27" s="63">
        <f>SUMIFS(StockInData[Value],StockInData[Product ID],ProductMaster!$B27)-SUMIFS(StockOutData[Value],StockOutData[Product ID],ProductMaster!$B27)</f>
        <v>0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 t="str">
        <f>IFERROR(INDEX(StockInData[Expiry],MATCH(ProductMaster[[#This Row],[Product ID]],StockInData[Product ID],0)),"")</f>
        <v/>
      </c>
      <c r="H28" s="47"/>
      <c r="I28" s="61">
        <f>SUMIFS(StockInData[Quantity],StockInData[Product ID],ProductMaster!$B28)-SUMIFS(StockOutData[Quantity],StockOutData[Product ID],ProductMaster!$B28)</f>
        <v>0</v>
      </c>
      <c r="J28" s="63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 t="str">
        <f>IFERROR(INDEX(StockInData[Expiry],MATCH(ProductMaster[[#This Row],[Product ID]],StockInData[Product ID],0)),"")</f>
        <v/>
      </c>
      <c r="H29" s="47"/>
      <c r="I29" s="61">
        <f>SUMIFS(StockInData[Quantity],StockInData[Product ID],ProductMaster!$B29)-SUMIFS(StockOutData[Quantity],StockOutData[Product ID],ProductMaster!$B29)</f>
        <v>0</v>
      </c>
      <c r="J29" s="63">
        <f>SUMIFS(StockInData[Value],StockInData[Product ID],ProductMaster!$B29)-SUMIFS(StockOutData[Value],StockOutData[Product ID],ProductMaster!$B29)</f>
        <v>0</v>
      </c>
    </row>
    <row r="30" spans="1:10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 t="str">
        <f>IFERROR(INDEX(StockInData[Expiry],MATCH(ProductMaster[[#This Row],[Product ID]],StockInData[Product ID],0)),"")</f>
        <v/>
      </c>
      <c r="H34" s="47"/>
      <c r="I34" s="61">
        <f>SUMIFS(StockInData[Quantity],StockInData[Product ID],ProductMaster!$B34)-SUMIFS(StockOutData[Quantity],StockOutData[Product ID],ProductMaster!$B34)</f>
        <v>0</v>
      </c>
      <c r="J34" s="63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0</v>
      </c>
      <c r="J38" s="63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 t="str">
        <f>IFERROR(INDEX(StockInData[Expiry],MATCH(ProductMaster[[#This Row],[Product ID]],StockInData[Product ID],0)),"")</f>
        <v/>
      </c>
      <c r="H44" s="47"/>
      <c r="I44" s="61">
        <f>SUMIFS(StockInData[Quantity],StockInData[Product ID],ProductMaster!$B44)-SUMIFS(StockOutData[Quantity],StockOutData[Product ID],ProductMaster!$B44)</f>
        <v>0</v>
      </c>
      <c r="J44" s="63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 t="str">
        <f>IFERROR(INDEX(StockInData[Expiry],MATCH(ProductMaster[[#This Row],[Product ID]],StockInData[Product ID],0)),"")</f>
        <v/>
      </c>
      <c r="H46" s="47"/>
      <c r="I46" s="61">
        <f>SUMIFS(StockInData[Quantity],StockInData[Product ID],ProductMaster!$B46)-SUMIFS(StockOutData[Quantity],StockOutData[Product ID],ProductMaster!$B46)</f>
        <v>0</v>
      </c>
      <c r="J46" s="63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 t="str">
        <f>IFERROR(INDEX(StockInData[Expiry],MATCH(ProductMaster[[#This Row],[Product ID]],StockInData[Product ID],0)),"")</f>
        <v/>
      </c>
      <c r="H49" s="47"/>
      <c r="I49" s="61">
        <f>SUMIFS(StockInData[Quantity],StockInData[Product ID],ProductMaster!$B49)-SUMIFS(StockOutData[Quantity],StockOutData[Product ID],ProductMaster!$B49)</f>
        <v>0</v>
      </c>
      <c r="J49" s="63">
        <f>SUMIFS(StockInData[Value],StockInData[Product ID],ProductMaster!$B49)-SUMIFS(StockOutData[Value],StockOutData[Product ID],ProductMaster!$B49)</f>
        <v>0</v>
      </c>
    </row>
    <row r="50" spans="1:10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 t="str">
        <f>IFERROR(INDEX(StockInData[Expiry],MATCH(ProductMaster[[#This Row],[Product ID]],StockInData[Product ID],0)),"")</f>
        <v/>
      </c>
      <c r="H51" s="47"/>
      <c r="I51" s="61">
        <f>SUMIFS(StockInData[Quantity],StockInData[Product ID],ProductMaster!$B51)-SUMIFS(StockOutData[Quantity],StockOutData[Product ID],ProductMaster!$B51)</f>
        <v>0</v>
      </c>
      <c r="J51" s="63">
        <f>SUMIFS(StockInData[Value],StockInData[Product ID],ProductMaster!$B51)-SUMIFS(StockOutData[Value],StockOutData[Product ID],ProductMaster!$B51)</f>
        <v>0</v>
      </c>
    </row>
    <row r="52" spans="1:10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 t="str">
        <f>IFERROR(INDEX(StockInData[Expiry],MATCH(ProductMaster[[#This Row],[Product ID]],StockInData[Product ID],0)),"")</f>
        <v/>
      </c>
      <c r="H53" s="47"/>
      <c r="I53" s="61">
        <f>SUMIFS(StockInData[Quantity],StockInData[Product ID],ProductMaster!$B53)-SUMIFS(StockOutData[Quantity],StockOutData[Product ID],ProductMaster!$B53)</f>
        <v>0</v>
      </c>
      <c r="J53" s="63">
        <f>SUMIFS(StockInData[Value],StockInData[Product ID],ProductMaster!$B53)-SUMIFS(StockOutData[Value],StockOutData[Product ID],ProductMaster!$B53)</f>
        <v>0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 t="str">
        <f>IFERROR(INDEX(StockInData[Expiry],MATCH(ProductMaster[[#This Row],[Product ID]],StockInData[Product ID],0)),"")</f>
        <v/>
      </c>
      <c r="H54" s="47"/>
      <c r="I54" s="61">
        <f>SUMIFS(StockInData[Quantity],StockInData[Product ID],ProductMaster!$B54)-SUMIFS(StockOutData[Quantity],StockOutData[Product ID],ProductMaster!$B54)</f>
        <v>0</v>
      </c>
      <c r="J54" s="63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 t="str">
        <f>IFERROR(INDEX(StockInData[Expiry],MATCH(ProductMaster[[#This Row],[Product ID]],StockInData[Product ID],0)),"")</f>
        <v/>
      </c>
      <c r="H61" s="47"/>
      <c r="I61" s="61">
        <f>SUMIFS(StockInData[Quantity],StockInData[Product ID],ProductMaster!$B61)-SUMIFS(StockOutData[Quantity],StockOutData[Product ID],ProductMaster!$B61)</f>
        <v>0</v>
      </c>
      <c r="J61" s="63">
        <f>SUMIFS(StockInData[Value],StockInData[Product ID],ProductMaster!$B61)-SUMIFS(StockOutData[Value],StockOutData[Product ID],ProductMaster!$B61)</f>
        <v>0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 t="str">
        <f>IFERROR(INDEX(StockInData[Expiry],MATCH(ProductMaster[[#This Row],[Product ID]],StockInData[Product ID],0)),"")</f>
        <v/>
      </c>
      <c r="H62" s="47"/>
      <c r="I62" s="61">
        <f>SUMIFS(StockInData[Quantity],StockInData[Product ID],ProductMaster!$B62)-SUMIFS(StockOutData[Quantity],StockOutData[Product ID],ProductMaster!$B62)</f>
        <v>0</v>
      </c>
      <c r="J62" s="63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 t="str">
        <f>IFERROR(INDEX(StockInData[Expiry],MATCH(ProductMaster[[#This Row],[Product ID]],StockInData[Product ID],0)),"")</f>
        <v/>
      </c>
      <c r="H63" s="47"/>
      <c r="I63" s="61">
        <f>SUMIFS(StockInData[Quantity],StockInData[Product ID],ProductMaster!$B63)-SUMIFS(StockOutData[Quantity],StockOutData[Product ID],ProductMaster!$B63)</f>
        <v>0</v>
      </c>
      <c r="J63" s="63">
        <f>SUMIFS(StockInData[Value],StockInData[Product ID],ProductMaster!$B63)-SUMIFS(StockOutData[Value],StockOutData[Product ID],ProductMaster!$B63)</f>
        <v>0</v>
      </c>
    </row>
    <row r="64" spans="1:10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0</v>
      </c>
      <c r="J64" s="63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 t="str">
        <f>IFERROR(INDEX(StockInData[Expiry],MATCH(ProductMaster[[#This Row],[Product ID]],StockInData[Product ID],0)),"")</f>
        <v/>
      </c>
      <c r="H65" s="47"/>
      <c r="I65" s="61">
        <f>SUMIFS(StockInData[Quantity],StockInData[Product ID],ProductMaster!$B65)-SUMIFS(StockOutData[Quantity],StockOutData[Product ID],ProductMaster!$B65)</f>
        <v>0</v>
      </c>
      <c r="J65" s="63">
        <f>SUMIFS(StockInData[Value],StockInData[Product ID],ProductMaster!$B65)-SUMIFS(StockOutData[Value],StockOutData[Product ID],ProductMaster!$B65)</f>
        <v>0</v>
      </c>
    </row>
    <row r="66" spans="1:10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 t="str">
        <f>IFERROR(INDEX(StockInData[Expiry],MATCH(ProductMaster[[#This Row],[Product ID]],StockInData[Product ID],0)),"")</f>
        <v/>
      </c>
      <c r="H72" s="47"/>
      <c r="I72" s="61">
        <f>SUMIFS(StockInData[Quantity],StockInData[Product ID],ProductMaster!$B72)-SUMIFS(StockOutData[Quantity],StockOutData[Product ID],ProductMaster!$B72)</f>
        <v>0</v>
      </c>
      <c r="J72" s="63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 t="str">
        <f>IFERROR(INDEX(StockInData[Expiry],MATCH(ProductMaster[[#This Row],[Product ID]],StockInData[Product ID],0)),"")</f>
        <v/>
      </c>
      <c r="H73" s="47"/>
      <c r="I73" s="61">
        <f>SUMIFS(StockInData[Quantity],StockInData[Product ID],ProductMaster!$B73)-SUMIFS(StockOutData[Quantity],StockOutData[Product ID],ProductMaster!$B73)</f>
        <v>0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 t="str">
        <f>IFERROR(INDEX(StockInData[Expiry],MATCH(ProductMaster[[#This Row],[Product ID]],StockInData[Product ID],0)),"")</f>
        <v/>
      </c>
      <c r="H74" s="47"/>
      <c r="I74" s="61">
        <f>SUMIFS(StockInData[Quantity],StockInData[Product ID],ProductMaster!$B74)-SUMIFS(StockOutData[Quantity],StockOutData[Product ID],ProductMaster!$B74)</f>
        <v>0</v>
      </c>
      <c r="J74" s="63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 t="str">
        <f>IFERROR(INDEX(StockInData[Expiry],MATCH(ProductMaster[[#This Row],[Product ID]],StockInData[Product ID],0)),"")</f>
        <v/>
      </c>
      <c r="H76" s="47"/>
      <c r="I76" s="61">
        <f>SUMIFS(StockInData[Quantity],StockInData[Product ID],ProductMaster!$B76)-SUMIFS(StockOutData[Quantity],StockOutData[Product ID],ProductMaster!$B76)</f>
        <v>0</v>
      </c>
      <c r="J76" s="63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 t="str">
        <f>IFERROR(INDEX(StockInData[Expiry],MATCH(ProductMaster[[#This Row],[Product ID]],StockInData[Product ID],0)),"")</f>
        <v/>
      </c>
      <c r="H78" s="47"/>
      <c r="I78" s="61">
        <f>SUMIFS(StockInData[Quantity],StockInData[Product ID],ProductMaster!$B78)-SUMIFS(StockOutData[Quantity],StockOutData[Product ID],ProductMaster!$B78)</f>
        <v>0</v>
      </c>
      <c r="J78" s="63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 t="str">
        <f>IFERROR(INDEX(StockInData[Expiry],MATCH(ProductMaster[[#This Row],[Product ID]],StockInData[Product ID],0)),"")</f>
        <v/>
      </c>
      <c r="H79" s="47"/>
      <c r="I79" s="61">
        <f>SUMIFS(StockInData[Quantity],StockInData[Product ID],ProductMaster!$B79)-SUMIFS(StockOutData[Quantity],StockOutData[Product ID],ProductMaster!$B79)</f>
        <v>0</v>
      </c>
      <c r="J79" s="63">
        <f>SUMIFS(StockInData[Value],StockInData[Product ID],ProductMaster!$B79)-SUMIFS(StockOutData[Value],StockOutData[Product ID],ProductMaster!$B79)</f>
        <v>0</v>
      </c>
    </row>
    <row r="80" spans="1:10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 t="str">
        <f>IFERROR(INDEX(StockInData[Expiry],MATCH(ProductMaster[[#This Row],[Product ID]],StockInData[Product ID],0)),"")</f>
        <v/>
      </c>
      <c r="H81" s="47"/>
      <c r="I81" s="61">
        <f>SUMIFS(StockInData[Quantity],StockInData[Product ID],ProductMaster!$B81)-SUMIFS(StockOutData[Quantity],StockOutData[Product ID],ProductMaster!$B81)</f>
        <v>0</v>
      </c>
      <c r="J81" s="63">
        <f>SUMIFS(StockInData[Value],StockInData[Product ID],ProductMaster!$B81)-SUMIFS(StockOutData[Value],StockOutData[Product ID],ProductMaster!$B81)</f>
        <v>0</v>
      </c>
    </row>
    <row r="82" spans="1:10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 t="str">
        <f>IFERROR(INDEX(StockInData[Expiry],MATCH(ProductMaster[[#This Row],[Product ID]],StockInData[Product ID],0)),"")</f>
        <v/>
      </c>
      <c r="H85" s="47"/>
      <c r="I85" s="61">
        <f>SUMIFS(StockInData[Quantity],StockInData[Product ID],ProductMaster!$B85)-SUMIFS(StockOutData[Quantity],StockOutData[Product ID],ProductMaster!$B85)</f>
        <v>0</v>
      </c>
      <c r="J85" s="63">
        <f>SUMIFS(StockInData[Value],StockInData[Product ID],ProductMaster!$B85)-SUMIFS(StockOutData[Value],StockOutData[Product ID],ProductMaster!$B85)</f>
        <v>0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 t="str">
        <f>IFERROR(INDEX(StockInData[Expiry],MATCH(ProductMaster[[#This Row],[Product ID]],StockInData[Product ID],0)),"")</f>
        <v/>
      </c>
      <c r="H86" s="47"/>
      <c r="I86" s="61">
        <f>SUMIFS(StockInData[Quantity],StockInData[Product ID],ProductMaster!$B86)-SUMIFS(StockOutData[Quantity],StockOutData[Product ID],ProductMaster!$B86)</f>
        <v>0</v>
      </c>
      <c r="J86" s="63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 t="str">
        <f>IFERROR(INDEX(StockInData[Expiry],MATCH(ProductMaster[[#This Row],[Product ID]],StockInData[Product ID],0)),"")</f>
        <v/>
      </c>
      <c r="H87" s="47"/>
      <c r="I87" s="61">
        <f>SUMIFS(StockInData[Quantity],StockInData[Product ID],ProductMaster!$B87)-SUMIFS(StockOutData[Quantity],StockOutData[Product ID],ProductMaster!$B87)</f>
        <v>0</v>
      </c>
      <c r="J87" s="63">
        <f>SUMIFS(StockInData[Value],StockInData[Product ID],ProductMaster!$B87)-SUMIFS(StockOutData[Value],StockOutData[Product ID],ProductMaster!$B87)</f>
        <v>0</v>
      </c>
    </row>
    <row r="88" spans="1:10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 t="str">
        <f>IFERROR(INDEX(StockInData[Expiry],MATCH(ProductMaster[[#This Row],[Product ID]],StockInData[Product ID],0)),"")</f>
        <v/>
      </c>
      <c r="H90" s="47"/>
      <c r="I90" s="61">
        <f>SUMIFS(StockInData[Quantity],StockInData[Product ID],ProductMaster!$B90)-SUMIFS(StockOutData[Quantity],StockOutData[Product ID],ProductMaster!$B90)</f>
        <v>0</v>
      </c>
      <c r="J90" s="63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 t="str">
        <f>IFERROR(INDEX(StockInData[Expiry],MATCH(ProductMaster[[#This Row],[Product ID]],StockInData[Product ID],0)),"")</f>
        <v/>
      </c>
      <c r="H91" s="47"/>
      <c r="I91" s="61">
        <f>SUMIFS(StockInData[Quantity],StockInData[Product ID],ProductMaster!$B91)-SUMIFS(StockOutData[Quantity],StockOutData[Product ID],ProductMaster!$B91)</f>
        <v>0</v>
      </c>
      <c r="J91" s="63">
        <f>SUMIFS(StockInData[Value],StockInData[Product ID],ProductMaster!$B91)-SUMIFS(StockOutData[Value],StockOutData[Product ID],ProductMaster!$B91)</f>
        <v>0</v>
      </c>
    </row>
    <row r="92" spans="1:10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 t="str">
        <f>IFERROR(INDEX(StockInData[Expiry],MATCH(ProductMaster[[#This Row],[Product ID]],StockInData[Product ID],0)),"")</f>
        <v/>
      </c>
      <c r="H95" s="47"/>
      <c r="I95" s="61">
        <f>SUMIFS(StockInData[Quantity],StockInData[Product ID],ProductMaster!$B95)-SUMIFS(StockOutData[Quantity],StockOutData[Product ID],ProductMaster!$B95)</f>
        <v>0</v>
      </c>
      <c r="J95" s="63">
        <f>SUMIFS(StockInData[Value],StockInData[Product ID],ProductMaster!$B95)-SUMIFS(StockOutData[Value],StockOutData[Product ID],ProductMaster!$B95)</f>
        <v>0</v>
      </c>
    </row>
    <row r="96" spans="1:10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 t="str">
        <f>IFERROR(INDEX(StockInData[Expiry],MATCH(ProductMaster[[#This Row],[Product ID]],StockInData[Product ID],0)),"")</f>
        <v/>
      </c>
      <c r="H99" s="47"/>
      <c r="I99" s="61">
        <f>SUMIFS(StockInData[Quantity],StockInData[Product ID],ProductMaster!$B99)-SUMIFS(StockOutData[Quantity],StockOutData[Product ID],ProductMaster!$B99)</f>
        <v>0</v>
      </c>
      <c r="J99" s="63">
        <f>SUMIFS(StockInData[Value],StockInData[Product ID],ProductMaster!$B99)-SUMIFS(StockOutData[Value],StockOutData[Product ID],ProductMaster!$B99)</f>
        <v>0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 t="str">
        <f>IFERROR(INDEX(StockInData[Expiry],MATCH(ProductMaster[[#This Row],[Product ID]],StockInData[Product ID],0)),"")</f>
        <v/>
      </c>
      <c r="H100" s="47"/>
      <c r="I100" s="61">
        <f>SUMIFS(StockInData[Quantity],StockInData[Product ID],ProductMaster!$B100)-SUMIFS(StockOutData[Quantity],StockOutData[Product ID],ProductMaster!$B100)</f>
        <v>0</v>
      </c>
      <c r="J100" s="63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 t="str">
        <f>IFERROR(INDEX(StockInData[Expiry],MATCH(ProductMaster[[#This Row],[Product ID]],StockInData[Product ID],0)),"")</f>
        <v/>
      </c>
      <c r="H101" s="47"/>
      <c r="I101" s="61">
        <f>SUMIFS(StockInData[Quantity],StockInData[Product ID],ProductMaster!$B101)-SUMIFS(StockOutData[Quantity],StockOutData[Product ID],ProductMaster!$B101)</f>
        <v>0</v>
      </c>
      <c r="J101" s="63">
        <f>SUMIFS(StockInData[Value],StockInData[Product ID],ProductMaster!$B101)-SUMIFS(StockOutData[Value],StockOutData[Product ID],ProductMaster!$B101)</f>
        <v>0</v>
      </c>
    </row>
    <row r="102" spans="1:10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 t="str">
        <f>IFERROR(INDEX(StockInData[Expiry],MATCH(ProductMaster[[#This Row],[Product ID]],StockInData[Product ID],0)),"")</f>
        <v/>
      </c>
      <c r="H103" s="47"/>
      <c r="I103" s="61">
        <f>SUMIFS(StockInData[Quantity],StockInData[Product ID],ProductMaster!$B103)-SUMIFS(StockOutData[Quantity],StockOutData[Product ID],ProductMaster!$B103)</f>
        <v>0</v>
      </c>
      <c r="J103" s="63">
        <f>SUMIFS(StockInData[Value],StockInData[Product ID],ProductMaster!$B103)-SUMIFS(StockOutData[Value],StockOutData[Product ID],ProductMaster!$B103)</f>
        <v>0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 t="str">
        <f>IFERROR(INDEX(StockInData[Expiry],MATCH(ProductMaster[[#This Row],[Product ID]],StockInData[Product ID],0)),"")</f>
        <v/>
      </c>
      <c r="H104" s="47"/>
      <c r="I104" s="61">
        <f>SUMIFS(StockInData[Quantity],StockInData[Product ID],ProductMaster!$B104)-SUMIFS(StockOutData[Quantity],StockOutData[Product ID],ProductMaster!$B104)</f>
        <v>0</v>
      </c>
      <c r="J104" s="63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 t="str">
        <f>IFERROR(INDEX(StockInData[Expiry],MATCH(ProductMaster[[#This Row],[Product ID]],StockInData[Product ID],0)),"")</f>
        <v/>
      </c>
      <c r="H105" s="47"/>
      <c r="I105" s="61">
        <f>SUMIFS(StockInData[Quantity],StockInData[Product ID],ProductMaster!$B105)-SUMIFS(StockOutData[Quantity],StockOutData[Product ID],ProductMaster!$B105)</f>
        <v>0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 t="str">
        <f>IFERROR(INDEX(StockInData[Expiry],MATCH(ProductMaster[[#This Row],[Product ID]],StockInData[Product ID],0)),"")</f>
        <v/>
      </c>
      <c r="H106" s="47"/>
      <c r="I106" s="61">
        <f>SUMIFS(StockInData[Quantity],StockInData[Product ID],ProductMaster!$B106)-SUMIFS(StockOutData[Quantity],StockOutData[Product ID],ProductMaster!$B106)</f>
        <v>0</v>
      </c>
      <c r="J106" s="63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 t="str">
        <f>IFERROR(INDEX(StockInData[Expiry],MATCH(ProductMaster[[#This Row],[Product ID]],StockInData[Product ID],0)),"")</f>
        <v/>
      </c>
      <c r="H108" s="47"/>
      <c r="I108" s="61">
        <f>SUMIFS(StockInData[Quantity],StockInData[Product ID],ProductMaster!$B108)-SUMIFS(StockOutData[Quantity],StockOutData[Product ID],ProductMaster!$B108)</f>
        <v>0</v>
      </c>
      <c r="J108" s="63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 t="str">
        <f>IFERROR(INDEX(StockInData[Expiry],MATCH(ProductMaster[[#This Row],[Product ID]],StockInData[Product ID],0)),"")</f>
        <v/>
      </c>
      <c r="H112" s="47"/>
      <c r="I112" s="61">
        <f>SUMIFS(StockInData[Quantity],StockInData[Product ID],ProductMaster!$B112)-SUMIFS(StockOutData[Quantity],StockOutData[Product ID],ProductMaster!$B112)</f>
        <v>0</v>
      </c>
      <c r="J112" s="63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 t="str">
        <f>IFERROR(INDEX(StockInData[Expiry],MATCH(ProductMaster[[#This Row],[Product ID]],StockInData[Product ID],0)),"")</f>
        <v/>
      </c>
      <c r="H116" s="47"/>
      <c r="I116" s="61">
        <f>SUMIFS(StockInData[Quantity],StockInData[Product ID],ProductMaster!$B116)-SUMIFS(StockOutData[Quantity],StockOutData[Product ID],ProductMaster!$B116)</f>
        <v>0</v>
      </c>
      <c r="J116" s="63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 t="str">
        <f>IFERROR(INDEX(StockInData[Expiry],MATCH(ProductMaster[[#This Row],[Product ID]],StockInData[Product ID],0)),"")</f>
        <v/>
      </c>
      <c r="H117" s="47"/>
      <c r="I117" s="61">
        <f>SUMIFS(StockInData[Quantity],StockInData[Product ID],ProductMaster!$B117)-SUMIFS(StockOutData[Quantity],StockOutData[Product ID],ProductMaster!$B117)</f>
        <v>0</v>
      </c>
      <c r="J117" s="63">
        <f>SUMIFS(StockInData[Value],StockInData[Product ID],ProductMaster!$B117)-SUMIFS(StockOutData[Value],StockOutData[Product ID],ProductMaster!$B117)</f>
        <v>0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 t="str">
        <f>IFERROR(INDEX(StockInData[Expiry],MATCH(ProductMaster[[#This Row],[Product ID]],StockInData[Product ID],0)),"")</f>
        <v/>
      </c>
      <c r="H118" s="47"/>
      <c r="I118" s="61">
        <f>SUMIFS(StockInData[Quantity],StockInData[Product ID],ProductMaster!$B118)-SUMIFS(StockOutData[Quantity],StockOutData[Product ID],ProductMaster!$B118)</f>
        <v>0</v>
      </c>
      <c r="J118" s="63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 t="str">
        <f>IFERROR(INDEX(StockInData[Expiry],MATCH(ProductMaster[[#This Row],[Product ID]],StockInData[Product ID],0)),"")</f>
        <v/>
      </c>
      <c r="H120" s="47"/>
      <c r="I120" s="61">
        <f>SUMIFS(StockInData[Quantity],StockInData[Product ID],ProductMaster!$B120)-SUMIFS(StockOutData[Quantity],StockOutData[Product ID],ProductMaster!$B120)</f>
        <v>0</v>
      </c>
      <c r="J120" s="63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 t="str">
        <f>IFERROR(INDEX(StockInData[Expiry],MATCH(ProductMaster[[#This Row],[Product ID]],StockInData[Product ID],0)),"")</f>
        <v/>
      </c>
      <c r="H121" s="47"/>
      <c r="I121" s="61">
        <f>SUMIFS(StockInData[Quantity],StockInData[Product ID],ProductMaster!$B121)-SUMIFS(StockOutData[Quantity],StockOutData[Product ID],ProductMaster!$B121)</f>
        <v>0</v>
      </c>
      <c r="J121" s="63">
        <f>SUMIFS(StockInData[Value],StockInData[Product ID],ProductMaster!$B121)-SUMIFS(StockOutData[Value],StockOutData[Product ID],ProductMaster!$B121)</f>
        <v>0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 t="str">
        <f>IFERROR(INDEX(StockInData[Expiry],MATCH(ProductMaster[[#This Row],[Product ID]],StockInData[Product ID],0)),"")</f>
        <v/>
      </c>
      <c r="H122" s="47"/>
      <c r="I122" s="61">
        <f>SUMIFS(StockInData[Quantity],StockInData[Product ID],ProductMaster!$B122)-SUMIFS(StockOutData[Quantity],StockOutData[Product ID],ProductMaster!$B122)</f>
        <v>0</v>
      </c>
      <c r="J122" s="63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 t="str">
        <f>IFERROR(INDEX(StockInData[Expiry],MATCH(ProductMaster[[#This Row],[Product ID]],StockInData[Product ID],0)),"")</f>
        <v/>
      </c>
      <c r="H123" s="47"/>
      <c r="I123" s="61">
        <f>SUMIFS(StockInData[Quantity],StockInData[Product ID],ProductMaster!$B123)-SUMIFS(StockOutData[Quantity],StockOutData[Product ID],ProductMaster!$B123)</f>
        <v>0</v>
      </c>
      <c r="J123" s="63">
        <f>SUMIFS(StockInData[Value],StockInData[Product ID],ProductMaster!$B123)-SUMIFS(StockOutData[Value],StockOutData[Product ID],ProductMaster!$B123)</f>
        <v>0</v>
      </c>
    </row>
    <row r="124" spans="1:10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 t="str">
        <f>IFERROR(INDEX(StockInData[Expiry],MATCH(ProductMaster[[#This Row],[Product ID]],StockInData[Product ID],0)),"")</f>
        <v/>
      </c>
      <c r="H128" s="47"/>
      <c r="I128" s="61">
        <f>SUMIFS(StockInData[Quantity],StockInData[Product ID],ProductMaster!$B128)-SUMIFS(StockOutData[Quantity],StockOutData[Product ID],ProductMaster!$B128)</f>
        <v>0</v>
      </c>
      <c r="J128" s="63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 t="str">
        <f>IFERROR(INDEX(StockInData[Expiry],MATCH(ProductMaster[[#This Row],[Product ID]],StockInData[Product ID],0)),"")</f>
        <v/>
      </c>
      <c r="H132" s="47"/>
      <c r="I132" s="61">
        <f>SUMIFS(StockInData[Quantity],StockInData[Product ID],ProductMaster!$B132)-SUMIFS(StockOutData[Quantity],StockOutData[Product ID],ProductMaster!$B132)</f>
        <v>0</v>
      </c>
      <c r="J132" s="63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 t="str">
        <f>IFERROR(INDEX(StockInData[Expiry],MATCH(ProductMaster[[#This Row],[Product ID]],StockInData[Product ID],0)),"")</f>
        <v/>
      </c>
      <c r="H134" s="47"/>
      <c r="I134" s="61">
        <f>SUMIFS(StockInData[Quantity],StockInData[Product ID],ProductMaster!$B134)-SUMIFS(StockOutData[Quantity],StockOutData[Product ID],ProductMaster!$B134)</f>
        <v>0</v>
      </c>
      <c r="J134" s="63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 t="str">
        <f>IFERROR(INDEX(StockInData[Expiry],MATCH(ProductMaster[[#This Row],[Product ID]],StockInData[Product ID],0)),"")</f>
        <v/>
      </c>
      <c r="H137" s="47"/>
      <c r="I137" s="61">
        <f>SUMIFS(StockInData[Quantity],StockInData[Product ID],ProductMaster!$B137)-SUMIFS(StockOutData[Quantity],StockOutData[Product ID],ProductMaster!$B137)</f>
        <v>0</v>
      </c>
      <c r="J137" s="63">
        <f>SUMIFS(StockInData[Value],StockInData[Product ID],ProductMaster!$B137)-SUMIFS(StockOutData[Value],StockOutData[Product ID],ProductMaster!$B137)</f>
        <v>0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 t="str">
        <f>IFERROR(INDEX(StockInData[Expiry],MATCH(ProductMaster[[#This Row],[Product ID]],StockInData[Product ID],0)),"")</f>
        <v/>
      </c>
      <c r="H138" s="47"/>
      <c r="I138" s="61">
        <f>SUMIFS(StockInData[Quantity],StockInData[Product ID],ProductMaster!$B138)-SUMIFS(StockOutData[Quantity],StockOutData[Product ID],ProductMaster!$B138)</f>
        <v>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 t="str">
        <f>IFERROR(INDEX(StockInData[Expiry],MATCH(ProductMaster[[#This Row],[Product ID]],StockInData[Product ID],0)),"")</f>
        <v/>
      </c>
      <c r="H139" s="47"/>
      <c r="I139" s="61">
        <f>SUMIFS(StockInData[Quantity],StockInData[Product ID],ProductMaster!$B139)-SUMIFS(StockOutData[Quantity],StockOutData[Product ID],ProductMaster!$B139)</f>
        <v>0</v>
      </c>
      <c r="J139" s="63">
        <f>SUMIFS(StockInData[Value],StockInData[Product ID],ProductMaster!$B139)-SUMIFS(StockOutData[Value],StockOutData[Product ID],ProductMaster!$B139)</f>
        <v>0</v>
      </c>
    </row>
    <row r="140" spans="1:10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 t="str">
        <f>IFERROR(INDEX(StockInData[Expiry],MATCH(ProductMaster[[#This Row],[Product ID]],StockInData[Product ID],0)),"")</f>
        <v/>
      </c>
      <c r="H143" s="47"/>
      <c r="I143" s="61">
        <f>SUMIFS(StockInData[Quantity],StockInData[Product ID],ProductMaster!$B143)-SUMIFS(StockOutData[Quantity],StockOutData[Product ID],ProductMaster!$B143)</f>
        <v>0</v>
      </c>
      <c r="J143" s="63">
        <f>SUMIFS(StockInData[Value],StockInData[Product ID],ProductMaster!$B143)-SUMIFS(StockOutData[Value],StockOutData[Product ID],ProductMaster!$B143)</f>
        <v>0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 t="str">
        <f>IFERROR(INDEX(StockInData[Expiry],MATCH(ProductMaster[[#This Row],[Product ID]],StockInData[Product ID],0)),"")</f>
        <v/>
      </c>
      <c r="H144" s="47"/>
      <c r="I144" s="61">
        <f>SUMIFS(StockInData[Quantity],StockInData[Product ID],ProductMaster!$B144)-SUMIFS(StockOutData[Quantity],StockOutData[Product ID],ProductMaster!$B144)</f>
        <v>0</v>
      </c>
      <c r="J144" s="63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 t="str">
        <f>IFERROR(INDEX(StockInData[Expiry],MATCH(ProductMaster[[#This Row],[Product ID]],StockInData[Product ID],0)),"")</f>
        <v/>
      </c>
      <c r="H145" s="47"/>
      <c r="I145" s="61">
        <f>SUMIFS(StockInData[Quantity],StockInData[Product ID],ProductMaster!$B145)-SUMIFS(StockOutData[Quantity],StockOutData[Product ID],ProductMaster!$B145)</f>
        <v>0</v>
      </c>
      <c r="J145" s="63">
        <f>SUMIFS(StockInData[Value],StockInData[Product ID],ProductMaster!$B145)-SUMIFS(StockOutData[Value],StockOutData[Product ID],ProductMaster!$B145)</f>
        <v>0</v>
      </c>
    </row>
    <row r="146" spans="1:10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0</v>
      </c>
      <c r="J146" s="63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 t="str">
        <f>IFERROR(INDEX(StockInData[Expiry],MATCH(ProductMaster[[#This Row],[Product ID]],StockInData[Product ID],0)),"")</f>
        <v/>
      </c>
      <c r="H153" s="47"/>
      <c r="I153" s="61">
        <f>SUMIFS(StockInData[Quantity],StockInData[Product ID],ProductMaster!$B153)-SUMIFS(StockOutData[Quantity],StockOutData[Product ID],ProductMaster!$B153)</f>
        <v>0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 t="str">
        <f>IFERROR(INDEX(StockInData[Expiry],MATCH(ProductMaster[[#This Row],[Product ID]],StockInData[Product ID],0)),"")</f>
        <v/>
      </c>
      <c r="H154" s="47"/>
      <c r="I154" s="61">
        <f>SUMIFS(StockInData[Quantity],StockInData[Product ID],ProductMaster!$B154)-SUMIFS(StockOutData[Quantity],StockOutData[Product ID],ProductMaster!$B154)</f>
        <v>0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 t="str">
        <f>IFERROR(INDEX(StockInData[Expiry],MATCH(ProductMaster[[#This Row],[Product ID]],StockInData[Product ID],0)),"")</f>
        <v/>
      </c>
      <c r="H155" s="47"/>
      <c r="I155" s="61">
        <f>SUMIFS(StockInData[Quantity],StockInData[Product ID],ProductMaster!$B155)-SUMIFS(StockOutData[Quantity],StockOutData[Product ID],ProductMaster!$B155)</f>
        <v>0</v>
      </c>
      <c r="J155" s="63">
        <f>SUMIFS(StockInData[Value],StockInData[Product ID],ProductMaster!$B155)-SUMIFS(StockOutData[Value],StockOutData[Product ID],ProductMaster!$B155)</f>
        <v>0</v>
      </c>
    </row>
    <row r="156" spans="1:10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 t="str">
        <f>IFERROR(INDEX(StockInData[Expiry],MATCH(ProductMaster[[#This Row],[Product ID]],StockInData[Product ID],0)),"")</f>
        <v/>
      </c>
      <c r="H159" s="47"/>
      <c r="I159" s="61">
        <f>SUMIFS(StockInData[Quantity],StockInData[Product ID],ProductMaster!$B159)-SUMIFS(StockOutData[Quantity],StockOutData[Product ID],ProductMaster!$B159)</f>
        <v>0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 t="str">
        <f>IFERROR(INDEX(StockInData[Expiry],MATCH(ProductMaster[[#This Row],[Product ID]],StockInData[Product ID],0)),"")</f>
        <v/>
      </c>
      <c r="H160" s="47"/>
      <c r="I160" s="61">
        <f>SUMIFS(StockInData[Quantity],StockInData[Product ID],ProductMaster!$B160)-SUMIFS(StockOutData[Quantity],StockOutData[Product ID],ProductMaster!$B160)</f>
        <v>0</v>
      </c>
      <c r="J160" s="63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 t="str">
        <f>IFERROR(INDEX(StockInData[Expiry],MATCH(ProductMaster[[#This Row],[Product ID]],StockInData[Product ID],0)),"")</f>
        <v/>
      </c>
      <c r="H163" s="47"/>
      <c r="I163" s="61">
        <f>SUMIFS(StockInData[Quantity],StockInData[Product ID],ProductMaster!$B163)-SUMIFS(StockOutData[Quantity],StockOutData[Product ID],ProductMaster!$B163)</f>
        <v>0</v>
      </c>
      <c r="J163" s="63">
        <f>SUMIFS(StockInData[Value],StockInData[Product ID],ProductMaster!$B163)-SUMIFS(StockOutData[Value],StockOutData[Product ID],ProductMaster!$B163)</f>
        <v>0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 t="str">
        <f>IFERROR(INDEX(StockInData[Expiry],MATCH(ProductMaster[[#This Row],[Product ID]],StockInData[Product ID],0)),"")</f>
        <v/>
      </c>
      <c r="H164" s="47"/>
      <c r="I164" s="61">
        <f>SUMIFS(StockInData[Quantity],StockInData[Product ID],ProductMaster!$B164)-SUMIFS(StockOutData[Quantity],StockOutData[Product ID],ProductMaster!$B164)</f>
        <v>0</v>
      </c>
      <c r="J164" s="63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 t="str">
        <f>IFERROR(INDEX(StockInData[Expiry],MATCH(ProductMaster[[#This Row],[Product ID]],StockInData[Product ID],0)),"")</f>
        <v/>
      </c>
      <c r="H165" s="47"/>
      <c r="I165" s="61">
        <f>SUMIFS(StockInData[Quantity],StockInData[Product ID],ProductMaster!$B165)-SUMIFS(StockOutData[Quantity],StockOutData[Product ID],ProductMaster!$B165)</f>
        <v>0</v>
      </c>
      <c r="J165" s="63">
        <f>SUMIFS(StockInData[Value],StockInData[Product ID],ProductMaster!$B165)-SUMIFS(StockOutData[Value],StockOutData[Product ID],ProductMaster!$B165)</f>
        <v>0</v>
      </c>
    </row>
    <row r="166" spans="1:10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 t="str">
        <f>IFERROR(INDEX(StockInData[Expiry],MATCH(ProductMaster[[#This Row],[Product ID]],StockInData[Product ID],0)),"")</f>
        <v/>
      </c>
      <c r="H172" s="47"/>
      <c r="I172" s="61">
        <f>SUMIFS(StockInData[Quantity],StockInData[Product ID],ProductMaster!$B172)-SUMIFS(StockOutData[Quantity],StockOutData[Product ID],ProductMaster!$B172)</f>
        <v>0</v>
      </c>
      <c r="J172" s="63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 t="str">
        <f>IFERROR(INDEX(StockInData[Expiry],MATCH(ProductMaster[[#This Row],[Product ID]],StockInData[Product ID],0)),"")</f>
        <v/>
      </c>
      <c r="H176" s="47"/>
      <c r="I176" s="61">
        <f>SUMIFS(StockInData[Quantity],StockInData[Product ID],ProductMaster!$B176)-SUMIFS(StockOutData[Quantity],StockOutData[Product ID],ProductMaster!$B176)</f>
        <v>0</v>
      </c>
      <c r="J176" s="63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 t="str">
        <f>IFERROR(INDEX(StockInData[Expiry],MATCH(ProductMaster[[#This Row],[Product ID]],StockInData[Product ID],0)),"")</f>
        <v/>
      </c>
      <c r="H177" s="47"/>
      <c r="I177" s="61">
        <f>SUMIFS(StockInData[Quantity],StockInData[Product ID],ProductMaster!$B177)-SUMIFS(StockOutData[Quantity],StockOutData[Product ID],ProductMaster!$B177)</f>
        <v>0</v>
      </c>
      <c r="J177" s="63">
        <f>SUMIFS(StockInData[Value],StockInData[Product ID],ProductMaster!$B177)-SUMIFS(StockOutData[Value],StockOutData[Product ID],ProductMaster!$B177)</f>
        <v>0</v>
      </c>
    </row>
    <row r="178" spans="1:10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 t="str">
        <f>IFERROR(INDEX(StockInData[Expiry],MATCH(ProductMaster[[#This Row],[Product ID]],StockInData[Product ID],0)),"")</f>
        <v/>
      </c>
      <c r="H179" s="47"/>
      <c r="I179" s="61">
        <f>SUMIFS(StockInData[Quantity],StockInData[Product ID],ProductMaster!$B179)-SUMIFS(StockOutData[Quantity],StockOutData[Product ID],ProductMaster!$B179)</f>
        <v>0</v>
      </c>
      <c r="J179" s="63">
        <f>SUMIFS(StockInData[Value],StockInData[Product ID],ProductMaster!$B179)-SUMIFS(StockOutData[Value],StockOutData[Product ID],ProductMaster!$B179)</f>
        <v>0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 t="str">
        <f>IFERROR(INDEX(StockInData[Expiry],MATCH(ProductMaster[[#This Row],[Product ID]],StockInData[Product ID],0)),"")</f>
        <v/>
      </c>
      <c r="H180" s="47"/>
      <c r="I180" s="61">
        <f>SUMIFS(StockInData[Quantity],StockInData[Product ID],ProductMaster!$B180)-SUMIFS(StockOutData[Quantity],StockOutData[Product ID],ProductMaster!$B180)</f>
        <v>0</v>
      </c>
      <c r="J180" s="63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 t="str">
        <f>IFERROR(INDEX(StockInData[Expiry],MATCH(ProductMaster[[#This Row],[Product ID]],StockInData[Product ID],0)),"")</f>
        <v/>
      </c>
      <c r="H188" s="47"/>
      <c r="I188" s="61">
        <f>SUMIFS(StockInData[Quantity],StockInData[Product ID],ProductMaster!$B188)-SUMIFS(StockOutData[Quantity],StockOutData[Product ID],ProductMaster!$B188)</f>
        <v>0</v>
      </c>
      <c r="J188" s="63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 t="str">
        <f>IFERROR(INDEX(StockInData[Expiry],MATCH(ProductMaster[[#This Row],[Product ID]],StockInData[Product ID],0)),"")</f>
        <v/>
      </c>
      <c r="H190" s="47"/>
      <c r="I190" s="61">
        <f>SUMIFS(StockInData[Quantity],StockInData[Product ID],ProductMaster!$B190)-SUMIFS(StockOutData[Quantity],StockOutData[Product ID],ProductMaster!$B190)</f>
        <v>0</v>
      </c>
      <c r="J190" s="63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 t="str">
        <f>IFERROR(INDEX(StockInData[Expiry],MATCH(ProductMaster[[#This Row],[Product ID]],StockInData[Product ID],0)),"")</f>
        <v/>
      </c>
      <c r="H191" s="47"/>
      <c r="I191" s="61">
        <f>SUMIFS(StockInData[Quantity],StockInData[Product ID],ProductMaster!$B191)-SUMIFS(StockOutData[Quantity],StockOutData[Product ID],ProductMaster!$B191)</f>
        <v>0</v>
      </c>
      <c r="J191" s="63">
        <f>SUMIFS(StockInData[Value],StockInData[Product ID],ProductMaster!$B191)-SUMIFS(StockOutData[Value],StockOutData[Product ID],ProductMaster!$B191)</f>
        <v>0</v>
      </c>
    </row>
    <row r="192" spans="1:10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0</v>
      </c>
      <c r="J192" s="63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 t="str">
        <f>IFERROR(INDEX(StockInData[Expiry],MATCH(ProductMaster[[#This Row],[Product ID]],StockInData[Product ID],0)),"")</f>
        <v/>
      </c>
      <c r="H193" s="47"/>
      <c r="I193" s="61">
        <f>SUMIFS(StockInData[Quantity],StockInData[Product ID],ProductMaster!$B193)-SUMIFS(StockOutData[Quantity],StockOutData[Product ID],ProductMaster!$B193)</f>
        <v>0</v>
      </c>
      <c r="J193" s="63">
        <f>SUMIFS(StockInData[Value],StockInData[Product ID],ProductMaster!$B193)-SUMIFS(StockOutData[Value],StockOutData[Product ID],ProductMaster!$B193)</f>
        <v>0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 t="str">
        <f>IFERROR(INDEX(StockInData[Expiry],MATCH(ProductMaster[[#This Row],[Product ID]],StockInData[Product ID],0)),"")</f>
        <v/>
      </c>
      <c r="H194" s="47"/>
      <c r="I194" s="61">
        <f>SUMIFS(StockInData[Quantity],StockInData[Product ID],ProductMaster!$B194)-SUMIFS(StockOutData[Quantity],StockOutData[Product ID],ProductMaster!$B194)</f>
        <v>0</v>
      </c>
      <c r="J194" s="63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 t="str">
        <f>IFERROR(INDEX(StockInData[Expiry],MATCH(ProductMaster[[#This Row],[Product ID]],StockInData[Product ID],0)),"")</f>
        <v/>
      </c>
      <c r="H195" s="47"/>
      <c r="I195" s="61">
        <f>SUMIFS(StockInData[Quantity],StockInData[Product ID],ProductMaster!$B195)-SUMIFS(StockOutData[Quantity],StockOutData[Product ID],ProductMaster!$B195)</f>
        <v>0</v>
      </c>
      <c r="J195" s="63">
        <f>SUMIFS(StockInData[Value],StockInData[Product ID],ProductMaster!$B195)-SUMIFS(StockOutData[Value],StockOutData[Product ID],ProductMaster!$B195)</f>
        <v>0</v>
      </c>
    </row>
    <row r="196" spans="1:10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 t="str">
        <f>IFERROR(INDEX(StockInData[Expiry],MATCH(ProductMaster[[#This Row],[Product ID]],StockInData[Product ID],0)),"")</f>
        <v/>
      </c>
      <c r="H208" s="47"/>
      <c r="I208" s="61">
        <f>SUMIFS(StockInData[Quantity],StockInData[Product ID],ProductMaster!$B208)-SUMIFS(StockOutData[Quantity],StockOutData[Product ID],ProductMaster!$B208)</f>
        <v>0</v>
      </c>
      <c r="J208" s="63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 t="str">
        <f>IFERROR(INDEX(StockInData[Expiry],MATCH(ProductMaster[[#This Row],[Product ID]],StockInData[Product ID],0)),"")</f>
        <v/>
      </c>
      <c r="H211" s="47"/>
      <c r="I211" s="61">
        <f>SUMIFS(StockInData[Quantity],StockInData[Product ID],ProductMaster!$B211)-SUMIFS(StockOutData[Quantity],StockOutData[Product ID],ProductMaster!$B211)</f>
        <v>0</v>
      </c>
      <c r="J211" s="63">
        <f>SUMIFS(StockInData[Value],StockInData[Product ID],ProductMaster!$B211)-SUMIFS(StockOutData[Value],StockOutData[Product ID],ProductMaster!$B211)</f>
        <v>0</v>
      </c>
    </row>
    <row r="212" spans="1:10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 t="str">
        <f>IFERROR(INDEX(StockInData[Expiry],MATCH(ProductMaster[[#This Row],[Product ID]],StockInData[Product ID],0)),"")</f>
        <v/>
      </c>
      <c r="H214" s="47"/>
      <c r="I214" s="61">
        <f>SUMIFS(StockInData[Quantity],StockInData[Product ID],ProductMaster!$B214)-SUMIFS(StockOutData[Quantity],StockOutData[Product ID],ProductMaster!$B214)</f>
        <v>0</v>
      </c>
      <c r="J214" s="63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 t="str">
        <f>IFERROR(INDEX(StockInData[Expiry],MATCH(ProductMaster[[#This Row],[Product ID]],StockInData[Product ID],0)),"")</f>
        <v/>
      </c>
      <c r="H226" s="47"/>
      <c r="I226" s="61">
        <f>SUMIFS(StockInData[Quantity],StockInData[Product ID],ProductMaster!$B226)-SUMIFS(StockOutData[Quantity],StockOutData[Product ID],ProductMaster!$B226)</f>
        <v>0</v>
      </c>
      <c r="J226" s="63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 t="str">
        <f>IFERROR(INDEX(StockInData[Expiry],MATCH(ProductMaster[[#This Row],[Product ID]],StockInData[Product ID],0)),"")</f>
        <v/>
      </c>
      <c r="H227" s="47"/>
      <c r="I227" s="61">
        <f>SUMIFS(StockInData[Quantity],StockInData[Product ID],ProductMaster!$B227)-SUMIFS(StockOutData[Quantity],StockOutData[Product ID],ProductMaster!$B227)</f>
        <v>0</v>
      </c>
      <c r="J227" s="63">
        <f>SUMIFS(StockInData[Value],StockInData[Product ID],ProductMaster!$B227)-SUMIFS(StockOutData[Value],StockOutData[Product ID],ProductMaster!$B227)</f>
        <v>0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 t="str">
        <f>IFERROR(INDEX(StockInData[Expiry],MATCH(ProductMaster[[#This Row],[Product ID]],StockInData[Product ID],0)),"")</f>
        <v/>
      </c>
      <c r="H228" s="47"/>
      <c r="I228" s="61">
        <f>SUMIFS(StockInData[Quantity],StockInData[Product ID],ProductMaster!$B228)-SUMIFS(StockOutData[Quantity],StockOutData[Product ID],ProductMaster!$B228)</f>
        <v>0</v>
      </c>
      <c r="J228" s="63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 t="str">
        <f>IFERROR(INDEX(StockInData[Expiry],MATCH(ProductMaster[[#This Row],[Product ID]],StockInData[Product ID],0)),"")</f>
        <v/>
      </c>
      <c r="H230" s="47"/>
      <c r="I230" s="61">
        <f>SUMIFS(StockInData[Quantity],StockInData[Product ID],ProductMaster!$B230)-SUMIFS(StockOutData[Quantity],StockOutData[Product ID],ProductMaster!$B230)</f>
        <v>0</v>
      </c>
      <c r="J230" s="63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 t="str">
        <f>IFERROR(INDEX(StockInData[Expiry],MATCH(ProductMaster[[#This Row],[Product ID]],StockInData[Product ID],0)),"")</f>
        <v/>
      </c>
      <c r="H231" s="47"/>
      <c r="I231" s="61">
        <f>SUMIFS(StockInData[Quantity],StockInData[Product ID],ProductMaster!$B231)-SUMIFS(StockOutData[Quantity],StockOutData[Product ID],ProductMaster!$B231)</f>
        <v>0</v>
      </c>
      <c r="J231" s="63">
        <f>SUMIFS(StockInData[Value],StockInData[Product ID],ProductMaster!$B231)-SUMIFS(StockOutData[Value],StockOutData[Product ID],ProductMaster!$B231)</f>
        <v>0</v>
      </c>
    </row>
    <row r="232" spans="1:10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 t="str">
        <f>IFERROR(INDEX(StockInData[Expiry],MATCH(ProductMaster[[#This Row],[Product ID]],StockInData[Product ID],0)),"")</f>
        <v/>
      </c>
      <c r="H233" s="47"/>
      <c r="I233" s="61">
        <f>SUMIFS(StockInData[Quantity],StockInData[Product ID],ProductMaster!$B233)-SUMIFS(StockOutData[Quantity],StockOutData[Product ID],ProductMaster!$B233)</f>
        <v>0</v>
      </c>
      <c r="J233" s="63">
        <f>SUMIFS(StockInData[Value],StockInData[Product ID],ProductMaster!$B233)-SUMIFS(StockOutData[Value],StockOutData[Product ID],ProductMaster!$B233)</f>
        <v>0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 t="str">
        <f>IFERROR(INDEX(StockInData[Expiry],MATCH(ProductMaster[[#This Row],[Product ID]],StockInData[Product ID],0)),"")</f>
        <v/>
      </c>
      <c r="H234" s="47"/>
      <c r="I234" s="61">
        <f>SUMIFS(StockInData[Quantity],StockInData[Product ID],ProductMaster!$B234)-SUMIFS(StockOutData[Quantity],StockOutData[Product ID],ProductMaster!$B234)</f>
        <v>0</v>
      </c>
      <c r="J234" s="63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 t="str">
        <f>IFERROR(INDEX(StockInData[Expiry],MATCH(ProductMaster[[#This Row],[Product ID]],StockInData[Product ID],0)),"")</f>
        <v/>
      </c>
      <c r="H235" s="47"/>
      <c r="I235" s="61">
        <f>SUMIFS(StockInData[Quantity],StockInData[Product ID],ProductMaster!$B235)-SUMIFS(StockOutData[Quantity],StockOutData[Product ID],ProductMaster!$B235)</f>
        <v>0</v>
      </c>
      <c r="J235" s="63">
        <f>SUMIFS(StockInData[Value],StockInData[Product ID],ProductMaster!$B235)-SUMIFS(StockOutData[Value],StockOutData[Product ID],ProductMaster!$B235)</f>
        <v>0</v>
      </c>
    </row>
    <row r="236" spans="1:10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 t="str">
        <f>IFERROR(INDEX(StockInData[Expiry],MATCH(ProductMaster[[#This Row],[Product ID]],StockInData[Product ID],0)),"")</f>
        <v/>
      </c>
      <c r="H240" s="47"/>
      <c r="I240" s="61">
        <f>SUMIFS(StockInData[Quantity],StockInData[Product ID],ProductMaster!$B240)-SUMIFS(StockOutData[Quantity],StockOutData[Product ID],ProductMaster!$B240)</f>
        <v>0</v>
      </c>
      <c r="J240" s="63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 t="str">
        <f>IFERROR(INDEX(StockInData[Expiry],MATCH(ProductMaster[[#This Row],[Product ID]],StockInData[Product ID],0)),"")</f>
        <v/>
      </c>
      <c r="H242" s="47"/>
      <c r="I242" s="61">
        <f>SUMIFS(StockInData[Quantity],StockInData[Product ID],ProductMaster!$B242)-SUMIFS(StockOutData[Quantity],StockOutData[Product ID],ProductMaster!$B242)</f>
        <v>0</v>
      </c>
      <c r="J242" s="63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 t="str">
        <f>IFERROR(INDEX(StockInData[Expiry],MATCH(ProductMaster[[#This Row],[Product ID]],StockInData[Product ID],0)),"")</f>
        <v/>
      </c>
      <c r="H243" s="47"/>
      <c r="I243" s="61">
        <f>SUMIFS(StockInData[Quantity],StockInData[Product ID],ProductMaster!$B243)-SUMIFS(StockOutData[Quantity],StockOutData[Product ID],ProductMaster!$B243)</f>
        <v>0</v>
      </c>
      <c r="J243" s="63">
        <f>SUMIFS(StockInData[Value],StockInData[Product ID],ProductMaster!$B243)-SUMIFS(StockOutData[Value],StockOutData[Product ID],ProductMaster!$B243)</f>
        <v>0</v>
      </c>
    </row>
    <row r="244" spans="1:10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 t="str">
        <f>IFERROR(INDEX(StockInData[Expiry],MATCH(ProductMaster[[#This Row],[Product ID]],StockInData[Product ID],0)),"")</f>
        <v/>
      </c>
      <c r="H245" s="47"/>
      <c r="I245" s="61">
        <f>SUMIFS(StockInData[Quantity],StockInData[Product ID],ProductMaster!$B245)-SUMIFS(StockOutData[Quantity],StockOutData[Product ID],ProductMaster!$B245)</f>
        <v>0</v>
      </c>
      <c r="J245" s="63">
        <f>SUMIFS(StockInData[Value],StockInData[Product ID],ProductMaster!$B245)-SUMIFS(StockOutData[Value],StockOutData[Product ID],ProductMaster!$B245)</f>
        <v>0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 t="str">
        <f>IFERROR(INDEX(StockInData[Expiry],MATCH(ProductMaster[[#This Row],[Product ID]],StockInData[Product ID],0)),"")</f>
        <v/>
      </c>
      <c r="H246" s="47"/>
      <c r="I246" s="61">
        <f>SUMIFS(StockInData[Quantity],StockInData[Product ID],ProductMaster!$B246)-SUMIFS(StockOutData[Quantity],StockOutData[Product ID],ProductMaster!$B246)</f>
        <v>0</v>
      </c>
      <c r="J246" s="63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 t="str">
        <f>IFERROR(INDEX(StockInData[Expiry],MATCH(ProductMaster[[#This Row],[Product ID]],StockInData[Product ID],0)),"")</f>
        <v/>
      </c>
      <c r="H248" s="47"/>
      <c r="I248" s="61">
        <f>SUMIFS(StockInData[Quantity],StockInData[Product ID],ProductMaster!$B248)-SUMIFS(StockOutData[Quantity],StockOutData[Product ID],ProductMaster!$B248)</f>
        <v>0</v>
      </c>
      <c r="J248" s="63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 t="str">
        <f>IFERROR(INDEX(StockInData[Expiry],MATCH(ProductMaster[[#This Row],[Product ID]],StockInData[Product ID],0)),"")</f>
        <v/>
      </c>
      <c r="H249" s="47"/>
      <c r="I249" s="61">
        <f>SUMIFS(StockInData[Quantity],StockInData[Product ID],ProductMaster!$B249)-SUMIFS(StockOutData[Quantity],StockOutData[Product ID],ProductMaster!$B249)</f>
        <v>0</v>
      </c>
      <c r="J249" s="63">
        <f>SUMIFS(StockInData[Value],StockInData[Product ID],ProductMaster!$B249)-SUMIFS(StockOutData[Value],StockOutData[Product ID],ProductMaster!$B249)</f>
        <v>0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 t="str">
        <f>IFERROR(INDEX(StockInData[Expiry],MATCH(ProductMaster[[#This Row],[Product ID]],StockInData[Product ID],0)),"")</f>
        <v/>
      </c>
      <c r="H250" s="47"/>
      <c r="I250" s="61">
        <f>SUMIFS(StockInData[Quantity],StockInData[Product ID],ProductMaster!$B250)-SUMIFS(StockOutData[Quantity],StockOutData[Product ID],ProductMaster!$B250)</f>
        <v>0</v>
      </c>
      <c r="J250" s="63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 t="str">
        <f>IFERROR(INDEX(StockInData[Expiry],MATCH(ProductMaster[[#This Row],[Product ID]],StockInData[Product ID],0)),"")</f>
        <v/>
      </c>
      <c r="H251" s="47"/>
      <c r="I251" s="61">
        <f>SUMIFS(StockInData[Quantity],StockInData[Product ID],ProductMaster!$B251)-SUMIFS(StockOutData[Quantity],StockOutData[Product ID],ProductMaster!$B251)</f>
        <v>0</v>
      </c>
      <c r="J251" s="63">
        <f>SUMIFS(StockInData[Value],StockInData[Product ID],ProductMaster!$B251)-SUMIFS(StockOutData[Value],StockOutData[Product ID],ProductMaster!$B251)</f>
        <v>0</v>
      </c>
    </row>
    <row r="252" spans="1:10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 t="str">
        <f>IFERROR(INDEX(StockInData[Expiry],MATCH(ProductMaster[[#This Row],[Product ID]],StockInData[Product ID],0)),"")</f>
        <v/>
      </c>
      <c r="H253" s="47"/>
      <c r="I253" s="61">
        <f>SUMIFS(StockInData[Quantity],StockInData[Product ID],ProductMaster!$B253)-SUMIFS(StockOutData[Quantity],StockOutData[Product ID],ProductMaster!$B253)</f>
        <v>0</v>
      </c>
      <c r="J253" s="63">
        <f>SUMIFS(StockInData[Value],StockInData[Product ID],ProductMaster!$B253)-SUMIFS(StockOutData[Value],StockOutData[Product ID],ProductMaster!$B253)</f>
        <v>0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 t="str">
        <f>IFERROR(INDEX(StockInData[Expiry],MATCH(ProductMaster[[#This Row],[Product ID]],StockInData[Product ID],0)),"")</f>
        <v/>
      </c>
      <c r="H254" s="47"/>
      <c r="I254" s="61">
        <f>SUMIFS(StockInData[Quantity],StockInData[Product ID],ProductMaster!$B254)-SUMIFS(StockOutData[Quantity],StockOutData[Product ID],ProductMaster!$B254)</f>
        <v>0</v>
      </c>
      <c r="J254" s="63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 t="str">
        <f>IFERROR(INDEX(StockInData[Expiry],MATCH(ProductMaster[[#This Row],[Product ID]],StockInData[Product ID],0)),"")</f>
        <v/>
      </c>
      <c r="H256" s="47"/>
      <c r="I256" s="61">
        <f>SUMIFS(StockInData[Quantity],StockInData[Product ID],ProductMaster!$B256)-SUMIFS(StockOutData[Quantity],StockOutData[Product ID],ProductMaster!$B256)</f>
        <v>0</v>
      </c>
      <c r="J256" s="63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 t="str">
        <f>IFERROR(INDEX(StockInData[Expiry],MATCH(ProductMaster[[#This Row],[Product ID]],StockInData[Product ID],0)),"")</f>
        <v/>
      </c>
      <c r="H257" s="47"/>
      <c r="I257" s="61">
        <f>SUMIFS(StockInData[Quantity],StockInData[Product ID],ProductMaster!$B257)-SUMIFS(StockOutData[Quantity],StockOutData[Product ID],ProductMaster!$B257)</f>
        <v>0</v>
      </c>
      <c r="J257" s="63">
        <f>SUMIFS(StockInData[Value],StockInData[Product ID],ProductMaster!$B257)-SUMIFS(StockOutData[Value],StockOutData[Product ID],ProductMaster!$B257)</f>
        <v>0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 t="str">
        <f>IFERROR(INDEX(StockInData[Expiry],MATCH(ProductMaster[[#This Row],[Product ID]],StockInData[Product ID],0)),"")</f>
        <v/>
      </c>
      <c r="H258" s="47"/>
      <c r="I258" s="61">
        <f>SUMIFS(StockInData[Quantity],StockInData[Product ID],ProductMaster!$B258)-SUMIFS(StockOutData[Quantity],StockOutData[Product ID],ProductMaster!$B258)</f>
        <v>0</v>
      </c>
      <c r="J258" s="63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 t="str">
        <f>IFERROR(INDEX(StockInData[Expiry],MATCH(ProductMaster[[#This Row],[Product ID]],StockInData[Product ID],0)),"")</f>
        <v/>
      </c>
      <c r="H259" s="47"/>
      <c r="I259" s="61">
        <f>SUMIFS(StockInData[Quantity],StockInData[Product ID],ProductMaster!$B259)-SUMIFS(StockOutData[Quantity],StockOutData[Product ID],ProductMaster!$B259)</f>
        <v>0</v>
      </c>
      <c r="J259" s="63">
        <f>SUMIFS(StockInData[Value],StockInData[Product ID],ProductMaster!$B259)-SUMIFS(StockOutData[Value],StockOutData[Product ID],ProductMaster!$B259)</f>
        <v>0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 t="str">
        <f>IFERROR(INDEX(StockInData[Expiry],MATCH(ProductMaster[[#This Row],[Product ID]],StockInData[Product ID],0)),"")</f>
        <v/>
      </c>
      <c r="H260" s="47"/>
      <c r="I260" s="61">
        <f>SUMIFS(StockInData[Quantity],StockInData[Product ID],ProductMaster!$B260)-SUMIFS(StockOutData[Quantity],StockOutData[Product ID],ProductMaster!$B260)</f>
        <v>0</v>
      </c>
      <c r="J260" s="63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 t="str">
        <f>IFERROR(INDEX(StockInData[Expiry],MATCH(ProductMaster[[#This Row],[Product ID]],StockInData[Product ID],0)),"")</f>
        <v/>
      </c>
      <c r="H263" s="47"/>
      <c r="I263" s="61">
        <f>SUMIFS(StockInData[Quantity],StockInData[Product ID],ProductMaster!$B263)-SUMIFS(StockOutData[Quantity],StockOutData[Product ID],ProductMaster!$B263)</f>
        <v>0</v>
      </c>
      <c r="J263" s="63">
        <f>SUMIFS(StockInData[Value],StockInData[Product ID],ProductMaster!$B263)-SUMIFS(StockOutData[Value],StockOutData[Product ID],ProductMaster!$B263)</f>
        <v>0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 t="str">
        <f>IFERROR(INDEX(StockInData[Expiry],MATCH(ProductMaster[[#This Row],[Product ID]],StockInData[Product ID],0)),"")</f>
        <v/>
      </c>
      <c r="H264" s="47"/>
      <c r="I264" s="61">
        <f>SUMIFS(StockInData[Quantity],StockInData[Product ID],ProductMaster!$B264)-SUMIFS(StockOutData[Quantity],StockOutData[Product ID],ProductMaster!$B264)</f>
        <v>0</v>
      </c>
      <c r="J264" s="63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 t="str">
        <f>IFERROR(INDEX(StockInData[Expiry],MATCH(ProductMaster[[#This Row],[Product ID]],StockInData[Product ID],0)),"")</f>
        <v/>
      </c>
      <c r="H265" s="47"/>
      <c r="I265" s="61">
        <f>SUMIFS(StockInData[Quantity],StockInData[Product ID],ProductMaster!$B265)-SUMIFS(StockOutData[Quantity],StockOutData[Product ID],ProductMaster!$B265)</f>
        <v>0</v>
      </c>
      <c r="J265" s="63">
        <f>SUMIFS(StockInData[Value],StockInData[Product ID],ProductMaster!$B265)-SUMIFS(StockOutData[Value],StockOutData[Product ID],ProductMaster!$B265)</f>
        <v>0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 t="str">
        <f>IFERROR(INDEX(StockInData[Expiry],MATCH(ProductMaster[[#This Row],[Product ID]],StockInData[Product ID],0)),"")</f>
        <v/>
      </c>
      <c r="H266" s="47"/>
      <c r="I266" s="61">
        <f>SUMIFS(StockInData[Quantity],StockInData[Product ID],ProductMaster!$B266)-SUMIFS(StockOutData[Quantity],StockOutData[Product ID],ProductMaster!$B266)</f>
        <v>0</v>
      </c>
      <c r="J266" s="63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 t="str">
        <f>IFERROR(INDEX(StockInData[Expiry],MATCH(ProductMaster[[#This Row],[Product ID]],StockInData[Product ID],0)),"")</f>
        <v/>
      </c>
      <c r="H270" s="47"/>
      <c r="I270" s="61">
        <f>SUMIFS(StockInData[Quantity],StockInData[Product ID],ProductMaster!$B270)-SUMIFS(StockOutData[Quantity],StockOutData[Product ID],ProductMaster!$B270)</f>
        <v>0</v>
      </c>
      <c r="J270" s="63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 t="str">
        <f>IFERROR(INDEX(StockInData[Expiry],MATCH(ProductMaster[[#This Row],[Product ID]],StockInData[Product ID],0)),"")</f>
        <v/>
      </c>
      <c r="H271" s="47"/>
      <c r="I271" s="61">
        <f>SUMIFS(StockInData[Quantity],StockInData[Product ID],ProductMaster!$B271)-SUMIFS(StockOutData[Quantity],StockOutData[Product ID],ProductMaster!$B271)</f>
        <v>0</v>
      </c>
      <c r="J271" s="63">
        <f>SUMIFS(StockInData[Value],StockInData[Product ID],ProductMaster!$B271)-SUMIFS(StockOutData[Value],StockOutData[Product ID],ProductMaster!$B271)</f>
        <v>0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 t="str">
        <f>IFERROR(INDEX(StockInData[Expiry],MATCH(ProductMaster[[#This Row],[Product ID]],StockInData[Product ID],0)),"")</f>
        <v/>
      </c>
      <c r="H272" s="47"/>
      <c r="I272" s="61">
        <f>SUMIFS(StockInData[Quantity],StockInData[Product ID],ProductMaster!$B272)-SUMIFS(StockOutData[Quantity],StockOutData[Product ID],ProductMaster!$B272)</f>
        <v>0</v>
      </c>
      <c r="J272" s="63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 t="str">
        <f>IFERROR(INDEX(StockInData[Expiry],MATCH(ProductMaster[[#This Row],[Product ID]],StockInData[Product ID],0)),"")</f>
        <v/>
      </c>
      <c r="H273" s="47"/>
      <c r="I273" s="61">
        <f>SUMIFS(StockInData[Quantity],StockInData[Product ID],ProductMaster!$B273)-SUMIFS(StockOutData[Quantity],StockOutData[Product ID],ProductMaster!$B273)</f>
        <v>0</v>
      </c>
      <c r="J273" s="63">
        <f>SUMIFS(StockInData[Value],StockInData[Product ID],ProductMaster!$B273)-SUMIFS(StockOutData[Value],StockOutData[Product ID],ProductMaster!$B273)</f>
        <v>0</v>
      </c>
    </row>
    <row r="274" spans="1:10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 t="str">
        <f>IFERROR(INDEX(StockInData[Expiry],MATCH(ProductMaster[[#This Row],[Product ID]],StockInData[Product ID],0)),"")</f>
        <v/>
      </c>
      <c r="H274" s="47"/>
      <c r="I274" s="61">
        <f>SUMIFS(StockInData[Quantity],StockInData[Product ID],ProductMaster!$B274)-SUMIFS(StockOutData[Quantity],StockOutData[Product ID],ProductMaster!$B274)</f>
        <v>0</v>
      </c>
      <c r="J274" s="63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 t="str">
        <f>IFERROR(INDEX(StockInData[Expiry],MATCH(ProductMaster[[#This Row],[Product ID]],StockInData[Product ID],0)),"")</f>
        <v/>
      </c>
      <c r="H279" s="47"/>
      <c r="I279" s="61">
        <f>SUMIFS(StockInData[Quantity],StockInData[Product ID],ProductMaster!$B279)-SUMIFS(StockOutData[Quantity],StockOutData[Product ID],ProductMaster!$B279)</f>
        <v>0</v>
      </c>
      <c r="J279" s="63">
        <f>SUMIFS(StockInData[Value],StockInData[Product ID],ProductMaster!$B279)-SUMIFS(StockOutData[Value],StockOutData[Product ID],ProductMaster!$B279)</f>
        <v>0</v>
      </c>
    </row>
    <row r="280" spans="1:10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 t="str">
        <f>IFERROR(INDEX(StockInData[Expiry],MATCH(ProductMaster[[#This Row],[Product ID]],StockInData[Product ID],0)),"")</f>
        <v/>
      </c>
      <c r="H282" s="47"/>
      <c r="I282" s="61">
        <f>SUMIFS(StockInData[Quantity],StockInData[Product ID],ProductMaster!$B282)-SUMIFS(StockOutData[Quantity],StockOutData[Product ID],ProductMaster!$B282)</f>
        <v>0</v>
      </c>
      <c r="J282" s="63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 t="str">
        <f>IFERROR(INDEX(StockInData[Expiry],MATCH(ProductMaster[[#This Row],[Product ID]],StockInData[Product ID],0)),"")</f>
        <v/>
      </c>
      <c r="H283" s="47"/>
      <c r="I283" s="61">
        <f>SUMIFS(StockInData[Quantity],StockInData[Product ID],ProductMaster!$B283)-SUMIFS(StockOutData[Quantity],StockOutData[Product ID],ProductMaster!$B283)</f>
        <v>0</v>
      </c>
      <c r="J283" s="63">
        <f>SUMIFS(StockInData[Value],StockInData[Product ID],ProductMaster!$B283)-SUMIFS(StockOutData[Value],StockOutData[Product ID],ProductMaster!$B283)</f>
        <v>0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 t="str">
        <f>IFERROR(INDEX(StockInData[Expiry],MATCH(ProductMaster[[#This Row],[Product ID]],StockInData[Product ID],0)),"")</f>
        <v/>
      </c>
      <c r="H284" s="47"/>
      <c r="I284" s="61">
        <f>SUMIFS(StockInData[Quantity],StockInData[Product ID],ProductMaster!$B284)-SUMIFS(StockOutData[Quantity],StockOutData[Product ID],ProductMaster!$B284)</f>
        <v>0</v>
      </c>
      <c r="J284" s="63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 t="str">
        <f>IFERROR(INDEX(StockInData[Expiry],MATCH(ProductMaster[[#This Row],[Product ID]],StockInData[Product ID],0)),"")</f>
        <v/>
      </c>
      <c r="H285" s="47"/>
      <c r="I285" s="61">
        <f>SUMIFS(StockInData[Quantity],StockInData[Product ID],ProductMaster!$B285)-SUMIFS(StockOutData[Quantity],StockOutData[Product ID],ProductMaster!$B285)</f>
        <v>0</v>
      </c>
      <c r="J285" s="63">
        <f>SUMIFS(StockInData[Value],StockInData[Product ID],ProductMaster!$B285)-SUMIFS(StockOutData[Value],StockOutData[Product ID],ProductMaster!$B285)</f>
        <v>0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 t="str">
        <f>IFERROR(INDEX(StockInData[Expiry],MATCH(ProductMaster[[#This Row],[Product ID]],StockInData[Product ID],0)),"")</f>
        <v/>
      </c>
      <c r="H286" s="47"/>
      <c r="I286" s="61">
        <f>SUMIFS(StockInData[Quantity],StockInData[Product ID],ProductMaster!$B286)-SUMIFS(StockOutData[Quantity],StockOutData[Product ID],ProductMaster!$B286)</f>
        <v>0</v>
      </c>
      <c r="J286" s="63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 t="str">
        <f>IFERROR(INDEX(StockInData[Expiry],MATCH(ProductMaster[[#This Row],[Product ID]],StockInData[Product ID],0)),"")</f>
        <v/>
      </c>
      <c r="H287" s="47"/>
      <c r="I287" s="61">
        <f>SUMIFS(StockInData[Quantity],StockInData[Product ID],ProductMaster!$B287)-SUMIFS(StockOutData[Quantity],StockOutData[Product ID],ProductMaster!$B287)</f>
        <v>0</v>
      </c>
      <c r="J287" s="63">
        <f>SUMIFS(StockInData[Value],StockInData[Product ID],ProductMaster!$B287)-SUMIFS(StockOutData[Value],StockOutData[Product ID],ProductMaster!$B287)</f>
        <v>0</v>
      </c>
    </row>
    <row r="288" spans="1:10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 t="str">
        <f>IFERROR(INDEX(StockInData[Expiry],MATCH(ProductMaster[[#This Row],[Product ID]],StockInData[Product ID],0)),"")</f>
        <v/>
      </c>
      <c r="H291" s="47"/>
      <c r="I291" s="61">
        <f>SUMIFS(StockInData[Quantity],StockInData[Product ID],ProductMaster!$B291)-SUMIFS(StockOutData[Quantity],StockOutData[Product ID],ProductMaster!$B291)</f>
        <v>0</v>
      </c>
      <c r="J291" s="63">
        <f>SUMIFS(StockInData[Value],StockInData[Product ID],ProductMaster!$B291)-SUMIFS(StockOutData[Value],StockOutData[Product ID],ProductMaster!$B291)</f>
        <v>0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 t="str">
        <f>IFERROR(INDEX(StockInData[Expiry],MATCH(ProductMaster[[#This Row],[Product ID]],StockInData[Product ID],0)),"")</f>
        <v/>
      </c>
      <c r="H292" s="47"/>
      <c r="I292" s="61">
        <f>SUMIFS(StockInData[Quantity],StockInData[Product ID],ProductMaster!$B292)-SUMIFS(StockOutData[Quantity],StockOutData[Product ID],ProductMaster!$B292)</f>
        <v>0</v>
      </c>
      <c r="J292" s="63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 t="str">
        <f>IFERROR(INDEX(StockInData[Expiry],MATCH(ProductMaster[[#This Row],[Product ID]],StockInData[Product ID],0)),"")</f>
        <v/>
      </c>
      <c r="H294" s="47"/>
      <c r="I294" s="61">
        <f>SUMIFS(StockInData[Quantity],StockInData[Product ID],ProductMaster!$B294)-SUMIFS(StockOutData[Quantity],StockOutData[Product ID],ProductMaster!$B294)</f>
        <v>0</v>
      </c>
      <c r="J294" s="63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 t="str">
        <f>IFERROR(INDEX(StockInData[Expiry],MATCH(ProductMaster[[#This Row],[Product ID]],StockInData[Product ID],0)),"")</f>
        <v/>
      </c>
      <c r="H296" s="47"/>
      <c r="I296" s="61">
        <f>SUMIFS(StockInData[Quantity],StockInData[Product ID],ProductMaster!$B296)-SUMIFS(StockOutData[Quantity],StockOutData[Product ID],ProductMaster!$B296)</f>
        <v>0</v>
      </c>
      <c r="J296" s="63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 t="str">
        <f>IFERROR(INDEX(StockInData[Expiry],MATCH(ProductMaster[[#This Row],[Product ID]],StockInData[Product ID],0)),"")</f>
        <v/>
      </c>
      <c r="H300" s="47"/>
      <c r="I300" s="61">
        <f>SUMIFS(StockInData[Quantity],StockInData[Product ID],ProductMaster!$B300)-SUMIFS(StockOutData[Quantity],StockOutData[Product ID],ProductMaster!$B300)</f>
        <v>0</v>
      </c>
      <c r="J300" s="63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 t="str">
        <f>IFERROR(INDEX(StockInData[Expiry],MATCH(ProductMaster[[#This Row],[Product ID]],StockInData[Product ID],0)),"")</f>
        <v/>
      </c>
      <c r="H301" s="47"/>
      <c r="I301" s="61">
        <f>SUMIFS(StockInData[Quantity],StockInData[Product ID],ProductMaster!$B301)-SUMIFS(StockOutData[Quantity],StockOutData[Product ID],ProductMaster!$B301)</f>
        <v>0</v>
      </c>
      <c r="J301" s="63">
        <f>SUMIFS(StockInData[Value],StockInData[Product ID],ProductMaster!$B301)-SUMIFS(StockOutData[Value],StockOutData[Product ID],ProductMaster!$B301)</f>
        <v>0</v>
      </c>
    </row>
    <row r="302" spans="1:10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 t="str">
        <f>IFERROR(INDEX(StockInData[Expiry],MATCH(ProductMaster[[#This Row],[Product ID]],StockInData[Product ID],0)),"")</f>
        <v/>
      </c>
      <c r="H305" s="47"/>
      <c r="I305" s="61">
        <f>SUMIFS(StockInData[Quantity],StockInData[Product ID],ProductMaster!$B305)-SUMIFS(StockOutData[Quantity],StockOutData[Product ID],ProductMaster!$B305)</f>
        <v>0</v>
      </c>
      <c r="J305" s="63">
        <f>SUMIFS(StockInData[Value],StockInData[Product ID],ProductMaster!$B305)-SUMIFS(StockOutData[Value],StockOutData[Product ID],ProductMaster!$B305)</f>
        <v>0</v>
      </c>
    </row>
    <row r="306" spans="1:10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 t="str">
        <f>IFERROR(INDEX(StockInData[Expiry],MATCH(ProductMaster[[#This Row],[Product ID]],StockInData[Product ID],0)),"")</f>
        <v/>
      </c>
      <c r="H312" s="47"/>
      <c r="I312" s="61">
        <f>SUMIFS(StockInData[Quantity],StockInData[Product ID],ProductMaster!$B312)-SUMIFS(StockOutData[Quantity],StockOutData[Product ID],ProductMaster!$B312)</f>
        <v>0</v>
      </c>
      <c r="J312" s="63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 t="str">
        <f>IFERROR(INDEX(StockInData[Expiry],MATCH(ProductMaster[[#This Row],[Product ID]],StockInData[Product ID],0)),"")</f>
        <v/>
      </c>
      <c r="H313" s="47"/>
      <c r="I313" s="61">
        <f>SUMIFS(StockInData[Quantity],StockInData[Product ID],ProductMaster!$B313)-SUMIFS(StockOutData[Quantity],StockOutData[Product ID],ProductMaster!$B313)</f>
        <v>0</v>
      </c>
      <c r="J313" s="63">
        <f>SUMIFS(StockInData[Value],StockInData[Product ID],ProductMaster!$B313)-SUMIFS(StockOutData[Value],StockOutData[Product ID],ProductMaster!$B313)</f>
        <v>0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 t="str">
        <f>IFERROR(INDEX(StockInData[Expiry],MATCH(ProductMaster[[#This Row],[Product ID]],StockInData[Product ID],0)),"")</f>
        <v/>
      </c>
      <c r="H314" s="47"/>
      <c r="I314" s="61">
        <f>SUMIFS(StockInData[Quantity],StockInData[Product ID],ProductMaster!$B314)-SUMIFS(StockOutData[Quantity],StockOutData[Product ID],ProductMaster!$B314)</f>
        <v>0</v>
      </c>
      <c r="J314" s="63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 t="str">
        <f>IFERROR(INDEX(StockInData[Expiry],MATCH(ProductMaster[[#This Row],[Product ID]],StockInData[Product ID],0)),"")</f>
        <v/>
      </c>
      <c r="H315" s="47"/>
      <c r="I315" s="61">
        <f>SUMIFS(StockInData[Quantity],StockInData[Product ID],ProductMaster!$B315)-SUMIFS(StockOutData[Quantity],StockOutData[Product ID],ProductMaster!$B315)</f>
        <v>0</v>
      </c>
      <c r="J315" s="63">
        <f>SUMIFS(StockInData[Value],StockInData[Product ID],ProductMaster!$B315)-SUMIFS(StockOutData[Value],StockOutData[Product ID],ProductMaster!$B315)</f>
        <v>0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 t="str">
        <f>IFERROR(INDEX(StockInData[Expiry],MATCH(ProductMaster[[#This Row],[Product ID]],StockInData[Product ID],0)),"")</f>
        <v/>
      </c>
      <c r="H316" s="47"/>
      <c r="I316" s="61">
        <f>SUMIFS(StockInData[Quantity],StockInData[Product ID],ProductMaster!$B316)-SUMIFS(StockOutData[Quantity],StockOutData[Product ID],ProductMaster!$B316)</f>
        <v>0</v>
      </c>
      <c r="J316" s="63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 t="str">
        <f>IFERROR(INDEX(StockInData[Expiry],MATCH(ProductMaster[[#This Row],[Product ID]],StockInData[Product ID],0)),"")</f>
        <v/>
      </c>
      <c r="H317" s="47"/>
      <c r="I317" s="61">
        <f>SUMIFS(StockInData[Quantity],StockInData[Product ID],ProductMaster!$B317)-SUMIFS(StockOutData[Quantity],StockOutData[Product ID],ProductMaster!$B317)</f>
        <v>0</v>
      </c>
      <c r="J317" s="63">
        <f>SUMIFS(StockInData[Value],StockInData[Product ID],ProductMaster!$B317)-SUMIFS(StockOutData[Value],StockOutData[Product ID],ProductMaster!$B317)</f>
        <v>0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 t="str">
        <f>IFERROR(INDEX(StockInData[Expiry],MATCH(ProductMaster[[#This Row],[Product ID]],StockInData[Product ID],0)),"")</f>
        <v/>
      </c>
      <c r="H318" s="47"/>
      <c r="I318" s="61">
        <f>SUMIFS(StockInData[Quantity],StockInData[Product ID],ProductMaster!$B318)-SUMIFS(StockOutData[Quantity],StockOutData[Product ID],ProductMaster!$B318)</f>
        <v>0</v>
      </c>
      <c r="J318" s="63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 t="str">
        <f>IFERROR(INDEX(StockInData[Expiry],MATCH(ProductMaster[[#This Row],[Product ID]],StockInData[Product ID],0)),"")</f>
        <v/>
      </c>
      <c r="H319" s="47"/>
      <c r="I319" s="61">
        <f>SUMIFS(StockInData[Quantity],StockInData[Product ID],ProductMaster!$B319)-SUMIFS(StockOutData[Quantity],StockOutData[Product ID],ProductMaster!$B319)</f>
        <v>0</v>
      </c>
      <c r="J319" s="63">
        <f>SUMIFS(StockInData[Value],StockInData[Product ID],ProductMaster!$B319)-SUMIFS(StockOutData[Value],StockOutData[Product ID],ProductMaster!$B319)</f>
        <v>0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 t="str">
        <f>IFERROR(INDEX(StockInData[Expiry],MATCH(ProductMaster[[#This Row],[Product ID]],StockInData[Product ID],0)),"")</f>
        <v/>
      </c>
      <c r="H320" s="47"/>
      <c r="I320" s="61">
        <f>SUMIFS(StockInData[Quantity],StockInData[Product ID],ProductMaster!$B320)-SUMIFS(StockOutData[Quantity],StockOutData[Product ID],ProductMaster!$B320)</f>
        <v>0</v>
      </c>
      <c r="J320" s="63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 t="str">
        <f>IFERROR(INDEX(StockInData[Expiry],MATCH(ProductMaster[[#This Row],[Product ID]],StockInData[Product ID],0)),"")</f>
        <v/>
      </c>
      <c r="H322" s="47"/>
      <c r="I322" s="61">
        <f>SUMIFS(StockInData[Quantity],StockInData[Product ID],ProductMaster!$B322)-SUMIFS(StockOutData[Quantity],StockOutData[Product ID],ProductMaster!$B322)</f>
        <v>0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 t="str">
        <f>IFERROR(INDEX(StockInData[Expiry],MATCH(ProductMaster[[#This Row],[Product ID]],StockInData[Product ID],0)),"")</f>
        <v/>
      </c>
      <c r="H323" s="47"/>
      <c r="I323" s="61">
        <f>SUMIFS(StockInData[Quantity],StockInData[Product ID],ProductMaster!$B323)-SUMIFS(StockOutData[Quantity],StockOutData[Product ID],ProductMaster!$B323)</f>
        <v>0</v>
      </c>
      <c r="J323" s="63">
        <f>SUMIFS(StockInData[Value],StockInData[Product ID],ProductMaster!$B323)-SUMIFS(StockOutData[Value],StockOutData[Product ID],ProductMaster!$B323)</f>
        <v>0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 t="str">
        <f>IFERROR(INDEX(StockInData[Expiry],MATCH(ProductMaster[[#This Row],[Product ID]],StockInData[Product ID],0)),"")</f>
        <v/>
      </c>
      <c r="H324" s="47"/>
      <c r="I324" s="61">
        <f>SUMIFS(StockInData[Quantity],StockInData[Product ID],ProductMaster!$B324)-SUMIFS(StockOutData[Quantity],StockOutData[Product ID],ProductMaster!$B324)</f>
        <v>0</v>
      </c>
      <c r="J324" s="63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 t="str">
        <f>IFERROR(INDEX(StockInData[Expiry],MATCH(ProductMaster[[#This Row],[Product ID]],StockInData[Product ID],0)),"")</f>
        <v/>
      </c>
      <c r="H326" s="47"/>
      <c r="I326" s="61">
        <f>SUMIFS(StockInData[Quantity],StockInData[Product ID],ProductMaster!$B326)-SUMIFS(StockOutData[Quantity],StockOutData[Product ID],ProductMaster!$B326)</f>
        <v>0</v>
      </c>
      <c r="J326" s="63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 t="str">
        <f>IFERROR(INDEX(StockInData[Expiry],MATCH(ProductMaster[[#This Row],[Product ID]],StockInData[Product ID],0)),"")</f>
        <v/>
      </c>
      <c r="H328" s="47"/>
      <c r="I328" s="61">
        <f>SUMIFS(StockInData[Quantity],StockInData[Product ID],ProductMaster!$B328)-SUMIFS(StockOutData[Quantity],StockOutData[Product ID],ProductMaster!$B328)</f>
        <v>0</v>
      </c>
      <c r="J328" s="63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 t="str">
        <f>IFERROR(INDEX(StockInData[Expiry],MATCH(ProductMaster[[#This Row],[Product ID]],StockInData[Product ID],0)),"")</f>
        <v/>
      </c>
      <c r="H329" s="47"/>
      <c r="I329" s="61">
        <f>SUMIFS(StockInData[Quantity],StockInData[Product ID],ProductMaster!$B329)-SUMIFS(StockOutData[Quantity],StockOutData[Product ID],ProductMaster!$B329)</f>
        <v>0</v>
      </c>
      <c r="J329" s="63">
        <f>SUMIFS(StockInData[Value],StockInData[Product ID],ProductMaster!$B329)-SUMIFS(StockOutData[Value],StockOutData[Product ID],ProductMaster!$B329)</f>
        <v>0</v>
      </c>
    </row>
    <row r="330" spans="1:10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 t="str">
        <f>IFERROR(INDEX(StockInData[Expiry],MATCH(ProductMaster[[#This Row],[Product ID]],StockInData[Product ID],0)),"")</f>
        <v/>
      </c>
      <c r="H336" s="47"/>
      <c r="I336" s="61">
        <f>SUMIFS(StockInData[Quantity],StockInData[Product ID],ProductMaster!$B336)-SUMIFS(StockOutData[Quantity],StockOutData[Product ID],ProductMaster!$B336)</f>
        <v>0</v>
      </c>
      <c r="J336" s="63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 t="str">
        <f>IFERROR(INDEX(StockInData[Expiry],MATCH(ProductMaster[[#This Row],[Product ID]],StockInData[Product ID],0)),"")</f>
        <v/>
      </c>
      <c r="H339" s="47"/>
      <c r="I339" s="61">
        <f>SUMIFS(StockInData[Quantity],StockInData[Product ID],ProductMaster!$B339)-SUMIFS(StockOutData[Quantity],StockOutData[Product ID],ProductMaster!$B339)</f>
        <v>0</v>
      </c>
      <c r="J339" s="63">
        <f>SUMIFS(StockInData[Value],StockInData[Product ID],ProductMaster!$B339)-SUMIFS(StockOutData[Value],StockOutData[Product ID],ProductMaster!$B339)</f>
        <v>0</v>
      </c>
    </row>
    <row r="340" spans="1:10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 t="str">
        <f>IFERROR(INDEX(StockInData[Expiry],MATCH(ProductMaster[[#This Row],[Product ID]],StockInData[Product ID],0)),"")</f>
        <v/>
      </c>
      <c r="H341" s="47"/>
      <c r="I341" s="61">
        <f>SUMIFS(StockInData[Quantity],StockInData[Product ID],ProductMaster!$B341)-SUMIFS(StockOutData[Quantity],StockOutData[Product ID],ProductMaster!$B341)</f>
        <v>0</v>
      </c>
      <c r="J341" s="63">
        <f>SUMIFS(StockInData[Value],StockInData[Product ID],ProductMaster!$B341)-SUMIFS(StockOutData[Value],StockOutData[Product ID],ProductMaster!$B341)</f>
        <v>0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 t="str">
        <f>IFERROR(INDEX(StockInData[Expiry],MATCH(ProductMaster[[#This Row],[Product ID]],StockInData[Product ID],0)),"")</f>
        <v/>
      </c>
      <c r="H342" s="47"/>
      <c r="I342" s="61">
        <f>SUMIFS(StockInData[Quantity],StockInData[Product ID],ProductMaster!$B342)-SUMIFS(StockOutData[Quantity],StockOutData[Product ID],ProductMaster!$B342)</f>
        <v>0</v>
      </c>
      <c r="J342" s="63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 t="str">
        <f>IFERROR(INDEX(StockInData[Expiry],MATCH(ProductMaster[[#This Row],[Product ID]],StockInData[Product ID],0)),"")</f>
        <v/>
      </c>
      <c r="H343" s="47"/>
      <c r="I343" s="61">
        <f>SUMIFS(StockInData[Quantity],StockInData[Product ID],ProductMaster!$B343)-SUMIFS(StockOutData[Quantity],StockOutData[Product ID],ProductMaster!$B343)</f>
        <v>0</v>
      </c>
      <c r="J343" s="63">
        <f>SUMIFS(StockInData[Value],StockInData[Product ID],ProductMaster!$B343)-SUMIFS(StockOutData[Value],StockOutData[Product ID],ProductMaster!$B343)</f>
        <v>0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 t="str">
        <f>IFERROR(INDEX(StockInData[Expiry],MATCH(ProductMaster[[#This Row],[Product ID]],StockInData[Product ID],0)),"")</f>
        <v/>
      </c>
      <c r="H344" s="47"/>
      <c r="I344" s="61">
        <f>SUMIFS(StockInData[Quantity],StockInData[Product ID],ProductMaster!$B344)-SUMIFS(StockOutData[Quantity],StockOutData[Product ID],ProductMaster!$B344)</f>
        <v>0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 t="str">
        <f>IFERROR(INDEX(StockInData[Expiry],MATCH(ProductMaster[[#This Row],[Product ID]],StockInData[Product ID],0)),"")</f>
        <v/>
      </c>
      <c r="H345" s="47"/>
      <c r="I345" s="61">
        <f>SUMIFS(StockInData[Quantity],StockInData[Product ID],ProductMaster!$B345)-SUMIFS(StockOutData[Quantity],StockOutData[Product ID],ProductMaster!$B345)</f>
        <v>0</v>
      </c>
      <c r="J345" s="63">
        <f>SUMIFS(StockInData[Value],StockInData[Product ID],ProductMaster!$B345)-SUMIFS(StockOutData[Value],StockOutData[Product ID],ProductMaster!$B345)</f>
        <v>0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 t="str">
        <f>IFERROR(INDEX(StockInData[Expiry],MATCH(ProductMaster[[#This Row],[Product ID]],StockInData[Product ID],0)),"")</f>
        <v/>
      </c>
      <c r="H346" s="47"/>
      <c r="I346" s="61">
        <f>SUMIFS(StockInData[Quantity],StockInData[Product ID],ProductMaster!$B346)-SUMIFS(StockOutData[Quantity],StockOutData[Product ID],ProductMaster!$B346)</f>
        <v>0</v>
      </c>
      <c r="J346" s="63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 t="str">
        <f>IFERROR(INDEX(StockInData[Expiry],MATCH(ProductMaster[[#This Row],[Product ID]],StockInData[Product ID],0)),"")</f>
        <v/>
      </c>
      <c r="H347" s="47"/>
      <c r="I347" s="61">
        <f>SUMIFS(StockInData[Quantity],StockInData[Product ID],ProductMaster!$B347)-SUMIFS(StockOutData[Quantity],StockOutData[Product ID],ProductMaster!$B347)</f>
        <v>0</v>
      </c>
      <c r="J347" s="63">
        <f>SUMIFS(StockInData[Value],StockInData[Product ID],ProductMaster!$B347)-SUMIFS(StockOutData[Value],StockOutData[Product ID],ProductMaster!$B347)</f>
        <v>0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 t="str">
        <f>IFERROR(INDEX(StockInData[Expiry],MATCH(ProductMaster[[#This Row],[Product ID]],StockInData[Product ID],0)),"")</f>
        <v/>
      </c>
      <c r="H348" s="47"/>
      <c r="I348" s="61">
        <f>SUMIFS(StockInData[Quantity],StockInData[Product ID],ProductMaster!$B348)-SUMIFS(StockOutData[Quantity],StockOutData[Product ID],ProductMaster!$B348)</f>
        <v>0</v>
      </c>
      <c r="J348" s="63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 t="str">
        <f>IFERROR(INDEX(StockInData[Expiry],MATCH(ProductMaster[[#This Row],[Product ID]],StockInData[Product ID],0)),"")</f>
        <v/>
      </c>
      <c r="H349" s="47"/>
      <c r="I349" s="61">
        <f>SUMIFS(StockInData[Quantity],StockInData[Product ID],ProductMaster!$B349)-SUMIFS(StockOutData[Quantity],StockOutData[Product ID],ProductMaster!$B349)</f>
        <v>0</v>
      </c>
      <c r="J349" s="63">
        <f>SUMIFS(StockInData[Value],StockInData[Product ID],ProductMaster!$B349)-SUMIFS(StockOutData[Value],StockOutData[Product ID],ProductMaster!$B349)</f>
        <v>0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 t="str">
        <f>IFERROR(INDEX(StockInData[Expiry],MATCH(ProductMaster[[#This Row],[Product ID]],StockInData[Product ID],0)),"")</f>
        <v/>
      </c>
      <c r="H350" s="47"/>
      <c r="I350" s="61">
        <f>SUMIFS(StockInData[Quantity],StockInData[Product ID],ProductMaster!$B350)-SUMIFS(StockOutData[Quantity],StockOutData[Product ID],ProductMaster!$B350)</f>
        <v>0</v>
      </c>
      <c r="J350" s="63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 t="str">
        <f>IFERROR(INDEX(StockInData[Expiry],MATCH(ProductMaster[[#This Row],[Product ID]],StockInData[Product ID],0)),"")</f>
        <v/>
      </c>
      <c r="H351" s="47"/>
      <c r="I351" s="61">
        <f>SUMIFS(StockInData[Quantity],StockInData[Product ID],ProductMaster!$B351)-SUMIFS(StockOutData[Quantity],StockOutData[Product ID],ProductMaster!$B351)</f>
        <v>0</v>
      </c>
      <c r="J351" s="63">
        <f>SUMIFS(StockInData[Value],StockInData[Product ID],ProductMaster!$B351)-SUMIFS(StockOutData[Value],StockOutData[Product ID],ProductMaster!$B351)</f>
        <v>0</v>
      </c>
    </row>
    <row r="352" spans="1:10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 t="str">
        <f>IFERROR(INDEX(StockInData[Expiry],MATCH(ProductMaster[[#This Row],[Product ID]],StockInData[Product ID],0)),"")</f>
        <v/>
      </c>
      <c r="H353" s="47"/>
      <c r="I353" s="61">
        <f>SUMIFS(StockInData[Quantity],StockInData[Product ID],ProductMaster!$B353)-SUMIFS(StockOutData[Quantity],StockOutData[Product ID],ProductMaster!$B353)</f>
        <v>0</v>
      </c>
      <c r="J353" s="63">
        <f>SUMIFS(StockInData[Value],StockInData[Product ID],ProductMaster!$B353)-SUMIFS(StockOutData[Value],StockOutData[Product ID],ProductMaster!$B353)</f>
        <v>0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 t="str">
        <f>IFERROR(INDEX(StockInData[Expiry],MATCH(ProductMaster[[#This Row],[Product ID]],StockInData[Product ID],0)),"")</f>
        <v/>
      </c>
      <c r="H354" s="47"/>
      <c r="I354" s="61">
        <f>SUMIFS(StockInData[Quantity],StockInData[Product ID],ProductMaster!$B354)-SUMIFS(StockOutData[Quantity],StockOutData[Product ID],ProductMaster!$B354)</f>
        <v>0</v>
      </c>
      <c r="J354" s="63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 t="str">
        <f>IFERROR(INDEX(StockInData[Expiry],MATCH(ProductMaster[[#This Row],[Product ID]],StockInData[Product ID],0)),"")</f>
        <v/>
      </c>
      <c r="H358" s="47"/>
      <c r="I358" s="61">
        <f>SUMIFS(StockInData[Quantity],StockInData[Product ID],ProductMaster!$B358)-SUMIFS(StockOutData[Quantity],StockOutData[Product ID],ProductMaster!$B358)</f>
        <v>0</v>
      </c>
      <c r="J358" s="63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 t="str">
        <f>IFERROR(INDEX(StockInData[Expiry],MATCH(ProductMaster[[#This Row],[Product ID]],StockInData[Product ID],0)),"")</f>
        <v/>
      </c>
      <c r="H359" s="47"/>
      <c r="I359" s="61">
        <f>SUMIFS(StockInData[Quantity],StockInData[Product ID],ProductMaster!$B359)-SUMIFS(StockOutData[Quantity],StockOutData[Product ID],ProductMaster!$B359)</f>
        <v>0</v>
      </c>
      <c r="J359" s="63">
        <f>SUMIFS(StockInData[Value],StockInData[Product ID],ProductMaster!$B359)-SUMIFS(StockOutData[Value],StockOutData[Product ID],ProductMaster!$B359)</f>
        <v>0</v>
      </c>
    </row>
    <row r="360" spans="1:10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 t="str">
        <f>IFERROR(INDEX(StockInData[Expiry],MATCH(ProductMaster[[#This Row],[Product ID]],StockInData[Product ID],0)),"")</f>
        <v/>
      </c>
      <c r="H361" s="47"/>
      <c r="I361" s="61">
        <f>SUMIFS(StockInData[Quantity],StockInData[Product ID],ProductMaster!$B361)-SUMIFS(StockOutData[Quantity],StockOutData[Product ID],ProductMaster!$B361)</f>
        <v>0</v>
      </c>
      <c r="J361" s="63">
        <f>SUMIFS(StockInData[Value],StockInData[Product ID],ProductMaster!$B361)-SUMIFS(StockOutData[Value],StockOutData[Product ID],ProductMaster!$B361)</f>
        <v>0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 t="str">
        <f>IFERROR(INDEX(StockInData[Expiry],MATCH(ProductMaster[[#This Row],[Product ID]],StockInData[Product ID],0)),"")</f>
        <v/>
      </c>
      <c r="H362" s="47"/>
      <c r="I362" s="61">
        <f>SUMIFS(StockInData[Quantity],StockInData[Product ID],ProductMaster!$B362)-SUMIFS(StockOutData[Quantity],StockOutData[Product ID],ProductMaster!$B362)</f>
        <v>0</v>
      </c>
      <c r="J362" s="63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 t="str">
        <f>IFERROR(INDEX(StockInData[Expiry],MATCH(ProductMaster[[#This Row],[Product ID]],StockInData[Product ID],0)),"")</f>
        <v/>
      </c>
      <c r="H363" s="47"/>
      <c r="I363" s="61">
        <f>SUMIFS(StockInData[Quantity],StockInData[Product ID],ProductMaster!$B363)-SUMIFS(StockOutData[Quantity],StockOutData[Product ID],ProductMaster!$B363)</f>
        <v>0</v>
      </c>
      <c r="J363" s="63">
        <f>SUMIFS(StockInData[Value],StockInData[Product ID],ProductMaster!$B363)-SUMIFS(StockOutData[Value],StockOutData[Product ID],ProductMaster!$B363)</f>
        <v>0</v>
      </c>
    </row>
    <row r="364" spans="1:10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 t="str">
        <f>IFERROR(INDEX(StockInData[Expiry],MATCH(ProductMaster[[#This Row],[Product ID]],StockInData[Product ID],0)),"")</f>
        <v/>
      </c>
      <c r="H372" s="47"/>
      <c r="I372" s="61">
        <f>SUMIFS(StockInData[Quantity],StockInData[Product ID],ProductMaster!$B372)-SUMIFS(StockOutData[Quantity],StockOutData[Product ID],ProductMaster!$B372)</f>
        <v>0</v>
      </c>
      <c r="J372" s="63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 t="str">
        <f>IFERROR(INDEX(StockInData[Expiry],MATCH(ProductMaster[[#This Row],[Product ID]],StockInData[Product ID],0)),"")</f>
        <v/>
      </c>
      <c r="H373" s="47"/>
      <c r="I373" s="61">
        <f>SUMIFS(StockInData[Quantity],StockInData[Product ID],ProductMaster!$B373)-SUMIFS(StockOutData[Quantity],StockOutData[Product ID],ProductMaster!$B373)</f>
        <v>0</v>
      </c>
      <c r="J373" s="63">
        <f>SUMIFS(StockInData[Value],StockInData[Product ID],ProductMaster!$B373)-SUMIFS(StockOutData[Value],StockOutData[Product ID],ProductMaster!$B373)</f>
        <v>0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 t="str">
        <f>IFERROR(INDEX(StockInData[Expiry],MATCH(ProductMaster[[#This Row],[Product ID]],StockInData[Product ID],0)),"")</f>
        <v/>
      </c>
      <c r="H374" s="47"/>
      <c r="I374" s="61">
        <f>SUMIFS(StockInData[Quantity],StockInData[Product ID],ProductMaster!$B374)-SUMIFS(StockOutData[Quantity],StockOutData[Product ID],ProductMaster!$B374)</f>
        <v>0</v>
      </c>
      <c r="J374" s="63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 t="str">
        <f>IFERROR(INDEX(StockInData[Expiry],MATCH(ProductMaster[[#This Row],[Product ID]],StockInData[Product ID],0)),"")</f>
        <v/>
      </c>
      <c r="H375" s="47"/>
      <c r="I375" s="61">
        <f>SUMIFS(StockInData[Quantity],StockInData[Product ID],ProductMaster!$B375)-SUMIFS(StockOutData[Quantity],StockOutData[Product ID],ProductMaster!$B375)</f>
        <v>0</v>
      </c>
      <c r="J375" s="63">
        <f>SUMIFS(StockInData[Value],StockInData[Product ID],ProductMaster!$B375)-SUMIFS(StockOutData[Value],StockOutData[Product ID],ProductMaster!$B375)</f>
        <v>0</v>
      </c>
    </row>
    <row r="376" spans="1:10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 t="str">
        <f>IFERROR(INDEX(StockInData[Expiry],MATCH(ProductMaster[[#This Row],[Product ID]],StockInData[Product ID],0)),"")</f>
        <v/>
      </c>
      <c r="H377" s="47"/>
      <c r="I377" s="61">
        <f>SUMIFS(StockInData[Quantity],StockInData[Product ID],ProductMaster!$B377)-SUMIFS(StockOutData[Quantity],StockOutData[Product ID],ProductMaster!$B377)</f>
        <v>0</v>
      </c>
      <c r="J377" s="63">
        <f>SUMIFS(StockInData[Value],StockInData[Product ID],ProductMaster!$B377)-SUMIFS(StockOutData[Value],StockOutData[Product ID],ProductMaster!$B377)</f>
        <v>0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 t="str">
        <f>IFERROR(INDEX(StockInData[Expiry],MATCH(ProductMaster[[#This Row],[Product ID]],StockInData[Product ID],0)),"")</f>
        <v/>
      </c>
      <c r="H378" s="47"/>
      <c r="I378" s="61">
        <f>SUMIFS(StockInData[Quantity],StockInData[Product ID],ProductMaster!$B378)-SUMIFS(StockOutData[Quantity],StockOutData[Product ID],ProductMaster!$B378)</f>
        <v>0</v>
      </c>
      <c r="J378" s="63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 t="str">
        <f>IFERROR(INDEX(StockInData[Expiry],MATCH(ProductMaster[[#This Row],[Product ID]],StockInData[Product ID],0)),"")</f>
        <v/>
      </c>
      <c r="H379" s="47"/>
      <c r="I379" s="61">
        <f>SUMIFS(StockInData[Quantity],StockInData[Product ID],ProductMaster!$B379)-SUMIFS(StockOutData[Quantity],StockOutData[Product ID],ProductMaster!$B379)</f>
        <v>0</v>
      </c>
      <c r="J379" s="63">
        <f>SUMIFS(StockInData[Value],StockInData[Product ID],ProductMaster!$B379)-SUMIFS(StockOutData[Value],StockOutData[Product ID],ProductMaster!$B379)</f>
        <v>0</v>
      </c>
    </row>
    <row r="380" spans="1:10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 t="str">
        <f>IFERROR(INDEX(StockInData[Expiry],MATCH(ProductMaster[[#This Row],[Product ID]],StockInData[Product ID],0)),"")</f>
        <v/>
      </c>
      <c r="H385" s="47"/>
      <c r="I385" s="61">
        <f>SUMIFS(StockInData[Quantity],StockInData[Product ID],ProductMaster!$B385)-SUMIFS(StockOutData[Quantity],StockOutData[Product ID],ProductMaster!$B385)</f>
        <v>0</v>
      </c>
      <c r="J385" s="63">
        <f>SUMIFS(StockInData[Value],StockInData[Product ID],ProductMaster!$B385)-SUMIFS(StockOutData[Value],StockOutData[Product ID],ProductMaster!$B385)</f>
        <v>0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 t="str">
        <f>IFERROR(INDEX(StockInData[Expiry],MATCH(ProductMaster[[#This Row],[Product ID]],StockInData[Product ID],0)),"")</f>
        <v/>
      </c>
      <c r="H386" s="47"/>
      <c r="I386" s="61">
        <f>SUMIFS(StockInData[Quantity],StockInData[Product ID],ProductMaster!$B386)-SUMIFS(StockOutData[Quantity],StockOutData[Product ID],ProductMaster!$B386)</f>
        <v>0</v>
      </c>
      <c r="J386" s="63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 t="str">
        <f>IFERROR(INDEX(StockInData[Expiry],MATCH(ProductMaster[[#This Row],[Product ID]],StockInData[Product ID],0)),"")</f>
        <v/>
      </c>
      <c r="H387" s="47"/>
      <c r="I387" s="61">
        <f>SUMIFS(StockInData[Quantity],StockInData[Product ID],ProductMaster!$B387)-SUMIFS(StockOutData[Quantity],StockOutData[Product ID],ProductMaster!$B387)</f>
        <v>0</v>
      </c>
      <c r="J387" s="63">
        <f>SUMIFS(StockInData[Value],StockInData[Product ID],ProductMaster!$B387)-SUMIFS(StockOutData[Value],StockOutData[Product ID],ProductMaster!$B387)</f>
        <v>0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 t="str">
        <f>IFERROR(INDEX(StockInData[Expiry],MATCH(ProductMaster[[#This Row],[Product ID]],StockInData[Product ID],0)),"")</f>
        <v/>
      </c>
      <c r="H388" s="47"/>
      <c r="I388" s="61">
        <f>SUMIFS(StockInData[Quantity],StockInData[Product ID],ProductMaster!$B388)-SUMIFS(StockOutData[Quantity],StockOutData[Product ID],ProductMaster!$B388)</f>
        <v>0</v>
      </c>
      <c r="J388" s="63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 t="str">
        <f>IFERROR(INDEX(StockInData[Expiry],MATCH(ProductMaster[[#This Row],[Product ID]],StockInData[Product ID],0)),"")</f>
        <v/>
      </c>
      <c r="H390" s="47"/>
      <c r="I390" s="61">
        <f>SUMIFS(StockInData[Quantity],StockInData[Product ID],ProductMaster!$B390)-SUMIFS(StockOutData[Quantity],StockOutData[Product ID],ProductMaster!$B390)</f>
        <v>0</v>
      </c>
      <c r="J390" s="63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 t="str">
        <f>IFERROR(INDEX(StockInData[Expiry],MATCH(ProductMaster[[#This Row],[Product ID]],StockInData[Product ID],0)),"")</f>
        <v/>
      </c>
      <c r="H391" s="47"/>
      <c r="I391" s="61">
        <f>SUMIFS(StockInData[Quantity],StockInData[Product ID],ProductMaster!$B391)-SUMIFS(StockOutData[Quantity],StockOutData[Product ID],ProductMaster!$B391)</f>
        <v>0</v>
      </c>
      <c r="J391" s="63">
        <f>SUMIFS(StockInData[Value],StockInData[Product ID],ProductMaster!$B391)-SUMIFS(StockOutData[Value],StockOutData[Product ID],ProductMaster!$B391)</f>
        <v>0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 t="str">
        <f>IFERROR(INDEX(StockInData[Expiry],MATCH(ProductMaster[[#This Row],[Product ID]],StockInData[Product ID],0)),"")</f>
        <v/>
      </c>
      <c r="H392" s="47"/>
      <c r="I392" s="61">
        <f>SUMIFS(StockInData[Quantity],StockInData[Product ID],ProductMaster!$B392)-SUMIFS(StockOutData[Quantity],StockOutData[Product ID],ProductMaster!$B392)</f>
        <v>0</v>
      </c>
      <c r="J392" s="63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 t="str">
        <f>IFERROR(INDEX(StockInData[Expiry],MATCH(ProductMaster[[#This Row],[Product ID]],StockInData[Product ID],0)),"")</f>
        <v/>
      </c>
      <c r="H393" s="47"/>
      <c r="I393" s="61">
        <f>SUMIFS(StockInData[Quantity],StockInData[Product ID],ProductMaster!$B393)-SUMIFS(StockOutData[Quantity],StockOutData[Product ID],ProductMaster!$B393)</f>
        <v>0</v>
      </c>
      <c r="J393" s="63">
        <f>SUMIFS(StockInData[Value],StockInData[Product ID],ProductMaster!$B393)-SUMIFS(StockOutData[Value],StockOutData[Product ID],ProductMaster!$B393)</f>
        <v>0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 t="str">
        <f>IFERROR(INDEX(StockInData[Expiry],MATCH(ProductMaster[[#This Row],[Product ID]],StockInData[Product ID],0)),"")</f>
        <v/>
      </c>
      <c r="H394" s="47"/>
      <c r="I394" s="61">
        <f>SUMIFS(StockInData[Quantity],StockInData[Product ID],ProductMaster!$B394)-SUMIFS(StockOutData[Quantity],StockOutData[Product ID],ProductMaster!$B394)</f>
        <v>0</v>
      </c>
      <c r="J394" s="63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 t="str">
        <f>IFERROR(INDEX(StockInData[Expiry],MATCH(ProductMaster[[#This Row],[Product ID]],StockInData[Product ID],0)),"")</f>
        <v/>
      </c>
      <c r="H396" s="47"/>
      <c r="I396" s="61">
        <f>SUMIFS(StockInData[Quantity],StockInData[Product ID],ProductMaster!$B396)-SUMIFS(StockOutData[Quantity],StockOutData[Product ID],ProductMaster!$B396)</f>
        <v>0</v>
      </c>
      <c r="J396" s="63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 t="str">
        <f>IFERROR(INDEX(StockInData[Expiry],MATCH(ProductMaster[[#This Row],[Product ID]],StockInData[Product ID],0)),"")</f>
        <v/>
      </c>
      <c r="H399" s="47"/>
      <c r="I399" s="61">
        <f>SUMIFS(StockInData[Quantity],StockInData[Product ID],ProductMaster!$B399)-SUMIFS(StockOutData[Quantity],StockOutData[Product ID],ProductMaster!$B399)</f>
        <v>0</v>
      </c>
      <c r="J399" s="63">
        <f>SUMIFS(StockInData[Value],StockInData[Product ID],ProductMaster!$B399)-SUMIFS(StockOutData[Value],StockOutData[Product ID],ProductMaster!$B399)</f>
        <v>0</v>
      </c>
    </row>
    <row r="400" spans="1:10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 t="str">
        <f>IFERROR(INDEX(StockInData[Expiry],MATCH(ProductMaster[[#This Row],[Product ID]],StockInData[Product ID],0)),"")</f>
        <v/>
      </c>
      <c r="H402" s="47"/>
      <c r="I402" s="61">
        <f>SUMIFS(StockInData[Quantity],StockInData[Product ID],ProductMaster!$B402)-SUMIFS(StockOutData[Quantity],StockOutData[Product ID],ProductMaster!$B402)</f>
        <v>0</v>
      </c>
      <c r="J402" s="63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 t="str">
        <f>IFERROR(INDEX(StockInData[Expiry],MATCH(ProductMaster[[#This Row],[Product ID]],StockInData[Product ID],0)),"")</f>
        <v/>
      </c>
      <c r="H404" s="47"/>
      <c r="I404" s="61">
        <f>SUMIFS(StockInData[Quantity],StockInData[Product ID],ProductMaster!$B404)-SUMIFS(StockOutData[Quantity],StockOutData[Product ID],ProductMaster!$B404)</f>
        <v>0</v>
      </c>
      <c r="J404" s="63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 t="str">
        <f>IFERROR(INDEX(StockInData[Expiry],MATCH(ProductMaster[[#This Row],[Product ID]],StockInData[Product ID],0)),"")</f>
        <v/>
      </c>
      <c r="H405" s="47"/>
      <c r="I405" s="61">
        <f>SUMIFS(StockInData[Quantity],StockInData[Product ID],ProductMaster!$B405)-SUMIFS(StockOutData[Quantity],StockOutData[Product ID],ProductMaster!$B405)</f>
        <v>0</v>
      </c>
      <c r="J405" s="63">
        <f>SUMIFS(StockInData[Value],StockInData[Product ID],ProductMaster!$B405)-SUMIFS(StockOutData[Value],StockOutData[Product ID],ProductMaster!$B405)</f>
        <v>0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 t="str">
        <f>IFERROR(INDEX(StockInData[Expiry],MATCH(ProductMaster[[#This Row],[Product ID]],StockInData[Product ID],0)),"")</f>
        <v/>
      </c>
      <c r="H406" s="47"/>
      <c r="I406" s="61">
        <f>SUMIFS(StockInData[Quantity],StockInData[Product ID],ProductMaster!$B406)-SUMIFS(StockOutData[Quantity],StockOutData[Product ID],ProductMaster!$B406)</f>
        <v>0</v>
      </c>
      <c r="J406" s="63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 t="str">
        <f>IFERROR(INDEX(StockInData[Expiry],MATCH(ProductMaster[[#This Row],[Product ID]],StockInData[Product ID],0)),"")</f>
        <v/>
      </c>
      <c r="H407" s="47"/>
      <c r="I407" s="61">
        <f>SUMIFS(StockInData[Quantity],StockInData[Product ID],ProductMaster!$B407)-SUMIFS(StockOutData[Quantity],StockOutData[Product ID],ProductMaster!$B407)</f>
        <v>0</v>
      </c>
      <c r="J407" s="63">
        <f>SUMIFS(StockInData[Value],StockInData[Product ID],ProductMaster!$B407)-SUMIFS(StockOutData[Value],StockOutData[Product ID],ProductMaster!$B407)</f>
        <v>0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 t="str">
        <f>IFERROR(INDEX(StockInData[Expiry],MATCH(ProductMaster[[#This Row],[Product ID]],StockInData[Product ID],0)),"")</f>
        <v/>
      </c>
      <c r="H408" s="47"/>
      <c r="I408" s="61">
        <f>SUMIFS(StockInData[Quantity],StockInData[Product ID],ProductMaster!$B408)-SUMIFS(StockOutData[Quantity],StockOutData[Product ID],ProductMaster!$B408)</f>
        <v>0</v>
      </c>
      <c r="J408" s="63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 t="str">
        <f>IFERROR(INDEX(StockInData[Expiry],MATCH(ProductMaster[[#This Row],[Product ID]],StockInData[Product ID],0)),"")</f>
        <v/>
      </c>
      <c r="H412" s="47"/>
      <c r="I412" s="61">
        <f>SUMIFS(StockInData[Quantity],StockInData[Product ID],ProductMaster!$B412)-SUMIFS(StockOutData[Quantity],StockOutData[Product ID],ProductMaster!$B412)</f>
        <v>0</v>
      </c>
      <c r="J412" s="63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 t="str">
        <f>IFERROR(INDEX(StockInData[Expiry],MATCH(ProductMaster[[#This Row],[Product ID]],StockInData[Product ID],0)),"")</f>
        <v/>
      </c>
      <c r="H413" s="47"/>
      <c r="I413" s="61">
        <f>SUMIFS(StockInData[Quantity],StockInData[Product ID],ProductMaster!$B413)-SUMIFS(StockOutData[Quantity],StockOutData[Product ID],ProductMaster!$B413)</f>
        <v>0</v>
      </c>
      <c r="J413" s="63">
        <f>SUMIFS(StockInData[Value],StockInData[Product ID],ProductMaster!$B413)-SUMIFS(StockOutData[Value],StockOutData[Product ID],ProductMaster!$B413)</f>
        <v>0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 t="str">
        <f>IFERROR(INDEX(StockInData[Expiry],MATCH(ProductMaster[[#This Row],[Product ID]],StockInData[Product ID],0)),"")</f>
        <v/>
      </c>
      <c r="H414" s="47"/>
      <c r="I414" s="61">
        <f>SUMIFS(StockInData[Quantity],StockInData[Product ID],ProductMaster!$B414)-SUMIFS(StockOutData[Quantity],StockOutData[Product ID],ProductMaster!$B414)</f>
        <v>0</v>
      </c>
      <c r="J414" s="63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 t="str">
        <f>IFERROR(INDEX(StockInData[Expiry],MATCH(ProductMaster[[#This Row],[Product ID]],StockInData[Product ID],0)),"")</f>
        <v/>
      </c>
      <c r="H420" s="47"/>
      <c r="I420" s="61">
        <f>SUMIFS(StockInData[Quantity],StockInData[Product ID],ProductMaster!$B420)-SUMIFS(StockOutData[Quantity],StockOutData[Product ID],ProductMaster!$B420)</f>
        <v>0</v>
      </c>
      <c r="J420" s="63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 t="str">
        <f>IFERROR(INDEX(StockInData[Expiry],MATCH(ProductMaster[[#This Row],[Product ID]],StockInData[Product ID],0)),"")</f>
        <v/>
      </c>
      <c r="H430" s="47"/>
      <c r="I430" s="61">
        <f>SUMIFS(StockInData[Quantity],StockInData[Product ID],ProductMaster!$B430)-SUMIFS(StockOutData[Quantity],StockOutData[Product ID],ProductMaster!$B430)</f>
        <v>0</v>
      </c>
      <c r="J430" s="63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 t="str">
        <f>IFERROR(INDEX(StockInData[Expiry],MATCH(ProductMaster[[#This Row],[Product ID]],StockInData[Product ID],0)),"")</f>
        <v/>
      </c>
      <c r="H431" s="47"/>
      <c r="I431" s="61">
        <f>SUMIFS(StockInData[Quantity],StockInData[Product ID],ProductMaster!$B431)-SUMIFS(StockOutData[Quantity],StockOutData[Product ID],ProductMaster!$B431)</f>
        <v>0</v>
      </c>
      <c r="J431" s="63">
        <f>SUMIFS(StockInData[Value],StockInData[Product ID],ProductMaster!$B431)-SUMIFS(StockOutData[Value],StockOutData[Product ID],ProductMaster!$B431)</f>
        <v>0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 t="str">
        <f>IFERROR(INDEX(StockInData[Expiry],MATCH(ProductMaster[[#This Row],[Product ID]],StockInData[Product ID],0)),"")</f>
        <v/>
      </c>
      <c r="H432" s="47"/>
      <c r="I432" s="61">
        <f>SUMIFS(StockInData[Quantity],StockInData[Product ID],ProductMaster!$B432)-SUMIFS(StockOutData[Quantity],StockOutData[Product ID],ProductMaster!$B432)</f>
        <v>0</v>
      </c>
      <c r="J432" s="63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 t="str">
        <f>IFERROR(INDEX(StockInData[Expiry],MATCH(ProductMaster[[#This Row],[Product ID]],StockInData[Product ID],0)),"")</f>
        <v/>
      </c>
      <c r="H433" s="47"/>
      <c r="I433" s="61">
        <f>SUMIFS(StockInData[Quantity],StockInData[Product ID],ProductMaster!$B433)-SUMIFS(StockOutData[Quantity],StockOutData[Product ID],ProductMaster!$B433)</f>
        <v>0</v>
      </c>
      <c r="J433" s="63">
        <f>SUMIFS(StockInData[Value],StockInData[Product ID],ProductMaster!$B433)-SUMIFS(StockOutData[Value],StockOutData[Product ID],ProductMaster!$B433)</f>
        <v>0</v>
      </c>
    </row>
    <row r="434" spans="1:10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 t="str">
        <f>IFERROR(INDEX(StockInData[Expiry],MATCH(ProductMaster[[#This Row],[Product ID]],StockInData[Product ID],0)),"")</f>
        <v/>
      </c>
      <c r="H435" s="47"/>
      <c r="I435" s="61">
        <f>SUMIFS(StockInData[Quantity],StockInData[Product ID],ProductMaster!$B435)-SUMIFS(StockOutData[Quantity],StockOutData[Product ID],ProductMaster!$B435)</f>
        <v>0</v>
      </c>
      <c r="J435" s="63">
        <f>SUMIFS(StockInData[Value],StockInData[Product ID],ProductMaster!$B435)-SUMIFS(StockOutData[Value],StockOutData[Product ID],ProductMaster!$B435)</f>
        <v>0</v>
      </c>
    </row>
    <row r="436" spans="1:10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 t="str">
        <f>IFERROR(INDEX(StockInData[Expiry],MATCH(ProductMaster[[#This Row],[Product ID]],StockInData[Product ID],0)),"")</f>
        <v/>
      </c>
      <c r="H438" s="47"/>
      <c r="I438" s="61">
        <f>SUMIFS(StockInData[Quantity],StockInData[Product ID],ProductMaster!$B438)-SUMIFS(StockOutData[Quantity],StockOutData[Product ID],ProductMaster!$B438)</f>
        <v>0</v>
      </c>
      <c r="J438" s="63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 t="str">
        <f>IFERROR(INDEX(StockInData[Expiry],MATCH(ProductMaster[[#This Row],[Product ID]],StockInData[Product ID],0)),"")</f>
        <v/>
      </c>
      <c r="H442" s="47"/>
      <c r="I442" s="61">
        <f>SUMIFS(StockInData[Quantity],StockInData[Product ID],ProductMaster!$B442)-SUMIFS(StockOutData[Quantity],StockOutData[Product ID],ProductMaster!$B442)</f>
        <v>0</v>
      </c>
      <c r="J442" s="63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 t="str">
        <f>IFERROR(INDEX(StockInData[Expiry],MATCH(ProductMaster[[#This Row],[Product ID]],StockInData[Product ID],0)),"")</f>
        <v/>
      </c>
      <c r="H455" s="47"/>
      <c r="I455" s="61">
        <f>SUMIFS(StockInData[Quantity],StockInData[Product ID],ProductMaster!$B455)-SUMIFS(StockOutData[Quantity],StockOutData[Product ID],ProductMaster!$B455)</f>
        <v>0</v>
      </c>
      <c r="J455" s="63">
        <f>SUMIFS(StockInData[Value],StockInData[Product ID],ProductMaster!$B455)-SUMIFS(StockOutData[Value],StockOutData[Product ID],ProductMaster!$B455)</f>
        <v>0</v>
      </c>
    </row>
    <row r="456" spans="1:10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 t="str">
        <f>IFERROR(INDEX(StockInData[Expiry],MATCH(ProductMaster[[#This Row],[Product ID]],StockInData[Product ID],0)),"")</f>
        <v/>
      </c>
      <c r="H459" s="47"/>
      <c r="I459" s="61">
        <f>SUMIFS(StockInData[Quantity],StockInData[Product ID],ProductMaster!$B459)-SUMIFS(StockOutData[Quantity],StockOutData[Product ID],ProductMaster!$B459)</f>
        <v>0</v>
      </c>
      <c r="J459" s="63">
        <f>SUMIFS(StockInData[Value],StockInData[Product ID],ProductMaster!$B459)-SUMIFS(StockOutData[Value],StockOutData[Product ID],ProductMaster!$B459)</f>
        <v>0</v>
      </c>
    </row>
    <row r="460" spans="1:10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 t="str">
        <f>IFERROR(INDEX(StockInData[Expiry],MATCH(ProductMaster[[#This Row],[Product ID]],StockInData[Product ID],0)),"")</f>
        <v/>
      </c>
      <c r="H467" s="47"/>
      <c r="I467" s="61">
        <f>SUMIFS(StockInData[Quantity],StockInData[Product ID],ProductMaster!$B467)-SUMIFS(StockOutData[Quantity],StockOutData[Product ID],ProductMaster!$B467)</f>
        <v>0</v>
      </c>
      <c r="J467" s="63">
        <f>SUMIFS(StockInData[Value],StockInData[Product ID],ProductMaster!$B467)-SUMIFS(StockOutData[Value],StockOutData[Product ID],ProductMaster!$B467)</f>
        <v>0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 t="str">
        <f>IFERROR(INDEX(StockInData[Expiry],MATCH(ProductMaster[[#This Row],[Product ID]],StockInData[Product ID],0)),"")</f>
        <v/>
      </c>
      <c r="H468" s="47"/>
      <c r="I468" s="61">
        <f>SUMIFS(StockInData[Quantity],StockInData[Product ID],ProductMaster!$B468)-SUMIFS(StockOutData[Quantity],StockOutData[Product ID],ProductMaster!$B468)</f>
        <v>0</v>
      </c>
      <c r="J468" s="63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 t="str">
        <f>IFERROR(INDEX(StockInData[Expiry],MATCH(ProductMaster[[#This Row],[Product ID]],StockInData[Product ID],0)),"")</f>
        <v/>
      </c>
      <c r="H470" s="47"/>
      <c r="I470" s="61">
        <f>SUMIFS(StockInData[Quantity],StockInData[Product ID],ProductMaster!$B470)-SUMIFS(StockOutData[Quantity],StockOutData[Product ID],ProductMaster!$B470)</f>
        <v>0</v>
      </c>
      <c r="J470" s="63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 t="str">
        <f>IFERROR(INDEX(StockInData[Expiry],MATCH(ProductMaster[[#This Row],[Product ID]],StockInData[Product ID],0)),"")</f>
        <v/>
      </c>
      <c r="H472" s="47"/>
      <c r="I472" s="61">
        <f>SUMIFS(StockInData[Quantity],StockInData[Product ID],ProductMaster!$B472)-SUMIFS(StockOutData[Quantity],StockOutData[Product ID],ProductMaster!$B472)</f>
        <v>0</v>
      </c>
      <c r="J472" s="63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 t="str">
        <f>IFERROR(INDEX(StockInData[Expiry],MATCH(ProductMaster[[#This Row],[Product ID]],StockInData[Product ID],0)),"")</f>
        <v/>
      </c>
      <c r="H473" s="47"/>
      <c r="I473" s="61">
        <f>SUMIFS(StockInData[Quantity],StockInData[Product ID],ProductMaster!$B473)-SUMIFS(StockOutData[Quantity],StockOutData[Product ID],ProductMaster!$B473)</f>
        <v>0</v>
      </c>
      <c r="J473" s="63">
        <f>SUMIFS(StockInData[Value],StockInData[Product ID],ProductMaster!$B473)-SUMIFS(StockOutData[Value],StockOutData[Product ID],ProductMaster!$B473)</f>
        <v>0</v>
      </c>
    </row>
    <row r="474" spans="1:10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 t="str">
        <f>IFERROR(INDEX(StockInData[Expiry],MATCH(ProductMaster[[#This Row],[Product ID]],StockInData[Product ID],0)),"")</f>
        <v/>
      </c>
      <c r="H478" s="47"/>
      <c r="I478" s="61">
        <f>SUMIFS(StockInData[Quantity],StockInData[Product ID],ProductMaster!$B478)-SUMIFS(StockOutData[Quantity],StockOutData[Product ID],ProductMaster!$B478)</f>
        <v>0</v>
      </c>
      <c r="J478" s="63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 t="str">
        <f>IFERROR(INDEX(StockInData[Expiry],MATCH(ProductMaster[[#This Row],[Product ID]],StockInData[Product ID],0)),"")</f>
        <v/>
      </c>
      <c r="H480" s="47"/>
      <c r="I480" s="61">
        <f>SUMIFS(StockInData[Quantity],StockInData[Product ID],ProductMaster!$B480)-SUMIFS(StockOutData[Quantity],StockOutData[Product ID],ProductMaster!$B480)</f>
        <v>0</v>
      </c>
      <c r="J480" s="63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 t="str">
        <f>IFERROR(INDEX(StockInData[Expiry],MATCH(ProductMaster[[#This Row],[Product ID]],StockInData[Product ID],0)),"")</f>
        <v/>
      </c>
      <c r="H481" s="47"/>
      <c r="I481" s="61">
        <f>SUMIFS(StockInData[Quantity],StockInData[Product ID],ProductMaster!$B481)-SUMIFS(StockOutData[Quantity],StockOutData[Product ID],ProductMaster!$B481)</f>
        <v>0</v>
      </c>
      <c r="J481" s="63">
        <f>SUMIFS(StockInData[Value],StockInData[Product ID],ProductMaster!$B481)-SUMIFS(StockOutData[Value],StockOutData[Product ID],ProductMaster!$B481)</f>
        <v>0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 t="str">
        <f>IFERROR(INDEX(StockInData[Expiry],MATCH(ProductMaster[[#This Row],[Product ID]],StockInData[Product ID],0)),"")</f>
        <v/>
      </c>
      <c r="H482" s="47"/>
      <c r="I482" s="61">
        <f>SUMIFS(StockInData[Quantity],StockInData[Product ID],ProductMaster!$B482)-SUMIFS(StockOutData[Quantity],StockOutData[Product ID],ProductMaster!$B482)</f>
        <v>0</v>
      </c>
      <c r="J482" s="63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 t="str">
        <f>IFERROR(INDEX(StockInData[Expiry],MATCH(ProductMaster[[#This Row],[Product ID]],StockInData[Product ID],0)),"")</f>
        <v/>
      </c>
      <c r="H483" s="47"/>
      <c r="I483" s="61">
        <f>SUMIFS(StockInData[Quantity],StockInData[Product ID],ProductMaster!$B483)-SUMIFS(StockOutData[Quantity],StockOutData[Product ID],ProductMaster!$B483)</f>
        <v>0</v>
      </c>
      <c r="J483" s="63">
        <f>SUMIFS(StockInData[Value],StockInData[Product ID],ProductMaster!$B483)-SUMIFS(StockOutData[Value],StockOutData[Product ID],ProductMaster!$B483)</f>
        <v>0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 t="str">
        <f>IFERROR(INDEX(StockInData[Expiry],MATCH(ProductMaster[[#This Row],[Product ID]],StockInData[Product ID],0)),"")</f>
        <v/>
      </c>
      <c r="H484" s="47"/>
      <c r="I484" s="61">
        <f>SUMIFS(StockInData[Quantity],StockInData[Product ID],ProductMaster!$B484)-SUMIFS(StockOutData[Quantity],StockOutData[Product ID],ProductMaster!$B484)</f>
        <v>0</v>
      </c>
      <c r="J484" s="63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 t="str">
        <f>IFERROR(INDEX(StockInData[Expiry],MATCH(ProductMaster[[#This Row],[Product ID]],StockInData[Product ID],0)),"")</f>
        <v/>
      </c>
      <c r="H485" s="47"/>
      <c r="I485" s="61">
        <f>SUMIFS(StockInData[Quantity],StockInData[Product ID],ProductMaster!$B485)-SUMIFS(StockOutData[Quantity],StockOutData[Product ID],ProductMaster!$B485)</f>
        <v>0</v>
      </c>
      <c r="J485" s="63">
        <f>SUMIFS(StockInData[Value],StockInData[Product ID],ProductMaster!$B485)-SUMIFS(StockOutData[Value],StockOutData[Product ID],ProductMaster!$B485)</f>
        <v>0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 t="str">
        <f>IFERROR(INDEX(StockInData[Expiry],MATCH(ProductMaster[[#This Row],[Product ID]],StockInData[Product ID],0)),"")</f>
        <v/>
      </c>
      <c r="H486" s="47"/>
      <c r="I486" s="61">
        <f>SUMIFS(StockInData[Quantity],StockInData[Product ID],ProductMaster!$B486)-SUMIFS(StockOutData[Quantity],StockOutData[Product ID],ProductMaster!$B486)</f>
        <v>0</v>
      </c>
      <c r="J486" s="63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 t="str">
        <f>IFERROR(INDEX(StockInData[Expiry],MATCH(ProductMaster[[#This Row],[Product ID]],StockInData[Product ID],0)),"")</f>
        <v/>
      </c>
      <c r="H487" s="47"/>
      <c r="I487" s="61">
        <f>SUMIFS(StockInData[Quantity],StockInData[Product ID],ProductMaster!$B487)-SUMIFS(StockOutData[Quantity],StockOutData[Product ID],ProductMaster!$B487)</f>
        <v>0</v>
      </c>
      <c r="J487" s="63">
        <f>SUMIFS(StockInData[Value],StockInData[Product ID],ProductMaster!$B487)-SUMIFS(StockOutData[Value],StockOutData[Product ID],ProductMaster!$B487)</f>
        <v>0</v>
      </c>
    </row>
    <row r="488" spans="1:10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 t="str">
        <f>IFERROR(INDEX(StockInData[Expiry],MATCH(ProductMaster[[#This Row],[Product ID]],StockInData[Product ID],0)),"")</f>
        <v/>
      </c>
      <c r="H489" s="47"/>
      <c r="I489" s="61">
        <f>SUMIFS(StockInData[Quantity],StockInData[Product ID],ProductMaster!$B489)-SUMIFS(StockOutData[Quantity],StockOutData[Product ID],ProductMaster!$B489)</f>
        <v>0</v>
      </c>
      <c r="J489" s="63">
        <f>SUMIFS(StockInData[Value],StockInData[Product ID],ProductMaster!$B489)-SUMIFS(StockOutData[Value],StockOutData[Product ID],ProductMaster!$B489)</f>
        <v>0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 t="str">
        <f>IFERROR(INDEX(StockInData[Expiry],MATCH(ProductMaster[[#This Row],[Product ID]],StockInData[Product ID],0)),"")</f>
        <v/>
      </c>
      <c r="H490" s="47"/>
      <c r="I490" s="61">
        <f>SUMIFS(StockInData[Quantity],StockInData[Product ID],ProductMaster!$B490)-SUMIFS(StockOutData[Quantity],StockOutData[Product ID],ProductMaster!$B490)</f>
        <v>0</v>
      </c>
      <c r="J490" s="63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 t="str">
        <f>IFERROR(INDEX(StockInData[Expiry],MATCH(ProductMaster[[#This Row],[Product ID]],StockInData[Product ID],0)),"")</f>
        <v/>
      </c>
      <c r="H493" s="47"/>
      <c r="I493" s="61">
        <f>SUMIFS(StockInData[Quantity],StockInData[Product ID],ProductMaster!$B493)-SUMIFS(StockOutData[Quantity],StockOutData[Product ID],ProductMaster!$B493)</f>
        <v>0</v>
      </c>
      <c r="J493" s="63">
        <f>SUMIFS(StockInData[Value],StockInData[Product ID],ProductMaster!$B493)-SUMIFS(StockOutData[Value],StockOutData[Product ID],ProductMaster!$B493)</f>
        <v>0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 t="str">
        <f>IFERROR(INDEX(StockInData[Expiry],MATCH(ProductMaster[[#This Row],[Product ID]],StockInData[Product ID],0)),"")</f>
        <v/>
      </c>
      <c r="H494" s="47"/>
      <c r="I494" s="61">
        <f>SUMIFS(StockInData[Quantity],StockInData[Product ID],ProductMaster!$B494)-SUMIFS(StockOutData[Quantity],StockOutData[Product ID],ProductMaster!$B494)</f>
        <v>0</v>
      </c>
      <c r="J494" s="63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 t="str">
        <f>IFERROR(INDEX(StockInData[Expiry],MATCH(ProductMaster[[#This Row],[Product ID]],StockInData[Product ID],0)),"")</f>
        <v/>
      </c>
      <c r="H495" s="47"/>
      <c r="I495" s="61">
        <f>SUMIFS(StockInData[Quantity],StockInData[Product ID],ProductMaster!$B495)-SUMIFS(StockOutData[Quantity],StockOutData[Product ID],ProductMaster!$B495)</f>
        <v>0</v>
      </c>
      <c r="J495" s="63">
        <f>SUMIFS(StockInData[Value],StockInData[Product ID],ProductMaster!$B495)-SUMIFS(StockOutData[Value],StockOutData[Product ID],ProductMaster!$B495)</f>
        <v>0</v>
      </c>
    </row>
    <row r="496" spans="1:10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 t="str">
        <f>IFERROR(INDEX(StockInData[Expiry],MATCH(ProductMaster[[#This Row],[Product ID]],StockInData[Product ID],0)),"")</f>
        <v/>
      </c>
      <c r="H533" s="47"/>
      <c r="I533" s="61">
        <f>SUMIFS(StockInData[Quantity],StockInData[Product ID],ProductMaster!$B533)-SUMIFS(StockOutData[Quantity],StockOutData[Product ID],ProductMaster!$B533)</f>
        <v>0</v>
      </c>
      <c r="J533" s="63">
        <f>SUMIFS(StockInData[Value],StockInData[Product ID],ProductMaster!$B533)-SUMIFS(StockOutData[Value],StockOutData[Product ID],ProductMaster!$B533)</f>
        <v>0</v>
      </c>
    </row>
    <row r="534" spans="1:10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 t="str">
        <f>IFERROR(INDEX(StockInData[Expiry],MATCH(ProductMaster[[#This Row],[Product ID]],StockInData[Product ID],0)),"")</f>
        <v/>
      </c>
      <c r="H542" s="47"/>
      <c r="I542" s="61">
        <f>SUMIFS(StockInData[Quantity],StockInData[Product ID],ProductMaster!$B542)-SUMIFS(StockOutData[Quantity],StockOutData[Product ID],ProductMaster!$B542)</f>
        <v>0</v>
      </c>
      <c r="J542" s="63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 t="str">
        <f>IFERROR(INDEX(StockInData[Expiry],MATCH(ProductMaster[[#This Row],[Product ID]],StockInData[Product ID],0)),"")</f>
        <v/>
      </c>
      <c r="H546" s="47"/>
      <c r="I546" s="61">
        <f>SUMIFS(StockInData[Quantity],StockInData[Product ID],ProductMaster!$B546)-SUMIFS(StockOutData[Quantity],StockOutData[Product ID],ProductMaster!$B546)</f>
        <v>0</v>
      </c>
      <c r="J546" s="63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 t="str">
        <f>IFERROR(INDEX(StockInData[Expiry],MATCH(ProductMaster[[#This Row],[Product ID]],StockInData[Product ID],0)),"")</f>
        <v/>
      </c>
      <c r="H549" s="47"/>
      <c r="I549" s="61">
        <f>SUMIFS(StockInData[Quantity],StockInData[Product ID],ProductMaster!$B549)-SUMIFS(StockOutData[Quantity],StockOutData[Product ID],ProductMaster!$B549)</f>
        <v>0</v>
      </c>
      <c r="J549" s="63">
        <f>SUMIFS(StockInData[Value],StockInData[Product ID],ProductMaster!$B549)-SUMIFS(StockOutData[Value],StockOutData[Product ID],ProductMaster!$B549)</f>
        <v>0</v>
      </c>
    </row>
    <row r="550" spans="1:10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 t="str">
        <f>IFERROR(INDEX(StockInData[Expiry],MATCH(ProductMaster[[#This Row],[Product ID]],StockInData[Product ID],0)),"")</f>
        <v/>
      </c>
      <c r="H556" s="47"/>
      <c r="I556" s="61">
        <f>SUMIFS(StockInData[Quantity],StockInData[Product ID],ProductMaster!$B556)-SUMIFS(StockOutData[Quantity],StockOutData[Product ID],ProductMaster!$B556)</f>
        <v>0</v>
      </c>
      <c r="J556" s="63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 t="str">
        <f>IFERROR(INDEX(StockInData[Expiry],MATCH(ProductMaster[[#This Row],[Product ID]],StockInData[Product ID],0)),"")</f>
        <v/>
      </c>
      <c r="H558" s="47"/>
      <c r="I558" s="61">
        <f>SUMIFS(StockInData[Quantity],StockInData[Product ID],ProductMaster!$B558)-SUMIFS(StockOutData[Quantity],StockOutData[Product ID],ProductMaster!$B558)</f>
        <v>0</v>
      </c>
      <c r="J558" s="63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 t="str">
        <f>IFERROR(INDEX(StockInData[Expiry],MATCH(ProductMaster[[#This Row],[Product ID]],StockInData[Product ID],0)),"")</f>
        <v/>
      </c>
      <c r="H559" s="47"/>
      <c r="I559" s="61">
        <f>SUMIFS(StockInData[Quantity],StockInData[Product ID],ProductMaster!$B559)-SUMIFS(StockOutData[Quantity],StockOutData[Product ID],ProductMaster!$B559)</f>
        <v>0</v>
      </c>
      <c r="J559" s="63">
        <f>SUMIFS(StockInData[Value],StockInData[Product ID],ProductMaster!$B559)-SUMIFS(StockOutData[Value],StockOutData[Product ID],ProductMaster!$B559)</f>
        <v>0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 t="str">
        <f>IFERROR(INDEX(StockInData[Expiry],MATCH(ProductMaster[[#This Row],[Product ID]],StockInData[Product ID],0)),"")</f>
        <v/>
      </c>
      <c r="H560" s="47"/>
      <c r="I560" s="61">
        <f>SUMIFS(StockInData[Quantity],StockInData[Product ID],ProductMaster!$B560)-SUMIFS(StockOutData[Quantity],StockOutData[Product ID],ProductMaster!$B560)</f>
        <v>0</v>
      </c>
      <c r="J560" s="63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 t="str">
        <f>IFERROR(INDEX(StockInData[Expiry],MATCH(ProductMaster[[#This Row],[Product ID]],StockInData[Product ID],0)),"")</f>
        <v/>
      </c>
      <c r="H561" s="47"/>
      <c r="I561" s="61">
        <f>SUMIFS(StockInData[Quantity],StockInData[Product ID],ProductMaster!$B561)-SUMIFS(StockOutData[Quantity],StockOutData[Product ID],ProductMaster!$B561)</f>
        <v>0</v>
      </c>
      <c r="J561" s="63">
        <f>SUMIFS(StockInData[Value],StockInData[Product ID],ProductMaster!$B561)-SUMIFS(StockOutData[Value],StockOutData[Product ID],ProductMaster!$B561)</f>
        <v>0</v>
      </c>
    </row>
    <row r="562" spans="1:10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 t="str">
        <f>IFERROR(INDEX(StockInData[Expiry],MATCH(ProductMaster[[#This Row],[Product ID]],StockInData[Product ID],0)),"")</f>
        <v/>
      </c>
      <c r="H566" s="47"/>
      <c r="I566" s="61">
        <f>SUMIFS(StockInData[Quantity],StockInData[Product ID],ProductMaster!$B566)-SUMIFS(StockOutData[Quantity],StockOutData[Product ID],ProductMaster!$B566)</f>
        <v>0</v>
      </c>
      <c r="J566" s="63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 t="str">
        <f>IFERROR(INDEX(StockInData[Expiry],MATCH(ProductMaster[[#This Row],[Product ID]],StockInData[Product ID],0)),"")</f>
        <v/>
      </c>
      <c r="H567" s="47"/>
      <c r="I567" s="61">
        <f>SUMIFS(StockInData[Quantity],StockInData[Product ID],ProductMaster!$B567)-SUMIFS(StockOutData[Quantity],StockOutData[Product ID],ProductMaster!$B567)</f>
        <v>0</v>
      </c>
      <c r="J567" s="63">
        <f>SUMIFS(StockInData[Value],StockInData[Product ID],ProductMaster!$B567)-SUMIFS(StockOutData[Value],StockOutData[Product ID],ProductMaster!$B567)</f>
        <v>0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 t="str">
        <f>IFERROR(INDEX(StockInData[Expiry],MATCH(ProductMaster[[#This Row],[Product ID]],StockInData[Product ID],0)),"")</f>
        <v/>
      </c>
      <c r="H568" s="47"/>
      <c r="I568" s="61">
        <f>SUMIFS(StockInData[Quantity],StockInData[Product ID],ProductMaster!$B568)-SUMIFS(StockOutData[Quantity],StockOutData[Product ID],ProductMaster!$B568)</f>
        <v>0</v>
      </c>
      <c r="J568" s="63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 t="str">
        <f>IFERROR(INDEX(StockInData[Expiry],MATCH(ProductMaster[[#This Row],[Product ID]],StockInData[Product ID],0)),"")</f>
        <v/>
      </c>
      <c r="H570" s="47"/>
      <c r="I570" s="61">
        <f>SUMIFS(StockInData[Quantity],StockInData[Product ID],ProductMaster!$B570)-SUMIFS(StockOutData[Quantity],StockOutData[Product ID],ProductMaster!$B570)</f>
        <v>0</v>
      </c>
      <c r="J570" s="63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 t="str">
        <f>IFERROR(INDEX(StockInData[Expiry],MATCH(ProductMaster[[#This Row],[Product ID]],StockInData[Product ID],0)),"")</f>
        <v/>
      </c>
      <c r="H572" s="47"/>
      <c r="I572" s="61">
        <f>SUMIFS(StockInData[Quantity],StockInData[Product ID],ProductMaster!$B572)-SUMIFS(StockOutData[Quantity],StockOutData[Product ID],ProductMaster!$B572)</f>
        <v>0</v>
      </c>
      <c r="J572" s="63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 t="str">
        <f>IFERROR(INDEX(StockInData[Expiry],MATCH(ProductMaster[[#This Row],[Product ID]],StockInData[Product ID],0)),"")</f>
        <v/>
      </c>
      <c r="H573" s="47"/>
      <c r="I573" s="61">
        <f>SUMIFS(StockInData[Quantity],StockInData[Product ID],ProductMaster!$B573)-SUMIFS(StockOutData[Quantity],StockOutData[Product ID],ProductMaster!$B573)</f>
        <v>0</v>
      </c>
      <c r="J573" s="63">
        <f>SUMIFS(StockInData[Value],StockInData[Product ID],ProductMaster!$B573)-SUMIFS(StockOutData[Value],StockOutData[Product ID],ProductMaster!$B573)</f>
        <v>0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 t="str">
        <f>IFERROR(INDEX(StockInData[Expiry],MATCH(ProductMaster[[#This Row],[Product ID]],StockInData[Product ID],0)),"")</f>
        <v/>
      </c>
      <c r="H574" s="47"/>
      <c r="I574" s="61">
        <f>SUMIFS(StockInData[Quantity],StockInData[Product ID],ProductMaster!$B574)-SUMIFS(StockOutData[Quantity],StockOutData[Product ID],ProductMaster!$B574)</f>
        <v>0</v>
      </c>
      <c r="J574" s="63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 t="str">
        <f>IFERROR(INDEX(StockInData[Expiry],MATCH(ProductMaster[[#This Row],[Product ID]],StockInData[Product ID],0)),"")</f>
        <v/>
      </c>
      <c r="H576" s="47"/>
      <c r="I576" s="61">
        <f>SUMIFS(StockInData[Quantity],StockInData[Product ID],ProductMaster!$B576)-SUMIFS(StockOutData[Quantity],StockOutData[Product ID],ProductMaster!$B576)</f>
        <v>0</v>
      </c>
      <c r="J576" s="63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 t="str">
        <f>IFERROR(INDEX(StockInData[Expiry],MATCH(ProductMaster[[#This Row],[Product ID]],StockInData[Product ID],0)),"")</f>
        <v/>
      </c>
      <c r="H578" s="47"/>
      <c r="I578" s="61">
        <f>SUMIFS(StockInData[Quantity],StockInData[Product ID],ProductMaster!$B578)-SUMIFS(StockOutData[Quantity],StockOutData[Product ID],ProductMaster!$B578)</f>
        <v>0</v>
      </c>
      <c r="J578" s="63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 t="str">
        <f>IFERROR(INDEX(StockInData[Expiry],MATCH(ProductMaster[[#This Row],[Product ID]],StockInData[Product ID],0)),"")</f>
        <v/>
      </c>
      <c r="H583" s="47"/>
      <c r="I583" s="61">
        <f>SUMIFS(StockInData[Quantity],StockInData[Product ID],ProductMaster!$B583)-SUMIFS(StockOutData[Quantity],StockOutData[Product ID],ProductMaster!$B583)</f>
        <v>0</v>
      </c>
      <c r="J583" s="63">
        <f>SUMIFS(StockInData[Value],StockInData[Product ID],ProductMaster!$B583)-SUMIFS(StockOutData[Value],StockOutData[Product ID],ProductMaster!$B583)</f>
        <v>0</v>
      </c>
    </row>
    <row r="584" spans="1:10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 t="str">
        <f>IFERROR(INDEX(StockInData[Expiry],MATCH(ProductMaster[[#This Row],[Product ID]],StockInData[Product ID],0)),"")</f>
        <v/>
      </c>
      <c r="H593" s="47"/>
      <c r="I593" s="61">
        <f>SUMIFS(StockInData[Quantity],StockInData[Product ID],ProductMaster!$B593)-SUMIFS(StockOutData[Quantity],StockOutData[Product ID],ProductMaster!$B593)</f>
        <v>0</v>
      </c>
      <c r="J593" s="63">
        <f>SUMIFS(StockInData[Value],StockInData[Product ID],ProductMaster!$B593)-SUMIFS(StockOutData[Value],StockOutData[Product ID],ProductMaster!$B593)</f>
        <v>0</v>
      </c>
    </row>
    <row r="594" spans="1:10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 t="str">
        <f>IFERROR(INDEX(StockInData[Expiry],MATCH(ProductMaster[[#This Row],[Product ID]],StockInData[Product ID],0)),"")</f>
        <v/>
      </c>
      <c r="H596" s="47"/>
      <c r="I596" s="61">
        <f>SUMIFS(StockInData[Quantity],StockInData[Product ID],ProductMaster!$B596)-SUMIFS(StockOutData[Quantity],StockOutData[Product ID],ProductMaster!$B596)</f>
        <v>0</v>
      </c>
      <c r="J596" s="63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 t="str">
        <f>IFERROR(INDEX(StockInData[Expiry],MATCH(ProductMaster[[#This Row],[Product ID]],StockInData[Product ID],0)),"")</f>
        <v/>
      </c>
      <c r="H598" s="47"/>
      <c r="I598" s="61">
        <f>SUMIFS(StockInData[Quantity],StockInData[Product ID],ProductMaster!$B598)-SUMIFS(StockOutData[Quantity],StockOutData[Product ID],ProductMaster!$B598)</f>
        <v>0</v>
      </c>
      <c r="J598" s="63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 t="str">
        <f>IFERROR(INDEX(StockInData[Expiry],MATCH(ProductMaster[[#This Row],[Product ID]],StockInData[Product ID],0)),"")</f>
        <v/>
      </c>
      <c r="H601" s="47"/>
      <c r="I601" s="61">
        <f>SUMIFS(StockInData[Quantity],StockInData[Product ID],ProductMaster!$B601)-SUMIFS(StockOutData[Quantity],StockOutData[Product ID],ProductMaster!$B601)</f>
        <v>0</v>
      </c>
      <c r="J601" s="63">
        <f>SUMIFS(StockInData[Value],StockInData[Product ID],ProductMaster!$B601)-SUMIFS(StockOutData[Value],StockOutData[Product ID],ProductMaster!$B601)</f>
        <v>0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 t="str">
        <f>IFERROR(INDEX(StockInData[Expiry],MATCH(ProductMaster[[#This Row],[Product ID]],StockInData[Product ID],0)),"")</f>
        <v/>
      </c>
      <c r="H602" s="47"/>
      <c r="I602" s="61">
        <f>SUMIFS(StockInData[Quantity],StockInData[Product ID],ProductMaster!$B602)-SUMIFS(StockOutData[Quantity],StockOutData[Product ID],ProductMaster!$B602)</f>
        <v>0</v>
      </c>
      <c r="J602" s="63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 t="str">
        <f>IFERROR(INDEX(StockInData[Expiry],MATCH(ProductMaster[[#This Row],[Product ID]],StockInData[Product ID],0)),"")</f>
        <v/>
      </c>
      <c r="H603" s="47"/>
      <c r="I603" s="61">
        <f>SUMIFS(StockInData[Quantity],StockInData[Product ID],ProductMaster!$B603)-SUMIFS(StockOutData[Quantity],StockOutData[Product ID],ProductMaster!$B603)</f>
        <v>0</v>
      </c>
      <c r="J603" s="63">
        <f>SUMIFS(StockInData[Value],StockInData[Product ID],ProductMaster!$B603)-SUMIFS(StockOutData[Value],StockOutData[Product ID],ProductMaster!$B603)</f>
        <v>0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 t="str">
        <f>IFERROR(INDEX(StockInData[Expiry],MATCH(ProductMaster[[#This Row],[Product ID]],StockInData[Product ID],0)),"")</f>
        <v/>
      </c>
      <c r="H604" s="47"/>
      <c r="I604" s="61">
        <f>SUMIFS(StockInData[Quantity],StockInData[Product ID],ProductMaster!$B604)-SUMIFS(StockOutData[Quantity],StockOutData[Product ID],ProductMaster!$B604)</f>
        <v>0</v>
      </c>
      <c r="J604" s="63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 t="str">
        <f>IFERROR(INDEX(StockInData[Expiry],MATCH(ProductMaster[[#This Row],[Product ID]],StockInData[Product ID],0)),"")</f>
        <v/>
      </c>
      <c r="H606" s="47"/>
      <c r="I606" s="61">
        <f>SUMIFS(StockInData[Quantity],StockInData[Product ID],ProductMaster!$B606)-SUMIFS(StockOutData[Quantity],StockOutData[Product ID],ProductMaster!$B606)</f>
        <v>0</v>
      </c>
      <c r="J606" s="63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 t="str">
        <f>IFERROR(INDEX(StockInData[Expiry],MATCH(ProductMaster[[#This Row],[Product ID]],StockInData[Product ID],0)),"")</f>
        <v/>
      </c>
      <c r="H607" s="47"/>
      <c r="I607" s="61">
        <f>SUMIFS(StockInData[Quantity],StockInData[Product ID],ProductMaster!$B607)-SUMIFS(StockOutData[Quantity],StockOutData[Product ID],ProductMaster!$B607)</f>
        <v>0</v>
      </c>
      <c r="J607" s="63">
        <f>SUMIFS(StockInData[Value],StockInData[Product ID],ProductMaster!$B607)-SUMIFS(StockOutData[Value],StockOutData[Product ID],ProductMaster!$B607)</f>
        <v>0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 t="str">
        <f>IFERROR(INDEX(StockInData[Expiry],MATCH(ProductMaster[[#This Row],[Product ID]],StockInData[Product ID],0)),"")</f>
        <v/>
      </c>
      <c r="H608" s="47"/>
      <c r="I608" s="61">
        <f>SUMIFS(StockInData[Quantity],StockInData[Product ID],ProductMaster!$B608)-SUMIFS(StockOutData[Quantity],StockOutData[Product ID],ProductMaster!$B608)</f>
        <v>0</v>
      </c>
      <c r="J608" s="63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 t="str">
        <f>IFERROR(INDEX(StockInData[Expiry],MATCH(ProductMaster[[#This Row],[Product ID]],StockInData[Product ID],0)),"")</f>
        <v/>
      </c>
      <c r="H609" s="47"/>
      <c r="I609" s="61">
        <f>SUMIFS(StockInData[Quantity],StockInData[Product ID],ProductMaster!$B609)-SUMIFS(StockOutData[Quantity],StockOutData[Product ID],ProductMaster!$B609)</f>
        <v>0</v>
      </c>
      <c r="J609" s="63">
        <f>SUMIFS(StockInData[Value],StockInData[Product ID],ProductMaster!$B609)-SUMIFS(StockOutData[Value],StockOutData[Product ID],ProductMaster!$B609)</f>
        <v>0</v>
      </c>
    </row>
    <row r="610" spans="1:10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 t="str">
        <f>IFERROR(INDEX(StockInData[Expiry],MATCH(ProductMaster[[#This Row],[Product ID]],StockInData[Product ID],0)),"")</f>
        <v/>
      </c>
      <c r="H612" s="47"/>
      <c r="I612" s="61">
        <f>SUMIFS(StockInData[Quantity],StockInData[Product ID],ProductMaster!$B612)-SUMIFS(StockOutData[Quantity],StockOutData[Product ID],ProductMaster!$B612)</f>
        <v>0</v>
      </c>
      <c r="J612" s="63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 t="str">
        <f>IFERROR(INDEX(StockInData[Expiry],MATCH(ProductMaster[[#This Row],[Product ID]],StockInData[Product ID],0)),"")</f>
        <v/>
      </c>
      <c r="H613" s="47"/>
      <c r="I613" s="61">
        <f>SUMIFS(StockInData[Quantity],StockInData[Product ID],ProductMaster!$B613)-SUMIFS(StockOutData[Quantity],StockOutData[Product ID],ProductMaster!$B613)</f>
        <v>0</v>
      </c>
      <c r="J613" s="63">
        <f>SUMIFS(StockInData[Value],StockInData[Product ID],ProductMaster!$B613)-SUMIFS(StockOutData[Value],StockOutData[Product ID],ProductMaster!$B613)</f>
        <v>0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 t="str">
        <f>IFERROR(INDEX(StockInData[Expiry],MATCH(ProductMaster[[#This Row],[Product ID]],StockInData[Product ID],0)),"")</f>
        <v/>
      </c>
      <c r="H614" s="47"/>
      <c r="I614" s="61">
        <f>SUMIFS(StockInData[Quantity],StockInData[Product ID],ProductMaster!$B614)-SUMIFS(StockOutData[Quantity],StockOutData[Product ID],ProductMaster!$B614)</f>
        <v>0</v>
      </c>
      <c r="J614" s="63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 t="str">
        <f>IFERROR(INDEX(StockInData[Expiry],MATCH(ProductMaster[[#This Row],[Product ID]],StockInData[Product ID],0)),"")</f>
        <v/>
      </c>
      <c r="H615" s="47"/>
      <c r="I615" s="61">
        <f>SUMIFS(StockInData[Quantity],StockInData[Product ID],ProductMaster!$B615)-SUMIFS(StockOutData[Quantity],StockOutData[Product ID],ProductMaster!$B615)</f>
        <v>0</v>
      </c>
      <c r="J615" s="63">
        <f>SUMIFS(StockInData[Value],StockInData[Product ID],ProductMaster!$B615)-SUMIFS(StockOutData[Value],StockOutData[Product ID],ProductMaster!$B615)</f>
        <v>0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 t="str">
        <f>IFERROR(INDEX(StockInData[Expiry],MATCH(ProductMaster[[#This Row],[Product ID]],StockInData[Product ID],0)),"")</f>
        <v/>
      </c>
      <c r="H616" s="47"/>
      <c r="I616" s="61">
        <f>SUMIFS(StockInData[Quantity],StockInData[Product ID],ProductMaster!$B616)-SUMIFS(StockOutData[Quantity],StockOutData[Product ID],ProductMaster!$B616)</f>
        <v>0</v>
      </c>
      <c r="J616" s="63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 t="str">
        <f>IFERROR(INDEX(StockInData[Expiry],MATCH(ProductMaster[[#This Row],[Product ID]],StockInData[Product ID],0)),"")</f>
        <v/>
      </c>
      <c r="H617" s="47"/>
      <c r="I617" s="61">
        <f>SUMIFS(StockInData[Quantity],StockInData[Product ID],ProductMaster!$B617)-SUMIFS(StockOutData[Quantity],StockOutData[Product ID],ProductMaster!$B617)</f>
        <v>0</v>
      </c>
      <c r="J617" s="63">
        <f>SUMIFS(StockInData[Value],StockInData[Product ID],ProductMaster!$B617)-SUMIFS(StockOutData[Value],StockOutData[Product ID],ProductMaster!$B617)</f>
        <v>0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 t="str">
        <f>IFERROR(INDEX(StockInData[Expiry],MATCH(ProductMaster[[#This Row],[Product ID]],StockInData[Product ID],0)),"")</f>
        <v/>
      </c>
      <c r="H618" s="47"/>
      <c r="I618" s="61">
        <f>SUMIFS(StockInData[Quantity],StockInData[Product ID],ProductMaster!$B618)-SUMIFS(StockOutData[Quantity],StockOutData[Product ID],ProductMaster!$B618)</f>
        <v>0</v>
      </c>
      <c r="J618" s="63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 t="str">
        <f>IFERROR(INDEX(StockInData[Expiry],MATCH(ProductMaster[[#This Row],[Product ID]],StockInData[Product ID],0)),"")</f>
        <v/>
      </c>
      <c r="H619" s="47"/>
      <c r="I619" s="61">
        <f>SUMIFS(StockInData[Quantity],StockInData[Product ID],ProductMaster!$B619)-SUMIFS(StockOutData[Quantity],StockOutData[Product ID],ProductMaster!$B619)</f>
        <v>0</v>
      </c>
      <c r="J619" s="63">
        <f>SUMIFS(StockInData[Value],StockInData[Product ID],ProductMaster!$B619)-SUMIFS(StockOutData[Value],StockOutData[Product ID],ProductMaster!$B619)</f>
        <v>0</v>
      </c>
    </row>
    <row r="620" spans="1:10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 t="str">
        <f>IFERROR(INDEX(StockInData[Expiry],MATCH(ProductMaster[[#This Row],[Product ID]],StockInData[Product ID],0)),"")</f>
        <v/>
      </c>
      <c r="H621" s="47"/>
      <c r="I621" s="61">
        <f>SUMIFS(StockInData[Quantity],StockInData[Product ID],ProductMaster!$B621)-SUMIFS(StockOutData[Quantity],StockOutData[Product ID],ProductMaster!$B621)</f>
        <v>0</v>
      </c>
      <c r="J621" s="63">
        <f>SUMIFS(StockInData[Value],StockInData[Product ID],ProductMaster!$B621)-SUMIFS(StockOutData[Value],StockOutData[Product ID],ProductMaster!$B621)</f>
        <v>0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 t="str">
        <f>IFERROR(INDEX(StockInData[Expiry],MATCH(ProductMaster[[#This Row],[Product ID]],StockInData[Product ID],0)),"")</f>
        <v/>
      </c>
      <c r="H622" s="47"/>
      <c r="I622" s="61">
        <f>SUMIFS(StockInData[Quantity],StockInData[Product ID],ProductMaster!$B622)-SUMIFS(StockOutData[Quantity],StockOutData[Product ID],ProductMaster!$B622)</f>
        <v>0</v>
      </c>
      <c r="J622" s="63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 t="str">
        <f>IFERROR(INDEX(StockInData[Expiry],MATCH(ProductMaster[[#This Row],[Product ID]],StockInData[Product ID],0)),"")</f>
        <v/>
      </c>
      <c r="H624" s="47"/>
      <c r="I624" s="61">
        <f>SUMIFS(StockInData[Quantity],StockInData[Product ID],ProductMaster!$B624)-SUMIFS(StockOutData[Quantity],StockOutData[Product ID],ProductMaster!$B624)</f>
        <v>0</v>
      </c>
      <c r="J624" s="63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 t="str">
        <f>IFERROR(INDEX(StockInData[Expiry],MATCH(ProductMaster[[#This Row],[Product ID]],StockInData[Product ID],0)),"")</f>
        <v/>
      </c>
      <c r="H625" s="47"/>
      <c r="I625" s="61">
        <f>SUMIFS(StockInData[Quantity],StockInData[Product ID],ProductMaster!$B625)-SUMIFS(StockOutData[Quantity],StockOutData[Product ID],ProductMaster!$B625)</f>
        <v>0</v>
      </c>
      <c r="J625" s="63">
        <f>SUMIFS(StockInData[Value],StockInData[Product ID],ProductMaster!$B625)-SUMIFS(StockOutData[Value],StockOutData[Product ID],ProductMaster!$B625)</f>
        <v>0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 t="str">
        <f>IFERROR(INDEX(StockInData[Expiry],MATCH(ProductMaster[[#This Row],[Product ID]],StockInData[Product ID],0)),"")</f>
        <v/>
      </c>
      <c r="H626" s="47"/>
      <c r="I626" s="61">
        <f>SUMIFS(StockInData[Quantity],StockInData[Product ID],ProductMaster!$B626)-SUMIFS(StockOutData[Quantity],StockOutData[Product ID],ProductMaster!$B626)</f>
        <v>0</v>
      </c>
      <c r="J626" s="63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 t="str">
        <f>IFERROR(INDEX(StockInData[Expiry],MATCH(ProductMaster[[#This Row],[Product ID]],StockInData[Product ID],0)),"")</f>
        <v/>
      </c>
      <c r="H627" s="47"/>
      <c r="I627" s="61">
        <f>SUMIFS(StockInData[Quantity],StockInData[Product ID],ProductMaster!$B627)-SUMIFS(StockOutData[Quantity],StockOutData[Product ID],ProductMaster!$B627)</f>
        <v>0</v>
      </c>
      <c r="J627" s="63">
        <f>SUMIFS(StockInData[Value],StockInData[Product ID],ProductMaster!$B627)-SUMIFS(StockOutData[Value],StockOutData[Product ID],ProductMaster!$B627)</f>
        <v>0</v>
      </c>
    </row>
    <row r="628" spans="1:10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 t="str">
        <f>IFERROR(INDEX(StockInData[Expiry],MATCH(ProductMaster[[#This Row],[Product ID]],StockInData[Product ID],0)),"")</f>
        <v/>
      </c>
      <c r="H632" s="47"/>
      <c r="I632" s="61">
        <f>SUMIFS(StockInData[Quantity],StockInData[Product ID],ProductMaster!$B632)-SUMIFS(StockOutData[Quantity],StockOutData[Product ID],ProductMaster!$B632)</f>
        <v>0</v>
      </c>
      <c r="J632" s="63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 t="str">
        <f>IFERROR(INDEX(StockInData[Expiry],MATCH(ProductMaster[[#This Row],[Product ID]],StockInData[Product ID],0)),"")</f>
        <v/>
      </c>
      <c r="H634" s="47"/>
      <c r="I634" s="61">
        <f>SUMIFS(StockInData[Quantity],StockInData[Product ID],ProductMaster!$B634)-SUMIFS(StockOutData[Quantity],StockOutData[Product ID],ProductMaster!$B634)</f>
        <v>0</v>
      </c>
      <c r="J634" s="63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 t="str">
        <f>IFERROR(INDEX(StockInData[Expiry],MATCH(ProductMaster[[#This Row],[Product ID]],StockInData[Product ID],0)),"")</f>
        <v/>
      </c>
      <c r="H636" s="47"/>
      <c r="I636" s="61">
        <f>SUMIFS(StockInData[Quantity],StockInData[Product ID],ProductMaster!$B636)-SUMIFS(StockOutData[Quantity],StockOutData[Product ID],ProductMaster!$B636)</f>
        <v>0</v>
      </c>
      <c r="J636" s="63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 t="str">
        <f>IFERROR(INDEX(StockInData[Expiry],MATCH(ProductMaster[[#This Row],[Product ID]],StockInData[Product ID],0)),"")</f>
        <v/>
      </c>
      <c r="H637" s="47"/>
      <c r="I637" s="61">
        <f>SUMIFS(StockInData[Quantity],StockInData[Product ID],ProductMaster!$B637)-SUMIFS(StockOutData[Quantity],StockOutData[Product ID],ProductMaster!$B637)</f>
        <v>0</v>
      </c>
      <c r="J637" s="63">
        <f>SUMIFS(StockInData[Value],StockInData[Product ID],ProductMaster!$B637)-SUMIFS(StockOutData[Value],StockOutData[Product ID],ProductMaster!$B637)</f>
        <v>0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 t="str">
        <f>IFERROR(INDEX(StockInData[Expiry],MATCH(ProductMaster[[#This Row],[Product ID]],StockInData[Product ID],0)),"")</f>
        <v/>
      </c>
      <c r="H638" s="47"/>
      <c r="I638" s="61">
        <f>SUMIFS(StockInData[Quantity],StockInData[Product ID],ProductMaster!$B638)-SUMIFS(StockOutData[Quantity],StockOutData[Product ID],ProductMaster!$B638)</f>
        <v>0</v>
      </c>
      <c r="J638" s="63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 t="str">
        <f>IFERROR(INDEX(StockInData[Expiry],MATCH(ProductMaster[[#This Row],[Product ID]],StockInData[Product ID],0)),"")</f>
        <v/>
      </c>
      <c r="H639" s="47"/>
      <c r="I639" s="61">
        <f>SUMIFS(StockInData[Quantity],StockInData[Product ID],ProductMaster!$B639)-SUMIFS(StockOutData[Quantity],StockOutData[Product ID],ProductMaster!$B639)</f>
        <v>0</v>
      </c>
      <c r="J639" s="63">
        <f>SUMIFS(StockInData[Value],StockInData[Product ID],ProductMaster!$B639)-SUMIFS(StockOutData[Value],StockOutData[Product ID],ProductMaster!$B639)</f>
        <v>0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 t="str">
        <f>IFERROR(INDEX(StockInData[Expiry],MATCH(ProductMaster[[#This Row],[Product ID]],StockInData[Product ID],0)),"")</f>
        <v/>
      </c>
      <c r="H640" s="47"/>
      <c r="I640" s="61">
        <f>SUMIFS(StockInData[Quantity],StockInData[Product ID],ProductMaster!$B640)-SUMIFS(StockOutData[Quantity],StockOutData[Product ID],ProductMaster!$B640)</f>
        <v>0</v>
      </c>
      <c r="J640" s="63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 t="str">
        <f>IFERROR(INDEX(StockInData[Expiry],MATCH(ProductMaster[[#This Row],[Product ID]],StockInData[Product ID],0)),"")</f>
        <v/>
      </c>
      <c r="H642" s="47"/>
      <c r="I642" s="61">
        <f>SUMIFS(StockInData[Quantity],StockInData[Product ID],ProductMaster!$B642)-SUMIFS(StockOutData[Quantity],StockOutData[Product ID],ProductMaster!$B642)</f>
        <v>0</v>
      </c>
      <c r="J642" s="63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 t="str">
        <f>IFERROR(INDEX(StockInData[Expiry],MATCH(ProductMaster[[#This Row],[Product ID]],StockInData[Product ID],0)),"")</f>
        <v/>
      </c>
      <c r="H644" s="47"/>
      <c r="I644" s="61">
        <f>SUMIFS(StockInData[Quantity],StockInData[Product ID],ProductMaster!$B644)-SUMIFS(StockOutData[Quantity],StockOutData[Product ID],ProductMaster!$B644)</f>
        <v>0</v>
      </c>
      <c r="J644" s="63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 t="str">
        <f>IFERROR(INDEX(StockInData[Expiry],MATCH(ProductMaster[[#This Row],[Product ID]],StockInData[Product ID],0)),"")</f>
        <v/>
      </c>
      <c r="H645" s="47"/>
      <c r="I645" s="61">
        <f>SUMIFS(StockInData[Quantity],StockInData[Product ID],ProductMaster!$B645)-SUMIFS(StockOutData[Quantity],StockOutData[Product ID],ProductMaster!$B645)</f>
        <v>0</v>
      </c>
      <c r="J645" s="63">
        <f>SUMIFS(StockInData[Value],StockInData[Product ID],ProductMaster!$B645)-SUMIFS(StockOutData[Value],StockOutData[Product ID],ProductMaster!$B645)</f>
        <v>0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 t="str">
        <f>IFERROR(INDEX(StockInData[Expiry],MATCH(ProductMaster[[#This Row],[Product ID]],StockInData[Product ID],0)),"")</f>
        <v/>
      </c>
      <c r="H646" s="47"/>
      <c r="I646" s="61">
        <f>SUMIFS(StockInData[Quantity],StockInData[Product ID],ProductMaster!$B646)-SUMIFS(StockOutData[Quantity],StockOutData[Product ID],ProductMaster!$B646)</f>
        <v>0</v>
      </c>
      <c r="J646" s="63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 t="str">
        <f>IFERROR(INDEX(StockInData[Expiry],MATCH(ProductMaster[[#This Row],[Product ID]],StockInData[Product ID],0)),"")</f>
        <v/>
      </c>
      <c r="H647" s="47"/>
      <c r="I647" s="61">
        <f>SUMIFS(StockInData[Quantity],StockInData[Product ID],ProductMaster!$B647)-SUMIFS(StockOutData[Quantity],StockOutData[Product ID],ProductMaster!$B647)</f>
        <v>0</v>
      </c>
      <c r="J647" s="63">
        <f>SUMIFS(StockInData[Value],StockInData[Product ID],ProductMaster!$B647)-SUMIFS(StockOutData[Value],StockOutData[Product ID],ProductMaster!$B647)</f>
        <v>0</v>
      </c>
    </row>
    <row r="648" spans="1:10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 t="str">
        <f>IFERROR(INDEX(StockInData[Expiry],MATCH(ProductMaster[[#This Row],[Product ID]],StockInData[Product ID],0)),"")</f>
        <v/>
      </c>
      <c r="H660" s="47"/>
      <c r="I660" s="61">
        <f>SUMIFS(StockInData[Quantity],StockInData[Product ID],ProductMaster!$B660)-SUMIFS(StockOutData[Quantity],StockOutData[Product ID],ProductMaster!$B660)</f>
        <v>0</v>
      </c>
      <c r="J660" s="63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 t="str">
        <f>IFERROR(INDEX(StockInData[Expiry],MATCH(ProductMaster[[#This Row],[Product ID]],StockInData[Product ID],0)),"")</f>
        <v/>
      </c>
      <c r="H664" s="47"/>
      <c r="I664" s="61">
        <f>SUMIFS(StockInData[Quantity],StockInData[Product ID],ProductMaster!$B664)-SUMIFS(StockOutData[Quantity],StockOutData[Product ID],ProductMaster!$B664)</f>
        <v>0</v>
      </c>
      <c r="J664" s="63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 t="str">
        <f>IFERROR(INDEX(StockInData[Expiry],MATCH(ProductMaster[[#This Row],[Product ID]],StockInData[Product ID],0)),"")</f>
        <v/>
      </c>
      <c r="H669" s="47"/>
      <c r="I669" s="61">
        <f>SUMIFS(StockInData[Quantity],StockInData[Product ID],ProductMaster!$B669)-SUMIFS(StockOutData[Quantity],StockOutData[Product ID],ProductMaster!$B669)</f>
        <v>0</v>
      </c>
      <c r="J669" s="63">
        <f>SUMIFS(StockInData[Value],StockInData[Product ID],ProductMaster!$B669)-SUMIFS(StockOutData[Value],StockOutData[Product ID],ProductMaster!$B669)</f>
        <v>0</v>
      </c>
    </row>
    <row r="670" spans="1:10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 t="str">
        <f>IFERROR(INDEX(StockInData[Expiry],MATCH(ProductMaster[[#This Row],[Product ID]],StockInData[Product ID],0)),"")</f>
        <v/>
      </c>
      <c r="H676" s="47"/>
      <c r="I676" s="61">
        <f>SUMIFS(StockInData[Quantity],StockInData[Product ID],ProductMaster!$B676)-SUMIFS(StockOutData[Quantity],StockOutData[Product ID],ProductMaster!$B676)</f>
        <v>0</v>
      </c>
      <c r="J676" s="63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 t="str">
        <f>IFERROR(INDEX(StockInData[Expiry],MATCH(ProductMaster[[#This Row],[Product ID]],StockInData[Product ID],0)),"")</f>
        <v/>
      </c>
      <c r="H681" s="47"/>
      <c r="I681" s="61">
        <f>SUMIFS(StockInData[Quantity],StockInData[Product ID],ProductMaster!$B681)-SUMIFS(StockOutData[Quantity],StockOutData[Product ID],ProductMaster!$B681)</f>
        <v>0</v>
      </c>
      <c r="J681" s="63">
        <f>SUMIFS(StockInData[Value],StockInData[Product ID],ProductMaster!$B681)-SUMIFS(StockOutData[Value],StockOutData[Product ID],ProductMaster!$B681)</f>
        <v>0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 t="str">
        <f>IFERROR(INDEX(StockInData[Expiry],MATCH(ProductMaster[[#This Row],[Product ID]],StockInData[Product ID],0)),"")</f>
        <v/>
      </c>
      <c r="H682" s="47"/>
      <c r="I682" s="61">
        <f>SUMIFS(StockInData[Quantity],StockInData[Product ID],ProductMaster!$B682)-SUMIFS(StockOutData[Quantity],StockOutData[Product ID],ProductMaster!$B682)</f>
        <v>0</v>
      </c>
      <c r="J682" s="63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 t="str">
        <f>IFERROR(INDEX(StockInData[Expiry],MATCH(ProductMaster[[#This Row],[Product ID]],StockInData[Product ID],0)),"")</f>
        <v/>
      </c>
      <c r="H684" s="47"/>
      <c r="I684" s="61">
        <f>SUMIFS(StockInData[Quantity],StockInData[Product ID],ProductMaster!$B684)-SUMIFS(StockOutData[Quantity],StockOutData[Product ID],ProductMaster!$B684)</f>
        <v>0</v>
      </c>
      <c r="J684" s="63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 t="str">
        <f>IFERROR(INDEX(StockInData[Expiry],MATCH(ProductMaster[[#This Row],[Product ID]],StockInData[Product ID],0)),"")</f>
        <v/>
      </c>
      <c r="H686" s="47"/>
      <c r="I686" s="61">
        <f>SUMIFS(StockInData[Quantity],StockInData[Product ID],ProductMaster!$B686)-SUMIFS(StockOutData[Quantity],StockOutData[Product ID],ProductMaster!$B686)</f>
        <v>0</v>
      </c>
      <c r="J686" s="63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 t="str">
        <f>IFERROR(INDEX(StockInData[Expiry],MATCH(ProductMaster[[#This Row],[Product ID]],StockInData[Product ID],0)),"")</f>
        <v/>
      </c>
      <c r="H688" s="47"/>
      <c r="I688" s="61">
        <f>SUMIFS(StockInData[Quantity],StockInData[Product ID],ProductMaster!$B688)-SUMIFS(StockOutData[Quantity],StockOutData[Product ID],ProductMaster!$B688)</f>
        <v>0</v>
      </c>
      <c r="J688" s="63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 t="str">
        <f>IFERROR(INDEX(StockInData[Expiry],MATCH(ProductMaster[[#This Row],[Product ID]],StockInData[Product ID],0)),"")</f>
        <v/>
      </c>
      <c r="H691" s="47"/>
      <c r="I691" s="61">
        <f>SUMIFS(StockInData[Quantity],StockInData[Product ID],ProductMaster!$B691)-SUMIFS(StockOutData[Quantity],StockOutData[Product ID],ProductMaster!$B691)</f>
        <v>0</v>
      </c>
      <c r="J691" s="63">
        <f>SUMIFS(StockInData[Value],StockInData[Product ID],ProductMaster!$B691)-SUMIFS(StockOutData[Value],StockOutData[Product ID],ProductMaster!$B691)</f>
        <v>0</v>
      </c>
    </row>
    <row r="692" spans="1:10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 t="str">
        <f>IFERROR(INDEX(StockInData[Expiry],MATCH(ProductMaster[[#This Row],[Product ID]],StockInData[Product ID],0)),"")</f>
        <v/>
      </c>
      <c r="H696" s="47"/>
      <c r="I696" s="61">
        <f>SUMIFS(StockInData[Quantity],StockInData[Product ID],ProductMaster!$B696)-SUMIFS(StockOutData[Quantity],StockOutData[Product ID],ProductMaster!$B696)</f>
        <v>0</v>
      </c>
      <c r="J696" s="63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 t="str">
        <f>IFERROR(INDEX(StockInData[Expiry],MATCH(ProductMaster[[#This Row],[Product ID]],StockInData[Product ID],0)),"")</f>
        <v/>
      </c>
      <c r="H698" s="47"/>
      <c r="I698" s="61">
        <f>SUMIFS(StockInData[Quantity],StockInData[Product ID],ProductMaster!$B698)-SUMIFS(StockOutData[Quantity],StockOutData[Product ID],ProductMaster!$B698)</f>
        <v>0</v>
      </c>
      <c r="J698" s="63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 t="str">
        <f>IFERROR(INDEX(StockInData[Expiry],MATCH(ProductMaster[[#This Row],[Product ID]],StockInData[Product ID],0)),"")</f>
        <v/>
      </c>
      <c r="H700" s="47"/>
      <c r="I700" s="61">
        <f>SUMIFS(StockInData[Quantity],StockInData[Product ID],ProductMaster!$B700)-SUMIFS(StockOutData[Quantity],StockOutData[Product ID],ProductMaster!$B700)</f>
        <v>0</v>
      </c>
      <c r="J700" s="63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 t="str">
        <f>IFERROR(INDEX(StockInData[Expiry],MATCH(ProductMaster[[#This Row],[Product ID]],StockInData[Product ID],0)),"")</f>
        <v/>
      </c>
      <c r="H701" s="47"/>
      <c r="I701" s="61">
        <f>SUMIFS(StockInData[Quantity],StockInData[Product ID],ProductMaster!$B701)-SUMIFS(StockOutData[Quantity],StockOutData[Product ID],ProductMaster!$B701)</f>
        <v>0</v>
      </c>
      <c r="J701" s="63">
        <f>SUMIFS(StockInData[Value],StockInData[Product ID],ProductMaster!$B701)-SUMIFS(StockOutData[Value],StockOutData[Product ID],ProductMaster!$B701)</f>
        <v>0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 t="str">
        <f>IFERROR(INDEX(StockInData[Expiry],MATCH(ProductMaster[[#This Row],[Product ID]],StockInData[Product ID],0)),"")</f>
        <v/>
      </c>
      <c r="H702" s="47"/>
      <c r="I702" s="61">
        <f>SUMIFS(StockInData[Quantity],StockInData[Product ID],ProductMaster!$B702)-SUMIFS(StockOutData[Quantity],StockOutData[Product ID],ProductMaster!$B702)</f>
        <v>0</v>
      </c>
      <c r="J702" s="63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 t="str">
        <f>IFERROR(INDEX(StockInData[Expiry],MATCH(ProductMaster[[#This Row],[Product ID]],StockInData[Product ID],0)),"")</f>
        <v/>
      </c>
      <c r="H706" s="47"/>
      <c r="I706" s="61">
        <f>SUMIFS(StockInData[Quantity],StockInData[Product ID],ProductMaster!$B706)-SUMIFS(StockOutData[Quantity],StockOutData[Product ID],ProductMaster!$B706)</f>
        <v>0</v>
      </c>
      <c r="J706" s="63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 t="str">
        <f>IFERROR(INDEX(StockInData[Expiry],MATCH(ProductMaster[[#This Row],[Product ID]],StockInData[Product ID],0)),"")</f>
        <v/>
      </c>
      <c r="H710" s="47"/>
      <c r="I710" s="61">
        <f>SUMIFS(StockInData[Quantity],StockInData[Product ID],ProductMaster!$B710)-SUMIFS(StockOutData[Quantity],StockOutData[Product ID],ProductMaster!$B710)</f>
        <v>0</v>
      </c>
      <c r="J710" s="63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 t="str">
        <f>IFERROR(INDEX(StockInData[Expiry],MATCH(ProductMaster[[#This Row],[Product ID]],StockInData[Product ID],0)),"")</f>
        <v/>
      </c>
      <c r="H711" s="47"/>
      <c r="I711" s="61">
        <f>SUMIFS(StockInData[Quantity],StockInData[Product ID],ProductMaster!$B711)-SUMIFS(StockOutData[Quantity],StockOutData[Product ID],ProductMaster!$B711)</f>
        <v>0</v>
      </c>
      <c r="J711" s="63">
        <f>SUMIFS(StockInData[Value],StockInData[Product ID],ProductMaster!$B711)-SUMIFS(StockOutData[Value],StockOutData[Product ID],ProductMaster!$B711)</f>
        <v>0</v>
      </c>
    </row>
    <row r="712" spans="1:10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 t="str">
        <f>IFERROR(INDEX(StockInData[Expiry],MATCH(ProductMaster[[#This Row],[Product ID]],StockInData[Product ID],0)),"")</f>
        <v/>
      </c>
      <c r="H720" s="47"/>
      <c r="I720" s="61">
        <f>SUMIFS(StockInData[Quantity],StockInData[Product ID],ProductMaster!$B720)-SUMIFS(StockOutData[Quantity],StockOutData[Product ID],ProductMaster!$B720)</f>
        <v>0</v>
      </c>
      <c r="J720" s="63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 t="str">
        <f>IFERROR(INDEX(StockInData[Expiry],MATCH(ProductMaster[[#This Row],[Product ID]],StockInData[Product ID],0)),"")</f>
        <v/>
      </c>
      <c r="H722" s="47"/>
      <c r="I722" s="61">
        <f>SUMIFS(StockInData[Quantity],StockInData[Product ID],ProductMaster!$B722)-SUMIFS(StockOutData[Quantity],StockOutData[Product ID],ProductMaster!$B722)</f>
        <v>0</v>
      </c>
      <c r="J722" s="63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 t="str">
        <f>IFERROR(INDEX(StockInData[Expiry],MATCH(ProductMaster[[#This Row],[Product ID]],StockInData[Product ID],0)),"")</f>
        <v/>
      </c>
      <c r="H723" s="47"/>
      <c r="I723" s="61">
        <f>SUMIFS(StockInData[Quantity],StockInData[Product ID],ProductMaster!$B723)-SUMIFS(StockOutData[Quantity],StockOutData[Product ID],ProductMaster!$B723)</f>
        <v>0</v>
      </c>
      <c r="J723" s="63">
        <f>SUMIFS(StockInData[Value],StockInData[Product ID],ProductMaster!$B723)-SUMIFS(StockOutData[Value],StockOutData[Product ID],ProductMaster!$B723)</f>
        <v>0</v>
      </c>
    </row>
    <row r="724" spans="1:10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 t="str">
        <f>IFERROR(INDEX(StockInData[Expiry],MATCH(ProductMaster[[#This Row],[Product ID]],StockInData[Product ID],0)),"")</f>
        <v/>
      </c>
      <c r="H737" s="47"/>
      <c r="I737" s="61">
        <f>SUMIFS(StockInData[Quantity],StockInData[Product ID],ProductMaster!$B737)-SUMIFS(StockOutData[Quantity],StockOutData[Product ID],ProductMaster!$B737)</f>
        <v>0</v>
      </c>
      <c r="J737" s="63">
        <f>SUMIFS(StockInData[Value],StockInData[Product ID],ProductMaster!$B737)-SUMIFS(StockOutData[Value],StockOutData[Product ID],ProductMaster!$B737)</f>
        <v>0</v>
      </c>
    </row>
    <row r="738" spans="1:10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0</v>
      </c>
      <c r="J741" s="63">
        <f>SUMIFS(StockInData[Value],StockInData[Product ID],ProductMaster!$B741)-SUMIFS(StockOutData[Value],StockOutData[Product ID],ProductMaster!$B741)</f>
        <v>0</v>
      </c>
    </row>
    <row r="742" spans="1:10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 t="str">
        <f>IFERROR(INDEX(StockInData[Expiry],MATCH(ProductMaster[[#This Row],[Product ID]],StockInData[Product ID],0)),"")</f>
        <v/>
      </c>
      <c r="H754" s="47"/>
      <c r="I754" s="61">
        <f>SUMIFS(StockInData[Quantity],StockInData[Product ID],ProductMaster!$B754)-SUMIFS(StockOutData[Quantity],StockOutData[Product ID],ProductMaster!$B754)</f>
        <v>0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 t="str">
        <f>IFERROR(INDEX(StockInData[Expiry],MATCH(ProductMaster[[#This Row],[Product ID]],StockInData[Product ID],0)),"")</f>
        <v/>
      </c>
      <c r="H755" s="47"/>
      <c r="I755" s="61">
        <f>SUMIFS(StockInData[Quantity],StockInData[Product ID],ProductMaster!$B755)-SUMIFS(StockOutData[Quantity],StockOutData[Product ID],ProductMaster!$B755)</f>
        <v>0</v>
      </c>
      <c r="J755" s="63">
        <f>SUMIFS(StockInData[Value],StockInData[Product ID],ProductMaster!$B755)-SUMIFS(StockOutData[Value],StockOutData[Product ID],ProductMaster!$B755)</f>
        <v>0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 t="str">
        <f>IFERROR(INDEX(StockInData[Expiry],MATCH(ProductMaster[[#This Row],[Product ID]],StockInData[Product ID],0)),"")</f>
        <v/>
      </c>
      <c r="H756" s="47"/>
      <c r="I756" s="61">
        <f>SUMIFS(StockInData[Quantity],StockInData[Product ID],ProductMaster!$B756)-SUMIFS(StockOutData[Quantity],StockOutData[Product ID],ProductMaster!$B756)</f>
        <v>0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 t="str">
        <f>IFERROR(INDEX(StockInData[Expiry],MATCH(ProductMaster[[#This Row],[Product ID]],StockInData[Product ID],0)),"")</f>
        <v/>
      </c>
      <c r="H757" s="47"/>
      <c r="I757" s="61">
        <f>SUMIFS(StockInData[Quantity],StockInData[Product ID],ProductMaster!$B757)-SUMIFS(StockOutData[Quantity],StockOutData[Product ID],ProductMaster!$B757)</f>
        <v>0</v>
      </c>
      <c r="J757" s="63">
        <f>SUMIFS(StockInData[Value],StockInData[Product ID],ProductMaster!$B757)-SUMIFS(StockOutData[Value],StockOutData[Product ID],ProductMaster!$B757)</f>
        <v>0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 t="str">
        <f>IFERROR(INDEX(StockInData[Expiry],MATCH(ProductMaster[[#This Row],[Product ID]],StockInData[Product ID],0)),"")</f>
        <v/>
      </c>
      <c r="H758" s="47"/>
      <c r="I758" s="61">
        <f>SUMIFS(StockInData[Quantity],StockInData[Product ID],ProductMaster!$B758)-SUMIFS(StockOutData[Quantity],StockOutData[Product ID],ProductMaster!$B758)</f>
        <v>0</v>
      </c>
      <c r="J758" s="63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 t="str">
        <f>IFERROR(INDEX(StockInData[Expiry],MATCH(ProductMaster[[#This Row],[Product ID]],StockInData[Product ID],0)),"")</f>
        <v/>
      </c>
      <c r="H759" s="47"/>
      <c r="I759" s="61">
        <f>SUMIFS(StockInData[Quantity],StockInData[Product ID],ProductMaster!$B759)-SUMIFS(StockOutData[Quantity],StockOutData[Product ID],ProductMaster!$B759)</f>
        <v>0</v>
      </c>
      <c r="J759" s="63">
        <f>SUMIFS(StockInData[Value],StockInData[Product ID],ProductMaster!$B759)-SUMIFS(StockOutData[Value],StockOutData[Product ID],ProductMaster!$B759)</f>
        <v>0</v>
      </c>
    </row>
    <row r="760" spans="1:10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 t="str">
        <f>IFERROR(INDEX(StockInData[Expiry],MATCH(ProductMaster[[#This Row],[Product ID]],StockInData[Product ID],0)),"")</f>
        <v/>
      </c>
      <c r="H762" s="47"/>
      <c r="I762" s="61">
        <f>SUMIFS(StockInData[Quantity],StockInData[Product ID],ProductMaster!$B762)-SUMIFS(StockOutData[Quantity],StockOutData[Product ID],ProductMaster!$B762)</f>
        <v>0</v>
      </c>
      <c r="J762" s="63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 t="str">
        <f>IFERROR(INDEX(StockInData[Expiry],MATCH(ProductMaster[[#This Row],[Product ID]],StockInData[Product ID],0)),"")</f>
        <v/>
      </c>
      <c r="H766" s="47"/>
      <c r="I766" s="61">
        <f>SUMIFS(StockInData[Quantity],StockInData[Product ID],ProductMaster!$B766)-SUMIFS(StockOutData[Quantity],StockOutData[Product ID],ProductMaster!$B766)</f>
        <v>0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 t="str">
        <f>IFERROR(INDEX(StockInData[Expiry],MATCH(ProductMaster[[#This Row],[Product ID]],StockInData[Product ID],0)),"")</f>
        <v/>
      </c>
      <c r="H767" s="47"/>
      <c r="I767" s="61">
        <f>SUMIFS(StockInData[Quantity],StockInData[Product ID],ProductMaster!$B767)-SUMIFS(StockOutData[Quantity],StockOutData[Product ID],ProductMaster!$B767)</f>
        <v>0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 t="str">
        <f>IFERROR(INDEX(StockInData[Expiry],MATCH(ProductMaster[[#This Row],[Product ID]],StockInData[Product ID],0)),"")</f>
        <v/>
      </c>
      <c r="H768" s="47"/>
      <c r="I768" s="61">
        <f>SUMIFS(StockInData[Quantity],StockInData[Product ID],ProductMaster!$B768)-SUMIFS(StockOutData[Quantity],StockOutData[Product ID],ProductMaster!$B768)</f>
        <v>0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 t="str">
        <f>IFERROR(INDEX(StockInData[Expiry],MATCH(ProductMaster[[#This Row],[Product ID]],StockInData[Product ID],0)),"")</f>
        <v/>
      </c>
      <c r="H769" s="47"/>
      <c r="I769" s="61">
        <f>SUMIFS(StockInData[Quantity],StockInData[Product ID],ProductMaster!$B769)-SUMIFS(StockOutData[Quantity],StockOutData[Product ID],ProductMaster!$B769)</f>
        <v>0</v>
      </c>
      <c r="J769" s="63">
        <f>SUMIFS(StockInData[Value],StockInData[Product ID],ProductMaster!$B769)-SUMIFS(StockOutData[Value],StockOutData[Product ID],ProductMaster!$B769)</f>
        <v>0</v>
      </c>
    </row>
    <row r="770" spans="1:10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 t="str">
        <f>IFERROR(INDEX(StockInData[Expiry],MATCH(ProductMaster[[#This Row],[Product ID]],StockInData[Product ID],0)),"")</f>
        <v/>
      </c>
      <c r="H772" s="47"/>
      <c r="I772" s="61">
        <f>SUMIFS(StockInData[Quantity],StockInData[Product ID],ProductMaster!$B772)-SUMIFS(StockOutData[Quantity],StockOutData[Product ID],ProductMaster!$B772)</f>
        <v>0</v>
      </c>
      <c r="J772" s="63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 t="str">
        <f>IFERROR(INDEX(StockInData[Expiry],MATCH(ProductMaster[[#This Row],[Product ID]],StockInData[Product ID],0)),"")</f>
        <v/>
      </c>
      <c r="H774" s="47"/>
      <c r="I774" s="61">
        <f>SUMIFS(StockInData[Quantity],StockInData[Product ID],ProductMaster!$B774)-SUMIFS(StockOutData[Quantity],StockOutData[Product ID],ProductMaster!$B774)</f>
        <v>0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 t="str">
        <f>IFERROR(INDEX(StockInData[Expiry],MATCH(ProductMaster[[#This Row],[Product ID]],StockInData[Product ID],0)),"")</f>
        <v/>
      </c>
      <c r="H775" s="47"/>
      <c r="I775" s="61">
        <f>SUMIFS(StockInData[Quantity],StockInData[Product ID],ProductMaster!$B775)-SUMIFS(StockOutData[Quantity],StockOutData[Product ID],ProductMaster!$B775)</f>
        <v>0</v>
      </c>
      <c r="J775" s="63">
        <f>SUMIFS(StockInData[Value],StockInData[Product ID],ProductMaster!$B775)-SUMIFS(StockOutData[Value],StockOutData[Product ID],ProductMaster!$B775)</f>
        <v>0</v>
      </c>
    </row>
    <row r="776" spans="1:10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 t="str">
        <f>IFERROR(INDEX(StockInData[Expiry],MATCH(ProductMaster[[#This Row],[Product ID]],StockInData[Product ID],0)),"")</f>
        <v/>
      </c>
      <c r="H779" s="47"/>
      <c r="I779" s="61">
        <f>SUMIFS(StockInData[Quantity],StockInData[Product ID],ProductMaster!$B779)-SUMIFS(StockOutData[Quantity],StockOutData[Product ID],ProductMaster!$B779)</f>
        <v>0</v>
      </c>
      <c r="J779" s="63">
        <f>SUMIFS(StockInData[Value],StockInData[Product ID],ProductMaster!$B779)-SUMIFS(StockOutData[Value],StockOutData[Product ID],ProductMaster!$B779)</f>
        <v>0</v>
      </c>
    </row>
    <row r="780" spans="1:10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 t="str">
        <f>IFERROR(INDEX(StockInData[Expiry],MATCH(ProductMaster[[#This Row],[Product ID]],StockInData[Product ID],0)),"")</f>
        <v/>
      </c>
      <c r="H784" s="47"/>
      <c r="I784" s="61">
        <f>SUMIFS(StockInData[Quantity],StockInData[Product ID],ProductMaster!$B784)-SUMIFS(StockOutData[Quantity],StockOutData[Product ID],ProductMaster!$B784)</f>
        <v>0</v>
      </c>
      <c r="J784" s="63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 t="str">
        <f>IFERROR(INDEX(StockInData[Expiry],MATCH(ProductMaster[[#This Row],[Product ID]],StockInData[Product ID],0)),"")</f>
        <v/>
      </c>
      <c r="H813" s="47"/>
      <c r="I813" s="61">
        <f>SUMIFS(StockInData[Quantity],StockInData[Product ID],ProductMaster!$B813)-SUMIFS(StockOutData[Quantity],StockOutData[Product ID],ProductMaster!$B813)</f>
        <v>0</v>
      </c>
      <c r="J813" s="63">
        <f>SUMIFS(StockInData[Value],StockInData[Product ID],ProductMaster!$B813)-SUMIFS(StockOutData[Value],StockOutData[Product ID],ProductMaster!$B813)</f>
        <v>0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 t="str">
        <f>IFERROR(INDEX(StockInData[Expiry],MATCH(ProductMaster[[#This Row],[Product ID]],StockInData[Product ID],0)),"")</f>
        <v/>
      </c>
      <c r="H814" s="47"/>
      <c r="I814" s="61">
        <f>SUMIFS(StockInData[Quantity],StockInData[Product ID],ProductMaster!$B814)-SUMIFS(StockOutData[Quantity],StockOutData[Product ID],ProductMaster!$B814)</f>
        <v>0</v>
      </c>
      <c r="J814" s="63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 t="str">
        <f>IFERROR(INDEX(StockInData[Expiry],MATCH(ProductMaster[[#This Row],[Product ID]],StockInData[Product ID],0)),"")</f>
        <v/>
      </c>
      <c r="H850" s="47"/>
      <c r="I850" s="61">
        <f>SUMIFS(StockInData[Quantity],StockInData[Product ID],ProductMaster!$B850)-SUMIFS(StockOutData[Quantity],StockOutData[Product ID],ProductMaster!$B850)</f>
        <v>0</v>
      </c>
      <c r="J850" s="63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 t="str">
        <f>IFERROR(INDEX(StockInData[Expiry],MATCH(ProductMaster[[#This Row],[Product ID]],StockInData[Product ID],0)),"")</f>
        <v/>
      </c>
      <c r="H857" s="47"/>
      <c r="I857" s="61">
        <f>SUMIFS(StockInData[Quantity],StockInData[Product ID],ProductMaster!$B857)-SUMIFS(StockOutData[Quantity],StockOutData[Product ID],ProductMaster!$B857)</f>
        <v>0</v>
      </c>
      <c r="J857" s="63">
        <f>SUMIFS(StockInData[Value],StockInData[Product ID],ProductMaster!$B857)-SUMIFS(StockOutData[Value],StockOutData[Product ID],ProductMaster!$B857)</f>
        <v>0</v>
      </c>
    </row>
    <row r="858" spans="1:10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 t="str">
        <f>IFERROR(INDEX(StockInData[Expiry],MATCH(ProductMaster[[#This Row],[Product ID]],StockInData[Product ID],0)),"")</f>
        <v/>
      </c>
      <c r="H868" s="47"/>
      <c r="I868" s="61">
        <f>SUMIFS(StockInData[Quantity],StockInData[Product ID],ProductMaster!$B868)-SUMIFS(StockOutData[Quantity],StockOutData[Product ID],ProductMaster!$B868)</f>
        <v>0</v>
      </c>
      <c r="J868" s="63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 t="str">
        <f>IFERROR(INDEX(StockInData[Expiry],MATCH(ProductMaster[[#This Row],[Product ID]],StockInData[Product ID],0)),"")</f>
        <v/>
      </c>
      <c r="H874" s="47"/>
      <c r="I874" s="61">
        <f>SUMIFS(StockInData[Quantity],StockInData[Product ID],ProductMaster!$B874)-SUMIFS(StockOutData[Quantity],StockOutData[Product ID],ProductMaster!$B874)</f>
        <v>0</v>
      </c>
      <c r="J874" s="63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 t="str">
        <f>IFERROR(INDEX(StockInData[Expiry],MATCH(ProductMaster[[#This Row],[Product ID]],StockInData[Product ID],0)),"")</f>
        <v/>
      </c>
      <c r="H876" s="47"/>
      <c r="I876" s="61">
        <f>SUMIFS(StockInData[Quantity],StockInData[Product ID],ProductMaster!$B876)-SUMIFS(StockOutData[Quantity],StockOutData[Product ID],ProductMaster!$B876)</f>
        <v>0</v>
      </c>
      <c r="J876" s="63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0</v>
      </c>
      <c r="J878" s="63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0</v>
      </c>
      <c r="J905" s="63">
        <f>SUMIFS(StockInData[Value],StockInData[Product ID],ProductMaster!$B905)-SUMIFS(StockOutData[Value],StockOutData[Product ID],ProductMaster!$B905)</f>
        <v>0</v>
      </c>
    </row>
    <row r="906" spans="1:10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 t="str">
        <f>IFERROR(INDEX(StockInData[Expiry],MATCH(ProductMaster[[#This Row],[Product ID]],StockInData[Product ID],0)),"")</f>
        <v/>
      </c>
      <c r="H939" s="47"/>
      <c r="I939" s="61">
        <f>SUMIFS(StockInData[Quantity],StockInData[Product ID],ProductMaster!$B939)-SUMIFS(StockOutData[Quantity],StockOutData[Product ID],ProductMaster!$B939)</f>
        <v>0</v>
      </c>
      <c r="J939" s="63">
        <f>SUMIFS(StockInData[Value],StockInData[Product ID],ProductMaster!$B939)-SUMIFS(StockOutData[Value],StockOutData[Product ID],ProductMaster!$B939)</f>
        <v>0</v>
      </c>
    </row>
    <row r="940" spans="1:10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0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 t="str">
        <f>IFERROR(INDEX(StockInData[Expiry],MATCH(ProductMaster[[#This Row],[Product ID]],StockInData[Product ID],0)),"")</f>
        <v/>
      </c>
      <c r="H944" s="47"/>
      <c r="I944" s="61">
        <f>SUMIFS(StockInData[Quantity],StockInData[Product ID],ProductMaster!$B944)-SUMIFS(StockOutData[Quantity],StockOutData[Product ID],ProductMaster!$B944)</f>
        <v>0</v>
      </c>
      <c r="J944" s="63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 t="str">
        <f>IFERROR(INDEX(StockInData[Expiry],MATCH(ProductMaster[[#This Row],[Product ID]],StockInData[Product ID],0)),"")</f>
        <v/>
      </c>
      <c r="H947" s="47"/>
      <c r="I947" s="61">
        <f>SUMIFS(StockInData[Quantity],StockInData[Product ID],ProductMaster!$B947)-SUMIFS(StockOutData[Quantity],StockOutData[Product ID],ProductMaster!$B947)</f>
        <v>0</v>
      </c>
      <c r="J947" s="63">
        <f>SUMIFS(StockInData[Value],StockInData[Product ID],ProductMaster!$B947)-SUMIFS(StockOutData[Value],StockOutData[Product ID],ProductMaster!$B947)</f>
        <v>0</v>
      </c>
    </row>
    <row r="948" spans="1:10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 t="str">
        <f>IFERROR(INDEX(StockInData[Expiry],MATCH(ProductMaster[[#This Row],[Product ID]],StockInData[Product ID],0)),"")</f>
        <v/>
      </c>
      <c r="H952" s="47"/>
      <c r="I952" s="61">
        <f>SUMIFS(StockInData[Quantity],StockInData[Product ID],ProductMaster!$B952)-SUMIFS(StockOutData[Quantity],StockOutData[Product ID],ProductMaster!$B952)</f>
        <v>0</v>
      </c>
      <c r="J952" s="63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 t="str">
        <f>IFERROR(INDEX(StockInData[Expiry],MATCH(ProductMaster[[#This Row],[Product ID]],StockInData[Product ID],0)),"")</f>
        <v/>
      </c>
      <c r="H997" s="47"/>
      <c r="I997" s="61">
        <f>SUMIFS(StockInData[Quantity],StockInData[Product ID],ProductMaster!$B997)-SUMIFS(StockOutData[Quantity],StockOutData[Product ID],ProductMaster!$B997)</f>
        <v>0</v>
      </c>
      <c r="J997" s="63">
        <f>SUMIFS(StockInData[Value],StockInData[Product ID],ProductMaster!$B997)-SUMIFS(StockOutData[Value],StockOutData[Product ID],ProductMaster!$B997)</f>
        <v>0</v>
      </c>
    </row>
    <row r="998" spans="1:10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 t="str">
        <f>IFERROR(INDEX(StockInData[Expiry],MATCH(ProductMaster[[#This Row],[Product ID]],StockInData[Product ID],0)),"")</f>
        <v/>
      </c>
      <c r="H1008" s="47"/>
      <c r="I1008" s="61">
        <f>SUMIFS(StockInData[Quantity],StockInData[Product ID],ProductMaster!$B1008)-SUMIFS(StockOutData[Quantity],StockOutData[Product ID],ProductMaster!$B1008)</f>
        <v>0</v>
      </c>
      <c r="J1008" s="63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 t="str">
        <f>IFERROR(INDEX(StockInData[Expiry],MATCH(ProductMaster[[#This Row],[Product ID]],StockInData[Product ID],0)),"")</f>
        <v/>
      </c>
      <c r="H1009" s="47"/>
      <c r="I1009" s="61">
        <f>SUMIFS(StockInData[Quantity],StockInData[Product ID],ProductMaster!$B1009)-SUMIFS(StockOutData[Quantity],StockOutData[Product ID],ProductMaster!$B1009)</f>
        <v>0</v>
      </c>
      <c r="J1009" s="63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 t="str">
        <f>IFERROR(INDEX(StockInData[Expiry],MATCH(ProductMaster[[#This Row],[Product ID]],StockInData[Product ID],0)),"")</f>
        <v/>
      </c>
      <c r="H1010" s="47"/>
      <c r="I1010" s="61">
        <f>SUMIFS(StockInData[Quantity],StockInData[Product ID],ProductMaster!$B1010)-SUMIFS(StockOutData[Quantity],StockOutData[Product ID],ProductMaster!$B1010)</f>
        <v>0</v>
      </c>
      <c r="J1010" s="63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0</v>
      </c>
      <c r="J1012" s="63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0</v>
      </c>
      <c r="J1014" s="63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 t="str">
        <f>IFERROR(INDEX(StockInData[Expiry],MATCH(ProductMaster[[#This Row],[Product ID]],StockInData[Product ID],0)),"")</f>
        <v/>
      </c>
      <c r="H1022" s="47"/>
      <c r="I1022" s="61">
        <f>SUMIFS(StockInData[Quantity],StockInData[Product ID],ProductMaster!$B1022)-SUMIFS(StockOutData[Quantity],StockOutData[Product ID],ProductMaster!$B1022)</f>
        <v>0</v>
      </c>
      <c r="J1022" s="63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 t="str">
        <f>IFERROR(INDEX(StockInData[Expiry],MATCH(ProductMaster[[#This Row],[Product ID]],StockInData[Product ID],0)),"")</f>
        <v/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0</v>
      </c>
      <c r="J1039" s="63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 t="str">
        <f>IFERROR(INDEX(StockInData[Expiry],MATCH(ProductMaster[[#This Row],[Product ID]],StockInData[Product ID],0)),"")</f>
        <v/>
      </c>
      <c r="H1072" s="47"/>
      <c r="I1072" s="61">
        <f>SUMIFS(StockInData[Quantity],StockInData[Product ID],ProductMaster!$B1072)-SUMIFS(StockOutData[Quantity],StockOutData[Product ID],ProductMaster!$B1072)</f>
        <v>0</v>
      </c>
      <c r="J1072" s="63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0</v>
      </c>
      <c r="J1073" s="63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 t="str">
        <f>IFERROR(INDEX(StockInData[Expiry],MATCH(ProductMaster[[#This Row],[Product ID]],StockInData[Product ID],0)),"")</f>
        <v/>
      </c>
      <c r="H1074" s="47"/>
      <c r="I1074" s="61">
        <f>SUMIFS(StockInData[Quantity],StockInData[Product ID],ProductMaster!$B1074)-SUMIFS(StockOutData[Quantity],StockOutData[Product ID],ProductMaster!$B1074)</f>
        <v>0</v>
      </c>
      <c r="J1074" s="63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 t="str">
        <f>IFERROR(INDEX(StockInData[Expiry],MATCH(ProductMaster[[#This Row],[Product ID]],StockInData[Product ID],0)),"")</f>
        <v/>
      </c>
      <c r="H1080" s="47"/>
      <c r="I1080" s="61">
        <f>SUMIFS(StockInData[Quantity],StockInData[Product ID],ProductMaster!$B1080)-SUMIFS(StockOutData[Quantity],StockOutData[Product ID],ProductMaster!$B1080)</f>
        <v>0</v>
      </c>
      <c r="J1080" s="63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 t="str">
        <f>IFERROR(INDEX(StockInData[Expiry],MATCH(ProductMaster[[#This Row],[Product ID]],StockInData[Product ID],0)),"")</f>
        <v/>
      </c>
      <c r="H1082" s="47"/>
      <c r="I1082" s="61">
        <f>SUMIFS(StockInData[Quantity],StockInData[Product ID],ProductMaster!$B1082)-SUMIFS(StockOutData[Quantity],StockOutData[Product ID],ProductMaster!$B1082)</f>
        <v>0</v>
      </c>
      <c r="J1082" s="63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 t="str">
        <f>IFERROR(INDEX(StockInData[Expiry],MATCH(ProductMaster[[#This Row],[Product ID]],StockInData[Product ID],0)),"")</f>
        <v/>
      </c>
      <c r="H1084" s="47"/>
      <c r="I1084" s="61">
        <f>SUMIFS(StockInData[Quantity],StockInData[Product ID],ProductMaster!$B1084)-SUMIFS(StockOutData[Quantity],StockOutData[Product ID],ProductMaster!$B1084)</f>
        <v>0</v>
      </c>
      <c r="J1084" s="63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 t="str">
        <f>IFERROR(INDEX(StockInData[Expiry],MATCH(ProductMaster[[#This Row],[Product ID]],StockInData[Product ID],0)),"")</f>
        <v/>
      </c>
      <c r="H1085" s="47"/>
      <c r="I1085" s="61">
        <f>SUMIFS(StockInData[Quantity],StockInData[Product ID],ProductMaster!$B1085)-SUMIFS(StockOutData[Quantity],StockOutData[Product ID],ProductMaster!$B1085)</f>
        <v>0</v>
      </c>
      <c r="J1085" s="63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 t="str">
        <f>IFERROR(INDEX(StockInData[Expiry],MATCH(ProductMaster[[#This Row],[Product ID]],StockInData[Product ID],0)),"")</f>
        <v/>
      </c>
      <c r="H1088" s="47"/>
      <c r="I1088" s="61">
        <f>SUMIFS(StockInData[Quantity],StockInData[Product ID],ProductMaster!$B1088)-SUMIFS(StockOutData[Quantity],StockOutData[Product ID],ProductMaster!$B1088)</f>
        <v>0</v>
      </c>
      <c r="J1088" s="63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 t="str">
        <f>IFERROR(INDEX(StockInData[Expiry],MATCH(ProductMaster[[#This Row],[Product ID]],StockInData[Product ID],0)),"")</f>
        <v/>
      </c>
      <c r="H1090" s="47"/>
      <c r="I1090" s="61">
        <f>SUMIFS(StockInData[Quantity],StockInData[Product ID],ProductMaster!$B1090)-SUMIFS(StockOutData[Quantity],StockOutData[Product ID],ProductMaster!$B1090)</f>
        <v>0</v>
      </c>
      <c r="J1090" s="63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 t="str">
        <f>IFERROR(INDEX(StockInData[Expiry],MATCH(ProductMaster[[#This Row],[Product ID]],StockInData[Product ID],0)),"")</f>
        <v/>
      </c>
      <c r="H1091" s="47"/>
      <c r="I1091" s="61">
        <f>SUMIFS(StockInData[Quantity],StockInData[Product ID],ProductMaster!$B1091)-SUMIFS(StockOutData[Quantity],StockOutData[Product ID],ProductMaster!$B1091)</f>
        <v>0</v>
      </c>
      <c r="J1091" s="63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 t="str">
        <f>IFERROR(INDEX(StockInData[Expiry],MATCH(ProductMaster[[#This Row],[Product ID]],StockInData[Product ID],0)),"")</f>
        <v/>
      </c>
      <c r="H1098" s="47"/>
      <c r="I1098" s="61">
        <f>SUMIFS(StockInData[Quantity],StockInData[Product ID],ProductMaster!$B1098)-SUMIFS(StockOutData[Quantity],StockOutData[Product ID],ProductMaster!$B1098)</f>
        <v>0</v>
      </c>
      <c r="J1098" s="63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 t="str">
        <f>IFERROR(INDEX(StockInData[Expiry],MATCH(ProductMaster[[#This Row],[Product ID]],StockInData[Product ID],0)),"")</f>
        <v/>
      </c>
      <c r="H1099" s="47"/>
      <c r="I1099" s="61">
        <f>SUMIFS(StockInData[Quantity],StockInData[Product ID],ProductMaster!$B1099)-SUMIFS(StockOutData[Quantity],StockOutData[Product ID],ProductMaster!$B1099)</f>
        <v>0</v>
      </c>
      <c r="J1099" s="63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 t="str">
        <f>IFERROR(INDEX(StockInData[Expiry],MATCH(ProductMaster[[#This Row],[Product ID]],StockInData[Product ID],0)),"")</f>
        <v/>
      </c>
      <c r="H1100" s="47"/>
      <c r="I1100" s="61">
        <f>SUMIFS(StockInData[Quantity],StockInData[Product ID],ProductMaster!$B1100)-SUMIFS(StockOutData[Quantity],StockOutData[Product ID],ProductMaster!$B1100)</f>
        <v>0</v>
      </c>
      <c r="J1100" s="63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 t="str">
        <f>IFERROR(INDEX(StockInData[Expiry],MATCH(ProductMaster[[#This Row],[Product ID]],StockInData[Product ID],0)),"")</f>
        <v/>
      </c>
      <c r="H1101" s="47"/>
      <c r="I1101" s="61">
        <f>SUMIFS(StockInData[Quantity],StockInData[Product ID],ProductMaster!$B1101)-SUMIFS(StockOutData[Quantity],StockOutData[Product ID],ProductMaster!$B1101)</f>
        <v>0</v>
      </c>
      <c r="J1101" s="63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 t="str">
        <f>IFERROR(INDEX(StockInData[Expiry],MATCH(ProductMaster[[#This Row],[Product ID]],StockInData[Product ID],0)),"")</f>
        <v/>
      </c>
      <c r="H1102" s="47"/>
      <c r="I1102" s="61">
        <f>SUMIFS(StockInData[Quantity],StockInData[Product ID],ProductMaster!$B1102)-SUMIFS(StockOutData[Quantity],StockOutData[Product ID],ProductMaster!$B1102)</f>
        <v>0</v>
      </c>
      <c r="J1102" s="63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 t="str">
        <f>IFERROR(INDEX(StockInData[Expiry],MATCH(ProductMaster[[#This Row],[Product ID]],StockInData[Product ID],0)),"")</f>
        <v/>
      </c>
      <c r="H1103" s="47"/>
      <c r="I1103" s="61">
        <f>SUMIFS(StockInData[Quantity],StockInData[Product ID],ProductMaster!$B1103)-SUMIFS(StockOutData[Quantity],StockOutData[Product ID],ProductMaster!$B1103)</f>
        <v>0</v>
      </c>
      <c r="J1103" s="63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 t="str">
        <f>IFERROR(INDEX(StockInData[Expiry],MATCH(ProductMaster[[#This Row],[Product ID]],StockInData[Product ID],0)),"")</f>
        <v/>
      </c>
      <c r="H1104" s="47"/>
      <c r="I1104" s="61">
        <f>SUMIFS(StockInData[Quantity],StockInData[Product ID],ProductMaster!$B1104)-SUMIFS(StockOutData[Quantity],StockOutData[Product ID],ProductMaster!$B1104)</f>
        <v>0</v>
      </c>
      <c r="J1104" s="63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 t="str">
        <f>IFERROR(INDEX(StockInData[Expiry],MATCH(ProductMaster[[#This Row],[Product ID]],StockInData[Product ID],0)),"")</f>
        <v/>
      </c>
      <c r="H1106" s="47"/>
      <c r="I1106" s="61">
        <f>SUMIFS(StockInData[Quantity],StockInData[Product ID],ProductMaster!$B1106)-SUMIFS(StockOutData[Quantity],StockOutData[Product ID],ProductMaster!$B1106)</f>
        <v>0</v>
      </c>
      <c r="J1106" s="63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 t="str">
        <f>IFERROR(INDEX(StockInData[Expiry],MATCH(ProductMaster[[#This Row],[Product ID]],StockInData[Product ID],0)),"")</f>
        <v/>
      </c>
      <c r="H1107" s="47"/>
      <c r="I1107" s="61">
        <f>SUMIFS(StockInData[Quantity],StockInData[Product ID],ProductMaster!$B1107)-SUMIFS(StockOutData[Quantity],StockOutData[Product ID],ProductMaster!$B1107)</f>
        <v>0</v>
      </c>
      <c r="J1107" s="63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 t="str">
        <f>IFERROR(INDEX(StockInData[Expiry],MATCH(ProductMaster[[#This Row],[Product ID]],StockInData[Product ID],0)),"")</f>
        <v/>
      </c>
      <c r="H1108" s="47"/>
      <c r="I1108" s="61">
        <f>SUMIFS(StockInData[Quantity],StockInData[Product ID],ProductMaster!$B1108)-SUMIFS(StockOutData[Quantity],StockOutData[Product ID],ProductMaster!$B1108)</f>
        <v>0</v>
      </c>
      <c r="J1108" s="63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 t="str">
        <f>IFERROR(INDEX(StockInData[Expiry],MATCH(ProductMaster[[#This Row],[Product ID]],StockInData[Product ID],0)),"")</f>
        <v/>
      </c>
      <c r="H1112" s="47"/>
      <c r="I1112" s="61">
        <f>SUMIFS(StockInData[Quantity],StockInData[Product ID],ProductMaster!$B1112)-SUMIFS(StockOutData[Quantity],StockOutData[Product ID],ProductMaster!$B1112)</f>
        <v>0</v>
      </c>
      <c r="J1112" s="63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 t="str">
        <f>IFERROR(INDEX(StockInData[Expiry],MATCH(ProductMaster[[#This Row],[Product ID]],StockInData[Product ID],0)),"")</f>
        <v/>
      </c>
      <c r="H1119" s="47"/>
      <c r="I1119" s="61">
        <f>SUMIFS(StockInData[Quantity],StockInData[Product ID],ProductMaster!$B1119)-SUMIFS(StockOutData[Quantity],StockOutData[Product ID],ProductMaster!$B1119)</f>
        <v>0</v>
      </c>
      <c r="J1119" s="63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 t="str">
        <f>IFERROR(INDEX(StockInData[Expiry],MATCH(ProductMaster[[#This Row],[Product ID]],StockInData[Product ID],0)),"")</f>
        <v/>
      </c>
      <c r="H1120" s="47"/>
      <c r="I1120" s="61">
        <f>SUMIFS(StockInData[Quantity],StockInData[Product ID],ProductMaster!$B1120)-SUMIFS(StockOutData[Quantity],StockOutData[Product ID],ProductMaster!$B1120)</f>
        <v>0</v>
      </c>
      <c r="J1120" s="63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 t="str">
        <f>IFERROR(INDEX(StockInData[Expiry],MATCH(ProductMaster[[#This Row],[Product ID]],StockInData[Product ID],0)),"")</f>
        <v/>
      </c>
      <c r="H1121" s="47"/>
      <c r="I1121" s="61">
        <f>SUMIFS(StockInData[Quantity],StockInData[Product ID],ProductMaster!$B1121)-SUMIFS(StockOutData[Quantity],StockOutData[Product ID],ProductMaster!$B1121)</f>
        <v>0</v>
      </c>
      <c r="J1121" s="63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 t="str">
        <f>IFERROR(INDEX(StockInData[Expiry],MATCH(ProductMaster[[#This Row],[Product ID]],StockInData[Product ID],0)),"")</f>
        <v/>
      </c>
      <c r="H1123" s="47"/>
      <c r="I1123" s="61">
        <f>SUMIFS(StockInData[Quantity],StockInData[Product ID],ProductMaster!$B1123)-SUMIFS(StockOutData[Quantity],StockOutData[Product ID],ProductMaster!$B1123)</f>
        <v>0</v>
      </c>
      <c r="J1123" s="63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 t="str">
        <f>IFERROR(INDEX(StockInData[Expiry],MATCH(ProductMaster[[#This Row],[Product ID]],StockInData[Product ID],0)),"")</f>
        <v/>
      </c>
      <c r="H1125" s="47"/>
      <c r="I1125" s="61">
        <f>SUMIFS(StockInData[Quantity],StockInData[Product ID],ProductMaster!$B1125)-SUMIFS(StockOutData[Quantity],StockOutData[Product ID],ProductMaster!$B1125)</f>
        <v>0</v>
      </c>
      <c r="J1125" s="63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 t="str">
        <f>IFERROR(INDEX(StockInData[Expiry],MATCH(ProductMaster[[#This Row],[Product ID]],StockInData[Product ID],0)),"")</f>
        <v/>
      </c>
      <c r="H1128" s="47"/>
      <c r="I1128" s="61">
        <f>SUMIFS(StockInData[Quantity],StockInData[Product ID],ProductMaster!$B1128)-SUMIFS(StockOutData[Quantity],StockOutData[Product ID],ProductMaster!$B1128)</f>
        <v>0</v>
      </c>
      <c r="J1128" s="63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 t="str">
        <f>IFERROR(INDEX(StockInData[Expiry],MATCH(ProductMaster[[#This Row],[Product ID]],StockInData[Product ID],0)),"")</f>
        <v/>
      </c>
      <c r="H1135" s="47"/>
      <c r="I1135" s="61">
        <f>SUMIFS(StockInData[Quantity],StockInData[Product ID],ProductMaster!$B1135)-SUMIFS(StockOutData[Quantity],StockOutData[Product ID],ProductMaster!$B1135)</f>
        <v>0</v>
      </c>
      <c r="J1135" s="63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 t="str">
        <f>IFERROR(INDEX(StockInData[Expiry],MATCH(ProductMaster[[#This Row],[Product ID]],StockInData[Product ID],0)),"")</f>
        <v/>
      </c>
      <c r="H1136" s="47"/>
      <c r="I1136" s="61">
        <f>SUMIFS(StockInData[Quantity],StockInData[Product ID],ProductMaster!$B1136)-SUMIFS(StockOutData[Quantity],StockOutData[Product ID],ProductMaster!$B1136)</f>
        <v>0</v>
      </c>
      <c r="J1136" s="63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 t="str">
        <f>IFERROR(INDEX(StockInData[Expiry],MATCH(ProductMaster[[#This Row],[Product ID]],StockInData[Product ID],0)),"")</f>
        <v/>
      </c>
      <c r="H1137" s="47"/>
      <c r="I1137" s="61">
        <f>SUMIFS(StockInData[Quantity],StockInData[Product ID],ProductMaster!$B1137)-SUMIFS(StockOutData[Quantity],StockOutData[Product ID],ProductMaster!$B1137)</f>
        <v>0</v>
      </c>
      <c r="J1137" s="63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 t="str">
        <f>IFERROR(INDEX(StockInData[Expiry],MATCH(ProductMaster[[#This Row],[Product ID]],StockInData[Product ID],0)),"")</f>
        <v/>
      </c>
      <c r="H1160" s="47"/>
      <c r="I1160" s="61">
        <f>SUMIFS(StockInData[Quantity],StockInData[Product ID],ProductMaster!$B1160)-SUMIFS(StockOutData[Quantity],StockOutData[Product ID],ProductMaster!$B1160)</f>
        <v>0</v>
      </c>
      <c r="J1160" s="63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 t="str">
        <f>IFERROR(INDEX(StockInData[Expiry],MATCH(ProductMaster[[#This Row],[Product ID]],StockInData[Product ID],0)),"")</f>
        <v/>
      </c>
      <c r="H1162" s="47"/>
      <c r="I1162" s="61">
        <f>SUMIFS(StockInData[Quantity],StockInData[Product ID],ProductMaster!$B1162)-SUMIFS(StockOutData[Quantity],StockOutData[Product ID],ProductMaster!$B1162)</f>
        <v>0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 t="str">
        <f>IFERROR(INDEX(StockInData[Expiry],MATCH(ProductMaster[[#This Row],[Product ID]],StockInData[Product ID],0)),"")</f>
        <v/>
      </c>
      <c r="H1163" s="47"/>
      <c r="I1163" s="61">
        <f>SUMIFS(StockInData[Quantity],StockInData[Product ID],ProductMaster!$B1163)-SUMIFS(StockOutData[Quantity],StockOutData[Product ID],ProductMaster!$B1163)</f>
        <v>0</v>
      </c>
      <c r="J1163" s="63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 t="str">
        <f>IFERROR(INDEX(StockInData[Expiry],MATCH(ProductMaster[[#This Row],[Product ID]],StockInData[Product ID],0)),"")</f>
        <v/>
      </c>
      <c r="H1164" s="47"/>
      <c r="I1164" s="61">
        <f>SUMIFS(StockInData[Quantity],StockInData[Product ID],ProductMaster!$B1164)-SUMIFS(StockOutData[Quantity],StockOutData[Product ID],ProductMaster!$B1164)</f>
        <v>0</v>
      </c>
      <c r="J1164" s="63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 t="str">
        <f>IFERROR(INDEX(StockInData[Expiry],MATCH(ProductMaster[[#This Row],[Product ID]],StockInData[Product ID],0)),"")</f>
        <v/>
      </c>
      <c r="H1169" s="47"/>
      <c r="I1169" s="61">
        <f>SUMIFS(StockInData[Quantity],StockInData[Product ID],ProductMaster!$B1169)-SUMIFS(StockOutData[Quantity],StockOutData[Product ID],ProductMaster!$B1169)</f>
        <v>0</v>
      </c>
      <c r="J1169" s="63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 t="str">
        <f>IFERROR(INDEX(StockInData[Expiry],MATCH(ProductMaster[[#This Row],[Product ID]],StockInData[Product ID],0)),"")</f>
        <v/>
      </c>
      <c r="H1171" s="47"/>
      <c r="I1171" s="61">
        <f>SUMIFS(StockInData[Quantity],StockInData[Product ID],ProductMaster!$B1171)-SUMIFS(StockOutData[Quantity],StockOutData[Product ID],ProductMaster!$B1171)</f>
        <v>0</v>
      </c>
      <c r="J1171" s="63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 t="str">
        <f>IFERROR(INDEX(StockInData[Expiry],MATCH(ProductMaster[[#This Row],[Product ID]],StockInData[Product ID],0)),"")</f>
        <v/>
      </c>
      <c r="H1172" s="47"/>
      <c r="I1172" s="61">
        <f>SUMIFS(StockInData[Quantity],StockInData[Product ID],ProductMaster!$B1172)-SUMIFS(StockOutData[Quantity],StockOutData[Product ID],ProductMaster!$B1172)</f>
        <v>0</v>
      </c>
      <c r="J1172" s="63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 t="str">
        <f>IFERROR(INDEX(StockInData[Expiry],MATCH(ProductMaster[[#This Row],[Product ID]],StockInData[Product ID],0)),"")</f>
        <v/>
      </c>
      <c r="H1173" s="47"/>
      <c r="I1173" s="61">
        <f>SUMIFS(StockInData[Quantity],StockInData[Product ID],ProductMaster!$B1173)-SUMIFS(StockOutData[Quantity],StockOutData[Product ID],ProductMaster!$B1173)</f>
        <v>0</v>
      </c>
      <c r="J1173" s="63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 t="str">
        <f>IFERROR(INDEX(StockInData[Expiry],MATCH(ProductMaster[[#This Row],[Product ID]],StockInData[Product ID],0)),"")</f>
        <v/>
      </c>
      <c r="H1174" s="47"/>
      <c r="I1174" s="61">
        <f>SUMIFS(StockInData[Quantity],StockInData[Product ID],ProductMaster!$B1174)-SUMIFS(StockOutData[Quantity],StockOutData[Product ID],ProductMaster!$B1174)</f>
        <v>0</v>
      </c>
      <c r="J1174" s="63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 t="str">
        <f>IFERROR(INDEX(StockInData[Expiry],MATCH(ProductMaster[[#This Row],[Product ID]],StockInData[Product ID],0)),"")</f>
        <v/>
      </c>
      <c r="H1175" s="47"/>
      <c r="I1175" s="61">
        <f>SUMIFS(StockInData[Quantity],StockInData[Product ID],ProductMaster!$B1175)-SUMIFS(StockOutData[Quantity],StockOutData[Product ID],ProductMaster!$B1175)</f>
        <v>0</v>
      </c>
      <c r="J1175" s="63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 t="str">
        <f>IFERROR(INDEX(StockInData[Expiry],MATCH(ProductMaster[[#This Row],[Product ID]],StockInData[Product ID],0)),"")</f>
        <v/>
      </c>
      <c r="H1176" s="47"/>
      <c r="I1176" s="61">
        <f>SUMIFS(StockInData[Quantity],StockInData[Product ID],ProductMaster!$B1176)-SUMIFS(StockOutData[Quantity],StockOutData[Product ID],ProductMaster!$B1176)</f>
        <v>0</v>
      </c>
      <c r="J1176" s="63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 t="str">
        <f>IFERROR(INDEX(StockInData[Expiry],MATCH(ProductMaster[[#This Row],[Product ID]],StockInData[Product ID],0)),"")</f>
        <v/>
      </c>
      <c r="H1179" s="47"/>
      <c r="I1179" s="61">
        <f>SUMIFS(StockInData[Quantity],StockInData[Product ID],ProductMaster!$B1179)-SUMIFS(StockOutData[Quantity],StockOutData[Product ID],ProductMaster!$B1179)</f>
        <v>0</v>
      </c>
      <c r="J1179" s="63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 t="str">
        <f>IFERROR(INDEX(StockInData[Expiry],MATCH(ProductMaster[[#This Row],[Product ID]],StockInData[Product ID],0)),"")</f>
        <v/>
      </c>
      <c r="H1181" s="47"/>
      <c r="I1181" s="61">
        <f>SUMIFS(StockInData[Quantity],StockInData[Product ID],ProductMaster!$B1181)-SUMIFS(StockOutData[Quantity],StockOutData[Product ID],ProductMaster!$B1181)</f>
        <v>0</v>
      </c>
      <c r="J1181" s="63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 t="str">
        <f>IFERROR(INDEX(StockInData[Expiry],MATCH(ProductMaster[[#This Row],[Product ID]],StockInData[Product ID],0)),"")</f>
        <v/>
      </c>
      <c r="H1182" s="47"/>
      <c r="I1182" s="61">
        <f>SUMIFS(StockInData[Quantity],StockInData[Product ID],ProductMaster!$B1182)-SUMIFS(StockOutData[Quantity],StockOutData[Product ID],ProductMaster!$B1182)</f>
        <v>0</v>
      </c>
      <c r="J1182" s="63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 t="str">
        <f>IFERROR(INDEX(StockInData[Expiry],MATCH(ProductMaster[[#This Row],[Product ID]],StockInData[Product ID],0)),"")</f>
        <v/>
      </c>
      <c r="H1185" s="47"/>
      <c r="I1185" s="61">
        <f>SUMIFS(StockInData[Quantity],StockInData[Product ID],ProductMaster!$B1185)-SUMIFS(StockOutData[Quantity],StockOutData[Product ID],ProductMaster!$B1185)</f>
        <v>0</v>
      </c>
      <c r="J1185" s="63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 t="str">
        <f>IFERROR(INDEX(StockInData[Expiry],MATCH(ProductMaster[[#This Row],[Product ID]],StockInData[Product ID],0)),"")</f>
        <v/>
      </c>
      <c r="H1186" s="47"/>
      <c r="I1186" s="61">
        <f>SUMIFS(StockInData[Quantity],StockInData[Product ID],ProductMaster!$B1186)-SUMIFS(StockOutData[Quantity],StockOutData[Product ID],ProductMaster!$B1186)</f>
        <v>0</v>
      </c>
      <c r="J1186" s="63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 t="str">
        <f>IFERROR(INDEX(StockInData[Expiry],MATCH(ProductMaster[[#This Row],[Product ID]],StockInData[Product ID],0)),"")</f>
        <v/>
      </c>
      <c r="H1189" s="47"/>
      <c r="I1189" s="61">
        <f>SUMIFS(StockInData[Quantity],StockInData[Product ID],ProductMaster!$B1189)-SUMIFS(StockOutData[Quantity],StockOutData[Product ID],ProductMaster!$B1189)</f>
        <v>0</v>
      </c>
      <c r="J1189" s="63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 t="str">
        <f>IFERROR(INDEX(StockInData[Expiry],MATCH(ProductMaster[[#This Row],[Product ID]],StockInData[Product ID],0)),"")</f>
        <v/>
      </c>
      <c r="H1192" s="47"/>
      <c r="I1192" s="61">
        <f>SUMIFS(StockInData[Quantity],StockInData[Product ID],ProductMaster!$B1192)-SUMIFS(StockOutData[Quantity],StockOutData[Product ID],ProductMaster!$B1192)</f>
        <v>0</v>
      </c>
      <c r="J1192" s="63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 t="str">
        <f>IFERROR(INDEX(StockInData[Expiry],MATCH(ProductMaster[[#This Row],[Product ID]],StockInData[Product ID],0)),"")</f>
        <v/>
      </c>
      <c r="H1193" s="47"/>
      <c r="I1193" s="61">
        <f>SUMIFS(StockInData[Quantity],StockInData[Product ID],ProductMaster!$B1193)-SUMIFS(StockOutData[Quantity],StockOutData[Product ID],ProductMaster!$B1193)</f>
        <v>0</v>
      </c>
      <c r="J1193" s="63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 t="str">
        <f>IFERROR(INDEX(StockInData[Expiry],MATCH(ProductMaster[[#This Row],[Product ID]],StockInData[Product ID],0)),"")</f>
        <v/>
      </c>
      <c r="H1195" s="47"/>
      <c r="I1195" s="61">
        <f>SUMIFS(StockInData[Quantity],StockInData[Product ID],ProductMaster!$B1195)-SUMIFS(StockOutData[Quantity],StockOutData[Product ID],ProductMaster!$B1195)</f>
        <v>0</v>
      </c>
      <c r="J1195" s="63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 t="str">
        <f>IFERROR(INDEX(StockInData[Expiry],MATCH(ProductMaster[[#This Row],[Product ID]],StockInData[Product ID],0)),"")</f>
        <v/>
      </c>
      <c r="H1206" s="47"/>
      <c r="I1206" s="61">
        <f>SUMIFS(StockInData[Quantity],StockInData[Product ID],ProductMaster!$B1206)-SUMIFS(StockOutData[Quantity],StockOutData[Product ID],ProductMaster!$B1206)</f>
        <v>0</v>
      </c>
      <c r="J1206" s="63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 t="str">
        <f>IFERROR(INDEX(StockInData[Expiry],MATCH(ProductMaster[[#This Row],[Product ID]],StockInData[Product ID],0)),"")</f>
        <v/>
      </c>
      <c r="H1208" s="47"/>
      <c r="I1208" s="61">
        <f>SUMIFS(StockInData[Quantity],StockInData[Product ID],ProductMaster!$B1208)-SUMIFS(StockOutData[Quantity],StockOutData[Product ID],ProductMaster!$B1208)</f>
        <v>0</v>
      </c>
      <c r="J1208" s="63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 t="str">
        <f>IFERROR(INDEX(StockInData[Expiry],MATCH(ProductMaster[[#This Row],[Product ID]],StockInData[Product ID],0)),"")</f>
        <v/>
      </c>
      <c r="H1209" s="47"/>
      <c r="I1209" s="61">
        <f>SUMIFS(StockInData[Quantity],StockInData[Product ID],ProductMaster!$B1209)-SUMIFS(StockOutData[Quantity],StockOutData[Product ID],ProductMaster!$B1209)</f>
        <v>0</v>
      </c>
      <c r="J1209" s="63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 t="str">
        <f>IFERROR(INDEX(StockInData[Expiry],MATCH(ProductMaster[[#This Row],[Product ID]],StockInData[Product ID],0)),"")</f>
        <v/>
      </c>
      <c r="H1210" s="47"/>
      <c r="I1210" s="61">
        <f>SUMIFS(StockInData[Quantity],StockInData[Product ID],ProductMaster!$B1210)-SUMIFS(StockOutData[Quantity],StockOutData[Product ID],ProductMaster!$B1210)</f>
        <v>0</v>
      </c>
      <c r="J1210" s="63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 t="str">
        <f>IFERROR(INDEX(StockInData[Expiry],MATCH(ProductMaster[[#This Row],[Product ID]],StockInData[Product ID],0)),"")</f>
        <v/>
      </c>
      <c r="H1213" s="47"/>
      <c r="I1213" s="61">
        <f>SUMIFS(StockInData[Quantity],StockInData[Product ID],ProductMaster!$B1213)-SUMIFS(StockOutData[Quantity],StockOutData[Product ID],ProductMaster!$B1213)</f>
        <v>0</v>
      </c>
      <c r="J1213" s="63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 t="str">
        <f>IFERROR(INDEX(StockInData[Expiry],MATCH(ProductMaster[[#This Row],[Product ID]],StockInData[Product ID],0)),"")</f>
        <v/>
      </c>
      <c r="H1214" s="47"/>
      <c r="I1214" s="61">
        <f>SUMIFS(StockInData[Quantity],StockInData[Product ID],ProductMaster!$B1214)-SUMIFS(StockOutData[Quantity],StockOutData[Product ID],ProductMaster!$B1214)</f>
        <v>0</v>
      </c>
      <c r="J1214" s="63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 t="str">
        <f>IFERROR(INDEX(StockInData[Expiry],MATCH(ProductMaster[[#This Row],[Product ID]],StockInData[Product ID],0)),"")</f>
        <v/>
      </c>
      <c r="H1215" s="47"/>
      <c r="I1215" s="61">
        <f>SUMIFS(StockInData[Quantity],StockInData[Product ID],ProductMaster!$B1215)-SUMIFS(StockOutData[Quantity],StockOutData[Product ID],ProductMaster!$B1215)</f>
        <v>0</v>
      </c>
      <c r="J1215" s="63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 t="str">
        <f>IFERROR(INDEX(StockInData[Expiry],MATCH(ProductMaster[[#This Row],[Product ID]],StockInData[Product ID],0)),"")</f>
        <v/>
      </c>
      <c r="H1216" s="47"/>
      <c r="I1216" s="61">
        <f>SUMIFS(StockInData[Quantity],StockInData[Product ID],ProductMaster!$B1216)-SUMIFS(StockOutData[Quantity],StockOutData[Product ID],ProductMaster!$B1216)</f>
        <v>0</v>
      </c>
      <c r="J1216" s="63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 t="str">
        <f>IFERROR(INDEX(StockInData[Expiry],MATCH(ProductMaster[[#This Row],[Product ID]],StockInData[Product ID],0)),"")</f>
        <v/>
      </c>
      <c r="H1218" s="47"/>
      <c r="I1218" s="61">
        <f>SUMIFS(StockInData[Quantity],StockInData[Product ID],ProductMaster!$B1218)-SUMIFS(StockOutData[Quantity],StockOutData[Product ID],ProductMaster!$B1218)</f>
        <v>0</v>
      </c>
      <c r="J1218" s="63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 t="str">
        <f>IFERROR(INDEX(StockInData[Expiry],MATCH(ProductMaster[[#This Row],[Product ID]],StockInData[Product ID],0)),"")</f>
        <v/>
      </c>
      <c r="H1219" s="47"/>
      <c r="I1219" s="61">
        <f>SUMIFS(StockInData[Quantity],StockInData[Product ID],ProductMaster!$B1219)-SUMIFS(StockOutData[Quantity],StockOutData[Product ID],ProductMaster!$B1219)</f>
        <v>0</v>
      </c>
      <c r="J1219" s="63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 t="str">
        <f>IFERROR(INDEX(StockInData[Expiry],MATCH(ProductMaster[[#This Row],[Product ID]],StockInData[Product ID],0)),"")</f>
        <v/>
      </c>
      <c r="H1220" s="47"/>
      <c r="I1220" s="61">
        <f>SUMIFS(StockInData[Quantity],StockInData[Product ID],ProductMaster!$B1220)-SUMIFS(StockOutData[Quantity],StockOutData[Product ID],ProductMaster!$B1220)</f>
        <v>0</v>
      </c>
      <c r="J1220" s="63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 t="str">
        <f>IFERROR(INDEX(StockInData[Expiry],MATCH(ProductMaster[[#This Row],[Product ID]],StockInData[Product ID],0)),"")</f>
        <v/>
      </c>
      <c r="H1221" s="47"/>
      <c r="I1221" s="61">
        <f>SUMIFS(StockInData[Quantity],StockInData[Product ID],ProductMaster!$B1221)-SUMIFS(StockOutData[Quantity],StockOutData[Product ID],ProductMaster!$B1221)</f>
        <v>0</v>
      </c>
      <c r="J1221" s="63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 t="str">
        <f>IFERROR(INDEX(StockInData[Expiry],MATCH(ProductMaster[[#This Row],[Product ID]],StockInData[Product ID],0)),"")</f>
        <v/>
      </c>
      <c r="H1222" s="47"/>
      <c r="I1222" s="61">
        <f>SUMIFS(StockInData[Quantity],StockInData[Product ID],ProductMaster!$B1222)-SUMIFS(StockOutData[Quantity],StockOutData[Product ID],ProductMaster!$B1222)</f>
        <v>0</v>
      </c>
      <c r="J1222" s="63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 t="str">
        <f>IFERROR(INDEX(StockInData[Expiry],MATCH(ProductMaster[[#This Row],[Product ID]],StockInData[Product ID],0)),"")</f>
        <v/>
      </c>
      <c r="H1223" s="47"/>
      <c r="I1223" s="61">
        <f>SUMIFS(StockInData[Quantity],StockInData[Product ID],ProductMaster!$B1223)-SUMIFS(StockOutData[Quantity],StockOutData[Product ID],ProductMaster!$B1223)</f>
        <v>0</v>
      </c>
      <c r="J1223" s="63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 t="str">
        <f>IFERROR(INDEX(StockInData[Expiry],MATCH(ProductMaster[[#This Row],[Product ID]],StockInData[Product ID],0)),"")</f>
        <v/>
      </c>
      <c r="H1224" s="47"/>
      <c r="I1224" s="61">
        <f>SUMIFS(StockInData[Quantity],StockInData[Product ID],ProductMaster!$B1224)-SUMIFS(StockOutData[Quantity],StockOutData[Product ID],ProductMaster!$B1224)</f>
        <v>0</v>
      </c>
      <c r="J1224" s="63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 t="str">
        <f>IFERROR(INDEX(StockInData[Expiry],MATCH(ProductMaster[[#This Row],[Product ID]],StockInData[Product ID],0)),"")</f>
        <v/>
      </c>
      <c r="H1225" s="47"/>
      <c r="I1225" s="61">
        <f>SUMIFS(StockInData[Quantity],StockInData[Product ID],ProductMaster!$B1225)-SUMIFS(StockOutData[Quantity],StockOutData[Product ID],ProductMaster!$B1225)</f>
        <v>0</v>
      </c>
      <c r="J1225" s="63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 t="str">
        <f>IFERROR(INDEX(StockInData[Expiry],MATCH(ProductMaster[[#This Row],[Product ID]],StockInData[Product ID],0)),"")</f>
        <v/>
      </c>
      <c r="H1226" s="47"/>
      <c r="I1226" s="61">
        <f>SUMIFS(StockInData[Quantity],StockInData[Product ID],ProductMaster!$B1226)-SUMIFS(StockOutData[Quantity],StockOutData[Product ID],ProductMaster!$B1226)</f>
        <v>0</v>
      </c>
      <c r="J1226" s="63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 t="str">
        <f>IFERROR(INDEX(StockInData[Expiry],MATCH(ProductMaster[[#This Row],[Product ID]],StockInData[Product ID],0)),"")</f>
        <v/>
      </c>
      <c r="H1227" s="47"/>
      <c r="I1227" s="61">
        <f>SUMIFS(StockInData[Quantity],StockInData[Product ID],ProductMaster!$B1227)-SUMIFS(StockOutData[Quantity],StockOutData[Product ID],ProductMaster!$B1227)</f>
        <v>0</v>
      </c>
      <c r="J1227" s="63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 t="str">
        <f>IFERROR(INDEX(StockInData[Expiry],MATCH(ProductMaster[[#This Row],[Product ID]],StockInData[Product ID],0)),"")</f>
        <v/>
      </c>
      <c r="H1228" s="47"/>
      <c r="I1228" s="61">
        <f>SUMIFS(StockInData[Quantity],StockInData[Product ID],ProductMaster!$B1228)-SUMIFS(StockOutData[Quantity],StockOutData[Product ID],ProductMaster!$B1228)</f>
        <v>0</v>
      </c>
      <c r="J1228" s="63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 t="str">
        <f>IFERROR(INDEX(StockInData[Expiry],MATCH(ProductMaster[[#This Row],[Product ID]],StockInData[Product ID],0)),"")</f>
        <v/>
      </c>
      <c r="H1229" s="47"/>
      <c r="I1229" s="61">
        <f>SUMIFS(StockInData[Quantity],StockInData[Product ID],ProductMaster!$B1229)-SUMIFS(StockOutData[Quantity],StockOutData[Product ID],ProductMaster!$B1229)</f>
        <v>0</v>
      </c>
      <c r="J1229" s="63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 t="str">
        <f>IFERROR(INDEX(StockInData[Expiry],MATCH(ProductMaster[[#This Row],[Product ID]],StockInData[Product ID],0)),"")</f>
        <v/>
      </c>
      <c r="H1231" s="47"/>
      <c r="I1231" s="61">
        <f>SUMIFS(StockInData[Quantity],StockInData[Product ID],ProductMaster!$B1231)-SUMIFS(StockOutData[Quantity],StockOutData[Product ID],ProductMaster!$B1231)</f>
        <v>0</v>
      </c>
      <c r="J1231" s="63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 t="str">
        <f>IFERROR(INDEX(StockInData[Expiry],MATCH(ProductMaster[[#This Row],[Product ID]],StockInData[Product ID],0)),"")</f>
        <v/>
      </c>
      <c r="H1232" s="47"/>
      <c r="I1232" s="61">
        <f>SUMIFS(StockInData[Quantity],StockInData[Product ID],ProductMaster!$B1232)-SUMIFS(StockOutData[Quantity],StockOutData[Product ID],ProductMaster!$B1232)</f>
        <v>0</v>
      </c>
      <c r="J1232" s="63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 t="str">
        <f>IFERROR(INDEX(StockInData[Expiry],MATCH(ProductMaster[[#This Row],[Product ID]],StockInData[Product ID],0)),"")</f>
        <v/>
      </c>
      <c r="H1233" s="47"/>
      <c r="I1233" s="61">
        <f>SUMIFS(StockInData[Quantity],StockInData[Product ID],ProductMaster!$B1233)-SUMIFS(StockOutData[Quantity],StockOutData[Product ID],ProductMaster!$B1233)</f>
        <v>0</v>
      </c>
      <c r="J1233" s="63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 t="str">
        <f>IFERROR(INDEX(StockInData[Expiry],MATCH(ProductMaster[[#This Row],[Product ID]],StockInData[Product ID],0)),"")</f>
        <v/>
      </c>
      <c r="H1234" s="47"/>
      <c r="I1234" s="61">
        <f>SUMIFS(StockInData[Quantity],StockInData[Product ID],ProductMaster!$B1234)-SUMIFS(StockOutData[Quantity],StockOutData[Product ID],ProductMaster!$B1234)</f>
        <v>0</v>
      </c>
      <c r="J1234" s="63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 t="str">
        <f>IFERROR(INDEX(StockInData[Expiry],MATCH(ProductMaster[[#This Row],[Product ID]],StockInData[Product ID],0)),"")</f>
        <v/>
      </c>
      <c r="H1235" s="47"/>
      <c r="I1235" s="61">
        <f>SUMIFS(StockInData[Quantity],StockInData[Product ID],ProductMaster!$B1235)-SUMIFS(StockOutData[Quantity],StockOutData[Product ID],ProductMaster!$B1235)</f>
        <v>0</v>
      </c>
      <c r="J1235" s="63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 t="str">
        <f>IFERROR(INDEX(StockInData[Expiry],MATCH(ProductMaster[[#This Row],[Product ID]],StockInData[Product ID],0)),"")</f>
        <v/>
      </c>
      <c r="H1236" s="47"/>
      <c r="I1236" s="61">
        <f>SUMIFS(StockInData[Quantity],StockInData[Product ID],ProductMaster!$B1236)-SUMIFS(StockOutData[Quantity],StockOutData[Product ID],ProductMaster!$B1236)</f>
        <v>0</v>
      </c>
      <c r="J1236" s="63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 t="str">
        <f>IFERROR(INDEX(StockInData[Expiry],MATCH(ProductMaster[[#This Row],[Product ID]],StockInData[Product ID],0)),"")</f>
        <v/>
      </c>
      <c r="H1237" s="47"/>
      <c r="I1237" s="61">
        <f>SUMIFS(StockInData[Quantity],StockInData[Product ID],ProductMaster!$B1237)-SUMIFS(StockOutData[Quantity],StockOutData[Product ID],ProductMaster!$B1237)</f>
        <v>0</v>
      </c>
      <c r="J1237" s="63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 t="str">
        <f>IFERROR(INDEX(StockInData[Expiry],MATCH(ProductMaster[[#This Row],[Product ID]],StockInData[Product ID],0)),"")</f>
        <v/>
      </c>
      <c r="H1238" s="47"/>
      <c r="I1238" s="61">
        <f>SUMIFS(StockInData[Quantity],StockInData[Product ID],ProductMaster!$B1238)-SUMIFS(StockOutData[Quantity],StockOutData[Product ID],ProductMaster!$B1238)</f>
        <v>0</v>
      </c>
      <c r="J1238" s="63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 t="str">
        <f>IFERROR(INDEX(StockInData[Expiry],MATCH(ProductMaster[[#This Row],[Product ID]],StockInData[Product ID],0)),"")</f>
        <v/>
      </c>
      <c r="H1239" s="47"/>
      <c r="I1239" s="61">
        <f>SUMIFS(StockInData[Quantity],StockInData[Product ID],ProductMaster!$B1239)-SUMIFS(StockOutData[Quantity],StockOutData[Product ID],ProductMaster!$B1239)</f>
        <v>0</v>
      </c>
      <c r="J1239" s="63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 t="str">
        <f>IFERROR(INDEX(StockInData[Expiry],MATCH(ProductMaster[[#This Row],[Product ID]],StockInData[Product ID],0)),"")</f>
        <v/>
      </c>
      <c r="H1240" s="47"/>
      <c r="I1240" s="61">
        <f>SUMIFS(StockInData[Quantity],StockInData[Product ID],ProductMaster!$B1240)-SUMIFS(StockOutData[Quantity],StockOutData[Product ID],ProductMaster!$B1240)</f>
        <v>0</v>
      </c>
      <c r="J1240" s="63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 t="str">
        <f>IFERROR(INDEX(StockInData[Expiry],MATCH(ProductMaster[[#This Row],[Product ID]],StockInData[Product ID],0)),"")</f>
        <v/>
      </c>
      <c r="H1241" s="47"/>
      <c r="I1241" s="61">
        <f>SUMIFS(StockInData[Quantity],StockInData[Product ID],ProductMaster!$B1241)-SUMIFS(StockOutData[Quantity],StockOutData[Product ID],ProductMaster!$B1241)</f>
        <v>0</v>
      </c>
      <c r="J1241" s="63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 t="str">
        <f>IFERROR(INDEX(StockInData[Expiry],MATCH(ProductMaster[[#This Row],[Product ID]],StockInData[Product ID],0)),"")</f>
        <v/>
      </c>
      <c r="H1242" s="47"/>
      <c r="I1242" s="61">
        <f>SUMIFS(StockInData[Quantity],StockInData[Product ID],ProductMaster!$B1242)-SUMIFS(StockOutData[Quantity],StockOutData[Product ID],ProductMaster!$B1242)</f>
        <v>0</v>
      </c>
      <c r="J1242" s="63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 t="str">
        <f>IFERROR(INDEX(StockInData[Expiry],MATCH(ProductMaster[[#This Row],[Product ID]],StockInData[Product ID],0)),"")</f>
        <v/>
      </c>
      <c r="H1243" s="47"/>
      <c r="I1243" s="61">
        <f>SUMIFS(StockInData[Quantity],StockInData[Product ID],ProductMaster!$B1243)-SUMIFS(StockOutData[Quantity],StockOutData[Product ID],ProductMaster!$B1243)</f>
        <v>0</v>
      </c>
      <c r="J1243" s="63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 t="str">
        <f>IFERROR(INDEX(StockInData[Expiry],MATCH(ProductMaster[[#This Row],[Product ID]],StockInData[Product ID],0)),"")</f>
        <v/>
      </c>
      <c r="H1244" s="47"/>
      <c r="I1244" s="61">
        <f>SUMIFS(StockInData[Quantity],StockInData[Product ID],ProductMaster!$B1244)-SUMIFS(StockOutData[Quantity],StockOutData[Product ID],ProductMaster!$B1244)</f>
        <v>0</v>
      </c>
      <c r="J1244" s="63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 t="str">
        <f>IFERROR(INDEX(StockInData[Expiry],MATCH(ProductMaster[[#This Row],[Product ID]],StockInData[Product ID],0)),"")</f>
        <v/>
      </c>
      <c r="H1245" s="47"/>
      <c r="I1245" s="61">
        <f>SUMIFS(StockInData[Quantity],StockInData[Product ID],ProductMaster!$B1245)-SUMIFS(StockOutData[Quantity],StockOutData[Product ID],ProductMaster!$B1245)</f>
        <v>0</v>
      </c>
      <c r="J1245" s="63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 t="str">
        <f>IFERROR(INDEX(StockInData[Expiry],MATCH(ProductMaster[[#This Row],[Product ID]],StockInData[Product ID],0)),"")</f>
        <v/>
      </c>
      <c r="H1247" s="47"/>
      <c r="I1247" s="61">
        <f>SUMIFS(StockInData[Quantity],StockInData[Product ID],ProductMaster!$B1247)-SUMIFS(StockOutData[Quantity],StockOutData[Product ID],ProductMaster!$B1247)</f>
        <v>0</v>
      </c>
      <c r="J1247" s="63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 t="str">
        <f>IFERROR(INDEX(StockInData[Expiry],MATCH(ProductMaster[[#This Row],[Product ID]],StockInData[Product ID],0)),"")</f>
        <v/>
      </c>
      <c r="H1248" s="47"/>
      <c r="I1248" s="61">
        <f>SUMIFS(StockInData[Quantity],StockInData[Product ID],ProductMaster!$B1248)-SUMIFS(StockOutData[Quantity],StockOutData[Product ID],ProductMaster!$B1248)</f>
        <v>0</v>
      </c>
      <c r="J1248" s="63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 t="str">
        <f>IFERROR(INDEX(StockInData[Expiry],MATCH(ProductMaster[[#This Row],[Product ID]],StockInData[Product ID],0)),"")</f>
        <v/>
      </c>
      <c r="H1249" s="47"/>
      <c r="I1249" s="61">
        <f>SUMIFS(StockInData[Quantity],StockInData[Product ID],ProductMaster!$B1249)-SUMIFS(StockOutData[Quantity],StockOutData[Product ID],ProductMaster!$B1249)</f>
        <v>0</v>
      </c>
      <c r="J1249" s="63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 t="str">
        <f>IFERROR(INDEX(StockInData[Expiry],MATCH(ProductMaster[[#This Row],[Product ID]],StockInData[Product ID],0)),"")</f>
        <v/>
      </c>
      <c r="H1250" s="47"/>
      <c r="I1250" s="61">
        <f>SUMIFS(StockInData[Quantity],StockInData[Product ID],ProductMaster!$B1250)-SUMIFS(StockOutData[Quantity],StockOutData[Product ID],ProductMaster!$B1250)</f>
        <v>0</v>
      </c>
      <c r="J1250" s="63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 t="str">
        <f>IFERROR(INDEX(StockInData[Expiry],MATCH(ProductMaster[[#This Row],[Product ID]],StockInData[Product ID],0)),"")</f>
        <v/>
      </c>
      <c r="H1251" s="47"/>
      <c r="I1251" s="61">
        <f>SUMIFS(StockInData[Quantity],StockInData[Product ID],ProductMaster!$B1251)-SUMIFS(StockOutData[Quantity],StockOutData[Product ID],ProductMaster!$B1251)</f>
        <v>0</v>
      </c>
      <c r="J1251" s="63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 t="str">
        <f>IFERROR(INDEX(StockInData[Expiry],MATCH(ProductMaster[[#This Row],[Product ID]],StockInData[Product ID],0)),"")</f>
        <v/>
      </c>
      <c r="H1252" s="47"/>
      <c r="I1252" s="61">
        <f>SUMIFS(StockInData[Quantity],StockInData[Product ID],ProductMaster!$B1252)-SUMIFS(StockOutData[Quantity],StockOutData[Product ID],ProductMaster!$B1252)</f>
        <v>0</v>
      </c>
      <c r="J1252" s="63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 t="str">
        <f>IFERROR(INDEX(StockInData[Expiry],MATCH(ProductMaster[[#This Row],[Product ID]],StockInData[Product ID],0)),"")</f>
        <v/>
      </c>
      <c r="H1254" s="47"/>
      <c r="I1254" s="61">
        <f>SUMIFS(StockInData[Quantity],StockInData[Product ID],ProductMaster!$B1254)-SUMIFS(StockOutData[Quantity],StockOutData[Product ID],ProductMaster!$B1254)</f>
        <v>0</v>
      </c>
      <c r="J1254" s="63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 t="str">
        <f>IFERROR(INDEX(StockInData[Expiry],MATCH(ProductMaster[[#This Row],[Product ID]],StockInData[Product ID],0)),"")</f>
        <v/>
      </c>
      <c r="H1255" s="47"/>
      <c r="I1255" s="61">
        <f>SUMIFS(StockInData[Quantity],StockInData[Product ID],ProductMaster!$B1255)-SUMIFS(StockOutData[Quantity],StockOutData[Product ID],ProductMaster!$B1255)</f>
        <v>0</v>
      </c>
      <c r="J1255" s="63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 t="str">
        <f>IFERROR(INDEX(StockInData[Expiry],MATCH(ProductMaster[[#This Row],[Product ID]],StockInData[Product ID],0)),"")</f>
        <v/>
      </c>
      <c r="H1256" s="47"/>
      <c r="I1256" s="61">
        <f>SUMIFS(StockInData[Quantity],StockInData[Product ID],ProductMaster!$B1256)-SUMIFS(StockOutData[Quantity],StockOutData[Product ID],ProductMaster!$B1256)</f>
        <v>0</v>
      </c>
      <c r="J1256" s="63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 t="str">
        <f>IFERROR(INDEX(StockInData[Expiry],MATCH(ProductMaster[[#This Row],[Product ID]],StockInData[Product ID],0)),"")</f>
        <v/>
      </c>
      <c r="H1257" s="47"/>
      <c r="I1257" s="61">
        <f>SUMIFS(StockInData[Quantity],StockInData[Product ID],ProductMaster!$B1257)-SUMIFS(StockOutData[Quantity],StockOutData[Product ID],ProductMaster!$B1257)</f>
        <v>0</v>
      </c>
      <c r="J1257" s="63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 t="str">
        <f>IFERROR(INDEX(StockInData[Expiry],MATCH(ProductMaster[[#This Row],[Product ID]],StockInData[Product ID],0)),"")</f>
        <v/>
      </c>
      <c r="H1259" s="47"/>
      <c r="I1259" s="61">
        <f>SUMIFS(StockInData[Quantity],StockInData[Product ID],ProductMaster!$B1259)-SUMIFS(StockOutData[Quantity],StockOutData[Product ID],ProductMaster!$B1259)</f>
        <v>0</v>
      </c>
      <c r="J1259" s="63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 t="str">
        <f>IFERROR(INDEX(StockInData[Expiry],MATCH(ProductMaster[[#This Row],[Product ID]],StockInData[Product ID],0)),"")</f>
        <v/>
      </c>
      <c r="H1261" s="47"/>
      <c r="I1261" s="61">
        <f>SUMIFS(StockInData[Quantity],StockInData[Product ID],ProductMaster!$B1261)-SUMIFS(StockOutData[Quantity],StockOutData[Product ID],ProductMaster!$B1261)</f>
        <v>0</v>
      </c>
      <c r="J1261" s="63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 t="str">
        <f>IFERROR(INDEX(StockInData[Expiry],MATCH(ProductMaster[[#This Row],[Product ID]],StockInData[Product ID],0)),"")</f>
        <v/>
      </c>
      <c r="H1265" s="47"/>
      <c r="I1265" s="61">
        <f>SUMIFS(StockInData[Quantity],StockInData[Product ID],ProductMaster!$B1265)-SUMIFS(StockOutData[Quantity],StockOutData[Product ID],ProductMaster!$B1265)</f>
        <v>0</v>
      </c>
      <c r="J1265" s="63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 t="str">
        <f>IFERROR(INDEX(StockInData[Expiry],MATCH(ProductMaster[[#This Row],[Product ID]],StockInData[Product ID],0)),"")</f>
        <v/>
      </c>
      <c r="H1266" s="47"/>
      <c r="I1266" s="61">
        <f>SUMIFS(StockInData[Quantity],StockInData[Product ID],ProductMaster!$B1266)-SUMIFS(StockOutData[Quantity],StockOutData[Product ID],ProductMaster!$B1266)</f>
        <v>0</v>
      </c>
      <c r="J1266" s="63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 t="str">
        <f>IFERROR(INDEX(StockInData[Expiry],MATCH(ProductMaster[[#This Row],[Product ID]],StockInData[Product ID],0)),"")</f>
        <v/>
      </c>
      <c r="H1267" s="47"/>
      <c r="I1267" s="61">
        <f>SUMIFS(StockInData[Quantity],StockInData[Product ID],ProductMaster!$B1267)-SUMIFS(StockOutData[Quantity],StockOutData[Product ID],ProductMaster!$B1267)</f>
        <v>0</v>
      </c>
      <c r="J1267" s="63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 t="str">
        <f>IFERROR(INDEX(StockInData[Expiry],MATCH(ProductMaster[[#This Row],[Product ID]],StockInData[Product ID],0)),"")</f>
        <v/>
      </c>
      <c r="H1268" s="47"/>
      <c r="I1268" s="61">
        <f>SUMIFS(StockInData[Quantity],StockInData[Product ID],ProductMaster!$B1268)-SUMIFS(StockOutData[Quantity],StockOutData[Product ID],ProductMaster!$B1268)</f>
        <v>0</v>
      </c>
      <c r="J1268" s="63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 t="str">
        <f>IFERROR(INDEX(StockInData[Expiry],MATCH(ProductMaster[[#This Row],[Product ID]],StockInData[Product ID],0)),"")</f>
        <v/>
      </c>
      <c r="H1269" s="47"/>
      <c r="I1269" s="61">
        <f>SUMIFS(StockInData[Quantity],StockInData[Product ID],ProductMaster!$B1269)-SUMIFS(StockOutData[Quantity],StockOutData[Product ID],ProductMaster!$B1269)</f>
        <v>0</v>
      </c>
      <c r="J1269" s="63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 t="str">
        <f>IFERROR(INDEX(StockInData[Expiry],MATCH(ProductMaster[[#This Row],[Product ID]],StockInData[Product ID],0)),"")</f>
        <v/>
      </c>
      <c r="H1274" s="47"/>
      <c r="I1274" s="61">
        <f>SUMIFS(StockInData[Quantity],StockInData[Product ID],ProductMaster!$B1274)-SUMIFS(StockOutData[Quantity],StockOutData[Product ID],ProductMaster!$B1274)</f>
        <v>0</v>
      </c>
      <c r="J1274" s="63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 t="str">
        <f>IFERROR(INDEX(StockInData[Expiry],MATCH(ProductMaster[[#This Row],[Product ID]],StockInData[Product ID],0)),"")</f>
        <v/>
      </c>
      <c r="H1275" s="47"/>
      <c r="I1275" s="61">
        <f>SUMIFS(StockInData[Quantity],StockInData[Product ID],ProductMaster!$B1275)-SUMIFS(StockOutData[Quantity],StockOutData[Product ID],ProductMaster!$B1275)</f>
        <v>0</v>
      </c>
      <c r="J1275" s="63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 t="str">
        <f>IFERROR(INDEX(StockInData[Expiry],MATCH(ProductMaster[[#This Row],[Product ID]],StockInData[Product ID],0)),"")</f>
        <v/>
      </c>
      <c r="H1276" s="47"/>
      <c r="I1276" s="61">
        <f>SUMIFS(StockInData[Quantity],StockInData[Product ID],ProductMaster!$B1276)-SUMIFS(StockOutData[Quantity],StockOutData[Product ID],ProductMaster!$B1276)</f>
        <v>0</v>
      </c>
      <c r="J1276" s="63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 t="str">
        <f>IFERROR(INDEX(StockInData[Expiry],MATCH(ProductMaster[[#This Row],[Product ID]],StockInData[Product ID],0)),"")</f>
        <v/>
      </c>
      <c r="H1288" s="47"/>
      <c r="I1288" s="61">
        <f>SUMIFS(StockInData[Quantity],StockInData[Product ID],ProductMaster!$B1288)-SUMIFS(StockOutData[Quantity],StockOutData[Product ID],ProductMaster!$B1288)</f>
        <v>0</v>
      </c>
      <c r="J1288" s="63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 t="str">
        <f>IFERROR(INDEX(StockInData[Expiry],MATCH(ProductMaster[[#This Row],[Product ID]],StockInData[Product ID],0)),"")</f>
        <v/>
      </c>
      <c r="H1290" s="47"/>
      <c r="I1290" s="61">
        <f>SUMIFS(StockInData[Quantity],StockInData[Product ID],ProductMaster!$B1290)-SUMIFS(StockOutData[Quantity],StockOutData[Product ID],ProductMaster!$B1290)</f>
        <v>0</v>
      </c>
      <c r="J1290" s="63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 t="str">
        <f>IFERROR(INDEX(StockInData[Expiry],MATCH(ProductMaster[[#This Row],[Product ID]],StockInData[Product ID],0)),"")</f>
        <v/>
      </c>
      <c r="H1291" s="47"/>
      <c r="I1291" s="61">
        <f>SUMIFS(StockInData[Quantity],StockInData[Product ID],ProductMaster!$B1291)-SUMIFS(StockOutData[Quantity],StockOutData[Product ID],ProductMaster!$B1291)</f>
        <v>0</v>
      </c>
      <c r="J1291" s="63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 t="str">
        <f>IFERROR(INDEX(StockInData[Expiry],MATCH(ProductMaster[[#This Row],[Product ID]],StockInData[Product ID],0)),"")</f>
        <v/>
      </c>
      <c r="H1292" s="47"/>
      <c r="I1292" s="61">
        <f>SUMIFS(StockInData[Quantity],StockInData[Product ID],ProductMaster!$B1292)-SUMIFS(StockOutData[Quantity],StockOutData[Product ID],ProductMaster!$B1292)</f>
        <v>0</v>
      </c>
      <c r="J1292" s="63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 t="str">
        <f>IFERROR(INDEX(StockInData[Expiry],MATCH(ProductMaster[[#This Row],[Product ID]],StockInData[Product ID],0)),"")</f>
        <v/>
      </c>
      <c r="H1303" s="47"/>
      <c r="I1303" s="61">
        <f>SUMIFS(StockInData[Quantity],StockInData[Product ID],ProductMaster!$B1303)-SUMIFS(StockOutData[Quantity],StockOutData[Product ID],ProductMaster!$B1303)</f>
        <v>0</v>
      </c>
      <c r="J1303" s="63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 t="str">
        <f>IFERROR(INDEX(StockInData[Expiry],MATCH(ProductMaster[[#This Row],[Product ID]],StockInData[Product ID],0)),"")</f>
        <v/>
      </c>
      <c r="H1305" s="47"/>
      <c r="I1305" s="61">
        <f>SUMIFS(StockInData[Quantity],StockInData[Product ID],ProductMaster!$B1305)-SUMIFS(StockOutData[Quantity],StockOutData[Product ID],ProductMaster!$B1305)</f>
        <v>0</v>
      </c>
      <c r="J1305" s="63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 t="str">
        <f>IFERROR(INDEX(StockInData[Expiry],MATCH(ProductMaster[[#This Row],[Product ID]],StockInData[Product ID],0)),"")</f>
        <v/>
      </c>
      <c r="H1306" s="47"/>
      <c r="I1306" s="61">
        <f>SUMIFS(StockInData[Quantity],StockInData[Product ID],ProductMaster!$B1306)-SUMIFS(StockOutData[Quantity],StockOutData[Product ID],ProductMaster!$B1306)</f>
        <v>0</v>
      </c>
      <c r="J1306" s="63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 t="str">
        <f>IFERROR(INDEX(StockInData[Expiry],MATCH(ProductMaster[[#This Row],[Product ID]],StockInData[Product ID],0)),"")</f>
        <v/>
      </c>
      <c r="H1309" s="47"/>
      <c r="I1309" s="61">
        <f>SUMIFS(StockInData[Quantity],StockInData[Product ID],ProductMaster!$B1309)-SUMIFS(StockOutData[Quantity],StockOutData[Product ID],ProductMaster!$B1309)</f>
        <v>0</v>
      </c>
      <c r="J1309" s="63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 t="str">
        <f>IFERROR(INDEX(StockInData[Expiry],MATCH(ProductMaster[[#This Row],[Product ID]],StockInData[Product ID],0)),"")</f>
        <v/>
      </c>
      <c r="H1310" s="47"/>
      <c r="I1310" s="61">
        <f>SUMIFS(StockInData[Quantity],StockInData[Product ID],ProductMaster!$B1310)-SUMIFS(StockOutData[Quantity],StockOutData[Product ID],ProductMaster!$B1310)</f>
        <v>0</v>
      </c>
      <c r="J1310" s="63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 t="str">
        <f>IFERROR(INDEX(StockInData[Expiry],MATCH(ProductMaster[[#This Row],[Product ID]],StockInData[Product ID],0)),"")</f>
        <v/>
      </c>
      <c r="H1311" s="47"/>
      <c r="I1311" s="61">
        <f>SUMIFS(StockInData[Quantity],StockInData[Product ID],ProductMaster!$B1311)-SUMIFS(StockOutData[Quantity],StockOutData[Product ID],ProductMaster!$B1311)</f>
        <v>0</v>
      </c>
      <c r="J1311" s="63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 t="str">
        <f>IFERROR(INDEX(StockInData[Expiry],MATCH(ProductMaster[[#This Row],[Product ID]],StockInData[Product ID],0)),"")</f>
        <v/>
      </c>
      <c r="H1312" s="47"/>
      <c r="I1312" s="61">
        <f>SUMIFS(StockInData[Quantity],StockInData[Product ID],ProductMaster!$B1312)-SUMIFS(StockOutData[Quantity],StockOutData[Product ID],ProductMaster!$B1312)</f>
        <v>0</v>
      </c>
      <c r="J1312" s="63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 t="str">
        <f>IFERROR(INDEX(StockInData[Expiry],MATCH(ProductMaster[[#This Row],[Product ID]],StockInData[Product ID],0)),"")</f>
        <v/>
      </c>
      <c r="H1313" s="47"/>
      <c r="I1313" s="61">
        <f>SUMIFS(StockInData[Quantity],StockInData[Product ID],ProductMaster!$B1313)-SUMIFS(StockOutData[Quantity],StockOutData[Product ID],ProductMaster!$B1313)</f>
        <v>0</v>
      </c>
      <c r="J1313" s="63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 t="str">
        <f>IFERROR(INDEX(StockInData[Expiry],MATCH(ProductMaster[[#This Row],[Product ID]],StockInData[Product ID],0)),"")</f>
        <v/>
      </c>
      <c r="H1314" s="47"/>
      <c r="I1314" s="61">
        <f>SUMIFS(StockInData[Quantity],StockInData[Product ID],ProductMaster!$B1314)-SUMIFS(StockOutData[Quantity],StockOutData[Product ID],ProductMaster!$B1314)</f>
        <v>0</v>
      </c>
      <c r="J1314" s="63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 t="str">
        <f>IFERROR(INDEX(StockInData[Expiry],MATCH(ProductMaster[[#This Row],[Product ID]],StockInData[Product ID],0)),"")</f>
        <v/>
      </c>
      <c r="H1315" s="47"/>
      <c r="I1315" s="61">
        <f>SUMIFS(StockInData[Quantity],StockInData[Product ID],ProductMaster!$B1315)-SUMIFS(StockOutData[Quantity],StockOutData[Product ID],ProductMaster!$B1315)</f>
        <v>0</v>
      </c>
      <c r="J1315" s="63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 t="str">
        <f>IFERROR(INDEX(StockInData[Expiry],MATCH(ProductMaster[[#This Row],[Product ID]],StockInData[Product ID],0)),"")</f>
        <v/>
      </c>
      <c r="H1317" s="47"/>
      <c r="I1317" s="61">
        <f>SUMIFS(StockInData[Quantity],StockInData[Product ID],ProductMaster!$B1317)-SUMIFS(StockOutData[Quantity],StockOutData[Product ID],ProductMaster!$B1317)</f>
        <v>0</v>
      </c>
      <c r="J1317" s="63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 t="str">
        <f>IFERROR(INDEX(StockInData[Expiry],MATCH(ProductMaster[[#This Row],[Product ID]],StockInData[Product ID],0)),"")</f>
        <v/>
      </c>
      <c r="H1320" s="47"/>
      <c r="I1320" s="61">
        <f>SUMIFS(StockInData[Quantity],StockInData[Product ID],ProductMaster!$B1320)-SUMIFS(StockOutData[Quantity],StockOutData[Product ID],ProductMaster!$B1320)</f>
        <v>0</v>
      </c>
      <c r="J1320" s="63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 t="str">
        <f>IFERROR(INDEX(StockInData[Expiry],MATCH(ProductMaster[[#This Row],[Product ID]],StockInData[Product ID],0)),"")</f>
        <v/>
      </c>
      <c r="H1321" s="47"/>
      <c r="I1321" s="61">
        <f>SUMIFS(StockInData[Quantity],StockInData[Product ID],ProductMaster!$B1321)-SUMIFS(StockOutData[Quantity],StockOutData[Product ID],ProductMaster!$B1321)</f>
        <v>0</v>
      </c>
      <c r="J1321" s="63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 t="str">
        <f>IFERROR(INDEX(StockInData[Expiry],MATCH(ProductMaster[[#This Row],[Product ID]],StockInData[Product ID],0)),"")</f>
        <v/>
      </c>
      <c r="H1322" s="47"/>
      <c r="I1322" s="61">
        <f>SUMIFS(StockInData[Quantity],StockInData[Product ID],ProductMaster!$B1322)-SUMIFS(StockOutData[Quantity],StockOutData[Product ID],ProductMaster!$B1322)</f>
        <v>0</v>
      </c>
      <c r="J1322" s="63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 t="str">
        <f>IFERROR(INDEX(StockInData[Expiry],MATCH(ProductMaster[[#This Row],[Product ID]],StockInData[Product ID],0)),"")</f>
        <v/>
      </c>
      <c r="H1323" s="47"/>
      <c r="I1323" s="61">
        <f>SUMIFS(StockInData[Quantity],StockInData[Product ID],ProductMaster!$B1323)-SUMIFS(StockOutData[Quantity],StockOutData[Product ID],ProductMaster!$B1323)</f>
        <v>0</v>
      </c>
      <c r="J1323" s="63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 t="str">
        <f>IFERROR(INDEX(StockInData[Expiry],MATCH(ProductMaster[[#This Row],[Product ID]],StockInData[Product ID],0)),"")</f>
        <v/>
      </c>
      <c r="H1330" s="47"/>
      <c r="I1330" s="61">
        <f>SUMIFS(StockInData[Quantity],StockInData[Product ID],ProductMaster!$B1330)-SUMIFS(StockOutData[Quantity],StockOutData[Product ID],ProductMaster!$B1330)</f>
        <v>0</v>
      </c>
      <c r="J1330" s="63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 t="str">
        <f>IFERROR(INDEX(StockInData[Expiry],MATCH(ProductMaster[[#This Row],[Product ID]],StockInData[Product ID],0)),"")</f>
        <v/>
      </c>
      <c r="H1334" s="47"/>
      <c r="I1334" s="61">
        <f>SUMIFS(StockInData[Quantity],StockInData[Product ID],ProductMaster!$B1334)-SUMIFS(StockOutData[Quantity],StockOutData[Product ID],ProductMaster!$B1334)</f>
        <v>0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 t="str">
        <f>IFERROR(INDEX(StockInData[Expiry],MATCH(ProductMaster[[#This Row],[Product ID]],StockInData[Product ID],0)),"")</f>
        <v/>
      </c>
      <c r="H1335" s="47"/>
      <c r="I1335" s="61">
        <f>SUMIFS(StockInData[Quantity],StockInData[Product ID],ProductMaster!$B1335)-SUMIFS(StockOutData[Quantity],StockOutData[Product ID],ProductMaster!$B1335)</f>
        <v>0</v>
      </c>
      <c r="J1335" s="63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 t="str">
        <f>IFERROR(INDEX(StockInData[Expiry],MATCH(ProductMaster[[#This Row],[Product ID]],StockInData[Product ID],0)),"")</f>
        <v/>
      </c>
      <c r="H1336" s="47"/>
      <c r="I1336" s="61">
        <f>SUMIFS(StockInData[Quantity],StockInData[Product ID],ProductMaster!$B1336)-SUMIFS(StockOutData[Quantity],StockOutData[Product ID],ProductMaster!$B1336)</f>
        <v>0</v>
      </c>
      <c r="J1336" s="63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 t="str">
        <f>IFERROR(INDEX(StockInData[Expiry],MATCH(ProductMaster[[#This Row],[Product ID]],StockInData[Product ID],0)),"")</f>
        <v/>
      </c>
      <c r="H1339" s="47"/>
      <c r="I1339" s="61">
        <f>SUMIFS(StockInData[Quantity],StockInData[Product ID],ProductMaster!$B1339)-SUMIFS(StockOutData[Quantity],StockOutData[Product ID],ProductMaster!$B1339)</f>
        <v>0</v>
      </c>
      <c r="J1339" s="63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 t="str">
        <f>IFERROR(INDEX(StockInData[Expiry],MATCH(ProductMaster[[#This Row],[Product ID]],StockInData[Product ID],0)),"")</f>
        <v/>
      </c>
      <c r="H1343" s="47"/>
      <c r="I1343" s="61">
        <f>SUMIFS(StockInData[Quantity],StockInData[Product ID],ProductMaster!$B1343)-SUMIFS(StockOutData[Quantity],StockOutData[Product ID],ProductMaster!$B1343)</f>
        <v>0</v>
      </c>
      <c r="J1343" s="63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 t="str">
        <f>IFERROR(INDEX(StockInData[Expiry],MATCH(ProductMaster[[#This Row],[Product ID]],StockInData[Product ID],0)),"")</f>
        <v/>
      </c>
      <c r="H1354" s="47"/>
      <c r="I1354" s="61">
        <f>SUMIFS(StockInData[Quantity],StockInData[Product ID],ProductMaster!$B1354)-SUMIFS(StockOutData[Quantity],StockOutData[Product ID],ProductMaster!$B1354)</f>
        <v>0</v>
      </c>
      <c r="J1354" s="63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 t="str">
        <f>IFERROR(INDEX(StockInData[Expiry],MATCH(ProductMaster[[#This Row],[Product ID]],StockInData[Product ID],0)),"")</f>
        <v/>
      </c>
      <c r="H1356" s="47"/>
      <c r="I1356" s="61">
        <f>SUMIFS(StockInData[Quantity],StockInData[Product ID],ProductMaster!$B1356)-SUMIFS(StockOutData[Quantity],StockOutData[Product ID],ProductMaster!$B1356)</f>
        <v>0</v>
      </c>
      <c r="J1356" s="63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 t="str">
        <f>IFERROR(INDEX(StockInData[Expiry],MATCH(ProductMaster[[#This Row],[Product ID]],StockInData[Product ID],0)),"")</f>
        <v/>
      </c>
      <c r="H1357" s="47"/>
      <c r="I1357" s="61">
        <f>SUMIFS(StockInData[Quantity],StockInData[Product ID],ProductMaster!$B1357)-SUMIFS(StockOutData[Quantity],StockOutData[Product ID],ProductMaster!$B1357)</f>
        <v>0</v>
      </c>
      <c r="J1357" s="63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 t="str">
        <f>IFERROR(INDEX(StockInData[Expiry],MATCH(ProductMaster[[#This Row],[Product ID]],StockInData[Product ID],0)),"")</f>
        <v/>
      </c>
      <c r="H1361" s="47"/>
      <c r="I1361" s="61">
        <f>SUMIFS(StockInData[Quantity],StockInData[Product ID],ProductMaster!$B1361)-SUMIFS(StockOutData[Quantity],StockOutData[Product ID],ProductMaster!$B1361)</f>
        <v>0</v>
      </c>
      <c r="J1361" s="63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 t="str">
        <f>IFERROR(INDEX(StockInData[Expiry],MATCH(ProductMaster[[#This Row],[Product ID]],StockInData[Product ID],0)),"")</f>
        <v/>
      </c>
      <c r="H1366" s="47"/>
      <c r="I1366" s="61">
        <f>SUMIFS(StockInData[Quantity],StockInData[Product ID],ProductMaster!$B1366)-SUMIFS(StockOutData[Quantity],StockOutData[Product ID],ProductMaster!$B1366)</f>
        <v>0</v>
      </c>
      <c r="J1366" s="63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 t="str">
        <f>IFERROR(INDEX(StockInData[Expiry],MATCH(ProductMaster[[#This Row],[Product ID]],StockInData[Product ID],0)),"")</f>
        <v/>
      </c>
      <c r="H1369" s="47"/>
      <c r="I1369" s="61">
        <f>SUMIFS(StockInData[Quantity],StockInData[Product ID],ProductMaster!$B1369)-SUMIFS(StockOutData[Quantity],StockOutData[Product ID],ProductMaster!$B1369)</f>
        <v>0</v>
      </c>
      <c r="J1369" s="63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 t="str">
        <f>IFERROR(INDEX(StockInData[Expiry],MATCH(ProductMaster[[#This Row],[Product ID]],StockInData[Product ID],0)),"")</f>
        <v/>
      </c>
      <c r="H1371" s="47"/>
      <c r="I1371" s="61">
        <f>SUMIFS(StockInData[Quantity],StockInData[Product ID],ProductMaster!$B1371)-SUMIFS(StockOutData[Quantity],StockOutData[Product ID],ProductMaster!$B1371)</f>
        <v>0</v>
      </c>
      <c r="J1371" s="63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 t="str">
        <f>IFERROR(INDEX(StockInData[Expiry],MATCH(ProductMaster[[#This Row],[Product ID]],StockInData[Product ID],0)),"")</f>
        <v/>
      </c>
      <c r="H1373" s="47"/>
      <c r="I1373" s="61">
        <f>SUMIFS(StockInData[Quantity],StockInData[Product ID],ProductMaster!$B1373)-SUMIFS(StockOutData[Quantity],StockOutData[Product ID],ProductMaster!$B1373)</f>
        <v>0</v>
      </c>
      <c r="J1373" s="63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0</v>
      </c>
      <c r="J1377" s="63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 t="str">
        <f>IFERROR(INDEX(StockInData[Expiry],MATCH(ProductMaster[[#This Row],[Product ID]],StockInData[Product ID],0)),"")</f>
        <v/>
      </c>
      <c r="H1379" s="47"/>
      <c r="I1379" s="61">
        <f>SUMIFS(StockInData[Quantity],StockInData[Product ID],ProductMaster!$B1379)-SUMIFS(StockOutData[Quantity],StockOutData[Product ID],ProductMaster!$B1379)</f>
        <v>0</v>
      </c>
      <c r="J1379" s="63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 t="str">
        <f>IFERROR(INDEX(StockInData[Expiry],MATCH(ProductMaster[[#This Row],[Product ID]],StockInData[Product ID],0)),"")</f>
        <v/>
      </c>
      <c r="H1381" s="47"/>
      <c r="I1381" s="61">
        <f>SUMIFS(StockInData[Quantity],StockInData[Product ID],ProductMaster!$B1381)-SUMIFS(StockOutData[Quantity],StockOutData[Product ID],ProductMaster!$B1381)</f>
        <v>0</v>
      </c>
      <c r="J1381" s="63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 t="str">
        <f>IFERROR(INDEX(StockInData[Expiry],MATCH(ProductMaster[[#This Row],[Product ID]],StockInData[Product ID],0)),"")</f>
        <v/>
      </c>
      <c r="H1385" s="47"/>
      <c r="I1385" s="61">
        <f>SUMIFS(StockInData[Quantity],StockInData[Product ID],ProductMaster!$B1385)-SUMIFS(StockOutData[Quantity],StockOutData[Product ID],ProductMaster!$B1385)</f>
        <v>0</v>
      </c>
      <c r="J1385" s="63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 t="str">
        <f>IFERROR(INDEX(StockInData[Expiry],MATCH(ProductMaster[[#This Row],[Product ID]],StockInData[Product ID],0)),"")</f>
        <v/>
      </c>
      <c r="H1387" s="47"/>
      <c r="I1387" s="61">
        <f>SUMIFS(StockInData[Quantity],StockInData[Product ID],ProductMaster!$B1387)-SUMIFS(StockOutData[Quantity],StockOutData[Product ID],ProductMaster!$B1387)</f>
        <v>0</v>
      </c>
      <c r="J1387" s="63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 t="str">
        <f>IFERROR(INDEX(StockInData[Expiry],MATCH(ProductMaster[[#This Row],[Product ID]],StockInData[Product ID],0)),"")</f>
        <v/>
      </c>
      <c r="H1388" s="47"/>
      <c r="I1388" s="61">
        <f>SUMIFS(StockInData[Quantity],StockInData[Product ID],ProductMaster!$B1388)-SUMIFS(StockOutData[Quantity],StockOutData[Product ID],ProductMaster!$B1388)</f>
        <v>0</v>
      </c>
      <c r="J1388" s="63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 t="str">
        <f>IFERROR(INDEX(StockInData[Expiry],MATCH(ProductMaster[[#This Row],[Product ID]],StockInData[Product ID],0)),"")</f>
        <v/>
      </c>
      <c r="H1389" s="47"/>
      <c r="I1389" s="61">
        <f>SUMIFS(StockInData[Quantity],StockInData[Product ID],ProductMaster!$B1389)-SUMIFS(StockOutData[Quantity],StockOutData[Product ID],ProductMaster!$B1389)</f>
        <v>0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 t="str">
        <f>IFERROR(INDEX(StockInData[Expiry],MATCH(ProductMaster[[#This Row],[Product ID]],StockInData[Product ID],0)),"")</f>
        <v/>
      </c>
      <c r="H1390" s="47"/>
      <c r="I1390" s="61">
        <f>SUMIFS(StockInData[Quantity],StockInData[Product ID],ProductMaster!$B1390)-SUMIFS(StockOutData[Quantity],StockOutData[Product ID],ProductMaster!$B1390)</f>
        <v>0</v>
      </c>
      <c r="J1390" s="63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 t="str">
        <f>IFERROR(INDEX(StockInData[Expiry],MATCH(ProductMaster[[#This Row],[Product ID]],StockInData[Product ID],0)),"")</f>
        <v/>
      </c>
      <c r="H1393" s="47"/>
      <c r="I1393" s="61">
        <f>SUMIFS(StockInData[Quantity],StockInData[Product ID],ProductMaster!$B1393)-SUMIFS(StockOutData[Quantity],StockOutData[Product ID],ProductMaster!$B1393)</f>
        <v>0</v>
      </c>
      <c r="J1393" s="63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 t="str">
        <f>IFERROR(INDEX(StockInData[Expiry],MATCH(ProductMaster[[#This Row],[Product ID]],StockInData[Product ID],0)),"")</f>
        <v/>
      </c>
      <c r="H1394" s="47"/>
      <c r="I1394" s="61">
        <f>SUMIFS(StockInData[Quantity],StockInData[Product ID],ProductMaster!$B1394)-SUMIFS(StockOutData[Quantity],StockOutData[Product ID],ProductMaster!$B1394)</f>
        <v>0</v>
      </c>
      <c r="J1394" s="63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 t="str">
        <f>IFERROR(INDEX(StockInData[Expiry],MATCH(ProductMaster[[#This Row],[Product ID]],StockInData[Product ID],0)),"")</f>
        <v/>
      </c>
      <c r="H1397" s="47"/>
      <c r="I1397" s="61">
        <f>SUMIFS(StockInData[Quantity],StockInData[Product ID],ProductMaster!$B1397)-SUMIFS(StockOutData[Quantity],StockOutData[Product ID],ProductMaster!$B1397)</f>
        <v>0</v>
      </c>
      <c r="J1397" s="63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 t="str">
        <f>IFERROR(INDEX(StockInData[Expiry],MATCH(ProductMaster[[#This Row],[Product ID]],StockInData[Product ID],0)),"")</f>
        <v/>
      </c>
      <c r="H1398" s="47"/>
      <c r="I1398" s="61">
        <f>SUMIFS(StockInData[Quantity],StockInData[Product ID],ProductMaster!$B1398)-SUMIFS(StockOutData[Quantity],StockOutData[Product ID],ProductMaster!$B1398)</f>
        <v>0</v>
      </c>
      <c r="J1398" s="63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 t="str">
        <f>IFERROR(INDEX(StockInData[Expiry],MATCH(ProductMaster[[#This Row],[Product ID]],StockInData[Product ID],0)),"")</f>
        <v/>
      </c>
      <c r="H1399" s="47"/>
      <c r="I1399" s="61">
        <f>SUMIFS(StockInData[Quantity],StockInData[Product ID],ProductMaster!$B1399)-SUMIFS(StockOutData[Quantity],StockOutData[Product ID],ProductMaster!$B1399)</f>
        <v>0</v>
      </c>
      <c r="J1399" s="63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 t="str">
        <f>IFERROR(INDEX(StockInData[Expiry],MATCH(ProductMaster[[#This Row],[Product ID]],StockInData[Product ID],0)),"")</f>
        <v/>
      </c>
      <c r="H1400" s="47"/>
      <c r="I1400" s="61">
        <f>SUMIFS(StockInData[Quantity],StockInData[Product ID],ProductMaster!$B1400)-SUMIFS(StockOutData[Quantity],StockOutData[Product ID],ProductMaster!$B1400)</f>
        <v>0</v>
      </c>
      <c r="J1400" s="63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 t="str">
        <f>IFERROR(INDEX(StockInData[Expiry],MATCH(ProductMaster[[#This Row],[Product ID]],StockInData[Product ID],0)),"")</f>
        <v/>
      </c>
      <c r="H1401" s="47"/>
      <c r="I1401" s="61">
        <f>SUMIFS(StockInData[Quantity],StockInData[Product ID],ProductMaster!$B1401)-SUMIFS(StockOutData[Quantity],StockOutData[Product ID],ProductMaster!$B1401)</f>
        <v>0</v>
      </c>
      <c r="J1401" s="63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 t="str">
        <f>IFERROR(INDEX(StockInData[Expiry],MATCH(ProductMaster[[#This Row],[Product ID]],StockInData[Product ID],0)),"")</f>
        <v/>
      </c>
      <c r="H1403" s="47"/>
      <c r="I1403" s="61">
        <f>SUMIFS(StockInData[Quantity],StockInData[Product ID],ProductMaster!$B1403)-SUMIFS(StockOutData[Quantity],StockOutData[Product ID],ProductMaster!$B1403)</f>
        <v>0</v>
      </c>
      <c r="J1403" s="63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 t="str">
        <f>IFERROR(INDEX(StockInData[Expiry],MATCH(ProductMaster[[#This Row],[Product ID]],StockInData[Product ID],0)),"")</f>
        <v/>
      </c>
      <c r="H1404" s="47"/>
      <c r="I1404" s="61">
        <f>SUMIFS(StockInData[Quantity],StockInData[Product ID],ProductMaster!$B1404)-SUMIFS(StockOutData[Quantity],StockOutData[Product ID],ProductMaster!$B1404)</f>
        <v>0</v>
      </c>
      <c r="J1404" s="63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 t="str">
        <f>IFERROR(INDEX(StockInData[Expiry],MATCH(ProductMaster[[#This Row],[Product ID]],StockInData[Product ID],0)),"")</f>
        <v/>
      </c>
      <c r="H1406" s="47"/>
      <c r="I1406" s="61">
        <f>SUMIFS(StockInData[Quantity],StockInData[Product ID],ProductMaster!$B1406)-SUMIFS(StockOutData[Quantity],StockOutData[Product ID],ProductMaster!$B1406)</f>
        <v>0</v>
      </c>
      <c r="J1406" s="63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 t="str">
        <f>IFERROR(INDEX(StockInData[Expiry],MATCH(ProductMaster[[#This Row],[Product ID]],StockInData[Product ID],0)),"")</f>
        <v/>
      </c>
      <c r="H1414" s="47"/>
      <c r="I1414" s="61">
        <f>SUMIFS(StockInData[Quantity],StockInData[Product ID],ProductMaster!$B1414)-SUMIFS(StockOutData[Quantity],StockOutData[Product ID],ProductMaster!$B1414)</f>
        <v>0</v>
      </c>
      <c r="J1414" s="63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 t="str">
        <f>IFERROR(INDEX(StockInData[Expiry],MATCH(ProductMaster[[#This Row],[Product ID]],StockInData[Product ID],0)),"")</f>
        <v/>
      </c>
      <c r="H1415" s="47"/>
      <c r="I1415" s="61">
        <f>SUMIFS(StockInData[Quantity],StockInData[Product ID],ProductMaster!$B1415)-SUMIFS(StockOutData[Quantity],StockOutData[Product ID],ProductMaster!$B1415)</f>
        <v>0</v>
      </c>
      <c r="J1415" s="63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 t="str">
        <f>IFERROR(INDEX(StockInData[Expiry],MATCH(ProductMaster[[#This Row],[Product ID]],StockInData[Product ID],0)),"")</f>
        <v/>
      </c>
      <c r="H1416" s="47"/>
      <c r="I1416" s="61">
        <f>SUMIFS(StockInData[Quantity],StockInData[Product ID],ProductMaster!$B1416)-SUMIFS(StockOutData[Quantity],StockOutData[Product ID],ProductMaster!$B1416)</f>
        <v>0</v>
      </c>
      <c r="J1416" s="63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 t="str">
        <f>IFERROR(INDEX(StockInData[Expiry],MATCH(ProductMaster[[#This Row],[Product ID]],StockInData[Product ID],0)),"")</f>
        <v/>
      </c>
      <c r="H1427" s="47"/>
      <c r="I1427" s="61">
        <f>SUMIFS(StockInData[Quantity],StockInData[Product ID],ProductMaster!$B1427)-SUMIFS(StockOutData[Quantity],StockOutData[Product ID],ProductMaster!$B1427)</f>
        <v>0</v>
      </c>
      <c r="J1427" s="63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 t="str">
        <f>IFERROR(INDEX(StockInData[Expiry],MATCH(ProductMaster[[#This Row],[Product ID]],StockInData[Product ID],0)),"")</f>
        <v/>
      </c>
      <c r="H1428" s="47"/>
      <c r="I1428" s="61">
        <f>SUMIFS(StockInData[Quantity],StockInData[Product ID],ProductMaster!$B1428)-SUMIFS(StockOutData[Quantity],StockOutData[Product ID],ProductMaster!$B1428)</f>
        <v>0</v>
      </c>
      <c r="J1428" s="63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 t="str">
        <f>IFERROR(INDEX(StockInData[Expiry],MATCH(ProductMaster[[#This Row],[Product ID]],StockInData[Product ID],0)),"")</f>
        <v/>
      </c>
      <c r="H1431" s="47"/>
      <c r="I1431" s="61">
        <f>SUMIFS(StockInData[Quantity],StockInData[Product ID],ProductMaster!$B1431)-SUMIFS(StockOutData[Quantity],StockOutData[Product ID],ProductMaster!$B1431)</f>
        <v>0</v>
      </c>
      <c r="J1431" s="63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 t="str">
        <f>IFERROR(INDEX(StockInData[Expiry],MATCH(ProductMaster[[#This Row],[Product ID]],StockInData[Product ID],0)),"")</f>
        <v/>
      </c>
      <c r="H1437" s="47"/>
      <c r="I1437" s="61">
        <f>SUMIFS(StockInData[Quantity],StockInData[Product ID],ProductMaster!$B1437)-SUMIFS(StockOutData[Quantity],StockOutData[Product ID],ProductMaster!$B1437)</f>
        <v>0</v>
      </c>
      <c r="J1437" s="63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 t="str">
        <f>IFERROR(INDEX(StockInData[Expiry],MATCH(ProductMaster[[#This Row],[Product ID]],StockInData[Product ID],0)),"")</f>
        <v/>
      </c>
      <c r="H1442" s="47"/>
      <c r="I1442" s="61">
        <f>SUMIFS(StockInData[Quantity],StockInData[Product ID],ProductMaster!$B1442)-SUMIFS(StockOutData[Quantity],StockOutData[Product ID],ProductMaster!$B1442)</f>
        <v>0</v>
      </c>
      <c r="J1442" s="63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 t="str">
        <f>IFERROR(INDEX(StockInData[Expiry],MATCH(ProductMaster[[#This Row],[Product ID]],StockInData[Product ID],0)),"")</f>
        <v/>
      </c>
      <c r="H1443" s="47"/>
      <c r="I1443" s="61">
        <f>SUMIFS(StockInData[Quantity],StockInData[Product ID],ProductMaster!$B1443)-SUMIFS(StockOutData[Quantity],StockOutData[Product ID],ProductMaster!$B1443)</f>
        <v>0</v>
      </c>
      <c r="J1443" s="63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 t="str">
        <f>IFERROR(INDEX(StockInData[Expiry],MATCH(ProductMaster[[#This Row],[Product ID]],StockInData[Product ID],0)),"")</f>
        <v/>
      </c>
      <c r="H1446" s="47"/>
      <c r="I1446" s="61">
        <f>SUMIFS(StockInData[Quantity],StockInData[Product ID],ProductMaster!$B1446)-SUMIFS(StockOutData[Quantity],StockOutData[Product ID],ProductMaster!$B1446)</f>
        <v>0</v>
      </c>
      <c r="J1446" s="63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 t="str">
        <f>IFERROR(INDEX(StockInData[Expiry],MATCH(ProductMaster[[#This Row],[Product ID]],StockInData[Product ID],0)),"")</f>
        <v/>
      </c>
      <c r="H1449" s="47"/>
      <c r="I1449" s="61">
        <f>SUMIFS(StockInData[Quantity],StockInData[Product ID],ProductMaster!$B1449)-SUMIFS(StockOutData[Quantity],StockOutData[Product ID],ProductMaster!$B1449)</f>
        <v>0</v>
      </c>
      <c r="J1449" s="63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 t="str">
        <f>IFERROR(INDEX(StockInData[Expiry],MATCH(ProductMaster[[#This Row],[Product ID]],StockInData[Product ID],0)),"")</f>
        <v/>
      </c>
      <c r="H1450" s="47"/>
      <c r="I1450" s="61">
        <f>SUMIFS(StockInData[Quantity],StockInData[Product ID],ProductMaster!$B1450)-SUMIFS(StockOutData[Quantity],StockOutData[Product ID],ProductMaster!$B1450)</f>
        <v>0</v>
      </c>
      <c r="J1450" s="63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 t="str">
        <f>IFERROR(INDEX(StockInData[Expiry],MATCH(ProductMaster[[#This Row],[Product ID]],StockInData[Product ID],0)),"")</f>
        <v/>
      </c>
      <c r="H1452" s="47"/>
      <c r="I1452" s="61">
        <f>SUMIFS(StockInData[Quantity],StockInData[Product ID],ProductMaster!$B1452)-SUMIFS(StockOutData[Quantity],StockOutData[Product ID],ProductMaster!$B1452)</f>
        <v>0</v>
      </c>
      <c r="J1452" s="63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 t="str">
        <f>IFERROR(INDEX(StockInData[Expiry],MATCH(ProductMaster[[#This Row],[Product ID]],StockInData[Product ID],0)),"")</f>
        <v/>
      </c>
      <c r="H1453" s="47"/>
      <c r="I1453" s="61">
        <f>SUMIFS(StockInData[Quantity],StockInData[Product ID],ProductMaster!$B1453)-SUMIFS(StockOutData[Quantity],StockOutData[Product ID],ProductMaster!$B1453)</f>
        <v>0</v>
      </c>
      <c r="J1453" s="63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 t="str">
        <f>IFERROR(INDEX(StockInData[Expiry],MATCH(ProductMaster[[#This Row],[Product ID]],StockInData[Product ID],0)),"")</f>
        <v/>
      </c>
      <c r="H1454" s="47"/>
      <c r="I1454" s="61">
        <f>SUMIFS(StockInData[Quantity],StockInData[Product ID],ProductMaster!$B1454)-SUMIFS(StockOutData[Quantity],StockOutData[Product ID],ProductMaster!$B1454)</f>
        <v>0</v>
      </c>
      <c r="J1454" s="63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 t="str">
        <f>IFERROR(INDEX(StockInData[Expiry],MATCH(ProductMaster[[#This Row],[Product ID]],StockInData[Product ID],0)),"")</f>
        <v/>
      </c>
      <c r="H1460" s="47"/>
      <c r="I1460" s="61">
        <f>SUMIFS(StockInData[Quantity],StockInData[Product ID],ProductMaster!$B1460)-SUMIFS(StockOutData[Quantity],StockOutData[Product ID],ProductMaster!$B1460)</f>
        <v>0</v>
      </c>
      <c r="J1460" s="63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 t="str">
        <f>IFERROR(INDEX(StockInData[Expiry],MATCH(ProductMaster[[#This Row],[Product ID]],StockInData[Product ID],0)),"")</f>
        <v/>
      </c>
      <c r="H1461" s="47"/>
      <c r="I1461" s="61">
        <f>SUMIFS(StockInData[Quantity],StockInData[Product ID],ProductMaster!$B1461)-SUMIFS(StockOutData[Quantity],StockOutData[Product ID],ProductMaster!$B1461)</f>
        <v>0</v>
      </c>
      <c r="J1461" s="63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 t="str">
        <f>IFERROR(INDEX(StockInData[Expiry],MATCH(ProductMaster[[#This Row],[Product ID]],StockInData[Product ID],0)),"")</f>
        <v/>
      </c>
      <c r="H1467" s="47"/>
      <c r="I1467" s="61">
        <f>SUMIFS(StockInData[Quantity],StockInData[Product ID],ProductMaster!$B1467)-SUMIFS(StockOutData[Quantity],StockOutData[Product ID],ProductMaster!$B1467)</f>
        <v>0</v>
      </c>
      <c r="J1467" s="63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 t="str">
        <f>IFERROR(INDEX(StockInData[Expiry],MATCH(ProductMaster[[#This Row],[Product ID]],StockInData[Product ID],0)),"")</f>
        <v/>
      </c>
      <c r="H1468" s="47"/>
      <c r="I1468" s="61">
        <f>SUMIFS(StockInData[Quantity],StockInData[Product ID],ProductMaster!$B1468)-SUMIFS(StockOutData[Quantity],StockOutData[Product ID],ProductMaster!$B1468)</f>
        <v>0</v>
      </c>
      <c r="J1468" s="63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 t="str">
        <f>IFERROR(INDEX(StockInData[Expiry],MATCH(ProductMaster[[#This Row],[Product ID]],StockInData[Product ID],0)),"")</f>
        <v/>
      </c>
      <c r="H1469" s="47"/>
      <c r="I1469" s="61">
        <f>SUMIFS(StockInData[Quantity],StockInData[Product ID],ProductMaster!$B1469)-SUMIFS(StockOutData[Quantity],StockOutData[Product ID],ProductMaster!$B1469)</f>
        <v>0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 t="str">
        <f>IFERROR(INDEX(StockInData[Expiry],MATCH(ProductMaster[[#This Row],[Product ID]],StockInData[Product ID],0)),"")</f>
        <v/>
      </c>
      <c r="H1470" s="47"/>
      <c r="I1470" s="61">
        <f>SUMIFS(StockInData[Quantity],StockInData[Product ID],ProductMaster!$B1470)-SUMIFS(StockOutData[Quantity],StockOutData[Product ID],ProductMaster!$B1470)</f>
        <v>0</v>
      </c>
      <c r="J1470" s="63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 t="str">
        <f>IFERROR(INDEX(StockInData[Expiry],MATCH(ProductMaster[[#This Row],[Product ID]],StockInData[Product ID],0)),"")</f>
        <v/>
      </c>
      <c r="H1472" s="47"/>
      <c r="I1472" s="61">
        <f>SUMIFS(StockInData[Quantity],StockInData[Product ID],ProductMaster!$B1472)-SUMIFS(StockOutData[Quantity],StockOutData[Product ID],ProductMaster!$B1472)</f>
        <v>0</v>
      </c>
      <c r="J1472" s="63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 t="str">
        <f>IFERROR(INDEX(StockInData[Expiry],MATCH(ProductMaster[[#This Row],[Product ID]],StockInData[Product ID],0)),"")</f>
        <v/>
      </c>
      <c r="H1475" s="47"/>
      <c r="I1475" s="61">
        <f>SUMIFS(StockInData[Quantity],StockInData[Product ID],ProductMaster!$B1475)-SUMIFS(StockOutData[Quantity],StockOutData[Product ID],ProductMaster!$B1475)</f>
        <v>0</v>
      </c>
      <c r="J1475" s="63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 t="str">
        <f>IFERROR(INDEX(StockInData[Expiry],MATCH(ProductMaster[[#This Row],[Product ID]],StockInData[Product ID],0)),"")</f>
        <v/>
      </c>
      <c r="H1476" s="47"/>
      <c r="I1476" s="61">
        <f>SUMIFS(StockInData[Quantity],StockInData[Product ID],ProductMaster!$B1476)-SUMIFS(StockOutData[Quantity],StockOutData[Product ID],ProductMaster!$B1476)</f>
        <v>0</v>
      </c>
      <c r="J1476" s="63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 t="str">
        <f>IFERROR(INDEX(StockInData[Expiry],MATCH(ProductMaster[[#This Row],[Product ID]],StockInData[Product ID],0)),"")</f>
        <v/>
      </c>
      <c r="H1481" s="47"/>
      <c r="I1481" s="61">
        <f>SUMIFS(StockInData[Quantity],StockInData[Product ID],ProductMaster!$B1481)-SUMIFS(StockOutData[Quantity],StockOutData[Product ID],ProductMaster!$B1481)</f>
        <v>0</v>
      </c>
      <c r="J1481" s="63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 t="str">
        <f>IFERROR(INDEX(StockInData[Expiry],MATCH(ProductMaster[[#This Row],[Product ID]],StockInData[Product ID],0)),"")</f>
        <v/>
      </c>
      <c r="H1488" s="47"/>
      <c r="I1488" s="61">
        <f>SUMIFS(StockInData[Quantity],StockInData[Product ID],ProductMaster!$B1488)-SUMIFS(StockOutData[Quantity],StockOutData[Product ID],ProductMaster!$B1488)</f>
        <v>0</v>
      </c>
      <c r="J1488" s="63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 t="str">
        <f>IFERROR(INDEX(StockInData[Expiry],MATCH(ProductMaster[[#This Row],[Product ID]],StockInData[Product ID],0)),"")</f>
        <v/>
      </c>
      <c r="H1492" s="47"/>
      <c r="I1492" s="61">
        <f>SUMIFS(StockInData[Quantity],StockInData[Product ID],ProductMaster!$B1492)-SUMIFS(StockOutData[Quantity],StockOutData[Product ID],ProductMaster!$B1492)</f>
        <v>0</v>
      </c>
      <c r="J1492" s="63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 t="str">
        <f>IFERROR(INDEX(StockInData[Expiry],MATCH(ProductMaster[[#This Row],[Product ID]],StockInData[Product ID],0)),"")</f>
        <v/>
      </c>
      <c r="H1493" s="47"/>
      <c r="I1493" s="61">
        <f>SUMIFS(StockInData[Quantity],StockInData[Product ID],ProductMaster!$B1493)-SUMIFS(StockOutData[Quantity],StockOutData[Product ID],ProductMaster!$B1493)</f>
        <v>0</v>
      </c>
      <c r="J1493" s="63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 t="str">
        <f>IFERROR(INDEX(StockInData[Expiry],MATCH(ProductMaster[[#This Row],[Product ID]],StockInData[Product ID],0)),"")</f>
        <v/>
      </c>
      <c r="H1494" s="47"/>
      <c r="I1494" s="61">
        <f>SUMIFS(StockInData[Quantity],StockInData[Product ID],ProductMaster!$B1494)-SUMIFS(StockOutData[Quantity],StockOutData[Product ID],ProductMaster!$B1494)</f>
        <v>0</v>
      </c>
      <c r="J1494" s="63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 t="str">
        <f>IFERROR(INDEX(StockInData[Expiry],MATCH(ProductMaster[[#This Row],[Product ID]],StockInData[Product ID],0)),"")</f>
        <v/>
      </c>
      <c r="H1495" s="47"/>
      <c r="I1495" s="61">
        <f>SUMIFS(StockInData[Quantity],StockInData[Product ID],ProductMaster!$B1495)-SUMIFS(StockOutData[Quantity],StockOutData[Product ID],ProductMaster!$B1495)</f>
        <v>0</v>
      </c>
      <c r="J1495" s="63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 t="str">
        <f>IFERROR(INDEX(StockInData[Expiry],MATCH(ProductMaster[[#This Row],[Product ID]],StockInData[Product ID],0)),"")</f>
        <v/>
      </c>
      <c r="H1498" s="47"/>
      <c r="I1498" s="61">
        <f>SUMIFS(StockInData[Quantity],StockInData[Product ID],ProductMaster!$B1498)-SUMIFS(StockOutData[Quantity],StockOutData[Product ID],ProductMaster!$B1498)</f>
        <v>0</v>
      </c>
      <c r="J1498" s="63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 t="str">
        <f>IFERROR(INDEX(StockInData[Expiry],MATCH(ProductMaster[[#This Row],[Product ID]],StockInData[Product ID],0)),"")</f>
        <v/>
      </c>
      <c r="H1500" s="47"/>
      <c r="I1500" s="61">
        <f>SUMIFS(StockInData[Quantity],StockInData[Product ID],ProductMaster!$B1500)-SUMIFS(StockOutData[Quantity],StockOutData[Product ID],ProductMaster!$B1500)</f>
        <v>0</v>
      </c>
      <c r="J1500" s="63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 t="str">
        <f>IFERROR(INDEX(StockInData[Expiry],MATCH(ProductMaster[[#This Row],[Product ID]],StockInData[Product ID],0)),"")</f>
        <v/>
      </c>
      <c r="H1501" s="47"/>
      <c r="I1501" s="61">
        <f>SUMIFS(StockInData[Quantity],StockInData[Product ID],ProductMaster!$B1501)-SUMIFS(StockOutData[Quantity],StockOutData[Product ID],ProductMaster!$B1501)</f>
        <v>0</v>
      </c>
      <c r="J1501" s="63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 t="str">
        <f>IFERROR(INDEX(StockInData[Expiry],MATCH(ProductMaster[[#This Row],[Product ID]],StockInData[Product ID],0)),"")</f>
        <v/>
      </c>
      <c r="H1502" s="47"/>
      <c r="I1502" s="61">
        <f>SUMIFS(StockInData[Quantity],StockInData[Product ID],ProductMaster!$B1502)-SUMIFS(StockOutData[Quantity],StockOutData[Product ID],ProductMaster!$B1502)</f>
        <v>0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 t="str">
        <f>IFERROR(INDEX(StockInData[Expiry],MATCH(ProductMaster[[#This Row],[Product ID]],StockInData[Product ID],0)),"")</f>
        <v/>
      </c>
      <c r="H1503" s="47"/>
      <c r="I1503" s="61">
        <f>SUMIFS(StockInData[Quantity],StockInData[Product ID],ProductMaster!$B1503)-SUMIFS(StockOutData[Quantity],StockOutData[Product ID],ProductMaster!$B1503)</f>
        <v>0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 t="str">
        <f>IFERROR(INDEX(StockInData[Expiry],MATCH(ProductMaster[[#This Row],[Product ID]],StockInData[Product ID],0)),"")</f>
        <v/>
      </c>
      <c r="H1504" s="47"/>
      <c r="I1504" s="61">
        <f>SUMIFS(StockInData[Quantity],StockInData[Product ID],ProductMaster!$B1504)-SUMIFS(StockOutData[Quantity],StockOutData[Product ID],ProductMaster!$B1504)</f>
        <v>0</v>
      </c>
      <c r="J1504" s="63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 t="str">
        <f>IFERROR(INDEX(StockInData[Expiry],MATCH(ProductMaster[[#This Row],[Product ID]],StockInData[Product ID],0)),"")</f>
        <v/>
      </c>
      <c r="H1505" s="47"/>
      <c r="I1505" s="61">
        <f>SUMIFS(StockInData[Quantity],StockInData[Product ID],ProductMaster!$B1505)-SUMIFS(StockOutData[Quantity],StockOutData[Product ID],ProductMaster!$B1505)</f>
        <v>0</v>
      </c>
      <c r="J1505" s="63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 t="str">
        <f>IFERROR(INDEX(StockInData[Expiry],MATCH(ProductMaster[[#This Row],[Product ID]],StockInData[Product ID],0)),"")</f>
        <v/>
      </c>
      <c r="H1507" s="47"/>
      <c r="I1507" s="61">
        <f>SUMIFS(StockInData[Quantity],StockInData[Product ID],ProductMaster!$B1507)-SUMIFS(StockOutData[Quantity],StockOutData[Product ID],ProductMaster!$B1507)</f>
        <v>0</v>
      </c>
      <c r="J1507" s="63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 t="str">
        <f>IFERROR(INDEX(StockInData[Expiry],MATCH(ProductMaster[[#This Row],[Product ID]],StockInData[Product ID],0)),"")</f>
        <v/>
      </c>
      <c r="H1509" s="47"/>
      <c r="I1509" s="61">
        <f>SUMIFS(StockInData[Quantity],StockInData[Product ID],ProductMaster!$B1509)-SUMIFS(StockOutData[Quantity],StockOutData[Product ID],ProductMaster!$B1509)</f>
        <v>0</v>
      </c>
      <c r="J1509" s="63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 t="str">
        <f>IFERROR(INDEX(StockInData[Expiry],MATCH(ProductMaster[[#This Row],[Product ID]],StockInData[Product ID],0)),"")</f>
        <v/>
      </c>
      <c r="H1512" s="47"/>
      <c r="I1512" s="61">
        <f>SUMIFS(StockInData[Quantity],StockInData[Product ID],ProductMaster!$B1512)-SUMIFS(StockOutData[Quantity],StockOutData[Product ID],ProductMaster!$B1512)</f>
        <v>0</v>
      </c>
      <c r="J1512" s="63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 t="str">
        <f>IFERROR(INDEX(StockInData[Expiry],MATCH(ProductMaster[[#This Row],[Product ID]],StockInData[Product ID],0)),"")</f>
        <v/>
      </c>
      <c r="H1514" s="47"/>
      <c r="I1514" s="61">
        <f>SUMIFS(StockInData[Quantity],StockInData[Product ID],ProductMaster!$B1514)-SUMIFS(StockOutData[Quantity],StockOutData[Product ID],ProductMaster!$B1514)</f>
        <v>0</v>
      </c>
      <c r="J1514" s="63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 t="str">
        <f>IFERROR(INDEX(StockInData[Expiry],MATCH(ProductMaster[[#This Row],[Product ID]],StockInData[Product ID],0)),"")</f>
        <v/>
      </c>
      <c r="H1516" s="47"/>
      <c r="I1516" s="61">
        <f>SUMIFS(StockInData[Quantity],StockInData[Product ID],ProductMaster!$B1516)-SUMIFS(StockOutData[Quantity],StockOutData[Product ID],ProductMaster!$B1516)</f>
        <v>0</v>
      </c>
      <c r="J1516" s="63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 t="str">
        <f>IFERROR(INDEX(StockInData[Expiry],MATCH(ProductMaster[[#This Row],[Product ID]],StockInData[Product ID],0)),"")</f>
        <v/>
      </c>
      <c r="H1520" s="47"/>
      <c r="I1520" s="61">
        <f>SUMIFS(StockInData[Quantity],StockInData[Product ID],ProductMaster!$B1520)-SUMIFS(StockOutData[Quantity],StockOutData[Product ID],ProductMaster!$B1520)</f>
        <v>0</v>
      </c>
      <c r="J1520" s="63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 t="str">
        <f>IFERROR(INDEX(StockInData[Expiry],MATCH(ProductMaster[[#This Row],[Product ID]],StockInData[Product ID],0)),"")</f>
        <v/>
      </c>
      <c r="H1522" s="47"/>
      <c r="I1522" s="61">
        <f>SUMIFS(StockInData[Quantity],StockInData[Product ID],ProductMaster!$B1522)-SUMIFS(StockOutData[Quantity],StockOutData[Product ID],ProductMaster!$B1522)</f>
        <v>0</v>
      </c>
      <c r="J1522" s="63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 t="str">
        <f>IFERROR(INDEX(StockInData[Expiry],MATCH(ProductMaster[[#This Row],[Product ID]],StockInData[Product ID],0)),"")</f>
        <v/>
      </c>
      <c r="H1523" s="47"/>
      <c r="I1523" s="61">
        <f>SUMIFS(StockInData[Quantity],StockInData[Product ID],ProductMaster!$B1523)-SUMIFS(StockOutData[Quantity],StockOutData[Product ID],ProductMaster!$B1523)</f>
        <v>0</v>
      </c>
      <c r="J1523" s="63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 t="str">
        <f>IFERROR(INDEX(StockInData[Expiry],MATCH(ProductMaster[[#This Row],[Product ID]],StockInData[Product ID],0)),"")</f>
        <v/>
      </c>
      <c r="H1525" s="47"/>
      <c r="I1525" s="61">
        <f>SUMIFS(StockInData[Quantity],StockInData[Product ID],ProductMaster!$B1525)-SUMIFS(StockOutData[Quantity],StockOutData[Product ID],ProductMaster!$B1525)</f>
        <v>0</v>
      </c>
      <c r="J1525" s="63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 t="str">
        <f>IFERROR(INDEX(StockInData[Expiry],MATCH(ProductMaster[[#This Row],[Product ID]],StockInData[Product ID],0)),"")</f>
        <v/>
      </c>
      <c r="H1528" s="47"/>
      <c r="I1528" s="61">
        <f>SUMIFS(StockInData[Quantity],StockInData[Product ID],ProductMaster!$B1528)-SUMIFS(StockOutData[Quantity],StockOutData[Product ID],ProductMaster!$B1528)</f>
        <v>0</v>
      </c>
      <c r="J1528" s="63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 t="str">
        <f>IFERROR(INDEX(StockInData[Expiry],MATCH(ProductMaster[[#This Row],[Product ID]],StockInData[Product ID],0)),"")</f>
        <v/>
      </c>
      <c r="H1529" s="47"/>
      <c r="I1529" s="61">
        <f>SUMIFS(StockInData[Quantity],StockInData[Product ID],ProductMaster!$B1529)-SUMIFS(StockOutData[Quantity],StockOutData[Product ID],ProductMaster!$B1529)</f>
        <v>0</v>
      </c>
      <c r="J1529" s="63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 t="str">
        <f>IFERROR(INDEX(StockInData[Expiry],MATCH(ProductMaster[[#This Row],[Product ID]],StockInData[Product ID],0)),"")</f>
        <v/>
      </c>
      <c r="H1530" s="47"/>
      <c r="I1530" s="61">
        <f>SUMIFS(StockInData[Quantity],StockInData[Product ID],ProductMaster!$B1530)-SUMIFS(StockOutData[Quantity],StockOutData[Product ID],ProductMaster!$B1530)</f>
        <v>0</v>
      </c>
      <c r="J1530" s="63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 t="str">
        <f>IFERROR(INDEX(StockInData[Expiry],MATCH(ProductMaster[[#This Row],[Product ID]],StockInData[Product ID],0)),"")</f>
        <v/>
      </c>
      <c r="H1531" s="47"/>
      <c r="I1531" s="61">
        <f>SUMIFS(StockInData[Quantity],StockInData[Product ID],ProductMaster!$B1531)-SUMIFS(StockOutData[Quantity],StockOutData[Product ID],ProductMaster!$B1531)</f>
        <v>0</v>
      </c>
      <c r="J1531" s="63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 t="str">
        <f>IFERROR(INDEX(StockInData[Expiry],MATCH(ProductMaster[[#This Row],[Product ID]],StockInData[Product ID],0)),"")</f>
        <v/>
      </c>
      <c r="H1532" s="47"/>
      <c r="I1532" s="61">
        <f>SUMIFS(StockInData[Quantity],StockInData[Product ID],ProductMaster!$B1532)-SUMIFS(StockOutData[Quantity],StockOutData[Product ID],ProductMaster!$B1532)</f>
        <v>0</v>
      </c>
      <c r="J1532" s="63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 t="str">
        <f>IFERROR(INDEX(StockInData[Expiry],MATCH(ProductMaster[[#This Row],[Product ID]],StockInData[Product ID],0)),"")</f>
        <v/>
      </c>
      <c r="H1536" s="47"/>
      <c r="I1536" s="61">
        <f>SUMIFS(StockInData[Quantity],StockInData[Product ID],ProductMaster!$B1536)-SUMIFS(StockOutData[Quantity],StockOutData[Product ID],ProductMaster!$B1536)</f>
        <v>0</v>
      </c>
      <c r="J1536" s="63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 t="str">
        <f>IFERROR(INDEX(StockInData[Expiry],MATCH(ProductMaster[[#This Row],[Product ID]],StockInData[Product ID],0)),"")</f>
        <v/>
      </c>
      <c r="H1540" s="47"/>
      <c r="I1540" s="61">
        <f>SUMIFS(StockInData[Quantity],StockInData[Product ID],ProductMaster!$B1540)-SUMIFS(StockOutData[Quantity],StockOutData[Product ID],ProductMaster!$B1540)</f>
        <v>0</v>
      </c>
      <c r="J1540" s="63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 t="str">
        <f>IFERROR(INDEX(StockInData[Expiry],MATCH(ProductMaster[[#This Row],[Product ID]],StockInData[Product ID],0)),"")</f>
        <v/>
      </c>
      <c r="H1544" s="47"/>
      <c r="I1544" s="61">
        <f>SUMIFS(StockInData[Quantity],StockInData[Product ID],ProductMaster!$B1544)-SUMIFS(StockOutData[Quantity],StockOutData[Product ID],ProductMaster!$B1544)</f>
        <v>0</v>
      </c>
      <c r="J1544" s="63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 t="str">
        <f>IFERROR(INDEX(StockInData[Expiry],MATCH(ProductMaster[[#This Row],[Product ID]],StockInData[Product ID],0)),"")</f>
        <v/>
      </c>
      <c r="H1547" s="47"/>
      <c r="I1547" s="61">
        <f>SUMIFS(StockInData[Quantity],StockInData[Product ID],ProductMaster!$B1547)-SUMIFS(StockOutData[Quantity],StockOutData[Product ID],ProductMaster!$B1547)</f>
        <v>0</v>
      </c>
      <c r="J1547" s="63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 t="str">
        <f>IFERROR(INDEX(StockInData[Expiry],MATCH(ProductMaster[[#This Row],[Product ID]],StockInData[Product ID],0)),"")</f>
        <v/>
      </c>
      <c r="H1553" s="47"/>
      <c r="I1553" s="61">
        <f>SUMIFS(StockInData[Quantity],StockInData[Product ID],ProductMaster!$B1553)-SUMIFS(StockOutData[Quantity],StockOutData[Product ID],ProductMaster!$B1553)</f>
        <v>0</v>
      </c>
      <c r="J1553" s="63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 t="str">
        <f>IFERROR(INDEX(StockInData[Expiry],MATCH(ProductMaster[[#This Row],[Product ID]],StockInData[Product ID],0)),"")</f>
        <v/>
      </c>
      <c r="H1554" s="47"/>
      <c r="I1554" s="61">
        <f>SUMIFS(StockInData[Quantity],StockInData[Product ID],ProductMaster!$B1554)-SUMIFS(StockOutData[Quantity],StockOutData[Product ID],ProductMaster!$B1554)</f>
        <v>0</v>
      </c>
      <c r="J1554" s="63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 t="str">
        <f>IFERROR(INDEX(StockInData[Expiry],MATCH(ProductMaster[[#This Row],[Product ID]],StockInData[Product ID],0)),"")</f>
        <v/>
      </c>
      <c r="H1555" s="47"/>
      <c r="I1555" s="61">
        <f>SUMIFS(StockInData[Quantity],StockInData[Product ID],ProductMaster!$B1555)-SUMIFS(StockOutData[Quantity],StockOutData[Product ID],ProductMaster!$B1555)</f>
        <v>0</v>
      </c>
      <c r="J1555" s="63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 t="str">
        <f>IFERROR(INDEX(StockInData[Expiry],MATCH(ProductMaster[[#This Row],[Product ID]],StockInData[Product ID],0)),"")</f>
        <v/>
      </c>
      <c r="H1559" s="47"/>
      <c r="I1559" s="61">
        <f>SUMIFS(StockInData[Quantity],StockInData[Product ID],ProductMaster!$B1559)-SUMIFS(StockOutData[Quantity],StockOutData[Product ID],ProductMaster!$B1559)</f>
        <v>0</v>
      </c>
      <c r="J1559" s="63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 t="str">
        <f>IFERROR(INDEX(StockInData[Expiry],MATCH(ProductMaster[[#This Row],[Product ID]],StockInData[Product ID],0)),"")</f>
        <v/>
      </c>
      <c r="H1561" s="47"/>
      <c r="I1561" s="61">
        <f>SUMIFS(StockInData[Quantity],StockInData[Product ID],ProductMaster!$B1561)-SUMIFS(StockOutData[Quantity],StockOutData[Product ID],ProductMaster!$B1561)</f>
        <v>0</v>
      </c>
      <c r="J1561" s="63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 t="str">
        <f>IFERROR(INDEX(StockInData[Expiry],MATCH(ProductMaster[[#This Row],[Product ID]],StockInData[Product ID],0)),"")</f>
        <v/>
      </c>
      <c r="H1563" s="47"/>
      <c r="I1563" s="61">
        <f>SUMIFS(StockInData[Quantity],StockInData[Product ID],ProductMaster!$B1563)-SUMIFS(StockOutData[Quantity],StockOutData[Product ID],ProductMaster!$B1563)</f>
        <v>0</v>
      </c>
      <c r="J1563" s="63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 t="str">
        <f>IFERROR(INDEX(StockInData[Expiry],MATCH(ProductMaster[[#This Row],[Product ID]],StockInData[Product ID],0)),"")</f>
        <v/>
      </c>
      <c r="H1564" s="47"/>
      <c r="I1564" s="61">
        <f>SUMIFS(StockInData[Quantity],StockInData[Product ID],ProductMaster!$B1564)-SUMIFS(StockOutData[Quantity],StockOutData[Product ID],ProductMaster!$B1564)</f>
        <v>0</v>
      </c>
      <c r="J1564" s="63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 t="str">
        <f>IFERROR(INDEX(StockInData[Expiry],MATCH(ProductMaster[[#This Row],[Product ID]],StockInData[Product ID],0)),"")</f>
        <v/>
      </c>
      <c r="H1565" s="47"/>
      <c r="I1565" s="61">
        <f>SUMIFS(StockInData[Quantity],StockInData[Product ID],ProductMaster!$B1565)-SUMIFS(StockOutData[Quantity],StockOutData[Product ID],ProductMaster!$B1565)</f>
        <v>0</v>
      </c>
      <c r="J1565" s="63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 t="str">
        <f>IFERROR(INDEX(StockInData[Expiry],MATCH(ProductMaster[[#This Row],[Product ID]],StockInData[Product ID],0)),"")</f>
        <v/>
      </c>
      <c r="H1566" s="47"/>
      <c r="I1566" s="61">
        <f>SUMIFS(StockInData[Quantity],StockInData[Product ID],ProductMaster!$B1566)-SUMIFS(StockOutData[Quantity],StockOutData[Product ID],ProductMaster!$B1566)</f>
        <v>0</v>
      </c>
      <c r="J1566" s="63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 t="str">
        <f>IFERROR(INDEX(StockInData[Expiry],MATCH(ProductMaster[[#This Row],[Product ID]],StockInData[Product ID],0)),"")</f>
        <v/>
      </c>
      <c r="H1568" s="47"/>
      <c r="I1568" s="61">
        <f>SUMIFS(StockInData[Quantity],StockInData[Product ID],ProductMaster!$B1568)-SUMIFS(StockOutData[Quantity],StockOutData[Product ID],ProductMaster!$B1568)</f>
        <v>0</v>
      </c>
      <c r="J1568" s="63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 t="str">
        <f>IFERROR(INDEX(StockInData[Expiry],MATCH(ProductMaster[[#This Row],[Product ID]],StockInData[Product ID],0)),"")</f>
        <v/>
      </c>
      <c r="H1569" s="47"/>
      <c r="I1569" s="61">
        <f>SUMIFS(StockInData[Quantity],StockInData[Product ID],ProductMaster!$B1569)-SUMIFS(StockOutData[Quantity],StockOutData[Product ID],ProductMaster!$B1569)</f>
        <v>0</v>
      </c>
      <c r="J1569" s="63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 t="str">
        <f>IFERROR(INDEX(StockInData[Expiry],MATCH(ProductMaster[[#This Row],[Product ID]],StockInData[Product ID],0)),"")</f>
        <v/>
      </c>
      <c r="H1570" s="47"/>
      <c r="I1570" s="61">
        <f>SUMIFS(StockInData[Quantity],StockInData[Product ID],ProductMaster!$B1570)-SUMIFS(StockOutData[Quantity],StockOutData[Product ID],ProductMaster!$B1570)</f>
        <v>0</v>
      </c>
      <c r="J1570" s="63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 t="str">
        <f>IFERROR(INDEX(StockInData[Expiry],MATCH(ProductMaster[[#This Row],[Product ID]],StockInData[Product ID],0)),"")</f>
        <v/>
      </c>
      <c r="H1571" s="47"/>
      <c r="I1571" s="61">
        <f>SUMIFS(StockInData[Quantity],StockInData[Product ID],ProductMaster!$B1571)-SUMIFS(StockOutData[Quantity],StockOutData[Product ID],ProductMaster!$B1571)</f>
        <v>0</v>
      </c>
      <c r="J1571" s="63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 t="str">
        <f>IFERROR(INDEX(StockInData[Expiry],MATCH(ProductMaster[[#This Row],[Product ID]],StockInData[Product ID],0)),"")</f>
        <v/>
      </c>
      <c r="H1572" s="47"/>
      <c r="I1572" s="61">
        <f>SUMIFS(StockInData[Quantity],StockInData[Product ID],ProductMaster!$B1572)-SUMIFS(StockOutData[Quantity],StockOutData[Product ID],ProductMaster!$B1572)</f>
        <v>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 t="str">
        <f>IFERROR(INDEX(StockInData[Expiry],MATCH(ProductMaster[[#This Row],[Product ID]],StockInData[Product ID],0)),"")</f>
        <v/>
      </c>
      <c r="H1573" s="47"/>
      <c r="I1573" s="61">
        <f>SUMIFS(StockInData[Quantity],StockInData[Product ID],ProductMaster!$B1573)-SUMIFS(StockOutData[Quantity],StockOutData[Product ID],ProductMaster!$B1573)</f>
        <v>0</v>
      </c>
      <c r="J1573" s="63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 t="str">
        <f>IFERROR(INDEX(StockInData[Expiry],MATCH(ProductMaster[[#This Row],[Product ID]],StockInData[Product ID],0)),"")</f>
        <v/>
      </c>
      <c r="H1576" s="47"/>
      <c r="I1576" s="61">
        <f>SUMIFS(StockInData[Quantity],StockInData[Product ID],ProductMaster!$B1576)-SUMIFS(StockOutData[Quantity],StockOutData[Product ID],ProductMaster!$B1576)</f>
        <v>0</v>
      </c>
      <c r="J1576" s="63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 t="str">
        <f>IFERROR(INDEX(StockInData[Expiry],MATCH(ProductMaster[[#This Row],[Product ID]],StockInData[Product ID],0)),"")</f>
        <v/>
      </c>
      <c r="H1577" s="47"/>
      <c r="I1577" s="61">
        <f>SUMIFS(StockInData[Quantity],StockInData[Product ID],ProductMaster!$B1577)-SUMIFS(StockOutData[Quantity],StockOutData[Product ID],ProductMaster!$B1577)</f>
        <v>0</v>
      </c>
      <c r="J1577" s="63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 t="str">
        <f>IFERROR(INDEX(StockInData[Expiry],MATCH(ProductMaster[[#This Row],[Product ID]],StockInData[Product ID],0)),"")</f>
        <v/>
      </c>
      <c r="H1580" s="47"/>
      <c r="I1580" s="61">
        <f>SUMIFS(StockInData[Quantity],StockInData[Product ID],ProductMaster!$B1580)-SUMIFS(StockOutData[Quantity],StockOutData[Product ID],ProductMaster!$B1580)</f>
        <v>0</v>
      </c>
      <c r="J1580" s="63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 t="str">
        <f>IFERROR(INDEX(StockInData[Expiry],MATCH(ProductMaster[[#This Row],[Product ID]],StockInData[Product ID],0)),"")</f>
        <v/>
      </c>
      <c r="H1581" s="47"/>
      <c r="I1581" s="61">
        <f>SUMIFS(StockInData[Quantity],StockInData[Product ID],ProductMaster!$B1581)-SUMIFS(StockOutData[Quantity],StockOutData[Product ID],ProductMaster!$B1581)</f>
        <v>0</v>
      </c>
      <c r="J1581" s="63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 t="str">
        <f>IFERROR(INDEX(StockInData[Expiry],MATCH(ProductMaster[[#This Row],[Product ID]],StockInData[Product ID],0)),"")</f>
        <v/>
      </c>
      <c r="H1585" s="47"/>
      <c r="I1585" s="61">
        <f>SUMIFS(StockInData[Quantity],StockInData[Product ID],ProductMaster!$B1585)-SUMIFS(StockOutData[Quantity],StockOutData[Product ID],ProductMaster!$B1585)</f>
        <v>0</v>
      </c>
      <c r="J1585" s="63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 t="str">
        <f>IFERROR(INDEX(StockInData[Expiry],MATCH(ProductMaster[[#This Row],[Product ID]],StockInData[Product ID],0)),"")</f>
        <v/>
      </c>
      <c r="H1586" s="47"/>
      <c r="I1586" s="61">
        <f>SUMIFS(StockInData[Quantity],StockInData[Product ID],ProductMaster!$B1586)-SUMIFS(StockOutData[Quantity],StockOutData[Product ID],ProductMaster!$B1586)</f>
        <v>0</v>
      </c>
      <c r="J1586" s="63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 t="str">
        <f>IFERROR(INDEX(StockInData[Expiry],MATCH(ProductMaster[[#This Row],[Product ID]],StockInData[Product ID],0)),"")</f>
        <v/>
      </c>
      <c r="H1587" s="47"/>
      <c r="I1587" s="61">
        <f>SUMIFS(StockInData[Quantity],StockInData[Product ID],ProductMaster!$B1587)-SUMIFS(StockOutData[Quantity],StockOutData[Product ID],ProductMaster!$B1587)</f>
        <v>0</v>
      </c>
      <c r="J1587" s="63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 t="str">
        <f>IFERROR(INDEX(StockInData[Expiry],MATCH(ProductMaster[[#This Row],[Product ID]],StockInData[Product ID],0)),"")</f>
        <v/>
      </c>
      <c r="H1588" s="47"/>
      <c r="I1588" s="61">
        <f>SUMIFS(StockInData[Quantity],StockInData[Product ID],ProductMaster!$B1588)-SUMIFS(StockOutData[Quantity],StockOutData[Product ID],ProductMaster!$B1588)</f>
        <v>0</v>
      </c>
      <c r="J1588" s="63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 t="str">
        <f>IFERROR(INDEX(StockInData[Expiry],MATCH(ProductMaster[[#This Row],[Product ID]],StockInData[Product ID],0)),"")</f>
        <v/>
      </c>
      <c r="H1589" s="47"/>
      <c r="I1589" s="61">
        <f>SUMIFS(StockInData[Quantity],StockInData[Product ID],ProductMaster!$B1589)-SUMIFS(StockOutData[Quantity],StockOutData[Product ID],ProductMaster!$B1589)</f>
        <v>0</v>
      </c>
      <c r="J1589" s="63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 t="str">
        <f>IFERROR(INDEX(StockInData[Expiry],MATCH(ProductMaster[[#This Row],[Product ID]],StockInData[Product ID],0)),"")</f>
        <v/>
      </c>
      <c r="H1590" s="47"/>
      <c r="I1590" s="61">
        <f>SUMIFS(StockInData[Quantity],StockInData[Product ID],ProductMaster!$B1590)-SUMIFS(StockOutData[Quantity],StockOutData[Product ID],ProductMaster!$B1590)</f>
        <v>0</v>
      </c>
      <c r="J1590" s="63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 t="str">
        <f>IFERROR(INDEX(StockInData[Expiry],MATCH(ProductMaster[[#This Row],[Product ID]],StockInData[Product ID],0)),"")</f>
        <v/>
      </c>
      <c r="H1591" s="47"/>
      <c r="I1591" s="61">
        <f>SUMIFS(StockInData[Quantity],StockInData[Product ID],ProductMaster!$B1591)-SUMIFS(StockOutData[Quantity],StockOutData[Product ID],ProductMaster!$B1591)</f>
        <v>0</v>
      </c>
      <c r="J1591" s="63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 t="str">
        <f>IFERROR(INDEX(StockInData[Expiry],MATCH(ProductMaster[[#This Row],[Product ID]],StockInData[Product ID],0)),"")</f>
        <v/>
      </c>
      <c r="H1593" s="47"/>
      <c r="I1593" s="61">
        <f>SUMIFS(StockInData[Quantity],StockInData[Product ID],ProductMaster!$B1593)-SUMIFS(StockOutData[Quantity],StockOutData[Product ID],ProductMaster!$B1593)</f>
        <v>0</v>
      </c>
      <c r="J1593" s="63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 t="str">
        <f>IFERROR(INDEX(StockInData[Expiry],MATCH(ProductMaster[[#This Row],[Product ID]],StockInData[Product ID],0)),"")</f>
        <v/>
      </c>
      <c r="H1596" s="47"/>
      <c r="I1596" s="61">
        <f>SUMIFS(StockInData[Quantity],StockInData[Product ID],ProductMaster!$B1596)-SUMIFS(StockOutData[Quantity],StockOutData[Product ID],ProductMaster!$B1596)</f>
        <v>0</v>
      </c>
      <c r="J1596" s="63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 t="str">
        <f>IFERROR(INDEX(StockInData[Expiry],MATCH(ProductMaster[[#This Row],[Product ID]],StockInData[Product ID],0)),"")</f>
        <v/>
      </c>
      <c r="H1600" s="47"/>
      <c r="I1600" s="61">
        <f>SUMIFS(StockInData[Quantity],StockInData[Product ID],ProductMaster!$B1600)-SUMIFS(StockOutData[Quantity],StockOutData[Product ID],ProductMaster!$B1600)</f>
        <v>0</v>
      </c>
      <c r="J1600" s="63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 t="str">
        <f>IFERROR(INDEX(StockInData[Expiry],MATCH(ProductMaster[[#This Row],[Product ID]],StockInData[Product ID],0)),"")</f>
        <v/>
      </c>
      <c r="H1602" s="47"/>
      <c r="I1602" s="61">
        <f>SUMIFS(StockInData[Quantity],StockInData[Product ID],ProductMaster!$B1602)-SUMIFS(StockOutData[Quantity],StockOutData[Product ID],ProductMaster!$B1602)</f>
        <v>0</v>
      </c>
      <c r="J1602" s="63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 t="str">
        <f>IFERROR(INDEX(StockInData[Expiry],MATCH(ProductMaster[[#This Row],[Product ID]],StockInData[Product ID],0)),"")</f>
        <v/>
      </c>
      <c r="H1603" s="47"/>
      <c r="I1603" s="61">
        <f>SUMIFS(StockInData[Quantity],StockInData[Product ID],ProductMaster!$B1603)-SUMIFS(StockOutData[Quantity],StockOutData[Product ID],ProductMaster!$B1603)</f>
        <v>0</v>
      </c>
      <c r="J1603" s="63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 t="str">
        <f>IFERROR(INDEX(StockInData[Expiry],MATCH(ProductMaster[[#This Row],[Product ID]],StockInData[Product ID],0)),"")</f>
        <v/>
      </c>
      <c r="H1605" s="47"/>
      <c r="I1605" s="61">
        <f>SUMIFS(StockInData[Quantity],StockInData[Product ID],ProductMaster!$B1605)-SUMIFS(StockOutData[Quantity],StockOutData[Product ID],ProductMaster!$B1605)</f>
        <v>0</v>
      </c>
      <c r="J1605" s="63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 t="str">
        <f>IFERROR(INDEX(StockInData[Expiry],MATCH(ProductMaster[[#This Row],[Product ID]],StockInData[Product ID],0)),"")</f>
        <v/>
      </c>
      <c r="H1609" s="47"/>
      <c r="I1609" s="61">
        <f>SUMIFS(StockInData[Quantity],StockInData[Product ID],ProductMaster!$B1609)-SUMIFS(StockOutData[Quantity],StockOutData[Product ID],ProductMaster!$B1609)</f>
        <v>0</v>
      </c>
      <c r="J1609" s="63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 t="str">
        <f>IFERROR(INDEX(StockInData[Expiry],MATCH(ProductMaster[[#This Row],[Product ID]],StockInData[Product ID],0)),"")</f>
        <v/>
      </c>
      <c r="H1631" s="47"/>
      <c r="I1631" s="61">
        <f>SUMIFS(StockInData[Quantity],StockInData[Product ID],ProductMaster!$B1631)-SUMIFS(StockOutData[Quantity],StockOutData[Product ID],ProductMaster!$B1631)</f>
        <v>0</v>
      </c>
      <c r="J1631" s="63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 t="str">
        <f>IFERROR(INDEX(StockInData[Expiry],MATCH(ProductMaster[[#This Row],[Product ID]],StockInData[Product ID],0)),"")</f>
        <v/>
      </c>
      <c r="H1639" s="47"/>
      <c r="I1639" s="61">
        <f>SUMIFS(StockInData[Quantity],StockInData[Product ID],ProductMaster!$B1639)-SUMIFS(StockOutData[Quantity],StockOutData[Product ID],ProductMaster!$B1639)</f>
        <v>0</v>
      </c>
      <c r="J1639" s="63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 t="str">
        <f>IFERROR(INDEX(StockInData[Expiry],MATCH(ProductMaster[[#This Row],[Product ID]],StockInData[Product ID],0)),"")</f>
        <v/>
      </c>
      <c r="H1659" s="47"/>
      <c r="I1659" s="61">
        <f>SUMIFS(StockInData[Quantity],StockInData[Product ID],ProductMaster!$B1659)-SUMIFS(StockOutData[Quantity],StockOutData[Product ID],ProductMaster!$B1659)</f>
        <v>0</v>
      </c>
      <c r="J1659" s="63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 t="str">
        <f>IFERROR(INDEX(StockInData[Expiry],MATCH(ProductMaster[[#This Row],[Product ID]],StockInData[Product ID],0)),"")</f>
        <v/>
      </c>
      <c r="H1660" s="47"/>
      <c r="I1660" s="61">
        <f>SUMIFS(StockInData[Quantity],StockInData[Product ID],ProductMaster!$B1660)-SUMIFS(StockOutData[Quantity],StockOutData[Product ID],ProductMaster!$B1660)</f>
        <v>0</v>
      </c>
      <c r="J1660" s="63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 t="str">
        <f>IFERROR(INDEX(StockInData[Expiry],MATCH(ProductMaster[[#This Row],[Product ID]],StockInData[Product ID],0)),"")</f>
        <v/>
      </c>
      <c r="H1664" s="47"/>
      <c r="I1664" s="61">
        <f>SUMIFS(StockInData[Quantity],StockInData[Product ID],ProductMaster!$B1664)-SUMIFS(StockOutData[Quantity],StockOutData[Product ID],ProductMaster!$B1664)</f>
        <v>0</v>
      </c>
      <c r="J1664" s="63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 t="str">
        <f>IFERROR(INDEX(StockInData[Expiry],MATCH(ProductMaster[[#This Row],[Product ID]],StockInData[Product ID],0)),"")</f>
        <v/>
      </c>
      <c r="H1667" s="47"/>
      <c r="I1667" s="61">
        <f>SUMIFS(StockInData[Quantity],StockInData[Product ID],ProductMaster!$B1667)-SUMIFS(StockOutData[Quantity],StockOutData[Product ID],ProductMaster!$B1667)</f>
        <v>0</v>
      </c>
      <c r="J1667" s="63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 t="str">
        <f>IFERROR(INDEX(StockInData[Expiry],MATCH(ProductMaster[[#This Row],[Product ID]],StockInData[Product ID],0)),"")</f>
        <v/>
      </c>
      <c r="H1669" s="47"/>
      <c r="I1669" s="61">
        <f>SUMIFS(StockInData[Quantity],StockInData[Product ID],ProductMaster!$B1669)-SUMIFS(StockOutData[Quantity],StockOutData[Product ID],ProductMaster!$B1669)</f>
        <v>0</v>
      </c>
      <c r="J1669" s="63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 t="str">
        <f>IFERROR(INDEX(StockInData[Expiry],MATCH(ProductMaster[[#This Row],[Product ID]],StockInData[Product ID],0)),"")</f>
        <v/>
      </c>
      <c r="H1671" s="47"/>
      <c r="I1671" s="61">
        <f>SUMIFS(StockInData[Quantity],StockInData[Product ID],ProductMaster!$B1671)-SUMIFS(StockOutData[Quantity],StockOutData[Product ID],ProductMaster!$B1671)</f>
        <v>0</v>
      </c>
      <c r="J1671" s="63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 t="str">
        <f>IFERROR(INDEX(StockInData[Expiry],MATCH(ProductMaster[[#This Row],[Product ID]],StockInData[Product ID],0)),"")</f>
        <v/>
      </c>
      <c r="H1672" s="47"/>
      <c r="I1672" s="61">
        <f>SUMIFS(StockInData[Quantity],StockInData[Product ID],ProductMaster!$B1672)-SUMIFS(StockOutData[Quantity],StockOutData[Product ID],ProductMaster!$B1672)</f>
        <v>0</v>
      </c>
      <c r="J1672" s="63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 t="str">
        <f>IFERROR(INDEX(StockInData[Expiry],MATCH(ProductMaster[[#This Row],[Product ID]],StockInData[Product ID],0)),"")</f>
        <v/>
      </c>
      <c r="H1673" s="47"/>
      <c r="I1673" s="61">
        <f>SUMIFS(StockInData[Quantity],StockInData[Product ID],ProductMaster!$B1673)-SUMIFS(StockOutData[Quantity],StockOutData[Product ID],ProductMaster!$B1673)</f>
        <v>0</v>
      </c>
      <c r="J1673" s="63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 t="str">
        <f>IFERROR(INDEX(StockInData[Expiry],MATCH(ProductMaster[[#This Row],[Product ID]],StockInData[Product ID],0)),"")</f>
        <v/>
      </c>
      <c r="H1675" s="47"/>
      <c r="I1675" s="61">
        <f>SUMIFS(StockInData[Quantity],StockInData[Product ID],ProductMaster!$B1675)-SUMIFS(StockOutData[Quantity],StockOutData[Product ID],ProductMaster!$B1675)</f>
        <v>0</v>
      </c>
      <c r="J1675" s="63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 t="str">
        <f>IFERROR(INDEX(StockInData[Expiry],MATCH(ProductMaster[[#This Row],[Product ID]],StockInData[Product ID],0)),"")</f>
        <v/>
      </c>
      <c r="H1684" s="47"/>
      <c r="I1684" s="61">
        <f>SUMIFS(StockInData[Quantity],StockInData[Product ID],ProductMaster!$B1684)-SUMIFS(StockOutData[Quantity],StockOutData[Product ID],ProductMaster!$B1684)</f>
        <v>0</v>
      </c>
      <c r="J1684" s="63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 t="str">
        <f>IFERROR(INDEX(StockInData[Expiry],MATCH(ProductMaster[[#This Row],[Product ID]],StockInData[Product ID],0)),"")</f>
        <v/>
      </c>
      <c r="H1685" s="47"/>
      <c r="I1685" s="61">
        <f>SUMIFS(StockInData[Quantity],StockInData[Product ID],ProductMaster!$B1685)-SUMIFS(StockOutData[Quantity],StockOutData[Product ID],ProductMaster!$B1685)</f>
        <v>0</v>
      </c>
      <c r="J1685" s="63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 t="str">
        <f>IFERROR(INDEX(StockInData[Expiry],MATCH(ProductMaster[[#This Row],[Product ID]],StockInData[Product ID],0)),"")</f>
        <v/>
      </c>
      <c r="H1686" s="47"/>
      <c r="I1686" s="61">
        <f>SUMIFS(StockInData[Quantity],StockInData[Product ID],ProductMaster!$B1686)-SUMIFS(StockOutData[Quantity],StockOutData[Product ID],ProductMaster!$B1686)</f>
        <v>0</v>
      </c>
      <c r="J1686" s="63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 t="str">
        <f>IFERROR(INDEX(StockInData[Expiry],MATCH(ProductMaster[[#This Row],[Product ID]],StockInData[Product ID],0)),"")</f>
        <v/>
      </c>
      <c r="H1687" s="47"/>
      <c r="I1687" s="61">
        <f>SUMIFS(StockInData[Quantity],StockInData[Product ID],ProductMaster!$B1687)-SUMIFS(StockOutData[Quantity],StockOutData[Product ID],ProductMaster!$B1687)</f>
        <v>0</v>
      </c>
      <c r="J1687" s="63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 t="str">
        <f>IFERROR(INDEX(StockInData[Expiry],MATCH(ProductMaster[[#This Row],[Product ID]],StockInData[Product ID],0)),"")</f>
        <v/>
      </c>
      <c r="H1688" s="47"/>
      <c r="I1688" s="61">
        <f>SUMIFS(StockInData[Quantity],StockInData[Product ID],ProductMaster!$B1688)-SUMIFS(StockOutData[Quantity],StockOutData[Product ID],ProductMaster!$B1688)</f>
        <v>0</v>
      </c>
      <c r="J1688" s="63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 t="str">
        <f>IFERROR(INDEX(StockInData[Expiry],MATCH(ProductMaster[[#This Row],[Product ID]],StockInData[Product ID],0)),"")</f>
        <v/>
      </c>
      <c r="H1689" s="47"/>
      <c r="I1689" s="61">
        <f>SUMIFS(StockInData[Quantity],StockInData[Product ID],ProductMaster!$B1689)-SUMIFS(StockOutData[Quantity],StockOutData[Product ID],ProductMaster!$B1689)</f>
        <v>0</v>
      </c>
      <c r="J1689" s="63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 t="str">
        <f>IFERROR(INDEX(StockInData[Expiry],MATCH(ProductMaster[[#This Row],[Product ID]],StockInData[Product ID],0)),"")</f>
        <v/>
      </c>
      <c r="H1692" s="47"/>
      <c r="I1692" s="61">
        <f>SUMIFS(StockInData[Quantity],StockInData[Product ID],ProductMaster!$B1692)-SUMIFS(StockOutData[Quantity],StockOutData[Product ID],ProductMaster!$B1692)</f>
        <v>0</v>
      </c>
      <c r="J1692" s="63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 t="str">
        <f>IFERROR(INDEX(StockInData[Expiry],MATCH(ProductMaster[[#This Row],[Product ID]],StockInData[Product ID],0)),"")</f>
        <v/>
      </c>
      <c r="H1694" s="47"/>
      <c r="I1694" s="61">
        <f>SUMIFS(StockInData[Quantity],StockInData[Product ID],ProductMaster!$B1694)-SUMIFS(StockOutData[Quantity],StockOutData[Product ID],ProductMaster!$B1694)</f>
        <v>0</v>
      </c>
      <c r="J1694" s="63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 t="str">
        <f>IFERROR(INDEX(StockInData[Expiry],MATCH(ProductMaster[[#This Row],[Product ID]],StockInData[Product ID],0)),"")</f>
        <v/>
      </c>
      <c r="H1695" s="47"/>
      <c r="I1695" s="61">
        <f>SUMIFS(StockInData[Quantity],StockInData[Product ID],ProductMaster!$B1695)-SUMIFS(StockOutData[Quantity],StockOutData[Product ID],ProductMaster!$B1695)</f>
        <v>0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 t="str">
        <f>IFERROR(INDEX(StockInData[Expiry],MATCH(ProductMaster[[#This Row],[Product ID]],StockInData[Product ID],0)),"")</f>
        <v/>
      </c>
      <c r="H1696" s="47"/>
      <c r="I1696" s="61">
        <f>SUMIFS(StockInData[Quantity],StockInData[Product ID],ProductMaster!$B1696)-SUMIFS(StockOutData[Quantity],StockOutData[Product ID],ProductMaster!$B1696)</f>
        <v>0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 t="str">
        <f>IFERROR(INDEX(StockInData[Expiry],MATCH(ProductMaster[[#This Row],[Product ID]],StockInData[Product ID],0)),"")</f>
        <v/>
      </c>
      <c r="H1697" s="47"/>
      <c r="I1697" s="61">
        <f>SUMIFS(StockInData[Quantity],StockInData[Product ID],ProductMaster!$B1697)-SUMIFS(StockOutData[Quantity],StockOutData[Product ID],ProductMaster!$B1697)</f>
        <v>0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 t="str">
        <f>IFERROR(INDEX(StockInData[Expiry],MATCH(ProductMaster[[#This Row],[Product ID]],StockInData[Product ID],0)),"")</f>
        <v/>
      </c>
      <c r="H1698" s="47"/>
      <c r="I1698" s="61">
        <f>SUMIFS(StockInData[Quantity],StockInData[Product ID],ProductMaster!$B1698)-SUMIFS(StockOutData[Quantity],StockOutData[Product ID],ProductMaster!$B1698)</f>
        <v>0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 t="str">
        <f>IFERROR(INDEX(StockInData[Expiry],MATCH(ProductMaster[[#This Row],[Product ID]],StockInData[Product ID],0)),"")</f>
        <v/>
      </c>
      <c r="H1699" s="47"/>
      <c r="I1699" s="61">
        <f>SUMIFS(StockInData[Quantity],StockInData[Product ID],ProductMaster!$B1699)-SUMIFS(StockOutData[Quantity],StockOutData[Product ID],ProductMaster!$B1699)</f>
        <v>0</v>
      </c>
      <c r="J1699" s="63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 t="str">
        <f>IFERROR(INDEX(StockInData[Expiry],MATCH(ProductMaster[[#This Row],[Product ID]],StockInData[Product ID],0)),"")</f>
        <v/>
      </c>
      <c r="H1701" s="47"/>
      <c r="I1701" s="61">
        <f>SUMIFS(StockInData[Quantity],StockInData[Product ID],ProductMaster!$B1701)-SUMIFS(StockOutData[Quantity],StockOutData[Product ID],ProductMaster!$B1701)</f>
        <v>0</v>
      </c>
      <c r="J1701" s="63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 t="str">
        <f>IFERROR(INDEX(StockInData[Expiry],MATCH(ProductMaster[[#This Row],[Product ID]],StockInData[Product ID],0)),"")</f>
        <v/>
      </c>
      <c r="H1702" s="47"/>
      <c r="I1702" s="61">
        <f>SUMIFS(StockInData[Quantity],StockInData[Product ID],ProductMaster!$B1702)-SUMIFS(StockOutData[Quantity],StockOutData[Product ID],ProductMaster!$B1702)</f>
        <v>0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 t="str">
        <f>IFERROR(INDEX(StockInData[Expiry],MATCH(ProductMaster[[#This Row],[Product ID]],StockInData[Product ID],0)),"")</f>
        <v/>
      </c>
      <c r="H1703" s="47"/>
      <c r="I1703" s="61">
        <f>SUMIFS(StockInData[Quantity],StockInData[Product ID],ProductMaster!$B1703)-SUMIFS(StockOutData[Quantity],StockOutData[Product ID],ProductMaster!$B1703)</f>
        <v>0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 t="str">
        <f>IFERROR(INDEX(StockInData[Expiry],MATCH(ProductMaster[[#This Row],[Product ID]],StockInData[Product ID],0)),"")</f>
        <v/>
      </c>
      <c r="H1704" s="47"/>
      <c r="I1704" s="61">
        <f>SUMIFS(StockInData[Quantity],StockInData[Product ID],ProductMaster!$B1704)-SUMIFS(StockOutData[Quantity],StockOutData[Product ID],ProductMaster!$B1704)</f>
        <v>0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 t="str">
        <f>IFERROR(INDEX(StockInData[Expiry],MATCH(ProductMaster[[#This Row],[Product ID]],StockInData[Product ID],0)),"")</f>
        <v/>
      </c>
      <c r="H1705" s="47"/>
      <c r="I1705" s="61">
        <f>SUMIFS(StockInData[Quantity],StockInData[Product ID],ProductMaster!$B1705)-SUMIFS(StockOutData[Quantity],StockOutData[Product ID],ProductMaster!$B1705)</f>
        <v>0</v>
      </c>
      <c r="J1705" s="63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 t="str">
        <f>IFERROR(INDEX(StockInData[Expiry],MATCH(ProductMaster[[#This Row],[Product ID]],StockInData[Product ID],0)),"")</f>
        <v/>
      </c>
      <c r="H1706" s="47"/>
      <c r="I1706" s="61">
        <f>SUMIFS(StockInData[Quantity],StockInData[Product ID],ProductMaster!$B1706)-SUMIFS(StockOutData[Quantity],StockOutData[Product ID],ProductMaster!$B1706)</f>
        <v>0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 t="str">
        <f>IFERROR(INDEX(StockInData[Expiry],MATCH(ProductMaster[[#This Row],[Product ID]],StockInData[Product ID],0)),"")</f>
        <v/>
      </c>
      <c r="H1707" s="47"/>
      <c r="I1707" s="61">
        <f>SUMIFS(StockInData[Quantity],StockInData[Product ID],ProductMaster!$B1707)-SUMIFS(StockOutData[Quantity],StockOutData[Product ID],ProductMaster!$B1707)</f>
        <v>0</v>
      </c>
      <c r="J1707" s="63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 t="str">
        <f>IFERROR(INDEX(StockInData[Expiry],MATCH(ProductMaster[[#This Row],[Product ID]],StockInData[Product ID],0)),"")</f>
        <v/>
      </c>
      <c r="H1708" s="47"/>
      <c r="I1708" s="61">
        <f>SUMIFS(StockInData[Quantity],StockInData[Product ID],ProductMaster!$B1708)-SUMIFS(StockOutData[Quantity],StockOutData[Product ID],ProductMaster!$B1708)</f>
        <v>0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 t="str">
        <f>IFERROR(INDEX(StockInData[Expiry],MATCH(ProductMaster[[#This Row],[Product ID]],StockInData[Product ID],0)),"")</f>
        <v/>
      </c>
      <c r="H1709" s="47"/>
      <c r="I1709" s="61">
        <f>SUMIFS(StockInData[Quantity],StockInData[Product ID],ProductMaster!$B1709)-SUMIFS(StockOutData[Quantity],StockOutData[Product ID],ProductMaster!$B1709)</f>
        <v>0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 t="str">
        <f>IFERROR(INDEX(StockInData[Expiry],MATCH(ProductMaster[[#This Row],[Product ID]],StockInData[Product ID],0)),"")</f>
        <v/>
      </c>
      <c r="H1710" s="47"/>
      <c r="I1710" s="61">
        <f>SUMIFS(StockInData[Quantity],StockInData[Product ID],ProductMaster!$B1710)-SUMIFS(StockOutData[Quantity],StockOutData[Product ID],ProductMaster!$B1710)</f>
        <v>0</v>
      </c>
      <c r="J1710" s="63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 t="str">
        <f>IFERROR(INDEX(StockInData[Expiry],MATCH(ProductMaster[[#This Row],[Product ID]],StockInData[Product ID],0)),"")</f>
        <v/>
      </c>
      <c r="H1713" s="47"/>
      <c r="I1713" s="61">
        <f>SUMIFS(StockInData[Quantity],StockInData[Product ID],ProductMaster!$B1713)-SUMIFS(StockOutData[Quantity],StockOutData[Product ID],ProductMaster!$B1713)</f>
        <v>0</v>
      </c>
      <c r="J1713" s="63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 t="str">
        <f>IFERROR(INDEX(StockInData[Expiry],MATCH(ProductMaster[[#This Row],[Product ID]],StockInData[Product ID],0)),"")</f>
        <v/>
      </c>
      <c r="H1717" s="47"/>
      <c r="I1717" s="61">
        <f>SUMIFS(StockInData[Quantity],StockInData[Product ID],ProductMaster!$B1717)-SUMIFS(StockOutData[Quantity],StockOutData[Product ID],ProductMaster!$B1717)</f>
        <v>0</v>
      </c>
      <c r="J1717" s="63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 t="str">
        <f>IFERROR(INDEX(StockInData[Expiry],MATCH(ProductMaster[[#This Row],[Product ID]],StockInData[Product ID],0)),"")</f>
        <v/>
      </c>
      <c r="H1731" s="47"/>
      <c r="I1731" s="61">
        <f>SUMIFS(StockInData[Quantity],StockInData[Product ID],ProductMaster!$B1731)-SUMIFS(StockOutData[Quantity],StockOutData[Product ID],ProductMaster!$B1731)</f>
        <v>0</v>
      </c>
      <c r="J1731" s="63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 t="str">
        <f>IFERROR(INDEX(StockInData[Expiry],MATCH(ProductMaster[[#This Row],[Product ID]],StockInData[Product ID],0)),"")</f>
        <v/>
      </c>
      <c r="H1732" s="47"/>
      <c r="I1732" s="61">
        <f>SUMIFS(StockInData[Quantity],StockInData[Product ID],ProductMaster!$B1732)-SUMIFS(StockOutData[Quantity],StockOutData[Product ID],ProductMaster!$B1732)</f>
        <v>0</v>
      </c>
      <c r="J1732" s="63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 t="str">
        <f>IFERROR(INDEX(StockInData[Expiry],MATCH(ProductMaster[[#This Row],[Product ID]],StockInData[Product ID],0)),"")</f>
        <v/>
      </c>
      <c r="H1733" s="47"/>
      <c r="I1733" s="61">
        <f>SUMIFS(StockInData[Quantity],StockInData[Product ID],ProductMaster!$B1733)-SUMIFS(StockOutData[Quantity],StockOutData[Product ID],ProductMaster!$B1733)</f>
        <v>0</v>
      </c>
      <c r="J1733" s="63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 t="str">
        <f>IFERROR(INDEX(StockInData[Expiry],MATCH(ProductMaster[[#This Row],[Product ID]],StockInData[Product ID],0)),"")</f>
        <v/>
      </c>
      <c r="H1734" s="47"/>
      <c r="I1734" s="61">
        <f>SUMIFS(StockInData[Quantity],StockInData[Product ID],ProductMaster!$B1734)-SUMIFS(StockOutData[Quantity],StockOutData[Product ID],ProductMaster!$B1734)</f>
        <v>0</v>
      </c>
      <c r="J1734" s="63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 t="str">
        <f>IFERROR(INDEX(StockInData[Expiry],MATCH(ProductMaster[[#This Row],[Product ID]],StockInData[Product ID],0)),"")</f>
        <v/>
      </c>
      <c r="H1735" s="47"/>
      <c r="I1735" s="61">
        <f>SUMIFS(StockInData[Quantity],StockInData[Product ID],ProductMaster!$B1735)-SUMIFS(StockOutData[Quantity],StockOutData[Product ID],ProductMaster!$B1735)</f>
        <v>0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 t="str">
        <f>IFERROR(INDEX(StockInData[Expiry],MATCH(ProductMaster[[#This Row],[Product ID]],StockInData[Product ID],0)),"")</f>
        <v/>
      </c>
      <c r="H1736" s="47"/>
      <c r="I1736" s="61">
        <f>SUMIFS(StockInData[Quantity],StockInData[Product ID],ProductMaster!$B1736)-SUMIFS(StockOutData[Quantity],StockOutData[Product ID],ProductMaster!$B1736)</f>
        <v>0</v>
      </c>
      <c r="J1736" s="63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 t="str">
        <f>IFERROR(INDEX(StockInData[Expiry],MATCH(ProductMaster[[#This Row],[Product ID]],StockInData[Product ID],0)),"")</f>
        <v/>
      </c>
      <c r="H1737" s="47"/>
      <c r="I1737" s="61">
        <f>SUMIFS(StockInData[Quantity],StockInData[Product ID],ProductMaster!$B1737)-SUMIFS(StockOutData[Quantity],StockOutData[Product ID],ProductMaster!$B1737)</f>
        <v>0</v>
      </c>
      <c r="J1737" s="63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 t="str">
        <f>IFERROR(INDEX(StockInData[Expiry],MATCH(ProductMaster[[#This Row],[Product ID]],StockInData[Product ID],0)),"")</f>
        <v/>
      </c>
      <c r="H1738" s="47"/>
      <c r="I1738" s="61">
        <f>SUMIFS(StockInData[Quantity],StockInData[Product ID],ProductMaster!$B1738)-SUMIFS(StockOutData[Quantity],StockOutData[Product ID],ProductMaster!$B1738)</f>
        <v>0</v>
      </c>
      <c r="J1738" s="63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 t="str">
        <f>IFERROR(INDEX(StockInData[Expiry],MATCH(ProductMaster[[#This Row],[Product ID]],StockInData[Product ID],0)),"")</f>
        <v/>
      </c>
      <c r="H1739" s="47"/>
      <c r="I1739" s="61">
        <f>SUMIFS(StockInData[Quantity],StockInData[Product ID],ProductMaster!$B1739)-SUMIFS(StockOutData[Quantity],StockOutData[Product ID],ProductMaster!$B1739)</f>
        <v>0</v>
      </c>
      <c r="J1739" s="63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 t="str">
        <f>IFERROR(INDEX(StockInData[Expiry],MATCH(ProductMaster[[#This Row],[Product ID]],StockInData[Product ID],0)),"")</f>
        <v/>
      </c>
      <c r="H1747" s="47"/>
      <c r="I1747" s="61">
        <f>SUMIFS(StockInData[Quantity],StockInData[Product ID],ProductMaster!$B1747)-SUMIFS(StockOutData[Quantity],StockOutData[Product ID],ProductMaster!$B1747)</f>
        <v>0</v>
      </c>
      <c r="J1747" s="63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0</v>
      </c>
      <c r="J1748" s="63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 t="str">
        <f>IFERROR(INDEX(StockInData[Expiry],MATCH(ProductMaster[[#This Row],[Product ID]],StockInData[Product ID],0)),"")</f>
        <v/>
      </c>
      <c r="H1749" s="47"/>
      <c r="I1749" s="61">
        <f>SUMIFS(StockInData[Quantity],StockInData[Product ID],ProductMaster!$B1749)-SUMIFS(StockOutData[Quantity],StockOutData[Product ID],ProductMaster!$B1749)</f>
        <v>0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 t="str">
        <f>IFERROR(INDEX(StockInData[Expiry],MATCH(ProductMaster[[#This Row],[Product ID]],StockInData[Product ID],0)),"")</f>
        <v/>
      </c>
      <c r="H1750" s="47"/>
      <c r="I1750" s="61">
        <f>SUMIFS(StockInData[Quantity],StockInData[Product ID],ProductMaster!$B1750)-SUMIFS(StockOutData[Quantity],StockOutData[Product ID],ProductMaster!$B1750)</f>
        <v>0</v>
      </c>
      <c r="J1750" s="63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 t="str">
        <f>IFERROR(INDEX(StockInData[Expiry],MATCH(ProductMaster[[#This Row],[Product ID]],StockInData[Product ID],0)),"")</f>
        <v/>
      </c>
      <c r="H1751" s="47"/>
      <c r="I1751" s="61">
        <f>SUMIFS(StockInData[Quantity],StockInData[Product ID],ProductMaster!$B1751)-SUMIFS(StockOutData[Quantity],StockOutData[Product ID],ProductMaster!$B1751)</f>
        <v>0</v>
      </c>
      <c r="J1751" s="63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 t="str">
        <f>IFERROR(INDEX(StockInData[Expiry],MATCH(ProductMaster[[#This Row],[Product ID]],StockInData[Product ID],0)),"")</f>
        <v/>
      </c>
      <c r="H1752" s="47"/>
      <c r="I1752" s="61">
        <f>SUMIFS(StockInData[Quantity],StockInData[Product ID],ProductMaster!$B1752)-SUMIFS(StockOutData[Quantity],StockOutData[Product ID],ProductMaster!$B1752)</f>
        <v>0</v>
      </c>
      <c r="J1752" s="63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 t="str">
        <f>IFERROR(INDEX(StockInData[Expiry],MATCH(ProductMaster[[#This Row],[Product ID]],StockInData[Product ID],0)),"")</f>
        <v/>
      </c>
      <c r="H1753" s="47"/>
      <c r="I1753" s="61">
        <f>SUMIFS(StockInData[Quantity],StockInData[Product ID],ProductMaster!$B1753)-SUMIFS(StockOutData[Quantity],StockOutData[Product ID],ProductMaster!$B1753)</f>
        <v>0</v>
      </c>
      <c r="J1753" s="63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 t="str">
        <f>IFERROR(INDEX(StockInData[Expiry],MATCH(ProductMaster[[#This Row],[Product ID]],StockInData[Product ID],0)),"")</f>
        <v/>
      </c>
      <c r="H1754" s="47"/>
      <c r="I1754" s="61">
        <f>SUMIFS(StockInData[Quantity],StockInData[Product ID],ProductMaster!$B1754)-SUMIFS(StockOutData[Quantity],StockOutData[Product ID],ProductMaster!$B1754)</f>
        <v>0</v>
      </c>
      <c r="J1754" s="63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 t="str">
        <f>IFERROR(INDEX(StockInData[Expiry],MATCH(ProductMaster[[#This Row],[Product ID]],StockInData[Product ID],0)),"")</f>
        <v/>
      </c>
      <c r="H1757" s="47"/>
      <c r="I1757" s="61">
        <f>SUMIFS(StockInData[Quantity],StockInData[Product ID],ProductMaster!$B1757)-SUMIFS(StockOutData[Quantity],StockOutData[Product ID],ProductMaster!$B1757)</f>
        <v>0</v>
      </c>
      <c r="J1757" s="63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 t="str">
        <f>IFERROR(INDEX(StockInData[Expiry],MATCH(ProductMaster[[#This Row],[Product ID]],StockInData[Product ID],0)),"")</f>
        <v/>
      </c>
      <c r="H1759" s="47"/>
      <c r="I1759" s="61">
        <f>SUMIFS(StockInData[Quantity],StockInData[Product ID],ProductMaster!$B1759)-SUMIFS(StockOutData[Quantity],StockOutData[Product ID],ProductMaster!$B1759)</f>
        <v>0</v>
      </c>
      <c r="J1759" s="63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 t="str">
        <f>IFERROR(INDEX(StockInData[Expiry],MATCH(ProductMaster[[#This Row],[Product ID]],StockInData[Product ID],0)),"")</f>
        <v/>
      </c>
      <c r="H1760" s="47"/>
      <c r="I1760" s="61">
        <f>SUMIFS(StockInData[Quantity],StockInData[Product ID],ProductMaster!$B1760)-SUMIFS(StockOutData[Quantity],StockOutData[Product ID],ProductMaster!$B1760)</f>
        <v>0</v>
      </c>
      <c r="J1760" s="63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 t="str">
        <f>IFERROR(INDEX(StockInData[Expiry],MATCH(ProductMaster[[#This Row],[Product ID]],StockInData[Product ID],0)),"")</f>
        <v/>
      </c>
      <c r="H1761" s="47"/>
      <c r="I1761" s="61">
        <f>SUMIFS(StockInData[Quantity],StockInData[Product ID],ProductMaster!$B1761)-SUMIFS(StockOutData[Quantity],StockOutData[Product ID],ProductMaster!$B1761)</f>
        <v>0</v>
      </c>
      <c r="J1761" s="63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 t="str">
        <f>IFERROR(INDEX(StockInData[Expiry],MATCH(ProductMaster[[#This Row],[Product ID]],StockInData[Product ID],0)),"")</f>
        <v/>
      </c>
      <c r="H1762" s="47"/>
      <c r="I1762" s="61">
        <f>SUMIFS(StockInData[Quantity],StockInData[Product ID],ProductMaster!$B1762)-SUMIFS(StockOutData[Quantity],StockOutData[Product ID],ProductMaster!$B1762)</f>
        <v>0</v>
      </c>
      <c r="J1762" s="63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 t="str">
        <f>IFERROR(INDEX(StockInData[Expiry],MATCH(ProductMaster[[#This Row],[Product ID]],StockInData[Product ID],0)),"")</f>
        <v/>
      </c>
      <c r="H1763" s="47"/>
      <c r="I1763" s="61">
        <f>SUMIFS(StockInData[Quantity],StockInData[Product ID],ProductMaster!$B1763)-SUMIFS(StockOutData[Quantity],StockOutData[Product ID],ProductMaster!$B1763)</f>
        <v>0</v>
      </c>
      <c r="J1763" s="63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 t="str">
        <f>IFERROR(INDEX(StockInData[Expiry],MATCH(ProductMaster[[#This Row],[Product ID]],StockInData[Product ID],0)),"")</f>
        <v/>
      </c>
      <c r="H1764" s="47"/>
      <c r="I1764" s="61">
        <f>SUMIFS(StockInData[Quantity],StockInData[Product ID],ProductMaster!$B1764)-SUMIFS(StockOutData[Quantity],StockOutData[Product ID],ProductMaster!$B1764)</f>
        <v>0</v>
      </c>
      <c r="J1764" s="63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 t="str">
        <f>IFERROR(INDEX(StockInData[Expiry],MATCH(ProductMaster[[#This Row],[Product ID]],StockInData[Product ID],0)),"")</f>
        <v/>
      </c>
      <c r="H1765" s="47"/>
      <c r="I1765" s="61">
        <f>SUMIFS(StockInData[Quantity],StockInData[Product ID],ProductMaster!$B1765)-SUMIFS(StockOutData[Quantity],StockOutData[Product ID],ProductMaster!$B1765)</f>
        <v>0</v>
      </c>
      <c r="J1765" s="63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 t="str">
        <f>IFERROR(INDEX(StockInData[Expiry],MATCH(ProductMaster[[#This Row],[Product ID]],StockInData[Product ID],0)),"")</f>
        <v/>
      </c>
      <c r="H1766" s="47"/>
      <c r="I1766" s="61">
        <f>SUMIFS(StockInData[Quantity],StockInData[Product ID],ProductMaster!$B1766)-SUMIFS(StockOutData[Quantity],StockOutData[Product ID],ProductMaster!$B1766)</f>
        <v>0</v>
      </c>
      <c r="J1766" s="63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 t="str">
        <f>IFERROR(INDEX(StockInData[Expiry],MATCH(ProductMaster[[#This Row],[Product ID]],StockInData[Product ID],0)),"")</f>
        <v/>
      </c>
      <c r="H1767" s="47"/>
      <c r="I1767" s="61">
        <f>SUMIFS(StockInData[Quantity],StockInData[Product ID],ProductMaster!$B1767)-SUMIFS(StockOutData[Quantity],StockOutData[Product ID],ProductMaster!$B1767)</f>
        <v>0</v>
      </c>
      <c r="J1767" s="63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 t="str">
        <f>IFERROR(INDEX(StockInData[Expiry],MATCH(ProductMaster[[#This Row],[Product ID]],StockInData[Product ID],0)),"")</f>
        <v/>
      </c>
      <c r="H1768" s="47"/>
      <c r="I1768" s="61">
        <f>SUMIFS(StockInData[Quantity],StockInData[Product ID],ProductMaster!$B1768)-SUMIFS(StockOutData[Quantity],StockOutData[Product ID],ProductMaster!$B1768)</f>
        <v>0</v>
      </c>
      <c r="J1768" s="63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 t="str">
        <f>IFERROR(INDEX(StockInData[Expiry],MATCH(ProductMaster[[#This Row],[Product ID]],StockInData[Product ID],0)),"")</f>
        <v/>
      </c>
      <c r="H1769" s="47"/>
      <c r="I1769" s="61">
        <f>SUMIFS(StockInData[Quantity],StockInData[Product ID],ProductMaster!$B1769)-SUMIFS(StockOutData[Quantity],StockOutData[Product ID],ProductMaster!$B1769)</f>
        <v>0</v>
      </c>
      <c r="J1769" s="63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 t="str">
        <f>IFERROR(INDEX(StockInData[Expiry],MATCH(ProductMaster[[#This Row],[Product ID]],StockInData[Product ID],0)),"")</f>
        <v/>
      </c>
      <c r="H1770" s="47"/>
      <c r="I1770" s="61">
        <f>SUMIFS(StockInData[Quantity],StockInData[Product ID],ProductMaster!$B1770)-SUMIFS(StockOutData[Quantity],StockOutData[Product ID],ProductMaster!$B1770)</f>
        <v>0</v>
      </c>
      <c r="J1770" s="63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 t="str">
        <f>IFERROR(INDEX(StockInData[Expiry],MATCH(ProductMaster[[#This Row],[Product ID]],StockInData[Product ID],0)),"")</f>
        <v/>
      </c>
      <c r="H1772" s="47"/>
      <c r="I1772" s="61">
        <f>SUMIFS(StockInData[Quantity],StockInData[Product ID],ProductMaster!$B1772)-SUMIFS(StockOutData[Quantity],StockOutData[Product ID],ProductMaster!$B1772)</f>
        <v>0</v>
      </c>
      <c r="J1772" s="63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 t="str">
        <f>IFERROR(INDEX(StockInData[Expiry],MATCH(ProductMaster[[#This Row],[Product ID]],StockInData[Product ID],0)),"")</f>
        <v/>
      </c>
      <c r="H1773" s="47"/>
      <c r="I1773" s="61">
        <f>SUMIFS(StockInData[Quantity],StockInData[Product ID],ProductMaster!$B1773)-SUMIFS(StockOutData[Quantity],StockOutData[Product ID],ProductMaster!$B1773)</f>
        <v>0</v>
      </c>
      <c r="J1773" s="63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 t="str">
        <f>IFERROR(INDEX(StockInData[Expiry],MATCH(ProductMaster[[#This Row],[Product ID]],StockInData[Product ID],0)),"")</f>
        <v/>
      </c>
      <c r="H1777" s="47"/>
      <c r="I1777" s="61">
        <f>SUMIFS(StockInData[Quantity],StockInData[Product ID],ProductMaster!$B1777)-SUMIFS(StockOutData[Quantity],StockOutData[Product ID],ProductMaster!$B1777)</f>
        <v>0</v>
      </c>
      <c r="J1777" s="63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 t="str">
        <f>IFERROR(INDEX(StockInData[Expiry],MATCH(ProductMaster[[#This Row],[Product ID]],StockInData[Product ID],0)),"")</f>
        <v/>
      </c>
      <c r="H1779" s="47"/>
      <c r="I1779" s="61">
        <f>SUMIFS(StockInData[Quantity],StockInData[Product ID],ProductMaster!$B1779)-SUMIFS(StockOutData[Quantity],StockOutData[Product ID],ProductMaster!$B1779)</f>
        <v>0</v>
      </c>
      <c r="J1779" s="63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 t="str">
        <f>IFERROR(INDEX(StockInData[Expiry],MATCH(ProductMaster[[#This Row],[Product ID]],StockInData[Product ID],0)),"")</f>
        <v/>
      </c>
      <c r="H1780" s="47"/>
      <c r="I1780" s="61">
        <f>SUMIFS(StockInData[Quantity],StockInData[Product ID],ProductMaster!$B1780)-SUMIFS(StockOutData[Quantity],StockOutData[Product ID],ProductMaster!$B1780)</f>
        <v>0</v>
      </c>
      <c r="J1780" s="63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 t="str">
        <f>IFERROR(INDEX(StockInData[Expiry],MATCH(ProductMaster[[#This Row],[Product ID]],StockInData[Product ID],0)),"")</f>
        <v/>
      </c>
      <c r="H1781" s="47"/>
      <c r="I1781" s="61">
        <f>SUMIFS(StockInData[Quantity],StockInData[Product ID],ProductMaster!$B1781)-SUMIFS(StockOutData[Quantity],StockOutData[Product ID],ProductMaster!$B1781)</f>
        <v>0</v>
      </c>
      <c r="J1781" s="63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 t="str">
        <f>IFERROR(INDEX(StockInData[Expiry],MATCH(ProductMaster[[#This Row],[Product ID]],StockInData[Product ID],0)),"")</f>
        <v/>
      </c>
      <c r="H1782" s="47"/>
      <c r="I1782" s="61">
        <f>SUMIFS(StockInData[Quantity],StockInData[Product ID],ProductMaster!$B1782)-SUMIFS(StockOutData[Quantity],StockOutData[Product ID],ProductMaster!$B1782)</f>
        <v>0</v>
      </c>
      <c r="J1782" s="63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 t="str">
        <f>IFERROR(INDEX(StockInData[Expiry],MATCH(ProductMaster[[#This Row],[Product ID]],StockInData[Product ID],0)),"")</f>
        <v/>
      </c>
      <c r="H1783" s="47"/>
      <c r="I1783" s="61">
        <f>SUMIFS(StockInData[Quantity],StockInData[Product ID],ProductMaster!$B1783)-SUMIFS(StockOutData[Quantity],StockOutData[Product ID],ProductMaster!$B1783)</f>
        <v>0</v>
      </c>
      <c r="J1783" s="63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 t="str">
        <f>IFERROR(INDEX(StockInData[Expiry],MATCH(ProductMaster[[#This Row],[Product ID]],StockInData[Product ID],0)),"")</f>
        <v/>
      </c>
      <c r="H1784" s="47"/>
      <c r="I1784" s="61">
        <f>SUMIFS(StockInData[Quantity],StockInData[Product ID],ProductMaster!$B1784)-SUMIFS(StockOutData[Quantity],StockOutData[Product ID],ProductMaster!$B1784)</f>
        <v>0</v>
      </c>
      <c r="J1784" s="63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 t="str">
        <f>IFERROR(INDEX(StockInData[Expiry],MATCH(ProductMaster[[#This Row],[Product ID]],StockInData[Product ID],0)),"")</f>
        <v/>
      </c>
      <c r="H1785" s="47"/>
      <c r="I1785" s="61">
        <f>SUMIFS(StockInData[Quantity],StockInData[Product ID],ProductMaster!$B1785)-SUMIFS(StockOutData[Quantity],StockOutData[Product ID],ProductMaster!$B1785)</f>
        <v>0</v>
      </c>
      <c r="J1785" s="63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 t="str">
        <f>IFERROR(INDEX(StockInData[Expiry],MATCH(ProductMaster[[#This Row],[Product ID]],StockInData[Product ID],0)),"")</f>
        <v/>
      </c>
      <c r="H1786" s="47"/>
      <c r="I1786" s="61">
        <f>SUMIFS(StockInData[Quantity],StockInData[Product ID],ProductMaster!$B1786)-SUMIFS(StockOutData[Quantity],StockOutData[Product ID],ProductMaster!$B1786)</f>
        <v>0</v>
      </c>
      <c r="J1786" s="63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 t="str">
        <f>IFERROR(INDEX(StockInData[Expiry],MATCH(ProductMaster[[#This Row],[Product ID]],StockInData[Product ID],0)),"")</f>
        <v/>
      </c>
      <c r="H1787" s="47"/>
      <c r="I1787" s="61">
        <f>SUMIFS(StockInData[Quantity],StockInData[Product ID],ProductMaster!$B1787)-SUMIFS(StockOutData[Quantity],StockOutData[Product ID],ProductMaster!$B1787)</f>
        <v>0</v>
      </c>
      <c r="J1787" s="63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 t="str">
        <f>IFERROR(INDEX(StockInData[Expiry],MATCH(ProductMaster[[#This Row],[Product ID]],StockInData[Product ID],0)),"")</f>
        <v/>
      </c>
      <c r="H1788" s="47"/>
      <c r="I1788" s="61">
        <f>SUMIFS(StockInData[Quantity],StockInData[Product ID],ProductMaster!$B1788)-SUMIFS(StockOutData[Quantity],StockOutData[Product ID],ProductMaster!$B1788)</f>
        <v>0</v>
      </c>
      <c r="J1788" s="63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 t="str">
        <f>IFERROR(INDEX(StockInData[Expiry],MATCH(ProductMaster[[#This Row],[Product ID]],StockInData[Product ID],0)),"")</f>
        <v/>
      </c>
      <c r="H1789" s="47"/>
      <c r="I1789" s="61">
        <f>SUMIFS(StockInData[Quantity],StockInData[Product ID],ProductMaster!$B1789)-SUMIFS(StockOutData[Quantity],StockOutData[Product ID],ProductMaster!$B1789)</f>
        <v>0</v>
      </c>
      <c r="J1789" s="63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 t="str">
        <f>IFERROR(INDEX(StockInData[Expiry],MATCH(ProductMaster[[#This Row],[Product ID]],StockInData[Product ID],0)),"")</f>
        <v/>
      </c>
      <c r="H1791" s="47"/>
      <c r="I1791" s="61">
        <f>SUMIFS(StockInData[Quantity],StockInData[Product ID],ProductMaster!$B1791)-SUMIFS(StockOutData[Quantity],StockOutData[Product ID],ProductMaster!$B1791)</f>
        <v>0</v>
      </c>
      <c r="J1791" s="63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 t="str">
        <f>IFERROR(INDEX(StockInData[Expiry],MATCH(ProductMaster[[#This Row],[Product ID]],StockInData[Product ID],0)),"")</f>
        <v/>
      </c>
      <c r="H1795" s="47"/>
      <c r="I1795" s="61">
        <f>SUMIFS(StockInData[Quantity],StockInData[Product ID],ProductMaster!$B1795)-SUMIFS(StockOutData[Quantity],StockOutData[Product ID],ProductMaster!$B1795)</f>
        <v>0</v>
      </c>
      <c r="J1795" s="63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 t="str">
        <f>IFERROR(INDEX(StockInData[Expiry],MATCH(ProductMaster[[#This Row],[Product ID]],StockInData[Product ID],0)),"")</f>
        <v/>
      </c>
      <c r="H1796" s="47"/>
      <c r="I1796" s="61">
        <f>SUMIFS(StockInData[Quantity],StockInData[Product ID],ProductMaster!$B1796)-SUMIFS(StockOutData[Quantity],StockOutData[Product ID],ProductMaster!$B1796)</f>
        <v>0</v>
      </c>
      <c r="J1796" s="63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 t="str">
        <f>IFERROR(INDEX(StockInData[Expiry],MATCH(ProductMaster[[#This Row],[Product ID]],StockInData[Product ID],0)),"")</f>
        <v/>
      </c>
      <c r="H1797" s="47"/>
      <c r="I1797" s="61">
        <f>SUMIFS(StockInData[Quantity],StockInData[Product ID],ProductMaster!$B1797)-SUMIFS(StockOutData[Quantity],StockOutData[Product ID],ProductMaster!$B1797)</f>
        <v>0</v>
      </c>
      <c r="J1797" s="63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 t="str">
        <f>IFERROR(INDEX(StockInData[Expiry],MATCH(ProductMaster[[#This Row],[Product ID]],StockInData[Product ID],0)),"")</f>
        <v/>
      </c>
      <c r="H1798" s="47"/>
      <c r="I1798" s="61">
        <f>SUMIFS(StockInData[Quantity],StockInData[Product ID],ProductMaster!$B1798)-SUMIFS(StockOutData[Quantity],StockOutData[Product ID],ProductMaster!$B1798)</f>
        <v>0</v>
      </c>
      <c r="J1798" s="63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 t="str">
        <f>IFERROR(INDEX(StockInData[Expiry],MATCH(ProductMaster[[#This Row],[Product ID]],StockInData[Product ID],0)),"")</f>
        <v/>
      </c>
      <c r="H1800" s="47"/>
      <c r="I1800" s="61">
        <f>SUMIFS(StockInData[Quantity],StockInData[Product ID],ProductMaster!$B1800)-SUMIFS(StockOutData[Quantity],StockOutData[Product ID],ProductMaster!$B1800)</f>
        <v>0</v>
      </c>
      <c r="J1800" s="63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 t="str">
        <f>IFERROR(INDEX(StockInData[Expiry],MATCH(ProductMaster[[#This Row],[Product ID]],StockInData[Product ID],0)),"")</f>
        <v/>
      </c>
      <c r="H1802" s="47"/>
      <c r="I1802" s="61">
        <f>SUMIFS(StockInData[Quantity],StockInData[Product ID],ProductMaster!$B1802)-SUMIFS(StockOutData[Quantity],StockOutData[Product ID],ProductMaster!$B1802)</f>
        <v>0</v>
      </c>
      <c r="J1802" s="63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 t="str">
        <f>IFERROR(INDEX(StockInData[Expiry],MATCH(ProductMaster[[#This Row],[Product ID]],StockInData[Product ID],0)),"")</f>
        <v/>
      </c>
      <c r="H1803" s="47"/>
      <c r="I1803" s="61">
        <f>SUMIFS(StockInData[Quantity],StockInData[Product ID],ProductMaster!$B1803)-SUMIFS(StockOutData[Quantity],StockOutData[Product ID],ProductMaster!$B1803)</f>
        <v>0</v>
      </c>
      <c r="J1803" s="63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 t="str">
        <f>IFERROR(INDEX(StockInData[Expiry],MATCH(ProductMaster[[#This Row],[Product ID]],StockInData[Product ID],0)),"")</f>
        <v/>
      </c>
      <c r="H1804" s="47"/>
      <c r="I1804" s="61">
        <f>SUMIFS(StockInData[Quantity],StockInData[Product ID],ProductMaster!$B1804)-SUMIFS(StockOutData[Quantity],StockOutData[Product ID],ProductMaster!$B1804)</f>
        <v>0</v>
      </c>
      <c r="J1804" s="63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 t="str">
        <f>IFERROR(INDEX(StockInData[Expiry],MATCH(ProductMaster[[#This Row],[Product ID]],StockInData[Product ID],0)),"")</f>
        <v/>
      </c>
      <c r="H1805" s="47"/>
      <c r="I1805" s="61">
        <f>SUMIFS(StockInData[Quantity],StockInData[Product ID],ProductMaster!$B1805)-SUMIFS(StockOutData[Quantity],StockOutData[Product ID],ProductMaster!$B1805)</f>
        <v>0</v>
      </c>
      <c r="J1805" s="63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 t="str">
        <f>IFERROR(INDEX(StockInData[Expiry],MATCH(ProductMaster[[#This Row],[Product ID]],StockInData[Product ID],0)),"")</f>
        <v/>
      </c>
      <c r="H1806" s="47"/>
      <c r="I1806" s="61">
        <f>SUMIFS(StockInData[Quantity],StockInData[Product ID],ProductMaster!$B1806)-SUMIFS(StockOutData[Quantity],StockOutData[Product ID],ProductMaster!$B1806)</f>
        <v>0</v>
      </c>
      <c r="J1806" s="63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 t="str">
        <f>IFERROR(INDEX(StockInData[Expiry],MATCH(ProductMaster[[#This Row],[Product ID]],StockInData[Product ID],0)),"")</f>
        <v/>
      </c>
      <c r="H1807" s="47"/>
      <c r="I1807" s="61">
        <f>SUMIFS(StockInData[Quantity],StockInData[Product ID],ProductMaster!$B1807)-SUMIFS(StockOutData[Quantity],StockOutData[Product ID],ProductMaster!$B1807)</f>
        <v>0</v>
      </c>
      <c r="J1807" s="63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 t="str">
        <f>IFERROR(INDEX(StockInData[Expiry],MATCH(ProductMaster[[#This Row],[Product ID]],StockInData[Product ID],0)),"")</f>
        <v/>
      </c>
      <c r="H1809" s="47"/>
      <c r="I1809" s="61">
        <f>SUMIFS(StockInData[Quantity],StockInData[Product ID],ProductMaster!$B1809)-SUMIFS(StockOutData[Quantity],StockOutData[Product ID],ProductMaster!$B1809)</f>
        <v>0</v>
      </c>
      <c r="J1809" s="63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 t="str">
        <f>IFERROR(INDEX(StockInData[Expiry],MATCH(ProductMaster[[#This Row],[Product ID]],StockInData[Product ID],0)),"")</f>
        <v/>
      </c>
      <c r="H1811" s="47"/>
      <c r="I1811" s="61">
        <f>SUMIFS(StockInData[Quantity],StockInData[Product ID],ProductMaster!$B1811)-SUMIFS(StockOutData[Quantity],StockOutData[Product ID],ProductMaster!$B1811)</f>
        <v>0</v>
      </c>
      <c r="J1811" s="63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 t="str">
        <f>IFERROR(INDEX(StockInData[Expiry],MATCH(ProductMaster[[#This Row],[Product ID]],StockInData[Product ID],0)),"")</f>
        <v/>
      </c>
      <c r="H1814" s="47"/>
      <c r="I1814" s="61">
        <f>SUMIFS(StockInData[Quantity],StockInData[Product ID],ProductMaster!$B1814)-SUMIFS(StockOutData[Quantity],StockOutData[Product ID],ProductMaster!$B1814)</f>
        <v>0</v>
      </c>
      <c r="J1814" s="63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 t="str">
        <f>IFERROR(INDEX(StockInData[Expiry],MATCH(ProductMaster[[#This Row],[Product ID]],StockInData[Product ID],0)),"")</f>
        <v/>
      </c>
      <c r="H1815" s="47"/>
      <c r="I1815" s="61">
        <f>SUMIFS(StockInData[Quantity],StockInData[Product ID],ProductMaster!$B1815)-SUMIFS(StockOutData[Quantity],StockOutData[Product ID],ProductMaster!$B1815)</f>
        <v>0</v>
      </c>
      <c r="J1815" s="63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 t="str">
        <f>IFERROR(INDEX(StockInData[Expiry],MATCH(ProductMaster[[#This Row],[Product ID]],StockInData[Product ID],0)),"")</f>
        <v/>
      </c>
      <c r="H1816" s="47"/>
      <c r="I1816" s="61">
        <f>SUMIFS(StockInData[Quantity],StockInData[Product ID],ProductMaster!$B1816)-SUMIFS(StockOutData[Quantity],StockOutData[Product ID],ProductMaster!$B1816)</f>
        <v>0</v>
      </c>
      <c r="J1816" s="63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 t="str">
        <f>IFERROR(INDEX(StockInData[Expiry],MATCH(ProductMaster[[#This Row],[Product ID]],StockInData[Product ID],0)),"")</f>
        <v/>
      </c>
      <c r="H1817" s="47"/>
      <c r="I1817" s="61">
        <f>SUMIFS(StockInData[Quantity],StockInData[Product ID],ProductMaster!$B1817)-SUMIFS(StockOutData[Quantity],StockOutData[Product ID],ProductMaster!$B1817)</f>
        <v>0</v>
      </c>
      <c r="J1817" s="63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 t="str">
        <f>IFERROR(INDEX(StockInData[Expiry],MATCH(ProductMaster[[#This Row],[Product ID]],StockInData[Product ID],0)),"")</f>
        <v/>
      </c>
      <c r="H1819" s="47"/>
      <c r="I1819" s="61">
        <f>SUMIFS(StockInData[Quantity],StockInData[Product ID],ProductMaster!$B1819)-SUMIFS(StockOutData[Quantity],StockOutData[Product ID],ProductMaster!$B1819)</f>
        <v>0</v>
      </c>
      <c r="J1819" s="63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 t="str">
        <f>IFERROR(INDEX(StockInData[Expiry],MATCH(ProductMaster[[#This Row],[Product ID]],StockInData[Product ID],0)),"")</f>
        <v/>
      </c>
      <c r="H1821" s="47"/>
      <c r="I1821" s="61">
        <f>SUMIFS(StockInData[Quantity],StockInData[Product ID],ProductMaster!$B1821)-SUMIFS(StockOutData[Quantity],StockOutData[Product ID],ProductMaster!$B1821)</f>
        <v>0</v>
      </c>
      <c r="J1821" s="63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 t="str">
        <f>IFERROR(INDEX(StockInData[Expiry],MATCH(ProductMaster[[#This Row],[Product ID]],StockInData[Product ID],0)),"")</f>
        <v/>
      </c>
      <c r="H1822" s="47"/>
      <c r="I1822" s="61">
        <f>SUMIFS(StockInData[Quantity],StockInData[Product ID],ProductMaster!$B1822)-SUMIFS(StockOutData[Quantity],StockOutData[Product ID],ProductMaster!$B1822)</f>
        <v>0</v>
      </c>
      <c r="J1822" s="63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 t="str">
        <f>IFERROR(INDEX(StockInData[Expiry],MATCH(ProductMaster[[#This Row],[Product ID]],StockInData[Product ID],0)),"")</f>
        <v/>
      </c>
      <c r="H1824" s="47"/>
      <c r="I1824" s="61">
        <f>SUMIFS(StockInData[Quantity],StockInData[Product ID],ProductMaster!$B1824)-SUMIFS(StockOutData[Quantity],StockOutData[Product ID],ProductMaster!$B1824)</f>
        <v>0</v>
      </c>
      <c r="J1824" s="63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 t="str">
        <f>IFERROR(INDEX(StockInData[Expiry],MATCH(ProductMaster[[#This Row],[Product ID]],StockInData[Product ID],0)),"")</f>
        <v/>
      </c>
      <c r="H1825" s="47"/>
      <c r="I1825" s="61">
        <f>SUMIFS(StockInData[Quantity],StockInData[Product ID],ProductMaster!$B1825)-SUMIFS(StockOutData[Quantity],StockOutData[Product ID],ProductMaster!$B1825)</f>
        <v>0</v>
      </c>
      <c r="J1825" s="63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 t="str">
        <f>IFERROR(INDEX(StockInData[Expiry],MATCH(ProductMaster[[#This Row],[Product ID]],StockInData[Product ID],0)),"")</f>
        <v/>
      </c>
      <c r="H1826" s="47"/>
      <c r="I1826" s="61">
        <f>SUMIFS(StockInData[Quantity],StockInData[Product ID],ProductMaster!$B1826)-SUMIFS(StockOutData[Quantity],StockOutData[Product ID],ProductMaster!$B1826)</f>
        <v>0</v>
      </c>
      <c r="J1826" s="63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 t="str">
        <f>IFERROR(INDEX(StockInData[Expiry],MATCH(ProductMaster[[#This Row],[Product ID]],StockInData[Product ID],0)),"")</f>
        <v/>
      </c>
      <c r="H1828" s="47"/>
      <c r="I1828" s="61">
        <f>SUMIFS(StockInData[Quantity],StockInData[Product ID],ProductMaster!$B1828)-SUMIFS(StockOutData[Quantity],StockOutData[Product ID],ProductMaster!$B1828)</f>
        <v>0</v>
      </c>
      <c r="J1828" s="63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 t="str">
        <f>IFERROR(INDEX(StockInData[Expiry],MATCH(ProductMaster[[#This Row],[Product ID]],StockInData[Product ID],0)),"")</f>
        <v/>
      </c>
      <c r="H1829" s="47"/>
      <c r="I1829" s="61">
        <f>SUMIFS(StockInData[Quantity],StockInData[Product ID],ProductMaster!$B1829)-SUMIFS(StockOutData[Quantity],StockOutData[Product ID],ProductMaster!$B1829)</f>
        <v>0</v>
      </c>
      <c r="J1829" s="63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 t="str">
        <f>IFERROR(INDEX(StockInData[Expiry],MATCH(ProductMaster[[#This Row],[Product ID]],StockInData[Product ID],0)),"")</f>
        <v/>
      </c>
      <c r="H1831" s="47"/>
      <c r="I1831" s="61">
        <f>SUMIFS(StockInData[Quantity],StockInData[Product ID],ProductMaster!$B1831)-SUMIFS(StockOutData[Quantity],StockOutData[Product ID],ProductMaster!$B1831)</f>
        <v>0</v>
      </c>
      <c r="J1831" s="63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 t="str">
        <f>IFERROR(INDEX(StockInData[Expiry],MATCH(ProductMaster[[#This Row],[Product ID]],StockInData[Product ID],0)),"")</f>
        <v/>
      </c>
      <c r="H1832" s="47"/>
      <c r="I1832" s="61">
        <f>SUMIFS(StockInData[Quantity],StockInData[Product ID],ProductMaster!$B1832)-SUMIFS(StockOutData[Quantity],StockOutData[Product ID],ProductMaster!$B1832)</f>
        <v>0</v>
      </c>
      <c r="J1832" s="63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0</v>
      </c>
      <c r="J1833" s="63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 t="str">
        <f>IFERROR(INDEX(StockInData[Expiry],MATCH(ProductMaster[[#This Row],[Product ID]],StockInData[Product ID],0)),"")</f>
        <v/>
      </c>
      <c r="H1834" s="47"/>
      <c r="I1834" s="61">
        <f>SUMIFS(StockInData[Quantity],StockInData[Product ID],ProductMaster!$B1834)-SUMIFS(StockOutData[Quantity],StockOutData[Product ID],ProductMaster!$B1834)</f>
        <v>0</v>
      </c>
      <c r="J1834" s="63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 t="str">
        <f>IFERROR(INDEX(StockInData[Expiry],MATCH(ProductMaster[[#This Row],[Product ID]],StockInData[Product ID],0)),"")</f>
        <v/>
      </c>
      <c r="H1835" s="47"/>
      <c r="I1835" s="61">
        <f>SUMIFS(StockInData[Quantity],StockInData[Product ID],ProductMaster!$B1835)-SUMIFS(StockOutData[Quantity],StockOutData[Product ID],ProductMaster!$B1835)</f>
        <v>0</v>
      </c>
      <c r="J1835" s="63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 t="str">
        <f>IFERROR(INDEX(StockInData[Expiry],MATCH(ProductMaster[[#This Row],[Product ID]],StockInData[Product ID],0)),"")</f>
        <v/>
      </c>
      <c r="H1837" s="47"/>
      <c r="I1837" s="61">
        <f>SUMIFS(StockInData[Quantity],StockInData[Product ID],ProductMaster!$B1837)-SUMIFS(StockOutData[Quantity],StockOutData[Product ID],ProductMaster!$B1837)</f>
        <v>0</v>
      </c>
      <c r="J1837" s="63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 t="str">
        <f>IFERROR(INDEX(StockInData[Expiry],MATCH(ProductMaster[[#This Row],[Product ID]],StockInData[Product ID],0)),"")</f>
        <v/>
      </c>
      <c r="H1839" s="47"/>
      <c r="I1839" s="61">
        <f>SUMIFS(StockInData[Quantity],StockInData[Product ID],ProductMaster!$B1839)-SUMIFS(StockOutData[Quantity],StockOutData[Product ID],ProductMaster!$B1839)</f>
        <v>0</v>
      </c>
      <c r="J1839" s="63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 t="str">
        <f>IFERROR(INDEX(StockInData[Expiry],MATCH(ProductMaster[[#This Row],[Product ID]],StockInData[Product ID],0)),"")</f>
        <v/>
      </c>
      <c r="H1840" s="47"/>
      <c r="I1840" s="61">
        <f>SUMIFS(StockInData[Quantity],StockInData[Product ID],ProductMaster!$B1840)-SUMIFS(StockOutData[Quantity],StockOutData[Product ID],ProductMaster!$B1840)</f>
        <v>0</v>
      </c>
      <c r="J1840" s="63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 t="str">
        <f>IFERROR(INDEX(StockInData[Expiry],MATCH(ProductMaster[[#This Row],[Product ID]],StockInData[Product ID],0)),"")</f>
        <v/>
      </c>
      <c r="H1841" s="47"/>
      <c r="I1841" s="61">
        <f>SUMIFS(StockInData[Quantity],StockInData[Product ID],ProductMaster!$B1841)-SUMIFS(StockOutData[Quantity],StockOutData[Product ID],ProductMaster!$B1841)</f>
        <v>0</v>
      </c>
      <c r="J1841" s="63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 t="str">
        <f>IFERROR(INDEX(StockInData[Expiry],MATCH(ProductMaster[[#This Row],[Product ID]],StockInData[Product ID],0)),"")</f>
        <v/>
      </c>
      <c r="H1845" s="47"/>
      <c r="I1845" s="61">
        <f>SUMIFS(StockInData[Quantity],StockInData[Product ID],ProductMaster!$B1845)-SUMIFS(StockOutData[Quantity],StockOutData[Product ID],ProductMaster!$B1845)</f>
        <v>0</v>
      </c>
      <c r="J1845" s="63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 t="str">
        <f>IFERROR(INDEX(StockInData[Expiry],MATCH(ProductMaster[[#This Row],[Product ID]],StockInData[Product ID],0)),"")</f>
        <v/>
      </c>
      <c r="H1847" s="47"/>
      <c r="I1847" s="61">
        <f>SUMIFS(StockInData[Quantity],StockInData[Product ID],ProductMaster!$B1847)-SUMIFS(StockOutData[Quantity],StockOutData[Product ID],ProductMaster!$B1847)</f>
        <v>0</v>
      </c>
      <c r="J1847" s="63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 t="str">
        <f>IFERROR(INDEX(StockInData[Expiry],MATCH(ProductMaster[[#This Row],[Product ID]],StockInData[Product ID],0)),"")</f>
        <v/>
      </c>
      <c r="H1848" s="47"/>
      <c r="I1848" s="61">
        <f>SUMIFS(StockInData[Quantity],StockInData[Product ID],ProductMaster!$B1848)-SUMIFS(StockOutData[Quantity],StockOutData[Product ID],ProductMaster!$B1848)</f>
        <v>0</v>
      </c>
      <c r="J1848" s="63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 t="str">
        <f>IFERROR(INDEX(StockInData[Expiry],MATCH(ProductMaster[[#This Row],[Product ID]],StockInData[Product ID],0)),"")</f>
        <v/>
      </c>
      <c r="H1849" s="47"/>
      <c r="I1849" s="61">
        <f>SUMIFS(StockInData[Quantity],StockInData[Product ID],ProductMaster!$B1849)-SUMIFS(StockOutData[Quantity],StockOutData[Product ID],ProductMaster!$B1849)</f>
        <v>0</v>
      </c>
      <c r="J1849" s="63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 t="str">
        <f>IFERROR(INDEX(StockInData[Expiry],MATCH(ProductMaster[[#This Row],[Product ID]],StockInData[Product ID],0)),"")</f>
        <v/>
      </c>
      <c r="H1850" s="47"/>
      <c r="I1850" s="61">
        <f>SUMIFS(StockInData[Quantity],StockInData[Product ID],ProductMaster!$B1850)-SUMIFS(StockOutData[Quantity],StockOutData[Product ID],ProductMaster!$B1850)</f>
        <v>0</v>
      </c>
      <c r="J1850" s="63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 t="str">
        <f>IFERROR(INDEX(StockInData[Expiry],MATCH(ProductMaster[[#This Row],[Product ID]],StockInData[Product ID],0)),"")</f>
        <v/>
      </c>
      <c r="H1851" s="47"/>
      <c r="I1851" s="61">
        <f>SUMIFS(StockInData[Quantity],StockInData[Product ID],ProductMaster!$B1851)-SUMIFS(StockOutData[Quantity],StockOutData[Product ID],ProductMaster!$B1851)</f>
        <v>0</v>
      </c>
      <c r="J1851" s="63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 t="str">
        <f>IFERROR(INDEX(StockInData[Expiry],MATCH(ProductMaster[[#This Row],[Product ID]],StockInData[Product ID],0)),"")</f>
        <v/>
      </c>
      <c r="H1852" s="47"/>
      <c r="I1852" s="61">
        <f>SUMIFS(StockInData[Quantity],StockInData[Product ID],ProductMaster!$B1852)-SUMIFS(StockOutData[Quantity],StockOutData[Product ID],ProductMaster!$B1852)</f>
        <v>0</v>
      </c>
      <c r="J1852" s="63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 t="str">
        <f>IFERROR(INDEX(StockInData[Expiry],MATCH(ProductMaster[[#This Row],[Product ID]],StockInData[Product ID],0)),"")</f>
        <v/>
      </c>
      <c r="H1853" s="47"/>
      <c r="I1853" s="61">
        <f>SUMIFS(StockInData[Quantity],StockInData[Product ID],ProductMaster!$B1853)-SUMIFS(StockOutData[Quantity],StockOutData[Product ID],ProductMaster!$B1853)</f>
        <v>0</v>
      </c>
      <c r="J1853" s="63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 t="str">
        <f>IFERROR(INDEX(StockInData[Expiry],MATCH(ProductMaster[[#This Row],[Product ID]],StockInData[Product ID],0)),"")</f>
        <v/>
      </c>
      <c r="H1855" s="47"/>
      <c r="I1855" s="61">
        <f>SUMIFS(StockInData[Quantity],StockInData[Product ID],ProductMaster!$B1855)-SUMIFS(StockOutData[Quantity],StockOutData[Product ID],ProductMaster!$B1855)</f>
        <v>0</v>
      </c>
      <c r="J1855" s="63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 t="str">
        <f>IFERROR(INDEX(StockInData[Expiry],MATCH(ProductMaster[[#This Row],[Product ID]],StockInData[Product ID],0)),"")</f>
        <v/>
      </c>
      <c r="H1856" s="47"/>
      <c r="I1856" s="61">
        <f>SUMIFS(StockInData[Quantity],StockInData[Product ID],ProductMaster!$B1856)-SUMIFS(StockOutData[Quantity],StockOutData[Product ID],ProductMaster!$B1856)</f>
        <v>0</v>
      </c>
      <c r="J1856" s="63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 t="str">
        <f>IFERROR(INDEX(StockInData[Expiry],MATCH(ProductMaster[[#This Row],[Product ID]],StockInData[Product ID],0)),"")</f>
        <v/>
      </c>
      <c r="H1857" s="47"/>
      <c r="I1857" s="61">
        <f>SUMIFS(StockInData[Quantity],StockInData[Product ID],ProductMaster!$B1857)-SUMIFS(StockOutData[Quantity],StockOutData[Product ID],ProductMaster!$B1857)</f>
        <v>0</v>
      </c>
      <c r="J1857" s="63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 t="str">
        <f>IFERROR(INDEX(StockInData[Expiry],MATCH(ProductMaster[[#This Row],[Product ID]],StockInData[Product ID],0)),"")</f>
        <v/>
      </c>
      <c r="H1858" s="47"/>
      <c r="I1858" s="61">
        <f>SUMIFS(StockInData[Quantity],StockInData[Product ID],ProductMaster!$B1858)-SUMIFS(StockOutData[Quantity],StockOutData[Product ID],ProductMaster!$B1858)</f>
        <v>0</v>
      </c>
      <c r="J1858" s="63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 t="str">
        <f>IFERROR(INDEX(StockInData[Expiry],MATCH(ProductMaster[[#This Row],[Product ID]],StockInData[Product ID],0)),"")</f>
        <v/>
      </c>
      <c r="H1860" s="47"/>
      <c r="I1860" s="61">
        <f>SUMIFS(StockInData[Quantity],StockInData[Product ID],ProductMaster!$B1860)-SUMIFS(StockOutData[Quantity],StockOutData[Product ID],ProductMaster!$B1860)</f>
        <v>0</v>
      </c>
      <c r="J1860" s="63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 t="str">
        <f>IFERROR(INDEX(StockInData[Expiry],MATCH(ProductMaster[[#This Row],[Product ID]],StockInData[Product ID],0)),"")</f>
        <v/>
      </c>
      <c r="H1861" s="47"/>
      <c r="I1861" s="61">
        <f>SUMIFS(StockInData[Quantity],StockInData[Product ID],ProductMaster!$B1861)-SUMIFS(StockOutData[Quantity],StockOutData[Product ID],ProductMaster!$B1861)</f>
        <v>0</v>
      </c>
      <c r="J1861" s="63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 t="str">
        <f>IFERROR(INDEX(StockInData[Expiry],MATCH(ProductMaster[[#This Row],[Product ID]],StockInData[Product ID],0)),"")</f>
        <v/>
      </c>
      <c r="H1863" s="47"/>
      <c r="I1863" s="61">
        <f>SUMIFS(StockInData[Quantity],StockInData[Product ID],ProductMaster!$B1863)-SUMIFS(StockOutData[Quantity],StockOutData[Product ID],ProductMaster!$B1863)</f>
        <v>0</v>
      </c>
      <c r="J1863" s="63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 t="str">
        <f>IFERROR(INDEX(StockInData[Expiry],MATCH(ProductMaster[[#This Row],[Product ID]],StockInData[Product ID],0)),"")</f>
        <v/>
      </c>
      <c r="H1868" s="47"/>
      <c r="I1868" s="61">
        <f>SUMIFS(StockInData[Quantity],StockInData[Product ID],ProductMaster!$B1868)-SUMIFS(StockOutData[Quantity],StockOutData[Product ID],ProductMaster!$B1868)</f>
        <v>0</v>
      </c>
      <c r="J1868" s="63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 t="str">
        <f>IFERROR(INDEX(StockInData[Expiry],MATCH(ProductMaster[[#This Row],[Product ID]],StockInData[Product ID],0)),"")</f>
        <v/>
      </c>
      <c r="H1870" s="47"/>
      <c r="I1870" s="61">
        <f>SUMIFS(StockInData[Quantity],StockInData[Product ID],ProductMaster!$B1870)-SUMIFS(StockOutData[Quantity],StockOutData[Product ID],ProductMaster!$B1870)</f>
        <v>0</v>
      </c>
      <c r="J1870" s="63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 t="str">
        <f>IFERROR(INDEX(StockInData[Expiry],MATCH(ProductMaster[[#This Row],[Product ID]],StockInData[Product ID],0)),"")</f>
        <v/>
      </c>
      <c r="H1872" s="47"/>
      <c r="I1872" s="61">
        <f>SUMIFS(StockInData[Quantity],StockInData[Product ID],ProductMaster!$B1872)-SUMIFS(StockOutData[Quantity],StockOutData[Product ID],ProductMaster!$B1872)</f>
        <v>0</v>
      </c>
      <c r="J1872" s="63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 t="str">
        <f>IFERROR(INDEX(StockInData[Expiry],MATCH(ProductMaster[[#This Row],[Product ID]],StockInData[Product ID],0)),"")</f>
        <v/>
      </c>
      <c r="H1873" s="47"/>
      <c r="I1873" s="61">
        <f>SUMIFS(StockInData[Quantity],StockInData[Product ID],ProductMaster!$B1873)-SUMIFS(StockOutData[Quantity],StockOutData[Product ID],ProductMaster!$B1873)</f>
        <v>0</v>
      </c>
      <c r="J1873" s="63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 t="str">
        <f>IFERROR(INDEX(StockInData[Expiry],MATCH(ProductMaster[[#This Row],[Product ID]],StockInData[Product ID],0)),"")</f>
        <v/>
      </c>
      <c r="H1875" s="47"/>
      <c r="I1875" s="61">
        <f>SUMIFS(StockInData[Quantity],StockInData[Product ID],ProductMaster!$B1875)-SUMIFS(StockOutData[Quantity],StockOutData[Product ID],ProductMaster!$B1875)</f>
        <v>0</v>
      </c>
      <c r="J1875" s="63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 t="str">
        <f>IFERROR(INDEX(StockInData[Expiry],MATCH(ProductMaster[[#This Row],[Product ID]],StockInData[Product ID],0)),"")</f>
        <v/>
      </c>
      <c r="H1876" s="47"/>
      <c r="I1876" s="61">
        <f>SUMIFS(StockInData[Quantity],StockInData[Product ID],ProductMaster!$B1876)-SUMIFS(StockOutData[Quantity],StockOutData[Product ID],ProductMaster!$B1876)</f>
        <v>0</v>
      </c>
      <c r="J1876" s="63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 t="str">
        <f>IFERROR(INDEX(StockInData[Expiry],MATCH(ProductMaster[[#This Row],[Product ID]],StockInData[Product ID],0)),"")</f>
        <v/>
      </c>
      <c r="H1877" s="47"/>
      <c r="I1877" s="61">
        <f>SUMIFS(StockInData[Quantity],StockInData[Product ID],ProductMaster!$B1877)-SUMIFS(StockOutData[Quantity],StockOutData[Product ID],ProductMaster!$B1877)</f>
        <v>0</v>
      </c>
      <c r="J1877" s="63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 t="str">
        <f>IFERROR(INDEX(StockInData[Expiry],MATCH(ProductMaster[[#This Row],[Product ID]],StockInData[Product ID],0)),"")</f>
        <v/>
      </c>
      <c r="H1878" s="47"/>
      <c r="I1878" s="61">
        <f>SUMIFS(StockInData[Quantity],StockInData[Product ID],ProductMaster!$B1878)-SUMIFS(StockOutData[Quantity],StockOutData[Product ID],ProductMaster!$B1878)</f>
        <v>0</v>
      </c>
      <c r="J1878" s="63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 t="str">
        <f>IFERROR(INDEX(StockInData[Expiry],MATCH(ProductMaster[[#This Row],[Product ID]],StockInData[Product ID],0)),"")</f>
        <v/>
      </c>
      <c r="H1879" s="47"/>
      <c r="I1879" s="61">
        <f>SUMIFS(StockInData[Quantity],StockInData[Product ID],ProductMaster!$B1879)-SUMIFS(StockOutData[Quantity],StockOutData[Product ID],ProductMaster!$B1879)</f>
        <v>0</v>
      </c>
      <c r="J1879" s="63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 t="str">
        <f>IFERROR(INDEX(StockInData[Expiry],MATCH(ProductMaster[[#This Row],[Product ID]],StockInData[Product ID],0)),"")</f>
        <v/>
      </c>
      <c r="H1881" s="47"/>
      <c r="I1881" s="61">
        <f>SUMIFS(StockInData[Quantity],StockInData[Product ID],ProductMaster!$B1881)-SUMIFS(StockOutData[Quantity],StockOutData[Product ID],ProductMaster!$B1881)</f>
        <v>0</v>
      </c>
      <c r="J1881" s="63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 t="str">
        <f>IFERROR(INDEX(StockInData[Expiry],MATCH(ProductMaster[[#This Row],[Product ID]],StockInData[Product ID],0)),"")</f>
        <v/>
      </c>
      <c r="H1882" s="47"/>
      <c r="I1882" s="61">
        <f>SUMIFS(StockInData[Quantity],StockInData[Product ID],ProductMaster!$B1882)-SUMIFS(StockOutData[Quantity],StockOutData[Product ID],ProductMaster!$B1882)</f>
        <v>0</v>
      </c>
      <c r="J1882" s="63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 t="str">
        <f>IFERROR(INDEX(StockInData[Expiry],MATCH(ProductMaster[[#This Row],[Product ID]],StockInData[Product ID],0)),"")</f>
        <v/>
      </c>
      <c r="H1883" s="47"/>
      <c r="I1883" s="61">
        <f>SUMIFS(StockInData[Quantity],StockInData[Product ID],ProductMaster!$B1883)-SUMIFS(StockOutData[Quantity],StockOutData[Product ID],ProductMaster!$B1883)</f>
        <v>0</v>
      </c>
      <c r="J1883" s="63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 t="str">
        <f>IFERROR(INDEX(StockInData[Expiry],MATCH(ProductMaster[[#This Row],[Product ID]],StockInData[Product ID],0)),"")</f>
        <v/>
      </c>
      <c r="H1884" s="47"/>
      <c r="I1884" s="61">
        <f>SUMIFS(StockInData[Quantity],StockInData[Product ID],ProductMaster!$B1884)-SUMIFS(StockOutData[Quantity],StockOutData[Product ID],ProductMaster!$B1884)</f>
        <v>0</v>
      </c>
      <c r="J1884" s="63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 t="str">
        <f>IFERROR(INDEX(StockInData[Expiry],MATCH(ProductMaster[[#This Row],[Product ID]],StockInData[Product ID],0)),"")</f>
        <v/>
      </c>
      <c r="H1888" s="47"/>
      <c r="I1888" s="61">
        <f>SUMIFS(StockInData[Quantity],StockInData[Product ID],ProductMaster!$B1888)-SUMIFS(StockOutData[Quantity],StockOutData[Product ID],ProductMaster!$B1888)</f>
        <v>0</v>
      </c>
      <c r="J1888" s="63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 t="str">
        <f>IFERROR(INDEX(StockInData[Expiry],MATCH(ProductMaster[[#This Row],[Product ID]],StockInData[Product ID],0)),"")</f>
        <v/>
      </c>
      <c r="H1890" s="47"/>
      <c r="I1890" s="61">
        <f>SUMIFS(StockInData[Quantity],StockInData[Product ID],ProductMaster!$B1890)-SUMIFS(StockOutData[Quantity],StockOutData[Product ID],ProductMaster!$B1890)</f>
        <v>0</v>
      </c>
      <c r="J1890" s="63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 t="str">
        <f>IFERROR(INDEX(StockInData[Expiry],MATCH(ProductMaster[[#This Row],[Product ID]],StockInData[Product ID],0)),"")</f>
        <v/>
      </c>
      <c r="H1891" s="47"/>
      <c r="I1891" s="61">
        <f>SUMIFS(StockInData[Quantity],StockInData[Product ID],ProductMaster!$B1891)-SUMIFS(StockOutData[Quantity],StockOutData[Product ID],ProductMaster!$B1891)</f>
        <v>0</v>
      </c>
      <c r="J1891" s="63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 t="str">
        <f>IFERROR(INDEX(StockInData[Expiry],MATCH(ProductMaster[[#This Row],[Product ID]],StockInData[Product ID],0)),"")</f>
        <v/>
      </c>
      <c r="H1892" s="47"/>
      <c r="I1892" s="61">
        <f>SUMIFS(StockInData[Quantity],StockInData[Product ID],ProductMaster!$B1892)-SUMIFS(StockOutData[Quantity],StockOutData[Product ID],ProductMaster!$B1892)</f>
        <v>0</v>
      </c>
      <c r="J1892" s="63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 t="str">
        <f>IFERROR(INDEX(StockInData[Expiry],MATCH(ProductMaster[[#This Row],[Product ID]],StockInData[Product ID],0)),"")</f>
        <v/>
      </c>
      <c r="H1893" s="47"/>
      <c r="I1893" s="61">
        <f>SUMIFS(StockInData[Quantity],StockInData[Product ID],ProductMaster!$B1893)-SUMIFS(StockOutData[Quantity],StockOutData[Product ID],ProductMaster!$B1893)</f>
        <v>0</v>
      </c>
      <c r="J1893" s="63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 t="str">
        <f>IFERROR(INDEX(StockInData[Expiry],MATCH(ProductMaster[[#This Row],[Product ID]],StockInData[Product ID],0)),"")</f>
        <v/>
      </c>
      <c r="H1894" s="47"/>
      <c r="I1894" s="61">
        <f>SUMIFS(StockInData[Quantity],StockInData[Product ID],ProductMaster!$B1894)-SUMIFS(StockOutData[Quantity],StockOutData[Product ID],ProductMaster!$B1894)</f>
        <v>0</v>
      </c>
      <c r="J1894" s="63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 t="str">
        <f>IFERROR(INDEX(StockInData[Expiry],MATCH(ProductMaster[[#This Row],[Product ID]],StockInData[Product ID],0)),"")</f>
        <v/>
      </c>
      <c r="H1895" s="47"/>
      <c r="I1895" s="61">
        <f>SUMIFS(StockInData[Quantity],StockInData[Product ID],ProductMaster!$B1895)-SUMIFS(StockOutData[Quantity],StockOutData[Product ID],ProductMaster!$B1895)</f>
        <v>0</v>
      </c>
      <c r="J1895" s="63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 t="str">
        <f>IFERROR(INDEX(StockInData[Expiry],MATCH(ProductMaster[[#This Row],[Product ID]],StockInData[Product ID],0)),"")</f>
        <v/>
      </c>
      <c r="H1896" s="47"/>
      <c r="I1896" s="61">
        <f>SUMIFS(StockInData[Quantity],StockInData[Product ID],ProductMaster!$B1896)-SUMIFS(StockOutData[Quantity],StockOutData[Product ID],ProductMaster!$B1896)</f>
        <v>0</v>
      </c>
      <c r="J1896" s="63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 t="str">
        <f>IFERROR(INDEX(StockInData[Expiry],MATCH(ProductMaster[[#This Row],[Product ID]],StockInData[Product ID],0)),"")</f>
        <v/>
      </c>
      <c r="H1897" s="47"/>
      <c r="I1897" s="61">
        <f>SUMIFS(StockInData[Quantity],StockInData[Product ID],ProductMaster!$B1897)-SUMIFS(StockOutData[Quantity],StockOutData[Product ID],ProductMaster!$B1897)</f>
        <v>0</v>
      </c>
      <c r="J1897" s="63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 t="str">
        <f>IFERROR(INDEX(StockInData[Expiry],MATCH(ProductMaster[[#This Row],[Product ID]],StockInData[Product ID],0)),"")</f>
        <v/>
      </c>
      <c r="H1902" s="47"/>
      <c r="I1902" s="61">
        <f>SUMIFS(StockInData[Quantity],StockInData[Product ID],ProductMaster!$B1902)-SUMIFS(StockOutData[Quantity],StockOutData[Product ID],ProductMaster!$B1902)</f>
        <v>0</v>
      </c>
      <c r="J1902" s="63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 t="str">
        <f>IFERROR(INDEX(StockInData[Expiry],MATCH(ProductMaster[[#This Row],[Product ID]],StockInData[Product ID],0)),"")</f>
        <v/>
      </c>
      <c r="H1904" s="47"/>
      <c r="I1904" s="61">
        <f>SUMIFS(StockInData[Quantity],StockInData[Product ID],ProductMaster!$B1904)-SUMIFS(StockOutData[Quantity],StockOutData[Product ID],ProductMaster!$B1904)</f>
        <v>0</v>
      </c>
      <c r="J1904" s="63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 t="str">
        <f>IFERROR(INDEX(StockInData[Expiry],MATCH(ProductMaster[[#This Row],[Product ID]],StockInData[Product ID],0)),"")</f>
        <v/>
      </c>
      <c r="H1905" s="47"/>
      <c r="I1905" s="61">
        <f>SUMIFS(StockInData[Quantity],StockInData[Product ID],ProductMaster!$B1905)-SUMIFS(StockOutData[Quantity],StockOutData[Product ID],ProductMaster!$B1905)</f>
        <v>0</v>
      </c>
      <c r="J1905" s="63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 t="str">
        <f>IFERROR(INDEX(StockInData[Expiry],MATCH(ProductMaster[[#This Row],[Product ID]],StockInData[Product ID],0)),"")</f>
        <v/>
      </c>
      <c r="H1906" s="47"/>
      <c r="I1906" s="61">
        <f>SUMIFS(StockInData[Quantity],StockInData[Product ID],ProductMaster!$B1906)-SUMIFS(StockOutData[Quantity],StockOutData[Product ID],ProductMaster!$B1906)</f>
        <v>0</v>
      </c>
      <c r="J1906" s="63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 t="str">
        <f>IFERROR(INDEX(StockInData[Expiry],MATCH(ProductMaster[[#This Row],[Product ID]],StockInData[Product ID],0)),"")</f>
        <v/>
      </c>
      <c r="H1911" s="47"/>
      <c r="I1911" s="61">
        <f>SUMIFS(StockInData[Quantity],StockInData[Product ID],ProductMaster!$B1911)-SUMIFS(StockOutData[Quantity],StockOutData[Product ID],ProductMaster!$B1911)</f>
        <v>0</v>
      </c>
      <c r="J1911" s="63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 t="str">
        <f>IFERROR(INDEX(StockInData[Expiry],MATCH(ProductMaster[[#This Row],[Product ID]],StockInData[Product ID],0)),"")</f>
        <v/>
      </c>
      <c r="H1912" s="47"/>
      <c r="I1912" s="61">
        <f>SUMIFS(StockInData[Quantity],StockInData[Product ID],ProductMaster!$B1912)-SUMIFS(StockOutData[Quantity],StockOutData[Product ID],ProductMaster!$B1912)</f>
        <v>0</v>
      </c>
      <c r="J1912" s="63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 t="str">
        <f>IFERROR(INDEX(StockInData[Expiry],MATCH(ProductMaster[[#This Row],[Product ID]],StockInData[Product ID],0)),"")</f>
        <v/>
      </c>
      <c r="H1913" s="47"/>
      <c r="I1913" s="61">
        <f>SUMIFS(StockInData[Quantity],StockInData[Product ID],ProductMaster!$B1913)-SUMIFS(StockOutData[Quantity],StockOutData[Product ID],ProductMaster!$B1913)</f>
        <v>0</v>
      </c>
      <c r="J1913" s="63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 t="str">
        <f>IFERROR(INDEX(StockInData[Expiry],MATCH(ProductMaster[[#This Row],[Product ID]],StockInData[Product ID],0)),"")</f>
        <v/>
      </c>
      <c r="H1917" s="47"/>
      <c r="I1917" s="61">
        <f>SUMIFS(StockInData[Quantity],StockInData[Product ID],ProductMaster!$B1917)-SUMIFS(StockOutData[Quantity],StockOutData[Product ID],ProductMaster!$B1917)</f>
        <v>0</v>
      </c>
      <c r="J1917" s="63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 t="str">
        <f>IFERROR(INDEX(StockInData[Expiry],MATCH(ProductMaster[[#This Row],[Product ID]],StockInData[Product ID],0)),"")</f>
        <v/>
      </c>
      <c r="H1919" s="47"/>
      <c r="I1919" s="61">
        <f>SUMIFS(StockInData[Quantity],StockInData[Product ID],ProductMaster!$B1919)-SUMIFS(StockOutData[Quantity],StockOutData[Product ID],ProductMaster!$B1919)</f>
        <v>0</v>
      </c>
      <c r="J1919" s="63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 t="str">
        <f>IFERROR(INDEX(StockInData[Expiry],MATCH(ProductMaster[[#This Row],[Product ID]],StockInData[Product ID],0)),"")</f>
        <v/>
      </c>
      <c r="H1920" s="47"/>
      <c r="I1920" s="61">
        <f>SUMIFS(StockInData[Quantity],StockInData[Product ID],ProductMaster!$B1920)-SUMIFS(StockOutData[Quantity],StockOutData[Product ID],ProductMaster!$B1920)</f>
        <v>0</v>
      </c>
      <c r="J1920" s="63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 t="str">
        <f>IFERROR(INDEX(StockInData[Expiry],MATCH(ProductMaster[[#This Row],[Product ID]],StockInData[Product ID],0)),"")</f>
        <v/>
      </c>
      <c r="H1921" s="47"/>
      <c r="I1921" s="61">
        <f>SUMIFS(StockInData[Quantity],StockInData[Product ID],ProductMaster!$B1921)-SUMIFS(StockOutData[Quantity],StockOutData[Product ID],ProductMaster!$B1921)</f>
        <v>0</v>
      </c>
      <c r="J1921" s="63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 t="str">
        <f>IFERROR(INDEX(StockInData[Expiry],MATCH(ProductMaster[[#This Row],[Product ID]],StockInData[Product ID],0)),"")</f>
        <v/>
      </c>
      <c r="H1923" s="47"/>
      <c r="I1923" s="61">
        <f>SUMIFS(StockInData[Quantity],StockInData[Product ID],ProductMaster!$B1923)-SUMIFS(StockOutData[Quantity],StockOutData[Product ID],ProductMaster!$B1923)</f>
        <v>0</v>
      </c>
      <c r="J1923" s="63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 t="str">
        <f>IFERROR(INDEX(StockInData[Expiry],MATCH(ProductMaster[[#This Row],[Product ID]],StockInData[Product ID],0)),"")</f>
        <v/>
      </c>
      <c r="H1924" s="47"/>
      <c r="I1924" s="61">
        <f>SUMIFS(StockInData[Quantity],StockInData[Product ID],ProductMaster!$B1924)-SUMIFS(StockOutData[Quantity],StockOutData[Product ID],ProductMaster!$B1924)</f>
        <v>0</v>
      </c>
      <c r="J1924" s="63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 t="str">
        <f>IFERROR(INDEX(StockInData[Expiry],MATCH(ProductMaster[[#This Row],[Product ID]],StockInData[Product ID],0)),"")</f>
        <v/>
      </c>
      <c r="H1925" s="47"/>
      <c r="I1925" s="61">
        <f>SUMIFS(StockInData[Quantity],StockInData[Product ID],ProductMaster!$B1925)-SUMIFS(StockOutData[Quantity],StockOutData[Product ID],ProductMaster!$B1925)</f>
        <v>0</v>
      </c>
      <c r="J1925" s="63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 t="str">
        <f>IFERROR(INDEX(StockInData[Expiry],MATCH(ProductMaster[[#This Row],[Product ID]],StockInData[Product ID],0)),"")</f>
        <v/>
      </c>
      <c r="H1928" s="47"/>
      <c r="I1928" s="61">
        <f>SUMIFS(StockInData[Quantity],StockInData[Product ID],ProductMaster!$B1928)-SUMIFS(StockOutData[Quantity],StockOutData[Product ID],ProductMaster!$B1928)</f>
        <v>0</v>
      </c>
      <c r="J1928" s="63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 t="str">
        <f>IFERROR(INDEX(StockInData[Expiry],MATCH(ProductMaster[[#This Row],[Product ID]],StockInData[Product ID],0)),"")</f>
        <v/>
      </c>
      <c r="H1929" s="47"/>
      <c r="I1929" s="61">
        <f>SUMIFS(StockInData[Quantity],StockInData[Product ID],ProductMaster!$B1929)-SUMIFS(StockOutData[Quantity],StockOutData[Product ID],ProductMaster!$B1929)</f>
        <v>0</v>
      </c>
      <c r="J1929" s="63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 t="str">
        <f>IFERROR(INDEX(StockInData[Expiry],MATCH(ProductMaster[[#This Row],[Product ID]],StockInData[Product ID],0)),"")</f>
        <v/>
      </c>
      <c r="H1930" s="47"/>
      <c r="I1930" s="61">
        <f>SUMIFS(StockInData[Quantity],StockInData[Product ID],ProductMaster!$B1930)-SUMIFS(StockOutData[Quantity],StockOutData[Product ID],ProductMaster!$B1930)</f>
        <v>0</v>
      </c>
      <c r="J1930" s="63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 t="str">
        <f>IFERROR(INDEX(StockInData[Expiry],MATCH(ProductMaster[[#This Row],[Product ID]],StockInData[Product ID],0)),"")</f>
        <v/>
      </c>
      <c r="H1931" s="47"/>
      <c r="I1931" s="61">
        <f>SUMIFS(StockInData[Quantity],StockInData[Product ID],ProductMaster!$B1931)-SUMIFS(StockOutData[Quantity],StockOutData[Product ID],ProductMaster!$B1931)</f>
        <v>0</v>
      </c>
      <c r="J1931" s="63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 t="str">
        <f>IFERROR(INDEX(StockInData[Expiry],MATCH(ProductMaster[[#This Row],[Product ID]],StockInData[Product ID],0)),"")</f>
        <v/>
      </c>
      <c r="H1932" s="47"/>
      <c r="I1932" s="61">
        <f>SUMIFS(StockInData[Quantity],StockInData[Product ID],ProductMaster!$B1932)-SUMIFS(StockOutData[Quantity],StockOutData[Product ID],ProductMaster!$B1932)</f>
        <v>0</v>
      </c>
      <c r="J1932" s="63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 t="str">
        <f>IFERROR(INDEX(StockInData[Expiry],MATCH(ProductMaster[[#This Row],[Product ID]],StockInData[Product ID],0)),"")</f>
        <v/>
      </c>
      <c r="H1933" s="47"/>
      <c r="I1933" s="61">
        <f>SUMIFS(StockInData[Quantity],StockInData[Product ID],ProductMaster!$B1933)-SUMIFS(StockOutData[Quantity],StockOutData[Product ID],ProductMaster!$B1933)</f>
        <v>0</v>
      </c>
      <c r="J1933" s="63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 t="str">
        <f>IFERROR(INDEX(StockInData[Expiry],MATCH(ProductMaster[[#This Row],[Product ID]],StockInData[Product ID],0)),"")</f>
        <v/>
      </c>
      <c r="H1935" s="47"/>
      <c r="I1935" s="61">
        <f>SUMIFS(StockInData[Quantity],StockInData[Product ID],ProductMaster!$B1935)-SUMIFS(StockOutData[Quantity],StockOutData[Product ID],ProductMaster!$B1935)</f>
        <v>0</v>
      </c>
      <c r="J1935" s="63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 t="str">
        <f>IFERROR(INDEX(StockInData[Expiry],MATCH(ProductMaster[[#This Row],[Product ID]],StockInData[Product ID],0)),"")</f>
        <v/>
      </c>
      <c r="H1936" s="47"/>
      <c r="I1936" s="61">
        <f>SUMIFS(StockInData[Quantity],StockInData[Product ID],ProductMaster!$B1936)-SUMIFS(StockOutData[Quantity],StockOutData[Product ID],ProductMaster!$B1936)</f>
        <v>0</v>
      </c>
      <c r="J1936" s="63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 t="str">
        <f>IFERROR(INDEX(StockInData[Expiry],MATCH(ProductMaster[[#This Row],[Product ID]],StockInData[Product ID],0)),"")</f>
        <v/>
      </c>
      <c r="H1937" s="47"/>
      <c r="I1937" s="61">
        <f>SUMIFS(StockInData[Quantity],StockInData[Product ID],ProductMaster!$B1937)-SUMIFS(StockOutData[Quantity],StockOutData[Product ID],ProductMaster!$B1937)</f>
        <v>0</v>
      </c>
      <c r="J1937" s="63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 t="str">
        <f>IFERROR(INDEX(StockInData[Expiry],MATCH(ProductMaster[[#This Row],[Product ID]],StockInData[Product ID],0)),"")</f>
        <v/>
      </c>
      <c r="H1938" s="47"/>
      <c r="I1938" s="61">
        <f>SUMIFS(StockInData[Quantity],StockInData[Product ID],ProductMaster!$B1938)-SUMIFS(StockOutData[Quantity],StockOutData[Product ID],ProductMaster!$B1938)</f>
        <v>0</v>
      </c>
      <c r="J1938" s="63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 t="str">
        <f>IFERROR(INDEX(StockInData[Expiry],MATCH(ProductMaster[[#This Row],[Product ID]],StockInData[Product ID],0)),"")</f>
        <v/>
      </c>
      <c r="H1939" s="47"/>
      <c r="I1939" s="61">
        <f>SUMIFS(StockInData[Quantity],StockInData[Product ID],ProductMaster!$B1939)-SUMIFS(StockOutData[Quantity],StockOutData[Product ID],ProductMaster!$B1939)</f>
        <v>0</v>
      </c>
      <c r="J1939" s="63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 t="str">
        <f>IFERROR(INDEX(StockInData[Expiry],MATCH(ProductMaster[[#This Row],[Product ID]],StockInData[Product ID],0)),"")</f>
        <v/>
      </c>
      <c r="H1940" s="47"/>
      <c r="I1940" s="61">
        <f>SUMIFS(StockInData[Quantity],StockInData[Product ID],ProductMaster!$B1940)-SUMIFS(StockOutData[Quantity],StockOutData[Product ID],ProductMaster!$B1940)</f>
        <v>0</v>
      </c>
      <c r="J1940" s="63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 t="str">
        <f>IFERROR(INDEX(StockInData[Expiry],MATCH(ProductMaster[[#This Row],[Product ID]],StockInData[Product ID],0)),"")</f>
        <v/>
      </c>
      <c r="H1941" s="47"/>
      <c r="I1941" s="61">
        <f>SUMIFS(StockInData[Quantity],StockInData[Product ID],ProductMaster!$B1941)-SUMIFS(StockOutData[Quantity],StockOutData[Product ID],ProductMaster!$B1941)</f>
        <v>0</v>
      </c>
      <c r="J1941" s="63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 t="str">
        <f>IFERROR(INDEX(StockInData[Expiry],MATCH(ProductMaster[[#This Row],[Product ID]],StockInData[Product ID],0)),"")</f>
        <v/>
      </c>
      <c r="H1942" s="47"/>
      <c r="I1942" s="61">
        <f>SUMIFS(StockInData[Quantity],StockInData[Product ID],ProductMaster!$B1942)-SUMIFS(StockOutData[Quantity],StockOutData[Product ID],ProductMaster!$B1942)</f>
        <v>0</v>
      </c>
      <c r="J1942" s="63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 t="str">
        <f>IFERROR(INDEX(StockInData[Expiry],MATCH(ProductMaster[[#This Row],[Product ID]],StockInData[Product ID],0)),"")</f>
        <v/>
      </c>
      <c r="H1943" s="47"/>
      <c r="I1943" s="61">
        <f>SUMIFS(StockInData[Quantity],StockInData[Product ID],ProductMaster!$B1943)-SUMIFS(StockOutData[Quantity],StockOutData[Product ID],ProductMaster!$B1943)</f>
        <v>0</v>
      </c>
      <c r="J1943" s="63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 t="str">
        <f>IFERROR(INDEX(StockInData[Expiry],MATCH(ProductMaster[[#This Row],[Product ID]],StockInData[Product ID],0)),"")</f>
        <v/>
      </c>
      <c r="H1944" s="47"/>
      <c r="I1944" s="61">
        <f>SUMIFS(StockInData[Quantity],StockInData[Product ID],ProductMaster!$B1944)-SUMIFS(StockOutData[Quantity],StockOutData[Product ID],ProductMaster!$B1944)</f>
        <v>0</v>
      </c>
      <c r="J1944" s="63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 t="str">
        <f>IFERROR(INDEX(StockInData[Expiry],MATCH(ProductMaster[[#This Row],[Product ID]],StockInData[Product ID],0)),"")</f>
        <v/>
      </c>
      <c r="H1946" s="47"/>
      <c r="I1946" s="61">
        <f>SUMIFS(StockInData[Quantity],StockInData[Product ID],ProductMaster!$B1946)-SUMIFS(StockOutData[Quantity],StockOutData[Product ID],ProductMaster!$B1946)</f>
        <v>0</v>
      </c>
      <c r="J1946" s="63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 t="str">
        <f>IFERROR(INDEX(StockInData[Expiry],MATCH(ProductMaster[[#This Row],[Product ID]],StockInData[Product ID],0)),"")</f>
        <v/>
      </c>
      <c r="H1949" s="47"/>
      <c r="I1949" s="61">
        <f>SUMIFS(StockInData[Quantity],StockInData[Product ID],ProductMaster!$B1949)-SUMIFS(StockOutData[Quantity],StockOutData[Product ID],ProductMaster!$B1949)</f>
        <v>0</v>
      </c>
      <c r="J1949" s="63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 t="str">
        <f>IFERROR(INDEX(StockInData[Expiry],MATCH(ProductMaster[[#This Row],[Product ID]],StockInData[Product ID],0)),"")</f>
        <v/>
      </c>
      <c r="H1950" s="47"/>
      <c r="I1950" s="61">
        <f>SUMIFS(StockInData[Quantity],StockInData[Product ID],ProductMaster!$B1950)-SUMIFS(StockOutData[Quantity],StockOutData[Product ID],ProductMaster!$B1950)</f>
        <v>0</v>
      </c>
      <c r="J1950" s="63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 t="str">
        <f>IFERROR(INDEX(StockInData[Expiry],MATCH(ProductMaster[[#This Row],[Product ID]],StockInData[Product ID],0)),"")</f>
        <v/>
      </c>
      <c r="H1953" s="47"/>
      <c r="I1953" s="61">
        <f>SUMIFS(StockInData[Quantity],StockInData[Product ID],ProductMaster!$B1953)-SUMIFS(StockOutData[Quantity],StockOutData[Product ID],ProductMaster!$B1953)</f>
        <v>0</v>
      </c>
      <c r="J1953" s="63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 t="str">
        <f>IFERROR(INDEX(StockInData[Expiry],MATCH(ProductMaster[[#This Row],[Product ID]],StockInData[Product ID],0)),"")</f>
        <v/>
      </c>
      <c r="H1954" s="47"/>
      <c r="I1954" s="61">
        <f>SUMIFS(StockInData[Quantity],StockInData[Product ID],ProductMaster!$B1954)-SUMIFS(StockOutData[Quantity],StockOutData[Product ID],ProductMaster!$B1954)</f>
        <v>0</v>
      </c>
      <c r="J1954" s="63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 t="str">
        <f>IFERROR(INDEX(StockInData[Expiry],MATCH(ProductMaster[[#This Row],[Product ID]],StockInData[Product ID],0)),"")</f>
        <v/>
      </c>
      <c r="H1955" s="47"/>
      <c r="I1955" s="61">
        <f>SUMIFS(StockInData[Quantity],StockInData[Product ID],ProductMaster!$B1955)-SUMIFS(StockOutData[Quantity],StockOutData[Product ID],ProductMaster!$B1955)</f>
        <v>0</v>
      </c>
      <c r="J1955" s="63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 t="str">
        <f>IFERROR(INDEX(StockInData[Expiry],MATCH(ProductMaster[[#This Row],[Product ID]],StockInData[Product ID],0)),"")</f>
        <v/>
      </c>
      <c r="H1956" s="47"/>
      <c r="I1956" s="61">
        <f>SUMIFS(StockInData[Quantity],StockInData[Product ID],ProductMaster!$B1956)-SUMIFS(StockOutData[Quantity],StockOutData[Product ID],ProductMaster!$B1956)</f>
        <v>0</v>
      </c>
      <c r="J1956" s="63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 t="str">
        <f>IFERROR(INDEX(StockInData[Expiry],MATCH(ProductMaster[[#This Row],[Product ID]],StockInData[Product ID],0)),"")</f>
        <v/>
      </c>
      <c r="H1957" s="47"/>
      <c r="I1957" s="61">
        <f>SUMIFS(StockInData[Quantity],StockInData[Product ID],ProductMaster!$B1957)-SUMIFS(StockOutData[Quantity],StockOutData[Product ID],ProductMaster!$B1957)</f>
        <v>0</v>
      </c>
      <c r="J1957" s="63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 t="str">
        <f>IFERROR(INDEX(StockInData[Expiry],MATCH(ProductMaster[[#This Row],[Product ID]],StockInData[Product ID],0)),"")</f>
        <v/>
      </c>
      <c r="H1959" s="47"/>
      <c r="I1959" s="61">
        <f>SUMIFS(StockInData[Quantity],StockInData[Product ID],ProductMaster!$B1959)-SUMIFS(StockOutData[Quantity],StockOutData[Product ID],ProductMaster!$B1959)</f>
        <v>0</v>
      </c>
      <c r="J1959" s="63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 t="str">
        <f>IFERROR(INDEX(StockInData[Expiry],MATCH(ProductMaster[[#This Row],[Product ID]],StockInData[Product ID],0)),"")</f>
        <v/>
      </c>
      <c r="H1960" s="47"/>
      <c r="I1960" s="61">
        <f>SUMIFS(StockInData[Quantity],StockInData[Product ID],ProductMaster!$B1960)-SUMIFS(StockOutData[Quantity],StockOutData[Product ID],ProductMaster!$B1960)</f>
        <v>0</v>
      </c>
      <c r="J1960" s="63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 t="str">
        <f>IFERROR(INDEX(StockInData[Expiry],MATCH(ProductMaster[[#This Row],[Product ID]],StockInData[Product ID],0)),"")</f>
        <v/>
      </c>
      <c r="H1963" s="47"/>
      <c r="I1963" s="61">
        <f>SUMIFS(StockInData[Quantity],StockInData[Product ID],ProductMaster!$B1963)-SUMIFS(StockOutData[Quantity],StockOutData[Product ID],ProductMaster!$B1963)</f>
        <v>0</v>
      </c>
      <c r="J1963" s="63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 t="str">
        <f>IFERROR(INDEX(StockInData[Expiry],MATCH(ProductMaster[[#This Row],[Product ID]],StockInData[Product ID],0)),"")</f>
        <v/>
      </c>
      <c r="H1964" s="47"/>
      <c r="I1964" s="61">
        <f>SUMIFS(StockInData[Quantity],StockInData[Product ID],ProductMaster!$B1964)-SUMIFS(StockOutData[Quantity],StockOutData[Product ID],ProductMaster!$B1964)</f>
        <v>0</v>
      </c>
      <c r="J1964" s="63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 t="str">
        <f>IFERROR(INDEX(StockInData[Expiry],MATCH(ProductMaster[[#This Row],[Product ID]],StockInData[Product ID],0)),"")</f>
        <v/>
      </c>
      <c r="H1967" s="47"/>
      <c r="I1967" s="61">
        <f>SUMIFS(StockInData[Quantity],StockInData[Product ID],ProductMaster!$B1967)-SUMIFS(StockOutData[Quantity],StockOutData[Product ID],ProductMaster!$B1967)</f>
        <v>0</v>
      </c>
      <c r="J1967" s="63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 t="str">
        <f>IFERROR(INDEX(StockInData[Expiry],MATCH(ProductMaster[[#This Row],[Product ID]],StockInData[Product ID],0)),"")</f>
        <v/>
      </c>
      <c r="H1968" s="47"/>
      <c r="I1968" s="61">
        <f>SUMIFS(StockInData[Quantity],StockInData[Product ID],ProductMaster!$B1968)-SUMIFS(StockOutData[Quantity],StockOutData[Product ID],ProductMaster!$B1968)</f>
        <v>0</v>
      </c>
      <c r="J1968" s="63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 t="str">
        <f>IFERROR(INDEX(StockInData[Expiry],MATCH(ProductMaster[[#This Row],[Product ID]],StockInData[Product ID],0)),"")</f>
        <v/>
      </c>
      <c r="H1969" s="47"/>
      <c r="I1969" s="61">
        <f>SUMIFS(StockInData[Quantity],StockInData[Product ID],ProductMaster!$B1969)-SUMIFS(StockOutData[Quantity],StockOutData[Product ID],ProductMaster!$B1969)</f>
        <v>0</v>
      </c>
      <c r="J1969" s="63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 t="str">
        <f>IFERROR(INDEX(StockInData[Expiry],MATCH(ProductMaster[[#This Row],[Product ID]],StockInData[Product ID],0)),"")</f>
        <v/>
      </c>
      <c r="H1970" s="47"/>
      <c r="I1970" s="61">
        <f>SUMIFS(StockInData[Quantity],StockInData[Product ID],ProductMaster!$B1970)-SUMIFS(StockOutData[Quantity],StockOutData[Product ID],ProductMaster!$B1970)</f>
        <v>0</v>
      </c>
      <c r="J1970" s="63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 t="str">
        <f>IFERROR(INDEX(StockInData[Expiry],MATCH(ProductMaster[[#This Row],[Product ID]],StockInData[Product ID],0)),"")</f>
        <v/>
      </c>
      <c r="H1972" s="47"/>
      <c r="I1972" s="61">
        <f>SUMIFS(StockInData[Quantity],StockInData[Product ID],ProductMaster!$B1972)-SUMIFS(StockOutData[Quantity],StockOutData[Product ID],ProductMaster!$B1972)</f>
        <v>0</v>
      </c>
      <c r="J1972" s="63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 t="str">
        <f>IFERROR(INDEX(StockInData[Expiry],MATCH(ProductMaster[[#This Row],[Product ID]],StockInData[Product ID],0)),"")</f>
        <v/>
      </c>
      <c r="H1975" s="47"/>
      <c r="I1975" s="61">
        <f>SUMIFS(StockInData[Quantity],StockInData[Product ID],ProductMaster!$B1975)-SUMIFS(StockOutData[Quantity],StockOutData[Product ID],ProductMaster!$B1975)</f>
        <v>0</v>
      </c>
      <c r="J1975" s="63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 t="str">
        <f>IFERROR(INDEX(StockInData[Expiry],MATCH(ProductMaster[[#This Row],[Product ID]],StockInData[Product ID],0)),"")</f>
        <v/>
      </c>
      <c r="H1976" s="47"/>
      <c r="I1976" s="61">
        <f>SUMIFS(StockInData[Quantity],StockInData[Product ID],ProductMaster!$B1976)-SUMIFS(StockOutData[Quantity],StockOutData[Product ID],ProductMaster!$B1976)</f>
        <v>0</v>
      </c>
      <c r="J1976" s="63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 t="str">
        <f>IFERROR(INDEX(StockInData[Expiry],MATCH(ProductMaster[[#This Row],[Product ID]],StockInData[Product ID],0)),"")</f>
        <v/>
      </c>
      <c r="H1977" s="47"/>
      <c r="I1977" s="61">
        <f>SUMIFS(StockInData[Quantity],StockInData[Product ID],ProductMaster!$B1977)-SUMIFS(StockOutData[Quantity],StockOutData[Product ID],ProductMaster!$B1977)</f>
        <v>0</v>
      </c>
      <c r="J1977" s="63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 t="str">
        <f>IFERROR(INDEX(StockInData[Expiry],MATCH(ProductMaster[[#This Row],[Product ID]],StockInData[Product ID],0)),"")</f>
        <v/>
      </c>
      <c r="H1978" s="47"/>
      <c r="I1978" s="61">
        <f>SUMIFS(StockInData[Quantity],StockInData[Product ID],ProductMaster!$B1978)-SUMIFS(StockOutData[Quantity],StockOutData[Product ID],ProductMaster!$B1978)</f>
        <v>0</v>
      </c>
      <c r="J1978" s="63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 t="str">
        <f>IFERROR(INDEX(StockInData[Expiry],MATCH(ProductMaster[[#This Row],[Product ID]],StockInData[Product ID],0)),"")</f>
        <v/>
      </c>
      <c r="H1979" s="47"/>
      <c r="I1979" s="61">
        <f>SUMIFS(StockInData[Quantity],StockInData[Product ID],ProductMaster!$B1979)-SUMIFS(StockOutData[Quantity],StockOutData[Product ID],ProductMaster!$B1979)</f>
        <v>0</v>
      </c>
      <c r="J1979" s="63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 t="str">
        <f>IFERROR(INDEX(StockInData[Expiry],MATCH(ProductMaster[[#This Row],[Product ID]],StockInData[Product ID],0)),"")</f>
        <v/>
      </c>
      <c r="H1980" s="47"/>
      <c r="I1980" s="61">
        <f>SUMIFS(StockInData[Quantity],StockInData[Product ID],ProductMaster!$B1980)-SUMIFS(StockOutData[Quantity],StockOutData[Product ID],ProductMaster!$B1980)</f>
        <v>0</v>
      </c>
      <c r="J1980" s="63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 t="str">
        <f>IFERROR(INDEX(StockInData[Expiry],MATCH(ProductMaster[[#This Row],[Product ID]],StockInData[Product ID],0)),"")</f>
        <v/>
      </c>
      <c r="H1981" s="47"/>
      <c r="I1981" s="61">
        <f>SUMIFS(StockInData[Quantity],StockInData[Product ID],ProductMaster!$B1981)-SUMIFS(StockOutData[Quantity],StockOutData[Product ID],ProductMaster!$B1981)</f>
        <v>0</v>
      </c>
      <c r="J1981" s="63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 t="str">
        <f>IFERROR(INDEX(StockInData[Expiry],MATCH(ProductMaster[[#This Row],[Product ID]],StockInData[Product ID],0)),"")</f>
        <v/>
      </c>
      <c r="H1983" s="47"/>
      <c r="I1983" s="61">
        <f>SUMIFS(StockInData[Quantity],StockInData[Product ID],ProductMaster!$B1983)-SUMIFS(StockOutData[Quantity],StockOutData[Product ID],ProductMaster!$B1983)</f>
        <v>0</v>
      </c>
      <c r="J1983" s="63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 t="str">
        <f>IFERROR(INDEX(StockInData[Expiry],MATCH(ProductMaster[[#This Row],[Product ID]],StockInData[Product ID],0)),"")</f>
        <v/>
      </c>
      <c r="H1985" s="47"/>
      <c r="I1985" s="61">
        <f>SUMIFS(StockInData[Quantity],StockInData[Product ID],ProductMaster!$B1985)-SUMIFS(StockOutData[Quantity],StockOutData[Product ID],ProductMaster!$B1985)</f>
        <v>0</v>
      </c>
      <c r="J1985" s="63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 t="str">
        <f>IFERROR(INDEX(StockInData[Expiry],MATCH(ProductMaster[[#This Row],[Product ID]],StockInData[Product ID],0)),"")</f>
        <v/>
      </c>
      <c r="H1986" s="47"/>
      <c r="I1986" s="61">
        <f>SUMIFS(StockInData[Quantity],StockInData[Product ID],ProductMaster!$B1986)-SUMIFS(StockOutData[Quantity],StockOutData[Product ID],ProductMaster!$B1986)</f>
        <v>0</v>
      </c>
      <c r="J1986" s="63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 t="str">
        <f>IFERROR(INDEX(StockInData[Expiry],MATCH(ProductMaster[[#This Row],[Product ID]],StockInData[Product ID],0)),"")</f>
        <v/>
      </c>
      <c r="H1987" s="47"/>
      <c r="I1987" s="61">
        <f>SUMIFS(StockInData[Quantity],StockInData[Product ID],ProductMaster!$B1987)-SUMIFS(StockOutData[Quantity],StockOutData[Product ID],ProductMaster!$B1987)</f>
        <v>0</v>
      </c>
      <c r="J1987" s="63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 t="str">
        <f>IFERROR(INDEX(StockInData[Expiry],MATCH(ProductMaster[[#This Row],[Product ID]],StockInData[Product ID],0)),"")</f>
        <v/>
      </c>
      <c r="H1989" s="47"/>
      <c r="I1989" s="61">
        <f>SUMIFS(StockInData[Quantity],StockInData[Product ID],ProductMaster!$B1989)-SUMIFS(StockOutData[Quantity],StockOutData[Product ID],ProductMaster!$B1989)</f>
        <v>0</v>
      </c>
      <c r="J1989" s="63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 t="str">
        <f>IFERROR(INDEX(StockInData[Expiry],MATCH(ProductMaster[[#This Row],[Product ID]],StockInData[Product ID],0)),"")</f>
        <v/>
      </c>
      <c r="H1990" s="47"/>
      <c r="I1990" s="61">
        <f>SUMIFS(StockInData[Quantity],StockInData[Product ID],ProductMaster!$B1990)-SUMIFS(StockOutData[Quantity],StockOutData[Product ID],ProductMaster!$B1990)</f>
        <v>0</v>
      </c>
      <c r="J1990" s="63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 t="str">
        <f>IFERROR(INDEX(StockInData[Expiry],MATCH(ProductMaster[[#This Row],[Product ID]],StockInData[Product ID],0)),"")</f>
        <v/>
      </c>
      <c r="H1991" s="47"/>
      <c r="I1991" s="61">
        <f>SUMIFS(StockInData[Quantity],StockInData[Product ID],ProductMaster!$B1991)-SUMIFS(StockOutData[Quantity],StockOutData[Product ID],ProductMaster!$B1991)</f>
        <v>0</v>
      </c>
      <c r="J1991" s="63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 t="str">
        <f>IFERROR(INDEX(StockInData[Expiry],MATCH(ProductMaster[[#This Row],[Product ID]],StockInData[Product ID],0)),"")</f>
        <v/>
      </c>
      <c r="H1998" s="47"/>
      <c r="I1998" s="61">
        <f>SUMIFS(StockInData[Quantity],StockInData[Product ID],ProductMaster!$B1998)-SUMIFS(StockOutData[Quantity],StockOutData[Product ID],ProductMaster!$B1998)</f>
        <v>0</v>
      </c>
      <c r="J1998" s="63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 t="str">
        <f>IFERROR(INDEX(StockInData[Expiry],MATCH(ProductMaster[[#This Row],[Product ID]],StockInData[Product ID],0)),"")</f>
        <v/>
      </c>
      <c r="H1999" s="47"/>
      <c r="I1999" s="61">
        <f>SUMIFS(StockInData[Quantity],StockInData[Product ID],ProductMaster!$B1999)-SUMIFS(StockOutData[Quantity],StockOutData[Product ID],ProductMaster!$B1999)</f>
        <v>0</v>
      </c>
      <c r="J1999" s="63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 t="str">
        <f>IFERROR(INDEX(StockInData[Expiry],MATCH(ProductMaster[[#This Row],[Product ID]],StockInData[Product ID],0)),"")</f>
        <v/>
      </c>
      <c r="H2001" s="47"/>
      <c r="I2001" s="61">
        <f>SUMIFS(StockInData[Quantity],StockInData[Product ID],ProductMaster!$B2001)-SUMIFS(StockOutData[Quantity],StockOutData[Product ID],ProductMaster!$B2001)</f>
        <v>0</v>
      </c>
      <c r="J2001" s="63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 t="str">
        <f>IFERROR(INDEX(StockInData[Expiry],MATCH(ProductMaster[[#This Row],[Product ID]],StockInData[Product ID],0)),"")</f>
        <v/>
      </c>
      <c r="H2045" s="47"/>
      <c r="I2045" s="61">
        <f>SUMIFS(StockInData[Quantity],StockInData[Product ID],ProductMaster!$B2045)-SUMIFS(StockOutData[Quantity],StockOutData[Product ID],ProductMaster!$B2045)</f>
        <v>0</v>
      </c>
      <c r="J2045" s="63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 t="str">
        <f>IFERROR(INDEX(StockInData[Expiry],MATCH(ProductMaster[[#This Row],[Product ID]],StockInData[Product ID],0)),"")</f>
        <v/>
      </c>
      <c r="H2071" s="47"/>
      <c r="I2071" s="61">
        <f>SUMIFS(StockInData[Quantity],StockInData[Product ID],ProductMaster!$B2071)-SUMIFS(StockOutData[Quantity],StockOutData[Product ID],ProductMaster!$B2071)</f>
        <v>0</v>
      </c>
      <c r="J2071" s="63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 t="str">
        <f>IFERROR(INDEX(StockInData[Expiry],MATCH(ProductMaster[[#This Row],[Product ID]],StockInData[Product ID],0)),"")</f>
        <v/>
      </c>
      <c r="H2072" s="47"/>
      <c r="I2072" s="61">
        <f>SUMIFS(StockInData[Quantity],StockInData[Product ID],ProductMaster!$B2072)-SUMIFS(StockOutData[Quantity],StockOutData[Product ID],ProductMaster!$B2072)</f>
        <v>0</v>
      </c>
      <c r="J2072" s="63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 t="str">
        <f>IFERROR(INDEX(StockInData[Expiry],MATCH(ProductMaster[[#This Row],[Product ID]],StockInData[Product ID],0)),"")</f>
        <v/>
      </c>
      <c r="H2075" s="47"/>
      <c r="I2075" s="61">
        <f>SUMIFS(StockInData[Quantity],StockInData[Product ID],ProductMaster!$B2075)-SUMIFS(StockOutData[Quantity],StockOutData[Product ID],ProductMaster!$B2075)</f>
        <v>0</v>
      </c>
      <c r="J2075" s="63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 t="str">
        <f>IFERROR(INDEX(StockInData[Expiry],MATCH(ProductMaster[[#This Row],[Product ID]],StockInData[Product ID],0)),"")</f>
        <v/>
      </c>
      <c r="H2076" s="47"/>
      <c r="I2076" s="61">
        <f>SUMIFS(StockInData[Quantity],StockInData[Product ID],ProductMaster!$B2076)-SUMIFS(StockOutData[Quantity],StockOutData[Product ID],ProductMaster!$B2076)</f>
        <v>0</v>
      </c>
      <c r="J2076" s="63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 t="str">
        <f>IFERROR(INDEX(StockInData[Expiry],MATCH(ProductMaster[[#This Row],[Product ID]],StockInData[Product ID],0)),"")</f>
        <v/>
      </c>
      <c r="H2081" s="47"/>
      <c r="I2081" s="61">
        <f>SUMIFS(StockInData[Quantity],StockInData[Product ID],ProductMaster!$B2081)-SUMIFS(StockOutData[Quantity],StockOutData[Product ID],ProductMaster!$B2081)</f>
        <v>0</v>
      </c>
      <c r="J2081" s="63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 t="str">
        <f>IFERROR(INDEX(StockInData[Expiry],MATCH(ProductMaster[[#This Row],[Product ID]],StockInData[Product ID],0)),"")</f>
        <v/>
      </c>
      <c r="H2082" s="47"/>
      <c r="I2082" s="61">
        <f>SUMIFS(StockInData[Quantity],StockInData[Product ID],ProductMaster!$B2082)-SUMIFS(StockOutData[Quantity],StockOutData[Product ID],ProductMaster!$B2082)</f>
        <v>0</v>
      </c>
      <c r="J2082" s="63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 t="str">
        <f>IFERROR(INDEX(StockInData[Expiry],MATCH(ProductMaster[[#This Row],[Product ID]],StockInData[Product ID],0)),"")</f>
        <v/>
      </c>
      <c r="H2083" s="47"/>
      <c r="I2083" s="61">
        <f>SUMIFS(StockInData[Quantity],StockInData[Product ID],ProductMaster!$B2083)-SUMIFS(StockOutData[Quantity],StockOutData[Product ID],ProductMaster!$B2083)</f>
        <v>0</v>
      </c>
      <c r="J2083" s="63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 t="str">
        <f>IFERROR(INDEX(StockInData[Expiry],MATCH(ProductMaster[[#This Row],[Product ID]],StockInData[Product ID],0)),"")</f>
        <v/>
      </c>
      <c r="H2087" s="47"/>
      <c r="I2087" s="61">
        <f>SUMIFS(StockInData[Quantity],StockInData[Product ID],ProductMaster!$B2087)-SUMIFS(StockOutData[Quantity],StockOutData[Product ID],ProductMaster!$B2087)</f>
        <v>0</v>
      </c>
      <c r="J2087" s="63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 t="str">
        <f>IFERROR(INDEX(StockInData[Expiry],MATCH(ProductMaster[[#This Row],[Product ID]],StockInData[Product ID],0)),"")</f>
        <v/>
      </c>
      <c r="H2088" s="47"/>
      <c r="I2088" s="61">
        <f>SUMIFS(StockInData[Quantity],StockInData[Product ID],ProductMaster!$B2088)-SUMIFS(StockOutData[Quantity],StockOutData[Product ID],ProductMaster!$B2088)</f>
        <v>0</v>
      </c>
      <c r="J2088" s="63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 t="str">
        <f>IFERROR(INDEX(StockInData[Expiry],MATCH(ProductMaster[[#This Row],[Product ID]],StockInData[Product ID],0)),"")</f>
        <v/>
      </c>
      <c r="H2089" s="47"/>
      <c r="I2089" s="61">
        <f>SUMIFS(StockInData[Quantity],StockInData[Product ID],ProductMaster!$B2089)-SUMIFS(StockOutData[Quantity],StockOutData[Product ID],ProductMaster!$B2089)</f>
        <v>0</v>
      </c>
      <c r="J2089" s="63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 t="str">
        <f>IFERROR(INDEX(StockInData[Expiry],MATCH(ProductMaster[[#This Row],[Product ID]],StockInData[Product ID],0)),"")</f>
        <v/>
      </c>
      <c r="H2090" s="47"/>
      <c r="I2090" s="61">
        <f>SUMIFS(StockInData[Quantity],StockInData[Product ID],ProductMaster!$B2090)-SUMIFS(StockOutData[Quantity],StockOutData[Product ID],ProductMaster!$B2090)</f>
        <v>0</v>
      </c>
      <c r="J2090" s="63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 t="str">
        <f>IFERROR(INDEX(StockInData[Expiry],MATCH(ProductMaster[[#This Row],[Product ID]],StockInData[Product ID],0)),"")</f>
        <v/>
      </c>
      <c r="H2091" s="47"/>
      <c r="I2091" s="61">
        <f>SUMIFS(StockInData[Quantity],StockInData[Product ID],ProductMaster!$B2091)-SUMIFS(StockOutData[Quantity],StockOutData[Product ID],ProductMaster!$B2091)</f>
        <v>0</v>
      </c>
      <c r="J2091" s="63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 t="str">
        <f>IFERROR(INDEX(StockInData[Expiry],MATCH(ProductMaster[[#This Row],[Product ID]],StockInData[Product ID],0)),"")</f>
        <v/>
      </c>
      <c r="H2092" s="47"/>
      <c r="I2092" s="61">
        <f>SUMIFS(StockInData[Quantity],StockInData[Product ID],ProductMaster!$B2092)-SUMIFS(StockOutData[Quantity],StockOutData[Product ID],ProductMaster!$B2092)</f>
        <v>0</v>
      </c>
      <c r="J2092" s="63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 t="str">
        <f>IFERROR(INDEX(StockInData[Expiry],MATCH(ProductMaster[[#This Row],[Product ID]],StockInData[Product ID],0)),"")</f>
        <v/>
      </c>
      <c r="H2093" s="47"/>
      <c r="I2093" s="61">
        <f>SUMIFS(StockInData[Quantity],StockInData[Product ID],ProductMaster!$B2093)-SUMIFS(StockOutData[Quantity],StockOutData[Product ID],ProductMaster!$B2093)</f>
        <v>0</v>
      </c>
      <c r="J2093" s="63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 t="str">
        <f>IFERROR(INDEX(StockInData[Expiry],MATCH(ProductMaster[[#This Row],[Product ID]],StockInData[Product ID],0)),"")</f>
        <v/>
      </c>
      <c r="H2094" s="47"/>
      <c r="I2094" s="61">
        <f>SUMIFS(StockInData[Quantity],StockInData[Product ID],ProductMaster!$B2094)-SUMIFS(StockOutData[Quantity],StockOutData[Product ID],ProductMaster!$B2094)</f>
        <v>0</v>
      </c>
      <c r="J2094" s="63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 t="str">
        <f>IFERROR(INDEX(StockInData[Expiry],MATCH(ProductMaster[[#This Row],[Product ID]],StockInData[Product ID],0)),"")</f>
        <v/>
      </c>
      <c r="H2095" s="47"/>
      <c r="I2095" s="61">
        <f>SUMIFS(StockInData[Quantity],StockInData[Product ID],ProductMaster!$B2095)-SUMIFS(StockOutData[Quantity],StockOutData[Product ID],ProductMaster!$B2095)</f>
        <v>0</v>
      </c>
      <c r="J2095" s="63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 t="str">
        <f>IFERROR(INDEX(StockInData[Expiry],MATCH(ProductMaster[[#This Row],[Product ID]],StockInData[Product ID],0)),"")</f>
        <v/>
      </c>
      <c r="H2096" s="47"/>
      <c r="I2096" s="61">
        <f>SUMIFS(StockInData[Quantity],StockInData[Product ID],ProductMaster!$B2096)-SUMIFS(StockOutData[Quantity],StockOutData[Product ID],ProductMaster!$B2096)</f>
        <v>0</v>
      </c>
      <c r="J2096" s="63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 t="str">
        <f>IFERROR(INDEX(StockInData[Expiry],MATCH(ProductMaster[[#This Row],[Product ID]],StockInData[Product ID],0)),"")</f>
        <v/>
      </c>
      <c r="H2097" s="47"/>
      <c r="I2097" s="61">
        <f>SUMIFS(StockInData[Quantity],StockInData[Product ID],ProductMaster!$B2097)-SUMIFS(StockOutData[Quantity],StockOutData[Product ID],ProductMaster!$B2097)</f>
        <v>0</v>
      </c>
      <c r="J2097" s="63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 t="str">
        <f>IFERROR(INDEX(StockInData[Expiry],MATCH(ProductMaster[[#This Row],[Product ID]],StockInData[Product ID],0)),"")</f>
        <v/>
      </c>
      <c r="H2098" s="47"/>
      <c r="I2098" s="61">
        <f>SUMIFS(StockInData[Quantity],StockInData[Product ID],ProductMaster!$B2098)-SUMIFS(StockOutData[Quantity],StockOutData[Product ID],ProductMaster!$B2098)</f>
        <v>0</v>
      </c>
      <c r="J2098" s="63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 t="str">
        <f>IFERROR(INDEX(StockInData[Expiry],MATCH(ProductMaster[[#This Row],[Product ID]],StockInData[Product ID],0)),"")</f>
        <v/>
      </c>
      <c r="H2100" s="47"/>
      <c r="I2100" s="61">
        <f>SUMIFS(StockInData[Quantity],StockInData[Product ID],ProductMaster!$B2100)-SUMIFS(StockOutData[Quantity],StockOutData[Product ID],ProductMaster!$B2100)</f>
        <v>0</v>
      </c>
      <c r="J2100" s="63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 t="str">
        <f>IFERROR(INDEX(StockInData[Expiry],MATCH(ProductMaster[[#This Row],[Product ID]],StockInData[Product ID],0)),"")</f>
        <v/>
      </c>
      <c r="H2101" s="47"/>
      <c r="I2101" s="61">
        <f>SUMIFS(StockInData[Quantity],StockInData[Product ID],ProductMaster!$B2101)-SUMIFS(StockOutData[Quantity],StockOutData[Product ID],ProductMaster!$B2101)</f>
        <v>0</v>
      </c>
      <c r="J2101" s="63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 t="str">
        <f>IFERROR(INDEX(StockInData[Expiry],MATCH(ProductMaster[[#This Row],[Product ID]],StockInData[Product ID],0)),"")</f>
        <v/>
      </c>
      <c r="H2102" s="47"/>
      <c r="I2102" s="61">
        <f>SUMIFS(StockInData[Quantity],StockInData[Product ID],ProductMaster!$B2102)-SUMIFS(StockOutData[Quantity],StockOutData[Product ID],ProductMaster!$B2102)</f>
        <v>0</v>
      </c>
      <c r="J2102" s="63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 t="str">
        <f>IFERROR(INDEX(StockInData[Expiry],MATCH(ProductMaster[[#This Row],[Product ID]],StockInData[Product ID],0)),"")</f>
        <v/>
      </c>
      <c r="H2103" s="47"/>
      <c r="I2103" s="61">
        <f>SUMIFS(StockInData[Quantity],StockInData[Product ID],ProductMaster!$B2103)-SUMIFS(StockOutData[Quantity],StockOutData[Product ID],ProductMaster!$B2103)</f>
        <v>0</v>
      </c>
      <c r="J2103" s="63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 t="str">
        <f>IFERROR(INDEX(StockInData[Expiry],MATCH(ProductMaster[[#This Row],[Product ID]],StockInData[Product ID],0)),"")</f>
        <v/>
      </c>
      <c r="H2104" s="47"/>
      <c r="I2104" s="61">
        <f>SUMIFS(StockInData[Quantity],StockInData[Product ID],ProductMaster!$B2104)-SUMIFS(StockOutData[Quantity],StockOutData[Product ID],ProductMaster!$B2104)</f>
        <v>0</v>
      </c>
      <c r="J2104" s="63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 t="str">
        <f>IFERROR(INDEX(StockInData[Expiry],MATCH(ProductMaster[[#This Row],[Product ID]],StockInData[Product ID],0)),"")</f>
        <v/>
      </c>
      <c r="H2106" s="47"/>
      <c r="I2106" s="61">
        <f>SUMIFS(StockInData[Quantity],StockInData[Product ID],ProductMaster!$B2106)-SUMIFS(StockOutData[Quantity],StockOutData[Product ID],ProductMaster!$B2106)</f>
        <v>0</v>
      </c>
      <c r="J2106" s="63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 t="str">
        <f>IFERROR(INDEX(StockInData[Expiry],MATCH(ProductMaster[[#This Row],[Product ID]],StockInData[Product ID],0)),"")</f>
        <v/>
      </c>
      <c r="H2107" s="47"/>
      <c r="I2107" s="61">
        <f>SUMIFS(StockInData[Quantity],StockInData[Product ID],ProductMaster!$B2107)-SUMIFS(StockOutData[Quantity],StockOutData[Product ID],ProductMaster!$B2107)</f>
        <v>0</v>
      </c>
      <c r="J2107" s="63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 t="str">
        <f>IFERROR(INDEX(StockInData[Expiry],MATCH(ProductMaster[[#This Row],[Product ID]],StockInData[Product ID],0)),"")</f>
        <v/>
      </c>
      <c r="H2108" s="47"/>
      <c r="I2108" s="61">
        <f>SUMIFS(StockInData[Quantity],StockInData[Product ID],ProductMaster!$B2108)-SUMIFS(StockOutData[Quantity],StockOutData[Product ID],ProductMaster!$B2108)</f>
        <v>0</v>
      </c>
      <c r="J2108" s="63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 t="str">
        <f>IFERROR(INDEX(StockInData[Expiry],MATCH(ProductMaster[[#This Row],[Product ID]],StockInData[Product ID],0)),"")</f>
        <v/>
      </c>
      <c r="H2109" s="47"/>
      <c r="I2109" s="61">
        <f>SUMIFS(StockInData[Quantity],StockInData[Product ID],ProductMaster!$B2109)-SUMIFS(StockOutData[Quantity],StockOutData[Product ID],ProductMaster!$B2109)</f>
        <v>0</v>
      </c>
      <c r="J2109" s="63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 t="str">
        <f>IFERROR(INDEX(StockInData[Expiry],MATCH(ProductMaster[[#This Row],[Product ID]],StockInData[Product ID],0)),"")</f>
        <v/>
      </c>
      <c r="H2110" s="47"/>
      <c r="I2110" s="61">
        <f>SUMIFS(StockInData[Quantity],StockInData[Product ID],ProductMaster!$B2110)-SUMIFS(StockOutData[Quantity],StockOutData[Product ID],ProductMaster!$B2110)</f>
        <v>0</v>
      </c>
      <c r="J2110" s="63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 t="str">
        <f>IFERROR(INDEX(StockInData[Expiry],MATCH(ProductMaster[[#This Row],[Product ID]],StockInData[Product ID],0)),"")</f>
        <v/>
      </c>
      <c r="H2111" s="47"/>
      <c r="I2111" s="61">
        <f>SUMIFS(StockInData[Quantity],StockInData[Product ID],ProductMaster!$B2111)-SUMIFS(StockOutData[Quantity],StockOutData[Product ID],ProductMaster!$B2111)</f>
        <v>0</v>
      </c>
      <c r="J2111" s="63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 t="str">
        <f>IFERROR(INDEX(StockInData[Expiry],MATCH(ProductMaster[[#This Row],[Product ID]],StockInData[Product ID],0)),"")</f>
        <v/>
      </c>
      <c r="H2112" s="47"/>
      <c r="I2112" s="61">
        <f>SUMIFS(StockInData[Quantity],StockInData[Product ID],ProductMaster!$B2112)-SUMIFS(StockOutData[Quantity],StockOutData[Product ID],ProductMaster!$B2112)</f>
        <v>0</v>
      </c>
      <c r="J2112" s="63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 t="str">
        <f>IFERROR(INDEX(StockInData[Expiry],MATCH(ProductMaster[[#This Row],[Product ID]],StockInData[Product ID],0)),"")</f>
        <v/>
      </c>
      <c r="H2113" s="47"/>
      <c r="I2113" s="61">
        <f>SUMIFS(StockInData[Quantity],StockInData[Product ID],ProductMaster!$B2113)-SUMIFS(StockOutData[Quantity],StockOutData[Product ID],ProductMaster!$B2113)</f>
        <v>0</v>
      </c>
      <c r="J2113" s="63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 t="str">
        <f>IFERROR(INDEX(StockInData[Expiry],MATCH(ProductMaster[[#This Row],[Product ID]],StockInData[Product ID],0)),"")</f>
        <v/>
      </c>
      <c r="H2115" s="47"/>
      <c r="I2115" s="61">
        <f>SUMIFS(StockInData[Quantity],StockInData[Product ID],ProductMaster!$B2115)-SUMIFS(StockOutData[Quantity],StockOutData[Product ID],ProductMaster!$B2115)</f>
        <v>0</v>
      </c>
      <c r="J2115" s="63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 t="str">
        <f>IFERROR(INDEX(StockInData[Expiry],MATCH(ProductMaster[[#This Row],[Product ID]],StockInData[Product ID],0)),"")</f>
        <v/>
      </c>
      <c r="H2117" s="47"/>
      <c r="I2117" s="61">
        <f>SUMIFS(StockInData[Quantity],StockInData[Product ID],ProductMaster!$B2117)-SUMIFS(StockOutData[Quantity],StockOutData[Product ID],ProductMaster!$B2117)</f>
        <v>0</v>
      </c>
      <c r="J2117" s="63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 t="str">
        <f>IFERROR(INDEX(StockInData[Expiry],MATCH(ProductMaster[[#This Row],[Product ID]],StockInData[Product ID],0)),"")</f>
        <v/>
      </c>
      <c r="H2118" s="47"/>
      <c r="I2118" s="61">
        <f>SUMIFS(StockInData[Quantity],StockInData[Product ID],ProductMaster!$B2118)-SUMIFS(StockOutData[Quantity],StockOutData[Product ID],ProductMaster!$B2118)</f>
        <v>0</v>
      </c>
      <c r="J2118" s="63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 t="str">
        <f>IFERROR(INDEX(StockInData[Expiry],MATCH(ProductMaster[[#This Row],[Product ID]],StockInData[Product ID],0)),"")</f>
        <v/>
      </c>
      <c r="H2120" s="47"/>
      <c r="I2120" s="61">
        <f>SUMIFS(StockInData[Quantity],StockInData[Product ID],ProductMaster!$B2120)-SUMIFS(StockOutData[Quantity],StockOutData[Product ID],ProductMaster!$B2120)</f>
        <v>0</v>
      </c>
      <c r="J2120" s="63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 t="str">
        <f>IFERROR(INDEX(StockInData[Expiry],MATCH(ProductMaster[[#This Row],[Product ID]],StockInData[Product ID],0)),"")</f>
        <v/>
      </c>
      <c r="H2121" s="47"/>
      <c r="I2121" s="61">
        <f>SUMIFS(StockInData[Quantity],StockInData[Product ID],ProductMaster!$B2121)-SUMIFS(StockOutData[Quantity],StockOutData[Product ID],ProductMaster!$B2121)</f>
        <v>0</v>
      </c>
      <c r="J2121" s="63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 t="str">
        <f>IFERROR(INDEX(StockInData[Expiry],MATCH(ProductMaster[[#This Row],[Product ID]],StockInData[Product ID],0)),"")</f>
        <v/>
      </c>
      <c r="H2123" s="47"/>
      <c r="I2123" s="61">
        <f>SUMIFS(StockInData[Quantity],StockInData[Product ID],ProductMaster!$B2123)-SUMIFS(StockOutData[Quantity],StockOutData[Product ID],ProductMaster!$B2123)</f>
        <v>0</v>
      </c>
      <c r="J2123" s="63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 t="str">
        <f>IFERROR(INDEX(StockInData[Expiry],MATCH(ProductMaster[[#This Row],[Product ID]],StockInData[Product ID],0)),"")</f>
        <v/>
      </c>
      <c r="H2124" s="47"/>
      <c r="I2124" s="61">
        <f>SUMIFS(StockInData[Quantity],StockInData[Product ID],ProductMaster!$B2124)-SUMIFS(StockOutData[Quantity],StockOutData[Product ID],ProductMaster!$B2124)</f>
        <v>0</v>
      </c>
      <c r="J2124" s="63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 t="str">
        <f>IFERROR(INDEX(StockInData[Expiry],MATCH(ProductMaster[[#This Row],[Product ID]],StockInData[Product ID],0)),"")</f>
        <v/>
      </c>
      <c r="H2125" s="47"/>
      <c r="I2125" s="61">
        <f>SUMIFS(StockInData[Quantity],StockInData[Product ID],ProductMaster!$B2125)-SUMIFS(StockOutData[Quantity],StockOutData[Product ID],ProductMaster!$B2125)</f>
        <v>0</v>
      </c>
      <c r="J2125" s="63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 t="str">
        <f>IFERROR(INDEX(StockInData[Expiry],MATCH(ProductMaster[[#This Row],[Product ID]],StockInData[Product ID],0)),"")</f>
        <v/>
      </c>
      <c r="H2126" s="47"/>
      <c r="I2126" s="61">
        <f>SUMIFS(StockInData[Quantity],StockInData[Product ID],ProductMaster!$B2126)-SUMIFS(StockOutData[Quantity],StockOutData[Product ID],ProductMaster!$B2126)</f>
        <v>0</v>
      </c>
      <c r="J2126" s="63">
        <f>SUMIFS(StockInData[Value],StockInData[Product ID],ProductMaster!$B2126)-SUMIFS(StockOutData[Value],StockOutData[Product ID],ProductMaster!$B2126)</f>
        <v>0</v>
      </c>
    </row>
    <row r="2127" spans="1:10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 t="str">
        <f>IFERROR(INDEX(StockInData[Expiry],MATCH(ProductMaster[[#This Row],[Product ID]],StockInData[Product ID],0)),"")</f>
        <v/>
      </c>
      <c r="H2128" s="47"/>
      <c r="I2128" s="61">
        <f>SUMIFS(StockInData[Quantity],StockInData[Product ID],ProductMaster!$B2128)-SUMIFS(StockOutData[Quantity],StockOutData[Product ID],ProductMaster!$B2128)</f>
        <v>0</v>
      </c>
      <c r="J2128" s="63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 t="str">
        <f>IFERROR(INDEX(StockInData[Expiry],MATCH(ProductMaster[[#This Row],[Product ID]],StockInData[Product ID],0)),"")</f>
        <v/>
      </c>
      <c r="H2129" s="47"/>
      <c r="I2129" s="61">
        <f>SUMIFS(StockInData[Quantity],StockInData[Product ID],ProductMaster!$B2129)-SUMIFS(StockOutData[Quantity],StockOutData[Product ID],ProductMaster!$B2129)</f>
        <v>0</v>
      </c>
      <c r="J2129" s="63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 t="str">
        <f>IFERROR(INDEX(StockInData[Expiry],MATCH(ProductMaster[[#This Row],[Product ID]],StockInData[Product ID],0)),"")</f>
        <v/>
      </c>
      <c r="H2130" s="47"/>
      <c r="I2130" s="61">
        <f>SUMIFS(StockInData[Quantity],StockInData[Product ID],ProductMaster!$B2130)-SUMIFS(StockOutData[Quantity],StockOutData[Product ID],ProductMaster!$B2130)</f>
        <v>0</v>
      </c>
      <c r="J2130" s="63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 t="str">
        <f>IFERROR(INDEX(StockInData[Expiry],MATCH(ProductMaster[[#This Row],[Product ID]],StockInData[Product ID],0)),"")</f>
        <v/>
      </c>
      <c r="H2132" s="47"/>
      <c r="I2132" s="61">
        <f>SUMIFS(StockInData[Quantity],StockInData[Product ID],ProductMaster!$B2132)-SUMIFS(StockOutData[Quantity],StockOutData[Product ID],ProductMaster!$B2132)</f>
        <v>0</v>
      </c>
      <c r="J2132" s="63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 t="str">
        <f>IFERROR(INDEX(StockInData[Expiry],MATCH(ProductMaster[[#This Row],[Product ID]],StockInData[Product ID],0)),"")</f>
        <v/>
      </c>
      <c r="H2133" s="47"/>
      <c r="I2133" s="61">
        <f>SUMIFS(StockInData[Quantity],StockInData[Product ID],ProductMaster!$B2133)-SUMIFS(StockOutData[Quantity],StockOutData[Product ID],ProductMaster!$B2133)</f>
        <v>0</v>
      </c>
      <c r="J2133" s="63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 t="str">
        <f>IFERROR(INDEX(StockInData[Expiry],MATCH(ProductMaster[[#This Row],[Product ID]],StockInData[Product ID],0)),"")</f>
        <v/>
      </c>
      <c r="H2134" s="47"/>
      <c r="I2134" s="61">
        <f>SUMIFS(StockInData[Quantity],StockInData[Product ID],ProductMaster!$B2134)-SUMIFS(StockOutData[Quantity],StockOutData[Product ID],ProductMaster!$B2134)</f>
        <v>0</v>
      </c>
      <c r="J2134" s="63">
        <f>SUMIFS(StockInData[Value],StockInData[Product ID],ProductMaster!$B2134)-SUMIFS(StockOutData[Value],StockOutData[Product ID],ProductMaster!$B2134)</f>
        <v>0</v>
      </c>
    </row>
    <row r="2135" spans="1:10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 t="str">
        <f>IFERROR(INDEX(StockInData[Expiry],MATCH(ProductMaster[[#This Row],[Product ID]],StockInData[Product ID],0)),"")</f>
        <v/>
      </c>
      <c r="H2136" s="47"/>
      <c r="I2136" s="61">
        <f>SUMIFS(StockInData[Quantity],StockInData[Product ID],ProductMaster!$B2136)-SUMIFS(StockOutData[Quantity],StockOutData[Product ID],ProductMaster!$B2136)</f>
        <v>0</v>
      </c>
      <c r="J2136" s="63">
        <f>SUMIFS(StockInData[Value],StockInData[Product ID],ProductMaster!$B2136)-SUMIFS(StockOutData[Value],StockOutData[Product ID],ProductMaster!$B2136)</f>
        <v>0</v>
      </c>
    </row>
    <row r="2137" spans="1:10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 t="str">
        <f>IFERROR(INDEX(StockInData[Expiry],MATCH(ProductMaster[[#This Row],[Product ID]],StockInData[Product ID],0)),"")</f>
        <v/>
      </c>
      <c r="H2139" s="47"/>
      <c r="I2139" s="61">
        <f>SUMIFS(StockInData[Quantity],StockInData[Product ID],ProductMaster!$B2139)-SUMIFS(StockOutData[Quantity],StockOutData[Product ID],ProductMaster!$B2139)</f>
        <v>0</v>
      </c>
      <c r="J2139" s="63">
        <f>SUMIFS(StockInData[Value],StockInData[Product ID],ProductMaster!$B2139)-SUMIFS(StockOutData[Value],StockOutData[Product ID],ProductMaster!$B2139)</f>
        <v>0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 t="str">
        <f>IFERROR(INDEX(StockInData[Expiry],MATCH(ProductMaster[[#This Row],[Product ID]],StockInData[Product ID],0)),"")</f>
        <v/>
      </c>
      <c r="H2140" s="47"/>
      <c r="I2140" s="61">
        <f>SUMIFS(StockInData[Quantity],StockInData[Product ID],ProductMaster!$B2140)-SUMIFS(StockOutData[Quantity],StockOutData[Product ID],ProductMaster!$B2140)</f>
        <v>0</v>
      </c>
      <c r="J2140" s="63">
        <f>SUMIFS(StockInData[Value],StockInData[Product ID],ProductMaster!$B2140)-SUMIFS(StockOutData[Value],StockOutData[Product ID],ProductMaster!$B2140)</f>
        <v>0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 t="str">
        <f>IFERROR(INDEX(StockInData[Expiry],MATCH(ProductMaster[[#This Row],[Product ID]],StockInData[Product ID],0)),"")</f>
        <v/>
      </c>
      <c r="H2141" s="47"/>
      <c r="I2141" s="61">
        <f>SUMIFS(StockInData[Quantity],StockInData[Product ID],ProductMaster!$B2141)-SUMIFS(StockOutData[Quantity],StockOutData[Product ID],ProductMaster!$B2141)</f>
        <v>0</v>
      </c>
      <c r="J2141" s="63">
        <f>SUMIFS(StockInData[Value],StockInData[Product ID],ProductMaster!$B2141)-SUMIFS(StockOutData[Value],StockOutData[Product ID],ProductMaster!$B2141)</f>
        <v>0</v>
      </c>
    </row>
    <row r="2142" spans="1:10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 t="str">
        <f>IFERROR(INDEX(StockInData[Expiry],MATCH(ProductMaster[[#This Row],[Product ID]],StockInData[Product ID],0)),"")</f>
        <v/>
      </c>
      <c r="H2143" s="47"/>
      <c r="I2143" s="61">
        <f>SUMIFS(StockInData[Quantity],StockInData[Product ID],ProductMaster!$B2143)-SUMIFS(StockOutData[Quantity],StockOutData[Product ID],ProductMaster!$B2143)</f>
        <v>0</v>
      </c>
      <c r="J2143" s="63">
        <f>SUMIFS(StockInData[Value],StockInData[Product ID],ProductMaster!$B2143)-SUMIFS(StockOutData[Value],StockOutData[Product ID],ProductMaster!$B2143)</f>
        <v>0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 t="str">
        <f>IFERROR(INDEX(StockInData[Expiry],MATCH(ProductMaster[[#This Row],[Product ID]],StockInData[Product ID],0)),"")</f>
        <v/>
      </c>
      <c r="H2144" s="47"/>
      <c r="I2144" s="61">
        <f>SUMIFS(StockInData[Quantity],StockInData[Product ID],ProductMaster!$B2144)-SUMIFS(StockOutData[Quantity],StockOutData[Product ID],ProductMaster!$B2144)</f>
        <v>0</v>
      </c>
      <c r="J2144" s="63">
        <f>SUMIFS(StockInData[Value],StockInData[Product ID],ProductMaster!$B2144)-SUMIFS(StockOutData[Value],StockOutData[Product ID],ProductMaster!$B2144)</f>
        <v>0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 t="str">
        <f>IFERROR(INDEX(StockInData[Expiry],MATCH(ProductMaster[[#This Row],[Product ID]],StockInData[Product ID],0)),"")</f>
        <v/>
      </c>
      <c r="H2145" s="47"/>
      <c r="I2145" s="61">
        <f>SUMIFS(StockInData[Quantity],StockInData[Product ID],ProductMaster!$B2145)-SUMIFS(StockOutData[Quantity],StockOutData[Product ID],ProductMaster!$B2145)</f>
        <v>0</v>
      </c>
      <c r="J2145" s="63">
        <f>SUMIFS(StockInData[Value],StockInData[Product ID],ProductMaster!$B2145)-SUMIFS(StockOutData[Value],StockOutData[Product ID],ProductMaster!$B2145)</f>
        <v>0</v>
      </c>
    </row>
    <row r="2146" spans="1:10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 t="str">
        <f>IFERROR(INDEX(StockInData[Expiry],MATCH(ProductMaster[[#This Row],[Product ID]],StockInData[Product ID],0)),"")</f>
        <v/>
      </c>
      <c r="H2147" s="47"/>
      <c r="I2147" s="61">
        <f>SUMIFS(StockInData[Quantity],StockInData[Product ID],ProductMaster!$B2147)-SUMIFS(StockOutData[Quantity],StockOutData[Product ID],ProductMaster!$B2147)</f>
        <v>0</v>
      </c>
      <c r="J2147" s="63">
        <f>SUMIFS(StockInData[Value],StockInData[Product ID],ProductMaster!$B2147)-SUMIFS(StockOutData[Value],StockOutData[Product ID],ProductMaster!$B2147)</f>
        <v>0</v>
      </c>
    </row>
    <row r="2148" spans="1:10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 t="str">
        <f>IFERROR(INDEX(StockInData[Expiry],MATCH(ProductMaster[[#This Row],[Product ID]],StockInData[Product ID],0)),"")</f>
        <v/>
      </c>
      <c r="H2149" s="47"/>
      <c r="I2149" s="61">
        <f>SUMIFS(StockInData[Quantity],StockInData[Product ID],ProductMaster!$B2149)-SUMIFS(StockOutData[Quantity],StockOutData[Product ID],ProductMaster!$B2149)</f>
        <v>0</v>
      </c>
      <c r="J2149" s="63">
        <f>SUMIFS(StockInData[Value],StockInData[Product ID],ProductMaster!$B2149)-SUMIFS(StockOutData[Value],StockOutData[Product ID],ProductMaster!$B2149)</f>
        <v>0</v>
      </c>
    </row>
    <row r="2150" spans="1:10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 t="str">
        <f>IFERROR(INDEX(StockInData[Expiry],MATCH(ProductMaster[[#This Row],[Product ID]],StockInData[Product ID],0)),"")</f>
        <v/>
      </c>
      <c r="H2151" s="47"/>
      <c r="I2151" s="61">
        <f>SUMIFS(StockInData[Quantity],StockInData[Product ID],ProductMaster!$B2151)-SUMIFS(StockOutData[Quantity],StockOutData[Product ID],ProductMaster!$B2151)</f>
        <v>0</v>
      </c>
      <c r="J2151" s="63">
        <f>SUMIFS(StockInData[Value],StockInData[Product ID],ProductMaster!$B2151)-SUMIFS(StockOutData[Value],StockOutData[Product ID],ProductMaster!$B2151)</f>
        <v>0</v>
      </c>
    </row>
    <row r="2152" spans="1:10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 t="str">
        <f>IFERROR(INDEX(StockInData[Expiry],MATCH(ProductMaster[[#This Row],[Product ID]],StockInData[Product ID],0)),"")</f>
        <v/>
      </c>
      <c r="H2153" s="47"/>
      <c r="I2153" s="61">
        <f>SUMIFS(StockInData[Quantity],StockInData[Product ID],ProductMaster!$B2153)-SUMIFS(StockOutData[Quantity],StockOutData[Product ID],ProductMaster!$B2153)</f>
        <v>0</v>
      </c>
      <c r="J2153" s="63">
        <f>SUMIFS(StockInData[Value],StockInData[Product ID],ProductMaster!$B2153)-SUMIFS(StockOutData[Value],StockOutData[Product ID],ProductMaster!$B2153)</f>
        <v>0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 t="str">
        <f>IFERROR(INDEX(StockInData[Expiry],MATCH(ProductMaster[[#This Row],[Product ID]],StockInData[Product ID],0)),"")</f>
        <v/>
      </c>
      <c r="H2154" s="47"/>
      <c r="I2154" s="61">
        <f>SUMIFS(StockInData[Quantity],StockInData[Product ID],ProductMaster!$B2154)-SUMIFS(StockOutData[Quantity],StockOutData[Product ID],ProductMaster!$B2154)</f>
        <v>0</v>
      </c>
      <c r="J2154" s="63">
        <f>SUMIFS(StockInData[Value],StockInData[Product ID],ProductMaster!$B2154)-SUMIFS(StockOutData[Value],StockOutData[Product ID],ProductMaster!$B2154)</f>
        <v>0</v>
      </c>
    </row>
    <row r="2155" spans="1:10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 t="str">
        <f>IFERROR(INDEX(StockInData[Expiry],MATCH(ProductMaster[[#This Row],[Product ID]],StockInData[Product ID],0)),"")</f>
        <v/>
      </c>
      <c r="H2156" s="47"/>
      <c r="I2156" s="61">
        <f>SUMIFS(StockInData[Quantity],StockInData[Product ID],ProductMaster!$B2156)-SUMIFS(StockOutData[Quantity],StockOutData[Product ID],ProductMaster!$B2156)</f>
        <v>0</v>
      </c>
      <c r="J2156" s="63">
        <f>SUMIFS(StockInData[Value],StockInData[Product ID],ProductMaster!$B2156)-SUMIFS(StockOutData[Value],StockOutData[Product ID],ProductMaster!$B2156)</f>
        <v>0</v>
      </c>
    </row>
    <row r="2157" spans="1:10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 t="str">
        <f>IFERROR(INDEX(StockInData[Expiry],MATCH(ProductMaster[[#This Row],[Product ID]],StockInData[Product ID],0)),"")</f>
        <v/>
      </c>
      <c r="H2158" s="47"/>
      <c r="I2158" s="61">
        <f>SUMIFS(StockInData[Quantity],StockInData[Product ID],ProductMaster!$B2158)-SUMIFS(StockOutData[Quantity],StockOutData[Product ID],ProductMaster!$B2158)</f>
        <v>0</v>
      </c>
      <c r="J2158" s="63">
        <f>SUMIFS(StockInData[Value],StockInData[Product ID],ProductMaster!$B2158)-SUMIFS(StockOutData[Value],StockOutData[Product ID],ProductMaster!$B2158)</f>
        <v>0</v>
      </c>
    </row>
    <row r="2159" spans="1:10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 t="str">
        <f>IFERROR(INDEX(StockInData[Expiry],MATCH(ProductMaster[[#This Row],[Product ID]],StockInData[Product ID],0)),"")</f>
        <v/>
      </c>
      <c r="H2163" s="47"/>
      <c r="I2163" s="61">
        <f>SUMIFS(StockInData[Quantity],StockInData[Product ID],ProductMaster!$B2163)-SUMIFS(StockOutData[Quantity],StockOutData[Product ID],ProductMaster!$B2163)</f>
        <v>0</v>
      </c>
      <c r="J2163" s="63">
        <f>SUMIFS(StockInData[Value],StockInData[Product ID],ProductMaster!$B2163)-SUMIFS(StockOutData[Value],StockOutData[Product ID],ProductMaster!$B2163)</f>
        <v>0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 t="str">
        <f>IFERROR(INDEX(StockInData[Expiry],MATCH(ProductMaster[[#This Row],[Product ID]],StockInData[Product ID],0)),"")</f>
        <v/>
      </c>
      <c r="H2164" s="47"/>
      <c r="I2164" s="61">
        <f>SUMIFS(StockInData[Quantity],StockInData[Product ID],ProductMaster!$B2164)-SUMIFS(StockOutData[Quantity],StockOutData[Product ID],ProductMaster!$B2164)</f>
        <v>0</v>
      </c>
      <c r="J2164" s="63">
        <f>SUMIFS(StockInData[Value],StockInData[Product ID],ProductMaster!$B2164)-SUMIFS(StockOutData[Value],StockOutData[Product ID],ProductMaster!$B2164)</f>
        <v>0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 t="str">
        <f>IFERROR(INDEX(StockInData[Expiry],MATCH(ProductMaster[[#This Row],[Product ID]],StockInData[Product ID],0)),"")</f>
        <v/>
      </c>
      <c r="H2165" s="47"/>
      <c r="I2165" s="61">
        <f>SUMIFS(StockInData[Quantity],StockInData[Product ID],ProductMaster!$B2165)-SUMIFS(StockOutData[Quantity],StockOutData[Product ID],ProductMaster!$B2165)</f>
        <v>0</v>
      </c>
      <c r="J2165" s="63">
        <f>SUMIFS(StockInData[Value],StockInData[Product ID],ProductMaster!$B2165)-SUMIFS(StockOutData[Value],StockOutData[Product ID],ProductMaster!$B2165)</f>
        <v>0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 t="str">
        <f>IFERROR(INDEX(StockInData[Expiry],MATCH(ProductMaster[[#This Row],[Product ID]],StockInData[Product ID],0)),"")</f>
        <v/>
      </c>
      <c r="H2166" s="47"/>
      <c r="I2166" s="61">
        <f>SUMIFS(StockInData[Quantity],StockInData[Product ID],ProductMaster!$B2166)-SUMIFS(StockOutData[Quantity],StockOutData[Product ID],ProductMaster!$B2166)</f>
        <v>0</v>
      </c>
      <c r="J2166" s="63">
        <f>SUMIFS(StockInData[Value],StockInData[Product ID],ProductMaster!$B2166)-SUMIFS(StockOutData[Value],StockOutData[Product ID],ProductMaster!$B2166)</f>
        <v>0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 t="str">
        <f>IFERROR(INDEX(StockInData[Expiry],MATCH(ProductMaster[[#This Row],[Product ID]],StockInData[Product ID],0)),"")</f>
        <v/>
      </c>
      <c r="H2167" s="47"/>
      <c r="I2167" s="61">
        <f>SUMIFS(StockInData[Quantity],StockInData[Product ID],ProductMaster!$B2167)-SUMIFS(StockOutData[Quantity],StockOutData[Product ID],ProductMaster!$B2167)</f>
        <v>0</v>
      </c>
      <c r="J2167" s="63">
        <f>SUMIFS(StockInData[Value],StockInData[Product ID],ProductMaster!$B2167)-SUMIFS(StockOutData[Value],StockOutData[Product ID],ProductMaster!$B2167)</f>
        <v>0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 t="str">
        <f>IFERROR(INDEX(StockInData[Expiry],MATCH(ProductMaster[[#This Row],[Product ID]],StockInData[Product ID],0)),"")</f>
        <v/>
      </c>
      <c r="H2168" s="47"/>
      <c r="I2168" s="61">
        <f>SUMIFS(StockInData[Quantity],StockInData[Product ID],ProductMaster!$B2168)-SUMIFS(StockOutData[Quantity],StockOutData[Product ID],ProductMaster!$B2168)</f>
        <v>0</v>
      </c>
      <c r="J2168" s="63">
        <f>SUMIFS(StockInData[Value],StockInData[Product ID],ProductMaster!$B2168)-SUMIFS(StockOutData[Value],StockOutData[Product ID],ProductMaster!$B2168)</f>
        <v>0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 t="str">
        <f>IFERROR(INDEX(StockInData[Expiry],MATCH(ProductMaster[[#This Row],[Product ID]],StockInData[Product ID],0)),"")</f>
        <v/>
      </c>
      <c r="H2169" s="47"/>
      <c r="I2169" s="61">
        <f>SUMIFS(StockInData[Quantity],StockInData[Product ID],ProductMaster!$B2169)-SUMIFS(StockOutData[Quantity],StockOutData[Product ID],ProductMaster!$B2169)</f>
        <v>0</v>
      </c>
      <c r="J2169" s="63">
        <f>SUMIFS(StockInData[Value],StockInData[Product ID],ProductMaster!$B2169)-SUMIFS(StockOutData[Value],StockOutData[Product ID],ProductMaster!$B2169)</f>
        <v>0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 t="str">
        <f>IFERROR(INDEX(StockInData[Expiry],MATCH(ProductMaster[[#This Row],[Product ID]],StockInData[Product ID],0)),"")</f>
        <v/>
      </c>
      <c r="H2170" s="47"/>
      <c r="I2170" s="61">
        <f>SUMIFS(StockInData[Quantity],StockInData[Product ID],ProductMaster!$B2170)-SUMIFS(StockOutData[Quantity],StockOutData[Product ID],ProductMaster!$B2170)</f>
        <v>0</v>
      </c>
      <c r="J2170" s="63">
        <f>SUMIFS(StockInData[Value],StockInData[Product ID],ProductMaster!$B2170)-SUMIFS(StockOutData[Value],StockOutData[Product ID],ProductMaster!$B2170)</f>
        <v>0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 t="str">
        <f>IFERROR(INDEX(StockInData[Expiry],MATCH(ProductMaster[[#This Row],[Product ID]],StockInData[Product ID],0)),"")</f>
        <v/>
      </c>
      <c r="H2171" s="47"/>
      <c r="I2171" s="61">
        <f>SUMIFS(StockInData[Quantity],StockInData[Product ID],ProductMaster!$B2171)-SUMIFS(StockOutData[Quantity],StockOutData[Product ID],ProductMaster!$B2171)</f>
        <v>0</v>
      </c>
      <c r="J2171" s="63">
        <f>SUMIFS(StockInData[Value],StockInData[Product ID],ProductMaster!$B2171)-SUMIFS(StockOutData[Value],StockOutData[Product ID],ProductMaster!$B2171)</f>
        <v>0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 t="str">
        <f>IFERROR(INDEX(StockInData[Expiry],MATCH(ProductMaster[[#This Row],[Product ID]],StockInData[Product ID],0)),"")</f>
        <v/>
      </c>
      <c r="H2172" s="47"/>
      <c r="I2172" s="61">
        <f>SUMIFS(StockInData[Quantity],StockInData[Product ID],ProductMaster!$B2172)-SUMIFS(StockOutData[Quantity],StockOutData[Product ID],ProductMaster!$B2172)</f>
        <v>0</v>
      </c>
      <c r="J2172" s="63">
        <f>SUMIFS(StockInData[Value],StockInData[Product ID],ProductMaster!$B2172)-SUMIFS(StockOutData[Value],StockOutData[Product ID],ProductMaster!$B2172)</f>
        <v>0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 t="str">
        <f>IFERROR(INDEX(StockInData[Expiry],MATCH(ProductMaster[[#This Row],[Product ID]],StockInData[Product ID],0)),"")</f>
        <v/>
      </c>
      <c r="H2173" s="47"/>
      <c r="I2173" s="61">
        <f>SUMIFS(StockInData[Quantity],StockInData[Product ID],ProductMaster!$B2173)-SUMIFS(StockOutData[Quantity],StockOutData[Product ID],ProductMaster!$B2173)</f>
        <v>0</v>
      </c>
      <c r="J2173" s="63">
        <f>SUMIFS(StockInData[Value],StockInData[Product ID],ProductMaster!$B2173)-SUMIFS(StockOutData[Value],StockOutData[Product ID],ProductMaster!$B2173)</f>
        <v>0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 t="str">
        <f>IFERROR(INDEX(StockInData[Expiry],MATCH(ProductMaster[[#This Row],[Product ID]],StockInData[Product ID],0)),"")</f>
        <v/>
      </c>
      <c r="H2174" s="47"/>
      <c r="I2174" s="61">
        <f>SUMIFS(StockInData[Quantity],StockInData[Product ID],ProductMaster!$B2174)-SUMIFS(StockOutData[Quantity],StockOutData[Product ID],ProductMaster!$B2174)</f>
        <v>0</v>
      </c>
      <c r="J2174" s="63">
        <f>SUMIFS(StockInData[Value],StockInData[Product ID],ProductMaster!$B2174)-SUMIFS(StockOutData[Value],StockOutData[Product ID],ProductMaster!$B2174)</f>
        <v>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 t="str">
        <f>IFERROR(INDEX(StockInData[Expiry],MATCH(ProductMaster[[#This Row],[Product ID]],StockInData[Product ID],0)),"")</f>
        <v/>
      </c>
      <c r="H2175" s="47"/>
      <c r="I2175" s="61">
        <f>SUMIFS(StockInData[Quantity],StockInData[Product ID],ProductMaster!$B2175)-SUMIFS(StockOutData[Quantity],StockOutData[Product ID],ProductMaster!$B2175)</f>
        <v>0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 t="str">
        <f>IFERROR(INDEX(StockInData[Expiry],MATCH(ProductMaster[[#This Row],[Product ID]],StockInData[Product ID],0)),"")</f>
        <v/>
      </c>
      <c r="H2176" s="47"/>
      <c r="I2176" s="61">
        <f>SUMIFS(StockInData[Quantity],StockInData[Product ID],ProductMaster!$B2176)-SUMIFS(StockOutData[Quantity],StockOutData[Product ID],ProductMaster!$B2176)</f>
        <v>0</v>
      </c>
      <c r="J2176" s="63">
        <f>SUMIFS(StockInData[Value],StockInData[Product ID],ProductMaster!$B2176)-SUMIFS(StockOutData[Value],StockOutData[Product ID],ProductMaster!$B2176)</f>
        <v>0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 t="str">
        <f>IFERROR(INDEX(StockInData[Expiry],MATCH(ProductMaster[[#This Row],[Product ID]],StockInData[Product ID],0)),"")</f>
        <v/>
      </c>
      <c r="H2177" s="47"/>
      <c r="I2177" s="61">
        <f>SUMIFS(StockInData[Quantity],StockInData[Product ID],ProductMaster!$B2177)-SUMIFS(StockOutData[Quantity],StockOutData[Product ID],ProductMaster!$B2177)</f>
        <v>0</v>
      </c>
      <c r="J2177" s="63">
        <f>SUMIFS(StockInData[Value],StockInData[Product ID],ProductMaster!$B2177)-SUMIFS(StockOutData[Value],StockOutData[Product ID],ProductMaster!$B2177)</f>
        <v>0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 t="str">
        <f>IFERROR(INDEX(StockInData[Expiry],MATCH(ProductMaster[[#This Row],[Product ID]],StockInData[Product ID],0)),"")</f>
        <v/>
      </c>
      <c r="H2178" s="47"/>
      <c r="I2178" s="61">
        <f>SUMIFS(StockInData[Quantity],StockInData[Product ID],ProductMaster!$B2178)-SUMIFS(StockOutData[Quantity],StockOutData[Product ID],ProductMaster!$B2178)</f>
        <v>0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 t="str">
        <f>IFERROR(INDEX(StockInData[Expiry],MATCH(ProductMaster[[#This Row],[Product ID]],StockInData[Product ID],0)),"")</f>
        <v/>
      </c>
      <c r="H2179" s="47"/>
      <c r="I2179" s="61">
        <f>SUMIFS(StockInData[Quantity],StockInData[Product ID],ProductMaster!$B2179)-SUMIFS(StockOutData[Quantity],StockOutData[Product ID],ProductMaster!$B2179)</f>
        <v>0</v>
      </c>
      <c r="J2179" s="63">
        <f>SUMIFS(StockInData[Value],StockInData[Product ID],ProductMaster!$B2179)-SUMIFS(StockOutData[Value],StockOutData[Product ID],ProductMaster!$B2179)</f>
        <v>0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 t="str">
        <f>IFERROR(INDEX(StockInData[Expiry],MATCH(ProductMaster[[#This Row],[Product ID]],StockInData[Product ID],0)),"")</f>
        <v/>
      </c>
      <c r="H2180" s="47"/>
      <c r="I2180" s="61">
        <f>SUMIFS(StockInData[Quantity],StockInData[Product ID],ProductMaster!$B2180)-SUMIFS(StockOutData[Quantity],StockOutData[Product ID],ProductMaster!$B2180)</f>
        <v>0</v>
      </c>
      <c r="J2180" s="63">
        <f>SUMIFS(StockInData[Value],StockInData[Product ID],ProductMaster!$B2180)-SUMIFS(StockOutData[Value],StockOutData[Product ID],ProductMaster!$B2180)</f>
        <v>0</v>
      </c>
    </row>
    <row r="2181" spans="1:10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 t="str">
        <f>IFERROR(INDEX(StockInData[Expiry],MATCH(ProductMaster[[#This Row],[Product ID]],StockInData[Product ID],0)),"")</f>
        <v/>
      </c>
      <c r="H2182" s="47"/>
      <c r="I2182" s="61">
        <f>SUMIFS(StockInData[Quantity],StockInData[Product ID],ProductMaster!$B2182)-SUMIFS(StockOutData[Quantity],StockOutData[Product ID],ProductMaster!$B2182)</f>
        <v>0</v>
      </c>
      <c r="J2182" s="63">
        <f>SUMIFS(StockInData[Value],StockInData[Product ID],ProductMaster!$B2182)-SUMIFS(StockOutData[Value],StockOutData[Product ID],ProductMaster!$B2182)</f>
        <v>0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 t="str">
        <f>IFERROR(INDEX(StockInData[Expiry],MATCH(ProductMaster[[#This Row],[Product ID]],StockInData[Product ID],0)),"")</f>
        <v/>
      </c>
      <c r="H2183" s="47"/>
      <c r="I2183" s="61">
        <f>SUMIFS(StockInData[Quantity],StockInData[Product ID],ProductMaster!$B2183)-SUMIFS(StockOutData[Quantity],StockOutData[Product ID],ProductMaster!$B2183)</f>
        <v>0</v>
      </c>
      <c r="J2183" s="63">
        <f>SUMIFS(StockInData[Value],StockInData[Product ID],ProductMaster!$B2183)-SUMIFS(StockOutData[Value],StockOutData[Product ID],ProductMaster!$B2183)</f>
        <v>0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 t="str">
        <f>IFERROR(INDEX(StockInData[Expiry],MATCH(ProductMaster[[#This Row],[Product ID]],StockInData[Product ID],0)),"")</f>
        <v/>
      </c>
      <c r="H2184" s="47"/>
      <c r="I2184" s="61">
        <f>SUMIFS(StockInData[Quantity],StockInData[Product ID],ProductMaster!$B2184)-SUMIFS(StockOutData[Quantity],StockOutData[Product ID],ProductMaster!$B2184)</f>
        <v>0</v>
      </c>
      <c r="J2184" s="63">
        <f>SUMIFS(StockInData[Value],StockInData[Product ID],ProductMaster!$B2184)-SUMIFS(StockOutData[Value],StockOutData[Product ID],ProductMaster!$B2184)</f>
        <v>0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 t="str">
        <f>IFERROR(INDEX(StockInData[Expiry],MATCH(ProductMaster[[#This Row],[Product ID]],StockInData[Product ID],0)),"")</f>
        <v/>
      </c>
      <c r="H2185" s="47"/>
      <c r="I2185" s="61">
        <f>SUMIFS(StockInData[Quantity],StockInData[Product ID],ProductMaster!$B2185)-SUMIFS(StockOutData[Quantity],StockOutData[Product ID],ProductMaster!$B2185)</f>
        <v>0</v>
      </c>
      <c r="J2185" s="63">
        <f>SUMIFS(StockInData[Value],StockInData[Product ID],ProductMaster!$B2185)-SUMIFS(StockOutData[Value],StockOutData[Product ID],ProductMaster!$B2185)</f>
        <v>0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 t="str">
        <f>IFERROR(INDEX(StockInData[Expiry],MATCH(ProductMaster[[#This Row],[Product ID]],StockInData[Product ID],0)),"")</f>
        <v/>
      </c>
      <c r="H2186" s="47"/>
      <c r="I2186" s="61">
        <f>SUMIFS(StockInData[Quantity],StockInData[Product ID],ProductMaster!$B2186)-SUMIFS(StockOutData[Quantity],StockOutData[Product ID],ProductMaster!$B2186)</f>
        <v>0</v>
      </c>
      <c r="J2186" s="63">
        <f>SUMIFS(StockInData[Value],StockInData[Product ID],ProductMaster!$B2186)-SUMIFS(StockOutData[Value],StockOutData[Product ID],ProductMaster!$B2186)</f>
        <v>0</v>
      </c>
    </row>
    <row r="2187" spans="1:10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 t="str">
        <f>IFERROR(INDEX(StockInData[Expiry],MATCH(ProductMaster[[#This Row],[Product ID]],StockInData[Product ID],0)),"")</f>
        <v/>
      </c>
      <c r="H2189" s="47"/>
      <c r="I2189" s="61">
        <f>SUMIFS(StockInData[Quantity],StockInData[Product ID],ProductMaster!$B2189)-SUMIFS(StockOutData[Quantity],StockOutData[Product ID],ProductMaster!$B2189)</f>
        <v>0</v>
      </c>
      <c r="J2189" s="63">
        <f>SUMIFS(StockInData[Value],StockInData[Product ID],ProductMaster!$B2189)-SUMIFS(StockOutData[Value],StockOutData[Product ID],ProductMaster!$B2189)</f>
        <v>0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 t="str">
        <f>IFERROR(INDEX(StockInData[Expiry],MATCH(ProductMaster[[#This Row],[Product ID]],StockInData[Product ID],0)),"")</f>
        <v/>
      </c>
      <c r="H2190" s="47"/>
      <c r="I2190" s="61">
        <f>SUMIFS(StockInData[Quantity],StockInData[Product ID],ProductMaster!$B2190)-SUMIFS(StockOutData[Quantity],StockOutData[Product ID],ProductMaster!$B2190)</f>
        <v>0</v>
      </c>
      <c r="J2190" s="63">
        <f>SUMIFS(StockInData[Value],StockInData[Product ID],ProductMaster!$B2190)-SUMIFS(StockOutData[Value],StockOutData[Product ID],ProductMaster!$B2190)</f>
        <v>0</v>
      </c>
    </row>
    <row r="2191" spans="1:10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 t="str">
        <f>IFERROR(INDEX(StockInData[Expiry],MATCH(ProductMaster[[#This Row],[Product ID]],StockInData[Product ID],0)),"")</f>
        <v/>
      </c>
      <c r="H2192" s="47"/>
      <c r="I2192" s="61">
        <f>SUMIFS(StockInData[Quantity],StockInData[Product ID],ProductMaster!$B2192)-SUMIFS(StockOutData[Quantity],StockOutData[Product ID],ProductMaster!$B2192)</f>
        <v>0</v>
      </c>
      <c r="J2192" s="63">
        <f>SUMIFS(StockInData[Value],StockInData[Product ID],ProductMaster!$B2192)-SUMIFS(StockOutData[Value],StockOutData[Product ID],ProductMaster!$B2192)</f>
        <v>0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 t="str">
        <f>IFERROR(INDEX(StockInData[Expiry],MATCH(ProductMaster[[#This Row],[Product ID]],StockInData[Product ID],0)),"")</f>
        <v/>
      </c>
      <c r="H2193" s="47"/>
      <c r="I2193" s="61">
        <f>SUMIFS(StockInData[Quantity],StockInData[Product ID],ProductMaster!$B2193)-SUMIFS(StockOutData[Quantity],StockOutData[Product ID],ProductMaster!$B2193)</f>
        <v>0</v>
      </c>
      <c r="J2193" s="63">
        <f>SUMIFS(StockInData[Value],StockInData[Product ID],ProductMaster!$B2193)-SUMIFS(StockOutData[Value],StockOutData[Product ID],ProductMaster!$B2193)</f>
        <v>0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 t="str">
        <f>IFERROR(INDEX(StockInData[Expiry],MATCH(ProductMaster[[#This Row],[Product ID]],StockInData[Product ID],0)),"")</f>
        <v/>
      </c>
      <c r="H2194" s="47"/>
      <c r="I2194" s="61">
        <f>SUMIFS(StockInData[Quantity],StockInData[Product ID],ProductMaster!$B2194)-SUMIFS(StockOutData[Quantity],StockOutData[Product ID],ProductMaster!$B2194)</f>
        <v>0</v>
      </c>
      <c r="J2194" s="63">
        <f>SUMIFS(StockInData[Value],StockInData[Product ID],ProductMaster!$B2194)-SUMIFS(StockOutData[Value],StockOutData[Product ID],ProductMaster!$B2194)</f>
        <v>0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 t="str">
        <f>IFERROR(INDEX(StockInData[Expiry],MATCH(ProductMaster[[#This Row],[Product ID]],StockInData[Product ID],0)),"")</f>
        <v/>
      </c>
      <c r="H2195" s="47"/>
      <c r="I2195" s="61">
        <f>SUMIFS(StockInData[Quantity],StockInData[Product ID],ProductMaster!$B2195)-SUMIFS(StockOutData[Quantity],StockOutData[Product ID],ProductMaster!$B2195)</f>
        <v>0</v>
      </c>
      <c r="J2195" s="63">
        <f>SUMIFS(StockInData[Value],StockInData[Product ID],ProductMaster!$B2195)-SUMIFS(StockOutData[Value],StockOutData[Product ID],ProductMaster!$B2195)</f>
        <v>0</v>
      </c>
    </row>
    <row r="2196" spans="1:10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 t="str">
        <f>IFERROR(INDEX(StockInData[Expiry],MATCH(ProductMaster[[#This Row],[Product ID]],StockInData[Product ID],0)),"")</f>
        <v/>
      </c>
      <c r="H2197" s="47"/>
      <c r="I2197" s="61">
        <f>SUMIFS(StockInData[Quantity],StockInData[Product ID],ProductMaster!$B2197)-SUMIFS(StockOutData[Quantity],StockOutData[Product ID],ProductMaster!$B2197)</f>
        <v>0</v>
      </c>
      <c r="J2197" s="63">
        <f>SUMIFS(StockInData[Value],StockInData[Product ID],ProductMaster!$B2197)-SUMIFS(StockOutData[Value],StockOutData[Product ID],ProductMaster!$B2197)</f>
        <v>0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 t="str">
        <f>IFERROR(INDEX(StockInData[Expiry],MATCH(ProductMaster[[#This Row],[Product ID]],StockInData[Product ID],0)),"")</f>
        <v/>
      </c>
      <c r="H2198" s="47"/>
      <c r="I2198" s="61">
        <f>SUMIFS(StockInData[Quantity],StockInData[Product ID],ProductMaster!$B2198)-SUMIFS(StockOutData[Quantity],StockOutData[Product ID],ProductMaster!$B2198)</f>
        <v>0</v>
      </c>
      <c r="J2198" s="63">
        <f>SUMIFS(StockInData[Value],StockInData[Product ID],ProductMaster!$B2198)-SUMIFS(StockOutData[Value],StockOutData[Product ID],ProductMaster!$B2198)</f>
        <v>0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 t="str">
        <f>IFERROR(INDEX(StockInData[Expiry],MATCH(ProductMaster[[#This Row],[Product ID]],StockInData[Product ID],0)),"")</f>
        <v/>
      </c>
      <c r="H2199" s="47"/>
      <c r="I2199" s="61">
        <f>SUMIFS(StockInData[Quantity],StockInData[Product ID],ProductMaster!$B2199)-SUMIFS(StockOutData[Quantity],StockOutData[Product ID],ProductMaster!$B2199)</f>
        <v>0</v>
      </c>
      <c r="J2199" s="63">
        <f>SUMIFS(StockInData[Value],StockInData[Product ID],ProductMaster!$B2199)-SUMIFS(StockOutData[Value],StockOutData[Product ID],ProductMaster!$B2199)</f>
        <v>0</v>
      </c>
    </row>
    <row r="2200" spans="1:10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 t="str">
        <f>IFERROR(INDEX(StockInData[Expiry],MATCH(ProductMaster[[#This Row],[Product ID]],StockInData[Product ID],0)),"")</f>
        <v/>
      </c>
      <c r="H2201" s="47"/>
      <c r="I2201" s="61">
        <f>SUMIFS(StockInData[Quantity],StockInData[Product ID],ProductMaster!$B2201)-SUMIFS(StockOutData[Quantity],StockOutData[Product ID],ProductMaster!$B2201)</f>
        <v>0</v>
      </c>
      <c r="J2201" s="63">
        <f>SUMIFS(StockInData[Value],StockInData[Product ID],ProductMaster!$B2201)-SUMIFS(StockOutData[Value],StockOutData[Product ID],ProductMaster!$B2201)</f>
        <v>0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 t="str">
        <f>IFERROR(INDEX(StockInData[Expiry],MATCH(ProductMaster[[#This Row],[Product ID]],StockInData[Product ID],0)),"")</f>
        <v/>
      </c>
      <c r="H2202" s="47"/>
      <c r="I2202" s="61">
        <f>SUMIFS(StockInData[Quantity],StockInData[Product ID],ProductMaster!$B2202)-SUMIFS(StockOutData[Quantity],StockOutData[Product ID],ProductMaster!$B2202)</f>
        <v>0</v>
      </c>
      <c r="J2202" s="63">
        <f>SUMIFS(StockInData[Value],StockInData[Product ID],ProductMaster!$B2202)-SUMIFS(StockOutData[Value],StockOutData[Product ID],ProductMaster!$B2202)</f>
        <v>0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 t="str">
        <f>IFERROR(INDEX(StockInData[Expiry],MATCH(ProductMaster[[#This Row],[Product ID]],StockInData[Product ID],0)),"")</f>
        <v/>
      </c>
      <c r="H2203" s="47"/>
      <c r="I2203" s="61">
        <f>SUMIFS(StockInData[Quantity],StockInData[Product ID],ProductMaster!$B2203)-SUMIFS(StockOutData[Quantity],StockOutData[Product ID],ProductMaster!$B2203)</f>
        <v>0</v>
      </c>
      <c r="J2203" s="63">
        <f>SUMIFS(StockInData[Value],StockInData[Product ID],ProductMaster!$B2203)-SUMIFS(StockOutData[Value],StockOutData[Product ID],ProductMaster!$B2203)</f>
        <v>0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 t="str">
        <f>IFERROR(INDEX(StockInData[Expiry],MATCH(ProductMaster[[#This Row],[Product ID]],StockInData[Product ID],0)),"")</f>
        <v/>
      </c>
      <c r="H2204" s="47"/>
      <c r="I2204" s="61">
        <f>SUMIFS(StockInData[Quantity],StockInData[Product ID],ProductMaster!$B2204)-SUMIFS(StockOutData[Quantity],StockOutData[Product ID],ProductMaster!$B2204)</f>
        <v>0</v>
      </c>
      <c r="J2204" s="63">
        <f>SUMIFS(StockInData[Value],StockInData[Product ID],ProductMaster!$B2204)-SUMIFS(StockOutData[Value],StockOutData[Product ID],ProductMaster!$B2204)</f>
        <v>0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 t="str">
        <f>IFERROR(INDEX(StockInData[Expiry],MATCH(ProductMaster[[#This Row],[Product ID]],StockInData[Product ID],0)),"")</f>
        <v/>
      </c>
      <c r="H2205" s="47"/>
      <c r="I2205" s="61">
        <f>SUMIFS(StockInData[Quantity],StockInData[Product ID],ProductMaster!$B2205)-SUMIFS(StockOutData[Quantity],StockOutData[Product ID],ProductMaster!$B2205)</f>
        <v>0</v>
      </c>
      <c r="J2205" s="63">
        <f>SUMIFS(StockInData[Value],StockInData[Product ID],ProductMaster!$B2205)-SUMIFS(StockOutData[Value],StockOutData[Product ID],ProductMaster!$B2205)</f>
        <v>0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 t="str">
        <f>IFERROR(INDEX(StockInData[Expiry],MATCH(ProductMaster[[#This Row],[Product ID]],StockInData[Product ID],0)),"")</f>
        <v/>
      </c>
      <c r="H2206" s="47"/>
      <c r="I2206" s="61">
        <f>SUMIFS(StockInData[Quantity],StockInData[Product ID],ProductMaster!$B2206)-SUMIFS(StockOutData[Quantity],StockOutData[Product ID],ProductMaster!$B2206)</f>
        <v>0</v>
      </c>
      <c r="J2206" s="63">
        <f>SUMIFS(StockInData[Value],StockInData[Product ID],ProductMaster!$B2206)-SUMIFS(StockOutData[Value],StockOutData[Product ID],ProductMaster!$B2206)</f>
        <v>0</v>
      </c>
    </row>
    <row r="2207" spans="1:10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 t="str">
        <f>IFERROR(INDEX(StockInData[Expiry],MATCH(ProductMaster[[#This Row],[Product ID]],StockInData[Product ID],0)),"")</f>
        <v/>
      </c>
      <c r="H2210" s="47"/>
      <c r="I2210" s="61">
        <f>SUMIFS(StockInData[Quantity],StockInData[Product ID],ProductMaster!$B2210)-SUMIFS(StockOutData[Quantity],StockOutData[Product ID],ProductMaster!$B2210)</f>
        <v>0</v>
      </c>
      <c r="J2210" s="63">
        <f>SUMIFS(StockInData[Value],StockInData[Product ID],ProductMaster!$B2210)-SUMIFS(StockOutData[Value],StockOutData[Product ID],ProductMaster!$B2210)</f>
        <v>0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 t="str">
        <f>IFERROR(INDEX(StockInData[Expiry],MATCH(ProductMaster[[#This Row],[Product ID]],StockInData[Product ID],0)),"")</f>
        <v/>
      </c>
      <c r="H2211" s="47"/>
      <c r="I2211" s="61">
        <f>SUMIFS(StockInData[Quantity],StockInData[Product ID],ProductMaster!$B2211)-SUMIFS(StockOutData[Quantity],StockOutData[Product ID],ProductMaster!$B2211)</f>
        <v>0</v>
      </c>
      <c r="J2211" s="63">
        <f>SUMIFS(StockInData[Value],StockInData[Product ID],ProductMaster!$B2211)-SUMIFS(StockOutData[Value],StockOutData[Product ID],ProductMaster!$B2211)</f>
        <v>0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 t="str">
        <f>IFERROR(INDEX(StockInData[Expiry],MATCH(ProductMaster[[#This Row],[Product ID]],StockInData[Product ID],0)),"")</f>
        <v/>
      </c>
      <c r="H2212" s="47"/>
      <c r="I2212" s="61">
        <f>SUMIFS(StockInData[Quantity],StockInData[Product ID],ProductMaster!$B2212)-SUMIFS(StockOutData[Quantity],StockOutData[Product ID],ProductMaster!$B2212)</f>
        <v>0</v>
      </c>
      <c r="J2212" s="63">
        <f>SUMIFS(StockInData[Value],StockInData[Product ID],ProductMaster!$B2212)-SUMIFS(StockOutData[Value],StockOutData[Product ID],ProductMaster!$B2212)</f>
        <v>0</v>
      </c>
    </row>
    <row r="2213" spans="1:10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 t="str">
        <f>IFERROR(INDEX(StockInData[Expiry],MATCH(ProductMaster[[#This Row],[Product ID]],StockInData[Product ID],0)),"")</f>
        <v/>
      </c>
      <c r="H2218" s="47"/>
      <c r="I2218" s="61">
        <f>SUMIFS(StockInData[Quantity],StockInData[Product ID],ProductMaster!$B2218)-SUMIFS(StockOutData[Quantity],StockOutData[Product ID],ProductMaster!$B2218)</f>
        <v>0</v>
      </c>
      <c r="J2218" s="63">
        <f>SUMIFS(StockInData[Value],StockInData[Product ID],ProductMaster!$B2218)-SUMIFS(StockOutData[Value],StockOutData[Product ID],ProductMaster!$B2218)</f>
        <v>0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 t="str">
        <f>IFERROR(INDEX(StockInData[Expiry],MATCH(ProductMaster[[#This Row],[Product ID]],StockInData[Product ID],0)),"")</f>
        <v/>
      </c>
      <c r="H2219" s="47"/>
      <c r="I2219" s="61">
        <f>SUMIFS(StockInData[Quantity],StockInData[Product ID],ProductMaster!$B2219)-SUMIFS(StockOutData[Quantity],StockOutData[Product ID],ProductMaster!$B2219)</f>
        <v>0</v>
      </c>
      <c r="J2219" s="63">
        <f>SUMIFS(StockInData[Value],StockInData[Product ID],ProductMaster!$B2219)-SUMIFS(StockOutData[Value],StockOutData[Product ID],ProductMaster!$B2219)</f>
        <v>0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 t="str">
        <f>IFERROR(INDEX(StockInData[Expiry],MATCH(ProductMaster[[#This Row],[Product ID]],StockInData[Product ID],0)),"")</f>
        <v/>
      </c>
      <c r="H2220" s="47"/>
      <c r="I2220" s="61">
        <f>SUMIFS(StockInData[Quantity],StockInData[Product ID],ProductMaster!$B2220)-SUMIFS(StockOutData[Quantity],StockOutData[Product ID],ProductMaster!$B2220)</f>
        <v>0</v>
      </c>
      <c r="J2220" s="63">
        <f>SUMIFS(StockInData[Value],StockInData[Product ID],ProductMaster!$B2220)-SUMIFS(StockOutData[Value],StockOutData[Product ID],ProductMaster!$B2220)</f>
        <v>0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 t="str">
        <f>IFERROR(INDEX(StockInData[Expiry],MATCH(ProductMaster[[#This Row],[Product ID]],StockInData[Product ID],0)),"")</f>
        <v/>
      </c>
      <c r="H2221" s="47"/>
      <c r="I2221" s="61">
        <f>SUMIFS(StockInData[Quantity],StockInData[Product ID],ProductMaster!$B2221)-SUMIFS(StockOutData[Quantity],StockOutData[Product ID],ProductMaster!$B2221)</f>
        <v>0</v>
      </c>
      <c r="J2221" s="63">
        <f>SUMIFS(StockInData[Value],StockInData[Product ID],ProductMaster!$B2221)-SUMIFS(StockOutData[Value],StockOutData[Product ID],ProductMaster!$B2221)</f>
        <v>0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 t="str">
        <f>IFERROR(INDEX(StockInData[Expiry],MATCH(ProductMaster[[#This Row],[Product ID]],StockInData[Product ID],0)),"")</f>
        <v/>
      </c>
      <c r="H2222" s="47"/>
      <c r="I2222" s="61">
        <f>SUMIFS(StockInData[Quantity],StockInData[Product ID],ProductMaster!$B2222)-SUMIFS(StockOutData[Quantity],StockOutData[Product ID],ProductMaster!$B2222)</f>
        <v>0</v>
      </c>
      <c r="J2222" s="63">
        <f>SUMIFS(StockInData[Value],StockInData[Product ID],ProductMaster!$B2222)-SUMIFS(StockOutData[Value],StockOutData[Product ID],ProductMaster!$B2222)</f>
        <v>0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 t="str">
        <f>IFERROR(INDEX(StockInData[Expiry],MATCH(ProductMaster[[#This Row],[Product ID]],StockInData[Product ID],0)),"")</f>
        <v/>
      </c>
      <c r="H2223" s="47"/>
      <c r="I2223" s="61">
        <f>SUMIFS(StockInData[Quantity],StockInData[Product ID],ProductMaster!$B2223)-SUMIFS(StockOutData[Quantity],StockOutData[Product ID],ProductMaster!$B2223)</f>
        <v>0</v>
      </c>
      <c r="J2223" s="63">
        <f>SUMIFS(StockInData[Value],StockInData[Product ID],ProductMaster!$B2223)-SUMIFS(StockOutData[Value],StockOutData[Product ID],ProductMaster!$B2223)</f>
        <v>0</v>
      </c>
    </row>
    <row r="2224" spans="1:10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 t="str">
        <f>IFERROR(INDEX(StockInData[Expiry],MATCH(ProductMaster[[#This Row],[Product ID]],StockInData[Product ID],0)),"")</f>
        <v/>
      </c>
      <c r="H2228" s="47"/>
      <c r="I2228" s="61">
        <f>SUMIFS(StockInData[Quantity],StockInData[Product ID],ProductMaster!$B2228)-SUMIFS(StockOutData[Quantity],StockOutData[Product ID],ProductMaster!$B2228)</f>
        <v>0</v>
      </c>
      <c r="J2228" s="63">
        <f>SUMIFS(StockInData[Value],StockInData[Product ID],ProductMaster!$B2228)-SUMIFS(StockOutData[Value],StockOutData[Product ID],ProductMaster!$B2228)</f>
        <v>0</v>
      </c>
    </row>
    <row r="2229" spans="1:10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 t="str">
        <f>IFERROR(INDEX(StockInData[Expiry],MATCH(ProductMaster[[#This Row],[Product ID]],StockInData[Product ID],0)),"")</f>
        <v/>
      </c>
      <c r="H2230" s="47"/>
      <c r="I2230" s="61">
        <f>SUMIFS(StockInData[Quantity],StockInData[Product ID],ProductMaster!$B2230)-SUMIFS(StockOutData[Quantity],StockOutData[Product ID],ProductMaster!$B2230)</f>
        <v>0</v>
      </c>
      <c r="J2230" s="63">
        <f>SUMIFS(StockInData[Value],StockInData[Product ID],ProductMaster!$B2230)-SUMIFS(StockOutData[Value],StockOutData[Product ID],ProductMaster!$B2230)</f>
        <v>0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 t="str">
        <f>IFERROR(INDEX(StockInData[Expiry],MATCH(ProductMaster[[#This Row],[Product ID]],StockInData[Product ID],0)),"")</f>
        <v/>
      </c>
      <c r="H2231" s="47"/>
      <c r="I2231" s="61">
        <f>SUMIFS(StockInData[Quantity],StockInData[Product ID],ProductMaster!$B2231)-SUMIFS(StockOutData[Quantity],StockOutData[Product ID],ProductMaster!$B2231)</f>
        <v>0</v>
      </c>
      <c r="J2231" s="63">
        <f>SUMIFS(StockInData[Value],StockInData[Product ID],ProductMaster!$B2231)-SUMIFS(StockOutData[Value],StockOutData[Product ID],ProductMaster!$B2231)</f>
        <v>0</v>
      </c>
    </row>
    <row r="2232" spans="1:10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 t="str">
        <f>IFERROR(INDEX(StockInData[Expiry],MATCH(ProductMaster[[#This Row],[Product ID]],StockInData[Product ID],0)),"")</f>
        <v/>
      </c>
      <c r="H2233" s="47"/>
      <c r="I2233" s="61">
        <f>SUMIFS(StockInData[Quantity],StockInData[Product ID],ProductMaster!$B2233)-SUMIFS(StockOutData[Quantity],StockOutData[Product ID],ProductMaster!$B2233)</f>
        <v>0</v>
      </c>
      <c r="J2233" s="63">
        <f>SUMIFS(StockInData[Value],StockInData[Product ID],ProductMaster!$B2233)-SUMIFS(StockOutData[Value],StockOutData[Product ID],ProductMaster!$B2233)</f>
        <v>0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 t="str">
        <f>IFERROR(INDEX(StockInData[Expiry],MATCH(ProductMaster[[#This Row],[Product ID]],StockInData[Product ID],0)),"")</f>
        <v/>
      </c>
      <c r="H2234" s="47"/>
      <c r="I2234" s="61">
        <f>SUMIFS(StockInData[Quantity],StockInData[Product ID],ProductMaster!$B2234)-SUMIFS(StockOutData[Quantity],StockOutData[Product ID],ProductMaster!$B2234)</f>
        <v>0</v>
      </c>
      <c r="J2234" s="63">
        <f>SUMIFS(StockInData[Value],StockInData[Product ID],ProductMaster!$B2234)-SUMIFS(StockOutData[Value],StockOutData[Product ID],ProductMaster!$B2234)</f>
        <v>0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 t="str">
        <f>IFERROR(INDEX(StockInData[Expiry],MATCH(ProductMaster[[#This Row],[Product ID]],StockInData[Product ID],0)),"")</f>
        <v/>
      </c>
      <c r="H2235" s="47"/>
      <c r="I2235" s="61">
        <f>SUMIFS(StockInData[Quantity],StockInData[Product ID],ProductMaster!$B2235)-SUMIFS(StockOutData[Quantity],StockOutData[Product ID],ProductMaster!$B2235)</f>
        <v>0</v>
      </c>
      <c r="J2235" s="63">
        <f>SUMIFS(StockInData[Value],StockInData[Product ID],ProductMaster!$B2235)-SUMIFS(StockOutData[Value],StockOutData[Product ID],ProductMaster!$B2235)</f>
        <v>0</v>
      </c>
    </row>
    <row r="2236" spans="1:10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 t="str">
        <f>IFERROR(INDEX(StockInData[Expiry],MATCH(ProductMaster[[#This Row],[Product ID]],StockInData[Product ID],0)),"")</f>
        <v/>
      </c>
      <c r="H2237" s="47"/>
      <c r="I2237" s="61">
        <f>SUMIFS(StockInData[Quantity],StockInData[Product ID],ProductMaster!$B2237)-SUMIFS(StockOutData[Quantity],StockOutData[Product ID],ProductMaster!$B2237)</f>
        <v>0</v>
      </c>
      <c r="J2237" s="63">
        <f>SUMIFS(StockInData[Value],StockInData[Product ID],ProductMaster!$B2237)-SUMIFS(StockOutData[Value],StockOutData[Product ID],ProductMaster!$B2237)</f>
        <v>0</v>
      </c>
    </row>
    <row r="2238" spans="1:10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 t="str">
        <f>IFERROR(INDEX(StockInData[Expiry],MATCH(ProductMaster[[#This Row],[Product ID]],StockInData[Product ID],0)),"")</f>
        <v/>
      </c>
      <c r="H2239" s="47"/>
      <c r="I2239" s="61">
        <f>SUMIFS(StockInData[Quantity],StockInData[Product ID],ProductMaster!$B2239)-SUMIFS(StockOutData[Quantity],StockOutData[Product ID],ProductMaster!$B2239)</f>
        <v>0</v>
      </c>
      <c r="J2239" s="63">
        <f>SUMIFS(StockInData[Value],StockInData[Product ID],ProductMaster!$B2239)-SUMIFS(StockOutData[Value],StockOutData[Product ID],ProductMaster!$B2239)</f>
        <v>0</v>
      </c>
    </row>
    <row r="2240" spans="1:10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 t="str">
        <f>IFERROR(INDEX(StockInData[Expiry],MATCH(ProductMaster[[#This Row],[Product ID]],StockInData[Product ID],0)),"")</f>
        <v/>
      </c>
      <c r="H2247" s="47"/>
      <c r="I2247" s="61">
        <f>SUMIFS(StockInData[Quantity],StockInData[Product ID],ProductMaster!$B2247)-SUMIFS(StockOutData[Quantity],StockOutData[Product ID],ProductMaster!$B2247)</f>
        <v>0</v>
      </c>
      <c r="J2247" s="63">
        <f>SUMIFS(StockInData[Value],StockInData[Product ID],ProductMaster!$B2247)-SUMIFS(StockOutData[Value],StockOutData[Product ID],ProductMaster!$B2247)</f>
        <v>0</v>
      </c>
    </row>
    <row r="2248" spans="1:10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 t="str">
        <f>IFERROR(INDEX(StockInData[Expiry],MATCH(ProductMaster[[#This Row],[Product ID]],StockInData[Product ID],0)),"")</f>
        <v/>
      </c>
      <c r="H2250" s="47"/>
      <c r="I2250" s="61">
        <f>SUMIFS(StockInData[Quantity],StockInData[Product ID],ProductMaster!$B2250)-SUMIFS(StockOutData[Quantity],StockOutData[Product ID],ProductMaster!$B2250)</f>
        <v>0</v>
      </c>
      <c r="J2250" s="63">
        <f>SUMIFS(StockInData[Value],StockInData[Product ID],ProductMaster!$B2250)-SUMIFS(StockOutData[Value],StockOutData[Product ID],ProductMaster!$B2250)</f>
        <v>0</v>
      </c>
    </row>
    <row r="2251" spans="1:10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 t="str">
        <f>IFERROR(INDEX(StockInData[Expiry],MATCH(ProductMaster[[#This Row],[Product ID]],StockInData[Product ID],0)),"")</f>
        <v/>
      </c>
      <c r="H2252" s="47"/>
      <c r="I2252" s="61">
        <f>SUMIFS(StockInData[Quantity],StockInData[Product ID],ProductMaster!$B2252)-SUMIFS(StockOutData[Quantity],StockOutData[Product ID],ProductMaster!$B2252)</f>
        <v>0</v>
      </c>
      <c r="J2252" s="63">
        <f>SUMIFS(StockInData[Value],StockInData[Product ID],ProductMaster!$B2252)-SUMIFS(StockOutData[Value],StockOutData[Product ID],ProductMaster!$B2252)</f>
        <v>0</v>
      </c>
    </row>
    <row r="2253" spans="1:10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 t="str">
        <f>IFERROR(INDEX(StockInData[Expiry],MATCH(ProductMaster[[#This Row],[Product ID]],StockInData[Product ID],0)),"")</f>
        <v/>
      </c>
      <c r="H2255" s="47"/>
      <c r="I2255" s="61">
        <f>SUMIFS(StockInData[Quantity],StockInData[Product ID],ProductMaster!$B2255)-SUMIFS(StockOutData[Quantity],StockOutData[Product ID],ProductMaster!$B2255)</f>
        <v>0</v>
      </c>
      <c r="J2255" s="63">
        <f>SUMIFS(StockInData[Value],StockInData[Product ID],ProductMaster!$B2255)-SUMIFS(StockOutData[Value],StockOutData[Product ID],ProductMaster!$B2255)</f>
        <v>0</v>
      </c>
    </row>
    <row r="2256" spans="1:10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 t="str">
        <f>IFERROR(INDEX(StockInData[Expiry],MATCH(ProductMaster[[#This Row],[Product ID]],StockInData[Product ID],0)),"")</f>
        <v/>
      </c>
      <c r="H2257" s="47"/>
      <c r="I2257" s="61">
        <f>SUMIFS(StockInData[Quantity],StockInData[Product ID],ProductMaster!$B2257)-SUMIFS(StockOutData[Quantity],StockOutData[Product ID],ProductMaster!$B2257)</f>
        <v>0</v>
      </c>
      <c r="J2257" s="63">
        <f>SUMIFS(StockInData[Value],StockInData[Product ID],ProductMaster!$B2257)-SUMIFS(StockOutData[Value],StockOutData[Product ID],ProductMaster!$B2257)</f>
        <v>0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 t="str">
        <f>IFERROR(INDEX(StockInData[Expiry],MATCH(ProductMaster[[#This Row],[Product ID]],StockInData[Product ID],0)),"")</f>
        <v/>
      </c>
      <c r="H2258" s="47"/>
      <c r="I2258" s="61">
        <f>SUMIFS(StockInData[Quantity],StockInData[Product ID],ProductMaster!$B2258)-SUMIFS(StockOutData[Quantity],StockOutData[Product ID],ProductMaster!$B2258)</f>
        <v>0</v>
      </c>
      <c r="J2258" s="63">
        <f>SUMIFS(StockInData[Value],StockInData[Product ID],ProductMaster!$B2258)-SUMIFS(StockOutData[Value],StockOutData[Product ID],ProductMaster!$B2258)</f>
        <v>0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0</v>
      </c>
      <c r="J2259" s="63">
        <f>SUMIFS(StockInData[Value],StockInData[Product ID],ProductMaster!$B2259)-SUMIFS(StockOutData[Value],StockOutData[Product ID],ProductMaster!$B2259)</f>
        <v>0</v>
      </c>
    </row>
    <row r="2260" spans="1:10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 t="str">
        <f>IFERROR(INDEX(StockInData[Expiry],MATCH(ProductMaster[[#This Row],[Product ID]],StockInData[Product ID],0)),"")</f>
        <v/>
      </c>
      <c r="H2261" s="47"/>
      <c r="I2261" s="61">
        <f>SUMIFS(StockInData[Quantity],StockInData[Product ID],ProductMaster!$B2261)-SUMIFS(StockOutData[Quantity],StockOutData[Product ID],ProductMaster!$B2261)</f>
        <v>0</v>
      </c>
      <c r="J2261" s="63">
        <f>SUMIFS(StockInData[Value],StockInData[Product ID],ProductMaster!$B2261)-SUMIFS(StockOutData[Value],StockOutData[Product ID],ProductMaster!$B2261)</f>
        <v>0</v>
      </c>
    </row>
    <row r="2262" spans="1:10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 t="str">
        <f>IFERROR(INDEX(StockInData[Expiry],MATCH(ProductMaster[[#This Row],[Product ID]],StockInData[Product ID],0)),"")</f>
        <v/>
      </c>
      <c r="H2265" s="47"/>
      <c r="I2265" s="61">
        <f>SUMIFS(StockInData[Quantity],StockInData[Product ID],ProductMaster!$B2265)-SUMIFS(StockOutData[Quantity],StockOutData[Product ID],ProductMaster!$B2265)</f>
        <v>0</v>
      </c>
      <c r="J2265" s="63">
        <f>SUMIFS(StockInData[Value],StockInData[Product ID],ProductMaster!$B2265)-SUMIFS(StockOutData[Value],StockOutData[Product ID],ProductMaster!$B2265)</f>
        <v>0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 t="str">
        <f>IFERROR(INDEX(StockInData[Expiry],MATCH(ProductMaster[[#This Row],[Product ID]],StockInData[Product ID],0)),"")</f>
        <v/>
      </c>
      <c r="H2266" s="47"/>
      <c r="I2266" s="61">
        <f>SUMIFS(StockInData[Quantity],StockInData[Product ID],ProductMaster!$B2266)-SUMIFS(StockOutData[Quantity],StockOutData[Product ID],ProductMaster!$B2266)</f>
        <v>0</v>
      </c>
      <c r="J2266" s="63">
        <f>SUMIFS(StockInData[Value],StockInData[Product ID],ProductMaster!$B2266)-SUMIFS(StockOutData[Value],StockOutData[Product ID],ProductMaster!$B2266)</f>
        <v>0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 t="str">
        <f>IFERROR(INDEX(StockInData[Expiry],MATCH(ProductMaster[[#This Row],[Product ID]],StockInData[Product ID],0)),"")</f>
        <v/>
      </c>
      <c r="H2267" s="47"/>
      <c r="I2267" s="61">
        <f>SUMIFS(StockInData[Quantity],StockInData[Product ID],ProductMaster!$B2267)-SUMIFS(StockOutData[Quantity],StockOutData[Product ID],ProductMaster!$B2267)</f>
        <v>0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 t="str">
        <f>IFERROR(INDEX(StockInData[Expiry],MATCH(ProductMaster[[#This Row],[Product ID]],StockInData[Product ID],0)),"")</f>
        <v/>
      </c>
      <c r="H2268" s="47"/>
      <c r="I2268" s="61">
        <f>SUMIFS(StockInData[Quantity],StockInData[Product ID],ProductMaster!$B2268)-SUMIFS(StockOutData[Quantity],StockOutData[Product ID],ProductMaster!$B2268)</f>
        <v>0</v>
      </c>
      <c r="J2268" s="63">
        <f>SUMIFS(StockInData[Value],StockInData[Product ID],ProductMaster!$B2268)-SUMIFS(StockOutData[Value],StockOutData[Product ID],ProductMaster!$B2268)</f>
        <v>0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 t="str">
        <f>IFERROR(INDEX(StockInData[Expiry],MATCH(ProductMaster[[#This Row],[Product ID]],StockInData[Product ID],0)),"")</f>
        <v/>
      </c>
      <c r="H2269" s="47"/>
      <c r="I2269" s="61">
        <f>SUMIFS(StockInData[Quantity],StockInData[Product ID],ProductMaster!$B2269)-SUMIFS(StockOutData[Quantity],StockOutData[Product ID],ProductMaster!$B2269)</f>
        <v>0</v>
      </c>
      <c r="J2269" s="63">
        <f>SUMIFS(StockInData[Value],StockInData[Product ID],ProductMaster!$B2269)-SUMIFS(StockOutData[Value],StockOutData[Product ID],ProductMaster!$B2269)</f>
        <v>0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 t="str">
        <f>IFERROR(INDEX(StockInData[Expiry],MATCH(ProductMaster[[#This Row],[Product ID]],StockInData[Product ID],0)),"")</f>
        <v/>
      </c>
      <c r="H2270" s="47"/>
      <c r="I2270" s="61">
        <f>SUMIFS(StockInData[Quantity],StockInData[Product ID],ProductMaster!$B2270)-SUMIFS(StockOutData[Quantity],StockOutData[Product ID],ProductMaster!$B2270)</f>
        <v>0</v>
      </c>
      <c r="J2270" s="63">
        <f>SUMIFS(StockInData[Value],StockInData[Product ID],ProductMaster!$B2270)-SUMIFS(StockOutData[Value],StockOutData[Product ID],ProductMaster!$B2270)</f>
        <v>0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 t="str">
        <f>IFERROR(INDEX(StockInData[Expiry],MATCH(ProductMaster[[#This Row],[Product ID]],StockInData[Product ID],0)),"")</f>
        <v/>
      </c>
      <c r="H2271" s="47"/>
      <c r="I2271" s="61">
        <f>SUMIFS(StockInData[Quantity],StockInData[Product ID],ProductMaster!$B2271)-SUMIFS(StockOutData[Quantity],StockOutData[Product ID],ProductMaster!$B2271)</f>
        <v>0</v>
      </c>
      <c r="J2271" s="63">
        <f>SUMIFS(StockInData[Value],StockInData[Product ID],ProductMaster!$B2271)-SUMIFS(StockOutData[Value],StockOutData[Product ID],ProductMaster!$B2271)</f>
        <v>0</v>
      </c>
    </row>
    <row r="2272" spans="1:10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 t="str">
        <f>IFERROR(INDEX(StockInData[Expiry],MATCH(ProductMaster[[#This Row],[Product ID]],StockInData[Product ID],0)),"")</f>
        <v/>
      </c>
      <c r="H2274" s="47"/>
      <c r="I2274" s="61">
        <f>SUMIFS(StockInData[Quantity],StockInData[Product ID],ProductMaster!$B2274)-SUMIFS(StockOutData[Quantity],StockOutData[Product ID],ProductMaster!$B2274)</f>
        <v>0</v>
      </c>
      <c r="J2274" s="63">
        <f>SUMIFS(StockInData[Value],StockInData[Product ID],ProductMaster!$B2274)-SUMIFS(StockOutData[Value],StockOutData[Product ID],ProductMaster!$B2274)</f>
        <v>0</v>
      </c>
    </row>
    <row r="2275" spans="1:10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2020-01-13T21:33:18Z</cp:lastPrinted>
  <dcterms:created xsi:type="dcterms:W3CDTF">2016-08-05T04:56:17Z</dcterms:created>
  <dcterms:modified xsi:type="dcterms:W3CDTF">2020-02-17T19:57:42Z</dcterms:modified>
  <cp:contentStatus/>
</cp:coreProperties>
</file>